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ood-donation-report-generator\"/>
    </mc:Choice>
  </mc:AlternateContent>
  <xr:revisionPtr revIDLastSave="0" documentId="13_ncr:1_{C867244F-B535-4331-8D15-78DE56AAC020}" xr6:coauthVersionLast="47" xr6:coauthVersionMax="47" xr10:uidLastSave="{00000000-0000-0000-0000-000000000000}"/>
  <bookViews>
    <workbookView xWindow="-96" yWindow="-96" windowWidth="23232" windowHeight="13872" xr2:uid="{2C6908CD-C55B-48EB-A42F-A382B8044138}"/>
  </bookViews>
  <sheets>
    <sheet name="MASTER-2025" sheetId="1" r:id="rId1"/>
  </sheets>
  <externalReferences>
    <externalReference r:id="rId2"/>
  </externalReferences>
  <definedNames>
    <definedName name="_xlnm._FilterDatabase" localSheetId="0" hidden="1">'MASTER-2025'!$A$1:$A$130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X2" i="1" l="1"/>
  <c r="DB130" i="1"/>
  <c r="DA130" i="1"/>
  <c r="CZ130" i="1"/>
  <c r="CY130" i="1"/>
  <c r="CL130" i="1" a="1"/>
  <c r="CL130" i="1" s="1"/>
  <c r="CX130" i="1" s="1"/>
  <c r="BY130" i="1" a="1"/>
  <c r="BY130" i="1" s="1"/>
  <c r="CK130" i="1" s="1"/>
  <c r="BL130" i="1" a="1"/>
  <c r="BL130" i="1" s="1"/>
  <c r="BX130" i="1" s="1"/>
  <c r="BK130" i="1"/>
  <c r="BH130" i="1"/>
  <c r="BG130" i="1"/>
  <c r="BF130" i="1"/>
  <c r="BE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I130" i="1"/>
  <c r="C130" i="1"/>
  <c r="B130" i="1"/>
  <c r="DB129" i="1"/>
  <c r="DA129" i="1"/>
  <c r="CZ129" i="1"/>
  <c r="CY129" i="1"/>
  <c r="CL129" i="1" a="1"/>
  <c r="CL129" i="1" s="1"/>
  <c r="CX129" i="1" s="1"/>
  <c r="BY129" i="1" a="1"/>
  <c r="BY129" i="1" s="1"/>
  <c r="CK129" i="1" s="1"/>
  <c r="BL129" i="1" a="1"/>
  <c r="BL129" i="1" s="1"/>
  <c r="BX129" i="1" s="1"/>
  <c r="BK129" i="1"/>
  <c r="BH129" i="1"/>
  <c r="BG129" i="1"/>
  <c r="BF129" i="1"/>
  <c r="BE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I129" i="1"/>
  <c r="C129" i="1"/>
  <c r="B129" i="1"/>
  <c r="DB128" i="1"/>
  <c r="DA128" i="1"/>
  <c r="CZ128" i="1"/>
  <c r="CY128" i="1"/>
  <c r="CL128" i="1" a="1"/>
  <c r="CL128" i="1" s="1"/>
  <c r="CX128" i="1" s="1"/>
  <c r="BY128" i="1" a="1"/>
  <c r="BY128" i="1" s="1"/>
  <c r="CK128" i="1" s="1"/>
  <c r="BL128" i="1"/>
  <c r="BX128" i="1" s="1"/>
  <c r="BL128" i="1" a="1"/>
  <c r="BK128" i="1"/>
  <c r="BH128" i="1"/>
  <c r="BG128" i="1"/>
  <c r="BF128" i="1"/>
  <c r="BE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I128" i="1"/>
  <c r="C128" i="1"/>
  <c r="B128" i="1"/>
  <c r="DB127" i="1"/>
  <c r="DA127" i="1"/>
  <c r="CZ127" i="1"/>
  <c r="CY127" i="1"/>
  <c r="CL127" i="1" a="1"/>
  <c r="CL127" i="1" s="1"/>
  <c r="CX127" i="1" s="1"/>
  <c r="BY127" i="1" a="1"/>
  <c r="BY127" i="1" s="1"/>
  <c r="CK127" i="1" s="1"/>
  <c r="BL127" i="1" a="1"/>
  <c r="BL127" i="1" s="1"/>
  <c r="BX127" i="1" s="1"/>
  <c r="BK127" i="1"/>
  <c r="BH127" i="1"/>
  <c r="BG127" i="1"/>
  <c r="BF127" i="1"/>
  <c r="BE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I127" i="1"/>
  <c r="C127" i="1"/>
  <c r="B127" i="1"/>
  <c r="DB126" i="1"/>
  <c r="DA126" i="1"/>
  <c r="CZ126" i="1"/>
  <c r="CY126" i="1"/>
  <c r="CL126" i="1" a="1"/>
  <c r="CL126" i="1" s="1"/>
  <c r="CX126" i="1" s="1"/>
  <c r="BY126" i="1" a="1"/>
  <c r="BY126" i="1" s="1"/>
  <c r="CK126" i="1" s="1"/>
  <c r="BL126" i="1" a="1"/>
  <c r="BL126" i="1" s="1"/>
  <c r="BX126" i="1" s="1"/>
  <c r="BK126" i="1"/>
  <c r="BH126" i="1"/>
  <c r="BG126" i="1"/>
  <c r="BF126" i="1"/>
  <c r="BE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I126" i="1"/>
  <c r="C126" i="1"/>
  <c r="B126" i="1"/>
  <c r="DB125" i="1"/>
  <c r="DA125" i="1"/>
  <c r="CZ125" i="1"/>
  <c r="CY125" i="1"/>
  <c r="CL125" i="1" a="1"/>
  <c r="CL125" i="1" s="1"/>
  <c r="CX125" i="1" s="1"/>
  <c r="BY125" i="1" a="1"/>
  <c r="BY125" i="1" s="1"/>
  <c r="CK125" i="1" s="1"/>
  <c r="BL125" i="1" a="1"/>
  <c r="BL125" i="1" s="1"/>
  <c r="BX125" i="1" s="1"/>
  <c r="BK125" i="1"/>
  <c r="BH125" i="1"/>
  <c r="BG125" i="1"/>
  <c r="BF125" i="1"/>
  <c r="BE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I125" i="1"/>
  <c r="C125" i="1"/>
  <c r="B125" i="1"/>
  <c r="DB124" i="1"/>
  <c r="DA124" i="1"/>
  <c r="CZ124" i="1"/>
  <c r="CY124" i="1"/>
  <c r="CL124" i="1" a="1"/>
  <c r="CL124" i="1" s="1"/>
  <c r="CX124" i="1" s="1"/>
  <c r="BY124" i="1" a="1"/>
  <c r="BY124" i="1" s="1"/>
  <c r="CK124" i="1" s="1"/>
  <c r="BL124" i="1" a="1"/>
  <c r="BL124" i="1" s="1"/>
  <c r="BX124" i="1" s="1"/>
  <c r="BK124" i="1"/>
  <c r="BH124" i="1"/>
  <c r="BG124" i="1"/>
  <c r="BF124" i="1"/>
  <c r="BE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I124" i="1"/>
  <c r="C124" i="1"/>
  <c r="B124" i="1"/>
  <c r="DB123" i="1"/>
  <c r="DA123" i="1"/>
  <c r="CZ123" i="1"/>
  <c r="CY123" i="1"/>
  <c r="CL123" i="1" a="1"/>
  <c r="CL123" i="1" s="1"/>
  <c r="CX123" i="1" s="1"/>
  <c r="BY123" i="1" a="1"/>
  <c r="BY123" i="1" s="1"/>
  <c r="CK123" i="1" s="1"/>
  <c r="BL123" i="1"/>
  <c r="BX123" i="1" s="1"/>
  <c r="BL123" i="1" a="1"/>
  <c r="BK123" i="1"/>
  <c r="BH123" i="1"/>
  <c r="BG123" i="1"/>
  <c r="BF123" i="1"/>
  <c r="BE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I123" i="1"/>
  <c r="C123" i="1"/>
  <c r="B123" i="1"/>
  <c r="DB122" i="1"/>
  <c r="DA122" i="1"/>
  <c r="CZ122" i="1"/>
  <c r="CY122" i="1"/>
  <c r="CL122" i="1" a="1"/>
  <c r="CL122" i="1" s="1"/>
  <c r="CX122" i="1" s="1"/>
  <c r="BY122" i="1" a="1"/>
  <c r="BY122" i="1" s="1"/>
  <c r="CK122" i="1" s="1"/>
  <c r="BL122" i="1" a="1"/>
  <c r="BL122" i="1" s="1"/>
  <c r="BX122" i="1" s="1"/>
  <c r="BK122" i="1"/>
  <c r="BH122" i="1"/>
  <c r="BG122" i="1"/>
  <c r="BF122" i="1"/>
  <c r="BE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I122" i="1"/>
  <c r="C122" i="1"/>
  <c r="B122" i="1"/>
  <c r="DB121" i="1"/>
  <c r="DA121" i="1"/>
  <c r="CZ121" i="1"/>
  <c r="CY121" i="1"/>
  <c r="CL121" i="1" a="1"/>
  <c r="CL121" i="1" s="1"/>
  <c r="CX121" i="1" s="1"/>
  <c r="BY121" i="1" a="1"/>
  <c r="BY121" i="1" s="1"/>
  <c r="CK121" i="1" s="1"/>
  <c r="BL121" i="1" a="1"/>
  <c r="BL121" i="1" s="1"/>
  <c r="BX121" i="1" s="1"/>
  <c r="BK121" i="1"/>
  <c r="BH121" i="1"/>
  <c r="BG121" i="1"/>
  <c r="BF121" i="1"/>
  <c r="BE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I121" i="1"/>
  <c r="C121" i="1"/>
  <c r="B121" i="1"/>
  <c r="DB120" i="1"/>
  <c r="DA120" i="1"/>
  <c r="CZ120" i="1"/>
  <c r="CY120" i="1"/>
  <c r="CL120" i="1" a="1"/>
  <c r="CL120" i="1" s="1"/>
  <c r="CX120" i="1" s="1"/>
  <c r="BY120" i="1" a="1"/>
  <c r="BY120" i="1" s="1"/>
  <c r="CK120" i="1" s="1"/>
  <c r="BL120" i="1" a="1"/>
  <c r="BL120" i="1" s="1"/>
  <c r="BX120" i="1" s="1"/>
  <c r="BK120" i="1"/>
  <c r="BH120" i="1"/>
  <c r="BG120" i="1"/>
  <c r="BF120" i="1"/>
  <c r="BE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I120" i="1"/>
  <c r="C120" i="1"/>
  <c r="B120" i="1"/>
  <c r="DB119" i="1"/>
  <c r="DA119" i="1"/>
  <c r="CZ119" i="1"/>
  <c r="CY119" i="1"/>
  <c r="CL119" i="1" a="1"/>
  <c r="CL119" i="1" s="1"/>
  <c r="CX119" i="1" s="1"/>
  <c r="BY119" i="1" a="1"/>
  <c r="BY119" i="1" s="1"/>
  <c r="CK119" i="1" s="1"/>
  <c r="BL119" i="1" a="1"/>
  <c r="BL119" i="1" s="1"/>
  <c r="BX119" i="1" s="1"/>
  <c r="BK119" i="1"/>
  <c r="BH119" i="1"/>
  <c r="BG119" i="1"/>
  <c r="BF119" i="1"/>
  <c r="BE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I119" i="1"/>
  <c r="C119" i="1"/>
  <c r="B119" i="1"/>
  <c r="DB118" i="1"/>
  <c r="DA118" i="1"/>
  <c r="CZ118" i="1"/>
  <c r="CY118" i="1"/>
  <c r="CL118" i="1" a="1"/>
  <c r="CL118" i="1" s="1"/>
  <c r="CX118" i="1" s="1"/>
  <c r="BY118" i="1" a="1"/>
  <c r="BY118" i="1" s="1"/>
  <c r="CK118" i="1" s="1"/>
  <c r="BL118" i="1" a="1"/>
  <c r="BL118" i="1" s="1"/>
  <c r="BX118" i="1" s="1"/>
  <c r="BK118" i="1"/>
  <c r="BH118" i="1"/>
  <c r="BG118" i="1"/>
  <c r="BF118" i="1"/>
  <c r="BE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I118" i="1"/>
  <c r="C118" i="1"/>
  <c r="B118" i="1"/>
  <c r="DB117" i="1"/>
  <c r="DA117" i="1"/>
  <c r="CZ117" i="1"/>
  <c r="CY117" i="1"/>
  <c r="CL117" i="1" a="1"/>
  <c r="CL117" i="1" s="1"/>
  <c r="CX117" i="1" s="1"/>
  <c r="BY117" i="1" a="1"/>
  <c r="BY117" i="1" s="1"/>
  <c r="CK117" i="1" s="1"/>
  <c r="BL117" i="1" a="1"/>
  <c r="BL117" i="1" s="1"/>
  <c r="BX117" i="1" s="1"/>
  <c r="BK117" i="1"/>
  <c r="BH117" i="1"/>
  <c r="BG117" i="1"/>
  <c r="BF117" i="1"/>
  <c r="BE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I117" i="1"/>
  <c r="C117" i="1"/>
  <c r="B117" i="1"/>
  <c r="DB116" i="1"/>
  <c r="DA116" i="1"/>
  <c r="CZ116" i="1"/>
  <c r="CY116" i="1"/>
  <c r="CL116" i="1" a="1"/>
  <c r="CL116" i="1" s="1"/>
  <c r="CX116" i="1" s="1"/>
  <c r="BY116" i="1" a="1"/>
  <c r="BY116" i="1" s="1"/>
  <c r="CK116" i="1" s="1"/>
  <c r="BL116" i="1" a="1"/>
  <c r="BL116" i="1" s="1"/>
  <c r="BX116" i="1" s="1"/>
  <c r="BK116" i="1"/>
  <c r="BH116" i="1"/>
  <c r="BG116" i="1"/>
  <c r="BF116" i="1"/>
  <c r="BE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I116" i="1"/>
  <c r="C116" i="1"/>
  <c r="B116" i="1"/>
  <c r="DB115" i="1"/>
  <c r="DA115" i="1"/>
  <c r="CZ115" i="1"/>
  <c r="CY115" i="1"/>
  <c r="CL115" i="1" a="1"/>
  <c r="CL115" i="1" s="1"/>
  <c r="CX115" i="1" s="1"/>
  <c r="BY115" i="1" a="1"/>
  <c r="BY115" i="1" s="1"/>
  <c r="CK115" i="1" s="1"/>
  <c r="BL115" i="1" a="1"/>
  <c r="BL115" i="1" s="1"/>
  <c r="BX115" i="1" s="1"/>
  <c r="BK115" i="1"/>
  <c r="BH115" i="1"/>
  <c r="BG115" i="1"/>
  <c r="BF115" i="1"/>
  <c r="BE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I115" i="1"/>
  <c r="C115" i="1"/>
  <c r="B115" i="1"/>
  <c r="DB114" i="1"/>
  <c r="DA114" i="1"/>
  <c r="CZ114" i="1"/>
  <c r="CY114" i="1"/>
  <c r="CL114" i="1" a="1"/>
  <c r="CL114" i="1" s="1"/>
  <c r="CX114" i="1" s="1"/>
  <c r="BY114" i="1" a="1"/>
  <c r="BY114" i="1" s="1"/>
  <c r="CK114" i="1" s="1"/>
  <c r="BL114" i="1" a="1"/>
  <c r="BL114" i="1" s="1"/>
  <c r="BX114" i="1" s="1"/>
  <c r="BK114" i="1"/>
  <c r="BH114" i="1"/>
  <c r="BG114" i="1"/>
  <c r="BF114" i="1"/>
  <c r="BE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I114" i="1"/>
  <c r="C114" i="1"/>
  <c r="B114" i="1"/>
  <c r="DB113" i="1"/>
  <c r="DA113" i="1"/>
  <c r="CZ113" i="1"/>
  <c r="CY113" i="1"/>
  <c r="CL113" i="1" a="1"/>
  <c r="CL113" i="1" s="1"/>
  <c r="CX113" i="1" s="1"/>
  <c r="BY113" i="1" a="1"/>
  <c r="BY113" i="1" s="1"/>
  <c r="CK113" i="1" s="1"/>
  <c r="BL113" i="1" a="1"/>
  <c r="BL113" i="1" s="1"/>
  <c r="BX113" i="1" s="1"/>
  <c r="BK113" i="1"/>
  <c r="BH113" i="1"/>
  <c r="BG113" i="1"/>
  <c r="BF113" i="1"/>
  <c r="BE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I113" i="1"/>
  <c r="C113" i="1"/>
  <c r="B113" i="1"/>
  <c r="DB112" i="1"/>
  <c r="DA112" i="1"/>
  <c r="CZ112" i="1"/>
  <c r="CY112" i="1"/>
  <c r="CL112" i="1" a="1"/>
  <c r="CL112" i="1" s="1"/>
  <c r="CX112" i="1" s="1"/>
  <c r="BY112" i="1" a="1"/>
  <c r="BY112" i="1" s="1"/>
  <c r="CK112" i="1" s="1"/>
  <c r="BL112" i="1" a="1"/>
  <c r="BL112" i="1" s="1"/>
  <c r="BX112" i="1" s="1"/>
  <c r="BK112" i="1"/>
  <c r="BH112" i="1"/>
  <c r="BG112" i="1"/>
  <c r="BF112" i="1"/>
  <c r="BE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I112" i="1"/>
  <c r="C112" i="1"/>
  <c r="B112" i="1"/>
  <c r="DB111" i="1"/>
  <c r="DA111" i="1"/>
  <c r="CZ111" i="1"/>
  <c r="CY111" i="1"/>
  <c r="CL111" i="1" a="1"/>
  <c r="CL111" i="1" s="1"/>
  <c r="CX111" i="1" s="1"/>
  <c r="BY111" i="1" a="1"/>
  <c r="BY111" i="1" s="1"/>
  <c r="CK111" i="1" s="1"/>
  <c r="BL111" i="1" a="1"/>
  <c r="BL111" i="1" s="1"/>
  <c r="BX111" i="1" s="1"/>
  <c r="BK111" i="1"/>
  <c r="BH111" i="1"/>
  <c r="BG111" i="1"/>
  <c r="BF111" i="1"/>
  <c r="BE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I111" i="1"/>
  <c r="C111" i="1"/>
  <c r="B111" i="1"/>
  <c r="DB110" i="1"/>
  <c r="DA110" i="1"/>
  <c r="CZ110" i="1"/>
  <c r="CY110" i="1"/>
  <c r="CL110" i="1" a="1"/>
  <c r="CL110" i="1" s="1"/>
  <c r="CX110" i="1" s="1"/>
  <c r="BY110" i="1"/>
  <c r="CK110" i="1" s="1"/>
  <c r="BY110" i="1" a="1"/>
  <c r="BL110" i="1" a="1"/>
  <c r="BL110" i="1" s="1"/>
  <c r="BX110" i="1" s="1"/>
  <c r="BK110" i="1"/>
  <c r="BH110" i="1"/>
  <c r="BG110" i="1"/>
  <c r="BF110" i="1"/>
  <c r="BE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I110" i="1"/>
  <c r="C110" i="1"/>
  <c r="B110" i="1"/>
  <c r="DB109" i="1"/>
  <c r="DA109" i="1"/>
  <c r="CZ109" i="1"/>
  <c r="CY109" i="1"/>
  <c r="CL109" i="1" a="1"/>
  <c r="CL109" i="1" s="1"/>
  <c r="CX109" i="1" s="1"/>
  <c r="BY109" i="1" a="1"/>
  <c r="BY109" i="1" s="1"/>
  <c r="CK109" i="1" s="1"/>
  <c r="BL109" i="1" a="1"/>
  <c r="BL109" i="1" s="1"/>
  <c r="BX109" i="1" s="1"/>
  <c r="BK109" i="1"/>
  <c r="BH109" i="1"/>
  <c r="BG109" i="1"/>
  <c r="BF109" i="1"/>
  <c r="BE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I109" i="1"/>
  <c r="C109" i="1"/>
  <c r="B109" i="1"/>
  <c r="DB108" i="1"/>
  <c r="DA108" i="1"/>
  <c r="CZ108" i="1"/>
  <c r="CY108" i="1"/>
  <c r="CL108" i="1" a="1"/>
  <c r="CL108" i="1" s="1"/>
  <c r="CX108" i="1" s="1"/>
  <c r="BY108" i="1" a="1"/>
  <c r="BY108" i="1" s="1"/>
  <c r="CK108" i="1" s="1"/>
  <c r="BL108" i="1" a="1"/>
  <c r="BL108" i="1" s="1"/>
  <c r="BX108" i="1" s="1"/>
  <c r="BK108" i="1"/>
  <c r="BH108" i="1"/>
  <c r="BG108" i="1"/>
  <c r="BF108" i="1"/>
  <c r="BE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I108" i="1"/>
  <c r="C108" i="1"/>
  <c r="B108" i="1"/>
  <c r="DB107" i="1"/>
  <c r="DA107" i="1"/>
  <c r="CZ107" i="1"/>
  <c r="CY107" i="1"/>
  <c r="CL107" i="1" a="1"/>
  <c r="CL107" i="1" s="1"/>
  <c r="CX107" i="1" s="1"/>
  <c r="BY107" i="1" a="1"/>
  <c r="BY107" i="1" s="1"/>
  <c r="CK107" i="1" s="1"/>
  <c r="BL107" i="1" a="1"/>
  <c r="BL107" i="1" s="1"/>
  <c r="BX107" i="1" s="1"/>
  <c r="BK107" i="1"/>
  <c r="BH107" i="1"/>
  <c r="BG107" i="1"/>
  <c r="BF107" i="1"/>
  <c r="BE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I107" i="1"/>
  <c r="C107" i="1"/>
  <c r="B107" i="1"/>
  <c r="DB106" i="1"/>
  <c r="DA106" i="1"/>
  <c r="CZ106" i="1"/>
  <c r="CY106" i="1"/>
  <c r="CL106" i="1" a="1"/>
  <c r="CL106" i="1" s="1"/>
  <c r="CX106" i="1" s="1"/>
  <c r="BY106" i="1" a="1"/>
  <c r="BY106" i="1" s="1"/>
  <c r="CK106" i="1" s="1"/>
  <c r="BL106" i="1" a="1"/>
  <c r="BL106" i="1" s="1"/>
  <c r="BX106" i="1" s="1"/>
  <c r="BK106" i="1"/>
  <c r="BH106" i="1"/>
  <c r="BG106" i="1"/>
  <c r="BF106" i="1"/>
  <c r="BE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I106" i="1"/>
  <c r="C106" i="1"/>
  <c r="B106" i="1"/>
  <c r="DB105" i="1"/>
  <c r="DA105" i="1"/>
  <c r="CZ105" i="1"/>
  <c r="CY105" i="1"/>
  <c r="CL105" i="1" a="1"/>
  <c r="CL105" i="1" s="1"/>
  <c r="CX105" i="1" s="1"/>
  <c r="BY105" i="1" a="1"/>
  <c r="BY105" i="1" s="1"/>
  <c r="CK105" i="1" s="1"/>
  <c r="BL105" i="1" a="1"/>
  <c r="BL105" i="1" s="1"/>
  <c r="BX105" i="1" s="1"/>
  <c r="BK105" i="1"/>
  <c r="BH105" i="1"/>
  <c r="BG105" i="1"/>
  <c r="BF105" i="1"/>
  <c r="BE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I105" i="1"/>
  <c r="C105" i="1"/>
  <c r="B105" i="1"/>
  <c r="DB104" i="1"/>
  <c r="DA104" i="1"/>
  <c r="CZ104" i="1"/>
  <c r="CY104" i="1"/>
  <c r="CL104" i="1" a="1"/>
  <c r="CL104" i="1" s="1"/>
  <c r="CX104" i="1" s="1"/>
  <c r="BY104" i="1" a="1"/>
  <c r="BY104" i="1" s="1"/>
  <c r="CK104" i="1" s="1"/>
  <c r="BL104" i="1" a="1"/>
  <c r="BL104" i="1" s="1"/>
  <c r="BX104" i="1" s="1"/>
  <c r="BK104" i="1"/>
  <c r="BH104" i="1"/>
  <c r="BG104" i="1"/>
  <c r="BF104" i="1"/>
  <c r="BE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I104" i="1"/>
  <c r="C104" i="1"/>
  <c r="B104" i="1"/>
  <c r="DB103" i="1"/>
  <c r="DA103" i="1"/>
  <c r="CZ103" i="1"/>
  <c r="CY103" i="1"/>
  <c r="CL103" i="1" a="1"/>
  <c r="CL103" i="1" s="1"/>
  <c r="CX103" i="1" s="1"/>
  <c r="BY103" i="1" a="1"/>
  <c r="BY103" i="1" s="1"/>
  <c r="CK103" i="1" s="1"/>
  <c r="BL103" i="1" a="1"/>
  <c r="BL103" i="1" s="1"/>
  <c r="BX103" i="1" s="1"/>
  <c r="BK103" i="1"/>
  <c r="BH103" i="1"/>
  <c r="BG103" i="1"/>
  <c r="BF103" i="1"/>
  <c r="BE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I103" i="1"/>
  <c r="C103" i="1"/>
  <c r="B103" i="1"/>
  <c r="DB102" i="1"/>
  <c r="DA102" i="1"/>
  <c r="CZ102" i="1"/>
  <c r="CY102" i="1"/>
  <c r="CL102" i="1" a="1"/>
  <c r="CL102" i="1" s="1"/>
  <c r="CX102" i="1" s="1"/>
  <c r="BY102" i="1" a="1"/>
  <c r="BY102" i="1" s="1"/>
  <c r="CK102" i="1" s="1"/>
  <c r="BL102" i="1" a="1"/>
  <c r="BL102" i="1" s="1"/>
  <c r="BX102" i="1" s="1"/>
  <c r="BK102" i="1"/>
  <c r="BH102" i="1"/>
  <c r="BG102" i="1"/>
  <c r="BF102" i="1"/>
  <c r="BI102" i="1" s="1"/>
  <c r="BE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I102" i="1"/>
  <c r="C102" i="1"/>
  <c r="B102" i="1"/>
  <c r="DB101" i="1"/>
  <c r="DA101" i="1"/>
  <c r="CZ101" i="1"/>
  <c r="CY101" i="1"/>
  <c r="CL101" i="1" a="1"/>
  <c r="CL101" i="1" s="1"/>
  <c r="CX101" i="1" s="1"/>
  <c r="BY101" i="1" a="1"/>
  <c r="BY101" i="1" s="1"/>
  <c r="CK101" i="1" s="1"/>
  <c r="BL101" i="1" a="1"/>
  <c r="BL101" i="1" s="1"/>
  <c r="BX101" i="1" s="1"/>
  <c r="BK101" i="1"/>
  <c r="BH101" i="1"/>
  <c r="BG101" i="1"/>
  <c r="BF101" i="1"/>
  <c r="BE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I101" i="1"/>
  <c r="C101" i="1"/>
  <c r="B101" i="1"/>
  <c r="DB100" i="1"/>
  <c r="DA100" i="1"/>
  <c r="CZ100" i="1"/>
  <c r="CY100" i="1"/>
  <c r="CL100" i="1" a="1"/>
  <c r="CL100" i="1" s="1"/>
  <c r="CX100" i="1" s="1"/>
  <c r="BY100" i="1" a="1"/>
  <c r="BY100" i="1" s="1"/>
  <c r="CK100" i="1" s="1"/>
  <c r="BL100" i="1" a="1"/>
  <c r="BL100" i="1" s="1"/>
  <c r="BX100" i="1" s="1"/>
  <c r="BK100" i="1"/>
  <c r="BH100" i="1"/>
  <c r="BG100" i="1"/>
  <c r="BF100" i="1"/>
  <c r="BE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I100" i="1"/>
  <c r="C100" i="1"/>
  <c r="B100" i="1"/>
  <c r="DB99" i="1"/>
  <c r="DA99" i="1"/>
  <c r="CZ99" i="1"/>
  <c r="CY99" i="1"/>
  <c r="CL99" i="1" a="1"/>
  <c r="CL99" i="1" s="1"/>
  <c r="CX99" i="1" s="1"/>
  <c r="BY99" i="1" a="1"/>
  <c r="BY99" i="1" s="1"/>
  <c r="CK99" i="1" s="1"/>
  <c r="BL99" i="1" a="1"/>
  <c r="BL99" i="1" s="1"/>
  <c r="BX99" i="1" s="1"/>
  <c r="BK99" i="1"/>
  <c r="BH99" i="1"/>
  <c r="BG99" i="1"/>
  <c r="BF99" i="1"/>
  <c r="BE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I99" i="1"/>
  <c r="C99" i="1"/>
  <c r="B99" i="1"/>
  <c r="DB98" i="1"/>
  <c r="DA98" i="1"/>
  <c r="CZ98" i="1"/>
  <c r="CY98" i="1"/>
  <c r="CL98" i="1" a="1"/>
  <c r="CL98" i="1" s="1"/>
  <c r="CX98" i="1" s="1"/>
  <c r="BY98" i="1" a="1"/>
  <c r="BY98" i="1" s="1"/>
  <c r="CK98" i="1" s="1"/>
  <c r="BL98" i="1" a="1"/>
  <c r="BL98" i="1" s="1"/>
  <c r="BX98" i="1" s="1"/>
  <c r="BK98" i="1"/>
  <c r="BH98" i="1"/>
  <c r="BG98" i="1"/>
  <c r="BF98" i="1"/>
  <c r="BE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I98" i="1"/>
  <c r="C98" i="1"/>
  <c r="B98" i="1"/>
  <c r="DB97" i="1"/>
  <c r="DA97" i="1"/>
  <c r="CZ97" i="1"/>
  <c r="CY97" i="1"/>
  <c r="CL97" i="1" a="1"/>
  <c r="CL97" i="1" s="1"/>
  <c r="CX97" i="1" s="1"/>
  <c r="BY97" i="1" a="1"/>
  <c r="BY97" i="1" s="1"/>
  <c r="CK97" i="1" s="1"/>
  <c r="BL97" i="1" a="1"/>
  <c r="BL97" i="1" s="1"/>
  <c r="BX97" i="1" s="1"/>
  <c r="BK97" i="1"/>
  <c r="BH97" i="1"/>
  <c r="BG97" i="1"/>
  <c r="BF97" i="1"/>
  <c r="BE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I97" i="1"/>
  <c r="C97" i="1"/>
  <c r="B97" i="1"/>
  <c r="DB96" i="1"/>
  <c r="DA96" i="1"/>
  <c r="CZ96" i="1"/>
  <c r="CY96" i="1"/>
  <c r="CL96" i="1" a="1"/>
  <c r="CL96" i="1" s="1"/>
  <c r="CX96" i="1" s="1"/>
  <c r="BY96" i="1" a="1"/>
  <c r="BY96" i="1" s="1"/>
  <c r="CK96" i="1" s="1"/>
  <c r="BL96" i="1" a="1"/>
  <c r="BL96" i="1" s="1"/>
  <c r="BX96" i="1" s="1"/>
  <c r="BK96" i="1"/>
  <c r="BH96" i="1"/>
  <c r="BG96" i="1"/>
  <c r="BF96" i="1"/>
  <c r="BE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I96" i="1"/>
  <c r="C96" i="1"/>
  <c r="B96" i="1"/>
  <c r="F96" i="1" s="1"/>
  <c r="DB95" i="1"/>
  <c r="DA95" i="1"/>
  <c r="CZ95" i="1"/>
  <c r="CY95" i="1"/>
  <c r="CL95" i="1" a="1"/>
  <c r="CL95" i="1" s="1"/>
  <c r="CX95" i="1" s="1"/>
  <c r="BY95" i="1" a="1"/>
  <c r="BY95" i="1" s="1"/>
  <c r="CK95" i="1" s="1"/>
  <c r="BL95" i="1" a="1"/>
  <c r="BL95" i="1" s="1"/>
  <c r="BX95" i="1" s="1"/>
  <c r="BK95" i="1"/>
  <c r="BH95" i="1"/>
  <c r="BG95" i="1"/>
  <c r="BF95" i="1"/>
  <c r="BE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I95" i="1"/>
  <c r="C95" i="1"/>
  <c r="B95" i="1"/>
  <c r="DB94" i="1"/>
  <c r="DA94" i="1"/>
  <c r="CZ94" i="1"/>
  <c r="CY94" i="1"/>
  <c r="CL94" i="1" a="1"/>
  <c r="CL94" i="1" s="1"/>
  <c r="CX94" i="1" s="1"/>
  <c r="BY94" i="1" a="1"/>
  <c r="BY94" i="1" s="1"/>
  <c r="CK94" i="1" s="1"/>
  <c r="BL94" i="1" a="1"/>
  <c r="BL94" i="1" s="1"/>
  <c r="BX94" i="1" s="1"/>
  <c r="BK94" i="1"/>
  <c r="BH94" i="1"/>
  <c r="BG94" i="1"/>
  <c r="BF94" i="1"/>
  <c r="BE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I94" i="1"/>
  <c r="C94" i="1"/>
  <c r="B94" i="1"/>
  <c r="DB93" i="1"/>
  <c r="DA93" i="1"/>
  <c r="CZ93" i="1"/>
  <c r="CY93" i="1"/>
  <c r="CL93" i="1" a="1"/>
  <c r="CL93" i="1" s="1"/>
  <c r="CX93" i="1" s="1"/>
  <c r="BY93" i="1" a="1"/>
  <c r="BY93" i="1" s="1"/>
  <c r="CK93" i="1" s="1"/>
  <c r="BL93" i="1" a="1"/>
  <c r="BL93" i="1" s="1"/>
  <c r="BX93" i="1" s="1"/>
  <c r="BK93" i="1"/>
  <c r="BH93" i="1"/>
  <c r="BG93" i="1"/>
  <c r="BF93" i="1"/>
  <c r="BE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I93" i="1"/>
  <c r="C93" i="1"/>
  <c r="B93" i="1"/>
  <c r="DB92" i="1"/>
  <c r="DA92" i="1"/>
  <c r="CZ92" i="1"/>
  <c r="CY92" i="1"/>
  <c r="CL92" i="1" a="1"/>
  <c r="CL92" i="1" s="1"/>
  <c r="CX92" i="1" s="1"/>
  <c r="BY92" i="1" a="1"/>
  <c r="BY92" i="1" s="1"/>
  <c r="CK92" i="1" s="1"/>
  <c r="BL92" i="1" a="1"/>
  <c r="BL92" i="1" s="1"/>
  <c r="BX92" i="1" s="1"/>
  <c r="BK92" i="1"/>
  <c r="BH92" i="1"/>
  <c r="BG92" i="1"/>
  <c r="BF92" i="1"/>
  <c r="BE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I92" i="1"/>
  <c r="C92" i="1"/>
  <c r="B92" i="1"/>
  <c r="DB91" i="1"/>
  <c r="DA91" i="1"/>
  <c r="CZ91" i="1"/>
  <c r="CY91" i="1"/>
  <c r="CL91" i="1" a="1"/>
  <c r="CL91" i="1" s="1"/>
  <c r="CX91" i="1" s="1"/>
  <c r="BY91" i="1" a="1"/>
  <c r="BY91" i="1" s="1"/>
  <c r="CK91" i="1" s="1"/>
  <c r="BL91" i="1" a="1"/>
  <c r="BL91" i="1" s="1"/>
  <c r="BX91" i="1" s="1"/>
  <c r="BK91" i="1"/>
  <c r="BH91" i="1"/>
  <c r="BG91" i="1"/>
  <c r="BF91" i="1"/>
  <c r="BE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I91" i="1"/>
  <c r="C91" i="1"/>
  <c r="B91" i="1"/>
  <c r="DB90" i="1"/>
  <c r="DA90" i="1"/>
  <c r="CZ90" i="1"/>
  <c r="CY90" i="1"/>
  <c r="CL90" i="1" a="1"/>
  <c r="CL90" i="1" s="1"/>
  <c r="CX90" i="1" s="1"/>
  <c r="BY90" i="1" a="1"/>
  <c r="BY90" i="1" s="1"/>
  <c r="CK90" i="1" s="1"/>
  <c r="BL90" i="1" a="1"/>
  <c r="BL90" i="1" s="1"/>
  <c r="BX90" i="1" s="1"/>
  <c r="BK90" i="1"/>
  <c r="BH90" i="1"/>
  <c r="BG90" i="1"/>
  <c r="BF90" i="1"/>
  <c r="BE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I90" i="1"/>
  <c r="C90" i="1"/>
  <c r="B90" i="1"/>
  <c r="DB89" i="1"/>
  <c r="DA89" i="1"/>
  <c r="CZ89" i="1"/>
  <c r="CY89" i="1"/>
  <c r="CL89" i="1" a="1"/>
  <c r="CL89" i="1" s="1"/>
  <c r="CX89" i="1" s="1"/>
  <c r="BY89" i="1" a="1"/>
  <c r="BY89" i="1" s="1"/>
  <c r="CK89" i="1" s="1"/>
  <c r="BL89" i="1" a="1"/>
  <c r="BL89" i="1" s="1"/>
  <c r="BX89" i="1" s="1"/>
  <c r="BK89" i="1"/>
  <c r="BH89" i="1"/>
  <c r="BG89" i="1"/>
  <c r="BF89" i="1"/>
  <c r="BE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I89" i="1"/>
  <c r="C89" i="1"/>
  <c r="B89" i="1"/>
  <c r="DB88" i="1"/>
  <c r="DA88" i="1"/>
  <c r="CZ88" i="1"/>
  <c r="CY88" i="1"/>
  <c r="CL88" i="1" a="1"/>
  <c r="CL88" i="1" s="1"/>
  <c r="CX88" i="1" s="1"/>
  <c r="BY88" i="1" a="1"/>
  <c r="BY88" i="1" s="1"/>
  <c r="CK88" i="1" s="1"/>
  <c r="BL88" i="1" a="1"/>
  <c r="BL88" i="1" s="1"/>
  <c r="BX88" i="1" s="1"/>
  <c r="BK88" i="1"/>
  <c r="BH88" i="1"/>
  <c r="BG88" i="1"/>
  <c r="BF88" i="1"/>
  <c r="BE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I88" i="1"/>
  <c r="C88" i="1"/>
  <c r="B88" i="1"/>
  <c r="DB87" i="1"/>
  <c r="DA87" i="1"/>
  <c r="CZ87" i="1"/>
  <c r="CY87" i="1"/>
  <c r="CL87" i="1" a="1"/>
  <c r="CL87" i="1" s="1"/>
  <c r="CX87" i="1" s="1"/>
  <c r="BY87" i="1" a="1"/>
  <c r="BY87" i="1" s="1"/>
  <c r="CK87" i="1" s="1"/>
  <c r="BL87" i="1" a="1"/>
  <c r="BL87" i="1" s="1"/>
  <c r="BX87" i="1" s="1"/>
  <c r="BK87" i="1"/>
  <c r="BH87" i="1"/>
  <c r="BG87" i="1"/>
  <c r="BF87" i="1"/>
  <c r="BE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I87" i="1"/>
  <c r="C87" i="1"/>
  <c r="B87" i="1"/>
  <c r="DB86" i="1"/>
  <c r="DA86" i="1"/>
  <c r="CZ86" i="1"/>
  <c r="CY86" i="1"/>
  <c r="CL86" i="1" a="1"/>
  <c r="CL86" i="1" s="1"/>
  <c r="CX86" i="1" s="1"/>
  <c r="BY86" i="1" a="1"/>
  <c r="BY86" i="1" s="1"/>
  <c r="CK86" i="1" s="1"/>
  <c r="BL86" i="1" a="1"/>
  <c r="BL86" i="1" s="1"/>
  <c r="BX86" i="1" s="1"/>
  <c r="BK86" i="1"/>
  <c r="BH86" i="1"/>
  <c r="BG86" i="1"/>
  <c r="BF86" i="1"/>
  <c r="BE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I86" i="1"/>
  <c r="C86" i="1"/>
  <c r="B86" i="1"/>
  <c r="DB85" i="1"/>
  <c r="DA85" i="1"/>
  <c r="CZ85" i="1"/>
  <c r="CY85" i="1"/>
  <c r="CL85" i="1" a="1"/>
  <c r="CL85" i="1" s="1"/>
  <c r="CX85" i="1" s="1"/>
  <c r="BY85" i="1" a="1"/>
  <c r="BY85" i="1" s="1"/>
  <c r="CK85" i="1" s="1"/>
  <c r="BL85" i="1" a="1"/>
  <c r="BL85" i="1" s="1"/>
  <c r="BX85" i="1" s="1"/>
  <c r="BK85" i="1"/>
  <c r="BH85" i="1"/>
  <c r="BG85" i="1"/>
  <c r="BF85" i="1"/>
  <c r="BE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I85" i="1"/>
  <c r="C85" i="1"/>
  <c r="B85" i="1"/>
  <c r="DB84" i="1"/>
  <c r="DA84" i="1"/>
  <c r="CZ84" i="1"/>
  <c r="CY84" i="1"/>
  <c r="CL84" i="1" a="1"/>
  <c r="CL84" i="1" s="1"/>
  <c r="CX84" i="1" s="1"/>
  <c r="BY84" i="1" a="1"/>
  <c r="BY84" i="1" s="1"/>
  <c r="CK84" i="1" s="1"/>
  <c r="BL84" i="1" a="1"/>
  <c r="BL84" i="1" s="1"/>
  <c r="BX84" i="1" s="1"/>
  <c r="BK84" i="1"/>
  <c r="BH84" i="1"/>
  <c r="BG84" i="1"/>
  <c r="BF84" i="1"/>
  <c r="BE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I84" i="1"/>
  <c r="C84" i="1"/>
  <c r="B84" i="1"/>
  <c r="DB83" i="1"/>
  <c r="DA83" i="1"/>
  <c r="CZ83" i="1"/>
  <c r="CY83" i="1"/>
  <c r="CL83" i="1" a="1"/>
  <c r="CL83" i="1" s="1"/>
  <c r="CX83" i="1" s="1"/>
  <c r="BY83" i="1" a="1"/>
  <c r="BY83" i="1" s="1"/>
  <c r="CK83" i="1" s="1"/>
  <c r="BL83" i="1" a="1"/>
  <c r="BL83" i="1" s="1"/>
  <c r="BX83" i="1" s="1"/>
  <c r="BK83" i="1"/>
  <c r="BH83" i="1"/>
  <c r="BG83" i="1"/>
  <c r="BF83" i="1"/>
  <c r="BE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I83" i="1"/>
  <c r="C83" i="1"/>
  <c r="B83" i="1"/>
  <c r="DB82" i="1"/>
  <c r="DA82" i="1"/>
  <c r="CZ82" i="1"/>
  <c r="CY82" i="1"/>
  <c r="CL82" i="1" a="1"/>
  <c r="CL82" i="1" s="1"/>
  <c r="CX82" i="1" s="1"/>
  <c r="BY82" i="1" a="1"/>
  <c r="BY82" i="1" s="1"/>
  <c r="CK82" i="1" s="1"/>
  <c r="BL82" i="1" a="1"/>
  <c r="BL82" i="1" s="1"/>
  <c r="BX82" i="1" s="1"/>
  <c r="BK82" i="1"/>
  <c r="BH82" i="1"/>
  <c r="BG82" i="1"/>
  <c r="BF82" i="1"/>
  <c r="BE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I82" i="1"/>
  <c r="C82" i="1"/>
  <c r="B82" i="1"/>
  <c r="DB81" i="1"/>
  <c r="DA81" i="1"/>
  <c r="CZ81" i="1"/>
  <c r="CY81" i="1"/>
  <c r="CL81" i="1" a="1"/>
  <c r="CL81" i="1" s="1"/>
  <c r="CX81" i="1" s="1"/>
  <c r="BY81" i="1" a="1"/>
  <c r="BY81" i="1" s="1"/>
  <c r="CK81" i="1" s="1"/>
  <c r="BL81" i="1" a="1"/>
  <c r="BL81" i="1" s="1"/>
  <c r="BX81" i="1" s="1"/>
  <c r="BK81" i="1"/>
  <c r="BH81" i="1"/>
  <c r="BG81" i="1"/>
  <c r="BF81" i="1"/>
  <c r="BE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I81" i="1"/>
  <c r="C81" i="1"/>
  <c r="B81" i="1"/>
  <c r="DB80" i="1"/>
  <c r="DA80" i="1"/>
  <c r="CZ80" i="1"/>
  <c r="CY80" i="1"/>
  <c r="CL80" i="1" a="1"/>
  <c r="CL80" i="1" s="1"/>
  <c r="CX80" i="1" s="1"/>
  <c r="BY80" i="1" a="1"/>
  <c r="BY80" i="1" s="1"/>
  <c r="CK80" i="1" s="1"/>
  <c r="BL80" i="1" a="1"/>
  <c r="BL80" i="1" s="1"/>
  <c r="BX80" i="1" s="1"/>
  <c r="BK80" i="1"/>
  <c r="BH80" i="1"/>
  <c r="BG80" i="1"/>
  <c r="BF80" i="1"/>
  <c r="BE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I80" i="1"/>
  <c r="C80" i="1"/>
  <c r="B80" i="1"/>
  <c r="DB79" i="1"/>
  <c r="DA79" i="1"/>
  <c r="CZ79" i="1"/>
  <c r="CY79" i="1"/>
  <c r="CL79" i="1" a="1"/>
  <c r="CL79" i="1" s="1"/>
  <c r="CX79" i="1" s="1"/>
  <c r="BY79" i="1" a="1"/>
  <c r="BY79" i="1" s="1"/>
  <c r="CK79" i="1" s="1"/>
  <c r="BL79" i="1" a="1"/>
  <c r="BL79" i="1" s="1"/>
  <c r="BX79" i="1" s="1"/>
  <c r="BK79" i="1"/>
  <c r="BH79" i="1"/>
  <c r="BG79" i="1"/>
  <c r="BF79" i="1"/>
  <c r="BE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I79" i="1"/>
  <c r="C79" i="1"/>
  <c r="B79" i="1"/>
  <c r="DB78" i="1"/>
  <c r="DA78" i="1"/>
  <c r="CZ78" i="1"/>
  <c r="CY78" i="1"/>
  <c r="CL78" i="1" a="1"/>
  <c r="CL78" i="1" s="1"/>
  <c r="CX78" i="1" s="1"/>
  <c r="BY78" i="1" a="1"/>
  <c r="BY78" i="1" s="1"/>
  <c r="CK78" i="1" s="1"/>
  <c r="BL78" i="1" a="1"/>
  <c r="BL78" i="1" s="1"/>
  <c r="BX78" i="1" s="1"/>
  <c r="BK78" i="1"/>
  <c r="BH78" i="1"/>
  <c r="BG78" i="1"/>
  <c r="BF78" i="1"/>
  <c r="BE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I78" i="1"/>
  <c r="C78" i="1"/>
  <c r="B78" i="1"/>
  <c r="DB77" i="1"/>
  <c r="DA77" i="1"/>
  <c r="CZ77" i="1"/>
  <c r="CY77" i="1"/>
  <c r="CL77" i="1" a="1"/>
  <c r="CL77" i="1" s="1"/>
  <c r="CX77" i="1" s="1"/>
  <c r="BY77" i="1" a="1"/>
  <c r="BY77" i="1" s="1"/>
  <c r="CK77" i="1" s="1"/>
  <c r="BL77" i="1" a="1"/>
  <c r="BL77" i="1" s="1"/>
  <c r="BX77" i="1" s="1"/>
  <c r="BK77" i="1"/>
  <c r="BH77" i="1"/>
  <c r="BG77" i="1"/>
  <c r="BF77" i="1"/>
  <c r="BE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I77" i="1"/>
  <c r="C77" i="1"/>
  <c r="B77" i="1"/>
  <c r="DB76" i="1"/>
  <c r="DA76" i="1"/>
  <c r="CZ76" i="1"/>
  <c r="CY76" i="1"/>
  <c r="CL76" i="1" a="1"/>
  <c r="CL76" i="1" s="1"/>
  <c r="CX76" i="1" s="1"/>
  <c r="BY76" i="1" a="1"/>
  <c r="BY76" i="1" s="1"/>
  <c r="CK76" i="1" s="1"/>
  <c r="BL76" i="1" a="1"/>
  <c r="BL76" i="1" s="1"/>
  <c r="BX76" i="1" s="1"/>
  <c r="BK76" i="1"/>
  <c r="BH76" i="1"/>
  <c r="BG76" i="1"/>
  <c r="BF76" i="1"/>
  <c r="BE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I76" i="1"/>
  <c r="C76" i="1"/>
  <c r="B76" i="1"/>
  <c r="DB75" i="1"/>
  <c r="DA75" i="1"/>
  <c r="CZ75" i="1"/>
  <c r="CY75" i="1"/>
  <c r="CL75" i="1" a="1"/>
  <c r="CL75" i="1" s="1"/>
  <c r="CX75" i="1" s="1"/>
  <c r="BY75" i="1" a="1"/>
  <c r="BY75" i="1" s="1"/>
  <c r="CK75" i="1" s="1"/>
  <c r="BL75" i="1" a="1"/>
  <c r="BL75" i="1" s="1"/>
  <c r="BX75" i="1" s="1"/>
  <c r="BK75" i="1"/>
  <c r="BH75" i="1"/>
  <c r="BG75" i="1"/>
  <c r="BF75" i="1"/>
  <c r="BE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I75" i="1"/>
  <c r="C75" i="1"/>
  <c r="B75" i="1"/>
  <c r="DB74" i="1"/>
  <c r="DA74" i="1"/>
  <c r="CZ74" i="1"/>
  <c r="CY74" i="1"/>
  <c r="CL74" i="1" a="1"/>
  <c r="CL74" i="1" s="1"/>
  <c r="CX74" i="1" s="1"/>
  <c r="BY74" i="1" a="1"/>
  <c r="BY74" i="1" s="1"/>
  <c r="CK74" i="1" s="1"/>
  <c r="BL74" i="1" a="1"/>
  <c r="BL74" i="1" s="1"/>
  <c r="BX74" i="1" s="1"/>
  <c r="BK74" i="1"/>
  <c r="BH74" i="1"/>
  <c r="BG74" i="1"/>
  <c r="BF74" i="1"/>
  <c r="BE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I74" i="1"/>
  <c r="C74" i="1"/>
  <c r="B74" i="1"/>
  <c r="DB73" i="1"/>
  <c r="DA73" i="1"/>
  <c r="CZ73" i="1"/>
  <c r="CY73" i="1"/>
  <c r="CL73" i="1" a="1"/>
  <c r="CL73" i="1" s="1"/>
  <c r="CX73" i="1" s="1"/>
  <c r="BY73" i="1" a="1"/>
  <c r="BY73" i="1" s="1"/>
  <c r="CK73" i="1" s="1"/>
  <c r="BL73" i="1" a="1"/>
  <c r="BL73" i="1" s="1"/>
  <c r="BX73" i="1" s="1"/>
  <c r="BK73" i="1"/>
  <c r="BH73" i="1"/>
  <c r="BG73" i="1"/>
  <c r="BF73" i="1"/>
  <c r="BE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I73" i="1"/>
  <c r="C73" i="1"/>
  <c r="B73" i="1"/>
  <c r="DB72" i="1"/>
  <c r="DA72" i="1"/>
  <c r="CZ72" i="1"/>
  <c r="CY72" i="1"/>
  <c r="CL72" i="1" a="1"/>
  <c r="CL72" i="1" s="1"/>
  <c r="CX72" i="1" s="1"/>
  <c r="BY72" i="1" a="1"/>
  <c r="BY72" i="1" s="1"/>
  <c r="CK72" i="1" s="1"/>
  <c r="BL72" i="1" a="1"/>
  <c r="BL72" i="1" s="1"/>
  <c r="BX72" i="1" s="1"/>
  <c r="BK72" i="1"/>
  <c r="BH72" i="1"/>
  <c r="BG72" i="1"/>
  <c r="BF72" i="1"/>
  <c r="BE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I72" i="1"/>
  <c r="C72" i="1"/>
  <c r="B72" i="1"/>
  <c r="DB71" i="1"/>
  <c r="DA71" i="1"/>
  <c r="CZ71" i="1"/>
  <c r="CY71" i="1"/>
  <c r="CL71" i="1" a="1"/>
  <c r="CL71" i="1" s="1"/>
  <c r="CX71" i="1" s="1"/>
  <c r="BY71" i="1" a="1"/>
  <c r="BY71" i="1" s="1"/>
  <c r="CK71" i="1" s="1"/>
  <c r="BL71" i="1" a="1"/>
  <c r="BL71" i="1" s="1"/>
  <c r="BX71" i="1" s="1"/>
  <c r="BK71" i="1"/>
  <c r="BH71" i="1"/>
  <c r="BG71" i="1"/>
  <c r="BF71" i="1"/>
  <c r="BE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I71" i="1"/>
  <c r="C71" i="1"/>
  <c r="B71" i="1"/>
  <c r="DB70" i="1"/>
  <c r="DA70" i="1"/>
  <c r="CZ70" i="1"/>
  <c r="CY70" i="1"/>
  <c r="CL70" i="1" a="1"/>
  <c r="CL70" i="1" s="1"/>
  <c r="CX70" i="1" s="1"/>
  <c r="BY70" i="1" a="1"/>
  <c r="BY70" i="1" s="1"/>
  <c r="CK70" i="1" s="1"/>
  <c r="BL70" i="1" a="1"/>
  <c r="BL70" i="1" s="1"/>
  <c r="BX70" i="1" s="1"/>
  <c r="BK70" i="1"/>
  <c r="BH70" i="1"/>
  <c r="BG70" i="1"/>
  <c r="BF70" i="1"/>
  <c r="BE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I70" i="1"/>
  <c r="C70" i="1"/>
  <c r="B70" i="1"/>
  <c r="DB69" i="1"/>
  <c r="DA69" i="1"/>
  <c r="CZ69" i="1"/>
  <c r="CY69" i="1"/>
  <c r="CL69" i="1" a="1"/>
  <c r="CL69" i="1" s="1"/>
  <c r="CX69" i="1" s="1"/>
  <c r="BY69" i="1" a="1"/>
  <c r="BY69" i="1" s="1"/>
  <c r="CK69" i="1" s="1"/>
  <c r="BL69" i="1" a="1"/>
  <c r="BL69" i="1" s="1"/>
  <c r="BX69" i="1" s="1"/>
  <c r="BK69" i="1"/>
  <c r="BH69" i="1"/>
  <c r="BG69" i="1"/>
  <c r="BF69" i="1"/>
  <c r="BE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I69" i="1"/>
  <c r="C69" i="1"/>
  <c r="B69" i="1"/>
  <c r="DB68" i="1"/>
  <c r="DA68" i="1"/>
  <c r="CZ68" i="1"/>
  <c r="CY68" i="1"/>
  <c r="CL68" i="1" a="1"/>
  <c r="CL68" i="1" s="1"/>
  <c r="CX68" i="1" s="1"/>
  <c r="BY68" i="1" a="1"/>
  <c r="BY68" i="1" s="1"/>
  <c r="CK68" i="1" s="1"/>
  <c r="BL68" i="1" a="1"/>
  <c r="BL68" i="1" s="1"/>
  <c r="BX68" i="1" s="1"/>
  <c r="BK68" i="1"/>
  <c r="BH68" i="1"/>
  <c r="BG68" i="1"/>
  <c r="BF68" i="1"/>
  <c r="BE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I68" i="1"/>
  <c r="C68" i="1"/>
  <c r="B68" i="1"/>
  <c r="DB67" i="1"/>
  <c r="DA67" i="1"/>
  <c r="CZ67" i="1"/>
  <c r="CY67" i="1"/>
  <c r="CL67" i="1" a="1"/>
  <c r="CL67" i="1" s="1"/>
  <c r="CX67" i="1" s="1"/>
  <c r="BY67" i="1" a="1"/>
  <c r="BY67" i="1" s="1"/>
  <c r="CK67" i="1" s="1"/>
  <c r="BL67" i="1" a="1"/>
  <c r="BL67" i="1" s="1"/>
  <c r="BX67" i="1" s="1"/>
  <c r="BK67" i="1"/>
  <c r="BH67" i="1"/>
  <c r="BG67" i="1"/>
  <c r="BF67" i="1"/>
  <c r="BE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I67" i="1"/>
  <c r="C67" i="1"/>
  <c r="B67" i="1"/>
  <c r="DB66" i="1"/>
  <c r="DA66" i="1"/>
  <c r="CZ66" i="1"/>
  <c r="CY66" i="1"/>
  <c r="CL66" i="1" a="1"/>
  <c r="CL66" i="1" s="1"/>
  <c r="CX66" i="1" s="1"/>
  <c r="BY66" i="1" a="1"/>
  <c r="BY66" i="1" s="1"/>
  <c r="CK66" i="1" s="1"/>
  <c r="BL66" i="1" a="1"/>
  <c r="BL66" i="1" s="1"/>
  <c r="BX66" i="1" s="1"/>
  <c r="BK66" i="1"/>
  <c r="BH66" i="1"/>
  <c r="BG66" i="1"/>
  <c r="BF66" i="1"/>
  <c r="BE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I66" i="1"/>
  <c r="C66" i="1"/>
  <c r="B66" i="1"/>
  <c r="DB65" i="1"/>
  <c r="DA65" i="1"/>
  <c r="CZ65" i="1"/>
  <c r="CY65" i="1"/>
  <c r="CL65" i="1" a="1"/>
  <c r="CL65" i="1" s="1"/>
  <c r="CX65" i="1" s="1"/>
  <c r="BY65" i="1" a="1"/>
  <c r="BY65" i="1" s="1"/>
  <c r="CK65" i="1" s="1"/>
  <c r="BL65" i="1" a="1"/>
  <c r="BL65" i="1" s="1"/>
  <c r="BX65" i="1" s="1"/>
  <c r="BK65" i="1"/>
  <c r="BH65" i="1"/>
  <c r="BG65" i="1"/>
  <c r="BF65" i="1"/>
  <c r="BE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I65" i="1"/>
  <c r="C65" i="1"/>
  <c r="B65" i="1"/>
  <c r="DB64" i="1"/>
  <c r="DA64" i="1"/>
  <c r="CZ64" i="1"/>
  <c r="CY64" i="1"/>
  <c r="CL64" i="1" a="1"/>
  <c r="CL64" i="1" s="1"/>
  <c r="CX64" i="1" s="1"/>
  <c r="BY64" i="1" a="1"/>
  <c r="BY64" i="1" s="1"/>
  <c r="CK64" i="1" s="1"/>
  <c r="BL64" i="1" a="1"/>
  <c r="BL64" i="1" s="1"/>
  <c r="BX64" i="1" s="1"/>
  <c r="BK64" i="1"/>
  <c r="BH64" i="1"/>
  <c r="BG64" i="1"/>
  <c r="BF64" i="1"/>
  <c r="BE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I64" i="1"/>
  <c r="C64" i="1"/>
  <c r="B64" i="1"/>
  <c r="DB63" i="1"/>
  <c r="DA63" i="1"/>
  <c r="CZ63" i="1"/>
  <c r="CY63" i="1"/>
  <c r="CL63" i="1" a="1"/>
  <c r="CL63" i="1" s="1"/>
  <c r="CX63" i="1" s="1"/>
  <c r="BY63" i="1" a="1"/>
  <c r="BY63" i="1" s="1"/>
  <c r="CK63" i="1" s="1"/>
  <c r="BL63" i="1" a="1"/>
  <c r="BL63" i="1" s="1"/>
  <c r="BX63" i="1" s="1"/>
  <c r="BK63" i="1"/>
  <c r="BH63" i="1"/>
  <c r="BG63" i="1"/>
  <c r="BF63" i="1"/>
  <c r="BE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I63" i="1"/>
  <c r="C63" i="1"/>
  <c r="B63" i="1"/>
  <c r="DB62" i="1"/>
  <c r="DA62" i="1"/>
  <c r="CZ62" i="1"/>
  <c r="CY62" i="1"/>
  <c r="CL62" i="1" a="1"/>
  <c r="CL62" i="1" s="1"/>
  <c r="CX62" i="1" s="1"/>
  <c r="BY62" i="1" a="1"/>
  <c r="BY62" i="1" s="1"/>
  <c r="CK62" i="1" s="1"/>
  <c r="BL62" i="1" a="1"/>
  <c r="BL62" i="1" s="1"/>
  <c r="BX62" i="1" s="1"/>
  <c r="BK62" i="1"/>
  <c r="BH62" i="1"/>
  <c r="BG62" i="1"/>
  <c r="BF62" i="1"/>
  <c r="BE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I62" i="1"/>
  <c r="C62" i="1"/>
  <c r="B62" i="1"/>
  <c r="DB61" i="1"/>
  <c r="DA61" i="1"/>
  <c r="CZ61" i="1"/>
  <c r="CY61" i="1"/>
  <c r="CL61" i="1" a="1"/>
  <c r="CL61" i="1" s="1"/>
  <c r="CX61" i="1" s="1"/>
  <c r="BY61" i="1" a="1"/>
  <c r="BY61" i="1" s="1"/>
  <c r="CK61" i="1" s="1"/>
  <c r="BL61" i="1" a="1"/>
  <c r="BL61" i="1" s="1"/>
  <c r="BX61" i="1" s="1"/>
  <c r="BK61" i="1"/>
  <c r="BH61" i="1"/>
  <c r="BG61" i="1"/>
  <c r="BF61" i="1"/>
  <c r="BE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I61" i="1"/>
  <c r="C61" i="1"/>
  <c r="B61" i="1"/>
  <c r="DB60" i="1"/>
  <c r="DA60" i="1"/>
  <c r="CZ60" i="1"/>
  <c r="CY60" i="1"/>
  <c r="CL60" i="1" a="1"/>
  <c r="CL60" i="1" s="1"/>
  <c r="CX60" i="1" s="1"/>
  <c r="BY60" i="1" a="1"/>
  <c r="BY60" i="1" s="1"/>
  <c r="CK60" i="1" s="1"/>
  <c r="BL60" i="1" a="1"/>
  <c r="BL60" i="1" s="1"/>
  <c r="BX60" i="1" s="1"/>
  <c r="BK60" i="1"/>
  <c r="BH60" i="1"/>
  <c r="BG60" i="1"/>
  <c r="BF60" i="1"/>
  <c r="BE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I60" i="1"/>
  <c r="C60" i="1"/>
  <c r="B60" i="1"/>
  <c r="DB59" i="1"/>
  <c r="DA59" i="1"/>
  <c r="CZ59" i="1"/>
  <c r="CY59" i="1"/>
  <c r="CL59" i="1" a="1"/>
  <c r="CL59" i="1" s="1"/>
  <c r="CX59" i="1" s="1"/>
  <c r="BY59" i="1" a="1"/>
  <c r="BY59" i="1" s="1"/>
  <c r="CK59" i="1" s="1"/>
  <c r="BL59" i="1" a="1"/>
  <c r="BL59" i="1" s="1"/>
  <c r="BX59" i="1" s="1"/>
  <c r="BK59" i="1"/>
  <c r="BH59" i="1"/>
  <c r="BG59" i="1"/>
  <c r="BF59" i="1"/>
  <c r="BE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I59" i="1"/>
  <c r="C59" i="1"/>
  <c r="B59" i="1"/>
  <c r="DB58" i="1"/>
  <c r="DA58" i="1"/>
  <c r="CZ58" i="1"/>
  <c r="CY58" i="1"/>
  <c r="CL58" i="1" a="1"/>
  <c r="CL58" i="1" s="1"/>
  <c r="CX58" i="1" s="1"/>
  <c r="BY58" i="1" a="1"/>
  <c r="BY58" i="1" s="1"/>
  <c r="CK58" i="1" s="1"/>
  <c r="BL58" i="1" a="1"/>
  <c r="BL58" i="1" s="1"/>
  <c r="BX58" i="1" s="1"/>
  <c r="BK58" i="1"/>
  <c r="BH58" i="1"/>
  <c r="BG58" i="1"/>
  <c r="BF58" i="1"/>
  <c r="BE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I58" i="1"/>
  <c r="C58" i="1"/>
  <c r="B58" i="1"/>
  <c r="DB57" i="1"/>
  <c r="DA57" i="1"/>
  <c r="CZ57" i="1"/>
  <c r="CY57" i="1"/>
  <c r="CL57" i="1" a="1"/>
  <c r="CL57" i="1" s="1"/>
  <c r="CX57" i="1" s="1"/>
  <c r="BY57" i="1" a="1"/>
  <c r="BY57" i="1" s="1"/>
  <c r="CK57" i="1" s="1"/>
  <c r="BL57" i="1" a="1"/>
  <c r="BL57" i="1" s="1"/>
  <c r="BX57" i="1" s="1"/>
  <c r="BK57" i="1"/>
  <c r="BH57" i="1"/>
  <c r="BG57" i="1"/>
  <c r="BF57" i="1"/>
  <c r="BE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I57" i="1"/>
  <c r="C57" i="1"/>
  <c r="B57" i="1"/>
  <c r="DB56" i="1"/>
  <c r="DA56" i="1"/>
  <c r="CZ56" i="1"/>
  <c r="CY56" i="1"/>
  <c r="CL56" i="1" a="1"/>
  <c r="CL56" i="1" s="1"/>
  <c r="CX56" i="1" s="1"/>
  <c r="BY56" i="1" a="1"/>
  <c r="BY56" i="1" s="1"/>
  <c r="CK56" i="1" s="1"/>
  <c r="BL56" i="1" a="1"/>
  <c r="BL56" i="1" s="1"/>
  <c r="BX56" i="1" s="1"/>
  <c r="BK56" i="1"/>
  <c r="BH56" i="1"/>
  <c r="BG56" i="1"/>
  <c r="BF56" i="1"/>
  <c r="BE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I56" i="1"/>
  <c r="C56" i="1"/>
  <c r="B56" i="1"/>
  <c r="F56" i="1" s="1"/>
  <c r="DB55" i="1"/>
  <c r="DA55" i="1"/>
  <c r="CZ55" i="1"/>
  <c r="CY55" i="1"/>
  <c r="CL55" i="1" a="1"/>
  <c r="CL55" i="1" s="1"/>
  <c r="CX55" i="1" s="1"/>
  <c r="BY55" i="1" a="1"/>
  <c r="BY55" i="1" s="1"/>
  <c r="CK55" i="1" s="1"/>
  <c r="BL55" i="1" a="1"/>
  <c r="BL55" i="1" s="1"/>
  <c r="BX55" i="1" s="1"/>
  <c r="BK55" i="1"/>
  <c r="BH55" i="1"/>
  <c r="BG55" i="1"/>
  <c r="BF55" i="1"/>
  <c r="BE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I55" i="1"/>
  <c r="C55" i="1"/>
  <c r="B55" i="1"/>
  <c r="DB54" i="1"/>
  <c r="DA54" i="1"/>
  <c r="CZ54" i="1"/>
  <c r="CY54" i="1"/>
  <c r="CL54" i="1" a="1"/>
  <c r="CL54" i="1" s="1"/>
  <c r="CX54" i="1" s="1"/>
  <c r="BY54" i="1" a="1"/>
  <c r="BY54" i="1" s="1"/>
  <c r="CK54" i="1" s="1"/>
  <c r="BL54" i="1" a="1"/>
  <c r="BL54" i="1" s="1"/>
  <c r="BX54" i="1" s="1"/>
  <c r="BK54" i="1"/>
  <c r="BH54" i="1"/>
  <c r="BG54" i="1"/>
  <c r="BF54" i="1"/>
  <c r="BE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I54" i="1"/>
  <c r="C54" i="1"/>
  <c r="B54" i="1"/>
  <c r="DB53" i="1"/>
  <c r="DA53" i="1"/>
  <c r="CZ53" i="1"/>
  <c r="CY53" i="1"/>
  <c r="CL53" i="1" a="1"/>
  <c r="CL53" i="1" s="1"/>
  <c r="CX53" i="1" s="1"/>
  <c r="BY53" i="1" a="1"/>
  <c r="BY53" i="1" s="1"/>
  <c r="CK53" i="1" s="1"/>
  <c r="BL53" i="1" a="1"/>
  <c r="BL53" i="1" s="1"/>
  <c r="BX53" i="1" s="1"/>
  <c r="BK53" i="1"/>
  <c r="BH53" i="1"/>
  <c r="BG53" i="1"/>
  <c r="BF53" i="1"/>
  <c r="BE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I53" i="1"/>
  <c r="C53" i="1"/>
  <c r="B53" i="1"/>
  <c r="DB52" i="1"/>
  <c r="DA52" i="1"/>
  <c r="CZ52" i="1"/>
  <c r="CY52" i="1"/>
  <c r="CL52" i="1" a="1"/>
  <c r="CL52" i="1" s="1"/>
  <c r="CX52" i="1" s="1"/>
  <c r="BY52" i="1" a="1"/>
  <c r="BY52" i="1" s="1"/>
  <c r="CK52" i="1" s="1"/>
  <c r="BL52" i="1" a="1"/>
  <c r="BL52" i="1" s="1"/>
  <c r="BX52" i="1" s="1"/>
  <c r="BK52" i="1"/>
  <c r="BH52" i="1"/>
  <c r="BG52" i="1"/>
  <c r="BF52" i="1"/>
  <c r="BE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I52" i="1"/>
  <c r="C52" i="1"/>
  <c r="B52" i="1"/>
  <c r="DB51" i="1"/>
  <c r="DA51" i="1"/>
  <c r="CZ51" i="1"/>
  <c r="CY51" i="1"/>
  <c r="CL51" i="1" a="1"/>
  <c r="CL51" i="1" s="1"/>
  <c r="CX51" i="1" s="1"/>
  <c r="BY51" i="1" a="1"/>
  <c r="BY51" i="1" s="1"/>
  <c r="CK51" i="1" s="1"/>
  <c r="BL51" i="1" a="1"/>
  <c r="BL51" i="1" s="1"/>
  <c r="BX51" i="1" s="1"/>
  <c r="BK51" i="1"/>
  <c r="BH51" i="1"/>
  <c r="BG51" i="1"/>
  <c r="BF51" i="1"/>
  <c r="BE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I51" i="1"/>
  <c r="C51" i="1"/>
  <c r="B51" i="1"/>
  <c r="DB50" i="1"/>
  <c r="DA50" i="1"/>
  <c r="CZ50" i="1"/>
  <c r="CY50" i="1"/>
  <c r="CL50" i="1" a="1"/>
  <c r="CL50" i="1" s="1"/>
  <c r="CX50" i="1" s="1"/>
  <c r="BY50" i="1" a="1"/>
  <c r="BY50" i="1" s="1"/>
  <c r="CK50" i="1" s="1"/>
  <c r="BL50" i="1" a="1"/>
  <c r="BL50" i="1" s="1"/>
  <c r="BX50" i="1" s="1"/>
  <c r="BK50" i="1"/>
  <c r="BH50" i="1"/>
  <c r="BG50" i="1"/>
  <c r="BF50" i="1"/>
  <c r="BE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I50" i="1"/>
  <c r="C50" i="1"/>
  <c r="B50" i="1"/>
  <c r="DB49" i="1"/>
  <c r="DA49" i="1"/>
  <c r="CZ49" i="1"/>
  <c r="CY49" i="1"/>
  <c r="CL49" i="1" a="1"/>
  <c r="CL49" i="1" s="1"/>
  <c r="CX49" i="1" s="1"/>
  <c r="BY49" i="1" a="1"/>
  <c r="BY49" i="1" s="1"/>
  <c r="CK49" i="1" s="1"/>
  <c r="BL49" i="1" a="1"/>
  <c r="BL49" i="1" s="1"/>
  <c r="BX49" i="1" s="1"/>
  <c r="BK49" i="1"/>
  <c r="BH49" i="1"/>
  <c r="BG49" i="1"/>
  <c r="BF49" i="1"/>
  <c r="BE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I49" i="1"/>
  <c r="C49" i="1"/>
  <c r="B49" i="1"/>
  <c r="DB48" i="1"/>
  <c r="DA48" i="1"/>
  <c r="CZ48" i="1"/>
  <c r="CY48" i="1"/>
  <c r="CL48" i="1" a="1"/>
  <c r="CL48" i="1" s="1"/>
  <c r="CX48" i="1" s="1"/>
  <c r="BY48" i="1" a="1"/>
  <c r="BY48" i="1" s="1"/>
  <c r="CK48" i="1" s="1"/>
  <c r="BL48" i="1" a="1"/>
  <c r="BL48" i="1" s="1"/>
  <c r="BX48" i="1" s="1"/>
  <c r="BK48" i="1"/>
  <c r="BH48" i="1"/>
  <c r="BG48" i="1"/>
  <c r="BF48" i="1"/>
  <c r="BE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I48" i="1"/>
  <c r="C48" i="1"/>
  <c r="B48" i="1"/>
  <c r="DB47" i="1"/>
  <c r="DA47" i="1"/>
  <c r="CZ47" i="1"/>
  <c r="CY47" i="1"/>
  <c r="CL47" i="1" a="1"/>
  <c r="CL47" i="1" s="1"/>
  <c r="CX47" i="1" s="1"/>
  <c r="BY47" i="1" a="1"/>
  <c r="BY47" i="1" s="1"/>
  <c r="CK47" i="1" s="1"/>
  <c r="BL47" i="1" a="1"/>
  <c r="BL47" i="1" s="1"/>
  <c r="BX47" i="1" s="1"/>
  <c r="BK47" i="1"/>
  <c r="BH47" i="1"/>
  <c r="BG47" i="1"/>
  <c r="BF47" i="1"/>
  <c r="BE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I47" i="1"/>
  <c r="C47" i="1"/>
  <c r="B47" i="1"/>
  <c r="DB46" i="1"/>
  <c r="DA46" i="1"/>
  <c r="CZ46" i="1"/>
  <c r="CY46" i="1"/>
  <c r="CL46" i="1" a="1"/>
  <c r="CL46" i="1" s="1"/>
  <c r="CX46" i="1" s="1"/>
  <c r="BY46" i="1" a="1"/>
  <c r="BY46" i="1" s="1"/>
  <c r="CK46" i="1" s="1"/>
  <c r="BL46" i="1" a="1"/>
  <c r="BL46" i="1" s="1"/>
  <c r="BX46" i="1" s="1"/>
  <c r="BK46" i="1"/>
  <c r="BH46" i="1"/>
  <c r="BG46" i="1"/>
  <c r="BF46" i="1"/>
  <c r="BE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I46" i="1"/>
  <c r="C46" i="1"/>
  <c r="B46" i="1"/>
  <c r="DB45" i="1"/>
  <c r="DA45" i="1"/>
  <c r="CZ45" i="1"/>
  <c r="CY45" i="1"/>
  <c r="CL45" i="1" a="1"/>
  <c r="CL45" i="1" s="1"/>
  <c r="CX45" i="1" s="1"/>
  <c r="BY45" i="1" a="1"/>
  <c r="BY45" i="1" s="1"/>
  <c r="CK45" i="1" s="1"/>
  <c r="BL45" i="1" a="1"/>
  <c r="BL45" i="1" s="1"/>
  <c r="BX45" i="1" s="1"/>
  <c r="BK45" i="1"/>
  <c r="BH45" i="1"/>
  <c r="BG45" i="1"/>
  <c r="BF45" i="1"/>
  <c r="BE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I45" i="1"/>
  <c r="C45" i="1"/>
  <c r="B45" i="1"/>
  <c r="DB44" i="1"/>
  <c r="DA44" i="1"/>
  <c r="CZ44" i="1"/>
  <c r="CY44" i="1"/>
  <c r="CL44" i="1" a="1"/>
  <c r="CL44" i="1" s="1"/>
  <c r="CX44" i="1" s="1"/>
  <c r="BY44" i="1" a="1"/>
  <c r="BY44" i="1" s="1"/>
  <c r="CK44" i="1" s="1"/>
  <c r="BL44" i="1" a="1"/>
  <c r="BL44" i="1" s="1"/>
  <c r="BX44" i="1" s="1"/>
  <c r="BK44" i="1"/>
  <c r="BH44" i="1"/>
  <c r="BG44" i="1"/>
  <c r="BF44" i="1"/>
  <c r="BE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I44" i="1"/>
  <c r="C44" i="1"/>
  <c r="B44" i="1"/>
  <c r="DB43" i="1"/>
  <c r="DA43" i="1"/>
  <c r="CZ43" i="1"/>
  <c r="CY43" i="1"/>
  <c r="CL43" i="1" a="1"/>
  <c r="CL43" i="1" s="1"/>
  <c r="CX43" i="1" s="1"/>
  <c r="BY43" i="1" a="1"/>
  <c r="BY43" i="1" s="1"/>
  <c r="CK43" i="1" s="1"/>
  <c r="BL43" i="1" a="1"/>
  <c r="BL43" i="1" s="1"/>
  <c r="BX43" i="1" s="1"/>
  <c r="BK43" i="1"/>
  <c r="BH43" i="1"/>
  <c r="BG43" i="1"/>
  <c r="BF43" i="1"/>
  <c r="BE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I43" i="1"/>
  <c r="C43" i="1"/>
  <c r="B43" i="1"/>
  <c r="DB42" i="1"/>
  <c r="DA42" i="1"/>
  <c r="CZ42" i="1"/>
  <c r="CY42" i="1"/>
  <c r="CL42" i="1" a="1"/>
  <c r="CL42" i="1" s="1"/>
  <c r="CX42" i="1" s="1"/>
  <c r="BY42" i="1" a="1"/>
  <c r="BY42" i="1" s="1"/>
  <c r="CK42" i="1" s="1"/>
  <c r="BL42" i="1" a="1"/>
  <c r="BL42" i="1" s="1"/>
  <c r="BX42" i="1" s="1"/>
  <c r="BK42" i="1"/>
  <c r="BH42" i="1"/>
  <c r="BG42" i="1"/>
  <c r="BF42" i="1"/>
  <c r="BE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I42" i="1"/>
  <c r="C42" i="1"/>
  <c r="B42" i="1"/>
  <c r="DB41" i="1"/>
  <c r="DA41" i="1"/>
  <c r="CZ41" i="1"/>
  <c r="CY41" i="1"/>
  <c r="CL41" i="1" a="1"/>
  <c r="CL41" i="1" s="1"/>
  <c r="CX41" i="1" s="1"/>
  <c r="BY41" i="1" a="1"/>
  <c r="BY41" i="1" s="1"/>
  <c r="CK41" i="1" s="1"/>
  <c r="BL41" i="1" a="1"/>
  <c r="BL41" i="1" s="1"/>
  <c r="BX41" i="1" s="1"/>
  <c r="BK41" i="1"/>
  <c r="BH41" i="1"/>
  <c r="BG41" i="1"/>
  <c r="BF41" i="1"/>
  <c r="BE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I41" i="1"/>
  <c r="C41" i="1"/>
  <c r="B41" i="1"/>
  <c r="DB40" i="1"/>
  <c r="DA40" i="1"/>
  <c r="CZ40" i="1"/>
  <c r="CY40" i="1"/>
  <c r="CL40" i="1" a="1"/>
  <c r="CL40" i="1" s="1"/>
  <c r="CX40" i="1" s="1"/>
  <c r="BY40" i="1" a="1"/>
  <c r="BY40" i="1" s="1"/>
  <c r="CK40" i="1" s="1"/>
  <c r="BL40" i="1" a="1"/>
  <c r="BL40" i="1" s="1"/>
  <c r="BX40" i="1" s="1"/>
  <c r="BK40" i="1"/>
  <c r="BH40" i="1"/>
  <c r="BG40" i="1"/>
  <c r="BF40" i="1"/>
  <c r="BE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I40" i="1"/>
  <c r="C40" i="1"/>
  <c r="B40" i="1"/>
  <c r="DB39" i="1"/>
  <c r="DA39" i="1"/>
  <c r="CZ39" i="1"/>
  <c r="CY39" i="1"/>
  <c r="CL39" i="1" a="1"/>
  <c r="CL39" i="1" s="1"/>
  <c r="CX39" i="1" s="1"/>
  <c r="BY39" i="1" a="1"/>
  <c r="BY39" i="1" s="1"/>
  <c r="CK39" i="1" s="1"/>
  <c r="BL39" i="1" a="1"/>
  <c r="BL39" i="1" s="1"/>
  <c r="BX39" i="1" s="1"/>
  <c r="BK39" i="1"/>
  <c r="BH39" i="1"/>
  <c r="BG39" i="1"/>
  <c r="BF39" i="1"/>
  <c r="BE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I39" i="1"/>
  <c r="C39" i="1"/>
  <c r="B39" i="1"/>
  <c r="DB38" i="1"/>
  <c r="DA38" i="1"/>
  <c r="CZ38" i="1"/>
  <c r="CY38" i="1"/>
  <c r="CL38" i="1" a="1"/>
  <c r="CL38" i="1" s="1"/>
  <c r="CX38" i="1" s="1"/>
  <c r="BY38" i="1" a="1"/>
  <c r="BY38" i="1" s="1"/>
  <c r="CK38" i="1" s="1"/>
  <c r="BL38" i="1" a="1"/>
  <c r="BL38" i="1" s="1"/>
  <c r="BX38" i="1" s="1"/>
  <c r="BK38" i="1"/>
  <c r="BH38" i="1"/>
  <c r="BG38" i="1"/>
  <c r="BF38" i="1"/>
  <c r="BE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I38" i="1"/>
  <c r="C38" i="1"/>
  <c r="B38" i="1"/>
  <c r="DB37" i="1"/>
  <c r="DA37" i="1"/>
  <c r="CZ37" i="1"/>
  <c r="CY37" i="1"/>
  <c r="CL37" i="1" a="1"/>
  <c r="CL37" i="1" s="1"/>
  <c r="CX37" i="1" s="1"/>
  <c r="BY37" i="1" a="1"/>
  <c r="BY37" i="1" s="1"/>
  <c r="CK37" i="1" s="1"/>
  <c r="BL37" i="1" a="1"/>
  <c r="BL37" i="1" s="1"/>
  <c r="BX37" i="1" s="1"/>
  <c r="BK37" i="1"/>
  <c r="BH37" i="1"/>
  <c r="BG37" i="1"/>
  <c r="BF37" i="1"/>
  <c r="BE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I37" i="1"/>
  <c r="C37" i="1"/>
  <c r="B37" i="1"/>
  <c r="DB36" i="1"/>
  <c r="DA36" i="1"/>
  <c r="CZ36" i="1"/>
  <c r="CY36" i="1"/>
  <c r="CL36" i="1" a="1"/>
  <c r="CL36" i="1" s="1"/>
  <c r="CX36" i="1" s="1"/>
  <c r="BY36" i="1" a="1"/>
  <c r="BY36" i="1" s="1"/>
  <c r="CK36" i="1" s="1"/>
  <c r="BL36" i="1" a="1"/>
  <c r="BL36" i="1" s="1"/>
  <c r="BX36" i="1" s="1"/>
  <c r="BK36" i="1"/>
  <c r="BH36" i="1"/>
  <c r="BG36" i="1"/>
  <c r="BF36" i="1"/>
  <c r="BE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I36" i="1"/>
  <c r="C36" i="1"/>
  <c r="B36" i="1"/>
  <c r="DB35" i="1"/>
  <c r="DA35" i="1"/>
  <c r="CZ35" i="1"/>
  <c r="CY35" i="1"/>
  <c r="CL35" i="1" a="1"/>
  <c r="CL35" i="1" s="1"/>
  <c r="CX35" i="1" s="1"/>
  <c r="BY35" i="1" a="1"/>
  <c r="BY35" i="1" s="1"/>
  <c r="CK35" i="1" s="1"/>
  <c r="BL35" i="1" a="1"/>
  <c r="BL35" i="1" s="1"/>
  <c r="BX35" i="1" s="1"/>
  <c r="BK35" i="1"/>
  <c r="BH35" i="1"/>
  <c r="BG35" i="1"/>
  <c r="BF35" i="1"/>
  <c r="BE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I35" i="1"/>
  <c r="C35" i="1"/>
  <c r="B35" i="1"/>
  <c r="DB34" i="1"/>
  <c r="DA34" i="1"/>
  <c r="CZ34" i="1"/>
  <c r="CY34" i="1"/>
  <c r="CL34" i="1" a="1"/>
  <c r="CL34" i="1" s="1"/>
  <c r="CX34" i="1" s="1"/>
  <c r="BY34" i="1" a="1"/>
  <c r="BY34" i="1" s="1"/>
  <c r="CK34" i="1" s="1"/>
  <c r="BL34" i="1" a="1"/>
  <c r="BL34" i="1" s="1"/>
  <c r="BX34" i="1" s="1"/>
  <c r="BK34" i="1"/>
  <c r="BH34" i="1"/>
  <c r="BG34" i="1"/>
  <c r="BF34" i="1"/>
  <c r="BE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C34" i="1"/>
  <c r="B34" i="1"/>
  <c r="DB33" i="1"/>
  <c r="DA33" i="1"/>
  <c r="CZ33" i="1"/>
  <c r="CY33" i="1"/>
  <c r="CL33" i="1" a="1"/>
  <c r="CL33" i="1" s="1"/>
  <c r="CX33" i="1" s="1"/>
  <c r="BY33" i="1" a="1"/>
  <c r="BY33" i="1" s="1"/>
  <c r="CK33" i="1" s="1"/>
  <c r="BL33" i="1" a="1"/>
  <c r="BL33" i="1" s="1"/>
  <c r="BX33" i="1" s="1"/>
  <c r="BK33" i="1"/>
  <c r="BH33" i="1"/>
  <c r="BG33" i="1"/>
  <c r="BF33" i="1"/>
  <c r="BE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I33" i="1"/>
  <c r="C33" i="1"/>
  <c r="B33" i="1"/>
  <c r="DB32" i="1"/>
  <c r="DA32" i="1"/>
  <c r="CZ32" i="1"/>
  <c r="CY32" i="1"/>
  <c r="CL32" i="1" a="1"/>
  <c r="CL32" i="1" s="1"/>
  <c r="CX32" i="1" s="1"/>
  <c r="BY32" i="1" a="1"/>
  <c r="BY32" i="1" s="1"/>
  <c r="CK32" i="1" s="1"/>
  <c r="BL32" i="1" a="1"/>
  <c r="BL32" i="1" s="1"/>
  <c r="BX32" i="1" s="1"/>
  <c r="BK32" i="1"/>
  <c r="BH32" i="1"/>
  <c r="BG32" i="1"/>
  <c r="BF32" i="1"/>
  <c r="BE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I32" i="1"/>
  <c r="C32" i="1"/>
  <c r="B32" i="1"/>
  <c r="DB31" i="1"/>
  <c r="DA31" i="1"/>
  <c r="CZ31" i="1"/>
  <c r="CY31" i="1"/>
  <c r="CL31" i="1" a="1"/>
  <c r="CL31" i="1" s="1"/>
  <c r="CX31" i="1" s="1"/>
  <c r="BY31" i="1" a="1"/>
  <c r="BY31" i="1" s="1"/>
  <c r="CK31" i="1" s="1"/>
  <c r="BL31" i="1" a="1"/>
  <c r="BL31" i="1" s="1"/>
  <c r="BX31" i="1" s="1"/>
  <c r="BK31" i="1"/>
  <c r="BH31" i="1"/>
  <c r="BG31" i="1"/>
  <c r="BF31" i="1"/>
  <c r="BE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I31" i="1"/>
  <c r="C31" i="1"/>
  <c r="B31" i="1"/>
  <c r="DB30" i="1"/>
  <c r="DA30" i="1"/>
  <c r="CZ30" i="1"/>
  <c r="CY30" i="1"/>
  <c r="CL30" i="1" a="1"/>
  <c r="CL30" i="1" s="1"/>
  <c r="CX30" i="1" s="1"/>
  <c r="BY30" i="1" a="1"/>
  <c r="BY30" i="1" s="1"/>
  <c r="CK30" i="1" s="1"/>
  <c r="BL30" i="1" a="1"/>
  <c r="BL30" i="1" s="1"/>
  <c r="BX30" i="1" s="1"/>
  <c r="BK30" i="1"/>
  <c r="BH30" i="1"/>
  <c r="BG30" i="1"/>
  <c r="BF30" i="1"/>
  <c r="BE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I30" i="1"/>
  <c r="C30" i="1"/>
  <c r="B30" i="1"/>
  <c r="DB29" i="1"/>
  <c r="DA29" i="1"/>
  <c r="CZ29" i="1"/>
  <c r="CY29" i="1"/>
  <c r="CL29" i="1" a="1"/>
  <c r="CL29" i="1" s="1"/>
  <c r="CX29" i="1" s="1"/>
  <c r="BY29" i="1" a="1"/>
  <c r="BY29" i="1" s="1"/>
  <c r="CK29" i="1" s="1"/>
  <c r="BL29" i="1" a="1"/>
  <c r="BL29" i="1" s="1"/>
  <c r="BX29" i="1" s="1"/>
  <c r="BK29" i="1"/>
  <c r="BH29" i="1"/>
  <c r="BG29" i="1"/>
  <c r="BF29" i="1"/>
  <c r="BE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I29" i="1"/>
  <c r="C29" i="1"/>
  <c r="B29" i="1"/>
  <c r="D29" i="1" s="1"/>
  <c r="DB28" i="1"/>
  <c r="DA28" i="1"/>
  <c r="CZ28" i="1"/>
  <c r="CY28" i="1"/>
  <c r="CL28" i="1" a="1"/>
  <c r="CL28" i="1" s="1"/>
  <c r="CX28" i="1" s="1"/>
  <c r="BY28" i="1" a="1"/>
  <c r="BY28" i="1" s="1"/>
  <c r="CK28" i="1" s="1"/>
  <c r="BL28" i="1" a="1"/>
  <c r="BL28" i="1" s="1"/>
  <c r="BX28" i="1" s="1"/>
  <c r="BK28" i="1"/>
  <c r="BH28" i="1"/>
  <c r="BG28" i="1"/>
  <c r="BF28" i="1"/>
  <c r="BE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I28" i="1"/>
  <c r="C28" i="1"/>
  <c r="B28" i="1"/>
  <c r="DB27" i="1"/>
  <c r="DA27" i="1"/>
  <c r="CZ27" i="1"/>
  <c r="CY27" i="1"/>
  <c r="CL27" i="1" a="1"/>
  <c r="CL27" i="1" s="1"/>
  <c r="CX27" i="1" s="1"/>
  <c r="BY27" i="1" a="1"/>
  <c r="BY27" i="1" s="1"/>
  <c r="CK27" i="1" s="1"/>
  <c r="BL27" i="1" a="1"/>
  <c r="BL27" i="1" s="1"/>
  <c r="BX27" i="1" s="1"/>
  <c r="BK27" i="1"/>
  <c r="BH27" i="1"/>
  <c r="BG27" i="1"/>
  <c r="BF27" i="1"/>
  <c r="BE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I27" i="1"/>
  <c r="C27" i="1"/>
  <c r="B27" i="1"/>
  <c r="DB26" i="1"/>
  <c r="DA26" i="1"/>
  <c r="CZ26" i="1"/>
  <c r="CY26" i="1"/>
  <c r="CL26" i="1" a="1"/>
  <c r="CL26" i="1" s="1"/>
  <c r="CX26" i="1" s="1"/>
  <c r="BY26" i="1" a="1"/>
  <c r="BY26" i="1" s="1"/>
  <c r="CK26" i="1" s="1"/>
  <c r="BL26" i="1" a="1"/>
  <c r="BL26" i="1" s="1"/>
  <c r="BX26" i="1" s="1"/>
  <c r="BK26" i="1"/>
  <c r="BH26" i="1"/>
  <c r="BG26" i="1"/>
  <c r="BF26" i="1"/>
  <c r="BE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I26" i="1"/>
  <c r="C26" i="1"/>
  <c r="B26" i="1"/>
  <c r="DB25" i="1"/>
  <c r="DA25" i="1"/>
  <c r="CZ25" i="1"/>
  <c r="CY25" i="1"/>
  <c r="CL25" i="1" a="1"/>
  <c r="CL25" i="1" s="1"/>
  <c r="CX25" i="1" s="1"/>
  <c r="BY25" i="1" a="1"/>
  <c r="BY25" i="1" s="1"/>
  <c r="CK25" i="1" s="1"/>
  <c r="BL25" i="1" a="1"/>
  <c r="BL25" i="1" s="1"/>
  <c r="BX25" i="1" s="1"/>
  <c r="BK25" i="1"/>
  <c r="BH25" i="1"/>
  <c r="BG25" i="1"/>
  <c r="BF25" i="1"/>
  <c r="BE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I25" i="1"/>
  <c r="C25" i="1"/>
  <c r="B25" i="1"/>
  <c r="DB24" i="1"/>
  <c r="DA24" i="1"/>
  <c r="CZ24" i="1"/>
  <c r="CY24" i="1"/>
  <c r="CL24" i="1" a="1"/>
  <c r="CL24" i="1" s="1"/>
  <c r="CX24" i="1" s="1"/>
  <c r="BY24" i="1" a="1"/>
  <c r="BY24" i="1" s="1"/>
  <c r="CK24" i="1" s="1"/>
  <c r="BL24" i="1" a="1"/>
  <c r="BL24" i="1" s="1"/>
  <c r="BX24" i="1" s="1"/>
  <c r="BK24" i="1"/>
  <c r="BH24" i="1"/>
  <c r="BG24" i="1"/>
  <c r="BF24" i="1"/>
  <c r="BE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I24" i="1"/>
  <c r="C24" i="1"/>
  <c r="B24" i="1"/>
  <c r="DB23" i="1"/>
  <c r="DA23" i="1"/>
  <c r="CZ23" i="1"/>
  <c r="CY23" i="1"/>
  <c r="CL23" i="1" a="1"/>
  <c r="CL23" i="1" s="1"/>
  <c r="CX23" i="1" s="1"/>
  <c r="BY23" i="1" a="1"/>
  <c r="BY23" i="1" s="1"/>
  <c r="CK23" i="1" s="1"/>
  <c r="BL23" i="1" a="1"/>
  <c r="BL23" i="1" s="1"/>
  <c r="BX23" i="1" s="1"/>
  <c r="BK23" i="1"/>
  <c r="BH23" i="1"/>
  <c r="BG23" i="1"/>
  <c r="BF23" i="1"/>
  <c r="BE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I23" i="1"/>
  <c r="C23" i="1"/>
  <c r="B23" i="1"/>
  <c r="DB22" i="1"/>
  <c r="DA22" i="1"/>
  <c r="CZ22" i="1"/>
  <c r="CY22" i="1"/>
  <c r="CL22" i="1" a="1"/>
  <c r="CL22" i="1" s="1"/>
  <c r="CX22" i="1" s="1"/>
  <c r="BY22" i="1" a="1"/>
  <c r="BY22" i="1" s="1"/>
  <c r="CK22" i="1" s="1"/>
  <c r="BL22" i="1" a="1"/>
  <c r="BL22" i="1" s="1"/>
  <c r="BX22" i="1" s="1"/>
  <c r="BK22" i="1"/>
  <c r="BH22" i="1"/>
  <c r="BG22" i="1"/>
  <c r="BF22" i="1"/>
  <c r="BE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I22" i="1"/>
  <c r="C22" i="1"/>
  <c r="B22" i="1"/>
  <c r="DB21" i="1"/>
  <c r="DA21" i="1"/>
  <c r="CZ21" i="1"/>
  <c r="CY21" i="1"/>
  <c r="CL21" i="1" a="1"/>
  <c r="CL21" i="1" s="1"/>
  <c r="CX21" i="1" s="1"/>
  <c r="BY21" i="1" a="1"/>
  <c r="BY21" i="1" s="1"/>
  <c r="CK21" i="1" s="1"/>
  <c r="BL21" i="1" a="1"/>
  <c r="BL21" i="1" s="1"/>
  <c r="BX21" i="1" s="1"/>
  <c r="BK21" i="1"/>
  <c r="BH21" i="1"/>
  <c r="BG21" i="1"/>
  <c r="BF21" i="1"/>
  <c r="BE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I21" i="1"/>
  <c r="C21" i="1"/>
  <c r="B21" i="1"/>
  <c r="DB20" i="1"/>
  <c r="DA20" i="1"/>
  <c r="CZ20" i="1"/>
  <c r="CY20" i="1"/>
  <c r="CL20" i="1" a="1"/>
  <c r="CL20" i="1" s="1"/>
  <c r="CX20" i="1" s="1"/>
  <c r="BY20" i="1" a="1"/>
  <c r="BY20" i="1" s="1"/>
  <c r="CK20" i="1" s="1"/>
  <c r="BL20" i="1" a="1"/>
  <c r="BL20" i="1" s="1"/>
  <c r="BX20" i="1" s="1"/>
  <c r="BK20" i="1"/>
  <c r="BH20" i="1"/>
  <c r="BG20" i="1"/>
  <c r="BF20" i="1"/>
  <c r="BE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I20" i="1"/>
  <c r="C20" i="1"/>
  <c r="B20" i="1"/>
  <c r="DB19" i="1"/>
  <c r="DA19" i="1"/>
  <c r="CZ19" i="1"/>
  <c r="CY19" i="1"/>
  <c r="CL19" i="1" a="1"/>
  <c r="CL19" i="1" s="1"/>
  <c r="CX19" i="1" s="1"/>
  <c r="BY19" i="1" a="1"/>
  <c r="BY19" i="1" s="1"/>
  <c r="CK19" i="1" s="1"/>
  <c r="BL19" i="1" a="1"/>
  <c r="BL19" i="1" s="1"/>
  <c r="BX19" i="1" s="1"/>
  <c r="BK19" i="1"/>
  <c r="BH19" i="1"/>
  <c r="BG19" i="1"/>
  <c r="BF19" i="1"/>
  <c r="BE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I19" i="1"/>
  <c r="C19" i="1"/>
  <c r="B19" i="1"/>
  <c r="DB18" i="1"/>
  <c r="DA18" i="1"/>
  <c r="CZ18" i="1"/>
  <c r="CY18" i="1"/>
  <c r="CL18" i="1" a="1"/>
  <c r="CL18" i="1" s="1"/>
  <c r="CX18" i="1" s="1"/>
  <c r="BY18" i="1" a="1"/>
  <c r="BY18" i="1" s="1"/>
  <c r="CK18" i="1" s="1"/>
  <c r="BL18" i="1" a="1"/>
  <c r="BL18" i="1" s="1"/>
  <c r="BX18" i="1" s="1"/>
  <c r="BK18" i="1"/>
  <c r="BH18" i="1"/>
  <c r="BG18" i="1"/>
  <c r="BF18" i="1"/>
  <c r="BE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I18" i="1"/>
  <c r="C18" i="1"/>
  <c r="B18" i="1"/>
  <c r="DB17" i="1"/>
  <c r="DA17" i="1"/>
  <c r="CZ17" i="1"/>
  <c r="CY17" i="1"/>
  <c r="CL17" i="1" a="1"/>
  <c r="CL17" i="1" s="1"/>
  <c r="CX17" i="1" s="1"/>
  <c r="BY17" i="1" a="1"/>
  <c r="BY17" i="1" s="1"/>
  <c r="CK17" i="1" s="1"/>
  <c r="BL17" i="1" a="1"/>
  <c r="BL17" i="1" s="1"/>
  <c r="BX17" i="1" s="1"/>
  <c r="BK17" i="1"/>
  <c r="BH17" i="1"/>
  <c r="BG17" i="1"/>
  <c r="BF17" i="1"/>
  <c r="BE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I17" i="1"/>
  <c r="C17" i="1"/>
  <c r="B17" i="1"/>
  <c r="DB16" i="1"/>
  <c r="DA16" i="1"/>
  <c r="CZ16" i="1"/>
  <c r="CY16" i="1"/>
  <c r="CL16" i="1" a="1"/>
  <c r="CL16" i="1" s="1"/>
  <c r="CX16" i="1" s="1"/>
  <c r="BY16" i="1" a="1"/>
  <c r="BY16" i="1" s="1"/>
  <c r="CK16" i="1" s="1"/>
  <c r="BL16" i="1" a="1"/>
  <c r="BL16" i="1" s="1"/>
  <c r="BX16" i="1" s="1"/>
  <c r="BK16" i="1"/>
  <c r="BH16" i="1"/>
  <c r="BG16" i="1"/>
  <c r="BF16" i="1"/>
  <c r="BE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I16" i="1"/>
  <c r="C16" i="1"/>
  <c r="B16" i="1"/>
  <c r="DB15" i="1"/>
  <c r="DA15" i="1"/>
  <c r="CZ15" i="1"/>
  <c r="CY15" i="1"/>
  <c r="CL15" i="1" a="1"/>
  <c r="CL15" i="1" s="1"/>
  <c r="CX15" i="1" s="1"/>
  <c r="BY15" i="1" a="1"/>
  <c r="BY15" i="1" s="1"/>
  <c r="CK15" i="1" s="1"/>
  <c r="BL15" i="1" a="1"/>
  <c r="BL15" i="1" s="1"/>
  <c r="BX15" i="1" s="1"/>
  <c r="BK15" i="1"/>
  <c r="BH15" i="1"/>
  <c r="BG15" i="1"/>
  <c r="BF15" i="1"/>
  <c r="BE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I15" i="1"/>
  <c r="C15" i="1"/>
  <c r="B15" i="1"/>
  <c r="DB14" i="1"/>
  <c r="DA14" i="1"/>
  <c r="CZ14" i="1"/>
  <c r="CY14" i="1"/>
  <c r="CL14" i="1" a="1"/>
  <c r="CL14" i="1" s="1"/>
  <c r="CX14" i="1" s="1"/>
  <c r="BY14" i="1" a="1"/>
  <c r="BY14" i="1" s="1"/>
  <c r="CK14" i="1" s="1"/>
  <c r="BL14" i="1" a="1"/>
  <c r="BL14" i="1" s="1"/>
  <c r="BX14" i="1" s="1"/>
  <c r="BK14" i="1"/>
  <c r="BH14" i="1"/>
  <c r="BG14" i="1"/>
  <c r="BF14" i="1"/>
  <c r="BE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I14" i="1"/>
  <c r="C14" i="1"/>
  <c r="B14" i="1"/>
  <c r="DB13" i="1"/>
  <c r="DA13" i="1"/>
  <c r="CZ13" i="1"/>
  <c r="CY13" i="1"/>
  <c r="CL13" i="1" a="1"/>
  <c r="CL13" i="1" s="1"/>
  <c r="CX13" i="1" s="1"/>
  <c r="BY13" i="1" a="1"/>
  <c r="BY13" i="1" s="1"/>
  <c r="CK13" i="1" s="1"/>
  <c r="BL13" i="1" a="1"/>
  <c r="BL13" i="1" s="1"/>
  <c r="BX13" i="1" s="1"/>
  <c r="BK13" i="1"/>
  <c r="BH13" i="1"/>
  <c r="BG13" i="1"/>
  <c r="BF13" i="1"/>
  <c r="BE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I13" i="1"/>
  <c r="C13" i="1"/>
  <c r="B13" i="1"/>
  <c r="DB12" i="1"/>
  <c r="DA12" i="1"/>
  <c r="CZ12" i="1"/>
  <c r="CY12" i="1"/>
  <c r="CL12" i="1" a="1"/>
  <c r="CL12" i="1" s="1"/>
  <c r="CX12" i="1" s="1"/>
  <c r="BY12" i="1" a="1"/>
  <c r="BY12" i="1" s="1"/>
  <c r="CK12" i="1" s="1"/>
  <c r="BL12" i="1" a="1"/>
  <c r="BL12" i="1" s="1"/>
  <c r="BX12" i="1" s="1"/>
  <c r="BK12" i="1"/>
  <c r="BH12" i="1"/>
  <c r="BG12" i="1"/>
  <c r="BF12" i="1"/>
  <c r="BE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I12" i="1"/>
  <c r="C12" i="1"/>
  <c r="B12" i="1"/>
  <c r="DB11" i="1"/>
  <c r="DA11" i="1"/>
  <c r="CZ11" i="1"/>
  <c r="CY11" i="1"/>
  <c r="CL11" i="1" a="1"/>
  <c r="CL11" i="1" s="1"/>
  <c r="CX11" i="1" s="1"/>
  <c r="BY11" i="1" a="1"/>
  <c r="BY11" i="1" s="1"/>
  <c r="CK11" i="1" s="1"/>
  <c r="BL11" i="1" a="1"/>
  <c r="BL11" i="1" s="1"/>
  <c r="BX11" i="1" s="1"/>
  <c r="BK11" i="1"/>
  <c r="BH11" i="1"/>
  <c r="BG11" i="1"/>
  <c r="BF11" i="1"/>
  <c r="BI11" i="1" s="1"/>
  <c r="BE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I11" i="1"/>
  <c r="C11" i="1"/>
  <c r="B11" i="1"/>
  <c r="DB10" i="1"/>
  <c r="DA10" i="1"/>
  <c r="CZ10" i="1"/>
  <c r="CY10" i="1"/>
  <c r="CL10" i="1" a="1"/>
  <c r="CL10" i="1" s="1"/>
  <c r="CX10" i="1" s="1"/>
  <c r="BY10" i="1" a="1"/>
  <c r="BY10" i="1" s="1"/>
  <c r="CK10" i="1" s="1"/>
  <c r="BL10" i="1" a="1"/>
  <c r="BL10" i="1" s="1"/>
  <c r="BX10" i="1" s="1"/>
  <c r="BK10" i="1"/>
  <c r="BH10" i="1"/>
  <c r="BG10" i="1"/>
  <c r="BF10" i="1"/>
  <c r="BE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I10" i="1"/>
  <c r="C10" i="1"/>
  <c r="B10" i="1"/>
  <c r="DB9" i="1"/>
  <c r="DA9" i="1"/>
  <c r="CZ9" i="1"/>
  <c r="CY9" i="1"/>
  <c r="CL9" i="1" a="1"/>
  <c r="CL9" i="1" s="1"/>
  <c r="CX9" i="1" s="1"/>
  <c r="BY9" i="1" a="1"/>
  <c r="BY9" i="1" s="1"/>
  <c r="CK9" i="1" s="1"/>
  <c r="BL9" i="1" a="1"/>
  <c r="BL9" i="1" s="1"/>
  <c r="BX9" i="1" s="1"/>
  <c r="BK9" i="1"/>
  <c r="BH9" i="1"/>
  <c r="BG9" i="1"/>
  <c r="BF9" i="1"/>
  <c r="BE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I9" i="1"/>
  <c r="C9" i="1"/>
  <c r="B9" i="1"/>
  <c r="DB8" i="1"/>
  <c r="DA8" i="1"/>
  <c r="CZ8" i="1"/>
  <c r="CY8" i="1"/>
  <c r="CL8" i="1" a="1"/>
  <c r="CL8" i="1" s="1"/>
  <c r="CX8" i="1" s="1"/>
  <c r="BY8" i="1" a="1"/>
  <c r="BY8" i="1" s="1"/>
  <c r="CK8" i="1" s="1"/>
  <c r="BL8" i="1" a="1"/>
  <c r="BL8" i="1" s="1"/>
  <c r="BX8" i="1" s="1"/>
  <c r="BK8" i="1"/>
  <c r="BH8" i="1"/>
  <c r="BG8" i="1"/>
  <c r="BF8" i="1"/>
  <c r="BE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I8" i="1"/>
  <c r="C8" i="1"/>
  <c r="B8" i="1"/>
  <c r="DB7" i="1"/>
  <c r="DA7" i="1"/>
  <c r="CZ7" i="1"/>
  <c r="CY7" i="1"/>
  <c r="CL7" i="1" a="1"/>
  <c r="CL7" i="1" s="1"/>
  <c r="CX7" i="1" s="1"/>
  <c r="BY7" i="1" a="1"/>
  <c r="BY7" i="1" s="1"/>
  <c r="CK7" i="1" s="1"/>
  <c r="BL7" i="1" a="1"/>
  <c r="BL7" i="1" s="1"/>
  <c r="BX7" i="1" s="1"/>
  <c r="BK7" i="1"/>
  <c r="BH7" i="1"/>
  <c r="BG7" i="1"/>
  <c r="BF7" i="1"/>
  <c r="BE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I7" i="1"/>
  <c r="C7" i="1"/>
  <c r="B7" i="1"/>
  <c r="DB6" i="1"/>
  <c r="DA6" i="1"/>
  <c r="CZ6" i="1"/>
  <c r="CY6" i="1"/>
  <c r="CL6" i="1" a="1"/>
  <c r="CL6" i="1" s="1"/>
  <c r="CX6" i="1" s="1"/>
  <c r="BY6" i="1" a="1"/>
  <c r="BY6" i="1" s="1"/>
  <c r="CK6" i="1" s="1"/>
  <c r="BL6" i="1" a="1"/>
  <c r="BL6" i="1" s="1"/>
  <c r="BX6" i="1" s="1"/>
  <c r="BK6" i="1"/>
  <c r="BH6" i="1"/>
  <c r="BG6" i="1"/>
  <c r="BF6" i="1"/>
  <c r="BE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I6" i="1"/>
  <c r="C6" i="1"/>
  <c r="B6" i="1"/>
  <c r="DB5" i="1"/>
  <c r="DA5" i="1"/>
  <c r="CZ5" i="1"/>
  <c r="CY5" i="1"/>
  <c r="CL5" i="1" a="1"/>
  <c r="CL5" i="1" s="1"/>
  <c r="CX5" i="1" s="1"/>
  <c r="BY5" i="1" a="1"/>
  <c r="BY5" i="1" s="1"/>
  <c r="CK5" i="1" s="1"/>
  <c r="BL5" i="1" a="1"/>
  <c r="BL5" i="1" s="1"/>
  <c r="BX5" i="1" s="1"/>
  <c r="BK5" i="1"/>
  <c r="BH5" i="1"/>
  <c r="BG5" i="1"/>
  <c r="BF5" i="1"/>
  <c r="BE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I5" i="1"/>
  <c r="C5" i="1"/>
  <c r="B5" i="1"/>
  <c r="DB4" i="1"/>
  <c r="DA4" i="1"/>
  <c r="CZ4" i="1"/>
  <c r="CY4" i="1"/>
  <c r="CL4" i="1" a="1"/>
  <c r="CL4" i="1" s="1"/>
  <c r="CX4" i="1" s="1"/>
  <c r="BY4" i="1" a="1"/>
  <c r="BY4" i="1" s="1"/>
  <c r="CK4" i="1" s="1"/>
  <c r="BL4" i="1" a="1"/>
  <c r="BL4" i="1" s="1"/>
  <c r="BX4" i="1" s="1"/>
  <c r="BK4" i="1"/>
  <c r="BH4" i="1"/>
  <c r="BG4" i="1"/>
  <c r="BF4" i="1"/>
  <c r="BE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I4" i="1"/>
  <c r="C4" i="1"/>
  <c r="B4" i="1"/>
  <c r="DB3" i="1"/>
  <c r="DA3" i="1"/>
  <c r="CZ3" i="1"/>
  <c r="CY3" i="1"/>
  <c r="CL3" i="1" a="1"/>
  <c r="CL3" i="1" s="1"/>
  <c r="CX3" i="1" s="1"/>
  <c r="BY3" i="1" a="1"/>
  <c r="BY3" i="1" s="1"/>
  <c r="CK3" i="1" s="1"/>
  <c r="BL3" i="1" a="1"/>
  <c r="BL3" i="1" s="1"/>
  <c r="BX3" i="1" s="1"/>
  <c r="BK3" i="1"/>
  <c r="BH3" i="1"/>
  <c r="BG3" i="1"/>
  <c r="BF3" i="1"/>
  <c r="BE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I3" i="1"/>
  <c r="C3" i="1"/>
  <c r="B3" i="1"/>
  <c r="DB2" i="1"/>
  <c r="DA2" i="1"/>
  <c r="CZ2" i="1"/>
  <c r="CY2" i="1"/>
  <c r="CL2" i="1" a="1"/>
  <c r="CL2" i="1" s="1"/>
  <c r="CX2" i="1" s="1"/>
  <c r="BY2" i="1" a="1"/>
  <c r="BY2" i="1" s="1"/>
  <c r="CK2" i="1" s="1"/>
  <c r="BK2" i="1"/>
  <c r="BH2" i="1"/>
  <c r="BG2" i="1"/>
  <c r="BF2" i="1"/>
  <c r="BE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C2" i="1"/>
  <c r="B2" i="1"/>
  <c r="BI6" i="1" l="1"/>
  <c r="F39" i="1"/>
  <c r="F83" i="1"/>
  <c r="BI14" i="1"/>
  <c r="BJ14" i="1" s="1"/>
  <c r="F130" i="1"/>
  <c r="F107" i="1"/>
  <c r="D112" i="1"/>
  <c r="E112" i="1" s="1"/>
  <c r="F55" i="1"/>
  <c r="F35" i="1"/>
  <c r="BI84" i="1"/>
  <c r="BJ84" i="1" s="1"/>
  <c r="BI51" i="1"/>
  <c r="BJ51" i="1" s="1"/>
  <c r="F37" i="1"/>
  <c r="F85" i="1"/>
  <c r="D87" i="1"/>
  <c r="D89" i="1"/>
  <c r="E89" i="1" s="1"/>
  <c r="BI121" i="1"/>
  <c r="BJ121" i="1" s="1"/>
  <c r="D83" i="1"/>
  <c r="E83" i="1" s="1"/>
  <c r="BI93" i="1"/>
  <c r="BJ93" i="1" s="1"/>
  <c r="F118" i="1"/>
  <c r="D19" i="1"/>
  <c r="E19" i="1" s="1"/>
  <c r="BI46" i="1"/>
  <c r="BJ46" i="1" s="1"/>
  <c r="BI41" i="1"/>
  <c r="BJ41" i="1" s="1"/>
  <c r="F90" i="1"/>
  <c r="F43" i="1"/>
  <c r="D115" i="1"/>
  <c r="G115" i="1" s="1"/>
  <c r="BI52" i="1"/>
  <c r="BJ52" i="1" s="1"/>
  <c r="D39" i="1"/>
  <c r="E39" i="1" s="1"/>
  <c r="F72" i="1"/>
  <c r="D15" i="1"/>
  <c r="E15" i="1" s="1"/>
  <c r="F10" i="1"/>
  <c r="BI94" i="1"/>
  <c r="BJ94" i="1" s="1"/>
  <c r="D54" i="1"/>
  <c r="E54" i="1" s="1"/>
  <c r="BI31" i="1"/>
  <c r="BJ31" i="1" s="1"/>
  <c r="BI61" i="1"/>
  <c r="BJ61" i="1" s="1"/>
  <c r="D26" i="1"/>
  <c r="G26" i="1" s="1"/>
  <c r="F11" i="1"/>
  <c r="D23" i="1"/>
  <c r="E23" i="1" s="1"/>
  <c r="D13" i="1"/>
  <c r="G13" i="1" s="1"/>
  <c r="BC38" i="1"/>
  <c r="BC41" i="1"/>
  <c r="D45" i="1"/>
  <c r="E45" i="1" s="1"/>
  <c r="BI60" i="1"/>
  <c r="BJ60" i="1" s="1"/>
  <c r="F40" i="1"/>
  <c r="F67" i="1"/>
  <c r="F47" i="1"/>
  <c r="F86" i="1"/>
  <c r="F110" i="1"/>
  <c r="F51" i="1"/>
  <c r="BD101" i="1"/>
  <c r="BA102" i="1"/>
  <c r="D107" i="1"/>
  <c r="BC30" i="1"/>
  <c r="D81" i="1"/>
  <c r="G81" i="1" s="1"/>
  <c r="BC25" i="1"/>
  <c r="BI25" i="1"/>
  <c r="BJ25" i="1" s="1"/>
  <c r="F22" i="1"/>
  <c r="F78" i="1"/>
  <c r="D104" i="1"/>
  <c r="G104" i="1" s="1"/>
  <c r="BA107" i="1"/>
  <c r="D20" i="1"/>
  <c r="G20" i="1" s="1"/>
  <c r="BI33" i="1"/>
  <c r="BJ33" i="1" s="1"/>
  <c r="F27" i="1"/>
  <c r="F32" i="1"/>
  <c r="BC112" i="1"/>
  <c r="D12" i="1"/>
  <c r="G12" i="1" s="1"/>
  <c r="BC14" i="1"/>
  <c r="F19" i="1"/>
  <c r="F75" i="1"/>
  <c r="F93" i="1"/>
  <c r="D98" i="1"/>
  <c r="E98" i="1" s="1"/>
  <c r="BA98" i="1"/>
  <c r="BB11" i="1"/>
  <c r="BJ11" i="1"/>
  <c r="D2" i="1"/>
  <c r="G2" i="1" s="1"/>
  <c r="BC120" i="1"/>
  <c r="F33" i="1"/>
  <c r="BI24" i="1"/>
  <c r="BJ24" i="1" s="1"/>
  <c r="BI29" i="1"/>
  <c r="BJ29" i="1" s="1"/>
  <c r="F62" i="1"/>
  <c r="F77" i="1"/>
  <c r="D82" i="1"/>
  <c r="G82" i="1" s="1"/>
  <c r="BI95" i="1"/>
  <c r="BJ95" i="1" s="1"/>
  <c r="BC77" i="1"/>
  <c r="BI77" i="1"/>
  <c r="BJ77" i="1" s="1"/>
  <c r="BD116" i="1"/>
  <c r="F121" i="1"/>
  <c r="F97" i="1"/>
  <c r="F108" i="1"/>
  <c r="BI116" i="1"/>
  <c r="BJ116" i="1" s="1"/>
  <c r="D105" i="1"/>
  <c r="E105" i="1" s="1"/>
  <c r="F89" i="1"/>
  <c r="F113" i="1"/>
  <c r="BI79" i="1"/>
  <c r="BJ79" i="1" s="1"/>
  <c r="BA105" i="1"/>
  <c r="BI8" i="1"/>
  <c r="BJ8" i="1" s="1"/>
  <c r="D47" i="1"/>
  <c r="E47" i="1" s="1"/>
  <c r="BI50" i="1"/>
  <c r="BJ50" i="1" s="1"/>
  <c r="D96" i="1"/>
  <c r="G96" i="1" s="1"/>
  <c r="D99" i="1"/>
  <c r="G99" i="1" s="1"/>
  <c r="BI123" i="1"/>
  <c r="BJ123" i="1" s="1"/>
  <c r="BB48" i="1"/>
  <c r="BI66" i="1"/>
  <c r="BJ66" i="1" s="1"/>
  <c r="F82" i="1"/>
  <c r="BA93" i="1"/>
  <c r="BC105" i="1"/>
  <c r="BI112" i="1"/>
  <c r="BJ112" i="1" s="1"/>
  <c r="F117" i="1"/>
  <c r="F128" i="1"/>
  <c r="D68" i="1"/>
  <c r="E68" i="1" s="1"/>
  <c r="BB82" i="1"/>
  <c r="BI82" i="1"/>
  <c r="BJ82" i="1" s="1"/>
  <c r="D93" i="1"/>
  <c r="G93" i="1" s="1"/>
  <c r="BI128" i="1"/>
  <c r="BJ128" i="1" s="1"/>
  <c r="BC129" i="1"/>
  <c r="D30" i="1"/>
  <c r="G30" i="1" s="1"/>
  <c r="BI38" i="1"/>
  <c r="BJ38" i="1" s="1"/>
  <c r="BD50" i="1"/>
  <c r="BA32" i="1"/>
  <c r="BD41" i="1"/>
  <c r="BI57" i="1"/>
  <c r="BJ57" i="1" s="1"/>
  <c r="BA66" i="1"/>
  <c r="BI68" i="1"/>
  <c r="F98" i="1"/>
  <c r="BI108" i="1"/>
  <c r="BJ108" i="1" s="1"/>
  <c r="F111" i="1"/>
  <c r="BA19" i="1"/>
  <c r="BB50" i="1"/>
  <c r="F7" i="1"/>
  <c r="BI114" i="1"/>
  <c r="BJ114" i="1" s="1"/>
  <c r="F122" i="1"/>
  <c r="BI125" i="1"/>
  <c r="BJ125" i="1" s="1"/>
  <c r="BI17" i="1"/>
  <c r="BJ17" i="1" s="1"/>
  <c r="BD11" i="1"/>
  <c r="D18" i="1"/>
  <c r="E18" i="1" s="1"/>
  <c r="F24" i="1"/>
  <c r="BI43" i="1"/>
  <c r="BJ43" i="1" s="1"/>
  <c r="F46" i="1"/>
  <c r="BC49" i="1"/>
  <c r="F65" i="1"/>
  <c r="BB65" i="1"/>
  <c r="BC98" i="1"/>
  <c r="D101" i="1"/>
  <c r="BI111" i="1"/>
  <c r="BJ111" i="1" s="1"/>
  <c r="BD117" i="1"/>
  <c r="F119" i="1"/>
  <c r="BA125" i="1"/>
  <c r="BI18" i="1"/>
  <c r="BJ18" i="1" s="1"/>
  <c r="BA49" i="1"/>
  <c r="D84" i="1"/>
  <c r="E84" i="1" s="1"/>
  <c r="BI98" i="1"/>
  <c r="BJ98" i="1" s="1"/>
  <c r="BB111" i="1"/>
  <c r="BA116" i="1"/>
  <c r="BI122" i="1"/>
  <c r="BJ122" i="1" s="1"/>
  <c r="BI20" i="1"/>
  <c r="BJ20" i="1" s="1"/>
  <c r="D116" i="1"/>
  <c r="E116" i="1" s="1"/>
  <c r="F127" i="1"/>
  <c r="BC31" i="1"/>
  <c r="F4" i="1"/>
  <c r="D75" i="1"/>
  <c r="E75" i="1" s="1"/>
  <c r="BC116" i="1"/>
  <c r="BD122" i="1"/>
  <c r="BC127" i="1"/>
  <c r="F3" i="1"/>
  <c r="BA14" i="1"/>
  <c r="D62" i="1"/>
  <c r="G62" i="1" s="1"/>
  <c r="BC37" i="1"/>
  <c r="D59" i="1"/>
  <c r="E59" i="1" s="1"/>
  <c r="D9" i="1"/>
  <c r="E9" i="1" s="1"/>
  <c r="F26" i="1"/>
  <c r="BI34" i="1"/>
  <c r="BJ34" i="1" s="1"/>
  <c r="BI62" i="1"/>
  <c r="BJ62" i="1" s="1"/>
  <c r="BA69" i="1"/>
  <c r="BI81" i="1"/>
  <c r="BJ81" i="1" s="1"/>
  <c r="F124" i="1"/>
  <c r="BI21" i="1"/>
  <c r="BJ21" i="1" s="1"/>
  <c r="BC9" i="1"/>
  <c r="BI9" i="1"/>
  <c r="BJ9" i="1" s="1"/>
  <c r="BA75" i="1"/>
  <c r="BC96" i="1"/>
  <c r="BB51" i="1"/>
  <c r="BA15" i="1"/>
  <c r="BC26" i="1"/>
  <c r="D42" i="1"/>
  <c r="G42" i="1" s="1"/>
  <c r="BI89" i="1"/>
  <c r="BJ89" i="1" s="1"/>
  <c r="D97" i="1"/>
  <c r="G97" i="1" s="1"/>
  <c r="F100" i="1"/>
  <c r="BB104" i="1"/>
  <c r="D106" i="1"/>
  <c r="G106" i="1" s="1"/>
  <c r="D121" i="1"/>
  <c r="G121" i="1" s="1"/>
  <c r="BC124" i="1"/>
  <c r="BI124" i="1"/>
  <c r="BJ124" i="1" s="1"/>
  <c r="F14" i="1"/>
  <c r="BD46" i="1"/>
  <c r="BI48" i="1"/>
  <c r="BJ48" i="1" s="1"/>
  <c r="F53" i="1"/>
  <c r="BI72" i="1"/>
  <c r="BJ72" i="1" s="1"/>
  <c r="D77" i="1"/>
  <c r="G77" i="1" s="1"/>
  <c r="BI86" i="1"/>
  <c r="BJ86" i="1" s="1"/>
  <c r="F103" i="1"/>
  <c r="BC106" i="1"/>
  <c r="BI106" i="1"/>
  <c r="BJ106" i="1" s="1"/>
  <c r="BD58" i="1"/>
  <c r="F129" i="1"/>
  <c r="BC58" i="1"/>
  <c r="BD86" i="1"/>
  <c r="F115" i="1"/>
  <c r="D126" i="1"/>
  <c r="G126" i="1" s="1"/>
  <c r="BI103" i="1"/>
  <c r="BJ103" i="1" s="1"/>
  <c r="BC53" i="1"/>
  <c r="BI115" i="1"/>
  <c r="BJ115" i="1" s="1"/>
  <c r="D33" i="1"/>
  <c r="E33" i="1" s="1"/>
  <c r="F25" i="1"/>
  <c r="BC33" i="1"/>
  <c r="D50" i="1"/>
  <c r="D66" i="1"/>
  <c r="E66" i="1" s="1"/>
  <c r="BI69" i="1"/>
  <c r="BJ69" i="1" s="1"/>
  <c r="BI80" i="1"/>
  <c r="BJ80" i="1" s="1"/>
  <c r="BA83" i="1"/>
  <c r="BI91" i="1"/>
  <c r="BJ91" i="1" s="1"/>
  <c r="D123" i="1"/>
  <c r="G123" i="1" s="1"/>
  <c r="BI126" i="1"/>
  <c r="BJ126" i="1" s="1"/>
  <c r="F105" i="1"/>
  <c r="BI37" i="1"/>
  <c r="BJ37" i="1" s="1"/>
  <c r="BB102" i="1"/>
  <c r="BC102" i="1"/>
  <c r="F116" i="1"/>
  <c r="F81" i="1"/>
  <c r="BC89" i="1"/>
  <c r="D111" i="1"/>
  <c r="G111" i="1" s="1"/>
  <c r="BD124" i="1"/>
  <c r="BA129" i="1"/>
  <c r="D6" i="1"/>
  <c r="G6" i="1" s="1"/>
  <c r="BB13" i="1"/>
  <c r="BI13" i="1"/>
  <c r="BJ13" i="1" s="1"/>
  <c r="F17" i="1"/>
  <c r="F21" i="1"/>
  <c r="BI32" i="1"/>
  <c r="BJ32" i="1" s="1"/>
  <c r="BD35" i="1"/>
  <c r="BC40" i="1"/>
  <c r="BD42" i="1"/>
  <c r="D44" i="1"/>
  <c r="BI45" i="1"/>
  <c r="BJ45" i="1" s="1"/>
  <c r="BD62" i="1"/>
  <c r="BC65" i="1"/>
  <c r="F73" i="1"/>
  <c r="F88" i="1"/>
  <c r="F92" i="1"/>
  <c r="D119" i="1"/>
  <c r="E119" i="1" s="1"/>
  <c r="BA124" i="1"/>
  <c r="BD23" i="1"/>
  <c r="BA31" i="1"/>
  <c r="BA35" i="1"/>
  <c r="BD53" i="1"/>
  <c r="BC55" i="1"/>
  <c r="D61" i="1"/>
  <c r="BI65" i="1"/>
  <c r="BJ65" i="1" s="1"/>
  <c r="D85" i="1"/>
  <c r="BA97" i="1"/>
  <c r="BC100" i="1"/>
  <c r="F106" i="1"/>
  <c r="BI107" i="1"/>
  <c r="BJ107" i="1" s="1"/>
  <c r="BC108" i="1"/>
  <c r="D110" i="1"/>
  <c r="BC111" i="1"/>
  <c r="D127" i="1"/>
  <c r="BC21" i="1"/>
  <c r="BA27" i="1"/>
  <c r="D28" i="1"/>
  <c r="G28" i="1" s="1"/>
  <c r="F36" i="1"/>
  <c r="D52" i="1"/>
  <c r="E52" i="1" s="1"/>
  <c r="BI73" i="1"/>
  <c r="BJ73" i="1" s="1"/>
  <c r="BI76" i="1"/>
  <c r="BJ76" i="1" s="1"/>
  <c r="BC88" i="1"/>
  <c r="BI92" i="1"/>
  <c r="BJ92" i="1" s="1"/>
  <c r="D122" i="1"/>
  <c r="G122" i="1" s="1"/>
  <c r="BD10" i="1"/>
  <c r="F13" i="1"/>
  <c r="BI49" i="1"/>
  <c r="BJ49" i="1" s="1"/>
  <c r="D65" i="1"/>
  <c r="E65" i="1" s="1"/>
  <c r="BA67" i="1"/>
  <c r="BC6" i="1"/>
  <c r="BJ6" i="1"/>
  <c r="BC3" i="1"/>
  <c r="BI3" i="1"/>
  <c r="BJ3" i="1" s="1"/>
  <c r="BB5" i="1"/>
  <c r="F12" i="1"/>
  <c r="BI28" i="1"/>
  <c r="BJ28" i="1" s="1"/>
  <c r="F31" i="1"/>
  <c r="BI44" i="1"/>
  <c r="BJ44" i="1" s="1"/>
  <c r="BC48" i="1"/>
  <c r="BD54" i="1"/>
  <c r="BD65" i="1"/>
  <c r="BI88" i="1"/>
  <c r="BJ88" i="1" s="1"/>
  <c r="BB115" i="1"/>
  <c r="BI119" i="1"/>
  <c r="BJ119" i="1" s="1"/>
  <c r="BB122" i="1"/>
  <c r="BD30" i="1"/>
  <c r="BB61" i="1"/>
  <c r="BC97" i="1"/>
  <c r="BB43" i="1"/>
  <c r="BD57" i="1"/>
  <c r="BD5" i="1"/>
  <c r="BA20" i="1"/>
  <c r="BA48" i="1"/>
  <c r="BD3" i="1"/>
  <c r="BD7" i="1"/>
  <c r="BI12" i="1"/>
  <c r="BJ12" i="1" s="1"/>
  <c r="BD16" i="1"/>
  <c r="D24" i="1"/>
  <c r="G24" i="1" s="1"/>
  <c r="D57" i="1"/>
  <c r="G57" i="1" s="1"/>
  <c r="D72" i="1"/>
  <c r="G72" i="1" s="1"/>
  <c r="BI97" i="1"/>
  <c r="BJ97" i="1" s="1"/>
  <c r="BC101" i="1"/>
  <c r="BA101" i="1"/>
  <c r="D130" i="1"/>
  <c r="E130" i="1" s="1"/>
  <c r="BI22" i="1"/>
  <c r="BJ22" i="1" s="1"/>
  <c r="D25" i="1"/>
  <c r="G25" i="1" s="1"/>
  <c r="F5" i="1"/>
  <c r="BA7" i="1"/>
  <c r="F20" i="1"/>
  <c r="D43" i="1"/>
  <c r="E43" i="1" s="1"/>
  <c r="BA47" i="1"/>
  <c r="F64" i="1"/>
  <c r="BD77" i="1"/>
  <c r="BD85" i="1"/>
  <c r="BI110" i="1"/>
  <c r="BJ110" i="1" s="1"/>
  <c r="BC113" i="1"/>
  <c r="BD115" i="1"/>
  <c r="BI127" i="1"/>
  <c r="BJ127" i="1" s="1"/>
  <c r="BI130" i="1"/>
  <c r="BJ130" i="1" s="1"/>
  <c r="BA10" i="1"/>
  <c r="BA17" i="1"/>
  <c r="BC18" i="1"/>
  <c r="BD36" i="1"/>
  <c r="BB16" i="1"/>
  <c r="BC22" i="1"/>
  <c r="BA34" i="1"/>
  <c r="BC43" i="1"/>
  <c r="BC93" i="1"/>
  <c r="BD103" i="1"/>
  <c r="BI109" i="1"/>
  <c r="BJ109" i="1" s="1"/>
  <c r="BC5" i="1"/>
  <c r="BI5" i="1"/>
  <c r="BJ5" i="1" s="1"/>
  <c r="BD12" i="1"/>
  <c r="BC20" i="1"/>
  <c r="F38" i="1"/>
  <c r="BC39" i="1"/>
  <c r="BA45" i="1"/>
  <c r="BB46" i="1"/>
  <c r="D51" i="1"/>
  <c r="F54" i="1"/>
  <c r="BI64" i="1"/>
  <c r="BJ64" i="1" s="1"/>
  <c r="D79" i="1"/>
  <c r="E79" i="1" s="1"/>
  <c r="F87" i="1"/>
  <c r="BD89" i="1"/>
  <c r="D91" i="1"/>
  <c r="G91" i="1" s="1"/>
  <c r="BI101" i="1"/>
  <c r="BJ101" i="1" s="1"/>
  <c r="BI118" i="1"/>
  <c r="BJ118" i="1" s="1"/>
  <c r="D129" i="1"/>
  <c r="BD130" i="1"/>
  <c r="BC16" i="1"/>
  <c r="BI16" i="1"/>
  <c r="BJ16" i="1" s="1"/>
  <c r="BA33" i="1"/>
  <c r="D35" i="1"/>
  <c r="G35" i="1" s="1"/>
  <c r="BI39" i="1"/>
  <c r="BJ39" i="1" s="1"/>
  <c r="BA44" i="1"/>
  <c r="BC47" i="1"/>
  <c r="BB62" i="1"/>
  <c r="D67" i="1"/>
  <c r="E67" i="1" s="1"/>
  <c r="BJ68" i="1"/>
  <c r="BA89" i="1"/>
  <c r="BD94" i="1"/>
  <c r="D100" i="1"/>
  <c r="F9" i="1"/>
  <c r="BB79" i="1"/>
  <c r="BC8" i="1"/>
  <c r="BD8" i="1"/>
  <c r="D11" i="1"/>
  <c r="E11" i="1" s="1"/>
  <c r="F15" i="1"/>
  <c r="BC35" i="1"/>
  <c r="BD37" i="1"/>
  <c r="BA52" i="1"/>
  <c r="BI87" i="1"/>
  <c r="BJ87" i="1" s="1"/>
  <c r="BD92" i="1"/>
  <c r="BI96" i="1"/>
  <c r="BJ96" i="1" s="1"/>
  <c r="BD127" i="1"/>
  <c r="G89" i="1"/>
  <c r="F2" i="1"/>
  <c r="BI2" i="1"/>
  <c r="BJ2" i="1" s="1"/>
  <c r="BA6" i="1"/>
  <c r="BB23" i="1"/>
  <c r="BI23" i="1"/>
  <c r="BJ23" i="1" s="1"/>
  <c r="BB27" i="1"/>
  <c r="BD29" i="1"/>
  <c r="F34" i="1"/>
  <c r="BC51" i="1"/>
  <c r="BI54" i="1"/>
  <c r="BJ54" i="1" s="1"/>
  <c r="BI75" i="1"/>
  <c r="BJ75" i="1" s="1"/>
  <c r="BD96" i="1"/>
  <c r="F104" i="1"/>
  <c r="BI105" i="1"/>
  <c r="BJ105" i="1" s="1"/>
  <c r="BA109" i="1"/>
  <c r="BD118" i="1"/>
  <c r="BB121" i="1"/>
  <c r="BC125" i="1"/>
  <c r="BA127" i="1"/>
  <c r="BA59" i="1"/>
  <c r="BC72" i="1"/>
  <c r="BA76" i="1"/>
  <c r="BD91" i="1"/>
  <c r="BA118" i="1"/>
  <c r="BA119" i="1"/>
  <c r="BB129" i="1"/>
  <c r="BD4" i="1"/>
  <c r="BA18" i="1"/>
  <c r="BC34" i="1"/>
  <c r="BC50" i="1"/>
  <c r="BC67" i="1"/>
  <c r="BI67" i="1"/>
  <c r="D78" i="1"/>
  <c r="G78" i="1" s="1"/>
  <c r="BA84" i="1"/>
  <c r="BA91" i="1"/>
  <c r="D95" i="1"/>
  <c r="E95" i="1" s="1"/>
  <c r="BD97" i="1"/>
  <c r="BD28" i="1"/>
  <c r="BA28" i="1"/>
  <c r="BI30" i="1"/>
  <c r="BJ30" i="1" s="1"/>
  <c r="BI42" i="1"/>
  <c r="BJ42" i="1" s="1"/>
  <c r="BD43" i="1"/>
  <c r="D7" i="1"/>
  <c r="E7" i="1" s="1"/>
  <c r="BA8" i="1"/>
  <c r="BC15" i="1"/>
  <c r="BB15" i="1"/>
  <c r="BD19" i="1"/>
  <c r="BD34" i="1"/>
  <c r="BC36" i="1"/>
  <c r="BC46" i="1"/>
  <c r="BA61" i="1"/>
  <c r="F66" i="1"/>
  <c r="BC78" i="1"/>
  <c r="BI78" i="1"/>
  <c r="BJ78" i="1" s="1"/>
  <c r="D90" i="1"/>
  <c r="G90" i="1" s="1"/>
  <c r="F99" i="1"/>
  <c r="BI100" i="1"/>
  <c r="BJ100" i="1" s="1"/>
  <c r="BA104" i="1"/>
  <c r="BI104" i="1"/>
  <c r="BJ104" i="1" s="1"/>
  <c r="BD112" i="1"/>
  <c r="D113" i="1"/>
  <c r="BD121" i="1"/>
  <c r="BI129" i="1"/>
  <c r="BJ129" i="1" s="1"/>
  <c r="BD15" i="1"/>
  <c r="BB4" i="1"/>
  <c r="BI7" i="1"/>
  <c r="BJ7" i="1" s="1"/>
  <c r="D14" i="1"/>
  <c r="F18" i="1"/>
  <c r="BB19" i="1"/>
  <c r="BA21" i="1"/>
  <c r="BC54" i="1"/>
  <c r="BC56" i="1"/>
  <c r="BI56" i="1"/>
  <c r="BJ56" i="1" s="1"/>
  <c r="BC61" i="1"/>
  <c r="BI63" i="1"/>
  <c r="BJ63" i="1" s="1"/>
  <c r="BB83" i="1"/>
  <c r="BB87" i="1"/>
  <c r="BC90" i="1"/>
  <c r="BA110" i="1"/>
  <c r="D124" i="1"/>
  <c r="BB12" i="1"/>
  <c r="BI15" i="1"/>
  <c r="BJ15" i="1" s="1"/>
  <c r="BB33" i="1"/>
  <c r="BC59" i="1"/>
  <c r="BI59" i="1"/>
  <c r="BJ59" i="1" s="1"/>
  <c r="BC66" i="1"/>
  <c r="BA68" i="1"/>
  <c r="BI83" i="1"/>
  <c r="BJ83" i="1" s="1"/>
  <c r="BA108" i="1"/>
  <c r="BC117" i="1"/>
  <c r="BC121" i="1"/>
  <c r="BC74" i="1"/>
  <c r="BI74" i="1"/>
  <c r="BJ74" i="1" s="1"/>
  <c r="BA2" i="1"/>
  <c r="BC4" i="1"/>
  <c r="BI4" i="1"/>
  <c r="BJ4" i="1" s="1"/>
  <c r="BD21" i="1"/>
  <c r="BI26" i="1"/>
  <c r="BJ26" i="1" s="1"/>
  <c r="BD27" i="1"/>
  <c r="D37" i="1"/>
  <c r="G37" i="1" s="1"/>
  <c r="BA41" i="1"/>
  <c r="BA42" i="1"/>
  <c r="F45" i="1"/>
  <c r="BD49" i="1"/>
  <c r="BC91" i="1"/>
  <c r="F94" i="1"/>
  <c r="BI99" i="1"/>
  <c r="BJ99" i="1" s="1"/>
  <c r="BI113" i="1"/>
  <c r="BJ113" i="1" s="1"/>
  <c r="BI117" i="1"/>
  <c r="BJ117" i="1" s="1"/>
  <c r="BI120" i="1"/>
  <c r="BJ120" i="1" s="1"/>
  <c r="BA3" i="1"/>
  <c r="BC2" i="1"/>
  <c r="F16" i="1"/>
  <c r="D16" i="1"/>
  <c r="BD22" i="1"/>
  <c r="BA23" i="1"/>
  <c r="BD31" i="1"/>
  <c r="BC13" i="1"/>
  <c r="BB3" i="1"/>
  <c r="E29" i="1"/>
  <c r="G29" i="1"/>
  <c r="BD2" i="1"/>
  <c r="D4" i="1"/>
  <c r="BC10" i="1"/>
  <c r="D49" i="1"/>
  <c r="F49" i="1"/>
  <c r="BB59" i="1"/>
  <c r="BC76" i="1"/>
  <c r="BD38" i="1"/>
  <c r="BI58" i="1"/>
  <c r="BJ58" i="1" s="1"/>
  <c r="F74" i="1"/>
  <c r="D74" i="1"/>
  <c r="BD82" i="1"/>
  <c r="BC86" i="1"/>
  <c r="BD128" i="1"/>
  <c r="BB47" i="1"/>
  <c r="BC81" i="1"/>
  <c r="BB34" i="1"/>
  <c r="BD71" i="1"/>
  <c r="BA78" i="1"/>
  <c r="BD81" i="1"/>
  <c r="BB105" i="1"/>
  <c r="BB38" i="1"/>
  <c r="BB26" i="1"/>
  <c r="BB20" i="1"/>
  <c r="F48" i="1"/>
  <c r="D48" i="1"/>
  <c r="BB55" i="1"/>
  <c r="F59" i="1"/>
  <c r="D32" i="1"/>
  <c r="G47" i="1"/>
  <c r="BC23" i="1"/>
  <c r="BB35" i="1"/>
  <c r="BA36" i="1"/>
  <c r="BC24" i="1"/>
  <c r="BD20" i="1"/>
  <c r="BD33" i="1"/>
  <c r="BD100" i="1"/>
  <c r="BA50" i="1"/>
  <c r="BA39" i="1"/>
  <c r="BA5" i="1"/>
  <c r="BC19" i="1"/>
  <c r="F6" i="1"/>
  <c r="BB22" i="1"/>
  <c r="BD26" i="1"/>
  <c r="D53" i="1"/>
  <c r="BA54" i="1"/>
  <c r="D69" i="1"/>
  <c r="F69" i="1"/>
  <c r="BD123" i="1"/>
  <c r="BB6" i="1"/>
  <c r="BD18" i="1"/>
  <c r="BA22" i="1"/>
  <c r="BD25" i="1"/>
  <c r="BC28" i="1"/>
  <c r="BB28" i="1"/>
  <c r="BA29" i="1"/>
  <c r="BA37" i="1"/>
  <c r="BC45" i="1"/>
  <c r="BB60" i="1"/>
  <c r="BD70" i="1"/>
  <c r="D88" i="1"/>
  <c r="BC7" i="1"/>
  <c r="BB8" i="1"/>
  <c r="D10" i="1"/>
  <c r="BI27" i="1"/>
  <c r="BJ27" i="1" s="1"/>
  <c r="BC69" i="1"/>
  <c r="BD75" i="1"/>
  <c r="BB9" i="1"/>
  <c r="F52" i="1"/>
  <c r="BB53" i="1"/>
  <c r="F63" i="1"/>
  <c r="D63" i="1"/>
  <c r="BA80" i="1"/>
  <c r="BA85" i="1"/>
  <c r="BI85" i="1"/>
  <c r="BJ85" i="1" s="1"/>
  <c r="BB93" i="1"/>
  <c r="BC94" i="1"/>
  <c r="BB39" i="1"/>
  <c r="D17" i="1"/>
  <c r="D60" i="1"/>
  <c r="F60" i="1"/>
  <c r="BB58" i="1"/>
  <c r="D36" i="1"/>
  <c r="BA25" i="1"/>
  <c r="F29" i="1"/>
  <c r="BA30" i="1"/>
  <c r="BA46" i="1"/>
  <c r="BD17" i="1"/>
  <c r="BD24" i="1"/>
  <c r="BB10" i="1"/>
  <c r="E42" i="1"/>
  <c r="BI53" i="1"/>
  <c r="BJ53" i="1" s="1"/>
  <c r="E62" i="1"/>
  <c r="BD74" i="1"/>
  <c r="BD93" i="1"/>
  <c r="BB98" i="1"/>
  <c r="BC103" i="1"/>
  <c r="D117" i="1"/>
  <c r="BB117" i="1"/>
  <c r="D21" i="1"/>
  <c r="BD14" i="1"/>
  <c r="BB21" i="1"/>
  <c r="D22" i="1"/>
  <c r="BC27" i="1"/>
  <c r="F28" i="1"/>
  <c r="BB36" i="1"/>
  <c r="BB54" i="1"/>
  <c r="BA94" i="1"/>
  <c r="D41" i="1"/>
  <c r="F41" i="1"/>
  <c r="BA71" i="1"/>
  <c r="BD9" i="1"/>
  <c r="BD45" i="1"/>
  <c r="BA13" i="1"/>
  <c r="BA58" i="1"/>
  <c r="D46" i="1"/>
  <c r="BB30" i="1"/>
  <c r="F8" i="1"/>
  <c r="D8" i="1"/>
  <c r="BA53" i="1"/>
  <c r="BB56" i="1"/>
  <c r="BA57" i="1"/>
  <c r="BC85" i="1"/>
  <c r="BA70" i="1"/>
  <c r="BA99" i="1"/>
  <c r="BB2" i="1"/>
  <c r="BD6" i="1"/>
  <c r="F42" i="1"/>
  <c r="D3" i="1"/>
  <c r="BA24" i="1"/>
  <c r="D40" i="1"/>
  <c r="BB41" i="1"/>
  <c r="BC42" i="1"/>
  <c r="D56" i="1"/>
  <c r="BC62" i="1"/>
  <c r="BB77" i="1"/>
  <c r="BA86" i="1"/>
  <c r="BB66" i="1"/>
  <c r="BB14" i="1"/>
  <c r="D31" i="1"/>
  <c r="D55" i="1"/>
  <c r="BD63" i="1"/>
  <c r="BC82" i="1"/>
  <c r="BA12" i="1"/>
  <c r="BD13" i="1"/>
  <c r="D5" i="1"/>
  <c r="BA38" i="1"/>
  <c r="BD66" i="1"/>
  <c r="F70" i="1"/>
  <c r="D70" i="1"/>
  <c r="BA4" i="1"/>
  <c r="BA16" i="1"/>
  <c r="BB31" i="1"/>
  <c r="D34" i="1"/>
  <c r="F30" i="1"/>
  <c r="BB40" i="1"/>
  <c r="F50" i="1"/>
  <c r="F61" i="1"/>
  <c r="BD67" i="1"/>
  <c r="F71" i="1"/>
  <c r="D71" i="1"/>
  <c r="BB73" i="1"/>
  <c r="BA77" i="1"/>
  <c r="BD79" i="1"/>
  <c r="BC84" i="1"/>
  <c r="G87" i="1"/>
  <c r="E87" i="1"/>
  <c r="BA88" i="1"/>
  <c r="D38" i="1"/>
  <c r="BA43" i="1"/>
  <c r="BD59" i="1"/>
  <c r="BB49" i="1"/>
  <c r="BA63" i="1"/>
  <c r="BA82" i="1"/>
  <c r="BI10" i="1"/>
  <c r="BJ10" i="1" s="1"/>
  <c r="BC11" i="1"/>
  <c r="BC12" i="1"/>
  <c r="BA40" i="1"/>
  <c r="BI40" i="1"/>
  <c r="BJ40" i="1" s="1"/>
  <c r="BD44" i="1"/>
  <c r="BD52" i="1"/>
  <c r="BA56" i="1"/>
  <c r="BB67" i="1"/>
  <c r="BD84" i="1"/>
  <c r="BD83" i="1"/>
  <c r="BB92" i="1"/>
  <c r="BD98" i="1"/>
  <c r="BA106" i="1"/>
  <c r="F109" i="1"/>
  <c r="D109" i="1"/>
  <c r="BD47" i="1"/>
  <c r="BI47" i="1"/>
  <c r="BJ47" i="1" s="1"/>
  <c r="BD48" i="1"/>
  <c r="BC52" i="1"/>
  <c r="BB52" i="1"/>
  <c r="F58" i="1"/>
  <c r="D58" i="1"/>
  <c r="BD72" i="1"/>
  <c r="BA79" i="1"/>
  <c r="BA9" i="1"/>
  <c r="BI19" i="1"/>
  <c r="BJ19" i="1" s="1"/>
  <c r="BI36" i="1"/>
  <c r="BJ36" i="1" s="1"/>
  <c r="F91" i="1"/>
  <c r="BC92" i="1"/>
  <c r="BD105" i="1"/>
  <c r="BB116" i="1"/>
  <c r="BB125" i="1"/>
  <c r="D94" i="1"/>
  <c r="BA92" i="1"/>
  <c r="BB96" i="1"/>
  <c r="BC29" i="1"/>
  <c r="BA55" i="1"/>
  <c r="BD56" i="1"/>
  <c r="BD78" i="1"/>
  <c r="BB94" i="1"/>
  <c r="BC99" i="1"/>
  <c r="F102" i="1"/>
  <c r="D102" i="1"/>
  <c r="D103" i="1"/>
  <c r="BD111" i="1"/>
  <c r="BA113" i="1"/>
  <c r="BD125" i="1"/>
  <c r="BA87" i="1"/>
  <c r="F95" i="1"/>
  <c r="BC130" i="1"/>
  <c r="BB130" i="1"/>
  <c r="BD39" i="1"/>
  <c r="BD40" i="1"/>
  <c r="F44" i="1"/>
  <c r="BA65" i="1"/>
  <c r="F68" i="1"/>
  <c r="BB74" i="1"/>
  <c r="BC75" i="1"/>
  <c r="BB75" i="1"/>
  <c r="BB76" i="1"/>
  <c r="BD109" i="1"/>
  <c r="BB42" i="1"/>
  <c r="BD51" i="1"/>
  <c r="BC60" i="1"/>
  <c r="BA62" i="1"/>
  <c r="F79" i="1"/>
  <c r="BI90" i="1"/>
  <c r="BJ90" i="1" s="1"/>
  <c r="BB108" i="1"/>
  <c r="BD110" i="1"/>
  <c r="BA74" i="1"/>
  <c r="BB101" i="1"/>
  <c r="BC123" i="1"/>
  <c r="BC17" i="1"/>
  <c r="BB17" i="1"/>
  <c r="BB45" i="1"/>
  <c r="BD61" i="1"/>
  <c r="BC68" i="1"/>
  <c r="BB68" i="1"/>
  <c r="BB69" i="1"/>
  <c r="BC70" i="1"/>
  <c r="BB70" i="1"/>
  <c r="BD76" i="1"/>
  <c r="BB78" i="1"/>
  <c r="F80" i="1"/>
  <c r="D80" i="1"/>
  <c r="D86" i="1"/>
  <c r="BD95" i="1"/>
  <c r="BD102" i="1"/>
  <c r="BB24" i="1"/>
  <c r="BD60" i="1"/>
  <c r="BC71" i="1"/>
  <c r="BB71" i="1"/>
  <c r="BC73" i="1"/>
  <c r="BC79" i="1"/>
  <c r="BD88" i="1"/>
  <c r="BD90" i="1"/>
  <c r="BB107" i="1"/>
  <c r="BD108" i="1"/>
  <c r="BC122" i="1"/>
  <c r="BC63" i="1"/>
  <c r="BD64" i="1"/>
  <c r="BA90" i="1"/>
  <c r="BB7" i="1"/>
  <c r="BA11" i="1"/>
  <c r="BB18" i="1"/>
  <c r="BD32" i="1"/>
  <c r="BA64" i="1"/>
  <c r="BD68" i="1"/>
  <c r="BA72" i="1"/>
  <c r="F84" i="1"/>
  <c r="BC87" i="1"/>
  <c r="BA122" i="1"/>
  <c r="BD129" i="1"/>
  <c r="BB25" i="1"/>
  <c r="D27" i="1"/>
  <c r="BD73" i="1"/>
  <c r="BB81" i="1"/>
  <c r="BB86" i="1"/>
  <c r="BJ67" i="1"/>
  <c r="BA81" i="1"/>
  <c r="BB84" i="1"/>
  <c r="BB85" i="1"/>
  <c r="BB113" i="1"/>
  <c r="BB88" i="1"/>
  <c r="F114" i="1"/>
  <c r="D114" i="1"/>
  <c r="BD106" i="1"/>
  <c r="BA115" i="1"/>
  <c r="BA130" i="1"/>
  <c r="BA114" i="1"/>
  <c r="BC115" i="1"/>
  <c r="BC83" i="1"/>
  <c r="BB89" i="1"/>
  <c r="BC95" i="1"/>
  <c r="BA96" i="1"/>
  <c r="BB97" i="1"/>
  <c r="BB100" i="1"/>
  <c r="BA103" i="1"/>
  <c r="BD104" i="1"/>
  <c r="BC114" i="1"/>
  <c r="F120" i="1"/>
  <c r="D120" i="1"/>
  <c r="BI35" i="1"/>
  <c r="BJ35" i="1" s="1"/>
  <c r="F57" i="1"/>
  <c r="BD69" i="1"/>
  <c r="BB99" i="1"/>
  <c r="F112" i="1"/>
  <c r="BI70" i="1"/>
  <c r="BJ70" i="1" s="1"/>
  <c r="D73" i="1"/>
  <c r="BC80" i="1"/>
  <c r="BB80" i="1"/>
  <c r="BD99" i="1"/>
  <c r="BA100" i="1"/>
  <c r="BC110" i="1"/>
  <c r="BB110" i="1"/>
  <c r="BA111" i="1"/>
  <c r="BB112" i="1"/>
  <c r="BA121" i="1"/>
  <c r="BC128" i="1"/>
  <c r="BD55" i="1"/>
  <c r="BI55" i="1"/>
  <c r="BJ55" i="1" s="1"/>
  <c r="BC57" i="1"/>
  <c r="BB57" i="1"/>
  <c r="BI71" i="1"/>
  <c r="BJ71" i="1" s="1"/>
  <c r="BB72" i="1"/>
  <c r="BB90" i="1"/>
  <c r="BJ102" i="1"/>
  <c r="BC109" i="1"/>
  <c r="BA112" i="1"/>
  <c r="BC119" i="1"/>
  <c r="BB119" i="1"/>
  <c r="BA128" i="1"/>
  <c r="BD87" i="1"/>
  <c r="D118" i="1"/>
  <c r="BB63" i="1"/>
  <c r="BD80" i="1"/>
  <c r="BD114" i="1"/>
  <c r="BA26" i="1"/>
  <c r="BC32" i="1"/>
  <c r="BB32" i="1"/>
  <c r="BB37" i="1"/>
  <c r="F23" i="1"/>
  <c r="BC64" i="1"/>
  <c r="BB64" i="1"/>
  <c r="BA73" i="1"/>
  <c r="F76" i="1"/>
  <c r="D76" i="1"/>
  <c r="BB91" i="1"/>
  <c r="BC118" i="1"/>
  <c r="BD119" i="1"/>
  <c r="F125" i="1"/>
  <c r="D125" i="1"/>
  <c r="F126" i="1"/>
  <c r="BB124" i="1"/>
  <c r="BB106" i="1"/>
  <c r="BA123" i="1"/>
  <c r="BA117" i="1"/>
  <c r="BB118" i="1"/>
  <c r="BA51" i="1"/>
  <c r="D64" i="1"/>
  <c r="BB95" i="1"/>
  <c r="BC126" i="1"/>
  <c r="BB103" i="1"/>
  <c r="BD107" i="1"/>
  <c r="BB114" i="1"/>
  <c r="BB120" i="1"/>
  <c r="BA126" i="1"/>
  <c r="BC44" i="1"/>
  <c r="BB44" i="1"/>
  <c r="D92" i="1"/>
  <c r="BA95" i="1"/>
  <c r="BD113" i="1"/>
  <c r="BA120" i="1"/>
  <c r="BB127" i="1"/>
  <c r="D128" i="1"/>
  <c r="BD126" i="1"/>
  <c r="BB109" i="1"/>
  <c r="BD120" i="1"/>
  <c r="BB29" i="1"/>
  <c r="F101" i="1"/>
  <c r="BA60" i="1"/>
  <c r="BC107" i="1"/>
  <c r="BB128" i="1"/>
  <c r="BC104" i="1"/>
  <c r="F123" i="1"/>
  <c r="BB126" i="1"/>
  <c r="BB123" i="1"/>
  <c r="D108" i="1"/>
  <c r="G19" i="1" l="1"/>
  <c r="E91" i="1"/>
  <c r="G52" i="1"/>
  <c r="G112" i="1"/>
  <c r="E111" i="1"/>
  <c r="E13" i="1"/>
  <c r="E99" i="1"/>
  <c r="E57" i="1"/>
  <c r="E115" i="1"/>
  <c r="E78" i="1"/>
  <c r="G39" i="1"/>
  <c r="G98" i="1"/>
  <c r="G116" i="1"/>
  <c r="G15" i="1"/>
  <c r="G66" i="1"/>
  <c r="G54" i="1"/>
  <c r="G130" i="1"/>
  <c r="E20" i="1"/>
  <c r="G23" i="1"/>
  <c r="G79" i="1"/>
  <c r="E97" i="1"/>
  <c r="E104" i="1"/>
  <c r="E26" i="1"/>
  <c r="G83" i="1"/>
  <c r="G105" i="1"/>
  <c r="G75" i="1"/>
  <c r="E82" i="1"/>
  <c r="E123" i="1"/>
  <c r="E96" i="1"/>
  <c r="E122" i="1"/>
  <c r="E2" i="1"/>
  <c r="G67" i="1"/>
  <c r="E6" i="1"/>
  <c r="E77" i="1"/>
  <c r="E81" i="1"/>
  <c r="G45" i="1"/>
  <c r="G33" i="1"/>
  <c r="E121" i="1"/>
  <c r="E106" i="1"/>
  <c r="G84" i="1"/>
  <c r="G7" i="1"/>
  <c r="E12" i="1"/>
  <c r="E107" i="1"/>
  <c r="G107" i="1"/>
  <c r="G9" i="1"/>
  <c r="G11" i="1"/>
  <c r="G50" i="1"/>
  <c r="E50" i="1"/>
  <c r="G95" i="1"/>
  <c r="G65" i="1"/>
  <c r="G68" i="1"/>
  <c r="G18" i="1"/>
  <c r="E93" i="1"/>
  <c r="E30" i="1"/>
  <c r="E101" i="1"/>
  <c r="G101" i="1"/>
  <c r="E25" i="1"/>
  <c r="E126" i="1"/>
  <c r="G59" i="1"/>
  <c r="E28" i="1"/>
  <c r="E110" i="1"/>
  <c r="G110" i="1"/>
  <c r="E127" i="1"/>
  <c r="G127" i="1"/>
  <c r="E90" i="1"/>
  <c r="E24" i="1"/>
  <c r="E129" i="1"/>
  <c r="G129" i="1"/>
  <c r="G44" i="1"/>
  <c r="E44" i="1"/>
  <c r="G119" i="1"/>
  <c r="E72" i="1"/>
  <c r="E14" i="1"/>
  <c r="G14" i="1"/>
  <c r="G113" i="1"/>
  <c r="E113" i="1"/>
  <c r="G85" i="1"/>
  <c r="E85" i="1"/>
  <c r="G43" i="1"/>
  <c r="E37" i="1"/>
  <c r="E100" i="1"/>
  <c r="G100" i="1"/>
  <c r="E61" i="1"/>
  <c r="G61" i="1"/>
  <c r="E35" i="1"/>
  <c r="G51" i="1"/>
  <c r="E51" i="1"/>
  <c r="G124" i="1"/>
  <c r="E124" i="1"/>
  <c r="E102" i="1"/>
  <c r="G102" i="1"/>
  <c r="E27" i="1"/>
  <c r="G27" i="1"/>
  <c r="G41" i="1"/>
  <c r="E41" i="1"/>
  <c r="E49" i="1"/>
  <c r="G49" i="1"/>
  <c r="G63" i="1"/>
  <c r="E63" i="1"/>
  <c r="G58" i="1"/>
  <c r="E58" i="1"/>
  <c r="G64" i="1"/>
  <c r="E64" i="1"/>
  <c r="G120" i="1"/>
  <c r="E120" i="1"/>
  <c r="E76" i="1"/>
  <c r="G76" i="1"/>
  <c r="G5" i="1"/>
  <c r="E5" i="1"/>
  <c r="E114" i="1"/>
  <c r="G114" i="1"/>
  <c r="G71" i="1"/>
  <c r="E71" i="1"/>
  <c r="G55" i="1"/>
  <c r="E55" i="1"/>
  <c r="G4" i="1"/>
  <c r="E4" i="1"/>
  <c r="G128" i="1"/>
  <c r="E128" i="1"/>
  <c r="G31" i="1"/>
  <c r="E31" i="1"/>
  <c r="E22" i="1"/>
  <c r="G22" i="1"/>
  <c r="G16" i="1"/>
  <c r="E16" i="1"/>
  <c r="G94" i="1"/>
  <c r="E94" i="1"/>
  <c r="G109" i="1"/>
  <c r="E109" i="1"/>
  <c r="G69" i="1"/>
  <c r="E69" i="1"/>
  <c r="G53" i="1"/>
  <c r="E53" i="1"/>
  <c r="E125" i="1"/>
  <c r="G125" i="1"/>
  <c r="E21" i="1"/>
  <c r="G21" i="1"/>
  <c r="G103" i="1"/>
  <c r="E103" i="1"/>
  <c r="G10" i="1"/>
  <c r="E10" i="1"/>
  <c r="E8" i="1"/>
  <c r="G8" i="1"/>
  <c r="G36" i="1"/>
  <c r="E36" i="1"/>
  <c r="G118" i="1"/>
  <c r="E118" i="1"/>
  <c r="G38" i="1"/>
  <c r="E38" i="1"/>
  <c r="G34" i="1"/>
  <c r="E34" i="1"/>
  <c r="G117" i="1"/>
  <c r="E117" i="1"/>
  <c r="G74" i="1"/>
  <c r="E74" i="1"/>
  <c r="G86" i="1"/>
  <c r="E86" i="1"/>
  <c r="G56" i="1"/>
  <c r="E56" i="1"/>
  <c r="E88" i="1"/>
  <c r="G88" i="1"/>
  <c r="E32" i="1"/>
  <c r="G32" i="1"/>
  <c r="G92" i="1"/>
  <c r="E92" i="1"/>
  <c r="E80" i="1"/>
  <c r="G80" i="1"/>
  <c r="G46" i="1"/>
  <c r="E46" i="1"/>
  <c r="G108" i="1"/>
  <c r="E108" i="1"/>
  <c r="G60" i="1"/>
  <c r="E60" i="1"/>
  <c r="G73" i="1"/>
  <c r="E73" i="1"/>
  <c r="G40" i="1"/>
  <c r="E40" i="1"/>
  <c r="E17" i="1"/>
  <c r="G17" i="1"/>
  <c r="G70" i="1"/>
  <c r="E70" i="1"/>
  <c r="G48" i="1"/>
  <c r="E48" i="1"/>
  <c r="E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I1" authorId="0" shapeId="0" xr:uid="{CD33E32E-9EB3-40F8-8184-D94F42ED46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Revisar Kilos despachados a Criaderos de Animales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<sst xmlns="http://schemas.openxmlformats.org/spreadsheetml/2006/main" count="235" uniqueCount="235">
  <si>
    <t>DONANTE</t>
  </si>
  <si>
    <t>{KG MERMA EN EL MES}</t>
  </si>
  <si>
    <t>{KG DONADOS EN EL MES}</t>
  </si>
  <si>
    <t>{KG APROVECHABES EN EL MES}</t>
  </si>
  <si>
    <t>{FÓRMULA DE ALIMENTO % UTILIZADO}</t>
  </si>
  <si>
    <t>{FÓRMULA DE ALIMENTO % MERMA}</t>
  </si>
  <si>
    <t xml:space="preserve">{FÓRMULA CONVERSIÓN A PLATOS DE COMIDA} </t>
  </si>
  <si>
    <t>SIN AREA Obs/PRO</t>
  </si>
  <si>
    <t>SIN AREA KG ASIGNADOS</t>
  </si>
  <si>
    <t>SIN AREA BENEFICIARIOS</t>
  </si>
  <si>
    <t>P CENTRO Obs/PRO</t>
  </si>
  <si>
    <t>P CENTRO KG ASIGNADOS</t>
  </si>
  <si>
    <t>P CENTRO BENEFICIARIOS</t>
  </si>
  <si>
    <t>ESTE Obs/PRO</t>
  </si>
  <si>
    <t>ESTE KG ASIGNADOS</t>
  </si>
  <si>
    <t>ESTE BENEFICIARIOS</t>
  </si>
  <si>
    <t>NORTE Obs/PRO</t>
  </si>
  <si>
    <t>NORTE KG ASIGNADOS</t>
  </si>
  <si>
    <t>NORTE BENEFICIARIOS</t>
  </si>
  <si>
    <t>SAN MIGUELITO Obs/PRO</t>
  </si>
  <si>
    <t>SAN MIGUELITO KG ASIGNADOS</t>
  </si>
  <si>
    <t>SAN MIGUELITO BENEFICIARIOS</t>
  </si>
  <si>
    <t>OESTE Obs/PRO</t>
  </si>
  <si>
    <t>OESTE KG ASIGNADOS</t>
  </si>
  <si>
    <t>OESTE BENEFICIARIOS</t>
  </si>
  <si>
    <t>COCLE Obs/PRO</t>
  </si>
  <si>
    <t>COCLE KG ASIGNADOS</t>
  </si>
  <si>
    <t>COCLE BENEFICIARIOS</t>
  </si>
  <si>
    <t>COLON Obs/PRO</t>
  </si>
  <si>
    <t>COLON KG ASIGNADOS</t>
  </si>
  <si>
    <t>COLON BENEFICIARIOS</t>
  </si>
  <si>
    <t>DARIÉN Obs/PRO</t>
  </si>
  <si>
    <t>DARIÉN KG ASIGNADOS</t>
  </si>
  <si>
    <t>DARIÉN BENEFICIARIOS</t>
  </si>
  <si>
    <t>HERRERA Obs/PRO</t>
  </si>
  <si>
    <t>HERRERA KG ASIGNADOS</t>
  </si>
  <si>
    <t>HERRERA BENEFICIARIOS</t>
  </si>
  <si>
    <t>LOS SANTOS Obs/PRO</t>
  </si>
  <si>
    <t>LOS SANTOS KG ASIGNADOS</t>
  </si>
  <si>
    <t>LOS SANTOS BENEFICIARIOS</t>
  </si>
  <si>
    <t>VERAGUAS Obs/PRO</t>
  </si>
  <si>
    <t>VERAGUAS KG ASIGNADOS</t>
  </si>
  <si>
    <t>VERAGUAS BENEFICIARIOS</t>
  </si>
  <si>
    <t>CHIRIQUI Obs/PRO</t>
  </si>
  <si>
    <t>CHIRIQUI KG ASIGNADOS</t>
  </si>
  <si>
    <t>CHIRIQUI BENEFICIARIOS</t>
  </si>
  <si>
    <t>BOCAS  Obs/PRO</t>
  </si>
  <si>
    <t>BOCAS KG ASIGNADOS</t>
  </si>
  <si>
    <t>BOCAS BENEFICIARIOS</t>
  </si>
  <si>
    <t>Comarca Ngabe Bugle Obs/PRO</t>
  </si>
  <si>
    <t>Comarca Ngabe Bugle KG ASIGNADOS</t>
  </si>
  <si>
    <t>Comarca Ngabe Bugle BENEFICIARIOS</t>
  </si>
  <si>
    <t>Total Obs/PRO</t>
  </si>
  <si>
    <t>Total KG ASIGNADOS</t>
  </si>
  <si>
    <t>Total_Prov_Pma</t>
  </si>
  <si>
    <t>Total BENEFICIARIOS</t>
  </si>
  <si>
    <t>Sin Edad</t>
  </si>
  <si>
    <t>Niños 0-5</t>
  </si>
  <si>
    <t>Niños 6-10</t>
  </si>
  <si>
    <t>Niños 11-18</t>
  </si>
  <si>
    <t>Total NIÑOS</t>
  </si>
  <si>
    <t>Total ADULTOS</t>
  </si>
  <si>
    <t>Benefeciarios en Total</t>
  </si>
  <si>
    <t>OB_Ene</t>
  </si>
  <si>
    <t>OB_Feb</t>
  </si>
  <si>
    <t>OB_Mar</t>
  </si>
  <si>
    <t>OB_Abr</t>
  </si>
  <si>
    <t>OB_May</t>
  </si>
  <si>
    <t>OB_Jun</t>
  </si>
  <si>
    <t>OB_Jul</t>
  </si>
  <si>
    <t>OB_Ago</t>
  </si>
  <si>
    <t>OB_Sep</t>
  </si>
  <si>
    <t>OB_Oct</t>
  </si>
  <si>
    <t>OB_Nov</t>
  </si>
  <si>
    <t>OB_Dic</t>
  </si>
  <si>
    <t>OB_Total</t>
  </si>
  <si>
    <t>Kilos_Ene</t>
  </si>
  <si>
    <t>Kilos_Feb</t>
  </si>
  <si>
    <t>Kilos_Mar</t>
  </si>
  <si>
    <t>Kilos_Abr</t>
  </si>
  <si>
    <t>Kilos_May</t>
  </si>
  <si>
    <t>Kilos_Jun</t>
  </si>
  <si>
    <t>Kilos_Jul</t>
  </si>
  <si>
    <t>Kilos_Ago</t>
  </si>
  <si>
    <t>Kilos_Sep</t>
  </si>
  <si>
    <t>Kilos_Oct</t>
  </si>
  <si>
    <t>Kilos_Nov</t>
  </si>
  <si>
    <t>Kilos_Dic</t>
  </si>
  <si>
    <t>Kilos_Total</t>
  </si>
  <si>
    <t>Poblacion_Ene</t>
  </si>
  <si>
    <t>Poblacion_Feb</t>
  </si>
  <si>
    <t>Poblacion_Mar</t>
  </si>
  <si>
    <t>Poblacion_Abr</t>
  </si>
  <si>
    <t>Poblacion_May</t>
  </si>
  <si>
    <t>Poblacion_Jun</t>
  </si>
  <si>
    <t>Poblacion_Jul</t>
  </si>
  <si>
    <t>Poblacion_Ago</t>
  </si>
  <si>
    <t>Poblacion_Sep</t>
  </si>
  <si>
    <t>Poblacion_Oct</t>
  </si>
  <si>
    <t>Poblacion_Nov</t>
  </si>
  <si>
    <t>Poblacion_Dic</t>
  </si>
  <si>
    <t>Poblacion_Total</t>
  </si>
  <si>
    <t>Contacto principal</t>
  </si>
  <si>
    <t>Correo Electrónico</t>
  </si>
  <si>
    <t>Telefono</t>
  </si>
  <si>
    <t>Nombre del Archivo</t>
  </si>
  <si>
    <t>AGENCIAS FEDURO</t>
  </si>
  <si>
    <t>ALIMENTOS CÁRNICOS DE PANAMA ,S.A</t>
  </si>
  <si>
    <t>ALIMENTOS NICO, S.A, (ANICSA)</t>
  </si>
  <si>
    <t>Bienes y Raices Metalicas S.A.</t>
  </si>
  <si>
    <t>CERVECERIA NACIONAL</t>
  </si>
  <si>
    <t>CONGREGACION DE HERMANDAD KOL SHEARITH ISRAEL</t>
  </si>
  <si>
    <t>CORPORACION INTERNACIONAL DE ALIMENTOS, S.A.</t>
  </si>
  <si>
    <t>Delivery Hero Dmart Panamá S.A. (Pedidos Ya)</t>
  </si>
  <si>
    <t>Empresa Panameña de Alimentos, S. A.</t>
  </si>
  <si>
    <t>FELIPE MOTTA, S.A</t>
  </si>
  <si>
    <t>FRANQUICIAS PANAMEÑAS</t>
  </si>
  <si>
    <t>GENTILE - G &amp; H. S.A.</t>
  </si>
  <si>
    <t>GLOBAL PRODUCTS AND LOGISTIC SERVICES, INC. (Dicarina)</t>
  </si>
  <si>
    <t>Grupo Calesa</t>
  </si>
  <si>
    <t>GRUPO REY</t>
  </si>
  <si>
    <t>HT ZANETATO INC</t>
  </si>
  <si>
    <t>MERCA PANAMA</t>
  </si>
  <si>
    <t>NEGOCIOS CENTROAMERICANOS, S.A</t>
  </si>
  <si>
    <t>NESTLE PANAMA</t>
  </si>
  <si>
    <t>ORDEN DE MALTA PANAMA ASOCIACION PANAMEÑA</t>
  </si>
  <si>
    <t>PANASAL</t>
  </si>
  <si>
    <t>PEDERSEN FINE FOODS, S.A</t>
  </si>
  <si>
    <t>Price-Smart-Panama S.A</t>
  </si>
  <si>
    <t>PRODISA TRADING S.A.</t>
  </si>
  <si>
    <t>PRODUCTOS KIENER</t>
  </si>
  <si>
    <t>PRODUCTOS LA DOÑA, S.A</t>
  </si>
  <si>
    <t>PRODUCTOS NEVADA S.A</t>
  </si>
  <si>
    <t>PRODUCTOS TOLEDANO</t>
  </si>
  <si>
    <t>PROGRAMA KILOS DE ESPERANZA</t>
  </si>
  <si>
    <t>PROSERV</t>
  </si>
  <si>
    <t>PURISSIMA, S.A</t>
  </si>
  <si>
    <t>REPRESENTACIONES TEJEIRA, S.A</t>
  </si>
  <si>
    <t>SALVA - MAR,</t>
  </si>
  <si>
    <t>SUPER CARNES</t>
  </si>
  <si>
    <t>VENTAS Y MERCADEO, S.A</t>
  </si>
  <si>
    <t>Colgate Palmolive (CENTRAL AMERICA) INC</t>
  </si>
  <si>
    <t>IMPORTADORA FRUTA INTERNACIONAL PANAMÁ, S.A.</t>
  </si>
  <si>
    <t>IMPORTADORA TRANSMUNDI, S.A</t>
  </si>
  <si>
    <t>FOREVER OCEANS PANAMÁ, S.A.</t>
  </si>
  <si>
    <t>SUPER BRANDS CORPORATION</t>
  </si>
  <si>
    <t>Jacach S.A.</t>
  </si>
  <si>
    <t>Marketing Roots Inc.</t>
  </si>
  <si>
    <t>Vima Foods Panamá S.A.</t>
  </si>
  <si>
    <t>PRODUCTOS LUX, S.A ( Proluxa)</t>
  </si>
  <si>
    <t>MARTÍN BROWER</t>
  </si>
  <si>
    <t>NUTRISERVI PANAMA S.A</t>
  </si>
  <si>
    <t>RIBA SMITH, S.A.</t>
  </si>
  <si>
    <t>SG Foods Latinoamérica, S.A.</t>
  </si>
  <si>
    <t>IMPORTADORA Y EXPORTADORA NIMAR</t>
  </si>
  <si>
    <t>GC DEV, S.A.</t>
  </si>
  <si>
    <t>Agrícola La Lomita, S.A.</t>
  </si>
  <si>
    <t>CAMPAÑA NUTRIENDO VIDAS</t>
  </si>
  <si>
    <t>CERRO PUNTA, S.A</t>
  </si>
  <si>
    <t>COMPAÑIA LEVAPAN DE PANAMA, S.A.</t>
  </si>
  <si>
    <t>DICSA PANAMA</t>
  </si>
  <si>
    <t>Grupo Denis, S.A.</t>
  </si>
  <si>
    <t>INVERSIONES MAKAPANA, S.A</t>
  </si>
  <si>
    <t>KERRY PANAMA, S.A.</t>
  </si>
  <si>
    <t>LINA CORPORATION INC (LINA)</t>
  </si>
  <si>
    <t>MEDIA ITEMS, INC</t>
  </si>
  <si>
    <t>MELO FARMA, S.A.</t>
  </si>
  <si>
    <t>MERCALIMENTOS PANAMA, S.A</t>
  </si>
  <si>
    <t>NATHAN FOODS CORPORATION</t>
  </si>
  <si>
    <t>San Gregorio Trading and Transport S.A.</t>
  </si>
  <si>
    <t>UNILEVER DE CENTROAMERICA S.A.</t>
  </si>
  <si>
    <t>VARELA HERMANOS</t>
  </si>
  <si>
    <t>GOLD MILLS</t>
  </si>
  <si>
    <t>International Franchise Food Service/Subway</t>
  </si>
  <si>
    <t>KIMBERLY-CLARK CENTRAL AMERICAN HOLDING, S.A</t>
  </si>
  <si>
    <t>VERDES &amp; CO</t>
  </si>
  <si>
    <t>AGENCIA PALM LOPEZ</t>
  </si>
  <si>
    <t>AGROINVESA - Agroindustrias Alimenticias de Veraguas, S.A. - La Parmigiana</t>
  </si>
  <si>
    <t>IMPORTADORA RICAMAR - SUPER 99</t>
  </si>
  <si>
    <t>NUEVO HUNG SHENG</t>
  </si>
  <si>
    <t>PRODUCTOS DE PRESTIGIO, S.A</t>
  </si>
  <si>
    <t>COMERCIALIZADORA ANCAR, S.A.</t>
  </si>
  <si>
    <t>CAMPANA K-WORLD ENTERTAIMENT</t>
  </si>
  <si>
    <t>Puratos de Panamá, S.A.</t>
  </si>
  <si>
    <t>UNITED WAY</t>
  </si>
  <si>
    <t>IMPORTADORA VIRZI S.A.</t>
  </si>
  <si>
    <t>Inversiones Naturalia , S.A</t>
  </si>
  <si>
    <t>GOURMET IMPORTS, S.A.</t>
  </si>
  <si>
    <t>PANAMA CONVENTION CENTER</t>
  </si>
  <si>
    <t>Distribuidora Italo Hispana</t>
  </si>
  <si>
    <t>BIMBO DE PANAMA , S.A</t>
  </si>
  <si>
    <t>MARTIN BROWER</t>
  </si>
  <si>
    <t>FOREVER OCEANS PANAMA, S.A.</t>
  </si>
  <si>
    <t>CESAR ARROCHA GRAELL Y CIA, S.A (Arrocha)</t>
  </si>
  <si>
    <t>ALIMENTOS DEL ISTMO (PEPSICO)</t>
  </si>
  <si>
    <t>Grupo BIO, S.A</t>
  </si>
  <si>
    <t>Panama Ship Warehouse</t>
  </si>
  <si>
    <t>Comercializadora Continental Santana S.A. (Costa Group)</t>
  </si>
  <si>
    <t>GRUPO BARSASH, S.A</t>
  </si>
  <si>
    <t>POTUGA FRUIT COMPANY S.A</t>
  </si>
  <si>
    <t>DROGUERIA RAMON GONZALEZ REVILLA</t>
  </si>
  <si>
    <t>DULCERIA MOMI, S.A.</t>
  </si>
  <si>
    <t>MINERA PANAMÁ</t>
  </si>
  <si>
    <t>EMPAQUES DE COLON S.A.</t>
  </si>
  <si>
    <t>H. TZANETATO INC</t>
  </si>
  <si>
    <t>INTERLIGHT INDUSTRIES, S.A.</t>
  </si>
  <si>
    <t>PRODUCTORES BALBOA INTERNACIONALES INC.</t>
  </si>
  <si>
    <t>PAN. CESARIN</t>
  </si>
  <si>
    <t>ECO FOOD &amp; HEALTH S.A.</t>
  </si>
  <si>
    <t>CORONADO ACL S.A. (LEUDO PANADERÍA)</t>
  </si>
  <si>
    <t>Despacho de la 1ra Dama</t>
  </si>
  <si>
    <t>INDUSTRIAS LACTEAS, S.A / Estrella Azul</t>
  </si>
  <si>
    <t>GEORGIA TECH PANAMA FOUNDATION</t>
  </si>
  <si>
    <t>IMPORTADORA AMADAHY S.A.</t>
  </si>
  <si>
    <t>LA CHOLITA S.A.</t>
  </si>
  <si>
    <t>L.A.L. (Los Años Locos)</t>
  </si>
  <si>
    <t>UNIVERDE S.A</t>
  </si>
  <si>
    <t>BARRAZA Y COMPAÑIA, S.A</t>
  </si>
  <si>
    <t>Federación Nacional de Cooperativas Salineras de Panamá (FENCOSPA, R.L.)</t>
  </si>
  <si>
    <t>RODOLFO MORENO Y CIA (ROMOCIA)</t>
  </si>
  <si>
    <t>IMPORTADORA Y EXP HERMANOS GAGO S.A.</t>
  </si>
  <si>
    <t>EUROFRUTAS INC</t>
  </si>
  <si>
    <t>FRESCAFHISH, S.A</t>
  </si>
  <si>
    <t>Global Brands (Panamá), S.A</t>
  </si>
  <si>
    <t>ULE RIVER RANCH</t>
  </si>
  <si>
    <t>PROCESADORA MONICA, S.A</t>
  </si>
  <si>
    <t>SAMBU ARTISAN FOOD, S.A.</t>
  </si>
  <si>
    <t>GRUPO NIJAR S.A.</t>
  </si>
  <si>
    <t>L?Oréal Panamá Comercial, S. A</t>
  </si>
  <si>
    <t>Agro Export Pacific, S.A</t>
  </si>
  <si>
    <t>CENTRAL AZUCARERO LA VICTORIA</t>
  </si>
  <si>
    <t>COOLBOX FRESIA CORP.</t>
  </si>
  <si>
    <t>CORPORACIÓN MENDELA S.A.</t>
  </si>
  <si>
    <t>FEAX INTERNATIONAL S.A.</t>
  </si>
  <si>
    <t>AGENCIAS ESCOFFERY,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</si>
</sst>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7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3" fontId="0" fillId="7" borderId="0" xfId="0" applyNumberFormat="1" applyFill="1" applyAlignment="1">
      <alignment horizontal="center" vertical="center" wrapText="1"/>
    </xf>
    <xf numFmtId="3" fontId="0" fillId="9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/>
    </xf>
    <xf numFmtId="3" fontId="0" fillId="8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0" fontId="6" fillId="0" borderId="1" xfId="0" applyFont="1" applyBorder="1" applyAlignment="1">
      <alignment horizontal="left"/>
    </xf>
    <xf numFmtId="3" fontId="1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 wrapText="1"/>
    </xf>
    <xf numFmtId="3" fontId="3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P%20Resources/Spreadsheets/Master%20BAP%20Trazabilidad%20mar-26.xlxs%20(1)/Master%20BAP%20Trazabilidad%20mar-26.xlxs.xlsx" TargetMode="External"/><Relationship Id="rId2" Type="http://schemas.openxmlformats.org/officeDocument/2006/relationships/externalLinkPath" Target="file:///C:\Projects\BAP%20Resources\Spreadsheets\Master%20BAP%20Trazabilidad%20mar-26.xlxs%20(1)\Master%20BAP%20Trazabilidad%20mar-26.xlxs.xlsx" TargetMode="External"/><Relationship Id="rId1" Type="http://schemas.openxmlformats.org/officeDocument/2006/relationships/externalLinkPath" Target="/Projects/BAP%20Resources/Spreadsheets/Master%20BAP%20Trazabilidad%20mar-26.xlxs%20(1)/Master%20BAP%20Trazabilidad%20mar-26.xlx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rmes"/>
      <sheetName val="TRAZA DONACIONES CON RECIBO SF"/>
      <sheetName val="Lot All by Part and DT Expires"/>
      <sheetName val="Lot All by Part"/>
      <sheetName val="TRAZA PEDIDOS CON DATA OBS"/>
      <sheetName val="Resumen Donantes"/>
      <sheetName val="Clasificación de Productos SF"/>
      <sheetName val="OB Atendidas por Donantes"/>
      <sheetName val="Kilos Asignado del Donante"/>
      <sheetName val="Kilos Asignado del Donante (2)"/>
      <sheetName val="Poblacion"/>
      <sheetName val="MASTER-2025"/>
      <sheetName val="Acum-OB-kg-pob-25"/>
      <sheetName val="OBSERVACIONES OBS"/>
      <sheetName val="Info Donantes"/>
    </sheetNames>
    <sheetDataSet>
      <sheetData sheetId="0"/>
      <sheetData sheetId="1"/>
      <sheetData sheetId="2"/>
      <sheetData sheetId="3">
        <row r="1">
          <cell r="V1"/>
        </row>
        <row r="2">
          <cell r="V2"/>
        </row>
        <row r="3">
          <cell r="V3"/>
          <cell r="W3"/>
        </row>
        <row r="4">
          <cell r="V4"/>
          <cell r="W4"/>
        </row>
        <row r="5">
          <cell r="T5" t="str">
            <v>Donantes</v>
          </cell>
          <cell r="U5" t="str">
            <v>Lot Number</v>
          </cell>
          <cell r="V5" t="str">
            <v>Part Name</v>
          </cell>
          <cell r="W5" t="str">
            <v>Clasificacion</v>
          </cell>
          <cell r="X5" t="str">
            <v>Suma de QTY</v>
          </cell>
          <cell r="Y5" t="str">
            <v>Peso  Adicional Despachado</v>
          </cell>
        </row>
        <row r="6">
          <cell r="T6" t="str">
            <v>PRODUCTOS LA DOÑA, S.A</v>
          </cell>
          <cell r="U6" t="str">
            <v>..</v>
          </cell>
          <cell r="V6" t="str">
            <v>SDS 3kg-CAJA</v>
          </cell>
          <cell r="W6" t="str">
            <v>Ajuste</v>
          </cell>
          <cell r="X6">
            <v>14</v>
          </cell>
          <cell r="Y6">
            <v>42</v>
          </cell>
        </row>
        <row r="7">
          <cell r="T7" t="str">
            <v/>
          </cell>
          <cell r="U7" t="str">
            <v>(en blanco)</v>
          </cell>
          <cell r="V7" t="str">
            <v>(en blanco)</v>
          </cell>
          <cell r="W7" t="str">
            <v>Ajuste</v>
          </cell>
          <cell r="X7"/>
          <cell r="Y7">
            <v>0</v>
          </cell>
        </row>
        <row r="8">
          <cell r="T8" t="str">
            <v/>
          </cell>
          <cell r="U8" t="str">
            <v>.</v>
          </cell>
          <cell r="V8" t="str">
            <v>BASP 5kg</v>
          </cell>
          <cell r="W8" t="str">
            <v>Ajuste</v>
          </cell>
          <cell r="X8">
            <v>132</v>
          </cell>
          <cell r="Y8">
            <v>660</v>
          </cell>
        </row>
        <row r="9">
          <cell r="T9" t="str">
            <v/>
          </cell>
          <cell r="U9" t="str">
            <v>.</v>
          </cell>
          <cell r="V9" t="str">
            <v>HAV 25kg-Unidad</v>
          </cell>
          <cell r="W9" t="str">
            <v>Ajuste</v>
          </cell>
          <cell r="X9">
            <v>8</v>
          </cell>
          <cell r="Y9">
            <v>200</v>
          </cell>
        </row>
        <row r="10">
          <cell r="T10" t="str">
            <v/>
          </cell>
          <cell r="U10" t="str">
            <v>.</v>
          </cell>
          <cell r="V10" t="str">
            <v>HAV 5kg-CAJA</v>
          </cell>
          <cell r="W10" t="str">
            <v>Ajuste</v>
          </cell>
          <cell r="X10">
            <v>164</v>
          </cell>
          <cell r="Y10">
            <v>820</v>
          </cell>
        </row>
        <row r="11">
          <cell r="T11" t="str">
            <v/>
          </cell>
          <cell r="U11" t="str">
            <v>.</v>
          </cell>
          <cell r="V11" t="str">
            <v>HAV PD 25kg-Unidad</v>
          </cell>
          <cell r="W11" t="str">
            <v>Ajuste</v>
          </cell>
          <cell r="X11">
            <v>8</v>
          </cell>
          <cell r="Y11">
            <v>200</v>
          </cell>
        </row>
        <row r="12">
          <cell r="T12" t="str">
            <v/>
          </cell>
          <cell r="U12" t="str">
            <v>.</v>
          </cell>
          <cell r="V12" t="str">
            <v>MNS 2kg-PAQUETE</v>
          </cell>
          <cell r="W12" t="str">
            <v>Ajuste</v>
          </cell>
          <cell r="X12">
            <v>6</v>
          </cell>
          <cell r="Y12">
            <v>12</v>
          </cell>
        </row>
        <row r="13">
          <cell r="T13" t="str">
            <v/>
          </cell>
          <cell r="U13" t="str">
            <v>.</v>
          </cell>
          <cell r="V13" t="str">
            <v>FRUVER 5kg</v>
          </cell>
          <cell r="W13" t="str">
            <v>Ajuste</v>
          </cell>
          <cell r="X13">
            <v>7</v>
          </cell>
          <cell r="Y13">
            <v>35</v>
          </cell>
        </row>
        <row r="14">
          <cell r="T14" t="str">
            <v/>
          </cell>
          <cell r="U14" t="str">
            <v>.</v>
          </cell>
          <cell r="V14" t="str">
            <v>PFC 2KG - BOLSA</v>
          </cell>
          <cell r="W14" t="str">
            <v>Ajuste</v>
          </cell>
          <cell r="X14">
            <v>2</v>
          </cell>
          <cell r="Y14">
            <v>4</v>
          </cell>
        </row>
        <row r="15">
          <cell r="T15" t="str">
            <v/>
          </cell>
          <cell r="U15" t="str">
            <v>.</v>
          </cell>
          <cell r="V15" t="str">
            <v>DTG Vr2kg-CAJA</v>
          </cell>
          <cell r="W15" t="str">
            <v>Ajuste</v>
          </cell>
          <cell r="X15">
            <v>2</v>
          </cell>
          <cell r="Y15">
            <v>4</v>
          </cell>
        </row>
        <row r="16">
          <cell r="T16" t="str">
            <v/>
          </cell>
          <cell r="U16" t="str">
            <v>.</v>
          </cell>
          <cell r="V16" t="str">
            <v>Menestra kg</v>
          </cell>
          <cell r="W16" t="str">
            <v>Ajuste</v>
          </cell>
          <cell r="X16">
            <v>2042</v>
          </cell>
          <cell r="Y16">
            <v>2042</v>
          </cell>
        </row>
        <row r="17">
          <cell r="T17" t="str">
            <v/>
          </cell>
          <cell r="U17" t="str">
            <v>.</v>
          </cell>
          <cell r="V17" t="str">
            <v>Manejo NV</v>
          </cell>
          <cell r="W17" t="str">
            <v>Ajuste</v>
          </cell>
          <cell r="X17">
            <v>76</v>
          </cell>
          <cell r="Y17">
            <v>0.76</v>
          </cell>
        </row>
        <row r="18">
          <cell r="T18" t="str">
            <v/>
          </cell>
          <cell r="U18" t="str">
            <v>.</v>
          </cell>
          <cell r="V18" t="str">
            <v>BPVAY 10kg</v>
          </cell>
          <cell r="W18" t="str">
            <v>Ajuste</v>
          </cell>
          <cell r="X18">
            <v>514</v>
          </cell>
          <cell r="Y18">
            <v>5140</v>
          </cell>
        </row>
        <row r="19">
          <cell r="T19" t="str">
            <v/>
          </cell>
          <cell r="U19" t="str">
            <v>.</v>
          </cell>
          <cell r="V19" t="str">
            <v>CLX 4kg</v>
          </cell>
          <cell r="W19" t="str">
            <v>Ajuste</v>
          </cell>
          <cell r="X19">
            <v>2</v>
          </cell>
          <cell r="Y19">
            <v>8</v>
          </cell>
        </row>
        <row r="20">
          <cell r="T20" t="str">
            <v/>
          </cell>
          <cell r="U20" t="str">
            <v>.</v>
          </cell>
          <cell r="V20" t="str">
            <v>BASPAY 5kg</v>
          </cell>
          <cell r="W20" t="str">
            <v>Ajuste</v>
          </cell>
          <cell r="X20">
            <v>514</v>
          </cell>
          <cell r="Y20">
            <v>2570</v>
          </cell>
        </row>
        <row r="21">
          <cell r="T21" t="str">
            <v/>
          </cell>
          <cell r="U21" t="str">
            <v>.</v>
          </cell>
          <cell r="V21" t="str">
            <v>SNK 1.5kg-CAJA</v>
          </cell>
          <cell r="W21" t="str">
            <v>Ajuste</v>
          </cell>
          <cell r="X21">
            <v>2</v>
          </cell>
          <cell r="Y21">
            <v>3</v>
          </cell>
        </row>
        <row r="22">
          <cell r="T22" t="str">
            <v/>
          </cell>
          <cell r="U22" t="str">
            <v>.</v>
          </cell>
          <cell r="V22" t="str">
            <v>ENV Dif Redondeo</v>
          </cell>
          <cell r="W22" t="str">
            <v>Ajuste</v>
          </cell>
          <cell r="X22">
            <v>4</v>
          </cell>
          <cell r="Y22">
            <v>0.04</v>
          </cell>
        </row>
        <row r="23">
          <cell r="T23" t="str">
            <v/>
          </cell>
          <cell r="U23" t="str">
            <v>.</v>
          </cell>
          <cell r="V23" t="str">
            <v>GLT 2kg</v>
          </cell>
          <cell r="W23" t="str">
            <v>Ajuste</v>
          </cell>
          <cell r="X23">
            <v>2</v>
          </cell>
          <cell r="Y23">
            <v>4</v>
          </cell>
        </row>
        <row r="24">
          <cell r="T24" t="str">
            <v/>
          </cell>
          <cell r="U24" t="str">
            <v>.</v>
          </cell>
          <cell r="V24" t="str">
            <v>DIV DSF 2Kg</v>
          </cell>
          <cell r="W24" t="str">
            <v>Ajuste</v>
          </cell>
          <cell r="X24">
            <v>12</v>
          </cell>
          <cell r="Y24">
            <v>24</v>
          </cell>
        </row>
        <row r="25">
          <cell r="T25" t="str">
            <v/>
          </cell>
          <cell r="U25" t="str">
            <v>.</v>
          </cell>
          <cell r="V25" t="str">
            <v>DIV EMBV 2kg</v>
          </cell>
          <cell r="W25" t="str">
            <v>Ajuste</v>
          </cell>
          <cell r="X25">
            <v>2</v>
          </cell>
          <cell r="Y25">
            <v>4</v>
          </cell>
        </row>
        <row r="26">
          <cell r="T26" t="str">
            <v/>
          </cell>
          <cell r="U26" t="str">
            <v>.</v>
          </cell>
          <cell r="V26" t="str">
            <v>DIV HAV 5kg</v>
          </cell>
          <cell r="W26" t="str">
            <v>Ajuste</v>
          </cell>
          <cell r="X26">
            <v>60</v>
          </cell>
          <cell r="Y26">
            <v>300</v>
          </cell>
        </row>
        <row r="27">
          <cell r="T27" t="str">
            <v/>
          </cell>
          <cell r="U27" t="str">
            <v>.</v>
          </cell>
          <cell r="V27" t="str">
            <v>DIV JLP 2kg</v>
          </cell>
          <cell r="W27" t="str">
            <v>Ajuste</v>
          </cell>
          <cell r="X27">
            <v>12</v>
          </cell>
          <cell r="Y27">
            <v>24</v>
          </cell>
        </row>
        <row r="28">
          <cell r="T28" t="str">
            <v/>
          </cell>
          <cell r="U28" t="str">
            <v>.</v>
          </cell>
          <cell r="V28" t="str">
            <v>DIV MNS 10kg</v>
          </cell>
          <cell r="W28" t="str">
            <v>Ajuste</v>
          </cell>
          <cell r="X28">
            <v>5</v>
          </cell>
          <cell r="Y28">
            <v>50</v>
          </cell>
        </row>
        <row r="29">
          <cell r="T29" t="str">
            <v/>
          </cell>
          <cell r="U29" t="str">
            <v>.</v>
          </cell>
          <cell r="V29" t="str">
            <v>DIV MYN 3kg</v>
          </cell>
          <cell r="W29" t="str">
            <v>Ajuste</v>
          </cell>
          <cell r="X29">
            <v>4</v>
          </cell>
          <cell r="Y29">
            <v>12</v>
          </cell>
        </row>
        <row r="30">
          <cell r="T30" t="str">
            <v/>
          </cell>
          <cell r="U30" t="str">
            <v>.</v>
          </cell>
          <cell r="V30" t="str">
            <v>DIV PP 5kg</v>
          </cell>
          <cell r="W30" t="str">
            <v>Ajuste</v>
          </cell>
          <cell r="X30">
            <v>4</v>
          </cell>
          <cell r="Y30">
            <v>20</v>
          </cell>
        </row>
        <row r="31">
          <cell r="T31" t="str">
            <v/>
          </cell>
          <cell r="U31" t="str">
            <v>.</v>
          </cell>
          <cell r="V31" t="str">
            <v>DIV PPF 2kg</v>
          </cell>
          <cell r="W31" t="str">
            <v>Ajuste</v>
          </cell>
          <cell r="X31">
            <v>1</v>
          </cell>
          <cell r="Y31">
            <v>2</v>
          </cell>
        </row>
        <row r="32">
          <cell r="T32" t="str">
            <v/>
          </cell>
          <cell r="U32" t="str">
            <v>.</v>
          </cell>
          <cell r="V32" t="str">
            <v>DIV PPF 3kg</v>
          </cell>
          <cell r="W32" t="str">
            <v>Ajuste</v>
          </cell>
          <cell r="X32">
            <v>6</v>
          </cell>
          <cell r="Y32">
            <v>18</v>
          </cell>
        </row>
        <row r="33">
          <cell r="T33" t="str">
            <v/>
          </cell>
          <cell r="U33" t="str">
            <v>.</v>
          </cell>
          <cell r="V33" t="str">
            <v>DIV PTM 5kg</v>
          </cell>
          <cell r="W33" t="str">
            <v>Ajuste</v>
          </cell>
          <cell r="X33">
            <v>833</v>
          </cell>
          <cell r="Y33">
            <v>4165</v>
          </cell>
        </row>
        <row r="34">
          <cell r="T34" t="str">
            <v/>
          </cell>
          <cell r="U34" t="str">
            <v>.</v>
          </cell>
          <cell r="V34" t="str">
            <v>DIV SCD 4kg</v>
          </cell>
          <cell r="W34" t="str">
            <v>Ajuste</v>
          </cell>
          <cell r="X34">
            <v>2</v>
          </cell>
          <cell r="Y34">
            <v>8</v>
          </cell>
        </row>
        <row r="35">
          <cell r="T35" t="str">
            <v/>
          </cell>
          <cell r="U35" t="str">
            <v>.</v>
          </cell>
          <cell r="V35" t="str">
            <v>DIV PEC 8KG</v>
          </cell>
          <cell r="W35" t="str">
            <v>Ajuste</v>
          </cell>
          <cell r="X35">
            <v>4</v>
          </cell>
          <cell r="Y35">
            <v>32</v>
          </cell>
        </row>
        <row r="36">
          <cell r="T36" t="str">
            <v/>
          </cell>
          <cell r="U36" t="str">
            <v>.</v>
          </cell>
          <cell r="V36" t="str">
            <v>DIV Menestra kg</v>
          </cell>
          <cell r="W36" t="str">
            <v>Ajuste</v>
          </cell>
          <cell r="X36">
            <v>790</v>
          </cell>
          <cell r="Y36">
            <v>790</v>
          </cell>
        </row>
        <row r="37">
          <cell r="T37" t="str">
            <v/>
          </cell>
          <cell r="U37" t="str">
            <v>.</v>
          </cell>
          <cell r="V37" t="str">
            <v>DIV Menestra kg</v>
          </cell>
          <cell r="W37" t="str">
            <v>Merma para Animales</v>
          </cell>
          <cell r="X37">
            <v>2970</v>
          </cell>
          <cell r="Y37">
            <v>2970</v>
          </cell>
        </row>
        <row r="38">
          <cell r="T38" t="str">
            <v/>
          </cell>
          <cell r="U38" t="str">
            <v>.</v>
          </cell>
          <cell r="V38" t="str">
            <v>DIV TSHRTH TV</v>
          </cell>
          <cell r="W38" t="str">
            <v>Ajuste</v>
          </cell>
          <cell r="X38">
            <v>1</v>
          </cell>
          <cell r="Y38">
            <v>0.5</v>
          </cell>
        </row>
        <row r="39">
          <cell r="T39" t="str">
            <v/>
          </cell>
          <cell r="U39" t="str">
            <v>.</v>
          </cell>
          <cell r="V39" t="str">
            <v>PRTZ UND</v>
          </cell>
          <cell r="W39" t="str">
            <v>Ajuste</v>
          </cell>
          <cell r="X39">
            <v>9</v>
          </cell>
          <cell r="Y39">
            <v>9</v>
          </cell>
        </row>
        <row r="40">
          <cell r="T40" t="str">
            <v/>
          </cell>
          <cell r="U40" t="str">
            <v>.</v>
          </cell>
          <cell r="V40" t="str">
            <v>DIV DTG Vr 3.5kg</v>
          </cell>
          <cell r="W40" t="str">
            <v>Ajuste</v>
          </cell>
          <cell r="X40">
            <v>1</v>
          </cell>
          <cell r="Y40">
            <v>3.5</v>
          </cell>
        </row>
        <row r="41">
          <cell r="T41" t="str">
            <v/>
          </cell>
          <cell r="U41" t="str">
            <v>.</v>
          </cell>
          <cell r="V41" t="str">
            <v>DIV HRN 2kg</v>
          </cell>
          <cell r="W41" t="str">
            <v>Ajuste</v>
          </cell>
          <cell r="X41">
            <v>8</v>
          </cell>
          <cell r="Y41">
            <v>16</v>
          </cell>
        </row>
        <row r="42">
          <cell r="T42" t="str">
            <v/>
          </cell>
          <cell r="U42" t="str">
            <v>.</v>
          </cell>
          <cell r="V42" t="str">
            <v>DIV MDP 5kg</v>
          </cell>
          <cell r="W42" t="str">
            <v>Ajuste</v>
          </cell>
          <cell r="X42">
            <v>5</v>
          </cell>
          <cell r="Y42">
            <v>25</v>
          </cell>
        </row>
        <row r="43">
          <cell r="T43" t="str">
            <v/>
          </cell>
          <cell r="U43" t="str">
            <v>.</v>
          </cell>
          <cell r="V43" t="str">
            <v>PV PAN 2kg</v>
          </cell>
          <cell r="W43" t="str">
            <v>Ajuste</v>
          </cell>
          <cell r="X43">
            <v>15</v>
          </cell>
          <cell r="Y43">
            <v>30</v>
          </cell>
        </row>
        <row r="44">
          <cell r="T44" t="str">
            <v/>
          </cell>
          <cell r="U44" t="str">
            <v>.</v>
          </cell>
          <cell r="V44" t="str">
            <v>PV PASTV 2kg</v>
          </cell>
          <cell r="W44" t="str">
            <v>Ajuste</v>
          </cell>
          <cell r="X44">
            <v>6</v>
          </cell>
          <cell r="Y44">
            <v>12</v>
          </cell>
        </row>
        <row r="45">
          <cell r="T45" t="str">
            <v/>
          </cell>
          <cell r="U45" t="str">
            <v>.</v>
          </cell>
          <cell r="V45" t="str">
            <v>PV PASTV 3kg</v>
          </cell>
          <cell r="W45" t="str">
            <v>Ajuste</v>
          </cell>
          <cell r="X45">
            <v>3</v>
          </cell>
          <cell r="Y45">
            <v>9</v>
          </cell>
        </row>
        <row r="46">
          <cell r="T46" t="str">
            <v/>
          </cell>
          <cell r="U46" t="str">
            <v>.</v>
          </cell>
          <cell r="V46" t="str">
            <v>DIV CNPH 4.5kg</v>
          </cell>
          <cell r="W46" t="str">
            <v>Ajuste</v>
          </cell>
          <cell r="X46">
            <v>3</v>
          </cell>
          <cell r="Y46">
            <v>13.5</v>
          </cell>
        </row>
        <row r="47">
          <cell r="T47" t="str">
            <v/>
          </cell>
          <cell r="U47" t="str">
            <v>.</v>
          </cell>
          <cell r="V47" t="str">
            <v>EGI</v>
          </cell>
          <cell r="W47" t="str">
            <v>Ajuste</v>
          </cell>
          <cell r="X47">
            <v>1</v>
          </cell>
          <cell r="Y47">
            <v>70</v>
          </cell>
        </row>
        <row r="48">
          <cell r="T48" t="str">
            <v/>
          </cell>
          <cell r="U48" t="str">
            <v>.</v>
          </cell>
          <cell r="V48" t="str">
            <v>PV BDP 5kg</v>
          </cell>
          <cell r="W48" t="str">
            <v>Ajuste</v>
          </cell>
          <cell r="X48">
            <v>1</v>
          </cell>
          <cell r="Y48">
            <v>5</v>
          </cell>
        </row>
        <row r="49">
          <cell r="T49" t="str">
            <v/>
          </cell>
          <cell r="U49" t="str">
            <v>.</v>
          </cell>
          <cell r="V49" t="str">
            <v>PV PTD 2 kg</v>
          </cell>
          <cell r="W49" t="str">
            <v>Ajuste</v>
          </cell>
          <cell r="X49">
            <v>2</v>
          </cell>
          <cell r="Y49">
            <v>4</v>
          </cell>
        </row>
        <row r="50">
          <cell r="T50" t="str">
            <v/>
          </cell>
          <cell r="U50" t="str">
            <v>.</v>
          </cell>
          <cell r="V50" t="str">
            <v>PV SBC 2kg</v>
          </cell>
          <cell r="W50" t="str">
            <v>Ajuste</v>
          </cell>
          <cell r="X50">
            <v>1</v>
          </cell>
          <cell r="Y50">
            <v>2</v>
          </cell>
        </row>
        <row r="51">
          <cell r="T51" t="str">
            <v/>
          </cell>
          <cell r="U51" t="str">
            <v>.</v>
          </cell>
          <cell r="V51" t="str">
            <v>PV SZD 5kg</v>
          </cell>
          <cell r="W51" t="str">
            <v>Ajuste</v>
          </cell>
          <cell r="X51">
            <v>4</v>
          </cell>
          <cell r="Y51">
            <v>20</v>
          </cell>
        </row>
        <row r="52">
          <cell r="T52" t="str">
            <v/>
          </cell>
          <cell r="U52" t="str">
            <v>.</v>
          </cell>
          <cell r="V52" t="str">
            <v>SNDA 8kg</v>
          </cell>
          <cell r="W52" t="str">
            <v>Ajuste</v>
          </cell>
          <cell r="X52">
            <v>2</v>
          </cell>
          <cell r="Y52">
            <v>16</v>
          </cell>
        </row>
        <row r="53">
          <cell r="T53">
            <v>0</v>
          </cell>
          <cell r="U53" t="str">
            <v>L88944</v>
          </cell>
          <cell r="V53" t="str">
            <v>DIV BPP 3kg</v>
          </cell>
          <cell r="W53" t="str">
            <v>Ajuste</v>
          </cell>
          <cell r="X53">
            <v>104</v>
          </cell>
          <cell r="Y53">
            <v>312</v>
          </cell>
        </row>
        <row r="54">
          <cell r="T54" t="str">
            <v>GRUPO REY</v>
          </cell>
          <cell r="U54" t="str">
            <v>,</v>
          </cell>
          <cell r="V54" t="str">
            <v>MNS 2kg-PAQUETE</v>
          </cell>
          <cell r="W54" t="str">
            <v>Ajuste</v>
          </cell>
          <cell r="X54">
            <v>4</v>
          </cell>
          <cell r="Y54">
            <v>8</v>
          </cell>
        </row>
        <row r="55">
          <cell r="T55">
            <v>0</v>
          </cell>
          <cell r="U55" t="str">
            <v>ManejoNV-ENERO</v>
          </cell>
          <cell r="V55" t="str">
            <v>Manejo NV</v>
          </cell>
          <cell r="W55" t="str">
            <v>Ajuste</v>
          </cell>
          <cell r="X55">
            <v>152</v>
          </cell>
          <cell r="Y55">
            <v>1.5200000000000007</v>
          </cell>
        </row>
        <row r="56">
          <cell r="T56">
            <v>0</v>
          </cell>
          <cell r="U56" t="str">
            <v>ManejoNV-DICIEMBRE</v>
          </cell>
          <cell r="V56" t="str">
            <v>Manejo NV</v>
          </cell>
          <cell r="W56" t="str">
            <v>Ajuste</v>
          </cell>
          <cell r="X56">
            <v>1</v>
          </cell>
          <cell r="Y56">
            <v>0.01</v>
          </cell>
        </row>
        <row r="57">
          <cell r="T57">
            <v>0</v>
          </cell>
          <cell r="U57" t="str">
            <v>L90691</v>
          </cell>
          <cell r="V57" t="str">
            <v>Menestra kg</v>
          </cell>
          <cell r="W57" t="str">
            <v>Ajuste</v>
          </cell>
          <cell r="X57">
            <v>845</v>
          </cell>
          <cell r="Y57">
            <v>845</v>
          </cell>
        </row>
        <row r="58">
          <cell r="T58">
            <v>0</v>
          </cell>
          <cell r="U58" t="str">
            <v>L90963</v>
          </cell>
          <cell r="V58" t="str">
            <v>Menestra kg</v>
          </cell>
          <cell r="W58" t="str">
            <v>Ajuste</v>
          </cell>
          <cell r="X58">
            <v>1.55</v>
          </cell>
          <cell r="Y58">
            <v>1.55</v>
          </cell>
        </row>
        <row r="59">
          <cell r="T59">
            <v>0</v>
          </cell>
          <cell r="U59" t="str">
            <v>L90720</v>
          </cell>
          <cell r="V59" t="str">
            <v>Merma KG</v>
          </cell>
          <cell r="W59" t="str">
            <v>Ajuste</v>
          </cell>
          <cell r="X59">
            <v>19.260000000000002</v>
          </cell>
          <cell r="Y59">
            <v>19.260000000000002</v>
          </cell>
        </row>
        <row r="60">
          <cell r="T60">
            <v>0</v>
          </cell>
          <cell r="U60" t="str">
            <v>L85783</v>
          </cell>
          <cell r="V60" t="str">
            <v>DIV NPP300kg</v>
          </cell>
          <cell r="W60" t="str">
            <v>Ajuste</v>
          </cell>
          <cell r="X60">
            <v>1</v>
          </cell>
          <cell r="Y60">
            <v>300</v>
          </cell>
        </row>
        <row r="61">
          <cell r="T61">
            <v>0</v>
          </cell>
          <cell r="U61" t="str">
            <v>L91104</v>
          </cell>
          <cell r="V61" t="str">
            <v>DIV SZT 24X163mL</v>
          </cell>
          <cell r="W61" t="str">
            <v>Ajuste</v>
          </cell>
          <cell r="X61">
            <v>30</v>
          </cell>
          <cell r="Y61">
            <v>120</v>
          </cell>
        </row>
        <row r="62">
          <cell r="T62">
            <v>0</v>
          </cell>
          <cell r="U62" t="str">
            <v>L92279</v>
          </cell>
          <cell r="V62" t="str">
            <v>CE T18</v>
          </cell>
          <cell r="W62" t="str">
            <v>Ajuste</v>
          </cell>
          <cell r="X62">
            <v>225</v>
          </cell>
          <cell r="Y62">
            <v>22.5</v>
          </cell>
        </row>
        <row r="63">
          <cell r="T63">
            <v>0</v>
          </cell>
          <cell r="U63" t="str">
            <v>L92279</v>
          </cell>
          <cell r="V63" t="str">
            <v>PV CE T18</v>
          </cell>
          <cell r="W63" t="str">
            <v>Ajuste</v>
          </cell>
          <cell r="X63">
            <v>206</v>
          </cell>
          <cell r="Y63">
            <v>20.599999999999991</v>
          </cell>
        </row>
        <row r="64">
          <cell r="T64">
            <v>0</v>
          </cell>
          <cell r="U64" t="str">
            <v>L91577</v>
          </cell>
          <cell r="V64" t="str">
            <v>Jugo kg</v>
          </cell>
          <cell r="W64" t="str">
            <v>Ajuste</v>
          </cell>
          <cell r="X64">
            <v>13</v>
          </cell>
          <cell r="Y64">
            <v>13</v>
          </cell>
        </row>
        <row r="65">
          <cell r="T65">
            <v>0</v>
          </cell>
          <cell r="U65" t="str">
            <v>L92068</v>
          </cell>
          <cell r="V65" t="str">
            <v>Jugo kg</v>
          </cell>
          <cell r="W65" t="str">
            <v>Ajuste</v>
          </cell>
          <cell r="X65">
            <v>6</v>
          </cell>
          <cell r="Y65">
            <v>6</v>
          </cell>
        </row>
        <row r="66">
          <cell r="T66">
            <v>0</v>
          </cell>
          <cell r="U66" t="str">
            <v>L91565</v>
          </cell>
          <cell r="V66" t="str">
            <v>Menestra kg</v>
          </cell>
          <cell r="W66" t="str">
            <v>Ajuste</v>
          </cell>
          <cell r="X66">
            <v>3</v>
          </cell>
          <cell r="Y66">
            <v>3</v>
          </cell>
        </row>
        <row r="67">
          <cell r="T67">
            <v>0</v>
          </cell>
          <cell r="U67" t="str">
            <v>L92262</v>
          </cell>
          <cell r="V67" t="str">
            <v>Menestra kg</v>
          </cell>
          <cell r="W67" t="str">
            <v>Ajuste</v>
          </cell>
          <cell r="X67">
            <v>5.73</v>
          </cell>
          <cell r="Y67">
            <v>5.73</v>
          </cell>
        </row>
        <row r="68">
          <cell r="T68">
            <v>0</v>
          </cell>
          <cell r="U68" t="str">
            <v>L92033</v>
          </cell>
          <cell r="V68" t="str">
            <v>Suavizante kg</v>
          </cell>
          <cell r="W68" t="str">
            <v>Ajuste</v>
          </cell>
          <cell r="X68">
            <v>6</v>
          </cell>
          <cell r="Y68">
            <v>6</v>
          </cell>
        </row>
        <row r="69">
          <cell r="T69">
            <v>0</v>
          </cell>
          <cell r="U69" t="str">
            <v>L92070</v>
          </cell>
          <cell r="V69" t="str">
            <v>Suavizante kg</v>
          </cell>
          <cell r="W69" t="str">
            <v>Ajuste</v>
          </cell>
          <cell r="X69">
            <v>26</v>
          </cell>
          <cell r="Y69">
            <v>26</v>
          </cell>
        </row>
        <row r="70">
          <cell r="T70">
            <v>0</v>
          </cell>
          <cell r="U70" t="str">
            <v>L92195</v>
          </cell>
          <cell r="V70" t="str">
            <v>Suavizante kg</v>
          </cell>
          <cell r="W70" t="str">
            <v>Ajuste</v>
          </cell>
          <cell r="X70">
            <v>2</v>
          </cell>
          <cell r="Y70">
            <v>2</v>
          </cell>
        </row>
        <row r="71">
          <cell r="T71">
            <v>0</v>
          </cell>
          <cell r="U71" t="str">
            <v>L95111</v>
          </cell>
          <cell r="V71" t="str">
            <v>SAL 25kg-PAQUETE</v>
          </cell>
          <cell r="W71" t="str">
            <v>Ajuste</v>
          </cell>
          <cell r="X71">
            <v>29</v>
          </cell>
          <cell r="Y71">
            <v>725</v>
          </cell>
        </row>
        <row r="72">
          <cell r="T72">
            <v>0</v>
          </cell>
          <cell r="U72" t="str">
            <v>L95111</v>
          </cell>
          <cell r="V72" t="str">
            <v>DIV SAL 25kg-PAQUETE</v>
          </cell>
          <cell r="W72" t="str">
            <v>Ajuste</v>
          </cell>
          <cell r="X72">
            <v>34</v>
          </cell>
          <cell r="Y72">
            <v>850</v>
          </cell>
        </row>
        <row r="73">
          <cell r="T73">
            <v>0</v>
          </cell>
          <cell r="U73" t="str">
            <v>L96243</v>
          </cell>
          <cell r="V73" t="str">
            <v>ADP 3kg</v>
          </cell>
          <cell r="W73" t="str">
            <v>Ajuste</v>
          </cell>
          <cell r="X73">
            <v>1</v>
          </cell>
          <cell r="Y73">
            <v>3</v>
          </cell>
        </row>
        <row r="74">
          <cell r="T74">
            <v>0</v>
          </cell>
          <cell r="U74" t="str">
            <v>L96331</v>
          </cell>
          <cell r="V74" t="str">
            <v>ADP 3kg</v>
          </cell>
          <cell r="W74" t="str">
            <v>Ajuste</v>
          </cell>
          <cell r="X74">
            <v>4</v>
          </cell>
          <cell r="Y74">
            <v>12</v>
          </cell>
        </row>
        <row r="75">
          <cell r="T75">
            <v>0</v>
          </cell>
          <cell r="U75" t="str">
            <v>L96215</v>
          </cell>
          <cell r="V75" t="str">
            <v>PTM 5kg-CAJA</v>
          </cell>
          <cell r="W75" t="str">
            <v>Ajuste</v>
          </cell>
          <cell r="X75">
            <v>401</v>
          </cell>
          <cell r="Y75">
            <v>2005</v>
          </cell>
        </row>
        <row r="76">
          <cell r="T76">
            <v>0</v>
          </cell>
          <cell r="U76" t="str">
            <v>L96765</v>
          </cell>
          <cell r="V76" t="str">
            <v>ADP 3kg</v>
          </cell>
          <cell r="W76" t="str">
            <v>Ajuste</v>
          </cell>
          <cell r="X76">
            <v>3</v>
          </cell>
          <cell r="Y76">
            <v>9</v>
          </cell>
        </row>
        <row r="77">
          <cell r="T77">
            <v>0</v>
          </cell>
          <cell r="U77" t="str">
            <v>L96879</v>
          </cell>
          <cell r="V77" t="str">
            <v>DIV GLDV 5kg</v>
          </cell>
          <cell r="W77" t="str">
            <v>Ajuste</v>
          </cell>
          <cell r="X77">
            <v>10</v>
          </cell>
          <cell r="Y77">
            <v>50</v>
          </cell>
        </row>
        <row r="78">
          <cell r="T78">
            <v>0</v>
          </cell>
          <cell r="U78" t="str">
            <v>L97180</v>
          </cell>
          <cell r="V78" t="str">
            <v>DIV MNS 10kg</v>
          </cell>
          <cell r="W78" t="str">
            <v>Ajuste</v>
          </cell>
          <cell r="X78">
            <v>466</v>
          </cell>
          <cell r="Y78">
            <v>4660</v>
          </cell>
        </row>
        <row r="79">
          <cell r="T79">
            <v>0</v>
          </cell>
          <cell r="U79" t="str">
            <v>L97180</v>
          </cell>
          <cell r="V79" t="str">
            <v>DIV MNS 10kg</v>
          </cell>
          <cell r="W79" t="str">
            <v>Dañado</v>
          </cell>
          <cell r="X79">
            <v>43</v>
          </cell>
          <cell r="Y79">
            <v>430</v>
          </cell>
        </row>
        <row r="80">
          <cell r="T80">
            <v>0</v>
          </cell>
          <cell r="U80" t="str">
            <v>L96644</v>
          </cell>
          <cell r="V80" t="str">
            <v>DIV PTM 5kg</v>
          </cell>
          <cell r="W80" t="str">
            <v>Ajuste</v>
          </cell>
          <cell r="X80">
            <v>2129</v>
          </cell>
          <cell r="Y80">
            <v>10645</v>
          </cell>
        </row>
        <row r="81">
          <cell r="T81">
            <v>0</v>
          </cell>
          <cell r="U81" t="str">
            <v>L96740</v>
          </cell>
          <cell r="V81" t="str">
            <v>DIV SAL 3kg</v>
          </cell>
          <cell r="W81" t="str">
            <v>Ajuste</v>
          </cell>
          <cell r="X81">
            <v>2</v>
          </cell>
          <cell r="Y81">
            <v>6</v>
          </cell>
        </row>
        <row r="82">
          <cell r="T82">
            <v>0</v>
          </cell>
          <cell r="U82" t="str">
            <v>L96760</v>
          </cell>
          <cell r="V82" t="str">
            <v>DIV SALRO 5kg</v>
          </cell>
          <cell r="W82" t="str">
            <v>Ajuste</v>
          </cell>
          <cell r="X82">
            <v>42</v>
          </cell>
          <cell r="Y82">
            <v>210</v>
          </cell>
        </row>
        <row r="83">
          <cell r="T83">
            <v>0</v>
          </cell>
          <cell r="U83" t="str">
            <v>L99111</v>
          </cell>
          <cell r="V83" t="str">
            <v>AJEP 3kg</v>
          </cell>
          <cell r="W83" t="str">
            <v>Ajuste</v>
          </cell>
          <cell r="X83">
            <v>67</v>
          </cell>
          <cell r="Y83">
            <v>201</v>
          </cell>
        </row>
        <row r="84">
          <cell r="T84">
            <v>0</v>
          </cell>
          <cell r="U84" t="str">
            <v>L99111</v>
          </cell>
          <cell r="V84" t="str">
            <v>DIV AJEP 3kg</v>
          </cell>
          <cell r="W84" t="str">
            <v>Ajuste</v>
          </cell>
          <cell r="X84">
            <v>7</v>
          </cell>
          <cell r="Y84">
            <v>21</v>
          </cell>
        </row>
        <row r="85">
          <cell r="T85">
            <v>0</v>
          </cell>
          <cell r="U85" t="str">
            <v>L99410</v>
          </cell>
          <cell r="V85" t="str">
            <v>DIV ALB 24x113g- CAJA</v>
          </cell>
          <cell r="W85" t="str">
            <v>Ajuste</v>
          </cell>
          <cell r="X85">
            <v>44</v>
          </cell>
          <cell r="Y85">
            <v>132</v>
          </cell>
        </row>
        <row r="86">
          <cell r="T86">
            <v>0</v>
          </cell>
          <cell r="U86" t="str">
            <v>L99413</v>
          </cell>
          <cell r="V86" t="str">
            <v>ALB 24x113g- CAJA</v>
          </cell>
          <cell r="W86" t="str">
            <v>Ajuste</v>
          </cell>
          <cell r="X86">
            <v>123</v>
          </cell>
          <cell r="Y86">
            <v>369</v>
          </cell>
        </row>
        <row r="87">
          <cell r="T87">
            <v>0</v>
          </cell>
          <cell r="U87" t="str">
            <v>L99413</v>
          </cell>
          <cell r="V87" t="str">
            <v>ALB 24x113g- CAJA</v>
          </cell>
          <cell r="W87" t="str">
            <v>Dañado</v>
          </cell>
          <cell r="X87">
            <v>2</v>
          </cell>
          <cell r="Y87">
            <v>6</v>
          </cell>
        </row>
        <row r="88">
          <cell r="T88">
            <v>0</v>
          </cell>
          <cell r="U88" t="str">
            <v>L98868</v>
          </cell>
          <cell r="V88" t="str">
            <v>ALCHF 3Kg</v>
          </cell>
          <cell r="W88" t="str">
            <v>Ajuste</v>
          </cell>
          <cell r="X88">
            <v>4</v>
          </cell>
          <cell r="Y88">
            <v>12</v>
          </cell>
        </row>
        <row r="89">
          <cell r="T89">
            <v>0</v>
          </cell>
          <cell r="U89" t="str">
            <v>L99395</v>
          </cell>
          <cell r="V89" t="str">
            <v>DIV AMCO 2kg</v>
          </cell>
          <cell r="W89" t="str">
            <v>Ajuste</v>
          </cell>
          <cell r="X89">
            <v>1</v>
          </cell>
          <cell r="Y89">
            <v>2</v>
          </cell>
        </row>
        <row r="90">
          <cell r="T90" t="str">
            <v/>
          </cell>
          <cell r="U90" t="str">
            <v>L98936</v>
          </cell>
          <cell r="V90" t="str">
            <v>DIV MNS 10kg</v>
          </cell>
          <cell r="W90" t="str">
            <v>Dañado</v>
          </cell>
          <cell r="X90">
            <v>48</v>
          </cell>
          <cell r="Y90">
            <v>480</v>
          </cell>
        </row>
        <row r="91">
          <cell r="T91">
            <v>0</v>
          </cell>
          <cell r="U91" t="str">
            <v>L99031</v>
          </cell>
          <cell r="V91" t="str">
            <v>DIV SAL 3kg</v>
          </cell>
          <cell r="W91" t="str">
            <v>Ajuste</v>
          </cell>
          <cell r="X91">
            <v>6</v>
          </cell>
          <cell r="Y91">
            <v>18</v>
          </cell>
        </row>
        <row r="92">
          <cell r="T92">
            <v>0</v>
          </cell>
          <cell r="U92" t="str">
            <v>L99317</v>
          </cell>
          <cell r="V92" t="str">
            <v>PTM 5kg-CAJA</v>
          </cell>
          <cell r="W92" t="str">
            <v>Ajuste</v>
          </cell>
          <cell r="X92">
            <v>34</v>
          </cell>
          <cell r="Y92">
            <v>170</v>
          </cell>
        </row>
        <row r="93">
          <cell r="T93">
            <v>0</v>
          </cell>
          <cell r="U93" t="str">
            <v>L100370</v>
          </cell>
          <cell r="V93" t="str">
            <v>ARZEPF14kg (CAJA)</v>
          </cell>
          <cell r="W93" t="str">
            <v>Ajuste</v>
          </cell>
          <cell r="X93">
            <v>12</v>
          </cell>
          <cell r="Y93">
            <v>168</v>
          </cell>
        </row>
        <row r="94">
          <cell r="T94">
            <v>0</v>
          </cell>
          <cell r="U94" t="str">
            <v>L99762</v>
          </cell>
          <cell r="V94" t="str">
            <v>ARZ AY 5Kg</v>
          </cell>
          <cell r="W94" t="str">
            <v>Ajuste</v>
          </cell>
          <cell r="X94">
            <v>23</v>
          </cell>
          <cell r="Y94">
            <v>115</v>
          </cell>
        </row>
        <row r="95">
          <cell r="T95" t="str">
            <v/>
          </cell>
          <cell r="U95" t="str">
            <v>L99875</v>
          </cell>
          <cell r="V95" t="str">
            <v>NPP900kg</v>
          </cell>
          <cell r="W95" t="str">
            <v>Ajuste</v>
          </cell>
          <cell r="X95">
            <v>1</v>
          </cell>
          <cell r="Y95">
            <v>0</v>
          </cell>
        </row>
        <row r="96">
          <cell r="T96">
            <v>0</v>
          </cell>
          <cell r="U96" t="str">
            <v>L100500</v>
          </cell>
          <cell r="V96" t="str">
            <v>CODV 5kg</v>
          </cell>
          <cell r="W96" t="str">
            <v>Ajuste</v>
          </cell>
          <cell r="X96">
            <v>2</v>
          </cell>
          <cell r="Y96">
            <v>10</v>
          </cell>
        </row>
        <row r="97">
          <cell r="T97">
            <v>0</v>
          </cell>
          <cell r="U97" t="str">
            <v>L99865</v>
          </cell>
          <cell r="V97" t="str">
            <v>LCH 3kg</v>
          </cell>
          <cell r="W97" t="str">
            <v>Ajuste</v>
          </cell>
          <cell r="X97">
            <v>2</v>
          </cell>
          <cell r="Y97">
            <v>6</v>
          </cell>
        </row>
        <row r="98">
          <cell r="T98">
            <v>0</v>
          </cell>
          <cell r="U98" t="str">
            <v>L100329</v>
          </cell>
          <cell r="V98" t="str">
            <v>DIV SAL 3kg</v>
          </cell>
          <cell r="W98" t="str">
            <v>Ajuste</v>
          </cell>
          <cell r="X98">
            <v>15</v>
          </cell>
          <cell r="Y98">
            <v>45</v>
          </cell>
        </row>
        <row r="99">
          <cell r="T99">
            <v>0</v>
          </cell>
          <cell r="U99" t="str">
            <v>L100028</v>
          </cell>
          <cell r="V99" t="str">
            <v>LCH 2kg-caja</v>
          </cell>
          <cell r="W99" t="str">
            <v>Ajuste</v>
          </cell>
          <cell r="X99">
            <v>16</v>
          </cell>
          <cell r="Y99">
            <v>32</v>
          </cell>
        </row>
        <row r="100">
          <cell r="T100">
            <v>0</v>
          </cell>
          <cell r="U100" t="str">
            <v>L100028</v>
          </cell>
          <cell r="V100" t="str">
            <v>LCHAY 2kg</v>
          </cell>
          <cell r="W100" t="str">
            <v>Ajuste</v>
          </cell>
          <cell r="X100">
            <v>7</v>
          </cell>
          <cell r="Y100">
            <v>0</v>
          </cell>
        </row>
        <row r="101">
          <cell r="T101" t="str">
            <v/>
          </cell>
          <cell r="U101" t="str">
            <v>L100687</v>
          </cell>
          <cell r="V101" t="str">
            <v>LCHAY 2kg</v>
          </cell>
          <cell r="W101" t="str">
            <v>Dañado</v>
          </cell>
          <cell r="X101">
            <v>2</v>
          </cell>
          <cell r="Y101">
            <v>0</v>
          </cell>
        </row>
        <row r="102">
          <cell r="T102">
            <v>0</v>
          </cell>
          <cell r="U102" t="str">
            <v>L99881</v>
          </cell>
          <cell r="V102" t="str">
            <v>LCHAY 4kg</v>
          </cell>
          <cell r="W102" t="str">
            <v>Ajuste</v>
          </cell>
          <cell r="X102">
            <v>5</v>
          </cell>
          <cell r="Y102">
            <v>20</v>
          </cell>
        </row>
        <row r="103">
          <cell r="T103">
            <v>0</v>
          </cell>
          <cell r="U103" t="str">
            <v>L100154</v>
          </cell>
          <cell r="V103" t="str">
            <v>LCHAY 4kg</v>
          </cell>
          <cell r="W103" t="str">
            <v>Ajuste</v>
          </cell>
          <cell r="X103">
            <v>2</v>
          </cell>
          <cell r="Y103">
            <v>8</v>
          </cell>
        </row>
        <row r="104">
          <cell r="T104">
            <v>0</v>
          </cell>
          <cell r="U104" t="str">
            <v>L100158</v>
          </cell>
          <cell r="V104" t="str">
            <v>LCHAY 4kg</v>
          </cell>
          <cell r="W104" t="str">
            <v>Ajuste</v>
          </cell>
          <cell r="X104">
            <v>4</v>
          </cell>
          <cell r="Y104">
            <v>16</v>
          </cell>
        </row>
        <row r="105">
          <cell r="T105">
            <v>0</v>
          </cell>
          <cell r="U105" t="str">
            <v>L100486</v>
          </cell>
          <cell r="V105" t="str">
            <v>srp 3kg - caja</v>
          </cell>
          <cell r="W105" t="str">
            <v>Ajuste</v>
          </cell>
          <cell r="X105">
            <v>13</v>
          </cell>
          <cell r="Y105">
            <v>39</v>
          </cell>
        </row>
        <row r="106">
          <cell r="T106">
            <v>0</v>
          </cell>
          <cell r="U106" t="str">
            <v>L100415</v>
          </cell>
          <cell r="V106" t="str">
            <v>TNQPLSTP</v>
          </cell>
          <cell r="W106" t="str">
            <v>Ajuste</v>
          </cell>
          <cell r="X106">
            <v>166</v>
          </cell>
          <cell r="Y106">
            <v>146.07999999999998</v>
          </cell>
        </row>
        <row r="107">
          <cell r="T107" t="str">
            <v/>
          </cell>
          <cell r="U107" t="str">
            <v>L101581</v>
          </cell>
          <cell r="V107" t="str">
            <v>ACT 4kg</v>
          </cell>
          <cell r="W107" t="str">
            <v>Ajuste</v>
          </cell>
          <cell r="X107">
            <v>3</v>
          </cell>
          <cell r="Y107">
            <v>0</v>
          </cell>
        </row>
        <row r="108">
          <cell r="T108" t="str">
            <v/>
          </cell>
          <cell r="U108" t="str">
            <v>L101097</v>
          </cell>
          <cell r="V108" t="str">
            <v>CJRC46-25UNI</v>
          </cell>
          <cell r="W108" t="str">
            <v>Ajuste</v>
          </cell>
          <cell r="X108">
            <v>48</v>
          </cell>
          <cell r="Y108">
            <v>374.4</v>
          </cell>
        </row>
        <row r="109">
          <cell r="T109" t="str">
            <v/>
          </cell>
          <cell r="U109" t="str">
            <v>L101626</v>
          </cell>
          <cell r="V109" t="str">
            <v>CJRC46-25UNI</v>
          </cell>
          <cell r="W109" t="str">
            <v>Ajuste</v>
          </cell>
          <cell r="X109">
            <v>64</v>
          </cell>
          <cell r="Y109">
            <v>499.2</v>
          </cell>
        </row>
        <row r="110">
          <cell r="T110">
            <v>0</v>
          </cell>
          <cell r="U110" t="str">
            <v>L101048</v>
          </cell>
          <cell r="V110" t="str">
            <v>CODV 2kg</v>
          </cell>
          <cell r="W110" t="str">
            <v>Ajuste</v>
          </cell>
          <cell r="X110">
            <v>8</v>
          </cell>
          <cell r="Y110">
            <v>16</v>
          </cell>
        </row>
        <row r="111">
          <cell r="T111">
            <v>0</v>
          </cell>
          <cell r="U111" t="str">
            <v>l101480</v>
          </cell>
          <cell r="V111" t="str">
            <v>ARZEPF14kg (CAJA)</v>
          </cell>
          <cell r="W111" t="str">
            <v>Ajuste</v>
          </cell>
          <cell r="X111">
            <v>72</v>
          </cell>
          <cell r="Y111">
            <v>1008</v>
          </cell>
        </row>
        <row r="112">
          <cell r="T112">
            <v>0</v>
          </cell>
          <cell r="U112" t="str">
            <v>L101256</v>
          </cell>
          <cell r="V112" t="str">
            <v>DIV MNS 10kg</v>
          </cell>
          <cell r="W112" t="str">
            <v>Ajuste</v>
          </cell>
          <cell r="X112">
            <v>337</v>
          </cell>
          <cell r="Y112">
            <v>3370</v>
          </cell>
        </row>
        <row r="113">
          <cell r="T113">
            <v>0</v>
          </cell>
          <cell r="U113" t="str">
            <v>L101793</v>
          </cell>
          <cell r="V113" t="str">
            <v>DIV PTLJM T8</v>
          </cell>
          <cell r="W113" t="str">
            <v>Ajuste</v>
          </cell>
          <cell r="X113">
            <v>9</v>
          </cell>
          <cell r="Y113">
            <v>9</v>
          </cell>
        </row>
        <row r="114">
          <cell r="T114">
            <v>0</v>
          </cell>
          <cell r="U114" t="str">
            <v>L100831</v>
          </cell>
          <cell r="V114" t="str">
            <v>DIV SHMP 2kg</v>
          </cell>
          <cell r="W114" t="str">
            <v>Ajuste</v>
          </cell>
          <cell r="X114">
            <v>1</v>
          </cell>
          <cell r="Y114">
            <v>2</v>
          </cell>
        </row>
        <row r="115">
          <cell r="T115">
            <v>0</v>
          </cell>
          <cell r="U115" t="str">
            <v>L100827</v>
          </cell>
          <cell r="V115" t="str">
            <v>EGB 2KG Caja</v>
          </cell>
          <cell r="W115" t="str">
            <v>Ajuste</v>
          </cell>
          <cell r="X115">
            <v>15</v>
          </cell>
          <cell r="Y115">
            <v>30</v>
          </cell>
        </row>
        <row r="116">
          <cell r="T116">
            <v>0</v>
          </cell>
          <cell r="U116" t="str">
            <v>L100829</v>
          </cell>
          <cell r="V116" t="str">
            <v>DIV EGB 3kg</v>
          </cell>
          <cell r="W116" t="str">
            <v>Ajuste</v>
          </cell>
          <cell r="X116">
            <v>7</v>
          </cell>
          <cell r="Y116">
            <v>21</v>
          </cell>
        </row>
        <row r="117">
          <cell r="T117">
            <v>0</v>
          </cell>
          <cell r="U117" t="str">
            <v>L101582</v>
          </cell>
          <cell r="V117" t="str">
            <v>FDV 3Kg</v>
          </cell>
          <cell r="W117" t="str">
            <v>Ajuste</v>
          </cell>
          <cell r="X117">
            <v>3</v>
          </cell>
          <cell r="Y117">
            <v>9</v>
          </cell>
        </row>
        <row r="118">
          <cell r="T118">
            <v>0</v>
          </cell>
          <cell r="U118" t="str">
            <v>L100919</v>
          </cell>
          <cell r="V118" t="str">
            <v>LCHAY 4kg</v>
          </cell>
          <cell r="W118" t="str">
            <v>Ajuste</v>
          </cell>
          <cell r="X118">
            <v>19</v>
          </cell>
          <cell r="Y118">
            <v>76</v>
          </cell>
        </row>
        <row r="119">
          <cell r="T119">
            <v>0</v>
          </cell>
          <cell r="U119" t="str">
            <v>L100923</v>
          </cell>
          <cell r="V119" t="str">
            <v>LCHAY 4kg</v>
          </cell>
          <cell r="W119" t="str">
            <v>Ajuste</v>
          </cell>
          <cell r="X119">
            <v>2</v>
          </cell>
          <cell r="Y119">
            <v>8</v>
          </cell>
        </row>
        <row r="120">
          <cell r="T120">
            <v>0</v>
          </cell>
          <cell r="U120" t="str">
            <v>L101045</v>
          </cell>
          <cell r="V120" t="str">
            <v>LCHAY 4kg</v>
          </cell>
          <cell r="W120" t="str">
            <v>Ajuste</v>
          </cell>
          <cell r="X120">
            <v>4</v>
          </cell>
          <cell r="Y120">
            <v>16</v>
          </cell>
        </row>
        <row r="121">
          <cell r="T121">
            <v>0</v>
          </cell>
          <cell r="U121" t="str">
            <v>L101313</v>
          </cell>
          <cell r="V121" t="str">
            <v>LCHAY 4kg</v>
          </cell>
          <cell r="W121" t="str">
            <v>Ajuste</v>
          </cell>
          <cell r="X121">
            <v>7</v>
          </cell>
          <cell r="Y121">
            <v>28</v>
          </cell>
        </row>
        <row r="122">
          <cell r="T122">
            <v>0</v>
          </cell>
          <cell r="U122" t="str">
            <v>L101314</v>
          </cell>
          <cell r="V122" t="str">
            <v>LCHAY 4kg</v>
          </cell>
          <cell r="W122" t="str">
            <v>Ajuste</v>
          </cell>
          <cell r="X122">
            <v>7</v>
          </cell>
          <cell r="Y122">
            <v>28</v>
          </cell>
        </row>
        <row r="123">
          <cell r="T123">
            <v>0</v>
          </cell>
          <cell r="U123" t="str">
            <v>L100756</v>
          </cell>
          <cell r="V123" t="str">
            <v>PTD 2 kg</v>
          </cell>
          <cell r="W123" t="str">
            <v>Ajuste</v>
          </cell>
          <cell r="X123">
            <v>2</v>
          </cell>
          <cell r="Y123">
            <v>4</v>
          </cell>
        </row>
        <row r="124">
          <cell r="T124">
            <v>0</v>
          </cell>
          <cell r="U124" t="str">
            <v>L100758</v>
          </cell>
          <cell r="V124" t="str">
            <v>PTD 2 kg</v>
          </cell>
          <cell r="W124" t="str">
            <v>Ajuste</v>
          </cell>
          <cell r="X124">
            <v>1</v>
          </cell>
          <cell r="Y124">
            <v>2</v>
          </cell>
        </row>
        <row r="125">
          <cell r="T125" t="str">
            <v/>
          </cell>
          <cell r="U125" t="str">
            <v>L101519</v>
          </cell>
          <cell r="V125" t="str">
            <v>PTV 5kg</v>
          </cell>
          <cell r="W125" t="str">
            <v>Ajuste</v>
          </cell>
          <cell r="X125">
            <v>10</v>
          </cell>
          <cell r="Y125">
            <v>50</v>
          </cell>
        </row>
        <row r="126">
          <cell r="T126">
            <v>0</v>
          </cell>
          <cell r="U126" t="str">
            <v>L101598</v>
          </cell>
          <cell r="V126" t="str">
            <v>SAV 3kg</v>
          </cell>
          <cell r="W126" t="str">
            <v>Ajuste</v>
          </cell>
          <cell r="X126">
            <v>11</v>
          </cell>
          <cell r="Y126">
            <v>33</v>
          </cell>
        </row>
        <row r="127">
          <cell r="T127">
            <v>0</v>
          </cell>
          <cell r="U127" t="str">
            <v>L101719</v>
          </cell>
          <cell r="V127" t="str">
            <v>SAV 3kg</v>
          </cell>
          <cell r="W127" t="str">
            <v>Ajuste</v>
          </cell>
          <cell r="X127">
            <v>8</v>
          </cell>
          <cell r="Y127">
            <v>24</v>
          </cell>
        </row>
        <row r="128">
          <cell r="T128">
            <v>0</v>
          </cell>
          <cell r="U128" t="str">
            <v>L100818</v>
          </cell>
          <cell r="V128" t="str">
            <v>SHP BB 12X400ml-CAJA</v>
          </cell>
          <cell r="W128" t="str">
            <v>Ajuste</v>
          </cell>
          <cell r="X128">
            <v>17</v>
          </cell>
          <cell r="Y128">
            <v>81.599999999999994</v>
          </cell>
        </row>
        <row r="129">
          <cell r="T129">
            <v>0</v>
          </cell>
          <cell r="U129" t="str">
            <v>L101495</v>
          </cell>
          <cell r="V129" t="str">
            <v>TRPGARAT 5kg</v>
          </cell>
          <cell r="W129" t="str">
            <v>Ajuste</v>
          </cell>
          <cell r="X129">
            <v>67</v>
          </cell>
          <cell r="Y129">
            <v>335</v>
          </cell>
        </row>
        <row r="130">
          <cell r="T130">
            <v>0</v>
          </cell>
          <cell r="U130" t="str">
            <v>L101495</v>
          </cell>
          <cell r="V130" t="str">
            <v>DIV TRPGARAT 5kg</v>
          </cell>
          <cell r="W130" t="str">
            <v>Ajuste</v>
          </cell>
          <cell r="X130">
            <v>14</v>
          </cell>
          <cell r="Y130">
            <v>70</v>
          </cell>
        </row>
        <row r="131">
          <cell r="T131">
            <v>0</v>
          </cell>
          <cell r="U131" t="str">
            <v>L101495</v>
          </cell>
          <cell r="V131" t="str">
            <v>PV TRPGARAT 5kg</v>
          </cell>
          <cell r="W131" t="str">
            <v>Ajuste</v>
          </cell>
          <cell r="X131">
            <v>96</v>
          </cell>
          <cell r="Y131">
            <v>480</v>
          </cell>
        </row>
        <row r="132">
          <cell r="T132">
            <v>0</v>
          </cell>
          <cell r="U132" t="str">
            <v>L102618</v>
          </cell>
          <cell r="V132" t="str">
            <v>ADR 3kg</v>
          </cell>
          <cell r="W132" t="str">
            <v>Ajuste</v>
          </cell>
          <cell r="X132">
            <v>6</v>
          </cell>
          <cell r="Y132">
            <v>18</v>
          </cell>
        </row>
        <row r="133">
          <cell r="T133">
            <v>0</v>
          </cell>
          <cell r="U133" t="str">
            <v>L102618</v>
          </cell>
          <cell r="V133" t="str">
            <v>ADR 3kg</v>
          </cell>
          <cell r="W133" t="str">
            <v>Dañado</v>
          </cell>
          <cell r="X133">
            <v>1</v>
          </cell>
          <cell r="Y133">
            <v>3</v>
          </cell>
        </row>
        <row r="134">
          <cell r="T134">
            <v>0</v>
          </cell>
          <cell r="U134" t="str">
            <v>L102238</v>
          </cell>
          <cell r="V134" t="str">
            <v>AGU 4x1gal-CAJA</v>
          </cell>
          <cell r="W134" t="str">
            <v>Ajuste</v>
          </cell>
          <cell r="X134">
            <v>11</v>
          </cell>
          <cell r="Y134">
            <v>166.54000000000002</v>
          </cell>
        </row>
        <row r="135">
          <cell r="T135">
            <v>0</v>
          </cell>
          <cell r="U135" t="str">
            <v>L102483</v>
          </cell>
          <cell r="V135" t="str">
            <v>AGU 4x1gal-CAJA</v>
          </cell>
          <cell r="W135" t="str">
            <v>Ajuste</v>
          </cell>
          <cell r="X135">
            <v>1</v>
          </cell>
          <cell r="Y135">
            <v>15.14</v>
          </cell>
        </row>
        <row r="136">
          <cell r="T136" t="str">
            <v/>
          </cell>
          <cell r="U136" t="str">
            <v>L102760</v>
          </cell>
          <cell r="V136" t="str">
            <v>BPV 5kg</v>
          </cell>
          <cell r="W136" t="str">
            <v>Ajuste</v>
          </cell>
          <cell r="X136">
            <v>2</v>
          </cell>
          <cell r="Y136">
            <v>10</v>
          </cell>
        </row>
        <row r="137">
          <cell r="T137" t="str">
            <v/>
          </cell>
          <cell r="U137" t="str">
            <v>L102007</v>
          </cell>
          <cell r="V137" t="str">
            <v>CJRC46-25UNI</v>
          </cell>
          <cell r="W137" t="str">
            <v>Ajuste</v>
          </cell>
          <cell r="X137">
            <v>32</v>
          </cell>
          <cell r="Y137">
            <v>249.6</v>
          </cell>
        </row>
        <row r="138">
          <cell r="T138">
            <v>0</v>
          </cell>
          <cell r="U138" t="str">
            <v>L102346</v>
          </cell>
          <cell r="V138" t="str">
            <v>CRV 1kg</v>
          </cell>
          <cell r="W138" t="str">
            <v>Ajuste</v>
          </cell>
          <cell r="X138">
            <v>15</v>
          </cell>
          <cell r="Y138">
            <v>15</v>
          </cell>
        </row>
        <row r="139">
          <cell r="T139">
            <v>0</v>
          </cell>
          <cell r="U139" t="str">
            <v>L102459</v>
          </cell>
          <cell r="V139" t="str">
            <v>CRV 1kg</v>
          </cell>
          <cell r="W139" t="str">
            <v>Ajuste</v>
          </cell>
          <cell r="X139">
            <v>1</v>
          </cell>
          <cell r="Y139">
            <v>1</v>
          </cell>
        </row>
        <row r="140">
          <cell r="T140">
            <v>0</v>
          </cell>
          <cell r="U140" t="str">
            <v>L102462</v>
          </cell>
          <cell r="V140" t="str">
            <v>CRV 1kg</v>
          </cell>
          <cell r="W140" t="str">
            <v>Ajuste</v>
          </cell>
          <cell r="X140">
            <v>1</v>
          </cell>
          <cell r="Y140">
            <v>1</v>
          </cell>
        </row>
        <row r="141">
          <cell r="T141">
            <v>0</v>
          </cell>
          <cell r="U141" t="str">
            <v>L102348</v>
          </cell>
          <cell r="V141" t="str">
            <v>CRV 2kg-CAJA</v>
          </cell>
          <cell r="W141" t="str">
            <v>Ajuste</v>
          </cell>
          <cell r="X141">
            <v>11</v>
          </cell>
          <cell r="Y141">
            <v>22</v>
          </cell>
        </row>
        <row r="142">
          <cell r="T142">
            <v>0</v>
          </cell>
          <cell r="U142" t="str">
            <v>L101837</v>
          </cell>
          <cell r="V142" t="str">
            <v>DIV PTD 2 kg</v>
          </cell>
          <cell r="W142" t="str">
            <v>Ajuste</v>
          </cell>
          <cell r="X142">
            <v>63</v>
          </cell>
          <cell r="Y142">
            <v>126</v>
          </cell>
        </row>
        <row r="143">
          <cell r="T143">
            <v>0</v>
          </cell>
          <cell r="U143" t="str">
            <v>L101842</v>
          </cell>
          <cell r="V143" t="str">
            <v>EGB 2KG Caja</v>
          </cell>
          <cell r="W143" t="str">
            <v>Ajuste</v>
          </cell>
          <cell r="X143">
            <v>9</v>
          </cell>
          <cell r="Y143">
            <v>18</v>
          </cell>
        </row>
        <row r="144">
          <cell r="T144">
            <v>0</v>
          </cell>
          <cell r="U144" t="str">
            <v>L101908</v>
          </cell>
          <cell r="V144" t="str">
            <v>EGB MD 250ML- UNIDAD</v>
          </cell>
          <cell r="W144" t="str">
            <v>Ajuste</v>
          </cell>
          <cell r="X144">
            <v>44</v>
          </cell>
          <cell r="Y144">
            <v>11</v>
          </cell>
        </row>
        <row r="145">
          <cell r="T145">
            <v>0</v>
          </cell>
          <cell r="U145" t="str">
            <v>L102280</v>
          </cell>
          <cell r="V145" t="str">
            <v>DIV HAV 25kg</v>
          </cell>
          <cell r="W145" t="str">
            <v>Ajuste</v>
          </cell>
          <cell r="X145">
            <v>22</v>
          </cell>
          <cell r="Y145">
            <v>550</v>
          </cell>
        </row>
        <row r="146">
          <cell r="T146">
            <v>0</v>
          </cell>
          <cell r="U146" t="str">
            <v>L102759</v>
          </cell>
          <cell r="V146" t="str">
            <v>JAL 5kg</v>
          </cell>
          <cell r="W146" t="str">
            <v>Ajuste</v>
          </cell>
          <cell r="X146">
            <v>11</v>
          </cell>
          <cell r="Y146">
            <v>55</v>
          </cell>
        </row>
        <row r="147">
          <cell r="T147">
            <v>0</v>
          </cell>
          <cell r="U147" t="str">
            <v>l102377</v>
          </cell>
          <cell r="V147" t="str">
            <v>JGO 1kg</v>
          </cell>
          <cell r="W147" t="str">
            <v>Ajuste</v>
          </cell>
          <cell r="X147">
            <v>18</v>
          </cell>
          <cell r="Y147">
            <v>18</v>
          </cell>
        </row>
        <row r="148">
          <cell r="T148" t="str">
            <v/>
          </cell>
          <cell r="U148" t="str">
            <v>L102410</v>
          </cell>
          <cell r="V148" t="str">
            <v>LCHAY 2kg</v>
          </cell>
          <cell r="W148" t="str">
            <v>Ajuste</v>
          </cell>
          <cell r="X148">
            <v>1</v>
          </cell>
          <cell r="Y148">
            <v>0</v>
          </cell>
        </row>
        <row r="149">
          <cell r="T149">
            <v>0</v>
          </cell>
          <cell r="U149" t="str">
            <v>L102406</v>
          </cell>
          <cell r="V149" t="str">
            <v>LCHAY 4kg</v>
          </cell>
          <cell r="W149" t="str">
            <v>Ajuste</v>
          </cell>
          <cell r="X149">
            <v>3</v>
          </cell>
          <cell r="Y149">
            <v>12</v>
          </cell>
        </row>
        <row r="150">
          <cell r="T150">
            <v>0</v>
          </cell>
          <cell r="U150" t="str">
            <v>L102681</v>
          </cell>
          <cell r="V150" t="str">
            <v>LCHAY 4kg</v>
          </cell>
          <cell r="W150" t="str">
            <v>Ajuste</v>
          </cell>
          <cell r="X150">
            <v>73</v>
          </cell>
          <cell r="Y150">
            <v>292</v>
          </cell>
        </row>
        <row r="151">
          <cell r="T151">
            <v>0</v>
          </cell>
          <cell r="U151" t="str">
            <v>L102553</v>
          </cell>
          <cell r="V151" t="str">
            <v>LCHPD 1x400g</v>
          </cell>
          <cell r="W151" t="str">
            <v>Ajuste</v>
          </cell>
          <cell r="X151">
            <v>538</v>
          </cell>
          <cell r="Y151">
            <v>215.2</v>
          </cell>
        </row>
        <row r="152">
          <cell r="T152" t="str">
            <v/>
          </cell>
          <cell r="U152" t="str">
            <v>L102479</v>
          </cell>
          <cell r="V152" t="str">
            <v>MCN PD 1x47g</v>
          </cell>
          <cell r="W152" t="str">
            <v>Ajuste</v>
          </cell>
          <cell r="X152">
            <v>336</v>
          </cell>
          <cell r="Y152">
            <v>0</v>
          </cell>
        </row>
        <row r="153">
          <cell r="T153" t="str">
            <v/>
          </cell>
          <cell r="U153" t="str">
            <v>L102138</v>
          </cell>
          <cell r="V153" t="str">
            <v>MERMA DE FRUVER 1 kg</v>
          </cell>
          <cell r="W153" t="str">
            <v>Ajuste</v>
          </cell>
          <cell r="X153">
            <v>24.5</v>
          </cell>
          <cell r="Y153">
            <v>24.5</v>
          </cell>
        </row>
        <row r="154">
          <cell r="T154">
            <v>0</v>
          </cell>
          <cell r="U154" t="str">
            <v>L102766</v>
          </cell>
          <cell r="V154" t="str">
            <v>Merma KG</v>
          </cell>
          <cell r="W154" t="str">
            <v>Ajuste</v>
          </cell>
          <cell r="X154">
            <v>100.5</v>
          </cell>
          <cell r="Y154">
            <v>100.5</v>
          </cell>
        </row>
        <row r="155">
          <cell r="T155">
            <v>0</v>
          </cell>
          <cell r="U155" t="str">
            <v>L102006</v>
          </cell>
          <cell r="V155" t="str">
            <v>MNS 10Kg-PAQUETE</v>
          </cell>
          <cell r="W155" t="str">
            <v>Ajuste</v>
          </cell>
          <cell r="X155">
            <v>5</v>
          </cell>
          <cell r="Y155">
            <v>50</v>
          </cell>
        </row>
        <row r="156">
          <cell r="T156">
            <v>0</v>
          </cell>
          <cell r="U156" t="str">
            <v>L102273</v>
          </cell>
          <cell r="V156" t="str">
            <v>MRL 3kg</v>
          </cell>
          <cell r="W156" t="str">
            <v>Ajuste</v>
          </cell>
          <cell r="X156">
            <v>1</v>
          </cell>
          <cell r="Y156">
            <v>3</v>
          </cell>
        </row>
        <row r="157">
          <cell r="T157">
            <v>0</v>
          </cell>
          <cell r="U157" t="str">
            <v>L102508</v>
          </cell>
          <cell r="V157" t="str">
            <v>MYN 3kg - Caja</v>
          </cell>
          <cell r="W157" t="str">
            <v>Ajuste</v>
          </cell>
          <cell r="X157">
            <v>2</v>
          </cell>
          <cell r="Y157">
            <v>6</v>
          </cell>
        </row>
        <row r="158">
          <cell r="T158">
            <v>0</v>
          </cell>
          <cell r="U158" t="str">
            <v>L102671</v>
          </cell>
          <cell r="V158" t="str">
            <v>NV ACE 12x900ml-CAJA</v>
          </cell>
          <cell r="W158" t="str">
            <v>Ajuste</v>
          </cell>
          <cell r="X158">
            <v>2</v>
          </cell>
          <cell r="Y158">
            <v>21.6</v>
          </cell>
        </row>
        <row r="159">
          <cell r="T159">
            <v>0</v>
          </cell>
          <cell r="U159" t="str">
            <v>L102675</v>
          </cell>
          <cell r="V159" t="str">
            <v>NV ACE 1x900ml-UNI</v>
          </cell>
          <cell r="W159" t="str">
            <v>Ajuste</v>
          </cell>
          <cell r="X159">
            <v>12</v>
          </cell>
          <cell r="Y159">
            <v>10.8</v>
          </cell>
        </row>
        <row r="160">
          <cell r="T160">
            <v>0</v>
          </cell>
          <cell r="U160" t="str">
            <v>l102669</v>
          </cell>
          <cell r="V160" t="str">
            <v>NV ARJ 1X1LB-UNI</v>
          </cell>
          <cell r="W160" t="str">
            <v>Ajuste</v>
          </cell>
          <cell r="X160">
            <v>18</v>
          </cell>
          <cell r="Y160">
            <v>7.56</v>
          </cell>
        </row>
        <row r="161">
          <cell r="T161">
            <v>0</v>
          </cell>
          <cell r="U161" t="str">
            <v>L102673</v>
          </cell>
          <cell r="V161" t="str">
            <v>NV ARZ 1x5lb-UNI</v>
          </cell>
          <cell r="W161" t="str">
            <v>Ajuste</v>
          </cell>
          <cell r="X161">
            <v>57</v>
          </cell>
          <cell r="Y161">
            <v>128.81999999999996</v>
          </cell>
        </row>
        <row r="162">
          <cell r="T162" t="str">
            <v>CAMPAÑA NUTRIENDO VIDAS</v>
          </cell>
          <cell r="U162" t="str">
            <v>l102652</v>
          </cell>
          <cell r="V162" t="str">
            <v>NV AZC 25 x 800g-CAJA</v>
          </cell>
          <cell r="W162" t="str">
            <v>Ajuste</v>
          </cell>
          <cell r="X162">
            <v>293</v>
          </cell>
          <cell r="Y162">
            <v>5860</v>
          </cell>
        </row>
        <row r="163">
          <cell r="T163" t="str">
            <v>CAMPAÑA NUTRIENDO VIDAS</v>
          </cell>
          <cell r="U163" t="str">
            <v>l102652</v>
          </cell>
          <cell r="V163" t="str">
            <v>NV AZC 25 x 800g-CAJA</v>
          </cell>
          <cell r="W163" t="str">
            <v>Reproceso</v>
          </cell>
          <cell r="X163">
            <v>24</v>
          </cell>
          <cell r="Y163">
            <v>480</v>
          </cell>
        </row>
        <row r="164">
          <cell r="T164" t="str">
            <v>CAMPAÑA NUTRIENDO VIDAS</v>
          </cell>
          <cell r="U164" t="str">
            <v>l102652</v>
          </cell>
          <cell r="V164" t="str">
            <v>NV AZC 1 x 800g-UNI</v>
          </cell>
          <cell r="W164" t="str">
            <v>Ajuste</v>
          </cell>
          <cell r="X164">
            <v>1202</v>
          </cell>
          <cell r="Y164">
            <v>961.59999999999991</v>
          </cell>
        </row>
        <row r="165">
          <cell r="T165">
            <v>0</v>
          </cell>
          <cell r="U165" t="str">
            <v>l102654</v>
          </cell>
          <cell r="V165" t="str">
            <v>NV CRAVE 1X320g-UNI</v>
          </cell>
          <cell r="W165" t="str">
            <v>Ajuste</v>
          </cell>
          <cell r="X165">
            <v>40</v>
          </cell>
          <cell r="Y165">
            <v>12.8</v>
          </cell>
        </row>
        <row r="166">
          <cell r="T166">
            <v>0</v>
          </cell>
          <cell r="U166" t="str">
            <v>l102653</v>
          </cell>
          <cell r="V166" t="str">
            <v>NV CRMAIZ 1X320g-UNI</v>
          </cell>
          <cell r="W166" t="str">
            <v>Ajuste</v>
          </cell>
          <cell r="X166">
            <v>40</v>
          </cell>
          <cell r="Y166">
            <v>12.8</v>
          </cell>
        </row>
        <row r="167">
          <cell r="T167">
            <v>0</v>
          </cell>
          <cell r="U167" t="str">
            <v>L102656</v>
          </cell>
          <cell r="V167" t="str">
            <v>NV HAR 1 x 454g-UNI</v>
          </cell>
          <cell r="W167" t="str">
            <v>Ajuste</v>
          </cell>
          <cell r="X167">
            <v>36</v>
          </cell>
          <cell r="Y167">
            <v>16.2</v>
          </cell>
        </row>
        <row r="168">
          <cell r="T168">
            <v>0</v>
          </cell>
          <cell r="U168" t="str">
            <v>L102658</v>
          </cell>
          <cell r="V168" t="str">
            <v>NV LCH 1X400g-UNI</v>
          </cell>
          <cell r="W168" t="str">
            <v>Ajuste</v>
          </cell>
          <cell r="X168">
            <v>18</v>
          </cell>
          <cell r="Y168">
            <v>7.2</v>
          </cell>
        </row>
        <row r="169">
          <cell r="T169">
            <v>0</v>
          </cell>
          <cell r="U169" t="str">
            <v>L102668</v>
          </cell>
          <cell r="V169" t="str">
            <v>NV LTJ 1X1Lb-UNI</v>
          </cell>
          <cell r="W169" t="str">
            <v>Ajuste</v>
          </cell>
          <cell r="X169">
            <v>14</v>
          </cell>
          <cell r="Y169">
            <v>6.3</v>
          </cell>
        </row>
        <row r="170">
          <cell r="T170">
            <v>0</v>
          </cell>
          <cell r="U170" t="str">
            <v>L102667</v>
          </cell>
          <cell r="V170" t="str">
            <v>NV LTJ 25X1Lb-CAJA</v>
          </cell>
          <cell r="W170" t="str">
            <v>Ajuste</v>
          </cell>
          <cell r="X170">
            <v>1</v>
          </cell>
          <cell r="Y170">
            <v>11.33</v>
          </cell>
        </row>
        <row r="171">
          <cell r="T171">
            <v>0</v>
          </cell>
          <cell r="U171" t="str">
            <v>l102674</v>
          </cell>
          <cell r="V171" t="str">
            <v>NV SAL 1X454g-UNI</v>
          </cell>
          <cell r="W171" t="str">
            <v>Ajuste</v>
          </cell>
          <cell r="X171">
            <v>8</v>
          </cell>
          <cell r="Y171">
            <v>3.6</v>
          </cell>
        </row>
        <row r="172">
          <cell r="T172">
            <v>0</v>
          </cell>
          <cell r="U172" t="str">
            <v>l102674</v>
          </cell>
          <cell r="V172" t="str">
            <v>NV SAL 30X454g-CAJA</v>
          </cell>
          <cell r="W172" t="str">
            <v>Ajuste</v>
          </cell>
          <cell r="X172">
            <v>1</v>
          </cell>
          <cell r="Y172">
            <v>13.62</v>
          </cell>
        </row>
        <row r="173">
          <cell r="T173">
            <v>0</v>
          </cell>
          <cell r="U173" t="str">
            <v>L102666</v>
          </cell>
          <cell r="V173" t="str">
            <v>NV SPAGUETTIS 1 x 454G-UNI</v>
          </cell>
          <cell r="W173" t="str">
            <v>Ajuste</v>
          </cell>
          <cell r="X173">
            <v>32</v>
          </cell>
          <cell r="Y173">
            <v>14.4</v>
          </cell>
        </row>
        <row r="174">
          <cell r="T174">
            <v>0</v>
          </cell>
          <cell r="U174" t="str">
            <v>L102665</v>
          </cell>
          <cell r="V174" t="str">
            <v>NV SPAGUETTIS 20 x 454G-CAJA</v>
          </cell>
          <cell r="W174" t="str">
            <v>Ajuste</v>
          </cell>
          <cell r="X174">
            <v>2</v>
          </cell>
          <cell r="Y174">
            <v>18.16</v>
          </cell>
        </row>
        <row r="175">
          <cell r="T175">
            <v>0</v>
          </cell>
          <cell r="U175" t="str">
            <v>L102664</v>
          </cell>
          <cell r="V175" t="str">
            <v>NV SRD 1X15 OZ-UNI</v>
          </cell>
          <cell r="W175" t="str">
            <v>Ajuste</v>
          </cell>
          <cell r="X175">
            <v>18</v>
          </cell>
          <cell r="Y175">
            <v>7.56</v>
          </cell>
        </row>
        <row r="176">
          <cell r="T176">
            <v>0</v>
          </cell>
          <cell r="U176" t="str">
            <v>L102662</v>
          </cell>
          <cell r="V176" t="str">
            <v>NV SRD 1X5.5 ONZ-UNI</v>
          </cell>
          <cell r="W176" t="str">
            <v>Ajuste</v>
          </cell>
          <cell r="X176">
            <v>36</v>
          </cell>
          <cell r="Y176">
            <v>5.3999999999999995</v>
          </cell>
        </row>
        <row r="177">
          <cell r="T177" t="str">
            <v/>
          </cell>
          <cell r="U177" t="str">
            <v>L102620</v>
          </cell>
          <cell r="V177" t="str">
            <v>PASTVH 2kg</v>
          </cell>
          <cell r="W177" t="str">
            <v>Ajuste</v>
          </cell>
          <cell r="X177">
            <v>6</v>
          </cell>
          <cell r="Y177">
            <v>0</v>
          </cell>
        </row>
        <row r="178">
          <cell r="T178">
            <v>0</v>
          </cell>
          <cell r="U178" t="str">
            <v>L101839</v>
          </cell>
          <cell r="V178" t="str">
            <v>PTD 2 kg</v>
          </cell>
          <cell r="W178" t="str">
            <v>Ajuste</v>
          </cell>
          <cell r="X178">
            <v>12</v>
          </cell>
          <cell r="Y178">
            <v>24</v>
          </cell>
        </row>
        <row r="179">
          <cell r="T179">
            <v>0</v>
          </cell>
          <cell r="U179" t="str">
            <v>L101851</v>
          </cell>
          <cell r="V179" t="str">
            <v>PTD 2 kg</v>
          </cell>
          <cell r="W179" t="str">
            <v>Ajuste</v>
          </cell>
          <cell r="X179">
            <v>3</v>
          </cell>
          <cell r="Y179">
            <v>6</v>
          </cell>
        </row>
        <row r="180">
          <cell r="T180">
            <v>0</v>
          </cell>
          <cell r="U180" t="str">
            <v>L101852</v>
          </cell>
          <cell r="V180" t="str">
            <v>PTD 2 kg</v>
          </cell>
          <cell r="W180" t="str">
            <v>Ajuste</v>
          </cell>
          <cell r="X180">
            <v>5</v>
          </cell>
          <cell r="Y180">
            <v>10</v>
          </cell>
        </row>
        <row r="181">
          <cell r="T181">
            <v>0</v>
          </cell>
          <cell r="U181" t="str">
            <v>L101853</v>
          </cell>
          <cell r="V181" t="str">
            <v>PTD 2 kg</v>
          </cell>
          <cell r="W181" t="str">
            <v>Ajuste</v>
          </cell>
          <cell r="X181">
            <v>17</v>
          </cell>
          <cell r="Y181">
            <v>34</v>
          </cell>
        </row>
        <row r="182">
          <cell r="T182">
            <v>0</v>
          </cell>
          <cell r="U182" t="str">
            <v>L101854</v>
          </cell>
          <cell r="V182" t="str">
            <v>PTD 2 kg</v>
          </cell>
          <cell r="W182" t="str">
            <v>Ajuste</v>
          </cell>
          <cell r="X182">
            <v>10</v>
          </cell>
          <cell r="Y182">
            <v>20</v>
          </cell>
        </row>
        <row r="183">
          <cell r="T183">
            <v>0</v>
          </cell>
          <cell r="U183" t="str">
            <v>L101855</v>
          </cell>
          <cell r="V183" t="str">
            <v>PTD 2 kg</v>
          </cell>
          <cell r="W183" t="str">
            <v>Ajuste</v>
          </cell>
          <cell r="X183">
            <v>15</v>
          </cell>
          <cell r="Y183">
            <v>30</v>
          </cell>
        </row>
        <row r="184">
          <cell r="T184">
            <v>0</v>
          </cell>
          <cell r="U184" t="str">
            <v>L101856</v>
          </cell>
          <cell r="V184" t="str">
            <v>PTD 2 kg</v>
          </cell>
          <cell r="W184" t="str">
            <v>Ajuste</v>
          </cell>
          <cell r="X184">
            <v>10</v>
          </cell>
          <cell r="Y184">
            <v>20</v>
          </cell>
        </row>
        <row r="185">
          <cell r="T185" t="str">
            <v/>
          </cell>
          <cell r="U185" t="str">
            <v>L101857</v>
          </cell>
          <cell r="V185" t="str">
            <v>PTD 2 kg</v>
          </cell>
          <cell r="W185" t="str">
            <v>Ajuste</v>
          </cell>
          <cell r="X185">
            <v>25</v>
          </cell>
          <cell r="Y185">
            <v>50</v>
          </cell>
        </row>
        <row r="186">
          <cell r="T186">
            <v>0</v>
          </cell>
          <cell r="U186" t="str">
            <v>L101858</v>
          </cell>
          <cell r="V186" t="str">
            <v>PTD 2 kg</v>
          </cell>
          <cell r="W186" t="str">
            <v>Ajuste</v>
          </cell>
          <cell r="X186">
            <v>24</v>
          </cell>
          <cell r="Y186">
            <v>48</v>
          </cell>
        </row>
        <row r="187">
          <cell r="T187" t="str">
            <v/>
          </cell>
          <cell r="U187" t="str">
            <v>L101859</v>
          </cell>
          <cell r="V187" t="str">
            <v>PTD 2 kg</v>
          </cell>
          <cell r="W187" t="str">
            <v>Ajuste</v>
          </cell>
          <cell r="X187">
            <v>23</v>
          </cell>
          <cell r="Y187">
            <v>46</v>
          </cell>
        </row>
        <row r="188">
          <cell r="T188">
            <v>0</v>
          </cell>
          <cell r="U188" t="str">
            <v>L102142</v>
          </cell>
          <cell r="V188" t="str">
            <v>PTD 2 kg</v>
          </cell>
          <cell r="W188" t="str">
            <v>Ajuste</v>
          </cell>
          <cell r="X188">
            <v>7</v>
          </cell>
          <cell r="Y188">
            <v>14</v>
          </cell>
        </row>
        <row r="189">
          <cell r="T189">
            <v>0</v>
          </cell>
          <cell r="U189" t="str">
            <v>L102702</v>
          </cell>
          <cell r="V189" t="str">
            <v>PTV 16 a 22kg</v>
          </cell>
          <cell r="W189" t="str">
            <v>Ajuste</v>
          </cell>
          <cell r="X189">
            <v>85</v>
          </cell>
          <cell r="Y189">
            <v>1615</v>
          </cell>
        </row>
        <row r="190">
          <cell r="T190">
            <v>0</v>
          </cell>
          <cell r="U190" t="str">
            <v>L102740</v>
          </cell>
          <cell r="V190" t="str">
            <v>PTV 2kg</v>
          </cell>
          <cell r="W190" t="str">
            <v>Ajuste</v>
          </cell>
          <cell r="X190">
            <v>4</v>
          </cell>
          <cell r="Y190">
            <v>8</v>
          </cell>
        </row>
        <row r="191">
          <cell r="T191">
            <v>0</v>
          </cell>
          <cell r="U191" t="str">
            <v>L102578</v>
          </cell>
          <cell r="V191" t="str">
            <v>PTV 5kg</v>
          </cell>
          <cell r="W191" t="str">
            <v>Ajuste</v>
          </cell>
          <cell r="X191">
            <v>352</v>
          </cell>
          <cell r="Y191">
            <v>1760</v>
          </cell>
        </row>
        <row r="192">
          <cell r="T192">
            <v>0</v>
          </cell>
          <cell r="U192" t="str">
            <v>L101838</v>
          </cell>
          <cell r="V192" t="str">
            <v>SHMP 1kg Caja</v>
          </cell>
          <cell r="W192" t="str">
            <v>Ajuste</v>
          </cell>
          <cell r="X192">
            <v>3</v>
          </cell>
          <cell r="Y192">
            <v>3</v>
          </cell>
        </row>
        <row r="193">
          <cell r="T193">
            <v>0</v>
          </cell>
          <cell r="U193" t="str">
            <v>L101845</v>
          </cell>
          <cell r="V193" t="str">
            <v>SHMP 1kg Caja</v>
          </cell>
          <cell r="W193" t="str">
            <v>Ajuste</v>
          </cell>
          <cell r="X193">
            <v>12</v>
          </cell>
          <cell r="Y193">
            <v>12</v>
          </cell>
        </row>
        <row r="194">
          <cell r="T194">
            <v>0</v>
          </cell>
          <cell r="U194" t="str">
            <v>L102583</v>
          </cell>
          <cell r="V194" t="str">
            <v>SHMP 1kg Caja</v>
          </cell>
          <cell r="W194" t="str">
            <v>Ajuste</v>
          </cell>
          <cell r="X194">
            <v>1</v>
          </cell>
          <cell r="Y194">
            <v>1</v>
          </cell>
        </row>
        <row r="195">
          <cell r="T195">
            <v>0</v>
          </cell>
          <cell r="U195" t="str">
            <v>L102253</v>
          </cell>
          <cell r="V195" t="str">
            <v>SSY 2kg-CAJA</v>
          </cell>
          <cell r="W195" t="str">
            <v>Ajuste</v>
          </cell>
          <cell r="X195">
            <v>11</v>
          </cell>
          <cell r="Y195">
            <v>22</v>
          </cell>
        </row>
        <row r="196">
          <cell r="T196">
            <v>0</v>
          </cell>
          <cell r="U196" t="str">
            <v>L102256</v>
          </cell>
          <cell r="V196" t="str">
            <v>SSY 2kg-CAJA</v>
          </cell>
          <cell r="W196" t="str">
            <v>Ajuste</v>
          </cell>
          <cell r="X196">
            <v>3</v>
          </cell>
          <cell r="Y196">
            <v>6</v>
          </cell>
        </row>
        <row r="197">
          <cell r="T197">
            <v>0</v>
          </cell>
          <cell r="U197" t="str">
            <v>l102284</v>
          </cell>
          <cell r="V197" t="str">
            <v>SVIT 2Kg - CAJA</v>
          </cell>
          <cell r="W197" t="str">
            <v>Ajuste</v>
          </cell>
          <cell r="X197">
            <v>58</v>
          </cell>
          <cell r="Y197">
            <v>116</v>
          </cell>
        </row>
        <row r="198">
          <cell r="T198">
            <v>0</v>
          </cell>
          <cell r="U198" t="str">
            <v>L103440</v>
          </cell>
          <cell r="V198" t="str">
            <v>ACE 1KG-CAJA</v>
          </cell>
          <cell r="W198" t="str">
            <v>Ajuste</v>
          </cell>
          <cell r="X198">
            <v>2</v>
          </cell>
          <cell r="Y198">
            <v>2</v>
          </cell>
        </row>
        <row r="199">
          <cell r="T199">
            <v>0</v>
          </cell>
          <cell r="U199" t="str">
            <v>L103534</v>
          </cell>
          <cell r="V199" t="str">
            <v>ACE 2KG</v>
          </cell>
          <cell r="W199" t="str">
            <v>Ajuste</v>
          </cell>
          <cell r="X199">
            <v>2</v>
          </cell>
          <cell r="Y199">
            <v>4</v>
          </cell>
        </row>
        <row r="200">
          <cell r="T200">
            <v>0</v>
          </cell>
          <cell r="U200" t="str">
            <v>L103605</v>
          </cell>
          <cell r="V200" t="str">
            <v>ACE 2KG</v>
          </cell>
          <cell r="W200" t="str">
            <v>Ajuste</v>
          </cell>
          <cell r="X200">
            <v>1</v>
          </cell>
          <cell r="Y200">
            <v>2</v>
          </cell>
        </row>
        <row r="201">
          <cell r="T201">
            <v>0</v>
          </cell>
          <cell r="U201" t="str">
            <v>L103734</v>
          </cell>
          <cell r="V201" t="str">
            <v>Aceituna kg</v>
          </cell>
          <cell r="W201" t="str">
            <v>Ajuste</v>
          </cell>
          <cell r="X201">
            <v>0.23</v>
          </cell>
          <cell r="Y201">
            <v>0.23</v>
          </cell>
        </row>
        <row r="202">
          <cell r="T202">
            <v>0</v>
          </cell>
          <cell r="U202" t="str">
            <v>L102914</v>
          </cell>
          <cell r="V202" t="str">
            <v>ACT 3kg</v>
          </cell>
          <cell r="W202" t="str">
            <v>Ajuste</v>
          </cell>
          <cell r="X202">
            <v>3</v>
          </cell>
          <cell r="Y202">
            <v>9</v>
          </cell>
        </row>
        <row r="203">
          <cell r="T203" t="str">
            <v/>
          </cell>
          <cell r="U203" t="str">
            <v>L103709</v>
          </cell>
          <cell r="V203" t="str">
            <v>ACT 4kg</v>
          </cell>
          <cell r="W203" t="str">
            <v>Ajuste</v>
          </cell>
          <cell r="X203">
            <v>1</v>
          </cell>
          <cell r="Y203">
            <v>0</v>
          </cell>
        </row>
        <row r="204">
          <cell r="T204" t="str">
            <v/>
          </cell>
          <cell r="U204" t="str">
            <v>L103719</v>
          </cell>
          <cell r="V204" t="str">
            <v>ACT 5kg</v>
          </cell>
          <cell r="W204" t="str">
            <v>Ajuste</v>
          </cell>
          <cell r="X204">
            <v>1</v>
          </cell>
          <cell r="Y204">
            <v>5</v>
          </cell>
        </row>
        <row r="205">
          <cell r="T205">
            <v>0</v>
          </cell>
          <cell r="U205" t="str">
            <v>L103101</v>
          </cell>
          <cell r="V205" t="str">
            <v>AGU 4x1gal-CAJA</v>
          </cell>
          <cell r="W205" t="str">
            <v>Ajuste</v>
          </cell>
          <cell r="X205">
            <v>228</v>
          </cell>
          <cell r="Y205">
            <v>3451.9200000000005</v>
          </cell>
        </row>
        <row r="206">
          <cell r="T206">
            <v>0</v>
          </cell>
          <cell r="U206" t="str">
            <v>L103101</v>
          </cell>
          <cell r="V206" t="str">
            <v>DIV AGU 1 GLN</v>
          </cell>
          <cell r="W206" t="str">
            <v>Ajuste</v>
          </cell>
          <cell r="X206">
            <v>175</v>
          </cell>
          <cell r="Y206">
            <v>661.5</v>
          </cell>
        </row>
        <row r="207">
          <cell r="T207">
            <v>0</v>
          </cell>
          <cell r="U207" t="str">
            <v>L103318</v>
          </cell>
          <cell r="V207" t="str">
            <v>AGU 4x1gal-CAJA</v>
          </cell>
          <cell r="W207" t="str">
            <v>Ajuste</v>
          </cell>
          <cell r="X207">
            <v>1</v>
          </cell>
          <cell r="Y207">
            <v>15.14</v>
          </cell>
        </row>
        <row r="208">
          <cell r="T208">
            <v>0</v>
          </cell>
          <cell r="U208" t="str">
            <v>L103567</v>
          </cell>
          <cell r="V208" t="str">
            <v>AGU 4x1gal-CAJA</v>
          </cell>
          <cell r="W208" t="str">
            <v>Ajuste</v>
          </cell>
          <cell r="X208">
            <v>310</v>
          </cell>
          <cell r="Y208">
            <v>4693.4000000000015</v>
          </cell>
        </row>
        <row r="209">
          <cell r="T209">
            <v>0</v>
          </cell>
          <cell r="U209" t="str">
            <v>L103689</v>
          </cell>
          <cell r="V209" t="str">
            <v>AGU 4x1gal-CAJA</v>
          </cell>
          <cell r="W209" t="str">
            <v>Ajuste</v>
          </cell>
          <cell r="X209">
            <v>1</v>
          </cell>
          <cell r="Y209">
            <v>15.14</v>
          </cell>
        </row>
        <row r="210">
          <cell r="T210">
            <v>0</v>
          </cell>
          <cell r="U210" t="str">
            <v>L103102</v>
          </cell>
          <cell r="V210" t="str">
            <v>AGU 4X5L-CAJA</v>
          </cell>
          <cell r="W210" t="str">
            <v>Ajuste</v>
          </cell>
          <cell r="X210">
            <v>70</v>
          </cell>
          <cell r="Y210">
            <v>1400</v>
          </cell>
        </row>
        <row r="211">
          <cell r="T211">
            <v>0</v>
          </cell>
          <cell r="U211" t="str">
            <v>L103568</v>
          </cell>
          <cell r="V211" t="str">
            <v>AGU 4X5L-CAJA</v>
          </cell>
          <cell r="W211" t="str">
            <v>Ajuste</v>
          </cell>
          <cell r="X211">
            <v>209</v>
          </cell>
          <cell r="Y211">
            <v>4180</v>
          </cell>
        </row>
        <row r="212">
          <cell r="T212">
            <v>0</v>
          </cell>
          <cell r="U212" t="str">
            <v>L103568</v>
          </cell>
          <cell r="V212" t="str">
            <v>DIV AGU 1 GLN</v>
          </cell>
          <cell r="W212" t="str">
            <v>Ajuste</v>
          </cell>
          <cell r="X212">
            <v>432</v>
          </cell>
          <cell r="Y212">
            <v>1632.9599999999994</v>
          </cell>
        </row>
        <row r="213">
          <cell r="T213" t="str">
            <v/>
          </cell>
          <cell r="U213" t="str">
            <v>L103688</v>
          </cell>
          <cell r="V213" t="str">
            <v>AGU 5kg-CAJA</v>
          </cell>
          <cell r="W213" t="str">
            <v>Ajuste</v>
          </cell>
          <cell r="X213">
            <v>2</v>
          </cell>
          <cell r="Y213">
            <v>0</v>
          </cell>
        </row>
        <row r="214">
          <cell r="T214">
            <v>0</v>
          </cell>
          <cell r="U214" t="str">
            <v>L103563</v>
          </cell>
          <cell r="V214" t="str">
            <v>ALC 24X16OZ</v>
          </cell>
          <cell r="W214" t="str">
            <v>Ajuste</v>
          </cell>
          <cell r="X214">
            <v>1</v>
          </cell>
          <cell r="Y214">
            <v>10.88</v>
          </cell>
        </row>
        <row r="215">
          <cell r="T215">
            <v>0</v>
          </cell>
          <cell r="U215" t="str">
            <v>L103562</v>
          </cell>
          <cell r="V215" t="str">
            <v>AMC 3Kg-CAJA</v>
          </cell>
          <cell r="W215" t="str">
            <v>Ajuste</v>
          </cell>
          <cell r="X215">
            <v>1</v>
          </cell>
          <cell r="Y215">
            <v>3</v>
          </cell>
        </row>
        <row r="216">
          <cell r="T216">
            <v>0</v>
          </cell>
          <cell r="U216" t="str">
            <v>L103743</v>
          </cell>
          <cell r="V216" t="str">
            <v>Arroz kg</v>
          </cell>
          <cell r="W216" t="str">
            <v>Ajuste</v>
          </cell>
          <cell r="X216">
            <v>1.06</v>
          </cell>
          <cell r="Y216">
            <v>1.06</v>
          </cell>
        </row>
        <row r="217">
          <cell r="T217">
            <v>0</v>
          </cell>
          <cell r="U217" t="str">
            <v>L103355</v>
          </cell>
          <cell r="V217" t="str">
            <v>ARZ 2 kg-Unidad</v>
          </cell>
          <cell r="W217" t="str">
            <v>Ajuste</v>
          </cell>
          <cell r="X217">
            <v>41</v>
          </cell>
          <cell r="Y217">
            <v>82</v>
          </cell>
        </row>
        <row r="218">
          <cell r="T218">
            <v>0</v>
          </cell>
          <cell r="U218" t="str">
            <v>L103457</v>
          </cell>
          <cell r="V218" t="str">
            <v>ARZ 2 kg-Unidad</v>
          </cell>
          <cell r="W218" t="str">
            <v>Ajuste</v>
          </cell>
          <cell r="X218">
            <v>12</v>
          </cell>
          <cell r="Y218">
            <v>24</v>
          </cell>
        </row>
        <row r="219">
          <cell r="T219">
            <v>0</v>
          </cell>
          <cell r="U219" t="str">
            <v>L103458</v>
          </cell>
          <cell r="V219" t="str">
            <v>ARZ 2 kg-Unidad</v>
          </cell>
          <cell r="W219" t="str">
            <v>Ajuste</v>
          </cell>
          <cell r="X219">
            <v>4</v>
          </cell>
          <cell r="Y219">
            <v>8</v>
          </cell>
        </row>
        <row r="220">
          <cell r="T220">
            <v>0</v>
          </cell>
          <cell r="U220" t="str">
            <v>L103459</v>
          </cell>
          <cell r="V220" t="str">
            <v>ARZ 2 kg-Unidad</v>
          </cell>
          <cell r="W220" t="str">
            <v>Ajuste</v>
          </cell>
          <cell r="X220">
            <v>1</v>
          </cell>
          <cell r="Y220">
            <v>2</v>
          </cell>
        </row>
        <row r="221">
          <cell r="T221">
            <v>0</v>
          </cell>
          <cell r="U221" t="str">
            <v>L103460</v>
          </cell>
          <cell r="V221" t="str">
            <v>ARZ 2 kg-Unidad</v>
          </cell>
          <cell r="W221" t="str">
            <v>Ajuste</v>
          </cell>
          <cell r="X221">
            <v>8</v>
          </cell>
          <cell r="Y221">
            <v>16</v>
          </cell>
        </row>
        <row r="222">
          <cell r="T222">
            <v>0</v>
          </cell>
          <cell r="U222" t="str">
            <v>L103651</v>
          </cell>
          <cell r="V222" t="str">
            <v>ARZ 2 kg-Unidad</v>
          </cell>
          <cell r="W222" t="str">
            <v>Ajuste</v>
          </cell>
          <cell r="X222">
            <v>54</v>
          </cell>
          <cell r="Y222">
            <v>108</v>
          </cell>
        </row>
        <row r="223">
          <cell r="T223">
            <v>0</v>
          </cell>
          <cell r="U223" t="str">
            <v>L103354</v>
          </cell>
          <cell r="V223" t="str">
            <v>ARZ 4.2 kg-Unidad</v>
          </cell>
          <cell r="W223" t="str">
            <v>Ajuste</v>
          </cell>
          <cell r="X223">
            <v>2</v>
          </cell>
          <cell r="Y223">
            <v>8.4</v>
          </cell>
        </row>
        <row r="224">
          <cell r="T224">
            <v>0</v>
          </cell>
          <cell r="U224" t="str">
            <v>L103650</v>
          </cell>
          <cell r="V224" t="str">
            <v>ARZ 4.2 kg-Unidad</v>
          </cell>
          <cell r="W224" t="str">
            <v>Ajuste</v>
          </cell>
          <cell r="X224">
            <v>1</v>
          </cell>
          <cell r="Y224">
            <v>4.2</v>
          </cell>
        </row>
        <row r="225">
          <cell r="T225">
            <v>0</v>
          </cell>
          <cell r="U225" t="str">
            <v>L103701</v>
          </cell>
          <cell r="V225" t="str">
            <v>ARZ 5Kg</v>
          </cell>
          <cell r="W225" t="str">
            <v>Ajuste</v>
          </cell>
          <cell r="X225">
            <v>134</v>
          </cell>
          <cell r="Y225">
            <v>670</v>
          </cell>
        </row>
        <row r="226">
          <cell r="T226">
            <v>0</v>
          </cell>
          <cell r="U226" t="str">
            <v>L103062</v>
          </cell>
          <cell r="V226" t="str">
            <v>PV ARZ PRCDO 11kg</v>
          </cell>
          <cell r="W226" t="str">
            <v>Ajuste</v>
          </cell>
          <cell r="X226">
            <v>340</v>
          </cell>
          <cell r="Y226">
            <v>3855.6000000000031</v>
          </cell>
        </row>
        <row r="227">
          <cell r="T227">
            <v>0</v>
          </cell>
          <cell r="U227" t="str">
            <v>L103062</v>
          </cell>
          <cell r="V227" t="str">
            <v>PV DIV ARZ PRCDO 11kg</v>
          </cell>
          <cell r="W227" t="str">
            <v>Ajuste</v>
          </cell>
          <cell r="X227">
            <v>205</v>
          </cell>
          <cell r="Y227">
            <v>2324.7000000000003</v>
          </cell>
        </row>
        <row r="228">
          <cell r="T228">
            <v>0</v>
          </cell>
          <cell r="U228" t="str">
            <v>L102780</v>
          </cell>
          <cell r="V228" t="str">
            <v>ARZEPA 14kg (CAJA)</v>
          </cell>
          <cell r="W228" t="str">
            <v>Ajuste</v>
          </cell>
          <cell r="X228">
            <v>159</v>
          </cell>
          <cell r="Y228">
            <v>2226</v>
          </cell>
        </row>
        <row r="229">
          <cell r="T229">
            <v>0</v>
          </cell>
          <cell r="U229" t="str">
            <v>L103266</v>
          </cell>
          <cell r="V229" t="str">
            <v>ARZEPF 5kg (CAJA)</v>
          </cell>
          <cell r="W229" t="str">
            <v>Ajuste</v>
          </cell>
          <cell r="X229">
            <v>703</v>
          </cell>
          <cell r="Y229">
            <v>3515</v>
          </cell>
        </row>
        <row r="230">
          <cell r="T230">
            <v>0</v>
          </cell>
          <cell r="U230" t="str">
            <v>L102752</v>
          </cell>
          <cell r="V230" t="str">
            <v>ARZEPF 5kg (CAJA)</v>
          </cell>
          <cell r="W230" t="str">
            <v>Ajuste</v>
          </cell>
          <cell r="X230">
            <v>26</v>
          </cell>
          <cell r="Y230">
            <v>130</v>
          </cell>
        </row>
        <row r="231">
          <cell r="T231">
            <v>0</v>
          </cell>
          <cell r="U231" t="str">
            <v>L103357</v>
          </cell>
          <cell r="V231" t="str">
            <v>ATN 1kg-CAJA</v>
          </cell>
          <cell r="W231" t="str">
            <v>Ajuste</v>
          </cell>
          <cell r="X231">
            <v>21</v>
          </cell>
          <cell r="Y231">
            <v>21</v>
          </cell>
        </row>
        <row r="232">
          <cell r="T232">
            <v>0</v>
          </cell>
          <cell r="U232" t="str">
            <v>L103535</v>
          </cell>
          <cell r="V232" t="str">
            <v>ATN 1kg-CAJA</v>
          </cell>
          <cell r="W232" t="str">
            <v>Ajuste</v>
          </cell>
          <cell r="X232">
            <v>12</v>
          </cell>
          <cell r="Y232">
            <v>12</v>
          </cell>
        </row>
        <row r="233">
          <cell r="T233" t="str">
            <v/>
          </cell>
          <cell r="U233" t="str">
            <v>L103710</v>
          </cell>
          <cell r="V233" t="str">
            <v>ATN 1kg-CAJA</v>
          </cell>
          <cell r="W233" t="str">
            <v>Ajuste</v>
          </cell>
          <cell r="X233">
            <v>2</v>
          </cell>
          <cell r="Y233">
            <v>2</v>
          </cell>
        </row>
        <row r="234">
          <cell r="T234" t="str">
            <v/>
          </cell>
          <cell r="U234" t="str">
            <v>L103617</v>
          </cell>
          <cell r="V234" t="str">
            <v>AZC 1kg-PAQUETE</v>
          </cell>
          <cell r="W234" t="str">
            <v>Ajuste</v>
          </cell>
          <cell r="X234">
            <v>78</v>
          </cell>
          <cell r="Y234">
            <v>78</v>
          </cell>
        </row>
        <row r="235">
          <cell r="T235">
            <v>0</v>
          </cell>
          <cell r="U235" t="str">
            <v>L103699</v>
          </cell>
          <cell r="V235" t="str">
            <v>AZC 2kg-PAQUETE</v>
          </cell>
          <cell r="W235" t="str">
            <v>Ajuste</v>
          </cell>
          <cell r="X235">
            <v>7</v>
          </cell>
          <cell r="Y235">
            <v>14</v>
          </cell>
        </row>
        <row r="236">
          <cell r="T236">
            <v>0</v>
          </cell>
          <cell r="U236" t="str">
            <v>L103302</v>
          </cell>
          <cell r="V236" t="str">
            <v>BPB 1Kg-UNIDAD</v>
          </cell>
          <cell r="W236" t="str">
            <v>Ajuste</v>
          </cell>
          <cell r="X236">
            <v>6</v>
          </cell>
          <cell r="Y236">
            <v>6</v>
          </cell>
        </row>
        <row r="237">
          <cell r="T237">
            <v>0</v>
          </cell>
          <cell r="U237" t="str">
            <v>L103261</v>
          </cell>
          <cell r="V237" t="str">
            <v>BPV 5kg</v>
          </cell>
          <cell r="W237" t="str">
            <v>Ajuste</v>
          </cell>
          <cell r="X237">
            <v>4</v>
          </cell>
          <cell r="Y237">
            <v>20</v>
          </cell>
        </row>
        <row r="238">
          <cell r="T238">
            <v>0</v>
          </cell>
          <cell r="U238" t="str">
            <v>L103522</v>
          </cell>
          <cell r="V238" t="str">
            <v>BPV 5kg</v>
          </cell>
          <cell r="W238" t="str">
            <v>Ajuste</v>
          </cell>
          <cell r="X238">
            <v>5</v>
          </cell>
          <cell r="Y238">
            <v>25</v>
          </cell>
        </row>
        <row r="239">
          <cell r="T239">
            <v>0</v>
          </cell>
          <cell r="U239" t="str">
            <v>L103526</v>
          </cell>
          <cell r="V239" t="str">
            <v>BPV 5kg</v>
          </cell>
          <cell r="W239" t="str">
            <v>Ajuste</v>
          </cell>
          <cell r="X239">
            <v>1</v>
          </cell>
          <cell r="Y239">
            <v>5</v>
          </cell>
        </row>
        <row r="240">
          <cell r="T240">
            <v>0</v>
          </cell>
          <cell r="U240" t="str">
            <v>L103539</v>
          </cell>
          <cell r="V240" t="str">
            <v>BPV 5kg</v>
          </cell>
          <cell r="W240" t="str">
            <v>Ajuste</v>
          </cell>
          <cell r="X240">
            <v>1</v>
          </cell>
          <cell r="Y240">
            <v>5</v>
          </cell>
        </row>
        <row r="241">
          <cell r="T241" t="str">
            <v/>
          </cell>
          <cell r="U241" t="str">
            <v>L103549</v>
          </cell>
          <cell r="V241" t="str">
            <v>BPV 5kg</v>
          </cell>
          <cell r="W241" t="str">
            <v>Ajuste</v>
          </cell>
          <cell r="X241">
            <v>9</v>
          </cell>
          <cell r="Y241">
            <v>45</v>
          </cell>
        </row>
        <row r="242">
          <cell r="T242">
            <v>0</v>
          </cell>
          <cell r="U242" t="str">
            <v>L103580</v>
          </cell>
          <cell r="V242" t="str">
            <v>BPV 5kg</v>
          </cell>
          <cell r="W242" t="str">
            <v>Ajuste</v>
          </cell>
          <cell r="X242">
            <v>9</v>
          </cell>
          <cell r="Y242">
            <v>45</v>
          </cell>
        </row>
        <row r="243">
          <cell r="T243">
            <v>0</v>
          </cell>
          <cell r="U243" t="str">
            <v>L103585</v>
          </cell>
          <cell r="V243" t="str">
            <v>BPV 5kg</v>
          </cell>
          <cell r="W243" t="str">
            <v>Ajuste</v>
          </cell>
          <cell r="X243">
            <v>1</v>
          </cell>
          <cell r="Y243">
            <v>5</v>
          </cell>
        </row>
        <row r="244">
          <cell r="T244" t="str">
            <v/>
          </cell>
          <cell r="U244" t="str">
            <v>L103593</v>
          </cell>
          <cell r="V244" t="str">
            <v>BPV 5kg</v>
          </cell>
          <cell r="W244" t="str">
            <v>Ajuste</v>
          </cell>
          <cell r="X244">
            <v>12</v>
          </cell>
          <cell r="Y244">
            <v>60</v>
          </cell>
        </row>
        <row r="245">
          <cell r="T245" t="str">
            <v/>
          </cell>
          <cell r="U245" t="str">
            <v>L103594</v>
          </cell>
          <cell r="V245" t="str">
            <v>BPV 5kg</v>
          </cell>
          <cell r="W245" t="str">
            <v>Ajuste</v>
          </cell>
          <cell r="X245">
            <v>5</v>
          </cell>
          <cell r="Y245">
            <v>25</v>
          </cell>
        </row>
        <row r="246">
          <cell r="T246" t="str">
            <v/>
          </cell>
          <cell r="U246" t="str">
            <v>L103595</v>
          </cell>
          <cell r="V246" t="str">
            <v>BPV 5kg</v>
          </cell>
          <cell r="W246" t="str">
            <v>Ajuste</v>
          </cell>
          <cell r="X246">
            <v>8</v>
          </cell>
          <cell r="Y246">
            <v>40</v>
          </cell>
        </row>
        <row r="247">
          <cell r="T247">
            <v>0</v>
          </cell>
          <cell r="U247" t="str">
            <v>L103606</v>
          </cell>
          <cell r="V247" t="str">
            <v>BPV 5kg</v>
          </cell>
          <cell r="W247" t="str">
            <v>Ajuste</v>
          </cell>
          <cell r="X247">
            <v>4</v>
          </cell>
          <cell r="Y247">
            <v>20</v>
          </cell>
        </row>
        <row r="248">
          <cell r="T248">
            <v>0</v>
          </cell>
          <cell r="U248" t="str">
            <v>L103697</v>
          </cell>
          <cell r="V248" t="str">
            <v>BPV 5kg</v>
          </cell>
          <cell r="W248" t="str">
            <v>Ajuste</v>
          </cell>
          <cell r="X248">
            <v>1</v>
          </cell>
          <cell r="Y248">
            <v>5</v>
          </cell>
        </row>
        <row r="249">
          <cell r="T249">
            <v>0</v>
          </cell>
          <cell r="U249" t="str">
            <v>L103698</v>
          </cell>
          <cell r="V249" t="str">
            <v>BPV 5kg</v>
          </cell>
          <cell r="W249" t="str">
            <v>Ajuste</v>
          </cell>
          <cell r="X249">
            <v>1</v>
          </cell>
          <cell r="Y249">
            <v>5</v>
          </cell>
        </row>
        <row r="250">
          <cell r="T250">
            <v>0</v>
          </cell>
          <cell r="U250" t="str">
            <v>L103706</v>
          </cell>
          <cell r="V250" t="str">
            <v>BPV 5kg</v>
          </cell>
          <cell r="W250" t="str">
            <v>Ajuste</v>
          </cell>
          <cell r="X250">
            <v>1</v>
          </cell>
          <cell r="Y250">
            <v>5</v>
          </cell>
        </row>
        <row r="251">
          <cell r="T251">
            <v>0</v>
          </cell>
          <cell r="U251" t="str">
            <v>L103707</v>
          </cell>
          <cell r="V251" t="str">
            <v>BPV 5kg</v>
          </cell>
          <cell r="W251" t="str">
            <v>Ajuste</v>
          </cell>
          <cell r="X251">
            <v>4</v>
          </cell>
          <cell r="Y251">
            <v>20</v>
          </cell>
        </row>
        <row r="252">
          <cell r="T252">
            <v>0</v>
          </cell>
          <cell r="U252" t="str">
            <v>...</v>
          </cell>
          <cell r="V252" t="str">
            <v>PASTV 4kg</v>
          </cell>
          <cell r="W252" t="str">
            <v>Ajuste</v>
          </cell>
          <cell r="X252">
            <v>2</v>
          </cell>
          <cell r="Y252">
            <v>8</v>
          </cell>
        </row>
        <row r="253">
          <cell r="T253">
            <v>0</v>
          </cell>
          <cell r="U253" t="str">
            <v>...</v>
          </cell>
          <cell r="V253" t="str">
            <v>PFC 3KG - CAJA</v>
          </cell>
          <cell r="W253" t="str">
            <v>Ajuste</v>
          </cell>
          <cell r="X253">
            <v>2</v>
          </cell>
          <cell r="Y253">
            <v>6</v>
          </cell>
        </row>
        <row r="254">
          <cell r="T254">
            <v>0</v>
          </cell>
          <cell r="U254" t="str">
            <v>L103744</v>
          </cell>
          <cell r="V254" t="str">
            <v>Cafe kg</v>
          </cell>
          <cell r="W254" t="str">
            <v>Ajuste</v>
          </cell>
          <cell r="X254">
            <v>21</v>
          </cell>
          <cell r="Y254">
            <v>21</v>
          </cell>
        </row>
        <row r="255">
          <cell r="T255">
            <v>0</v>
          </cell>
          <cell r="U255" t="str">
            <v>L103741</v>
          </cell>
          <cell r="V255" t="str">
            <v>Cereal kg</v>
          </cell>
          <cell r="W255" t="str">
            <v>Ajuste</v>
          </cell>
          <cell r="X255">
            <v>1.42</v>
          </cell>
          <cell r="Y255">
            <v>1.42</v>
          </cell>
        </row>
        <row r="256">
          <cell r="T256">
            <v>0</v>
          </cell>
          <cell r="U256" t="str">
            <v>L103742</v>
          </cell>
          <cell r="V256" t="str">
            <v>chocolate kg</v>
          </cell>
          <cell r="W256" t="str">
            <v>Ajuste</v>
          </cell>
          <cell r="X256">
            <v>0.36</v>
          </cell>
          <cell r="Y256">
            <v>0.36</v>
          </cell>
        </row>
        <row r="257">
          <cell r="T257">
            <v>0</v>
          </cell>
          <cell r="U257" t="str">
            <v>L103725</v>
          </cell>
          <cell r="V257" t="str">
            <v>CLX 4kg</v>
          </cell>
          <cell r="W257" t="str">
            <v>Ajuste</v>
          </cell>
          <cell r="X257">
            <v>5</v>
          </cell>
          <cell r="Y257">
            <v>20</v>
          </cell>
        </row>
        <row r="258">
          <cell r="T258">
            <v>0</v>
          </cell>
          <cell r="U258" t="str">
            <v>L103756</v>
          </cell>
          <cell r="V258" t="str">
            <v>CNPH 5Kg</v>
          </cell>
          <cell r="W258" t="str">
            <v>Ajuste</v>
          </cell>
          <cell r="X258">
            <v>100</v>
          </cell>
          <cell r="Y258">
            <v>500</v>
          </cell>
        </row>
        <row r="259">
          <cell r="T259">
            <v>0</v>
          </cell>
          <cell r="U259" t="str">
            <v>L103731</v>
          </cell>
          <cell r="V259" t="str">
            <v>Coctel de frutas kg</v>
          </cell>
          <cell r="W259" t="str">
            <v>Ajuste</v>
          </cell>
          <cell r="X259">
            <v>3.83</v>
          </cell>
          <cell r="Y259">
            <v>3.83</v>
          </cell>
        </row>
        <row r="260">
          <cell r="T260">
            <v>0</v>
          </cell>
          <cell r="U260" t="str">
            <v>L103133</v>
          </cell>
          <cell r="V260" t="str">
            <v>CRV 1kg</v>
          </cell>
          <cell r="W260" t="str">
            <v>Ajuste</v>
          </cell>
          <cell r="X260">
            <v>2</v>
          </cell>
          <cell r="Y260">
            <v>2</v>
          </cell>
        </row>
        <row r="261">
          <cell r="T261">
            <v>0</v>
          </cell>
          <cell r="U261" t="str">
            <v>L103536</v>
          </cell>
          <cell r="V261" t="str">
            <v>CRV 1.5kg</v>
          </cell>
          <cell r="W261" t="str">
            <v>Ajuste</v>
          </cell>
          <cell r="X261">
            <v>1</v>
          </cell>
          <cell r="Y261">
            <v>1.5</v>
          </cell>
        </row>
        <row r="262">
          <cell r="T262">
            <v>0</v>
          </cell>
          <cell r="U262" t="str">
            <v>L103678</v>
          </cell>
          <cell r="V262" t="str">
            <v>CRV 1.5kg</v>
          </cell>
          <cell r="W262" t="str">
            <v>Ajuste</v>
          </cell>
          <cell r="X262">
            <v>1</v>
          </cell>
          <cell r="Y262">
            <v>1.5</v>
          </cell>
        </row>
        <row r="263">
          <cell r="T263">
            <v>0</v>
          </cell>
          <cell r="U263" t="str">
            <v>L103521</v>
          </cell>
          <cell r="V263" t="str">
            <v>CRV 1kg</v>
          </cell>
          <cell r="W263" t="str">
            <v>Ajuste</v>
          </cell>
          <cell r="X263">
            <v>4</v>
          </cell>
          <cell r="Y263">
            <v>4</v>
          </cell>
        </row>
        <row r="264">
          <cell r="T264">
            <v>0</v>
          </cell>
          <cell r="U264" t="str">
            <v>L103677</v>
          </cell>
          <cell r="V264" t="str">
            <v>CRV 1kg</v>
          </cell>
          <cell r="W264" t="str">
            <v>Ajuste</v>
          </cell>
          <cell r="X264">
            <v>10</v>
          </cell>
          <cell r="Y264">
            <v>10</v>
          </cell>
        </row>
        <row r="265">
          <cell r="T265">
            <v>0</v>
          </cell>
          <cell r="U265" t="str">
            <v>L103681</v>
          </cell>
          <cell r="V265" t="str">
            <v>CRV 1kg</v>
          </cell>
          <cell r="W265" t="str">
            <v>Ajuste</v>
          </cell>
          <cell r="X265">
            <v>2</v>
          </cell>
          <cell r="Y265">
            <v>2</v>
          </cell>
        </row>
        <row r="266">
          <cell r="T266">
            <v>0</v>
          </cell>
          <cell r="U266" t="str">
            <v>L103692</v>
          </cell>
          <cell r="V266" t="str">
            <v>CRV 1kg</v>
          </cell>
          <cell r="W266" t="str">
            <v>Ajuste</v>
          </cell>
          <cell r="X266">
            <v>1</v>
          </cell>
          <cell r="Y266">
            <v>1</v>
          </cell>
        </row>
        <row r="267">
          <cell r="T267">
            <v>0</v>
          </cell>
          <cell r="U267" t="str">
            <v>L103003</v>
          </cell>
          <cell r="V267" t="str">
            <v>CRV 2kg-CAJA</v>
          </cell>
          <cell r="W267" t="str">
            <v>Ajuste</v>
          </cell>
          <cell r="X267">
            <v>2</v>
          </cell>
          <cell r="Y267">
            <v>4</v>
          </cell>
        </row>
        <row r="268">
          <cell r="T268">
            <v>0</v>
          </cell>
          <cell r="U268" t="str">
            <v>L103691</v>
          </cell>
          <cell r="V268" t="str">
            <v>CRV 2kg-CAJA</v>
          </cell>
          <cell r="W268" t="str">
            <v>Ajuste</v>
          </cell>
          <cell r="X268">
            <v>1</v>
          </cell>
          <cell r="Y268">
            <v>2</v>
          </cell>
        </row>
        <row r="269">
          <cell r="T269">
            <v>0</v>
          </cell>
          <cell r="U269" t="str">
            <v>......</v>
          </cell>
          <cell r="V269" t="str">
            <v>FRUVER 5kg</v>
          </cell>
          <cell r="W269" t="str">
            <v>Ajuste</v>
          </cell>
          <cell r="X269">
            <v>8</v>
          </cell>
          <cell r="Y269">
            <v>40</v>
          </cell>
        </row>
        <row r="270">
          <cell r="T270">
            <v>0</v>
          </cell>
          <cell r="U270" t="str">
            <v>......</v>
          </cell>
          <cell r="V270" t="str">
            <v>HGC8PACK</v>
          </cell>
          <cell r="W270" t="str">
            <v>Ajuste</v>
          </cell>
          <cell r="X270">
            <v>2</v>
          </cell>
          <cell r="Y270">
            <v>22.1</v>
          </cell>
        </row>
        <row r="271">
          <cell r="T271">
            <v>0</v>
          </cell>
          <cell r="U271" t="str">
            <v>.....</v>
          </cell>
          <cell r="V271" t="str">
            <v>FRUVER 10kg</v>
          </cell>
          <cell r="W271" t="str">
            <v>Ajuste</v>
          </cell>
          <cell r="X271">
            <v>2</v>
          </cell>
          <cell r="Y271">
            <v>20</v>
          </cell>
        </row>
        <row r="272">
          <cell r="T272">
            <v>0</v>
          </cell>
          <cell r="U272" t="str">
            <v>.....</v>
          </cell>
          <cell r="V272" t="str">
            <v>PASTV 4kg</v>
          </cell>
          <cell r="W272" t="str">
            <v>Ajuste</v>
          </cell>
          <cell r="X272">
            <v>2</v>
          </cell>
          <cell r="Y272">
            <v>8</v>
          </cell>
        </row>
        <row r="273">
          <cell r="T273">
            <v>0</v>
          </cell>
          <cell r="U273" t="str">
            <v>.....</v>
          </cell>
          <cell r="V273" t="str">
            <v>FRUVER 5kg</v>
          </cell>
          <cell r="W273" t="str">
            <v>Ajuste</v>
          </cell>
          <cell r="X273">
            <v>12</v>
          </cell>
          <cell r="Y273">
            <v>60</v>
          </cell>
        </row>
        <row r="274">
          <cell r="T274">
            <v>0</v>
          </cell>
          <cell r="U274" t="str">
            <v>L102905</v>
          </cell>
          <cell r="V274" t="str">
            <v>CTF 3Kg-CAJA</v>
          </cell>
          <cell r="W274" t="str">
            <v>Ajuste</v>
          </cell>
          <cell r="X274">
            <v>25</v>
          </cell>
          <cell r="Y274">
            <v>75</v>
          </cell>
        </row>
        <row r="275">
          <cell r="T275">
            <v>0</v>
          </cell>
          <cell r="U275" t="str">
            <v>L103431</v>
          </cell>
          <cell r="V275" t="str">
            <v>CTF 3Kg-CAJA</v>
          </cell>
          <cell r="W275" t="str">
            <v>Ajuste</v>
          </cell>
          <cell r="X275">
            <v>2</v>
          </cell>
          <cell r="Y275">
            <v>6</v>
          </cell>
        </row>
        <row r="276">
          <cell r="T276">
            <v>0</v>
          </cell>
          <cell r="U276" t="str">
            <v>L103515</v>
          </cell>
          <cell r="V276" t="str">
            <v>CTF 3Kg-CAJA</v>
          </cell>
          <cell r="W276" t="str">
            <v>Ajuste</v>
          </cell>
          <cell r="X276">
            <v>3</v>
          </cell>
          <cell r="Y276">
            <v>9</v>
          </cell>
        </row>
        <row r="277">
          <cell r="T277">
            <v>0</v>
          </cell>
          <cell r="U277" t="str">
            <v>L103711</v>
          </cell>
          <cell r="V277" t="str">
            <v>CTF 3Kg-CAJA</v>
          </cell>
          <cell r="W277" t="str">
            <v>Ajuste</v>
          </cell>
          <cell r="X277">
            <v>2</v>
          </cell>
          <cell r="Y277">
            <v>6</v>
          </cell>
        </row>
        <row r="278">
          <cell r="T278">
            <v>0</v>
          </cell>
          <cell r="U278" t="str">
            <v>L103081</v>
          </cell>
          <cell r="V278" t="str">
            <v>DIV ADR 3kg</v>
          </cell>
          <cell r="W278" t="str">
            <v>Ajuste</v>
          </cell>
          <cell r="X278">
            <v>1</v>
          </cell>
          <cell r="Y278">
            <v>3</v>
          </cell>
        </row>
        <row r="279">
          <cell r="T279">
            <v>0</v>
          </cell>
          <cell r="U279" t="str">
            <v>L103301</v>
          </cell>
          <cell r="V279" t="str">
            <v>DIV ADR 3kg</v>
          </cell>
          <cell r="W279" t="str">
            <v>Ajuste</v>
          </cell>
          <cell r="X279">
            <v>21</v>
          </cell>
          <cell r="Y279">
            <v>63</v>
          </cell>
        </row>
        <row r="280">
          <cell r="T280">
            <v>0</v>
          </cell>
          <cell r="U280" t="str">
            <v>L103486</v>
          </cell>
          <cell r="V280" t="str">
            <v>DIV ATN 1kg-CAJA</v>
          </cell>
          <cell r="W280" t="str">
            <v>Ajuste</v>
          </cell>
          <cell r="X280">
            <v>1</v>
          </cell>
          <cell r="Y280">
            <v>1</v>
          </cell>
        </row>
        <row r="281">
          <cell r="T281">
            <v>0</v>
          </cell>
          <cell r="U281" t="str">
            <v>L103485</v>
          </cell>
          <cell r="V281" t="str">
            <v>DIV BPV 5kg</v>
          </cell>
          <cell r="W281" t="str">
            <v>Ajuste</v>
          </cell>
          <cell r="X281">
            <v>1</v>
          </cell>
          <cell r="Y281">
            <v>5</v>
          </cell>
        </row>
        <row r="282">
          <cell r="T282">
            <v>0</v>
          </cell>
          <cell r="U282" t="str">
            <v>L103483</v>
          </cell>
          <cell r="V282" t="str">
            <v>DIV CODV 2kg</v>
          </cell>
          <cell r="W282" t="str">
            <v>Ajuste</v>
          </cell>
          <cell r="X282">
            <v>2</v>
          </cell>
          <cell r="Y282">
            <v>4</v>
          </cell>
        </row>
        <row r="283">
          <cell r="T283">
            <v>0</v>
          </cell>
          <cell r="U283" t="str">
            <v>L103118</v>
          </cell>
          <cell r="V283" t="str">
            <v>DIV CRM 2kg</v>
          </cell>
          <cell r="W283" t="str">
            <v>Ajuste</v>
          </cell>
          <cell r="X283">
            <v>1</v>
          </cell>
          <cell r="Y283">
            <v>2</v>
          </cell>
        </row>
        <row r="284">
          <cell r="T284">
            <v>0</v>
          </cell>
          <cell r="U284" t="str">
            <v>L102865</v>
          </cell>
          <cell r="V284" t="str">
            <v>DIV EMBV 3kg</v>
          </cell>
          <cell r="W284" t="str">
            <v>Ajuste</v>
          </cell>
          <cell r="X284">
            <v>2</v>
          </cell>
          <cell r="Y284">
            <v>6</v>
          </cell>
        </row>
        <row r="285">
          <cell r="T285">
            <v>0</v>
          </cell>
          <cell r="U285" t="str">
            <v>L103614</v>
          </cell>
          <cell r="V285" t="str">
            <v>ESQPCD 8kg</v>
          </cell>
          <cell r="W285" t="str">
            <v>Ajuste</v>
          </cell>
          <cell r="X285">
            <v>366</v>
          </cell>
          <cell r="Y285">
            <v>2928</v>
          </cell>
        </row>
        <row r="286">
          <cell r="T286">
            <v>0</v>
          </cell>
          <cell r="U286" t="str">
            <v>L103122</v>
          </cell>
          <cell r="V286" t="str">
            <v>DIV ESV 2kg</v>
          </cell>
          <cell r="W286" t="str">
            <v>Ajuste</v>
          </cell>
          <cell r="X286">
            <v>3</v>
          </cell>
          <cell r="Y286">
            <v>6</v>
          </cell>
        </row>
        <row r="287">
          <cell r="T287">
            <v>0</v>
          </cell>
          <cell r="U287" t="str">
            <v>L103675</v>
          </cell>
          <cell r="V287" t="str">
            <v>DIV FDPE 8Kg</v>
          </cell>
          <cell r="W287" t="str">
            <v>Ajuste</v>
          </cell>
          <cell r="X287">
            <v>2</v>
          </cell>
          <cell r="Y287">
            <v>16</v>
          </cell>
        </row>
        <row r="288">
          <cell r="T288">
            <v>0</v>
          </cell>
          <cell r="U288" t="str">
            <v>L103481</v>
          </cell>
          <cell r="V288" t="str">
            <v>DIV HRM 2Kg</v>
          </cell>
          <cell r="W288" t="str">
            <v>Ajuste</v>
          </cell>
          <cell r="X288">
            <v>1</v>
          </cell>
          <cell r="Y288">
            <v>2</v>
          </cell>
        </row>
        <row r="289">
          <cell r="T289">
            <v>0</v>
          </cell>
          <cell r="U289" t="str">
            <v>L103083</v>
          </cell>
          <cell r="V289" t="str">
            <v>DIV KTP 2kg</v>
          </cell>
          <cell r="W289" t="str">
            <v>Ajuste</v>
          </cell>
          <cell r="X289">
            <v>2</v>
          </cell>
          <cell r="Y289">
            <v>4</v>
          </cell>
        </row>
        <row r="290">
          <cell r="T290">
            <v>0</v>
          </cell>
          <cell r="U290" t="str">
            <v>L103636</v>
          </cell>
          <cell r="V290" t="str">
            <v>DIV KTP 4kg</v>
          </cell>
          <cell r="W290" t="str">
            <v>Ajuste</v>
          </cell>
          <cell r="X290">
            <v>2</v>
          </cell>
          <cell r="Y290">
            <v>8</v>
          </cell>
        </row>
        <row r="291">
          <cell r="T291">
            <v>0</v>
          </cell>
          <cell r="U291" t="str">
            <v>L103633</v>
          </cell>
          <cell r="V291" t="str">
            <v>DIV LCH 48X314g</v>
          </cell>
          <cell r="W291" t="str">
            <v>Ajuste</v>
          </cell>
          <cell r="X291">
            <v>38</v>
          </cell>
          <cell r="Y291">
            <v>684</v>
          </cell>
        </row>
        <row r="292">
          <cell r="T292">
            <v>0</v>
          </cell>
          <cell r="U292" t="str">
            <v>L103645</v>
          </cell>
          <cell r="V292" t="str">
            <v>DIV LCH 96X167g</v>
          </cell>
          <cell r="W292" t="str">
            <v>Ajuste</v>
          </cell>
          <cell r="X292">
            <v>453</v>
          </cell>
          <cell r="Y292">
            <v>8607</v>
          </cell>
        </row>
        <row r="293">
          <cell r="T293">
            <v>0</v>
          </cell>
          <cell r="U293" t="str">
            <v>L103070</v>
          </cell>
          <cell r="V293" t="str">
            <v>DIV MYN 2kg</v>
          </cell>
          <cell r="W293" t="str">
            <v>Ajuste</v>
          </cell>
          <cell r="X293">
            <v>6</v>
          </cell>
          <cell r="Y293">
            <v>12</v>
          </cell>
        </row>
        <row r="294">
          <cell r="T294">
            <v>0</v>
          </cell>
          <cell r="U294" t="str">
            <v>L103112</v>
          </cell>
          <cell r="V294" t="str">
            <v>DIV MYN 2kg</v>
          </cell>
          <cell r="W294" t="str">
            <v>Ajuste</v>
          </cell>
          <cell r="X294">
            <v>6</v>
          </cell>
          <cell r="Y294">
            <v>12</v>
          </cell>
        </row>
        <row r="295">
          <cell r="T295">
            <v>0</v>
          </cell>
          <cell r="U295" t="str">
            <v>L103085</v>
          </cell>
          <cell r="V295" t="str">
            <v>DIV MYN 4kg</v>
          </cell>
          <cell r="W295" t="str">
            <v>Ajuste</v>
          </cell>
          <cell r="X295">
            <v>1</v>
          </cell>
          <cell r="Y295">
            <v>4</v>
          </cell>
        </row>
        <row r="296">
          <cell r="T296">
            <v>0</v>
          </cell>
          <cell r="U296" t="str">
            <v>L103676</v>
          </cell>
          <cell r="V296" t="str">
            <v>DIV PLLPM 5kg</v>
          </cell>
          <cell r="W296" t="str">
            <v>Ajuste</v>
          </cell>
          <cell r="X296">
            <v>5</v>
          </cell>
          <cell r="Y296">
            <v>25</v>
          </cell>
        </row>
        <row r="297">
          <cell r="T297" t="str">
            <v/>
          </cell>
          <cell r="U297" t="str">
            <v>L103398</v>
          </cell>
          <cell r="V297" t="str">
            <v>DIV PPF 2kg</v>
          </cell>
          <cell r="W297" t="str">
            <v>Ajuste</v>
          </cell>
          <cell r="X297">
            <v>2</v>
          </cell>
          <cell r="Y297">
            <v>4</v>
          </cell>
        </row>
        <row r="298">
          <cell r="T298">
            <v>0</v>
          </cell>
          <cell r="U298" t="str">
            <v>L103009</v>
          </cell>
          <cell r="V298" t="str">
            <v>DIV PPF 3kg</v>
          </cell>
          <cell r="W298" t="str">
            <v>Ajuste</v>
          </cell>
          <cell r="X298">
            <v>36</v>
          </cell>
          <cell r="Y298">
            <v>108</v>
          </cell>
        </row>
        <row r="299">
          <cell r="T299">
            <v>0</v>
          </cell>
          <cell r="U299" t="str">
            <v>L103320</v>
          </cell>
          <cell r="V299" t="str">
            <v>DIV QSO 5kg</v>
          </cell>
          <cell r="W299" t="str">
            <v>Ajuste</v>
          </cell>
          <cell r="X299">
            <v>1</v>
          </cell>
          <cell r="Y299">
            <v>5</v>
          </cell>
        </row>
        <row r="300">
          <cell r="T300">
            <v>0</v>
          </cell>
          <cell r="U300" t="str">
            <v>L103642</v>
          </cell>
          <cell r="V300" t="str">
            <v>DIV QSO 5kg</v>
          </cell>
          <cell r="W300" t="str">
            <v>Ajuste</v>
          </cell>
          <cell r="X300">
            <v>17</v>
          </cell>
          <cell r="Y300">
            <v>85</v>
          </cell>
        </row>
        <row r="301">
          <cell r="T301">
            <v>0</v>
          </cell>
          <cell r="U301" t="str">
            <v>L103753</v>
          </cell>
          <cell r="V301" t="str">
            <v>DIV QSO 5kg</v>
          </cell>
          <cell r="W301" t="str">
            <v>Ajuste</v>
          </cell>
          <cell r="X301">
            <v>12</v>
          </cell>
          <cell r="Y301">
            <v>60</v>
          </cell>
        </row>
        <row r="302">
          <cell r="T302">
            <v>0</v>
          </cell>
          <cell r="U302" t="str">
            <v>L103643</v>
          </cell>
          <cell r="V302" t="str">
            <v>DIV QSV 2kg</v>
          </cell>
          <cell r="W302" t="str">
            <v>Ajuste</v>
          </cell>
          <cell r="X302">
            <v>2</v>
          </cell>
          <cell r="Y302">
            <v>4</v>
          </cell>
        </row>
        <row r="303">
          <cell r="T303">
            <v>0</v>
          </cell>
          <cell r="U303" t="str">
            <v>L103754</v>
          </cell>
          <cell r="V303" t="str">
            <v>DIV QSV 2kg</v>
          </cell>
          <cell r="W303" t="str">
            <v>Ajuste</v>
          </cell>
          <cell r="X303">
            <v>8</v>
          </cell>
          <cell r="Y303">
            <v>16</v>
          </cell>
        </row>
        <row r="304">
          <cell r="T304">
            <v>0</v>
          </cell>
          <cell r="U304" t="str">
            <v>L103547</v>
          </cell>
          <cell r="V304" t="str">
            <v>DIV QSV 3kg</v>
          </cell>
          <cell r="W304" t="str">
            <v>Ajuste</v>
          </cell>
          <cell r="X304">
            <v>4</v>
          </cell>
          <cell r="Y304">
            <v>12</v>
          </cell>
        </row>
        <row r="305">
          <cell r="T305">
            <v>0</v>
          </cell>
          <cell r="U305" t="str">
            <v>L103419</v>
          </cell>
          <cell r="V305" t="str">
            <v>DIV RTZPCDO 12kg</v>
          </cell>
          <cell r="W305" t="str">
            <v>Ajuste</v>
          </cell>
          <cell r="X305">
            <v>42</v>
          </cell>
          <cell r="Y305">
            <v>504</v>
          </cell>
        </row>
        <row r="306">
          <cell r="T306">
            <v>0</v>
          </cell>
          <cell r="U306" t="str">
            <v>L103420</v>
          </cell>
          <cell r="V306" t="str">
            <v>DIV RTZPCDO 2.5kg</v>
          </cell>
          <cell r="W306" t="str">
            <v>Ajuste</v>
          </cell>
          <cell r="X306">
            <v>97</v>
          </cell>
          <cell r="Y306">
            <v>242.5</v>
          </cell>
        </row>
        <row r="307">
          <cell r="T307">
            <v>0</v>
          </cell>
          <cell r="U307" t="str">
            <v>L103420</v>
          </cell>
          <cell r="V307" t="str">
            <v>DIV RTZPCDO 2.5kg</v>
          </cell>
          <cell r="W307" t="str">
            <v>Dañado</v>
          </cell>
          <cell r="X307">
            <v>19</v>
          </cell>
          <cell r="Y307">
            <v>47.5</v>
          </cell>
        </row>
        <row r="308">
          <cell r="T308">
            <v>0</v>
          </cell>
          <cell r="U308" t="str">
            <v>L103034</v>
          </cell>
          <cell r="V308" t="str">
            <v>DIV SAL 14kg</v>
          </cell>
          <cell r="W308" t="str">
            <v>Ajuste</v>
          </cell>
          <cell r="X308">
            <v>4</v>
          </cell>
          <cell r="Y308">
            <v>56</v>
          </cell>
        </row>
        <row r="309">
          <cell r="T309">
            <v>0</v>
          </cell>
          <cell r="U309" t="str">
            <v>L103637</v>
          </cell>
          <cell r="V309" t="str">
            <v>DIV SAL 3kg</v>
          </cell>
          <cell r="W309" t="str">
            <v>Ajuste</v>
          </cell>
          <cell r="X309">
            <v>15</v>
          </cell>
          <cell r="Y309">
            <v>45</v>
          </cell>
        </row>
        <row r="310">
          <cell r="T310">
            <v>0</v>
          </cell>
          <cell r="U310" t="str">
            <v>L102959</v>
          </cell>
          <cell r="V310" t="str">
            <v>DIV SNK 3kg</v>
          </cell>
          <cell r="W310" t="str">
            <v>Ajuste</v>
          </cell>
          <cell r="X310">
            <v>14</v>
          </cell>
          <cell r="Y310">
            <v>42</v>
          </cell>
        </row>
        <row r="311">
          <cell r="T311">
            <v>0</v>
          </cell>
          <cell r="U311" t="str">
            <v>L103073</v>
          </cell>
          <cell r="V311" t="str">
            <v>DIV STM 2kg</v>
          </cell>
          <cell r="W311" t="str">
            <v>Ajuste</v>
          </cell>
          <cell r="X311">
            <v>2</v>
          </cell>
          <cell r="Y311">
            <v>4</v>
          </cell>
        </row>
        <row r="312">
          <cell r="T312">
            <v>0</v>
          </cell>
          <cell r="U312" t="str">
            <v>L103640</v>
          </cell>
          <cell r="V312" t="str">
            <v>DIV STM 2kg</v>
          </cell>
          <cell r="W312" t="str">
            <v>Ajuste</v>
          </cell>
          <cell r="X312">
            <v>367</v>
          </cell>
          <cell r="Y312">
            <v>734</v>
          </cell>
        </row>
        <row r="313">
          <cell r="T313" t="str">
            <v/>
          </cell>
          <cell r="U313" t="str">
            <v>L102786</v>
          </cell>
          <cell r="V313" t="str">
            <v>STM 48x200g-CAJA</v>
          </cell>
          <cell r="W313" t="str">
            <v>Ajuste</v>
          </cell>
          <cell r="X313">
            <v>2</v>
          </cell>
          <cell r="Y313">
            <v>21.6</v>
          </cell>
        </row>
        <row r="314">
          <cell r="T314">
            <v>0</v>
          </cell>
          <cell r="U314" t="str">
            <v>L103639</v>
          </cell>
          <cell r="V314" t="str">
            <v>DIV STM 48x200g</v>
          </cell>
          <cell r="W314" t="str">
            <v>Ajuste</v>
          </cell>
          <cell r="X314">
            <v>17</v>
          </cell>
          <cell r="Y314">
            <v>183.60000000000002</v>
          </cell>
        </row>
        <row r="315">
          <cell r="T315">
            <v>0</v>
          </cell>
          <cell r="U315" t="str">
            <v>L103084</v>
          </cell>
          <cell r="V315" t="str">
            <v>DIV SZD 1kg</v>
          </cell>
          <cell r="W315" t="str">
            <v>Ajuste</v>
          </cell>
          <cell r="X315">
            <v>1</v>
          </cell>
          <cell r="Y315">
            <v>1</v>
          </cell>
        </row>
        <row r="316">
          <cell r="T316">
            <v>0</v>
          </cell>
          <cell r="U316" t="str">
            <v>L103113</v>
          </cell>
          <cell r="V316" t="str">
            <v>DIV SZD 2.5kg</v>
          </cell>
          <cell r="W316" t="str">
            <v>Ajuste</v>
          </cell>
          <cell r="X316">
            <v>8</v>
          </cell>
          <cell r="Y316">
            <v>20</v>
          </cell>
        </row>
        <row r="317">
          <cell r="T317">
            <v>0</v>
          </cell>
          <cell r="U317" t="str">
            <v>L103641</v>
          </cell>
          <cell r="V317" t="str">
            <v>DIV SZD 4kg</v>
          </cell>
          <cell r="W317" t="str">
            <v>Ajuste</v>
          </cell>
          <cell r="X317">
            <v>4</v>
          </cell>
          <cell r="Y317">
            <v>16</v>
          </cell>
        </row>
        <row r="318">
          <cell r="T318">
            <v>0</v>
          </cell>
          <cell r="U318" t="str">
            <v>L103561</v>
          </cell>
          <cell r="V318" t="str">
            <v>DSF 3kg-CAJA</v>
          </cell>
          <cell r="W318" t="str">
            <v>Ajuste</v>
          </cell>
          <cell r="X318">
            <v>1</v>
          </cell>
          <cell r="Y318">
            <v>3</v>
          </cell>
        </row>
        <row r="319">
          <cell r="T319">
            <v>0</v>
          </cell>
          <cell r="U319" t="str">
            <v>L103560</v>
          </cell>
          <cell r="V319" t="str">
            <v>DSF 5kg-CAJA</v>
          </cell>
          <cell r="W319" t="str">
            <v>Ajuste</v>
          </cell>
          <cell r="X319">
            <v>6</v>
          </cell>
          <cell r="Y319">
            <v>30</v>
          </cell>
        </row>
        <row r="320">
          <cell r="T320">
            <v>0</v>
          </cell>
          <cell r="U320" t="str">
            <v>L103728</v>
          </cell>
          <cell r="V320" t="str">
            <v>DSF 5kg-CAJA</v>
          </cell>
          <cell r="W320" t="str">
            <v>Ajuste</v>
          </cell>
          <cell r="X320">
            <v>3</v>
          </cell>
          <cell r="Y320">
            <v>15</v>
          </cell>
        </row>
        <row r="321">
          <cell r="T321">
            <v>0</v>
          </cell>
          <cell r="U321" t="str">
            <v>L103463</v>
          </cell>
          <cell r="V321" t="str">
            <v>DTG Vr2kg-CAJA</v>
          </cell>
          <cell r="W321" t="str">
            <v>Ajuste</v>
          </cell>
          <cell r="X321">
            <v>37</v>
          </cell>
          <cell r="Y321">
            <v>74</v>
          </cell>
        </row>
        <row r="322">
          <cell r="T322">
            <v>0</v>
          </cell>
          <cell r="U322" t="str">
            <v>L103463</v>
          </cell>
          <cell r="V322" t="str">
            <v>PV DTG Vr2kg</v>
          </cell>
          <cell r="W322" t="str">
            <v>Ajuste</v>
          </cell>
          <cell r="X322">
            <v>8</v>
          </cell>
          <cell r="Y322">
            <v>16</v>
          </cell>
        </row>
        <row r="323">
          <cell r="T323">
            <v>0</v>
          </cell>
          <cell r="U323" t="str">
            <v>L103476</v>
          </cell>
          <cell r="V323" t="str">
            <v>DTG Vr2kg-CAJA</v>
          </cell>
          <cell r="W323" t="str">
            <v>Ajuste</v>
          </cell>
          <cell r="X323">
            <v>11</v>
          </cell>
          <cell r="Y323">
            <v>22</v>
          </cell>
        </row>
        <row r="324">
          <cell r="T324">
            <v>0</v>
          </cell>
          <cell r="U324" t="str">
            <v>L103295</v>
          </cell>
          <cell r="V324" t="str">
            <v>DTG Vr3kg-CAJA</v>
          </cell>
          <cell r="W324" t="str">
            <v>Ajuste</v>
          </cell>
          <cell r="X324">
            <v>5</v>
          </cell>
          <cell r="Y324">
            <v>15</v>
          </cell>
        </row>
        <row r="325">
          <cell r="T325">
            <v>0</v>
          </cell>
          <cell r="U325" t="str">
            <v>L103724</v>
          </cell>
          <cell r="V325" t="str">
            <v>DTG Vr3kg-CAJA</v>
          </cell>
          <cell r="W325" t="str">
            <v>Ajuste</v>
          </cell>
          <cell r="X325">
            <v>210</v>
          </cell>
          <cell r="Y325">
            <v>630</v>
          </cell>
        </row>
        <row r="326">
          <cell r="T326">
            <v>0</v>
          </cell>
          <cell r="U326" t="str">
            <v>L102818</v>
          </cell>
          <cell r="V326" t="str">
            <v>EGB 2KG Caja</v>
          </cell>
          <cell r="W326" t="str">
            <v>Ajuste</v>
          </cell>
          <cell r="X326">
            <v>3</v>
          </cell>
          <cell r="Y326">
            <v>6</v>
          </cell>
        </row>
        <row r="327">
          <cell r="T327">
            <v>0</v>
          </cell>
          <cell r="U327" t="str">
            <v>L103577</v>
          </cell>
          <cell r="V327" t="str">
            <v>Embutido kg</v>
          </cell>
          <cell r="W327" t="str">
            <v>Ajuste</v>
          </cell>
          <cell r="X327">
            <v>13</v>
          </cell>
          <cell r="Y327">
            <v>13</v>
          </cell>
        </row>
        <row r="328">
          <cell r="T328">
            <v>0</v>
          </cell>
          <cell r="U328" t="str">
            <v>L103615</v>
          </cell>
          <cell r="V328" t="str">
            <v>EMBV 2kg-CAJA</v>
          </cell>
          <cell r="W328" t="str">
            <v>Ajuste</v>
          </cell>
          <cell r="X328">
            <v>134</v>
          </cell>
          <cell r="Y328">
            <v>268</v>
          </cell>
        </row>
        <row r="329">
          <cell r="T329">
            <v>0</v>
          </cell>
          <cell r="U329" t="str">
            <v>L103747</v>
          </cell>
          <cell r="V329" t="str">
            <v>EMBV 2kg-CAJA</v>
          </cell>
          <cell r="W329" t="str">
            <v>Ajuste</v>
          </cell>
          <cell r="X329">
            <v>29</v>
          </cell>
          <cell r="Y329">
            <v>58</v>
          </cell>
        </row>
        <row r="330">
          <cell r="T330">
            <v>0</v>
          </cell>
          <cell r="U330" t="str">
            <v>L103136</v>
          </cell>
          <cell r="V330" t="str">
            <v>FDV 3Kg</v>
          </cell>
          <cell r="W330" t="str">
            <v>Ajuste</v>
          </cell>
          <cell r="X330">
            <v>6</v>
          </cell>
          <cell r="Y330">
            <v>18</v>
          </cell>
        </row>
        <row r="331">
          <cell r="T331">
            <v>0</v>
          </cell>
          <cell r="U331" t="str">
            <v>L103137</v>
          </cell>
          <cell r="V331" t="str">
            <v>FDV 3Kg</v>
          </cell>
          <cell r="W331" t="str">
            <v>Ajuste</v>
          </cell>
          <cell r="X331">
            <v>16</v>
          </cell>
          <cell r="Y331">
            <v>48</v>
          </cell>
        </row>
        <row r="332">
          <cell r="T332">
            <v>0</v>
          </cell>
          <cell r="U332" t="str">
            <v>L103139</v>
          </cell>
          <cell r="V332" t="str">
            <v>FDV 3Kg</v>
          </cell>
          <cell r="W332" t="str">
            <v>Ajuste</v>
          </cell>
          <cell r="X332">
            <v>3</v>
          </cell>
          <cell r="Y332">
            <v>9</v>
          </cell>
        </row>
        <row r="333">
          <cell r="T333" t="str">
            <v/>
          </cell>
          <cell r="U333" t="str">
            <v>L103360</v>
          </cell>
          <cell r="V333" t="str">
            <v>FRJ 3kg-CAJA</v>
          </cell>
          <cell r="W333" t="str">
            <v>Ajuste</v>
          </cell>
          <cell r="X333">
            <v>1</v>
          </cell>
          <cell r="Y333">
            <v>3</v>
          </cell>
        </row>
        <row r="334">
          <cell r="T334" t="str">
            <v/>
          </cell>
          <cell r="U334" t="str">
            <v>L103434</v>
          </cell>
          <cell r="V334" t="str">
            <v>FRJ 3kg-CAJA</v>
          </cell>
          <cell r="W334" t="str">
            <v>Ajuste</v>
          </cell>
          <cell r="X334">
            <v>3</v>
          </cell>
          <cell r="Y334">
            <v>9</v>
          </cell>
        </row>
        <row r="335">
          <cell r="T335" t="str">
            <v/>
          </cell>
          <cell r="U335" t="str">
            <v>L103513</v>
          </cell>
          <cell r="V335" t="str">
            <v>FRJ 3kg-CAJA</v>
          </cell>
          <cell r="W335" t="str">
            <v>Ajuste</v>
          </cell>
          <cell r="X335">
            <v>2</v>
          </cell>
          <cell r="Y335">
            <v>6</v>
          </cell>
        </row>
        <row r="336">
          <cell r="T336" t="str">
            <v/>
          </cell>
          <cell r="U336" t="str">
            <v>L103589</v>
          </cell>
          <cell r="V336" t="str">
            <v>FRJ 3kg-CAJA</v>
          </cell>
          <cell r="W336" t="str">
            <v>Ajuste</v>
          </cell>
          <cell r="X336">
            <v>1</v>
          </cell>
          <cell r="Y336">
            <v>3</v>
          </cell>
        </row>
        <row r="337">
          <cell r="T337">
            <v>0</v>
          </cell>
          <cell r="U337" t="str">
            <v>L103749</v>
          </cell>
          <cell r="V337" t="str">
            <v>FRVDVG 8kg</v>
          </cell>
          <cell r="W337" t="str">
            <v>Ajuste</v>
          </cell>
          <cell r="X337">
            <v>30</v>
          </cell>
          <cell r="Y337">
            <v>240</v>
          </cell>
        </row>
        <row r="338">
          <cell r="T338">
            <v>0</v>
          </cell>
          <cell r="U338" t="str">
            <v>L103752</v>
          </cell>
          <cell r="V338" t="str">
            <v>FRVDVG 8kg</v>
          </cell>
          <cell r="W338" t="str">
            <v>Ajuste</v>
          </cell>
          <cell r="X338">
            <v>15</v>
          </cell>
          <cell r="Y338">
            <v>120</v>
          </cell>
        </row>
        <row r="339">
          <cell r="T339">
            <v>0</v>
          </cell>
          <cell r="U339" t="str">
            <v>L103191</v>
          </cell>
          <cell r="V339" t="str">
            <v>GLT 2kg</v>
          </cell>
          <cell r="W339" t="str">
            <v>Ajuste</v>
          </cell>
          <cell r="X339">
            <v>1</v>
          </cell>
          <cell r="Y339">
            <v>2</v>
          </cell>
        </row>
        <row r="340">
          <cell r="T340">
            <v>0</v>
          </cell>
          <cell r="U340" t="str">
            <v>L103150</v>
          </cell>
          <cell r="V340" t="str">
            <v>GRN 2Kg</v>
          </cell>
          <cell r="W340" t="str">
            <v>Ajuste</v>
          </cell>
          <cell r="X340">
            <v>4</v>
          </cell>
          <cell r="Y340">
            <v>8</v>
          </cell>
        </row>
        <row r="341">
          <cell r="T341">
            <v>0</v>
          </cell>
          <cell r="U341" t="str">
            <v>L103244</v>
          </cell>
          <cell r="V341" t="str">
            <v>GRN 2Kg</v>
          </cell>
          <cell r="W341" t="str">
            <v>Ajuste</v>
          </cell>
          <cell r="X341">
            <v>5</v>
          </cell>
          <cell r="Y341">
            <v>10</v>
          </cell>
        </row>
        <row r="342">
          <cell r="T342">
            <v>0</v>
          </cell>
          <cell r="U342" t="str">
            <v>L103686</v>
          </cell>
          <cell r="V342" t="str">
            <v>GRN 2Kg</v>
          </cell>
          <cell r="W342" t="str">
            <v>Ajuste</v>
          </cell>
          <cell r="X342">
            <v>2</v>
          </cell>
          <cell r="Y342">
            <v>4</v>
          </cell>
        </row>
        <row r="343">
          <cell r="T343">
            <v>0</v>
          </cell>
          <cell r="U343" t="str">
            <v>L103465</v>
          </cell>
          <cell r="V343" t="str">
            <v>GST 3kg</v>
          </cell>
          <cell r="W343" t="str">
            <v>Ajuste</v>
          </cell>
          <cell r="X343">
            <v>3</v>
          </cell>
          <cell r="Y343">
            <v>9</v>
          </cell>
        </row>
        <row r="344">
          <cell r="T344">
            <v>0</v>
          </cell>
          <cell r="U344" t="str">
            <v>L103517</v>
          </cell>
          <cell r="V344" t="str">
            <v>GST 3kg</v>
          </cell>
          <cell r="W344" t="str">
            <v>Ajuste</v>
          </cell>
          <cell r="X344">
            <v>2</v>
          </cell>
          <cell r="Y344">
            <v>6</v>
          </cell>
        </row>
        <row r="345">
          <cell r="T345">
            <v>0</v>
          </cell>
          <cell r="U345" t="str">
            <v>L103702</v>
          </cell>
          <cell r="V345" t="str">
            <v>GST 3kg</v>
          </cell>
          <cell r="W345" t="str">
            <v>Ajuste</v>
          </cell>
          <cell r="X345">
            <v>1</v>
          </cell>
          <cell r="Y345">
            <v>3</v>
          </cell>
        </row>
        <row r="346">
          <cell r="T346">
            <v>0</v>
          </cell>
          <cell r="U346" t="str">
            <v>L103714</v>
          </cell>
          <cell r="V346" t="str">
            <v>GST Vr5.0kg-CAJA</v>
          </cell>
          <cell r="W346" t="str">
            <v>Ajuste</v>
          </cell>
          <cell r="X346">
            <v>1</v>
          </cell>
          <cell r="Y346">
            <v>5</v>
          </cell>
        </row>
        <row r="347">
          <cell r="T347" t="str">
            <v/>
          </cell>
          <cell r="U347" t="str">
            <v>L103159</v>
          </cell>
          <cell r="V347" t="str">
            <v>GTA 1.5kg-CAJA</v>
          </cell>
          <cell r="W347" t="str">
            <v>Ajuste</v>
          </cell>
          <cell r="X347">
            <v>1</v>
          </cell>
          <cell r="Y347">
            <v>1.5</v>
          </cell>
        </row>
        <row r="348">
          <cell r="T348" t="str">
            <v/>
          </cell>
          <cell r="U348" t="str">
            <v>L103230</v>
          </cell>
          <cell r="V348" t="str">
            <v>GTA 1.5kg-CAJA</v>
          </cell>
          <cell r="W348" t="str">
            <v>Ajuste</v>
          </cell>
          <cell r="X348">
            <v>15</v>
          </cell>
          <cell r="Y348">
            <v>22.5</v>
          </cell>
        </row>
        <row r="349">
          <cell r="T349" t="str">
            <v/>
          </cell>
          <cell r="U349" t="str">
            <v>L103377</v>
          </cell>
          <cell r="V349" t="str">
            <v>GTA 1kg-CAJA</v>
          </cell>
          <cell r="W349" t="str">
            <v>Ajuste</v>
          </cell>
          <cell r="X349">
            <v>1</v>
          </cell>
          <cell r="Y349">
            <v>1</v>
          </cell>
        </row>
        <row r="350">
          <cell r="T350">
            <v>0</v>
          </cell>
          <cell r="U350" t="str">
            <v>L103679</v>
          </cell>
          <cell r="V350" t="str">
            <v>GTA 1kg-CAJA</v>
          </cell>
          <cell r="W350" t="str">
            <v>Ajuste</v>
          </cell>
          <cell r="X350">
            <v>4</v>
          </cell>
          <cell r="Y350">
            <v>4</v>
          </cell>
        </row>
        <row r="351">
          <cell r="T351">
            <v>0</v>
          </cell>
          <cell r="U351" t="str">
            <v>L103684</v>
          </cell>
          <cell r="V351" t="str">
            <v>GTA 1kg-CAJA</v>
          </cell>
          <cell r="W351" t="str">
            <v>Ajuste</v>
          </cell>
          <cell r="X351">
            <v>3</v>
          </cell>
          <cell r="Y351">
            <v>3</v>
          </cell>
        </row>
        <row r="352">
          <cell r="T352">
            <v>0</v>
          </cell>
          <cell r="U352" t="str">
            <v>L103723</v>
          </cell>
          <cell r="V352" t="str">
            <v>GTA 1kg-CAJA</v>
          </cell>
          <cell r="W352" t="str">
            <v>Ajuste</v>
          </cell>
          <cell r="X352">
            <v>50</v>
          </cell>
          <cell r="Y352">
            <v>50</v>
          </cell>
        </row>
        <row r="353">
          <cell r="T353">
            <v>0</v>
          </cell>
          <cell r="U353" t="str">
            <v>L103682</v>
          </cell>
          <cell r="V353" t="str">
            <v>GTA 2kg-CAJA</v>
          </cell>
          <cell r="W353" t="str">
            <v>Ajuste</v>
          </cell>
          <cell r="X353">
            <v>1</v>
          </cell>
          <cell r="Y353">
            <v>2</v>
          </cell>
        </row>
        <row r="354">
          <cell r="T354">
            <v>0</v>
          </cell>
          <cell r="U354" t="str">
            <v>L103685</v>
          </cell>
          <cell r="V354" t="str">
            <v>GTA 2kg-CAJA</v>
          </cell>
          <cell r="W354" t="str">
            <v>Ajuste</v>
          </cell>
          <cell r="X354">
            <v>1</v>
          </cell>
          <cell r="Y354">
            <v>2</v>
          </cell>
        </row>
        <row r="355">
          <cell r="T355">
            <v>0</v>
          </cell>
          <cell r="U355" t="str">
            <v>L103739</v>
          </cell>
          <cell r="V355" t="str">
            <v>Guandu kg</v>
          </cell>
          <cell r="W355" t="str">
            <v>Ajuste</v>
          </cell>
          <cell r="X355">
            <v>3.95</v>
          </cell>
          <cell r="Y355">
            <v>3.95</v>
          </cell>
        </row>
        <row r="356">
          <cell r="T356">
            <v>0</v>
          </cell>
          <cell r="U356" t="str">
            <v>L103433</v>
          </cell>
          <cell r="V356" t="str">
            <v>GUD 3kg</v>
          </cell>
          <cell r="W356" t="str">
            <v>Ajuste</v>
          </cell>
          <cell r="X356">
            <v>1</v>
          </cell>
          <cell r="Y356">
            <v>3</v>
          </cell>
        </row>
        <row r="357">
          <cell r="T357" t="str">
            <v/>
          </cell>
          <cell r="U357" t="str">
            <v>L103720</v>
          </cell>
          <cell r="V357" t="str">
            <v>GUD 5kg-CAJA</v>
          </cell>
          <cell r="W357" t="str">
            <v>Ajuste</v>
          </cell>
          <cell r="X357">
            <v>5</v>
          </cell>
          <cell r="Y357">
            <v>25</v>
          </cell>
        </row>
        <row r="358">
          <cell r="T358">
            <v>0</v>
          </cell>
          <cell r="U358" t="str">
            <v>L103746</v>
          </cell>
          <cell r="V358" t="str">
            <v>Guisante kg</v>
          </cell>
          <cell r="W358" t="str">
            <v>Ajuste</v>
          </cell>
          <cell r="X358">
            <v>2.85</v>
          </cell>
          <cell r="Y358">
            <v>2.85</v>
          </cell>
        </row>
        <row r="359">
          <cell r="T359">
            <v>0</v>
          </cell>
          <cell r="U359" t="str">
            <v>L103745</v>
          </cell>
          <cell r="V359" t="str">
            <v>Harina kg</v>
          </cell>
          <cell r="W359" t="str">
            <v>Ajuste</v>
          </cell>
          <cell r="X359">
            <v>0.51</v>
          </cell>
          <cell r="Y359">
            <v>0.51</v>
          </cell>
        </row>
        <row r="360">
          <cell r="T360">
            <v>0</v>
          </cell>
          <cell r="U360" t="str">
            <v>L103358</v>
          </cell>
          <cell r="V360" t="str">
            <v>HAV 3kg</v>
          </cell>
          <cell r="W360" t="str">
            <v>Ajuste</v>
          </cell>
          <cell r="X360">
            <v>1</v>
          </cell>
          <cell r="Y360">
            <v>3</v>
          </cell>
        </row>
        <row r="361">
          <cell r="T361">
            <v>0</v>
          </cell>
          <cell r="U361" t="str">
            <v>L103453</v>
          </cell>
          <cell r="V361" t="str">
            <v>HAV 3kg</v>
          </cell>
          <cell r="W361" t="str">
            <v>Ajuste</v>
          </cell>
          <cell r="X361">
            <v>3</v>
          </cell>
          <cell r="Y361">
            <v>9</v>
          </cell>
        </row>
        <row r="362">
          <cell r="T362">
            <v>0</v>
          </cell>
          <cell r="U362" t="str">
            <v>L103533</v>
          </cell>
          <cell r="V362" t="str">
            <v>HAV 3kg</v>
          </cell>
          <cell r="W362" t="str">
            <v>Ajuste</v>
          </cell>
          <cell r="X362">
            <v>3</v>
          </cell>
          <cell r="Y362">
            <v>9</v>
          </cell>
        </row>
        <row r="363">
          <cell r="T363">
            <v>0</v>
          </cell>
          <cell r="U363" t="str">
            <v>L103380</v>
          </cell>
          <cell r="V363" t="str">
            <v>HNG 3kg-CAJA</v>
          </cell>
          <cell r="W363" t="str">
            <v>Ajuste</v>
          </cell>
          <cell r="X363">
            <v>2</v>
          </cell>
          <cell r="Y363">
            <v>6</v>
          </cell>
        </row>
        <row r="364">
          <cell r="T364">
            <v>0</v>
          </cell>
          <cell r="U364" t="str">
            <v>L103287</v>
          </cell>
          <cell r="V364" t="str">
            <v>HNG 3kg-CAJA</v>
          </cell>
          <cell r="W364" t="str">
            <v>Ajuste</v>
          </cell>
          <cell r="X364">
            <v>2</v>
          </cell>
          <cell r="Y364">
            <v>6</v>
          </cell>
        </row>
        <row r="365">
          <cell r="T365">
            <v>0</v>
          </cell>
          <cell r="U365" t="str">
            <v>L103468</v>
          </cell>
          <cell r="V365" t="str">
            <v>HNG 3kg-CAJA</v>
          </cell>
          <cell r="W365" t="str">
            <v>Ajuste</v>
          </cell>
          <cell r="X365">
            <v>1</v>
          </cell>
          <cell r="Y365">
            <v>3</v>
          </cell>
        </row>
        <row r="366">
          <cell r="T366">
            <v>0</v>
          </cell>
          <cell r="U366" t="str">
            <v>L103518</v>
          </cell>
          <cell r="V366" t="str">
            <v>HNG 3kg-CAJA</v>
          </cell>
          <cell r="W366" t="str">
            <v>Ajuste</v>
          </cell>
          <cell r="X366">
            <v>3</v>
          </cell>
          <cell r="Y366">
            <v>9</v>
          </cell>
        </row>
        <row r="367">
          <cell r="T367">
            <v>0</v>
          </cell>
          <cell r="U367" t="str">
            <v>L103705</v>
          </cell>
          <cell r="V367" t="str">
            <v>HNG 3kg-CAJA</v>
          </cell>
          <cell r="W367" t="str">
            <v>Ajuste</v>
          </cell>
          <cell r="X367">
            <v>1</v>
          </cell>
          <cell r="Y367">
            <v>3</v>
          </cell>
        </row>
        <row r="368">
          <cell r="T368">
            <v>0</v>
          </cell>
          <cell r="U368" t="str">
            <v>L103715</v>
          </cell>
          <cell r="V368" t="str">
            <v>HNG 5kg-CAJA</v>
          </cell>
          <cell r="W368" t="str">
            <v>Ajuste</v>
          </cell>
          <cell r="X368">
            <v>1</v>
          </cell>
          <cell r="Y368">
            <v>5</v>
          </cell>
        </row>
        <row r="369">
          <cell r="T369">
            <v>0</v>
          </cell>
          <cell r="U369" t="str">
            <v>L103532</v>
          </cell>
          <cell r="V369" t="str">
            <v>HRM 2Kg</v>
          </cell>
          <cell r="W369" t="str">
            <v>Ajuste</v>
          </cell>
          <cell r="X369">
            <v>1</v>
          </cell>
          <cell r="Y369">
            <v>2</v>
          </cell>
        </row>
        <row r="370">
          <cell r="T370">
            <v>0</v>
          </cell>
          <cell r="U370" t="str">
            <v>L103067</v>
          </cell>
          <cell r="V370" t="str">
            <v>Jabon lava platos kg</v>
          </cell>
          <cell r="W370" t="str">
            <v>Ajuste</v>
          </cell>
          <cell r="X370">
            <v>24.77</v>
          </cell>
          <cell r="Y370">
            <v>24.77</v>
          </cell>
        </row>
        <row r="371">
          <cell r="T371">
            <v>0</v>
          </cell>
          <cell r="U371" t="str">
            <v>L103735</v>
          </cell>
          <cell r="V371" t="str">
            <v>Jamonilla kg</v>
          </cell>
          <cell r="W371" t="str">
            <v>Ajuste</v>
          </cell>
          <cell r="X371">
            <v>0.4</v>
          </cell>
          <cell r="Y371">
            <v>0.4</v>
          </cell>
        </row>
        <row r="372">
          <cell r="T372">
            <v>0</v>
          </cell>
          <cell r="U372" t="str">
            <v>L103143</v>
          </cell>
          <cell r="V372" t="str">
            <v>JGO 2kg</v>
          </cell>
          <cell r="W372" t="str">
            <v>Ajuste</v>
          </cell>
          <cell r="X372">
            <v>1</v>
          </cell>
          <cell r="Y372">
            <v>2</v>
          </cell>
        </row>
        <row r="373">
          <cell r="T373">
            <v>0</v>
          </cell>
          <cell r="U373" t="str">
            <v>L103436</v>
          </cell>
          <cell r="V373" t="str">
            <v>JGO 2kg</v>
          </cell>
          <cell r="W373" t="str">
            <v>Ajuste</v>
          </cell>
          <cell r="X373">
            <v>1</v>
          </cell>
          <cell r="Y373">
            <v>2</v>
          </cell>
        </row>
        <row r="374">
          <cell r="T374">
            <v>0</v>
          </cell>
          <cell r="U374" t="str">
            <v>L103473</v>
          </cell>
          <cell r="V374" t="str">
            <v>JLP 2kg Caja</v>
          </cell>
          <cell r="W374" t="str">
            <v>Ajuste</v>
          </cell>
          <cell r="X374">
            <v>39</v>
          </cell>
          <cell r="Y374">
            <v>78</v>
          </cell>
        </row>
        <row r="375">
          <cell r="T375">
            <v>0</v>
          </cell>
          <cell r="U375" t="str">
            <v>L103729</v>
          </cell>
          <cell r="V375" t="str">
            <v>JLP 2kg Caja</v>
          </cell>
          <cell r="W375" t="str">
            <v>Ajuste</v>
          </cell>
          <cell r="X375">
            <v>72</v>
          </cell>
          <cell r="Y375">
            <v>144</v>
          </cell>
        </row>
        <row r="376">
          <cell r="T376">
            <v>0</v>
          </cell>
          <cell r="U376" t="str">
            <v>L103730</v>
          </cell>
          <cell r="V376" t="str">
            <v>JLP 2kg Caja</v>
          </cell>
          <cell r="W376" t="str">
            <v>Ajuste</v>
          </cell>
          <cell r="X376">
            <v>84</v>
          </cell>
          <cell r="Y376">
            <v>168</v>
          </cell>
        </row>
        <row r="377">
          <cell r="T377">
            <v>0</v>
          </cell>
          <cell r="U377" t="str">
            <v>L103015</v>
          </cell>
          <cell r="V377" t="str">
            <v>JLPL 2kg UNIDAD</v>
          </cell>
          <cell r="W377" t="str">
            <v>Ajuste</v>
          </cell>
          <cell r="X377">
            <v>46</v>
          </cell>
          <cell r="Y377">
            <v>92</v>
          </cell>
        </row>
        <row r="378">
          <cell r="T378">
            <v>0</v>
          </cell>
          <cell r="U378" t="str">
            <v>L103727</v>
          </cell>
          <cell r="V378" t="str">
            <v>JLPL 2kg UNIDAD</v>
          </cell>
          <cell r="W378" t="str">
            <v>Ajuste</v>
          </cell>
          <cell r="X378">
            <v>1</v>
          </cell>
          <cell r="Y378">
            <v>2</v>
          </cell>
        </row>
        <row r="379">
          <cell r="T379">
            <v>0</v>
          </cell>
          <cell r="U379" t="str">
            <v>L103035</v>
          </cell>
          <cell r="V379" t="str">
            <v>KTP 2kg</v>
          </cell>
          <cell r="W379" t="str">
            <v>Ajuste</v>
          </cell>
          <cell r="X379">
            <v>3</v>
          </cell>
          <cell r="Y379">
            <v>6</v>
          </cell>
        </row>
        <row r="380">
          <cell r="T380">
            <v>0</v>
          </cell>
          <cell r="U380" t="str">
            <v>L103185</v>
          </cell>
          <cell r="V380" t="str">
            <v>LCC 3kg-(CAJA)</v>
          </cell>
          <cell r="W380" t="str">
            <v>Ajuste</v>
          </cell>
          <cell r="X380">
            <v>2</v>
          </cell>
          <cell r="Y380">
            <v>6</v>
          </cell>
        </row>
        <row r="381">
          <cell r="T381">
            <v>0</v>
          </cell>
          <cell r="U381" t="str">
            <v>L103538</v>
          </cell>
          <cell r="V381" t="str">
            <v>LCH 2kg-caja</v>
          </cell>
          <cell r="W381" t="str">
            <v>Ajuste</v>
          </cell>
          <cell r="X381">
            <v>6</v>
          </cell>
          <cell r="Y381">
            <v>12</v>
          </cell>
        </row>
        <row r="382">
          <cell r="T382">
            <v>0</v>
          </cell>
          <cell r="U382" t="str">
            <v>L103565</v>
          </cell>
          <cell r="V382" t="str">
            <v>LCH 3kg</v>
          </cell>
          <cell r="W382" t="str">
            <v>Ajuste</v>
          </cell>
          <cell r="X382">
            <v>7</v>
          </cell>
          <cell r="Y382">
            <v>21</v>
          </cell>
        </row>
        <row r="383">
          <cell r="T383">
            <v>0</v>
          </cell>
          <cell r="U383" t="str">
            <v>L103609</v>
          </cell>
          <cell r="V383" t="str">
            <v>LCH 3kg</v>
          </cell>
          <cell r="W383" t="str">
            <v>Ajuste</v>
          </cell>
          <cell r="X383">
            <v>6</v>
          </cell>
          <cell r="Y383">
            <v>18</v>
          </cell>
        </row>
        <row r="384">
          <cell r="T384">
            <v>0</v>
          </cell>
          <cell r="U384" t="str">
            <v>L103414</v>
          </cell>
          <cell r="V384" t="str">
            <v>LCH 4kg</v>
          </cell>
          <cell r="W384" t="str">
            <v>Ajuste</v>
          </cell>
          <cell r="X384">
            <v>1</v>
          </cell>
          <cell r="Y384">
            <v>4</v>
          </cell>
        </row>
        <row r="385">
          <cell r="T385">
            <v>0</v>
          </cell>
          <cell r="U385" t="str">
            <v>L103554</v>
          </cell>
          <cell r="V385" t="str">
            <v>LCH 4kg</v>
          </cell>
          <cell r="W385" t="str">
            <v>Ajuste</v>
          </cell>
          <cell r="X385">
            <v>1</v>
          </cell>
          <cell r="Y385">
            <v>4</v>
          </cell>
        </row>
        <row r="386">
          <cell r="T386">
            <v>0</v>
          </cell>
          <cell r="U386" t="str">
            <v>L103555</v>
          </cell>
          <cell r="V386" t="str">
            <v>LCH 4kg</v>
          </cell>
          <cell r="W386" t="str">
            <v>Ajuste</v>
          </cell>
          <cell r="X386">
            <v>2</v>
          </cell>
          <cell r="Y386">
            <v>8</v>
          </cell>
        </row>
        <row r="387">
          <cell r="T387">
            <v>0</v>
          </cell>
          <cell r="U387" t="str">
            <v>L103540</v>
          </cell>
          <cell r="V387" t="str">
            <v>LCH EV 2kg</v>
          </cell>
          <cell r="W387" t="str">
            <v>Ajuste</v>
          </cell>
          <cell r="X387">
            <v>1</v>
          </cell>
          <cell r="Y387">
            <v>2</v>
          </cell>
        </row>
        <row r="388">
          <cell r="T388">
            <v>0</v>
          </cell>
          <cell r="U388" t="str">
            <v>L103598</v>
          </cell>
          <cell r="V388" t="str">
            <v>LCH EV 2kg</v>
          </cell>
          <cell r="W388" t="str">
            <v>Ajuste</v>
          </cell>
          <cell r="X388">
            <v>1</v>
          </cell>
          <cell r="Y388">
            <v>2</v>
          </cell>
        </row>
        <row r="389">
          <cell r="T389" t="str">
            <v/>
          </cell>
          <cell r="U389" t="str">
            <v>L103265</v>
          </cell>
          <cell r="V389" t="str">
            <v>LCHAY 2kg</v>
          </cell>
          <cell r="W389" t="str">
            <v>Ajuste</v>
          </cell>
          <cell r="X389">
            <v>2</v>
          </cell>
          <cell r="Y389">
            <v>0</v>
          </cell>
        </row>
        <row r="390">
          <cell r="T390" t="str">
            <v/>
          </cell>
          <cell r="U390" t="str">
            <v>L103267</v>
          </cell>
          <cell r="V390" t="str">
            <v>LCHAY 2kg</v>
          </cell>
          <cell r="W390" t="str">
            <v>Ajuste</v>
          </cell>
          <cell r="X390">
            <v>4</v>
          </cell>
          <cell r="Y390">
            <v>0</v>
          </cell>
        </row>
        <row r="391">
          <cell r="T391" t="str">
            <v/>
          </cell>
          <cell r="U391" t="str">
            <v>L103268</v>
          </cell>
          <cell r="V391" t="str">
            <v>LCHAY 2kg</v>
          </cell>
          <cell r="W391" t="str">
            <v>Ajuste</v>
          </cell>
          <cell r="X391">
            <v>3</v>
          </cell>
          <cell r="Y391">
            <v>0</v>
          </cell>
        </row>
        <row r="392">
          <cell r="T392">
            <v>0</v>
          </cell>
          <cell r="U392" t="str">
            <v>L103269</v>
          </cell>
          <cell r="V392" t="str">
            <v>LCH 2kg-caja</v>
          </cell>
          <cell r="W392" t="str">
            <v>Ajuste</v>
          </cell>
          <cell r="X392">
            <v>34</v>
          </cell>
          <cell r="Y392">
            <v>68</v>
          </cell>
        </row>
        <row r="393">
          <cell r="T393">
            <v>0</v>
          </cell>
          <cell r="U393" t="str">
            <v>L103269</v>
          </cell>
          <cell r="V393" t="str">
            <v>LCHAY 2kg</v>
          </cell>
          <cell r="W393" t="str">
            <v>Ajuste</v>
          </cell>
          <cell r="X393">
            <v>5</v>
          </cell>
          <cell r="Y393">
            <v>0</v>
          </cell>
        </row>
        <row r="394">
          <cell r="T394" t="str">
            <v/>
          </cell>
          <cell r="U394" t="str">
            <v>L103270</v>
          </cell>
          <cell r="V394" t="str">
            <v>LCHAY 2kg</v>
          </cell>
          <cell r="W394" t="str">
            <v>Ajuste</v>
          </cell>
          <cell r="X394">
            <v>1</v>
          </cell>
          <cell r="Y394">
            <v>0</v>
          </cell>
        </row>
        <row r="395">
          <cell r="T395" t="str">
            <v/>
          </cell>
          <cell r="U395" t="str">
            <v>L103271</v>
          </cell>
          <cell r="V395" t="str">
            <v>LCHAY 2kg</v>
          </cell>
          <cell r="W395" t="str">
            <v>Ajuste</v>
          </cell>
          <cell r="X395">
            <v>3</v>
          </cell>
          <cell r="Y395">
            <v>0</v>
          </cell>
        </row>
        <row r="396">
          <cell r="T396">
            <v>0</v>
          </cell>
          <cell r="U396" t="str">
            <v>L103087</v>
          </cell>
          <cell r="V396" t="str">
            <v>LCHAY 4kg</v>
          </cell>
          <cell r="W396" t="str">
            <v>Ajuste</v>
          </cell>
          <cell r="X396">
            <v>144</v>
          </cell>
          <cell r="Y396">
            <v>576</v>
          </cell>
        </row>
        <row r="397">
          <cell r="T397">
            <v>0</v>
          </cell>
          <cell r="U397" t="str">
            <v>L103087</v>
          </cell>
          <cell r="V397" t="str">
            <v>LCH 4kg</v>
          </cell>
          <cell r="W397" t="str">
            <v>Ajuste</v>
          </cell>
          <cell r="X397">
            <v>128</v>
          </cell>
          <cell r="Y397">
            <v>512</v>
          </cell>
        </row>
        <row r="398">
          <cell r="T398" t="str">
            <v/>
          </cell>
          <cell r="U398" t="str">
            <v>L103089</v>
          </cell>
          <cell r="V398" t="str">
            <v>LCHAY 4kg</v>
          </cell>
          <cell r="W398" t="str">
            <v>Ajuste</v>
          </cell>
          <cell r="X398">
            <v>1</v>
          </cell>
          <cell r="Y398">
            <v>4</v>
          </cell>
        </row>
        <row r="399">
          <cell r="T399" t="str">
            <v/>
          </cell>
          <cell r="U399" t="str">
            <v>L103090</v>
          </cell>
          <cell r="V399" t="str">
            <v>LCHAY 4kg</v>
          </cell>
          <cell r="W399" t="str">
            <v>Ajuste</v>
          </cell>
          <cell r="X399">
            <v>9</v>
          </cell>
          <cell r="Y399">
            <v>36</v>
          </cell>
        </row>
        <row r="400">
          <cell r="T400">
            <v>0</v>
          </cell>
          <cell r="U400" t="str">
            <v>L103648</v>
          </cell>
          <cell r="V400" t="str">
            <v>LCHAY 4kg</v>
          </cell>
          <cell r="W400" t="str">
            <v>Ajuste</v>
          </cell>
          <cell r="X400">
            <v>3</v>
          </cell>
          <cell r="Y400">
            <v>12</v>
          </cell>
        </row>
        <row r="401">
          <cell r="T401">
            <v>0</v>
          </cell>
          <cell r="U401" t="str">
            <v>L103648</v>
          </cell>
          <cell r="V401" t="str">
            <v>LCH 4kg</v>
          </cell>
          <cell r="W401" t="str">
            <v>Ajuste</v>
          </cell>
          <cell r="X401">
            <v>44</v>
          </cell>
          <cell r="Y401">
            <v>176</v>
          </cell>
        </row>
        <row r="402">
          <cell r="T402">
            <v>0</v>
          </cell>
          <cell r="U402" t="str">
            <v>L103138</v>
          </cell>
          <cell r="V402" t="str">
            <v>LDS 3kg</v>
          </cell>
          <cell r="W402" t="str">
            <v>Ajuste</v>
          </cell>
          <cell r="X402">
            <v>18</v>
          </cell>
          <cell r="Y402">
            <v>54</v>
          </cell>
        </row>
        <row r="403">
          <cell r="T403">
            <v>0</v>
          </cell>
          <cell r="U403" t="str">
            <v>L103736</v>
          </cell>
          <cell r="V403" t="str">
            <v>Leche de coco kg</v>
          </cell>
          <cell r="W403" t="str">
            <v>Ajuste</v>
          </cell>
          <cell r="X403">
            <v>0.75</v>
          </cell>
          <cell r="Y403">
            <v>0.75</v>
          </cell>
        </row>
        <row r="404">
          <cell r="T404">
            <v>0</v>
          </cell>
          <cell r="U404" t="str">
            <v>L103732</v>
          </cell>
          <cell r="V404" t="str">
            <v>leche en polvo kg</v>
          </cell>
          <cell r="W404" t="str">
            <v>Ajuste</v>
          </cell>
          <cell r="X404">
            <v>1.47</v>
          </cell>
          <cell r="Y404">
            <v>1.47</v>
          </cell>
        </row>
        <row r="405">
          <cell r="T405">
            <v>0</v>
          </cell>
          <cell r="U405" t="str">
            <v>L103602</v>
          </cell>
          <cell r="V405" t="str">
            <v>LEP 2kg</v>
          </cell>
          <cell r="W405" t="str">
            <v>Ajuste</v>
          </cell>
          <cell r="X405">
            <v>1</v>
          </cell>
          <cell r="Y405">
            <v>2</v>
          </cell>
        </row>
        <row r="406">
          <cell r="T406">
            <v>0</v>
          </cell>
          <cell r="U406" t="str">
            <v>L103603</v>
          </cell>
          <cell r="V406" t="str">
            <v>LEP 2kg</v>
          </cell>
          <cell r="W406" t="str">
            <v>Ajuste</v>
          </cell>
          <cell r="X406">
            <v>1</v>
          </cell>
          <cell r="Y406">
            <v>2</v>
          </cell>
        </row>
        <row r="407">
          <cell r="T407">
            <v>0</v>
          </cell>
          <cell r="U407" t="str">
            <v>L103708</v>
          </cell>
          <cell r="V407" t="str">
            <v>LEP 2kg</v>
          </cell>
          <cell r="W407" t="str">
            <v>Ajuste</v>
          </cell>
          <cell r="X407">
            <v>2</v>
          </cell>
          <cell r="Y407">
            <v>4</v>
          </cell>
        </row>
        <row r="408">
          <cell r="T408">
            <v>0</v>
          </cell>
          <cell r="U408" t="str">
            <v>L103733</v>
          </cell>
          <cell r="V408" t="str">
            <v>Maiz kg</v>
          </cell>
          <cell r="W408" t="str">
            <v>Ajuste</v>
          </cell>
          <cell r="X408">
            <v>5.25</v>
          </cell>
          <cell r="Y408">
            <v>5.25</v>
          </cell>
        </row>
        <row r="409">
          <cell r="T409">
            <v>0</v>
          </cell>
          <cell r="U409" t="str">
            <v>L102955</v>
          </cell>
          <cell r="V409" t="str">
            <v>Mayonesa kg</v>
          </cell>
          <cell r="W409" t="str">
            <v>Ajuste</v>
          </cell>
          <cell r="X409">
            <v>2.25</v>
          </cell>
          <cell r="Y409">
            <v>2.25</v>
          </cell>
        </row>
        <row r="410">
          <cell r="T410">
            <v>0</v>
          </cell>
          <cell r="U410" t="str">
            <v>L103528</v>
          </cell>
          <cell r="V410" t="str">
            <v>MCR 2kg-CAJA</v>
          </cell>
          <cell r="W410" t="str">
            <v>Ajuste</v>
          </cell>
          <cell r="X410">
            <v>1</v>
          </cell>
          <cell r="Y410">
            <v>2</v>
          </cell>
        </row>
        <row r="411">
          <cell r="T411">
            <v>0</v>
          </cell>
          <cell r="U411" t="str">
            <v>L103607</v>
          </cell>
          <cell r="V411" t="str">
            <v>MCR 2kg-CAJA</v>
          </cell>
          <cell r="W411" t="str">
            <v>Ajuste</v>
          </cell>
          <cell r="X411">
            <v>1</v>
          </cell>
          <cell r="Y411">
            <v>2</v>
          </cell>
        </row>
        <row r="412">
          <cell r="T412">
            <v>0</v>
          </cell>
          <cell r="U412" t="str">
            <v>L103757</v>
          </cell>
          <cell r="V412" t="str">
            <v>MCR 5kg-CAJA</v>
          </cell>
          <cell r="W412" t="str">
            <v>Ajuste</v>
          </cell>
          <cell r="X412">
            <v>109</v>
          </cell>
          <cell r="Y412">
            <v>545</v>
          </cell>
        </row>
        <row r="413">
          <cell r="T413">
            <v>0</v>
          </cell>
          <cell r="U413" t="str">
            <v>L103683</v>
          </cell>
          <cell r="V413" t="str">
            <v>MCRQ 1kg-CAJA</v>
          </cell>
          <cell r="W413" t="str">
            <v>Ajuste</v>
          </cell>
          <cell r="X413">
            <v>1</v>
          </cell>
          <cell r="Y413">
            <v>1</v>
          </cell>
        </row>
        <row r="414">
          <cell r="T414" t="str">
            <v/>
          </cell>
          <cell r="U414" t="str">
            <v>L102838</v>
          </cell>
          <cell r="V414" t="str">
            <v>MERMA DE FRUVER 1 kg</v>
          </cell>
          <cell r="W414" t="str">
            <v>Ajuste</v>
          </cell>
          <cell r="X414">
            <v>103.5</v>
          </cell>
          <cell r="Y414">
            <v>103.5</v>
          </cell>
        </row>
        <row r="415">
          <cell r="T415">
            <v>0</v>
          </cell>
          <cell r="U415" t="str">
            <v>L103276</v>
          </cell>
          <cell r="V415" t="str">
            <v>MERMA DE FRUVER 1 kg</v>
          </cell>
          <cell r="W415" t="str">
            <v>Ajuste</v>
          </cell>
          <cell r="X415">
            <v>217.5</v>
          </cell>
          <cell r="Y415">
            <v>217.5</v>
          </cell>
        </row>
        <row r="416">
          <cell r="T416">
            <v>0</v>
          </cell>
          <cell r="U416" t="str">
            <v>L103329</v>
          </cell>
          <cell r="V416" t="str">
            <v>MERMA DE FRUVER 1 kg</v>
          </cell>
          <cell r="W416" t="str">
            <v>Ajuste</v>
          </cell>
          <cell r="X416">
            <v>55.72</v>
          </cell>
          <cell r="Y416">
            <v>55.72</v>
          </cell>
        </row>
        <row r="417">
          <cell r="T417">
            <v>0</v>
          </cell>
          <cell r="U417" t="str">
            <v>L103338</v>
          </cell>
          <cell r="V417" t="str">
            <v>MERMA DE FRUVER 1 kg</v>
          </cell>
          <cell r="W417" t="str">
            <v>Ajuste</v>
          </cell>
          <cell r="X417">
            <v>25.72</v>
          </cell>
          <cell r="Y417">
            <v>25.72</v>
          </cell>
        </row>
        <row r="418">
          <cell r="T418">
            <v>0</v>
          </cell>
          <cell r="U418" t="str">
            <v>L103340</v>
          </cell>
          <cell r="V418" t="str">
            <v>MERMA DE FRUVER 1 kg</v>
          </cell>
          <cell r="W418" t="str">
            <v>Ajuste</v>
          </cell>
          <cell r="X418">
            <v>4.46</v>
          </cell>
          <cell r="Y418">
            <v>4.46</v>
          </cell>
        </row>
        <row r="419">
          <cell r="T419">
            <v>0</v>
          </cell>
          <cell r="U419" t="str">
            <v>L103343</v>
          </cell>
          <cell r="V419" t="str">
            <v>MERMA DE FRUVER 1 kg</v>
          </cell>
          <cell r="W419" t="str">
            <v>Ajuste</v>
          </cell>
          <cell r="X419">
            <v>41.6</v>
          </cell>
          <cell r="Y419">
            <v>41.6</v>
          </cell>
        </row>
        <row r="420">
          <cell r="T420">
            <v>0</v>
          </cell>
          <cell r="U420" t="str">
            <v>L103346</v>
          </cell>
          <cell r="V420" t="str">
            <v>MERMA DE FRUVER 1 kg</v>
          </cell>
          <cell r="W420" t="str">
            <v>Ajuste</v>
          </cell>
          <cell r="X420">
            <v>21.55</v>
          </cell>
          <cell r="Y420">
            <v>21.55</v>
          </cell>
        </row>
        <row r="421">
          <cell r="T421">
            <v>0</v>
          </cell>
          <cell r="U421" t="str">
            <v>L103376</v>
          </cell>
          <cell r="V421" t="str">
            <v>MERMA DE FRUVER 1 kg</v>
          </cell>
          <cell r="W421" t="str">
            <v>Ajuste</v>
          </cell>
          <cell r="X421">
            <v>15.36</v>
          </cell>
          <cell r="Y421">
            <v>15.36</v>
          </cell>
        </row>
        <row r="422">
          <cell r="T422">
            <v>0</v>
          </cell>
          <cell r="U422" t="str">
            <v>L103403</v>
          </cell>
          <cell r="V422" t="str">
            <v>MERMA DE FRUVER 1 kg</v>
          </cell>
          <cell r="W422" t="str">
            <v>Ajuste</v>
          </cell>
          <cell r="X422">
            <v>38.18</v>
          </cell>
          <cell r="Y422">
            <v>38.18</v>
          </cell>
        </row>
        <row r="423">
          <cell r="T423">
            <v>0</v>
          </cell>
          <cell r="U423" t="str">
            <v>L103413</v>
          </cell>
          <cell r="V423" t="str">
            <v>MERMA DE FRUVER 1 kg</v>
          </cell>
          <cell r="W423" t="str">
            <v>Ajuste</v>
          </cell>
          <cell r="X423">
            <v>48.6</v>
          </cell>
          <cell r="Y423">
            <v>48.6</v>
          </cell>
        </row>
        <row r="424">
          <cell r="T424">
            <v>0</v>
          </cell>
          <cell r="U424" t="str">
            <v>L103494</v>
          </cell>
          <cell r="V424" t="str">
            <v>MERMA DE FRUVER 1 kg</v>
          </cell>
          <cell r="W424" t="str">
            <v>Ajuste</v>
          </cell>
          <cell r="X424">
            <v>18.399999999999999</v>
          </cell>
          <cell r="Y424">
            <v>18.399999999999999</v>
          </cell>
        </row>
        <row r="425">
          <cell r="T425">
            <v>0</v>
          </cell>
          <cell r="U425" t="str">
            <v>L103504</v>
          </cell>
          <cell r="V425" t="str">
            <v>MERMA DE FRUVER 1 kg</v>
          </cell>
          <cell r="W425" t="str">
            <v>Ajuste</v>
          </cell>
          <cell r="X425">
            <v>1.9</v>
          </cell>
          <cell r="Y425">
            <v>1.9</v>
          </cell>
        </row>
        <row r="426">
          <cell r="T426">
            <v>0</v>
          </cell>
          <cell r="U426" t="str">
            <v>L103506</v>
          </cell>
          <cell r="V426" t="str">
            <v>MERMA DE FRUVER 1 kg</v>
          </cell>
          <cell r="W426" t="str">
            <v>Ajuste</v>
          </cell>
          <cell r="X426">
            <v>21.14</v>
          </cell>
          <cell r="Y426">
            <v>21.14</v>
          </cell>
        </row>
        <row r="427">
          <cell r="T427">
            <v>0</v>
          </cell>
          <cell r="U427" t="str">
            <v>L103545</v>
          </cell>
          <cell r="V427" t="str">
            <v>MERMA DE FRUVER 1 kg</v>
          </cell>
          <cell r="W427" t="str">
            <v>Ajuste</v>
          </cell>
          <cell r="X427">
            <v>18</v>
          </cell>
          <cell r="Y427">
            <v>18</v>
          </cell>
        </row>
        <row r="428">
          <cell r="T428">
            <v>0</v>
          </cell>
          <cell r="U428" t="str">
            <v>L103656</v>
          </cell>
          <cell r="V428" t="str">
            <v>MERMA DE FRUVER 1 kg</v>
          </cell>
          <cell r="W428" t="str">
            <v>Ajuste</v>
          </cell>
          <cell r="X428">
            <v>4.25</v>
          </cell>
          <cell r="Y428">
            <v>4.25</v>
          </cell>
        </row>
        <row r="429">
          <cell r="T429">
            <v>0</v>
          </cell>
          <cell r="U429" t="str">
            <v>L103659</v>
          </cell>
          <cell r="V429" t="str">
            <v>MERMA DE FRUVER 1 kg</v>
          </cell>
          <cell r="W429" t="str">
            <v>Ajuste</v>
          </cell>
          <cell r="X429">
            <v>57.24</v>
          </cell>
          <cell r="Y429">
            <v>57.24</v>
          </cell>
        </row>
        <row r="430">
          <cell r="T430">
            <v>0</v>
          </cell>
          <cell r="U430" t="str">
            <v>L103672</v>
          </cell>
          <cell r="V430" t="str">
            <v>MERMA DE FRUVER 1 kg</v>
          </cell>
          <cell r="W430" t="str">
            <v>Ajuste</v>
          </cell>
          <cell r="X430">
            <v>24.51</v>
          </cell>
          <cell r="Y430">
            <v>24.51</v>
          </cell>
        </row>
        <row r="431">
          <cell r="T431">
            <v>0</v>
          </cell>
          <cell r="U431" t="str">
            <v>L103674</v>
          </cell>
          <cell r="V431" t="str">
            <v>MERMA DE FRUVER 1 kg</v>
          </cell>
          <cell r="W431" t="str">
            <v>Ajuste</v>
          </cell>
          <cell r="X431">
            <v>3.5</v>
          </cell>
          <cell r="Y431">
            <v>3.5</v>
          </cell>
        </row>
        <row r="432">
          <cell r="T432">
            <v>0</v>
          </cell>
          <cell r="U432" t="str">
            <v>L103066</v>
          </cell>
          <cell r="V432" t="str">
            <v>Merma KG</v>
          </cell>
          <cell r="W432" t="str">
            <v>Ajuste</v>
          </cell>
          <cell r="X432">
            <v>50.61</v>
          </cell>
          <cell r="Y432">
            <v>50.61</v>
          </cell>
        </row>
        <row r="433">
          <cell r="T433">
            <v>0</v>
          </cell>
          <cell r="U433" t="str">
            <v>L103385</v>
          </cell>
          <cell r="V433" t="str">
            <v>Merma KG</v>
          </cell>
          <cell r="W433" t="str">
            <v>Ajuste</v>
          </cell>
          <cell r="X433">
            <v>90.26</v>
          </cell>
          <cell r="Y433">
            <v>90.26</v>
          </cell>
        </row>
        <row r="434">
          <cell r="T434">
            <v>0</v>
          </cell>
          <cell r="U434" t="str">
            <v>L103583</v>
          </cell>
          <cell r="V434" t="str">
            <v>Merma KG</v>
          </cell>
          <cell r="W434" t="str">
            <v>Ajuste</v>
          </cell>
          <cell r="X434">
            <v>134.63999999999999</v>
          </cell>
          <cell r="Y434">
            <v>134.63999999999999</v>
          </cell>
        </row>
        <row r="435">
          <cell r="T435">
            <v>0</v>
          </cell>
          <cell r="U435" t="str">
            <v>l103323</v>
          </cell>
          <cell r="V435" t="str">
            <v>MLJP 20kg</v>
          </cell>
          <cell r="W435" t="str">
            <v>Ajuste</v>
          </cell>
          <cell r="X435">
            <v>22</v>
          </cell>
          <cell r="Y435">
            <v>440</v>
          </cell>
        </row>
        <row r="436">
          <cell r="T436" t="str">
            <v/>
          </cell>
          <cell r="U436" t="str">
            <v>L103356</v>
          </cell>
          <cell r="V436" t="str">
            <v>MNS 2kg-PAQUETE</v>
          </cell>
          <cell r="W436" t="str">
            <v>Ajuste</v>
          </cell>
          <cell r="X436">
            <v>9</v>
          </cell>
          <cell r="Y436">
            <v>18</v>
          </cell>
        </row>
        <row r="437">
          <cell r="T437" t="str">
            <v/>
          </cell>
          <cell r="U437" t="str">
            <v>L103454</v>
          </cell>
          <cell r="V437" t="str">
            <v>MNS 2kg-PAQUETE</v>
          </cell>
          <cell r="W437" t="str">
            <v>Ajuste</v>
          </cell>
          <cell r="X437">
            <v>13</v>
          </cell>
          <cell r="Y437">
            <v>26</v>
          </cell>
        </row>
        <row r="438">
          <cell r="T438" t="str">
            <v/>
          </cell>
          <cell r="U438" t="str">
            <v>L103529</v>
          </cell>
          <cell r="V438" t="str">
            <v>MNS 2kg-PAQUETE</v>
          </cell>
          <cell r="W438" t="str">
            <v>Ajuste</v>
          </cell>
          <cell r="X438">
            <v>1</v>
          </cell>
          <cell r="Y438">
            <v>2</v>
          </cell>
        </row>
        <row r="439">
          <cell r="T439">
            <v>0</v>
          </cell>
          <cell r="U439" t="str">
            <v>L103575</v>
          </cell>
          <cell r="V439" t="str">
            <v>MXTCD 10kg</v>
          </cell>
          <cell r="W439" t="str">
            <v>Ajuste</v>
          </cell>
          <cell r="X439">
            <v>3</v>
          </cell>
          <cell r="Y439">
            <v>30</v>
          </cell>
        </row>
        <row r="440">
          <cell r="T440">
            <v>0</v>
          </cell>
          <cell r="U440" t="str">
            <v>L103286</v>
          </cell>
          <cell r="V440" t="str">
            <v>MYN 3kg - Caja</v>
          </cell>
          <cell r="W440" t="str">
            <v>Ajuste</v>
          </cell>
          <cell r="X440">
            <v>1</v>
          </cell>
          <cell r="Y440">
            <v>3</v>
          </cell>
        </row>
        <row r="441">
          <cell r="T441">
            <v>0</v>
          </cell>
          <cell r="U441" t="str">
            <v>L103511</v>
          </cell>
          <cell r="V441" t="str">
            <v>MYN 3kg - Caja</v>
          </cell>
          <cell r="W441" t="str">
            <v>Ajuste</v>
          </cell>
          <cell r="X441">
            <v>2</v>
          </cell>
          <cell r="Y441">
            <v>6</v>
          </cell>
        </row>
        <row r="442">
          <cell r="T442">
            <v>0</v>
          </cell>
          <cell r="U442" t="str">
            <v>L103379</v>
          </cell>
          <cell r="V442" t="str">
            <v>MZL 3kg</v>
          </cell>
          <cell r="W442" t="str">
            <v>Ajuste</v>
          </cell>
          <cell r="X442">
            <v>1</v>
          </cell>
          <cell r="Y442">
            <v>3</v>
          </cell>
        </row>
        <row r="443">
          <cell r="T443">
            <v>0</v>
          </cell>
          <cell r="U443" t="str">
            <v>L103472</v>
          </cell>
          <cell r="V443" t="str">
            <v>MZL 3kg</v>
          </cell>
          <cell r="W443" t="str">
            <v>Ajuste</v>
          </cell>
          <cell r="X443">
            <v>2</v>
          </cell>
          <cell r="Y443">
            <v>6</v>
          </cell>
        </row>
        <row r="444">
          <cell r="T444">
            <v>0</v>
          </cell>
          <cell r="U444" t="str">
            <v>L103512</v>
          </cell>
          <cell r="V444" t="str">
            <v>MZL 3kg</v>
          </cell>
          <cell r="W444" t="str">
            <v>Ajuste</v>
          </cell>
          <cell r="X444">
            <v>17</v>
          </cell>
          <cell r="Y444">
            <v>51</v>
          </cell>
        </row>
        <row r="445">
          <cell r="U445" t="str">
            <v>L103712</v>
          </cell>
          <cell r="V445" t="str">
            <v>MZL 5kg</v>
          </cell>
          <cell r="W445" t="str">
            <v>Ajuste</v>
          </cell>
          <cell r="X445">
            <v>5</v>
          </cell>
          <cell r="Y445">
            <v>25</v>
          </cell>
        </row>
        <row r="446">
          <cell r="U446" t="str">
            <v>102660</v>
          </cell>
          <cell r="V446" t="str">
            <v>NV ATN 1x170g-UNIDAD</v>
          </cell>
          <cell r="W446" t="str">
            <v>Ajuste</v>
          </cell>
          <cell r="X446">
            <v>36</v>
          </cell>
          <cell r="Y446">
            <v>6.12</v>
          </cell>
        </row>
        <row r="447">
          <cell r="U447" t="str">
            <v>L103198</v>
          </cell>
          <cell r="V447" t="str">
            <v>NV BPA - UNI</v>
          </cell>
          <cell r="W447" t="str">
            <v>Ajuste</v>
          </cell>
          <cell r="X447">
            <v>5847</v>
          </cell>
          <cell r="Y447">
            <v>58.47000000000002</v>
          </cell>
        </row>
        <row r="448">
          <cell r="U448" t="str">
            <v>L103564</v>
          </cell>
          <cell r="V448" t="str">
            <v>PAN 2kg</v>
          </cell>
          <cell r="W448" t="str">
            <v>Ajuste</v>
          </cell>
          <cell r="X448">
            <v>14</v>
          </cell>
          <cell r="Y448">
            <v>28</v>
          </cell>
        </row>
        <row r="449">
          <cell r="U449" t="str">
            <v>L103124</v>
          </cell>
          <cell r="V449" t="str">
            <v>Pan kg</v>
          </cell>
          <cell r="W449" t="str">
            <v>Ajuste</v>
          </cell>
          <cell r="X449">
            <v>1.6</v>
          </cell>
          <cell r="Y449">
            <v>1.6</v>
          </cell>
        </row>
        <row r="450">
          <cell r="U450" t="str">
            <v>L102956</v>
          </cell>
          <cell r="V450" t="str">
            <v>Pancake kg</v>
          </cell>
          <cell r="W450" t="str">
            <v>Ajuste</v>
          </cell>
          <cell r="X450">
            <v>18.02</v>
          </cell>
          <cell r="Y450">
            <v>18.02</v>
          </cell>
        </row>
        <row r="451">
          <cell r="U451" t="str">
            <v>L103408</v>
          </cell>
          <cell r="V451" t="str">
            <v>Pancake kg</v>
          </cell>
          <cell r="W451" t="str">
            <v>Ajuste</v>
          </cell>
          <cell r="X451">
            <v>2.5</v>
          </cell>
          <cell r="Y451">
            <v>2.5</v>
          </cell>
        </row>
        <row r="452">
          <cell r="U452" t="str">
            <v>L103751</v>
          </cell>
          <cell r="V452" t="str">
            <v>PASTV 2kg</v>
          </cell>
          <cell r="W452" t="str">
            <v>Ajuste</v>
          </cell>
          <cell r="X452">
            <v>5</v>
          </cell>
          <cell r="Y452">
            <v>10</v>
          </cell>
        </row>
        <row r="453">
          <cell r="U453" t="str">
            <v>L103622</v>
          </cell>
          <cell r="V453" t="str">
            <v>PFC 2KG - BOLSA</v>
          </cell>
          <cell r="W453" t="str">
            <v>Ajuste</v>
          </cell>
          <cell r="X453">
            <v>134</v>
          </cell>
          <cell r="Y453">
            <v>268</v>
          </cell>
        </row>
        <row r="454">
          <cell r="U454" t="str">
            <v>L103402</v>
          </cell>
          <cell r="V454" t="str">
            <v>PFC 2KG - BOLSA</v>
          </cell>
          <cell r="W454" t="str">
            <v>Ajuste</v>
          </cell>
          <cell r="X454">
            <v>8</v>
          </cell>
          <cell r="Y454">
            <v>16</v>
          </cell>
        </row>
        <row r="455">
          <cell r="U455" t="str">
            <v>L103335</v>
          </cell>
          <cell r="V455" t="str">
            <v>PFC 3KG - CAJA</v>
          </cell>
          <cell r="W455" t="str">
            <v>Ajuste</v>
          </cell>
          <cell r="X455">
            <v>6</v>
          </cell>
          <cell r="Y455">
            <v>18</v>
          </cell>
        </row>
        <row r="456">
          <cell r="U456" t="str">
            <v>L103623</v>
          </cell>
          <cell r="V456" t="str">
            <v>PFC 3KG - CAJA</v>
          </cell>
          <cell r="W456" t="str">
            <v>Ajuste</v>
          </cell>
          <cell r="X456">
            <v>12</v>
          </cell>
          <cell r="Y456">
            <v>36</v>
          </cell>
        </row>
        <row r="457">
          <cell r="U457" t="str">
            <v>L103487</v>
          </cell>
          <cell r="V457" t="str">
            <v>PH 1kg</v>
          </cell>
          <cell r="W457" t="str">
            <v>Ajuste</v>
          </cell>
          <cell r="X457">
            <v>19</v>
          </cell>
          <cell r="Y457">
            <v>19</v>
          </cell>
        </row>
        <row r="458">
          <cell r="U458" t="str">
            <v>L103717</v>
          </cell>
          <cell r="V458" t="str">
            <v>PH 1kg</v>
          </cell>
          <cell r="W458" t="str">
            <v>Ajuste</v>
          </cell>
          <cell r="X458">
            <v>5</v>
          </cell>
          <cell r="Y458">
            <v>5</v>
          </cell>
        </row>
        <row r="459">
          <cell r="U459" t="str">
            <v>L103737</v>
          </cell>
          <cell r="V459" t="str">
            <v>Pina en lata kg</v>
          </cell>
          <cell r="W459" t="str">
            <v>Ajuste</v>
          </cell>
          <cell r="X459">
            <v>1.01</v>
          </cell>
          <cell r="Y459">
            <v>1.01</v>
          </cell>
        </row>
        <row r="460">
          <cell r="U460" t="str">
            <v>L103694</v>
          </cell>
          <cell r="V460" t="str">
            <v>PLM 1kg-CAJA</v>
          </cell>
          <cell r="W460" t="str">
            <v>Ajuste</v>
          </cell>
          <cell r="X460">
            <v>1</v>
          </cell>
          <cell r="Y460">
            <v>1</v>
          </cell>
        </row>
        <row r="461">
          <cell r="U461" t="str">
            <v>L103713</v>
          </cell>
          <cell r="V461" t="str">
            <v>PNALT 3kg</v>
          </cell>
          <cell r="W461" t="str">
            <v>Ajuste</v>
          </cell>
          <cell r="X461">
            <v>1</v>
          </cell>
          <cell r="Y461">
            <v>3</v>
          </cell>
        </row>
        <row r="462">
          <cell r="U462" t="str">
            <v>L103750</v>
          </cell>
          <cell r="V462" t="str">
            <v>PRTZ UND</v>
          </cell>
          <cell r="W462" t="str">
            <v>Ajuste</v>
          </cell>
          <cell r="X462">
            <v>11</v>
          </cell>
          <cell r="Y462">
            <v>11</v>
          </cell>
        </row>
        <row r="463">
          <cell r="U463" t="str">
            <v>L102853</v>
          </cell>
          <cell r="V463" t="str">
            <v>PTD 1 kg</v>
          </cell>
          <cell r="W463" t="str">
            <v>Ajuste</v>
          </cell>
          <cell r="X463">
            <v>19</v>
          </cell>
          <cell r="Y463">
            <v>19</v>
          </cell>
        </row>
        <row r="464">
          <cell r="U464" t="str">
            <v>L102864</v>
          </cell>
          <cell r="V464" t="str">
            <v>PTD 1 kg</v>
          </cell>
          <cell r="W464" t="str">
            <v>Ajuste</v>
          </cell>
          <cell r="X464">
            <v>2</v>
          </cell>
          <cell r="Y464">
            <v>2</v>
          </cell>
        </row>
        <row r="465">
          <cell r="U465" t="str">
            <v>L102862</v>
          </cell>
          <cell r="V465" t="str">
            <v>PTD 1 kg</v>
          </cell>
          <cell r="W465" t="str">
            <v>Ajuste</v>
          </cell>
          <cell r="X465">
            <v>10</v>
          </cell>
          <cell r="Y465">
            <v>10</v>
          </cell>
        </row>
        <row r="466">
          <cell r="U466" t="str">
            <v>L102857</v>
          </cell>
          <cell r="V466" t="str">
            <v>PTD 1 kg</v>
          </cell>
          <cell r="W466" t="str">
            <v>Ajuste</v>
          </cell>
          <cell r="X466">
            <v>1</v>
          </cell>
          <cell r="Y466">
            <v>1</v>
          </cell>
        </row>
        <row r="467">
          <cell r="U467" t="str">
            <v>L102883</v>
          </cell>
          <cell r="V467" t="str">
            <v>PTD 2 kg</v>
          </cell>
          <cell r="W467" t="str">
            <v>Ajuste</v>
          </cell>
          <cell r="X467">
            <v>41</v>
          </cell>
          <cell r="Y467">
            <v>82</v>
          </cell>
        </row>
        <row r="468">
          <cell r="U468" t="str">
            <v>L103281</v>
          </cell>
          <cell r="V468" t="str">
            <v>PTM -3kg- Caja</v>
          </cell>
          <cell r="W468" t="str">
            <v>Ajuste</v>
          </cell>
          <cell r="X468">
            <v>1</v>
          </cell>
          <cell r="Y468">
            <v>3</v>
          </cell>
        </row>
        <row r="469">
          <cell r="U469" t="str">
            <v>L103718</v>
          </cell>
          <cell r="V469" t="str">
            <v>PTO 1kg</v>
          </cell>
          <cell r="W469" t="str">
            <v>Ajuste</v>
          </cell>
          <cell r="X469">
            <v>1</v>
          </cell>
          <cell r="Y469">
            <v>1</v>
          </cell>
        </row>
        <row r="470">
          <cell r="U470" t="str">
            <v>L103189</v>
          </cell>
          <cell r="V470" t="str">
            <v>PTV 2kg</v>
          </cell>
          <cell r="W470" t="str">
            <v>Ajuste</v>
          </cell>
          <cell r="X470">
            <v>7</v>
          </cell>
          <cell r="Y470">
            <v>14</v>
          </cell>
        </row>
        <row r="471">
          <cell r="U471" t="str">
            <v>L103362</v>
          </cell>
          <cell r="V471" t="str">
            <v>PTV 2kg</v>
          </cell>
          <cell r="W471" t="str">
            <v>Ajuste</v>
          </cell>
          <cell r="X471">
            <v>8</v>
          </cell>
          <cell r="Y471">
            <v>16</v>
          </cell>
        </row>
        <row r="472">
          <cell r="U472" t="str">
            <v>L103455</v>
          </cell>
          <cell r="V472" t="str">
            <v>PTV 2kg</v>
          </cell>
          <cell r="W472" t="str">
            <v>Ajuste</v>
          </cell>
          <cell r="X472">
            <v>1</v>
          </cell>
          <cell r="Y472">
            <v>2</v>
          </cell>
        </row>
        <row r="473">
          <cell r="U473" t="str">
            <v>L103527</v>
          </cell>
          <cell r="V473" t="str">
            <v>PTV 2kg</v>
          </cell>
          <cell r="W473" t="str">
            <v>Ajuste</v>
          </cell>
          <cell r="X473">
            <v>6</v>
          </cell>
          <cell r="Y473">
            <v>12</v>
          </cell>
        </row>
        <row r="474">
          <cell r="U474" t="str">
            <v>L103758</v>
          </cell>
          <cell r="V474" t="str">
            <v>PTV 5kg</v>
          </cell>
          <cell r="W474" t="str">
            <v>Ajuste</v>
          </cell>
          <cell r="X474">
            <v>304</v>
          </cell>
          <cell r="Y474">
            <v>1520</v>
          </cell>
        </row>
        <row r="475">
          <cell r="U475" t="str">
            <v>L103209</v>
          </cell>
          <cell r="V475" t="str">
            <v>QSV 1kg</v>
          </cell>
          <cell r="W475" t="str">
            <v>Ajuste</v>
          </cell>
          <cell r="X475">
            <v>321</v>
          </cell>
          <cell r="Y475">
            <v>321</v>
          </cell>
        </row>
        <row r="476">
          <cell r="U476" t="str">
            <v>L103738</v>
          </cell>
          <cell r="V476" t="str">
            <v>Remolacha kg</v>
          </cell>
          <cell r="W476" t="str">
            <v>Ajuste</v>
          </cell>
          <cell r="X476">
            <v>0.49</v>
          </cell>
          <cell r="Y476">
            <v>0.49</v>
          </cell>
        </row>
        <row r="477">
          <cell r="U477" t="str">
            <v>L103098</v>
          </cell>
          <cell r="V477" t="str">
            <v>SAL 1kg-PAQUETE</v>
          </cell>
          <cell r="W477" t="str">
            <v>Ajuste</v>
          </cell>
          <cell r="X477">
            <v>1</v>
          </cell>
          <cell r="Y477">
            <v>1</v>
          </cell>
        </row>
        <row r="478">
          <cell r="U478" t="str">
            <v>L103359</v>
          </cell>
          <cell r="V478" t="str">
            <v>SAL 1kg-PAQUETE</v>
          </cell>
          <cell r="W478" t="str">
            <v>Ajuste</v>
          </cell>
          <cell r="X478">
            <v>1</v>
          </cell>
          <cell r="Y478">
            <v>1</v>
          </cell>
        </row>
        <row r="479">
          <cell r="U479" t="str">
            <v>L103700</v>
          </cell>
          <cell r="V479" t="str">
            <v>SAL 1kg-PAQUETE</v>
          </cell>
          <cell r="W479" t="str">
            <v>Ajuste</v>
          </cell>
          <cell r="X479">
            <v>1</v>
          </cell>
          <cell r="Y479">
            <v>1</v>
          </cell>
        </row>
        <row r="480">
          <cell r="U480" t="str">
            <v>L103140</v>
          </cell>
          <cell r="V480" t="str">
            <v>SAL 2kg-PAQUETE</v>
          </cell>
          <cell r="W480" t="str">
            <v>Ajuste</v>
          </cell>
          <cell r="X480">
            <v>1</v>
          </cell>
          <cell r="Y480">
            <v>2</v>
          </cell>
        </row>
        <row r="481">
          <cell r="U481" t="str">
            <v>L103314</v>
          </cell>
          <cell r="V481" t="str">
            <v>SAL 2kg-PAQUETE</v>
          </cell>
          <cell r="W481" t="str">
            <v>Ajuste</v>
          </cell>
          <cell r="X481">
            <v>2</v>
          </cell>
          <cell r="Y481">
            <v>4</v>
          </cell>
        </row>
        <row r="482">
          <cell r="U482" t="str">
            <v>L103361</v>
          </cell>
          <cell r="V482" t="str">
            <v>SAL 2kg-PAQUETE</v>
          </cell>
          <cell r="W482" t="str">
            <v>Ajuste</v>
          </cell>
          <cell r="X482">
            <v>1</v>
          </cell>
          <cell r="Y482">
            <v>2</v>
          </cell>
        </row>
        <row r="483">
          <cell r="U483" t="str">
            <v>L103406</v>
          </cell>
          <cell r="V483" t="str">
            <v>SAL 2kg-PAQUETE</v>
          </cell>
          <cell r="W483" t="str">
            <v>Ajuste</v>
          </cell>
          <cell r="X483">
            <v>23</v>
          </cell>
          <cell r="Y483">
            <v>46</v>
          </cell>
        </row>
        <row r="484">
          <cell r="U484" t="str">
            <v>L103599</v>
          </cell>
          <cell r="V484" t="str">
            <v>SAL 2kg-PAQUETE</v>
          </cell>
          <cell r="W484" t="str">
            <v>Ajuste</v>
          </cell>
          <cell r="X484">
            <v>1</v>
          </cell>
          <cell r="Y484">
            <v>2</v>
          </cell>
        </row>
        <row r="485">
          <cell r="U485" t="str">
            <v>L103703</v>
          </cell>
          <cell r="V485" t="str">
            <v>SAV 2kg-CAJA</v>
          </cell>
          <cell r="W485" t="str">
            <v>Ajuste</v>
          </cell>
          <cell r="X485">
            <v>1</v>
          </cell>
          <cell r="Y485">
            <v>2</v>
          </cell>
        </row>
        <row r="486">
          <cell r="U486" t="str">
            <v>L103288</v>
          </cell>
          <cell r="V486" t="str">
            <v>SAV 3kg</v>
          </cell>
          <cell r="W486" t="str">
            <v>Ajuste</v>
          </cell>
          <cell r="X486">
            <v>10</v>
          </cell>
          <cell r="Y486">
            <v>30</v>
          </cell>
        </row>
        <row r="487">
          <cell r="U487" t="str">
            <v>L103282</v>
          </cell>
          <cell r="V487" t="str">
            <v>SBC 3kg</v>
          </cell>
          <cell r="W487" t="str">
            <v>Ajuste</v>
          </cell>
          <cell r="X487">
            <v>1</v>
          </cell>
          <cell r="Y487">
            <v>3</v>
          </cell>
        </row>
        <row r="488">
          <cell r="U488" t="str">
            <v>L103095</v>
          </cell>
          <cell r="V488" t="str">
            <v>SDR 2Kg-UNIDAD</v>
          </cell>
          <cell r="W488" t="str">
            <v>Ajuste</v>
          </cell>
          <cell r="X488">
            <v>12</v>
          </cell>
          <cell r="Y488">
            <v>24</v>
          </cell>
        </row>
        <row r="489">
          <cell r="U489" t="str">
            <v>L102882</v>
          </cell>
          <cell r="V489" t="str">
            <v>SDR 2Kg-UNIDAD</v>
          </cell>
          <cell r="W489" t="str">
            <v>Ajuste</v>
          </cell>
          <cell r="X489">
            <v>72</v>
          </cell>
          <cell r="Y489">
            <v>144</v>
          </cell>
        </row>
        <row r="490">
          <cell r="U490" t="str">
            <v>L103008</v>
          </cell>
          <cell r="V490" t="str">
            <v>SDR 2Kg-UNIDAD</v>
          </cell>
          <cell r="W490" t="str">
            <v>Ajuste</v>
          </cell>
          <cell r="X490">
            <v>131</v>
          </cell>
          <cell r="Y490">
            <v>262</v>
          </cell>
        </row>
        <row r="491">
          <cell r="U491" t="str">
            <v>L103726</v>
          </cell>
          <cell r="V491" t="str">
            <v>SDR 3kg-CAJA</v>
          </cell>
          <cell r="W491" t="str">
            <v>Ajuste</v>
          </cell>
          <cell r="X491">
            <v>3</v>
          </cell>
          <cell r="Y491">
            <v>9</v>
          </cell>
        </row>
        <row r="492">
          <cell r="U492" t="str">
            <v>L103278</v>
          </cell>
          <cell r="V492" t="str">
            <v>SDS 2kg</v>
          </cell>
          <cell r="W492" t="str">
            <v>Ajuste</v>
          </cell>
          <cell r="X492">
            <v>6</v>
          </cell>
          <cell r="Y492">
            <v>12</v>
          </cell>
        </row>
        <row r="493">
          <cell r="U493" t="str">
            <v>L103693</v>
          </cell>
          <cell r="V493" t="str">
            <v>SDS 2kg</v>
          </cell>
          <cell r="W493" t="str">
            <v>Ajuste</v>
          </cell>
          <cell r="X493">
            <v>4</v>
          </cell>
          <cell r="Y493">
            <v>8</v>
          </cell>
        </row>
        <row r="494">
          <cell r="U494" t="str">
            <v>L103690</v>
          </cell>
          <cell r="V494" t="str">
            <v>SNK 1.5kg-CAJA</v>
          </cell>
          <cell r="W494" t="str">
            <v>Ajuste</v>
          </cell>
          <cell r="X494">
            <v>1</v>
          </cell>
          <cell r="Y494">
            <v>1.5</v>
          </cell>
        </row>
        <row r="495">
          <cell r="U495" t="str">
            <v>L103627</v>
          </cell>
          <cell r="V495" t="str">
            <v>SNK 1Kg-CAJA</v>
          </cell>
          <cell r="W495" t="str">
            <v>Ajuste</v>
          </cell>
          <cell r="X495">
            <v>1</v>
          </cell>
          <cell r="Y495">
            <v>1</v>
          </cell>
        </row>
        <row r="496">
          <cell r="U496" t="str">
            <v>L103687</v>
          </cell>
          <cell r="V496" t="str">
            <v>SNK 1Kg-CAJA</v>
          </cell>
          <cell r="W496" t="str">
            <v>Ajuste</v>
          </cell>
          <cell r="X496">
            <v>2</v>
          </cell>
          <cell r="Y496">
            <v>2</v>
          </cell>
        </row>
        <row r="497">
          <cell r="U497" t="str">
            <v>L103696</v>
          </cell>
          <cell r="V497" t="str">
            <v>SNK 1Kg-CAJA</v>
          </cell>
          <cell r="W497" t="str">
            <v>Ajuste</v>
          </cell>
          <cell r="X497">
            <v>1</v>
          </cell>
          <cell r="Y497">
            <v>1</v>
          </cell>
        </row>
        <row r="498">
          <cell r="U498" t="str">
            <v>L103142</v>
          </cell>
          <cell r="V498" t="str">
            <v>SNK 2kg-CAJA</v>
          </cell>
          <cell r="W498" t="str">
            <v>Ajuste</v>
          </cell>
          <cell r="X498">
            <v>1</v>
          </cell>
          <cell r="Y498">
            <v>2</v>
          </cell>
        </row>
        <row r="499">
          <cell r="U499" t="str">
            <v>L103625</v>
          </cell>
          <cell r="V499" t="str">
            <v>SNK 2kg-CAJA</v>
          </cell>
          <cell r="W499" t="str">
            <v>Ajuste</v>
          </cell>
          <cell r="X499">
            <v>2</v>
          </cell>
          <cell r="Y499">
            <v>4</v>
          </cell>
        </row>
        <row r="500">
          <cell r="U500" t="str">
            <v>L103630</v>
          </cell>
          <cell r="V500" t="str">
            <v>SNK 3kg-CAJA</v>
          </cell>
          <cell r="W500" t="str">
            <v>Ajuste</v>
          </cell>
          <cell r="X500">
            <v>2</v>
          </cell>
          <cell r="Y500">
            <v>6</v>
          </cell>
        </row>
        <row r="501">
          <cell r="U501" t="str">
            <v>L103042</v>
          </cell>
          <cell r="V501" t="str">
            <v>srp 3kg - caja</v>
          </cell>
          <cell r="W501" t="str">
            <v>Ajuste</v>
          </cell>
          <cell r="X501">
            <v>3</v>
          </cell>
          <cell r="Y501">
            <v>9</v>
          </cell>
        </row>
        <row r="502">
          <cell r="U502" t="str">
            <v>L103290</v>
          </cell>
          <cell r="V502" t="str">
            <v>STM 3kg-CAJA</v>
          </cell>
          <cell r="W502" t="str">
            <v>Ajuste</v>
          </cell>
          <cell r="X502">
            <v>25</v>
          </cell>
          <cell r="Y502">
            <v>75</v>
          </cell>
        </row>
        <row r="503">
          <cell r="U503" t="str">
            <v>L103291</v>
          </cell>
          <cell r="V503" t="str">
            <v>SZD 5kg-Caja</v>
          </cell>
          <cell r="W503" t="str">
            <v>Ajuste</v>
          </cell>
          <cell r="X503">
            <v>12</v>
          </cell>
          <cell r="Y503">
            <v>60</v>
          </cell>
        </row>
        <row r="504">
          <cell r="U504" t="str">
            <v>L103755</v>
          </cell>
          <cell r="V504" t="str">
            <v>TCN 6KG-CAJA</v>
          </cell>
          <cell r="W504" t="str">
            <v>Ajuste</v>
          </cell>
          <cell r="X504">
            <v>50</v>
          </cell>
          <cell r="Y504">
            <v>300</v>
          </cell>
        </row>
        <row r="505">
          <cell r="U505" t="str">
            <v>L103695</v>
          </cell>
          <cell r="V505" t="str">
            <v>TE 1kg-CAJA</v>
          </cell>
          <cell r="W505" t="str">
            <v>Ajuste</v>
          </cell>
          <cell r="X505">
            <v>1</v>
          </cell>
          <cell r="Y505">
            <v>1</v>
          </cell>
        </row>
        <row r="506">
          <cell r="U506" t="str">
            <v>L103740</v>
          </cell>
          <cell r="V506" t="str">
            <v>Vegetales mixtos kg</v>
          </cell>
          <cell r="W506" t="str">
            <v>Ajuste</v>
          </cell>
          <cell r="X506">
            <v>2.37</v>
          </cell>
          <cell r="Y506">
            <v>2.37</v>
          </cell>
        </row>
        <row r="507">
          <cell r="U507" t="str">
            <v>L103435</v>
          </cell>
          <cell r="V507" t="str">
            <v>VM 3kg-CAJA</v>
          </cell>
          <cell r="W507" t="str">
            <v>Ajuste</v>
          </cell>
          <cell r="X507">
            <v>1</v>
          </cell>
          <cell r="Y507">
            <v>3</v>
          </cell>
        </row>
        <row r="508">
          <cell r="U508" t="str">
            <v>L103466</v>
          </cell>
          <cell r="V508" t="str">
            <v>VM 3kg-CAJA</v>
          </cell>
          <cell r="W508" t="str">
            <v>Ajuste</v>
          </cell>
          <cell r="X508">
            <v>3</v>
          </cell>
          <cell r="Y508">
            <v>9</v>
          </cell>
        </row>
        <row r="509">
          <cell r="U509" t="str">
            <v>L103519</v>
          </cell>
          <cell r="V509" t="str">
            <v>VM 3kg-CAJA</v>
          </cell>
          <cell r="W509" t="str">
            <v>Ajuste</v>
          </cell>
          <cell r="X509">
            <v>4</v>
          </cell>
          <cell r="Y509">
            <v>12</v>
          </cell>
        </row>
        <row r="510">
          <cell r="U510" t="str">
            <v>L103704</v>
          </cell>
          <cell r="V510" t="str">
            <v>VM 3kg-CAJA</v>
          </cell>
          <cell r="W510" t="str">
            <v>Ajuste</v>
          </cell>
          <cell r="X510">
            <v>1</v>
          </cell>
          <cell r="Y510">
            <v>3</v>
          </cell>
        </row>
        <row r="511">
          <cell r="U511" t="str">
            <v>L103716</v>
          </cell>
          <cell r="V511" t="str">
            <v>VM 5kg-CAJA</v>
          </cell>
          <cell r="W511" t="str">
            <v>Ajuste</v>
          </cell>
          <cell r="X511">
            <v>4</v>
          </cell>
          <cell r="Y511">
            <v>20</v>
          </cell>
        </row>
        <row r="512">
          <cell r="U512" t="str">
            <v>L103429</v>
          </cell>
          <cell r="V512" t="str">
            <v>VNG 3KG</v>
          </cell>
          <cell r="W512" t="str">
            <v>Ajuste</v>
          </cell>
          <cell r="X512">
            <v>2</v>
          </cell>
          <cell r="Y512">
            <v>6</v>
          </cell>
        </row>
        <row r="513">
          <cell r="U513" t="str">
            <v>L104251</v>
          </cell>
          <cell r="V513" t="str">
            <v>ACE 1500ml-Unidad</v>
          </cell>
          <cell r="W513" t="str">
            <v>Ajuste</v>
          </cell>
          <cell r="X513">
            <v>4</v>
          </cell>
          <cell r="Y513">
            <v>6</v>
          </cell>
        </row>
        <row r="514">
          <cell r="U514" t="str">
            <v>L104873</v>
          </cell>
          <cell r="V514" t="str">
            <v>ACE 1500ml-Unidad</v>
          </cell>
          <cell r="W514" t="str">
            <v>Ajuste</v>
          </cell>
          <cell r="X514">
            <v>24</v>
          </cell>
          <cell r="Y514">
            <v>36</v>
          </cell>
        </row>
        <row r="515">
          <cell r="U515" t="str">
            <v>L104873</v>
          </cell>
          <cell r="V515" t="str">
            <v>PV ACE 1500ml</v>
          </cell>
          <cell r="W515" t="str">
            <v>Ajuste</v>
          </cell>
          <cell r="X515">
            <v>2</v>
          </cell>
          <cell r="Y515">
            <v>3</v>
          </cell>
        </row>
        <row r="516">
          <cell r="U516" t="str">
            <v>L104872</v>
          </cell>
          <cell r="V516" t="str">
            <v>ACE 1x450ml</v>
          </cell>
          <cell r="W516" t="str">
            <v>Ajuste</v>
          </cell>
          <cell r="X516">
            <v>814</v>
          </cell>
          <cell r="Y516">
            <v>366.2999999999995</v>
          </cell>
        </row>
        <row r="517">
          <cell r="U517" t="str">
            <v>L104872</v>
          </cell>
          <cell r="V517" t="str">
            <v>PV ACE 1x450ml</v>
          </cell>
          <cell r="W517" t="str">
            <v>Ajuste</v>
          </cell>
          <cell r="X517">
            <v>224</v>
          </cell>
          <cell r="Y517">
            <v>100.80000000000001</v>
          </cell>
        </row>
        <row r="518">
          <cell r="U518" t="str">
            <v>L104874</v>
          </cell>
          <cell r="V518" t="str">
            <v>ACE 1x950ml</v>
          </cell>
          <cell r="W518" t="str">
            <v>Ajuste</v>
          </cell>
          <cell r="X518">
            <v>168</v>
          </cell>
          <cell r="Y518">
            <v>159.59999999999971</v>
          </cell>
        </row>
        <row r="519">
          <cell r="U519" t="str">
            <v>L104874</v>
          </cell>
          <cell r="V519" t="str">
            <v>PV ACE 1x950ml</v>
          </cell>
          <cell r="W519" t="str">
            <v>Ajuste</v>
          </cell>
          <cell r="X519">
            <v>28</v>
          </cell>
          <cell r="Y519">
            <v>26.599999999999991</v>
          </cell>
        </row>
        <row r="520">
          <cell r="U520" t="str">
            <v>L104916</v>
          </cell>
          <cell r="V520" t="str">
            <v>ACT 3kg</v>
          </cell>
          <cell r="W520" t="str">
            <v>Ajuste</v>
          </cell>
          <cell r="X520">
            <v>9</v>
          </cell>
          <cell r="Y520">
            <v>27</v>
          </cell>
        </row>
        <row r="521">
          <cell r="U521" t="str">
            <v>L103781</v>
          </cell>
          <cell r="V521" t="str">
            <v>ACT 5kg</v>
          </cell>
          <cell r="W521" t="str">
            <v>Ajuste</v>
          </cell>
          <cell r="X521">
            <v>2</v>
          </cell>
          <cell r="Y521">
            <v>10</v>
          </cell>
        </row>
        <row r="522">
          <cell r="U522" t="str">
            <v>L104068</v>
          </cell>
          <cell r="V522" t="str">
            <v>ADP 2Kg</v>
          </cell>
          <cell r="W522" t="str">
            <v>Ajuste</v>
          </cell>
          <cell r="X522">
            <v>5</v>
          </cell>
          <cell r="Y522">
            <v>10</v>
          </cell>
        </row>
        <row r="523">
          <cell r="U523" t="str">
            <v>L104666</v>
          </cell>
          <cell r="V523" t="str">
            <v>ADP 3kg</v>
          </cell>
          <cell r="W523" t="str">
            <v>Ajuste</v>
          </cell>
          <cell r="X523">
            <v>4</v>
          </cell>
          <cell r="Y523">
            <v>12</v>
          </cell>
        </row>
        <row r="524">
          <cell r="U524" t="str">
            <v>L103965</v>
          </cell>
          <cell r="V524" t="str">
            <v>AGU 12X355ml - CAJA</v>
          </cell>
          <cell r="W524" t="str">
            <v>Ajuste</v>
          </cell>
          <cell r="X524">
            <v>60</v>
          </cell>
          <cell r="Y524">
            <v>255.59999999999997</v>
          </cell>
        </row>
        <row r="525">
          <cell r="U525" t="str">
            <v>L103963</v>
          </cell>
          <cell r="V525" t="str">
            <v>AGU 15x1L-CAJA</v>
          </cell>
          <cell r="W525" t="str">
            <v>Ajuste</v>
          </cell>
          <cell r="X525">
            <v>128</v>
          </cell>
          <cell r="Y525">
            <v>1920</v>
          </cell>
        </row>
        <row r="526">
          <cell r="U526" t="str">
            <v>L103962</v>
          </cell>
          <cell r="V526" t="str">
            <v>AGU 20X600ml-CAJA</v>
          </cell>
          <cell r="W526" t="str">
            <v>Ajuste</v>
          </cell>
          <cell r="X526">
            <v>196</v>
          </cell>
          <cell r="Y526">
            <v>2352</v>
          </cell>
        </row>
        <row r="527">
          <cell r="U527" t="str">
            <v>L103960</v>
          </cell>
          <cell r="V527" t="str">
            <v>AGU 4x1gal-CAJA</v>
          </cell>
          <cell r="W527" t="str">
            <v>Ajuste</v>
          </cell>
          <cell r="X527">
            <v>240</v>
          </cell>
          <cell r="Y527">
            <v>3633.5999999999995</v>
          </cell>
        </row>
        <row r="528">
          <cell r="U528" t="str">
            <v>L103961</v>
          </cell>
          <cell r="V528" t="str">
            <v>AGU 4X5L-CAJA</v>
          </cell>
          <cell r="W528" t="str">
            <v>Ajuste</v>
          </cell>
          <cell r="X528">
            <v>102</v>
          </cell>
          <cell r="Y528">
            <v>2040</v>
          </cell>
        </row>
        <row r="529">
          <cell r="U529" t="str">
            <v>L103964</v>
          </cell>
          <cell r="V529" t="str">
            <v>AGU 6X2L-CAJA</v>
          </cell>
          <cell r="W529" t="str">
            <v>Ajuste</v>
          </cell>
          <cell r="X529">
            <v>20</v>
          </cell>
          <cell r="Y529">
            <v>240</v>
          </cell>
        </row>
        <row r="530">
          <cell r="U530" t="str">
            <v>L104427</v>
          </cell>
          <cell r="V530" t="str">
            <v>AMIS 2kg</v>
          </cell>
          <cell r="W530" t="str">
            <v>Ajuste</v>
          </cell>
          <cell r="X530">
            <v>10</v>
          </cell>
          <cell r="Y530">
            <v>20</v>
          </cell>
        </row>
        <row r="531">
          <cell r="U531" t="str">
            <v>L104656</v>
          </cell>
          <cell r="V531" t="str">
            <v>APG 2.5kg</v>
          </cell>
          <cell r="W531" t="str">
            <v>Ajuste</v>
          </cell>
          <cell r="X531">
            <v>11</v>
          </cell>
          <cell r="Y531">
            <v>27.5</v>
          </cell>
        </row>
        <row r="532">
          <cell r="U532" t="str">
            <v>L104439</v>
          </cell>
          <cell r="V532" t="str">
            <v>APP 2Kg</v>
          </cell>
          <cell r="W532" t="str">
            <v>Ajuste</v>
          </cell>
          <cell r="X532">
            <v>14</v>
          </cell>
          <cell r="Y532">
            <v>28</v>
          </cell>
        </row>
        <row r="533">
          <cell r="U533" t="str">
            <v>L104917</v>
          </cell>
          <cell r="V533" t="str">
            <v>APV 3Kg</v>
          </cell>
          <cell r="W533" t="str">
            <v>Ajuste</v>
          </cell>
          <cell r="X533">
            <v>10</v>
          </cell>
          <cell r="Y533">
            <v>30</v>
          </cell>
        </row>
        <row r="534">
          <cell r="U534" t="str">
            <v>L104917</v>
          </cell>
          <cell r="V534" t="str">
            <v>PV SNK 5kg-CAJA</v>
          </cell>
          <cell r="W534" t="str">
            <v>Ajuste</v>
          </cell>
          <cell r="X534">
            <v>40</v>
          </cell>
          <cell r="Y534">
            <v>200</v>
          </cell>
        </row>
        <row r="535">
          <cell r="U535" t="str">
            <v>L104629</v>
          </cell>
          <cell r="V535" t="str">
            <v>ARPG 9Kg</v>
          </cell>
          <cell r="W535" t="str">
            <v>Ajuste</v>
          </cell>
          <cell r="X535">
            <v>57</v>
          </cell>
          <cell r="Y535">
            <v>513</v>
          </cell>
        </row>
        <row r="536">
          <cell r="U536" t="str">
            <v>L103823</v>
          </cell>
          <cell r="V536" t="str">
            <v>Arroz kg</v>
          </cell>
          <cell r="W536" t="str">
            <v>Ajuste</v>
          </cell>
          <cell r="X536">
            <v>30</v>
          </cell>
          <cell r="Y536">
            <v>30</v>
          </cell>
        </row>
        <row r="537">
          <cell r="U537" t="str">
            <v>L104580</v>
          </cell>
          <cell r="V537" t="str">
            <v>Arroz kg</v>
          </cell>
          <cell r="W537" t="str">
            <v>Ajuste</v>
          </cell>
          <cell r="X537">
            <v>46</v>
          </cell>
          <cell r="Y537">
            <v>46</v>
          </cell>
        </row>
        <row r="538">
          <cell r="U538" t="str">
            <v>L104926</v>
          </cell>
          <cell r="V538" t="str">
            <v>ARTVARHOG kg</v>
          </cell>
          <cell r="W538" t="str">
            <v>Ajuste</v>
          </cell>
          <cell r="X538">
            <v>4</v>
          </cell>
          <cell r="Y538">
            <v>4</v>
          </cell>
        </row>
        <row r="539">
          <cell r="U539" t="str">
            <v>L103869</v>
          </cell>
          <cell r="V539" t="str">
            <v>ARZ 2 kg-Unidad</v>
          </cell>
          <cell r="W539" t="str">
            <v>Ajuste</v>
          </cell>
          <cell r="X539">
            <v>12</v>
          </cell>
          <cell r="Y539">
            <v>24</v>
          </cell>
        </row>
        <row r="540">
          <cell r="U540" t="str">
            <v>L104046</v>
          </cell>
          <cell r="V540" t="str">
            <v>ARZ 2 kg-Unidad</v>
          </cell>
          <cell r="W540" t="str">
            <v>Ajuste</v>
          </cell>
          <cell r="X540">
            <v>156</v>
          </cell>
          <cell r="Y540">
            <v>312</v>
          </cell>
        </row>
        <row r="541">
          <cell r="U541" t="str">
            <v>L104250</v>
          </cell>
          <cell r="V541" t="str">
            <v>ARZ 4.2 kg-Unidad</v>
          </cell>
          <cell r="W541" t="str">
            <v>Ajuste</v>
          </cell>
          <cell r="X541">
            <v>11</v>
          </cell>
          <cell r="Y541">
            <v>46.2</v>
          </cell>
        </row>
        <row r="542">
          <cell r="U542" t="str">
            <v>L104566</v>
          </cell>
          <cell r="V542" t="str">
            <v>ARZ 5Kg</v>
          </cell>
          <cell r="W542" t="str">
            <v>Ajuste</v>
          </cell>
          <cell r="X542">
            <v>4</v>
          </cell>
          <cell r="Y542">
            <v>20</v>
          </cell>
        </row>
        <row r="543">
          <cell r="U543" t="str">
            <v>L104566</v>
          </cell>
          <cell r="V543" t="str">
            <v>ARZ AY 5Kg</v>
          </cell>
          <cell r="W543" t="str">
            <v>Ajuste</v>
          </cell>
          <cell r="X543">
            <v>2</v>
          </cell>
          <cell r="Y543">
            <v>10</v>
          </cell>
        </row>
        <row r="544">
          <cell r="U544" t="str">
            <v>L104566</v>
          </cell>
          <cell r="V544" t="str">
            <v>ARZ AY 5Kg</v>
          </cell>
          <cell r="W544" t="str">
            <v>Mal Ingreso</v>
          </cell>
          <cell r="X544">
            <v>2</v>
          </cell>
          <cell r="Y544">
            <v>10</v>
          </cell>
        </row>
        <row r="545">
          <cell r="U545" t="str">
            <v>L104566</v>
          </cell>
          <cell r="V545" t="str">
            <v>PV ARZ 5Kg</v>
          </cell>
          <cell r="W545" t="str">
            <v>Ajuste</v>
          </cell>
          <cell r="X545">
            <v>114</v>
          </cell>
          <cell r="Y545">
            <v>570</v>
          </cell>
        </row>
        <row r="546">
          <cell r="U546" t="str">
            <v>l104760</v>
          </cell>
          <cell r="V546" t="str">
            <v>ARZ 5Kg</v>
          </cell>
          <cell r="W546" t="str">
            <v>Ajuste</v>
          </cell>
          <cell r="X546">
            <v>170</v>
          </cell>
          <cell r="Y546">
            <v>850</v>
          </cell>
        </row>
        <row r="547">
          <cell r="U547" t="str">
            <v>l104760</v>
          </cell>
          <cell r="V547" t="str">
            <v>PV ARZ 5Kg</v>
          </cell>
          <cell r="W547" t="str">
            <v>Ajuste</v>
          </cell>
          <cell r="X547">
            <v>24</v>
          </cell>
          <cell r="Y547">
            <v>120</v>
          </cell>
        </row>
        <row r="548">
          <cell r="U548" t="str">
            <v>L103783</v>
          </cell>
          <cell r="V548" t="str">
            <v>ARZ 5Kg</v>
          </cell>
          <cell r="W548" t="str">
            <v>Ajuste</v>
          </cell>
          <cell r="X548">
            <v>282</v>
          </cell>
          <cell r="Y548">
            <v>1410</v>
          </cell>
        </row>
        <row r="549">
          <cell r="U549" t="str">
            <v>L104213</v>
          </cell>
          <cell r="V549" t="str">
            <v>ARZ 5Kg</v>
          </cell>
          <cell r="W549" t="str">
            <v>Ajuste</v>
          </cell>
          <cell r="X549">
            <v>314</v>
          </cell>
          <cell r="Y549">
            <v>1570</v>
          </cell>
        </row>
        <row r="550">
          <cell r="U550" t="str">
            <v>L104465</v>
          </cell>
          <cell r="V550" t="str">
            <v>ARZ 5Kg</v>
          </cell>
          <cell r="W550" t="str">
            <v>Ajuste</v>
          </cell>
          <cell r="X550">
            <v>208</v>
          </cell>
          <cell r="Y550">
            <v>1040</v>
          </cell>
        </row>
        <row r="551">
          <cell r="U551" t="str">
            <v>L104266</v>
          </cell>
          <cell r="V551" t="str">
            <v>ARZEPF 5kg (CAJA)</v>
          </cell>
          <cell r="W551" t="str">
            <v>Ajuste</v>
          </cell>
          <cell r="X551">
            <v>1332</v>
          </cell>
          <cell r="Y551">
            <v>6660</v>
          </cell>
        </row>
        <row r="552">
          <cell r="U552" t="str">
            <v>L104064</v>
          </cell>
          <cell r="V552" t="str">
            <v>ARZEPF14kg (CAJA)</v>
          </cell>
          <cell r="W552" t="str">
            <v>Ajuste</v>
          </cell>
          <cell r="X552">
            <v>216</v>
          </cell>
          <cell r="Y552">
            <v>3024</v>
          </cell>
        </row>
        <row r="553">
          <cell r="U553" t="str">
            <v>L104064</v>
          </cell>
          <cell r="V553" t="str">
            <v>DIV ARZEPF14kg</v>
          </cell>
          <cell r="W553" t="str">
            <v>Ajuste</v>
          </cell>
          <cell r="X553">
            <v>72</v>
          </cell>
          <cell r="Y553">
            <v>1008</v>
          </cell>
        </row>
        <row r="554">
          <cell r="U554" t="str">
            <v>L104652</v>
          </cell>
          <cell r="V554" t="str">
            <v>ATN 1kg-CAJA</v>
          </cell>
          <cell r="W554" t="str">
            <v>Ajuste</v>
          </cell>
          <cell r="X554">
            <v>24</v>
          </cell>
          <cell r="Y554">
            <v>24</v>
          </cell>
        </row>
        <row r="555">
          <cell r="U555" t="str">
            <v>L104584</v>
          </cell>
          <cell r="V555" t="str">
            <v>ATN 5kg-CAJA</v>
          </cell>
          <cell r="W555" t="str">
            <v>Ajuste</v>
          </cell>
          <cell r="X555">
            <v>2</v>
          </cell>
          <cell r="Y555">
            <v>10</v>
          </cell>
        </row>
        <row r="556">
          <cell r="U556" t="str">
            <v>L104693</v>
          </cell>
          <cell r="V556" t="str">
            <v>ATN 5kg-CAJA</v>
          </cell>
          <cell r="W556" t="str">
            <v>Ajuste</v>
          </cell>
          <cell r="X556">
            <v>4</v>
          </cell>
          <cell r="Y556">
            <v>20</v>
          </cell>
        </row>
        <row r="557">
          <cell r="U557" t="str">
            <v>L103787</v>
          </cell>
          <cell r="V557" t="str">
            <v>AZC 1kg-PAQUETE</v>
          </cell>
          <cell r="W557" t="str">
            <v>Ajuste</v>
          </cell>
          <cell r="X557">
            <v>156</v>
          </cell>
          <cell r="Y557">
            <v>156</v>
          </cell>
        </row>
        <row r="558">
          <cell r="U558" t="str">
            <v>L104047</v>
          </cell>
          <cell r="V558" t="str">
            <v>AZC 2kg-PAQUETE</v>
          </cell>
          <cell r="W558" t="str">
            <v>Ajuste</v>
          </cell>
          <cell r="X558">
            <v>115</v>
          </cell>
          <cell r="Y558">
            <v>230</v>
          </cell>
        </row>
        <row r="559">
          <cell r="U559" t="str">
            <v>L104480</v>
          </cell>
          <cell r="V559" t="str">
            <v>AZC 2kg-PAQUETE</v>
          </cell>
          <cell r="W559" t="str">
            <v>Ajuste</v>
          </cell>
          <cell r="X559">
            <v>189</v>
          </cell>
          <cell r="Y559">
            <v>378</v>
          </cell>
        </row>
        <row r="560">
          <cell r="U560" t="str">
            <v>L104643</v>
          </cell>
          <cell r="V560" t="str">
            <v>AZC 2kg-PAQUETE</v>
          </cell>
          <cell r="W560" t="str">
            <v>Ajuste</v>
          </cell>
          <cell r="X560">
            <v>60</v>
          </cell>
          <cell r="Y560">
            <v>120</v>
          </cell>
        </row>
        <row r="561">
          <cell r="U561" t="str">
            <v>L104764</v>
          </cell>
          <cell r="V561" t="str">
            <v>AZC 2kg-PAQUETE</v>
          </cell>
          <cell r="W561" t="str">
            <v>Ajuste</v>
          </cell>
          <cell r="X561">
            <v>104</v>
          </cell>
          <cell r="Y561">
            <v>208</v>
          </cell>
        </row>
        <row r="562">
          <cell r="U562" t="str">
            <v>L104892</v>
          </cell>
          <cell r="V562" t="str">
            <v>AZC 2kg-PAQUETE</v>
          </cell>
          <cell r="W562" t="str">
            <v>Ajuste</v>
          </cell>
          <cell r="X562">
            <v>177</v>
          </cell>
          <cell r="Y562">
            <v>354</v>
          </cell>
        </row>
        <row r="563">
          <cell r="U563" t="str">
            <v>L104242</v>
          </cell>
          <cell r="V563" t="str">
            <v>BASP 2kg</v>
          </cell>
          <cell r="W563" t="str">
            <v>Ajuste</v>
          </cell>
          <cell r="X563">
            <v>56</v>
          </cell>
          <cell r="Y563">
            <v>140</v>
          </cell>
        </row>
        <row r="564">
          <cell r="U564" t="str">
            <v>L104255</v>
          </cell>
          <cell r="V564" t="str">
            <v>BASP 5kg</v>
          </cell>
          <cell r="W564" t="str">
            <v>Ajuste</v>
          </cell>
          <cell r="X564">
            <v>14</v>
          </cell>
          <cell r="Y564">
            <v>70</v>
          </cell>
        </row>
        <row r="565">
          <cell r="U565" t="str">
            <v>L103194</v>
          </cell>
          <cell r="V565" t="str">
            <v>BASP 5kg</v>
          </cell>
          <cell r="W565" t="str">
            <v>Ajuste</v>
          </cell>
          <cell r="X565">
            <v>1</v>
          </cell>
          <cell r="Y565">
            <v>5</v>
          </cell>
        </row>
        <row r="566">
          <cell r="U566" t="str">
            <v>L103922</v>
          </cell>
          <cell r="V566" t="str">
            <v>BASPAY 5kg</v>
          </cell>
          <cell r="W566" t="str">
            <v>Ajuste</v>
          </cell>
          <cell r="X566">
            <v>132</v>
          </cell>
          <cell r="Y566">
            <v>660</v>
          </cell>
        </row>
        <row r="567">
          <cell r="U567" t="str">
            <v>L104622</v>
          </cell>
          <cell r="V567" t="str">
            <v>BEN 24x473mL-CAJA</v>
          </cell>
          <cell r="W567" t="str">
            <v>Ajuste</v>
          </cell>
          <cell r="X567">
            <v>134</v>
          </cell>
          <cell r="Y567">
            <v>1520.9000000000003</v>
          </cell>
        </row>
        <row r="568">
          <cell r="U568" t="str">
            <v>L104624</v>
          </cell>
          <cell r="V568" t="str">
            <v>BEN 2kg</v>
          </cell>
          <cell r="W568" t="str">
            <v>Ajuste</v>
          </cell>
          <cell r="X568">
            <v>270</v>
          </cell>
          <cell r="Y568">
            <v>540</v>
          </cell>
        </row>
        <row r="569">
          <cell r="U569" t="str">
            <v>L103848</v>
          </cell>
          <cell r="V569" t="str">
            <v>BPB 1Kg-UNIDAD</v>
          </cell>
          <cell r="W569" t="str">
            <v>Ajuste</v>
          </cell>
          <cell r="X569">
            <v>2</v>
          </cell>
          <cell r="Y569">
            <v>2</v>
          </cell>
        </row>
        <row r="570">
          <cell r="U570" t="str">
            <v>L104157</v>
          </cell>
          <cell r="V570" t="str">
            <v>BPB 1Kg-UNIDAD</v>
          </cell>
          <cell r="W570" t="str">
            <v>Ajuste</v>
          </cell>
          <cell r="X570">
            <v>34</v>
          </cell>
          <cell r="Y570">
            <v>34</v>
          </cell>
        </row>
        <row r="571">
          <cell r="U571" t="str">
            <v>L104502</v>
          </cell>
          <cell r="V571" t="str">
            <v>BPB 1Kg-UNIDAD</v>
          </cell>
          <cell r="W571" t="str">
            <v>Ajuste</v>
          </cell>
          <cell r="X571">
            <v>4</v>
          </cell>
          <cell r="Y571">
            <v>4</v>
          </cell>
        </row>
        <row r="572">
          <cell r="U572" t="str">
            <v>L104605</v>
          </cell>
          <cell r="V572" t="str">
            <v>BPB 1Kg-UNIDAD</v>
          </cell>
          <cell r="W572" t="str">
            <v>Ajuste</v>
          </cell>
          <cell r="X572">
            <v>28</v>
          </cell>
          <cell r="Y572">
            <v>28</v>
          </cell>
        </row>
        <row r="573">
          <cell r="U573" t="str">
            <v>L104651</v>
          </cell>
          <cell r="V573" t="str">
            <v>BPB 1Kg-UNIDAD</v>
          </cell>
          <cell r="W573" t="str">
            <v>Ajuste</v>
          </cell>
          <cell r="X573">
            <v>24</v>
          </cell>
          <cell r="Y573">
            <v>24</v>
          </cell>
        </row>
        <row r="574">
          <cell r="U574" t="str">
            <v>L104763</v>
          </cell>
          <cell r="V574" t="str">
            <v>BPB 1Kg-UNIDAD</v>
          </cell>
          <cell r="W574" t="str">
            <v>Ajuste</v>
          </cell>
          <cell r="X574">
            <v>14</v>
          </cell>
          <cell r="Y574">
            <v>14</v>
          </cell>
        </row>
        <row r="575">
          <cell r="U575" t="str">
            <v>L104503</v>
          </cell>
          <cell r="V575" t="str">
            <v>BPB 3Kg-UNIDAD</v>
          </cell>
          <cell r="W575" t="str">
            <v>Ajuste</v>
          </cell>
          <cell r="X575">
            <v>6</v>
          </cell>
          <cell r="Y575">
            <v>18</v>
          </cell>
        </row>
        <row r="576">
          <cell r="U576" t="str">
            <v>L103801</v>
          </cell>
          <cell r="V576" t="str">
            <v>BPV 5kg</v>
          </cell>
          <cell r="W576" t="str">
            <v>Ajuste</v>
          </cell>
          <cell r="X576">
            <v>26</v>
          </cell>
          <cell r="Y576">
            <v>130</v>
          </cell>
        </row>
        <row r="577">
          <cell r="U577" t="str">
            <v>L103867</v>
          </cell>
          <cell r="V577" t="str">
            <v>BPV 5kg</v>
          </cell>
          <cell r="W577" t="str">
            <v>Ajuste</v>
          </cell>
          <cell r="X577">
            <v>48</v>
          </cell>
          <cell r="Y577">
            <v>240</v>
          </cell>
        </row>
        <row r="578">
          <cell r="U578" t="str">
            <v>L104049</v>
          </cell>
          <cell r="V578" t="str">
            <v>BPV 5kg</v>
          </cell>
          <cell r="W578" t="str">
            <v>Ajuste</v>
          </cell>
          <cell r="X578">
            <v>6</v>
          </cell>
          <cell r="Y578">
            <v>30</v>
          </cell>
        </row>
        <row r="579">
          <cell r="U579" t="str">
            <v>L104050</v>
          </cell>
          <cell r="V579" t="str">
            <v>BPV 5kg</v>
          </cell>
          <cell r="W579" t="str">
            <v>Ajuste</v>
          </cell>
          <cell r="X579">
            <v>4</v>
          </cell>
          <cell r="Y579">
            <v>20</v>
          </cell>
        </row>
        <row r="580">
          <cell r="U580" t="str">
            <v>L104051</v>
          </cell>
          <cell r="V580" t="str">
            <v>BPV 5kg</v>
          </cell>
          <cell r="W580" t="str">
            <v>Ajuste</v>
          </cell>
          <cell r="X580">
            <v>4</v>
          </cell>
          <cell r="Y580">
            <v>20</v>
          </cell>
        </row>
        <row r="581">
          <cell r="U581" t="str">
            <v>L104052</v>
          </cell>
          <cell r="V581" t="str">
            <v>BPV 5kg</v>
          </cell>
          <cell r="W581" t="str">
            <v>Ajuste</v>
          </cell>
          <cell r="X581">
            <v>4</v>
          </cell>
          <cell r="Y581">
            <v>20</v>
          </cell>
        </row>
        <row r="582">
          <cell r="U582" t="str">
            <v>L104053</v>
          </cell>
          <cell r="V582" t="str">
            <v>BPV 5kg</v>
          </cell>
          <cell r="W582" t="str">
            <v>Ajuste</v>
          </cell>
          <cell r="X582">
            <v>2</v>
          </cell>
          <cell r="Y582">
            <v>10</v>
          </cell>
        </row>
        <row r="583">
          <cell r="U583" t="str">
            <v>L104054</v>
          </cell>
          <cell r="V583" t="str">
            <v>BPV 5kg</v>
          </cell>
          <cell r="W583" t="str">
            <v>Ajuste</v>
          </cell>
          <cell r="X583">
            <v>2</v>
          </cell>
          <cell r="Y583">
            <v>10</v>
          </cell>
        </row>
        <row r="584">
          <cell r="U584" t="str">
            <v>L104091</v>
          </cell>
          <cell r="V584" t="str">
            <v>BPV 5kg</v>
          </cell>
          <cell r="W584" t="str">
            <v>Ajuste</v>
          </cell>
          <cell r="X584">
            <v>18</v>
          </cell>
          <cell r="Y584">
            <v>90</v>
          </cell>
        </row>
        <row r="585">
          <cell r="U585" t="str">
            <v>L104252</v>
          </cell>
          <cell r="V585" t="str">
            <v>BPV 5kg</v>
          </cell>
          <cell r="W585" t="str">
            <v>Ajuste</v>
          </cell>
          <cell r="X585">
            <v>6</v>
          </cell>
          <cell r="Y585">
            <v>30</v>
          </cell>
        </row>
        <row r="586">
          <cell r="U586" t="str">
            <v>L104406</v>
          </cell>
          <cell r="V586" t="str">
            <v>BPV 5kg</v>
          </cell>
          <cell r="W586" t="str">
            <v>Ajuste</v>
          </cell>
          <cell r="X586">
            <v>8</v>
          </cell>
          <cell r="Y586">
            <v>40</v>
          </cell>
        </row>
        <row r="587">
          <cell r="U587" t="str">
            <v>L104608</v>
          </cell>
          <cell r="V587" t="str">
            <v>BPV 5kg</v>
          </cell>
          <cell r="W587" t="str">
            <v>Ajuste</v>
          </cell>
          <cell r="X587">
            <v>10</v>
          </cell>
          <cell r="Y587">
            <v>50</v>
          </cell>
        </row>
        <row r="588">
          <cell r="U588" t="str">
            <v>L104645</v>
          </cell>
          <cell r="V588" t="str">
            <v>BPV 5kg</v>
          </cell>
          <cell r="W588" t="str">
            <v>Ajuste</v>
          </cell>
          <cell r="X588">
            <v>2</v>
          </cell>
          <cell r="Y588">
            <v>10</v>
          </cell>
        </row>
        <row r="589">
          <cell r="U589" t="str">
            <v>L104646</v>
          </cell>
          <cell r="V589" t="str">
            <v>BPV 5kg</v>
          </cell>
          <cell r="W589" t="str">
            <v>Ajuste</v>
          </cell>
          <cell r="X589">
            <v>2</v>
          </cell>
          <cell r="Y589">
            <v>10</v>
          </cell>
        </row>
        <row r="590">
          <cell r="U590" t="str">
            <v>L104694</v>
          </cell>
          <cell r="V590" t="str">
            <v>BPV 5kg</v>
          </cell>
          <cell r="W590" t="str">
            <v>Ajuste</v>
          </cell>
          <cell r="X590">
            <v>2</v>
          </cell>
          <cell r="Y590">
            <v>10</v>
          </cell>
        </row>
        <row r="591">
          <cell r="U591" t="str">
            <v>L104735</v>
          </cell>
          <cell r="V591" t="str">
            <v>BPV 5kg</v>
          </cell>
          <cell r="W591" t="str">
            <v>Ajuste</v>
          </cell>
          <cell r="X591">
            <v>14</v>
          </cell>
          <cell r="Y591">
            <v>70</v>
          </cell>
        </row>
        <row r="592">
          <cell r="U592" t="str">
            <v>L104823</v>
          </cell>
          <cell r="V592" t="str">
            <v>BPV 5kg</v>
          </cell>
          <cell r="W592" t="str">
            <v>Ajuste</v>
          </cell>
          <cell r="X592">
            <v>16</v>
          </cell>
          <cell r="Y592">
            <v>80</v>
          </cell>
        </row>
        <row r="593">
          <cell r="U593" t="str">
            <v>L103917</v>
          </cell>
          <cell r="V593" t="str">
            <v>BPVAY 10kg</v>
          </cell>
          <cell r="W593" t="str">
            <v>Ajuste</v>
          </cell>
          <cell r="X593">
            <v>132</v>
          </cell>
          <cell r="Y593">
            <v>1320</v>
          </cell>
        </row>
        <row r="594">
          <cell r="U594" t="str">
            <v>L104481</v>
          </cell>
          <cell r="V594" t="str">
            <v>BRDP 2Kg</v>
          </cell>
          <cell r="W594" t="str">
            <v>Ajuste</v>
          </cell>
          <cell r="X594">
            <v>28</v>
          </cell>
          <cell r="Y594">
            <v>56</v>
          </cell>
        </row>
        <row r="595">
          <cell r="U595" t="str">
            <v>L104337</v>
          </cell>
          <cell r="V595" t="str">
            <v>CEDV 5kg</v>
          </cell>
          <cell r="W595" t="str">
            <v>Ajuste</v>
          </cell>
          <cell r="X595">
            <v>6</v>
          </cell>
          <cell r="Y595">
            <v>30</v>
          </cell>
        </row>
        <row r="596">
          <cell r="U596" t="str">
            <v>L103828</v>
          </cell>
          <cell r="V596" t="str">
            <v>CEDV 5kg</v>
          </cell>
          <cell r="W596" t="str">
            <v>Ajuste</v>
          </cell>
          <cell r="X596">
            <v>2</v>
          </cell>
          <cell r="Y596">
            <v>10</v>
          </cell>
        </row>
        <row r="597">
          <cell r="U597" t="str">
            <v>L104212</v>
          </cell>
          <cell r="V597" t="str">
            <v>CEDV 5kg</v>
          </cell>
          <cell r="W597" t="str">
            <v>Ajuste</v>
          </cell>
          <cell r="X597">
            <v>14</v>
          </cell>
          <cell r="Y597">
            <v>70</v>
          </cell>
        </row>
        <row r="598">
          <cell r="U598" t="str">
            <v>L103955</v>
          </cell>
          <cell r="V598" t="str">
            <v>chocolate kg</v>
          </cell>
          <cell r="W598" t="str">
            <v>Ajuste</v>
          </cell>
          <cell r="X598">
            <v>10.32</v>
          </cell>
          <cell r="Y598">
            <v>10.32</v>
          </cell>
        </row>
        <row r="599">
          <cell r="U599" t="str">
            <v>L104417</v>
          </cell>
          <cell r="V599" t="str">
            <v>CHP 7kg</v>
          </cell>
          <cell r="W599" t="str">
            <v>Ajuste</v>
          </cell>
          <cell r="X599">
            <v>14</v>
          </cell>
          <cell r="Y599">
            <v>98</v>
          </cell>
        </row>
        <row r="600">
          <cell r="U600" t="str">
            <v>L103767</v>
          </cell>
          <cell r="V600" t="str">
            <v>CHT 1kg - CAJA</v>
          </cell>
          <cell r="W600" t="str">
            <v>Ajuste</v>
          </cell>
          <cell r="X600">
            <v>306</v>
          </cell>
          <cell r="Y600">
            <v>306</v>
          </cell>
        </row>
        <row r="601">
          <cell r="U601" t="str">
            <v>L103821</v>
          </cell>
          <cell r="V601" t="str">
            <v>CHT 2KG</v>
          </cell>
          <cell r="W601" t="str">
            <v>Ajuste</v>
          </cell>
          <cell r="X601">
            <v>2</v>
          </cell>
          <cell r="Y601">
            <v>4</v>
          </cell>
        </row>
        <row r="602">
          <cell r="U602" t="str">
            <v>L103822</v>
          </cell>
          <cell r="V602" t="str">
            <v>CHT 2KG</v>
          </cell>
          <cell r="W602" t="str">
            <v>Ajuste</v>
          </cell>
          <cell r="X602">
            <v>2</v>
          </cell>
          <cell r="Y602">
            <v>4</v>
          </cell>
        </row>
        <row r="603">
          <cell r="U603" t="str">
            <v>L103838</v>
          </cell>
          <cell r="V603" t="str">
            <v>CLX 2kg</v>
          </cell>
          <cell r="W603" t="str">
            <v>Ajuste</v>
          </cell>
          <cell r="X603">
            <v>6</v>
          </cell>
          <cell r="Y603">
            <v>12</v>
          </cell>
        </row>
        <row r="604">
          <cell r="U604" t="str">
            <v>L104248</v>
          </cell>
          <cell r="V604" t="str">
            <v>CLX 2kg</v>
          </cell>
          <cell r="W604" t="str">
            <v>Ajuste</v>
          </cell>
          <cell r="X604">
            <v>60</v>
          </cell>
          <cell r="Y604">
            <v>120</v>
          </cell>
        </row>
        <row r="605">
          <cell r="U605" t="str">
            <v>L104249</v>
          </cell>
          <cell r="V605" t="str">
            <v>CLX 4kg</v>
          </cell>
          <cell r="W605" t="str">
            <v>Ajuste</v>
          </cell>
          <cell r="X605">
            <v>58</v>
          </cell>
          <cell r="Y605">
            <v>232</v>
          </cell>
        </row>
        <row r="606">
          <cell r="U606" t="str">
            <v>L103837</v>
          </cell>
          <cell r="V606" t="str">
            <v>CLX 4kg</v>
          </cell>
          <cell r="W606" t="str">
            <v>Ajuste</v>
          </cell>
          <cell r="X606">
            <v>26</v>
          </cell>
          <cell r="Y606">
            <v>104</v>
          </cell>
        </row>
        <row r="607">
          <cell r="U607" t="str">
            <v>L104886</v>
          </cell>
          <cell r="V607" t="str">
            <v>CM 2kg</v>
          </cell>
          <cell r="W607" t="str">
            <v>Ajuste</v>
          </cell>
          <cell r="X607">
            <v>2</v>
          </cell>
          <cell r="Y607">
            <v>4</v>
          </cell>
        </row>
        <row r="608">
          <cell r="U608" t="str">
            <v>L104885</v>
          </cell>
          <cell r="V608" t="str">
            <v>CM 5kg</v>
          </cell>
          <cell r="W608" t="str">
            <v>Ajuste</v>
          </cell>
          <cell r="X608">
            <v>302</v>
          </cell>
          <cell r="Y608">
            <v>1510</v>
          </cell>
        </row>
        <row r="609">
          <cell r="U609" t="str">
            <v>L104885</v>
          </cell>
          <cell r="V609" t="str">
            <v>PV CM 5kg</v>
          </cell>
          <cell r="W609" t="str">
            <v>Ajuste</v>
          </cell>
          <cell r="X609">
            <v>28</v>
          </cell>
          <cell r="Y609">
            <v>140</v>
          </cell>
        </row>
        <row r="610">
          <cell r="U610" t="str">
            <v>L104264</v>
          </cell>
          <cell r="V610" t="str">
            <v>CODV 2kg</v>
          </cell>
          <cell r="W610" t="str">
            <v>Ajuste</v>
          </cell>
          <cell r="X610">
            <v>368</v>
          </cell>
          <cell r="Y610">
            <v>736</v>
          </cell>
        </row>
        <row r="611">
          <cell r="U611" t="str">
            <v>L104780</v>
          </cell>
          <cell r="V611" t="str">
            <v>COSDC 3KG</v>
          </cell>
          <cell r="W611" t="str">
            <v>Ajuste</v>
          </cell>
          <cell r="X611">
            <v>6</v>
          </cell>
          <cell r="Y611">
            <v>18</v>
          </cell>
        </row>
        <row r="612">
          <cell r="U612" t="str">
            <v>L104368</v>
          </cell>
          <cell r="V612" t="str">
            <v>CPD 1Kg</v>
          </cell>
          <cell r="W612" t="str">
            <v>Ajuste</v>
          </cell>
          <cell r="X612">
            <v>14</v>
          </cell>
          <cell r="Y612">
            <v>14</v>
          </cell>
        </row>
        <row r="613">
          <cell r="U613" t="str">
            <v>L104734</v>
          </cell>
          <cell r="V613" t="str">
            <v>CRA 2kg</v>
          </cell>
          <cell r="W613" t="str">
            <v>Ajuste</v>
          </cell>
          <cell r="X613">
            <v>2</v>
          </cell>
          <cell r="Y613">
            <v>4</v>
          </cell>
        </row>
        <row r="614">
          <cell r="U614" t="str">
            <v>L104534</v>
          </cell>
          <cell r="V614" t="str">
            <v>CRV 1.5kg</v>
          </cell>
          <cell r="W614" t="str">
            <v>Ajuste</v>
          </cell>
          <cell r="X614">
            <v>38</v>
          </cell>
          <cell r="Y614">
            <v>57</v>
          </cell>
        </row>
        <row r="615">
          <cell r="U615" t="str">
            <v>L104535</v>
          </cell>
          <cell r="V615" t="str">
            <v>CRV 1.5kg</v>
          </cell>
          <cell r="W615" t="str">
            <v>Ajuste</v>
          </cell>
          <cell r="X615">
            <v>24</v>
          </cell>
          <cell r="Y615">
            <v>36</v>
          </cell>
        </row>
        <row r="616">
          <cell r="U616" t="str">
            <v>L104738</v>
          </cell>
          <cell r="V616" t="str">
            <v>CRV 1.5kg</v>
          </cell>
          <cell r="W616" t="str">
            <v>Ajuste</v>
          </cell>
          <cell r="X616">
            <v>4</v>
          </cell>
          <cell r="Y616">
            <v>6</v>
          </cell>
        </row>
        <row r="617">
          <cell r="U617" t="str">
            <v>L104765</v>
          </cell>
          <cell r="V617" t="str">
            <v>CRV 1.5kg</v>
          </cell>
          <cell r="W617" t="str">
            <v>Ajuste</v>
          </cell>
          <cell r="X617">
            <v>2</v>
          </cell>
          <cell r="Y617">
            <v>3</v>
          </cell>
        </row>
        <row r="618">
          <cell r="U618" t="str">
            <v>L104766</v>
          </cell>
          <cell r="V618" t="str">
            <v>CRV 1.5kg</v>
          </cell>
          <cell r="W618" t="str">
            <v>Ajuste</v>
          </cell>
          <cell r="X618">
            <v>4</v>
          </cell>
          <cell r="Y618">
            <v>6</v>
          </cell>
        </row>
        <row r="619">
          <cell r="U619" t="str">
            <v>L104766</v>
          </cell>
          <cell r="V619" t="str">
            <v>PASTV 2kg</v>
          </cell>
          <cell r="W619" t="str">
            <v>Ajuste</v>
          </cell>
          <cell r="X619">
            <v>26</v>
          </cell>
          <cell r="Y619">
            <v>52</v>
          </cell>
        </row>
        <row r="620">
          <cell r="U620" t="str">
            <v>L104527</v>
          </cell>
          <cell r="V620" t="str">
            <v>CRV 1kg</v>
          </cell>
          <cell r="W620" t="str">
            <v>Ajuste</v>
          </cell>
          <cell r="X620">
            <v>27</v>
          </cell>
          <cell r="Y620">
            <v>27</v>
          </cell>
        </row>
        <row r="621">
          <cell r="U621" t="str">
            <v>L104531</v>
          </cell>
          <cell r="V621" t="str">
            <v>CRV 1kg</v>
          </cell>
          <cell r="W621" t="str">
            <v>Ajuste</v>
          </cell>
          <cell r="X621">
            <v>24</v>
          </cell>
          <cell r="Y621">
            <v>24</v>
          </cell>
        </row>
        <row r="622">
          <cell r="U622" t="str">
            <v>L104530</v>
          </cell>
          <cell r="V622" t="str">
            <v>CRV 1kg</v>
          </cell>
          <cell r="W622" t="str">
            <v>Ajuste</v>
          </cell>
          <cell r="X622">
            <v>27</v>
          </cell>
          <cell r="Y622">
            <v>27</v>
          </cell>
        </row>
        <row r="623">
          <cell r="U623" t="str">
            <v>L104529</v>
          </cell>
          <cell r="V623" t="str">
            <v>CRV 1kg</v>
          </cell>
          <cell r="W623" t="str">
            <v>Ajuste</v>
          </cell>
          <cell r="X623">
            <v>54</v>
          </cell>
          <cell r="Y623">
            <v>54</v>
          </cell>
        </row>
        <row r="624">
          <cell r="U624" t="str">
            <v>L104532</v>
          </cell>
          <cell r="V624" t="str">
            <v>CRV 1kg</v>
          </cell>
          <cell r="W624" t="str">
            <v>Ajuste</v>
          </cell>
          <cell r="X624">
            <v>33</v>
          </cell>
          <cell r="Y624">
            <v>33</v>
          </cell>
        </row>
        <row r="625">
          <cell r="U625" t="str">
            <v>L104528</v>
          </cell>
          <cell r="V625" t="str">
            <v>CRV 1kg</v>
          </cell>
          <cell r="W625" t="str">
            <v>Ajuste</v>
          </cell>
          <cell r="X625">
            <v>24</v>
          </cell>
          <cell r="Y625">
            <v>24</v>
          </cell>
        </row>
        <row r="626">
          <cell r="U626" t="str">
            <v>L104510</v>
          </cell>
          <cell r="V626" t="str">
            <v>CRV 1kg</v>
          </cell>
          <cell r="W626" t="str">
            <v>Ajuste</v>
          </cell>
          <cell r="X626">
            <v>86</v>
          </cell>
          <cell r="Y626">
            <v>86</v>
          </cell>
        </row>
        <row r="627">
          <cell r="U627" t="str">
            <v>L104511</v>
          </cell>
          <cell r="V627" t="str">
            <v>CRV 1kg</v>
          </cell>
          <cell r="W627" t="str">
            <v>Ajuste</v>
          </cell>
          <cell r="X627">
            <v>48</v>
          </cell>
          <cell r="Y627">
            <v>48</v>
          </cell>
        </row>
        <row r="628">
          <cell r="U628" t="str">
            <v>L104513</v>
          </cell>
          <cell r="V628" t="str">
            <v>CRV 1kg</v>
          </cell>
          <cell r="W628" t="str">
            <v>Ajuste</v>
          </cell>
          <cell r="X628">
            <v>27</v>
          </cell>
          <cell r="Y628">
            <v>27</v>
          </cell>
        </row>
        <row r="629">
          <cell r="U629" t="str">
            <v>L104514</v>
          </cell>
          <cell r="V629" t="str">
            <v>CRV 1kg</v>
          </cell>
          <cell r="W629" t="str">
            <v>Ajuste</v>
          </cell>
          <cell r="X629">
            <v>36</v>
          </cell>
          <cell r="Y629">
            <v>36</v>
          </cell>
        </row>
        <row r="630">
          <cell r="U630" t="str">
            <v>L103802</v>
          </cell>
          <cell r="V630" t="str">
            <v>CRV 1kg</v>
          </cell>
          <cell r="W630" t="str">
            <v>Ajuste</v>
          </cell>
          <cell r="X630">
            <v>4</v>
          </cell>
          <cell r="Y630">
            <v>4</v>
          </cell>
        </row>
        <row r="631">
          <cell r="U631" t="str">
            <v>L103804</v>
          </cell>
          <cell r="V631" t="str">
            <v>CRV 1kg</v>
          </cell>
          <cell r="W631" t="str">
            <v>Ajuste</v>
          </cell>
          <cell r="X631">
            <v>8</v>
          </cell>
          <cell r="Y631">
            <v>8</v>
          </cell>
        </row>
        <row r="632">
          <cell r="U632" t="str">
            <v>L104478</v>
          </cell>
          <cell r="V632" t="str">
            <v>CRV 1kg</v>
          </cell>
          <cell r="W632" t="str">
            <v>Ajuste</v>
          </cell>
          <cell r="X632">
            <v>268</v>
          </cell>
          <cell r="Y632">
            <v>268</v>
          </cell>
        </row>
        <row r="633">
          <cell r="U633" t="str">
            <v>L104479</v>
          </cell>
          <cell r="V633" t="str">
            <v>CRV 1kg</v>
          </cell>
          <cell r="W633" t="str">
            <v>Ajuste</v>
          </cell>
          <cell r="X633">
            <v>4</v>
          </cell>
          <cell r="Y633">
            <v>4</v>
          </cell>
        </row>
        <row r="634">
          <cell r="U634" t="str">
            <v>L104489</v>
          </cell>
          <cell r="V634" t="str">
            <v>CRV 1kg</v>
          </cell>
          <cell r="W634" t="str">
            <v>Ajuste</v>
          </cell>
          <cell r="X634">
            <v>42</v>
          </cell>
          <cell r="Y634">
            <v>42</v>
          </cell>
        </row>
        <row r="635">
          <cell r="U635" t="str">
            <v>L104512</v>
          </cell>
          <cell r="V635" t="str">
            <v>CRV 1kg</v>
          </cell>
          <cell r="W635" t="str">
            <v>Ajuste</v>
          </cell>
          <cell r="X635">
            <v>10</v>
          </cell>
          <cell r="Y635">
            <v>10</v>
          </cell>
        </row>
        <row r="636">
          <cell r="U636" t="str">
            <v>L104526</v>
          </cell>
          <cell r="V636" t="str">
            <v>CRV 1kg</v>
          </cell>
          <cell r="W636" t="str">
            <v>Ajuste</v>
          </cell>
          <cell r="X636">
            <v>6</v>
          </cell>
          <cell r="Y636">
            <v>6</v>
          </cell>
        </row>
        <row r="637">
          <cell r="U637" t="str">
            <v>L104533</v>
          </cell>
          <cell r="V637" t="str">
            <v>CRV 1kg</v>
          </cell>
          <cell r="W637" t="str">
            <v>Ajuste</v>
          </cell>
          <cell r="X637">
            <v>10</v>
          </cell>
          <cell r="Y637">
            <v>10</v>
          </cell>
        </row>
        <row r="638">
          <cell r="U638" t="str">
            <v>L104545</v>
          </cell>
          <cell r="V638" t="str">
            <v>CRV 1kg</v>
          </cell>
          <cell r="W638" t="str">
            <v>Ajuste</v>
          </cell>
          <cell r="X638">
            <v>32</v>
          </cell>
          <cell r="Y638">
            <v>32</v>
          </cell>
        </row>
        <row r="639">
          <cell r="U639" t="str">
            <v>L104546</v>
          </cell>
          <cell r="V639" t="str">
            <v>CRV 1kg</v>
          </cell>
          <cell r="W639" t="str">
            <v>Ajuste</v>
          </cell>
          <cell r="X639">
            <v>24</v>
          </cell>
          <cell r="Y639">
            <v>24</v>
          </cell>
        </row>
        <row r="640">
          <cell r="U640" t="str">
            <v>L104547</v>
          </cell>
          <cell r="V640" t="str">
            <v>CRV 1kg</v>
          </cell>
          <cell r="W640" t="str">
            <v>Ajuste</v>
          </cell>
          <cell r="X640">
            <v>14</v>
          </cell>
          <cell r="Y640">
            <v>14</v>
          </cell>
        </row>
        <row r="641">
          <cell r="U641" t="str">
            <v>L104548</v>
          </cell>
          <cell r="V641" t="str">
            <v>CRV 1kg</v>
          </cell>
          <cell r="W641" t="str">
            <v>Ajuste</v>
          </cell>
          <cell r="X641">
            <v>16</v>
          </cell>
          <cell r="Y641">
            <v>16</v>
          </cell>
        </row>
        <row r="642">
          <cell r="U642" t="str">
            <v>L104549</v>
          </cell>
          <cell r="V642" t="str">
            <v>CRV 1kg</v>
          </cell>
          <cell r="W642" t="str">
            <v>Ajuste</v>
          </cell>
          <cell r="X642">
            <v>12</v>
          </cell>
          <cell r="Y642">
            <v>12</v>
          </cell>
        </row>
        <row r="643">
          <cell r="U643" t="str">
            <v>L104550</v>
          </cell>
          <cell r="V643" t="str">
            <v>CRV 1kg</v>
          </cell>
          <cell r="W643" t="str">
            <v>Ajuste</v>
          </cell>
          <cell r="X643">
            <v>8</v>
          </cell>
          <cell r="Y643">
            <v>8</v>
          </cell>
        </row>
        <row r="644">
          <cell r="U644" t="str">
            <v>L104551</v>
          </cell>
          <cell r="V644" t="str">
            <v>CRV 1kg</v>
          </cell>
          <cell r="W644" t="str">
            <v>Ajuste</v>
          </cell>
          <cell r="X644">
            <v>6</v>
          </cell>
          <cell r="Y644">
            <v>6</v>
          </cell>
        </row>
        <row r="645">
          <cell r="U645" t="str">
            <v>L104552</v>
          </cell>
          <cell r="V645" t="str">
            <v>CRV 1kg</v>
          </cell>
          <cell r="W645" t="str">
            <v>Ajuste</v>
          </cell>
          <cell r="X645">
            <v>4</v>
          </cell>
          <cell r="Y645">
            <v>4</v>
          </cell>
        </row>
        <row r="646">
          <cell r="U646" t="str">
            <v>L104553</v>
          </cell>
          <cell r="V646" t="str">
            <v>CRV 1kg</v>
          </cell>
          <cell r="W646" t="str">
            <v>Ajuste</v>
          </cell>
          <cell r="X646">
            <v>18</v>
          </cell>
          <cell r="Y646">
            <v>18</v>
          </cell>
        </row>
        <row r="647">
          <cell r="U647" t="str">
            <v>L104554</v>
          </cell>
          <cell r="V647" t="str">
            <v>CRV 1kg</v>
          </cell>
          <cell r="W647" t="str">
            <v>Ajuste</v>
          </cell>
          <cell r="X647">
            <v>6</v>
          </cell>
          <cell r="Y647">
            <v>6</v>
          </cell>
        </row>
        <row r="648">
          <cell r="U648" t="str">
            <v>L104555</v>
          </cell>
          <cell r="V648" t="str">
            <v>CRV 1kg</v>
          </cell>
          <cell r="W648" t="str">
            <v>Ajuste</v>
          </cell>
          <cell r="X648">
            <v>8</v>
          </cell>
          <cell r="Y648">
            <v>8</v>
          </cell>
        </row>
        <row r="649">
          <cell r="U649" t="str">
            <v>L104556</v>
          </cell>
          <cell r="V649" t="str">
            <v>CRV 1kg</v>
          </cell>
          <cell r="W649" t="str">
            <v>Ajuste</v>
          </cell>
          <cell r="X649">
            <v>12</v>
          </cell>
          <cell r="Y649">
            <v>12</v>
          </cell>
        </row>
        <row r="650">
          <cell r="U650" t="str">
            <v>L104557</v>
          </cell>
          <cell r="V650" t="str">
            <v>CRV 1kg</v>
          </cell>
          <cell r="W650" t="str">
            <v>Ajuste</v>
          </cell>
          <cell r="X650">
            <v>4</v>
          </cell>
          <cell r="Y650">
            <v>4</v>
          </cell>
        </row>
        <row r="651">
          <cell r="U651" t="str">
            <v>L104558</v>
          </cell>
          <cell r="V651" t="str">
            <v>CRV 1kg</v>
          </cell>
          <cell r="W651" t="str">
            <v>Ajuste</v>
          </cell>
          <cell r="X651">
            <v>70</v>
          </cell>
          <cell r="Y651">
            <v>70</v>
          </cell>
        </row>
        <row r="652">
          <cell r="U652" t="str">
            <v>L104600</v>
          </cell>
          <cell r="V652" t="str">
            <v>CRV 1kg</v>
          </cell>
          <cell r="W652" t="str">
            <v>Ajuste</v>
          </cell>
          <cell r="X652">
            <v>8</v>
          </cell>
          <cell r="Y652">
            <v>8</v>
          </cell>
        </row>
        <row r="653">
          <cell r="U653" t="str">
            <v>L104601</v>
          </cell>
          <cell r="V653" t="str">
            <v>CRV 1kg</v>
          </cell>
          <cell r="W653" t="str">
            <v>Ajuste</v>
          </cell>
          <cell r="X653">
            <v>8</v>
          </cell>
          <cell r="Y653">
            <v>8</v>
          </cell>
        </row>
        <row r="654">
          <cell r="U654" t="str">
            <v>L104603</v>
          </cell>
          <cell r="V654" t="str">
            <v>CRV 1kg</v>
          </cell>
          <cell r="W654" t="str">
            <v>Ajuste</v>
          </cell>
          <cell r="X654">
            <v>4</v>
          </cell>
          <cell r="Y654">
            <v>4</v>
          </cell>
        </row>
        <row r="655">
          <cell r="U655" t="str">
            <v>L104609</v>
          </cell>
          <cell r="V655" t="str">
            <v>CRV 1kg</v>
          </cell>
          <cell r="W655" t="str">
            <v>Ajuste</v>
          </cell>
          <cell r="X655">
            <v>24</v>
          </cell>
          <cell r="Y655">
            <v>24</v>
          </cell>
        </row>
        <row r="656">
          <cell r="U656" t="str">
            <v>L104630</v>
          </cell>
          <cell r="V656" t="str">
            <v>CRV 1kg</v>
          </cell>
          <cell r="W656" t="str">
            <v>Ajuste</v>
          </cell>
          <cell r="X656">
            <v>4</v>
          </cell>
          <cell r="Y656">
            <v>4</v>
          </cell>
        </row>
        <row r="657">
          <cell r="U657" t="str">
            <v>L104631</v>
          </cell>
          <cell r="V657" t="str">
            <v>CRV 1kg</v>
          </cell>
          <cell r="W657" t="str">
            <v>Ajuste</v>
          </cell>
          <cell r="X657">
            <v>4</v>
          </cell>
          <cell r="Y657">
            <v>4</v>
          </cell>
        </row>
        <row r="658">
          <cell r="U658" t="str">
            <v>L104632</v>
          </cell>
          <cell r="V658" t="str">
            <v>CRV 1kg</v>
          </cell>
          <cell r="W658" t="str">
            <v>Ajuste</v>
          </cell>
          <cell r="X658">
            <v>2</v>
          </cell>
          <cell r="Y658">
            <v>2</v>
          </cell>
        </row>
        <row r="659">
          <cell r="U659" t="str">
            <v>L104633</v>
          </cell>
          <cell r="V659" t="str">
            <v>CRV 1kg</v>
          </cell>
          <cell r="W659" t="str">
            <v>Ajuste</v>
          </cell>
          <cell r="X659">
            <v>2</v>
          </cell>
          <cell r="Y659">
            <v>2</v>
          </cell>
        </row>
        <row r="660">
          <cell r="U660" t="str">
            <v>L104821</v>
          </cell>
          <cell r="V660" t="str">
            <v>CRV 1kg</v>
          </cell>
          <cell r="W660" t="str">
            <v>Ajuste</v>
          </cell>
          <cell r="X660">
            <v>4</v>
          </cell>
          <cell r="Y660">
            <v>4</v>
          </cell>
        </row>
        <row r="661">
          <cell r="U661" t="str">
            <v>L103803</v>
          </cell>
          <cell r="V661" t="str">
            <v>CRV 2kg-CAJA</v>
          </cell>
          <cell r="W661" t="str">
            <v>Ajuste</v>
          </cell>
          <cell r="X661">
            <v>2</v>
          </cell>
          <cell r="Y661">
            <v>4</v>
          </cell>
        </row>
        <row r="662">
          <cell r="U662" t="str">
            <v>L103792</v>
          </cell>
          <cell r="V662" t="str">
            <v>CTF 3Kg-CAJA</v>
          </cell>
          <cell r="W662" t="str">
            <v>Ajuste</v>
          </cell>
          <cell r="X662">
            <v>12</v>
          </cell>
          <cell r="Y662">
            <v>36</v>
          </cell>
        </row>
        <row r="663">
          <cell r="U663" t="str">
            <v>L104642</v>
          </cell>
          <cell r="V663" t="str">
            <v>CTF 3Kg-CAJA</v>
          </cell>
          <cell r="W663" t="str">
            <v>Ajuste</v>
          </cell>
          <cell r="X663">
            <v>2</v>
          </cell>
          <cell r="Y663">
            <v>6</v>
          </cell>
        </row>
        <row r="664">
          <cell r="U664" t="str">
            <v>L104915</v>
          </cell>
          <cell r="V664" t="str">
            <v>CTF 3Kg-CAJA</v>
          </cell>
          <cell r="W664" t="str">
            <v>Ajuste</v>
          </cell>
          <cell r="X664">
            <v>14</v>
          </cell>
          <cell r="Y664">
            <v>42</v>
          </cell>
        </row>
        <row r="665">
          <cell r="U665" t="str">
            <v>L104588</v>
          </cell>
          <cell r="V665" t="str">
            <v>CTF 5Kg-CAJA</v>
          </cell>
          <cell r="W665" t="str">
            <v>Ajuste</v>
          </cell>
          <cell r="X665">
            <v>14</v>
          </cell>
          <cell r="Y665">
            <v>70</v>
          </cell>
        </row>
        <row r="666">
          <cell r="U666" t="str">
            <v>L104040</v>
          </cell>
          <cell r="V666" t="str">
            <v>CTF 5Kg-CAJA</v>
          </cell>
          <cell r="W666" t="str">
            <v>Ajuste</v>
          </cell>
          <cell r="X666">
            <v>6</v>
          </cell>
          <cell r="Y666">
            <v>30</v>
          </cell>
        </row>
        <row r="667">
          <cell r="U667" t="str">
            <v>L104576</v>
          </cell>
          <cell r="V667" t="str">
            <v>CTF 5Kg-CAJA</v>
          </cell>
          <cell r="W667" t="str">
            <v>Ajuste</v>
          </cell>
          <cell r="X667">
            <v>4</v>
          </cell>
          <cell r="Y667">
            <v>20</v>
          </cell>
        </row>
        <row r="668">
          <cell r="U668" t="str">
            <v>L104814</v>
          </cell>
          <cell r="V668" t="str">
            <v>CTF 5Kg-CAJA</v>
          </cell>
          <cell r="W668" t="str">
            <v>Ajuste</v>
          </cell>
          <cell r="X668">
            <v>10</v>
          </cell>
          <cell r="Y668">
            <v>50</v>
          </cell>
        </row>
        <row r="669">
          <cell r="U669" t="str">
            <v>L104817</v>
          </cell>
          <cell r="V669" t="str">
            <v>CTF 5Kg-CAJA</v>
          </cell>
          <cell r="W669" t="str">
            <v>Ajuste</v>
          </cell>
          <cell r="X669">
            <v>2</v>
          </cell>
          <cell r="Y669">
            <v>10</v>
          </cell>
        </row>
        <row r="670">
          <cell r="U670" t="str">
            <v>L104283</v>
          </cell>
          <cell r="V670" t="str">
            <v>DIV AGA 1.5 lt x 12</v>
          </cell>
          <cell r="W670" t="str">
            <v>Ajuste</v>
          </cell>
          <cell r="X670">
            <v>78</v>
          </cell>
          <cell r="Y670">
            <v>1404</v>
          </cell>
        </row>
        <row r="671">
          <cell r="U671" t="str">
            <v>L104284</v>
          </cell>
          <cell r="V671" t="str">
            <v>DIV AGA 2 lt x 6</v>
          </cell>
          <cell r="W671" t="str">
            <v>Ajuste</v>
          </cell>
          <cell r="X671">
            <v>70</v>
          </cell>
          <cell r="Y671">
            <v>840</v>
          </cell>
        </row>
        <row r="672">
          <cell r="U672" t="str">
            <v>L104282</v>
          </cell>
          <cell r="V672" t="str">
            <v>DIV AGU 1 GLN</v>
          </cell>
          <cell r="W672" t="str">
            <v>Ajuste</v>
          </cell>
          <cell r="X672">
            <v>110</v>
          </cell>
          <cell r="Y672">
            <v>415.8</v>
          </cell>
        </row>
        <row r="673">
          <cell r="U673" t="str">
            <v>L103775</v>
          </cell>
          <cell r="V673" t="str">
            <v>DIV ALP 7kg</v>
          </cell>
          <cell r="W673" t="str">
            <v>Ajuste</v>
          </cell>
          <cell r="X673">
            <v>4</v>
          </cell>
          <cell r="Y673">
            <v>28</v>
          </cell>
        </row>
        <row r="674">
          <cell r="U674" t="str">
            <v>L104896</v>
          </cell>
          <cell r="V674" t="str">
            <v>DIV AMCO 2kg</v>
          </cell>
          <cell r="W674" t="str">
            <v>Ajuste</v>
          </cell>
          <cell r="X674">
            <v>12</v>
          </cell>
          <cell r="Y674">
            <v>24</v>
          </cell>
        </row>
        <row r="675">
          <cell r="U675" t="str">
            <v>L104276</v>
          </cell>
          <cell r="V675" t="str">
            <v>DIV BASP 2kg</v>
          </cell>
          <cell r="W675" t="str">
            <v>Ajuste</v>
          </cell>
          <cell r="X675">
            <v>10</v>
          </cell>
          <cell r="Y675">
            <v>20</v>
          </cell>
        </row>
        <row r="676">
          <cell r="U676" t="str">
            <v>L103966</v>
          </cell>
          <cell r="V676" t="str">
            <v>DIV BEV 7kg</v>
          </cell>
          <cell r="W676" t="str">
            <v>Ajuste</v>
          </cell>
          <cell r="X676">
            <v>18</v>
          </cell>
          <cell r="Y676">
            <v>126</v>
          </cell>
        </row>
        <row r="677">
          <cell r="U677" t="str">
            <v>L104305</v>
          </cell>
          <cell r="V677" t="str">
            <v>DIV BEV 7kg</v>
          </cell>
          <cell r="W677" t="str">
            <v>Ajuste</v>
          </cell>
          <cell r="X677">
            <v>2</v>
          </cell>
          <cell r="Y677">
            <v>14</v>
          </cell>
        </row>
        <row r="678">
          <cell r="U678" t="str">
            <v>L104520</v>
          </cell>
          <cell r="V678" t="str">
            <v>DIV BEV 7kg</v>
          </cell>
          <cell r="W678" t="str">
            <v>Ajuste</v>
          </cell>
          <cell r="X678">
            <v>2</v>
          </cell>
          <cell r="Y678">
            <v>14</v>
          </cell>
        </row>
        <row r="679">
          <cell r="U679" t="str">
            <v>L104911</v>
          </cell>
          <cell r="V679" t="str">
            <v>DIV BPV 2kg</v>
          </cell>
          <cell r="W679" t="str">
            <v>Ajuste</v>
          </cell>
          <cell r="X679">
            <v>2</v>
          </cell>
          <cell r="Y679">
            <v>4</v>
          </cell>
        </row>
        <row r="680">
          <cell r="U680" t="str">
            <v>L104771</v>
          </cell>
          <cell r="V680" t="str">
            <v>DIV BPV 5kg</v>
          </cell>
          <cell r="W680" t="str">
            <v>Ajuste</v>
          </cell>
          <cell r="X680">
            <v>12</v>
          </cell>
          <cell r="Y680">
            <v>60</v>
          </cell>
        </row>
        <row r="681">
          <cell r="U681" t="str">
            <v>L104903</v>
          </cell>
          <cell r="V681" t="str">
            <v>DIV BPV 5kg</v>
          </cell>
          <cell r="W681" t="str">
            <v>Ajuste</v>
          </cell>
          <cell r="X681">
            <v>10</v>
          </cell>
          <cell r="Y681">
            <v>50</v>
          </cell>
        </row>
        <row r="682">
          <cell r="U682" t="str">
            <v>L104754</v>
          </cell>
          <cell r="V682" t="str">
            <v>DIV CDCRN 1kg</v>
          </cell>
          <cell r="W682" t="str">
            <v>Ajuste</v>
          </cell>
          <cell r="X682">
            <v>80</v>
          </cell>
          <cell r="Y682">
            <v>80</v>
          </cell>
        </row>
        <row r="683">
          <cell r="U683" t="str">
            <v>L104522</v>
          </cell>
          <cell r="V683" t="str">
            <v>DIV CDP 1kg</v>
          </cell>
          <cell r="W683" t="str">
            <v>Ajuste</v>
          </cell>
          <cell r="X683">
            <v>24</v>
          </cell>
          <cell r="Y683">
            <v>24</v>
          </cell>
        </row>
        <row r="684">
          <cell r="U684" t="str">
            <v>L104038</v>
          </cell>
          <cell r="V684" t="str">
            <v>DIV CDPES 1kg</v>
          </cell>
          <cell r="W684" t="str">
            <v>Ajuste</v>
          </cell>
          <cell r="X684">
            <v>96</v>
          </cell>
          <cell r="Y684">
            <v>96</v>
          </cell>
        </row>
        <row r="685">
          <cell r="U685" t="str">
            <v>L104523</v>
          </cell>
          <cell r="V685" t="str">
            <v>DIV CDV 1kg</v>
          </cell>
          <cell r="W685" t="str">
            <v>Ajuste</v>
          </cell>
          <cell r="X685">
            <v>130</v>
          </cell>
          <cell r="Y685">
            <v>130</v>
          </cell>
        </row>
        <row r="686">
          <cell r="U686" t="str">
            <v>L104304</v>
          </cell>
          <cell r="V686" t="str">
            <v>DIV CHT 2kg</v>
          </cell>
          <cell r="W686" t="str">
            <v>Ajuste</v>
          </cell>
          <cell r="X686">
            <v>28</v>
          </cell>
          <cell r="Y686">
            <v>56</v>
          </cell>
        </row>
        <row r="687">
          <cell r="U687" t="str">
            <v>L104768</v>
          </cell>
          <cell r="V687" t="str">
            <v>DIV CHWM 2kg</v>
          </cell>
          <cell r="W687" t="str">
            <v>Ajuste</v>
          </cell>
          <cell r="X687">
            <v>16</v>
          </cell>
          <cell r="Y687">
            <v>32</v>
          </cell>
        </row>
        <row r="688">
          <cell r="U688" t="str">
            <v>L104475</v>
          </cell>
          <cell r="V688" t="str">
            <v>DIV COSDC 14KG</v>
          </cell>
          <cell r="W688" t="str">
            <v>Ajuste</v>
          </cell>
          <cell r="X688">
            <v>50</v>
          </cell>
          <cell r="Y688">
            <v>700</v>
          </cell>
        </row>
        <row r="689">
          <cell r="U689" t="str">
            <v>L104648</v>
          </cell>
          <cell r="V689" t="str">
            <v>DIV COSDC 14KG</v>
          </cell>
          <cell r="W689" t="str">
            <v>Ajuste</v>
          </cell>
          <cell r="X689">
            <v>50</v>
          </cell>
          <cell r="Y689">
            <v>700</v>
          </cell>
        </row>
        <row r="690">
          <cell r="U690" t="str">
            <v>L103981</v>
          </cell>
          <cell r="V690" t="str">
            <v>DIV CPVF 5kg</v>
          </cell>
          <cell r="W690" t="str">
            <v>Ajuste</v>
          </cell>
          <cell r="X690">
            <v>2</v>
          </cell>
          <cell r="Y690">
            <v>10</v>
          </cell>
        </row>
        <row r="691">
          <cell r="U691" t="str">
            <v>L104618</v>
          </cell>
          <cell r="V691" t="str">
            <v>DIV CRBTDA 1Kg</v>
          </cell>
          <cell r="W691" t="str">
            <v>Ajuste</v>
          </cell>
          <cell r="X691">
            <v>2</v>
          </cell>
          <cell r="Y691">
            <v>2</v>
          </cell>
        </row>
        <row r="692">
          <cell r="U692" t="str">
            <v>L104628</v>
          </cell>
          <cell r="V692" t="str">
            <v>DIV CRM 10kg</v>
          </cell>
          <cell r="W692" t="str">
            <v>Ajuste</v>
          </cell>
          <cell r="X692">
            <v>30</v>
          </cell>
          <cell r="Y692">
            <v>300</v>
          </cell>
        </row>
        <row r="693">
          <cell r="U693" t="str">
            <v>L103762</v>
          </cell>
          <cell r="V693" t="str">
            <v>DIV CRM 2kg</v>
          </cell>
          <cell r="W693" t="str">
            <v>Ajuste</v>
          </cell>
          <cell r="X693">
            <v>16</v>
          </cell>
          <cell r="Y693">
            <v>32</v>
          </cell>
        </row>
        <row r="694">
          <cell r="U694" t="str">
            <v>L104036</v>
          </cell>
          <cell r="V694" t="str">
            <v>DIV CRM 2kg</v>
          </cell>
          <cell r="W694" t="str">
            <v>Ajuste</v>
          </cell>
          <cell r="X694">
            <v>274</v>
          </cell>
          <cell r="Y694">
            <v>548</v>
          </cell>
        </row>
        <row r="695">
          <cell r="U695" t="str">
            <v>L104519</v>
          </cell>
          <cell r="V695" t="str">
            <v>DIV CRM 2kg</v>
          </cell>
          <cell r="W695" t="str">
            <v>Ajuste</v>
          </cell>
          <cell r="X695">
            <v>100</v>
          </cell>
          <cell r="Y695">
            <v>200</v>
          </cell>
        </row>
        <row r="696">
          <cell r="U696" t="str">
            <v>L104770</v>
          </cell>
          <cell r="V696" t="str">
            <v>DIV CRM 2kg</v>
          </cell>
          <cell r="W696" t="str">
            <v>Ajuste</v>
          </cell>
          <cell r="X696">
            <v>6</v>
          </cell>
          <cell r="Y696">
            <v>12</v>
          </cell>
        </row>
        <row r="697">
          <cell r="U697" t="str">
            <v>L103978</v>
          </cell>
          <cell r="V697" t="str">
            <v>DIV DDP 2kg</v>
          </cell>
          <cell r="W697" t="str">
            <v>Ajuste</v>
          </cell>
          <cell r="X697">
            <v>2</v>
          </cell>
          <cell r="Y697">
            <v>4</v>
          </cell>
        </row>
        <row r="698">
          <cell r="U698" t="str">
            <v>L104274</v>
          </cell>
          <cell r="V698" t="str">
            <v>DIV DSDH 1kg</v>
          </cell>
          <cell r="W698" t="str">
            <v>Ajuste</v>
          </cell>
          <cell r="X698">
            <v>8</v>
          </cell>
          <cell r="Y698">
            <v>8</v>
          </cell>
        </row>
        <row r="699">
          <cell r="U699" t="str">
            <v>L104273</v>
          </cell>
          <cell r="V699" t="str">
            <v>DIV DSDM 1kg</v>
          </cell>
          <cell r="W699" t="str">
            <v>Ajuste</v>
          </cell>
          <cell r="X699">
            <v>4</v>
          </cell>
          <cell r="Y699">
            <v>4</v>
          </cell>
        </row>
        <row r="700">
          <cell r="U700" t="str">
            <v>L104268</v>
          </cell>
          <cell r="V700" t="str">
            <v>DIV DSF 2Kg</v>
          </cell>
          <cell r="W700" t="str">
            <v>Ajuste</v>
          </cell>
          <cell r="X700">
            <v>592</v>
          </cell>
          <cell r="Y700">
            <v>1184</v>
          </cell>
        </row>
        <row r="701">
          <cell r="U701" t="str">
            <v>L104156</v>
          </cell>
          <cell r="V701" t="str">
            <v>DIV DSF 2Kg</v>
          </cell>
          <cell r="W701" t="str">
            <v>Ajuste</v>
          </cell>
          <cell r="X701">
            <v>12</v>
          </cell>
          <cell r="Y701">
            <v>24</v>
          </cell>
        </row>
        <row r="702">
          <cell r="U702" t="str">
            <v>L104271</v>
          </cell>
          <cell r="V702" t="str">
            <v>DIV DSF 4kg</v>
          </cell>
          <cell r="W702" t="str">
            <v>Ajuste</v>
          </cell>
          <cell r="X702">
            <v>16</v>
          </cell>
          <cell r="Y702">
            <v>64</v>
          </cell>
        </row>
        <row r="703">
          <cell r="U703" t="str">
            <v>L104473</v>
          </cell>
          <cell r="V703" t="str">
            <v>DIV DTG Vr 3.5kg</v>
          </cell>
          <cell r="W703" t="str">
            <v>Ajuste</v>
          </cell>
          <cell r="X703">
            <v>80</v>
          </cell>
          <cell r="Y703">
            <v>280</v>
          </cell>
        </row>
        <row r="704">
          <cell r="U704" t="str">
            <v>L104626</v>
          </cell>
          <cell r="V704" t="str">
            <v>DIV DTG Vr 3.5kg</v>
          </cell>
          <cell r="W704" t="str">
            <v>Ajuste</v>
          </cell>
          <cell r="X704">
            <v>528</v>
          </cell>
          <cell r="Y704">
            <v>1848</v>
          </cell>
        </row>
        <row r="705">
          <cell r="U705" t="str">
            <v>L104544</v>
          </cell>
          <cell r="V705" t="str">
            <v>DIV DTG Vr 3.5kg</v>
          </cell>
          <cell r="W705" t="str">
            <v>Ajuste</v>
          </cell>
          <cell r="X705">
            <v>1</v>
          </cell>
          <cell r="Y705">
            <v>3.5</v>
          </cell>
        </row>
        <row r="706">
          <cell r="U706" t="str">
            <v>L103774</v>
          </cell>
          <cell r="V706" t="str">
            <v>DIV ECDP 7kg</v>
          </cell>
          <cell r="W706" t="str">
            <v>Ajuste</v>
          </cell>
          <cell r="X706">
            <v>62</v>
          </cell>
          <cell r="Y706">
            <v>434</v>
          </cell>
        </row>
        <row r="707">
          <cell r="U707" t="str">
            <v>L104287</v>
          </cell>
          <cell r="V707" t="str">
            <v>DIV ECDP 7kg</v>
          </cell>
          <cell r="W707" t="str">
            <v>Ajuste</v>
          </cell>
          <cell r="X707">
            <v>2</v>
          </cell>
          <cell r="Y707">
            <v>14</v>
          </cell>
        </row>
        <row r="708">
          <cell r="U708" t="str">
            <v>L103872</v>
          </cell>
          <cell r="V708" t="str">
            <v>DIV EMBV 2kg</v>
          </cell>
          <cell r="W708" t="str">
            <v>Ajuste</v>
          </cell>
          <cell r="X708">
            <v>6</v>
          </cell>
          <cell r="Y708">
            <v>12</v>
          </cell>
        </row>
        <row r="709">
          <cell r="U709" t="str">
            <v>L104166</v>
          </cell>
          <cell r="V709" t="str">
            <v>DIV EMBV 2kg</v>
          </cell>
          <cell r="W709" t="str">
            <v>Ajuste</v>
          </cell>
          <cell r="X709">
            <v>42</v>
          </cell>
          <cell r="Y709">
            <v>84</v>
          </cell>
        </row>
        <row r="710">
          <cell r="U710" t="str">
            <v>L104288</v>
          </cell>
          <cell r="V710" t="str">
            <v>DIV EMBV 2kg</v>
          </cell>
          <cell r="W710" t="str">
            <v>Ajuste</v>
          </cell>
          <cell r="X710">
            <v>12</v>
          </cell>
          <cell r="Y710">
            <v>24</v>
          </cell>
        </row>
        <row r="711">
          <cell r="U711" t="str">
            <v>L104247</v>
          </cell>
          <cell r="V711" t="str">
            <v>DIV EMBV 3kg</v>
          </cell>
          <cell r="W711" t="str">
            <v>Ajuste</v>
          </cell>
          <cell r="X711">
            <v>8</v>
          </cell>
          <cell r="Y711">
            <v>24</v>
          </cell>
        </row>
        <row r="712">
          <cell r="U712" t="str">
            <v>L104281</v>
          </cell>
          <cell r="V712" t="str">
            <v>ESQPCD 8kg</v>
          </cell>
          <cell r="W712" t="str">
            <v>Ajuste</v>
          </cell>
          <cell r="X712">
            <v>120</v>
          </cell>
          <cell r="Y712">
            <v>960</v>
          </cell>
        </row>
        <row r="713">
          <cell r="U713" t="str">
            <v>L104281</v>
          </cell>
          <cell r="V713" t="str">
            <v>DIV ESQPCD 8kg</v>
          </cell>
          <cell r="W713" t="str">
            <v>Ajuste</v>
          </cell>
          <cell r="X713">
            <v>313</v>
          </cell>
          <cell r="Y713">
            <v>2504</v>
          </cell>
        </row>
        <row r="714">
          <cell r="U714" t="str">
            <v>L104281</v>
          </cell>
          <cell r="V714" t="str">
            <v>DIV ESQPCD 8kg</v>
          </cell>
          <cell r="W714" t="str">
            <v>Dañado</v>
          </cell>
          <cell r="X714">
            <v>7</v>
          </cell>
          <cell r="Y714">
            <v>56</v>
          </cell>
        </row>
        <row r="715">
          <cell r="U715" t="str">
            <v>L104769</v>
          </cell>
          <cell r="V715" t="str">
            <v>DIV ESV 2kg</v>
          </cell>
          <cell r="W715" t="str">
            <v>Ajuste</v>
          </cell>
          <cell r="X715">
            <v>8</v>
          </cell>
          <cell r="Y715">
            <v>16</v>
          </cell>
        </row>
        <row r="716">
          <cell r="U716" t="str">
            <v>L103977</v>
          </cell>
          <cell r="V716" t="str">
            <v>DIV FRCONG 2kg</v>
          </cell>
          <cell r="W716" t="str">
            <v>Ajuste</v>
          </cell>
          <cell r="X716">
            <v>2</v>
          </cell>
          <cell r="Y716">
            <v>4</v>
          </cell>
        </row>
        <row r="717">
          <cell r="U717" t="str">
            <v>L104253</v>
          </cell>
          <cell r="V717" t="str">
            <v>DIV FRUVER 10kg</v>
          </cell>
          <cell r="W717" t="str">
            <v>Ajuste</v>
          </cell>
          <cell r="X717">
            <v>30</v>
          </cell>
          <cell r="Y717">
            <v>300</v>
          </cell>
        </row>
        <row r="718">
          <cell r="U718" t="str">
            <v>L103874</v>
          </cell>
          <cell r="V718" t="str">
            <v>DIV FRUVER 10kg</v>
          </cell>
          <cell r="W718" t="str">
            <v>Ajuste</v>
          </cell>
          <cell r="X718">
            <v>22</v>
          </cell>
          <cell r="Y718">
            <v>220</v>
          </cell>
        </row>
        <row r="719">
          <cell r="U719" t="str">
            <v>L103876</v>
          </cell>
          <cell r="V719" t="str">
            <v>DIV FRUVER 10kg</v>
          </cell>
          <cell r="W719" t="str">
            <v>Ajuste</v>
          </cell>
          <cell r="X719">
            <v>38</v>
          </cell>
          <cell r="Y719">
            <v>380</v>
          </cell>
        </row>
        <row r="720">
          <cell r="U720" t="str">
            <v>L103878</v>
          </cell>
          <cell r="V720" t="str">
            <v>DIV FRUVER 10kg</v>
          </cell>
          <cell r="W720" t="str">
            <v>Ajuste</v>
          </cell>
          <cell r="X720">
            <v>14</v>
          </cell>
          <cell r="Y720">
            <v>140</v>
          </cell>
        </row>
        <row r="721">
          <cell r="U721" t="str">
            <v>L103948</v>
          </cell>
          <cell r="V721" t="str">
            <v>DIV FRUVER 10kg</v>
          </cell>
          <cell r="W721" t="str">
            <v>Ajuste</v>
          </cell>
          <cell r="X721">
            <v>4</v>
          </cell>
          <cell r="Y721">
            <v>40</v>
          </cell>
        </row>
        <row r="722">
          <cell r="U722" t="str">
            <v>L103967</v>
          </cell>
          <cell r="V722" t="str">
            <v>DIV FRUVER 10kg</v>
          </cell>
          <cell r="W722" t="str">
            <v>Ajuste</v>
          </cell>
          <cell r="X722">
            <v>8</v>
          </cell>
          <cell r="Y722">
            <v>80</v>
          </cell>
        </row>
        <row r="723">
          <cell r="U723" t="str">
            <v>L103969</v>
          </cell>
          <cell r="V723" t="str">
            <v>DIV FRUVER 10kg</v>
          </cell>
          <cell r="W723" t="str">
            <v>Ajuste</v>
          </cell>
          <cell r="X723">
            <v>6</v>
          </cell>
          <cell r="Y723">
            <v>60</v>
          </cell>
        </row>
        <row r="724">
          <cell r="U724" t="str">
            <v>L103972</v>
          </cell>
          <cell r="V724" t="str">
            <v>DIV FRUVER 10kg</v>
          </cell>
          <cell r="W724" t="str">
            <v>Ajuste</v>
          </cell>
          <cell r="X724">
            <v>8</v>
          </cell>
          <cell r="Y724">
            <v>80</v>
          </cell>
        </row>
        <row r="725">
          <cell r="U725" t="str">
            <v>L103979</v>
          </cell>
          <cell r="V725" t="str">
            <v>DIV FRUVER 10kg</v>
          </cell>
          <cell r="W725" t="str">
            <v>Ajuste</v>
          </cell>
          <cell r="X725">
            <v>18</v>
          </cell>
          <cell r="Y725">
            <v>180</v>
          </cell>
        </row>
        <row r="726">
          <cell r="U726" t="str">
            <v>L104138</v>
          </cell>
          <cell r="V726" t="str">
            <v>DIV FRUVER 10kg</v>
          </cell>
          <cell r="W726" t="str">
            <v>Ajuste</v>
          </cell>
          <cell r="X726">
            <v>2</v>
          </cell>
          <cell r="Y726">
            <v>20</v>
          </cell>
        </row>
        <row r="727">
          <cell r="U727" t="str">
            <v>L104138</v>
          </cell>
          <cell r="V727" t="str">
            <v>DIV FRUVER 10kg</v>
          </cell>
          <cell r="W727" t="str">
            <v>Dañado</v>
          </cell>
          <cell r="X727">
            <v>2</v>
          </cell>
          <cell r="Y727">
            <v>20</v>
          </cell>
        </row>
        <row r="728">
          <cell r="U728" t="str">
            <v>L104140</v>
          </cell>
          <cell r="V728" t="str">
            <v>DIV FRUVER 10kg</v>
          </cell>
          <cell r="W728" t="str">
            <v>Ajuste</v>
          </cell>
          <cell r="X728">
            <v>6</v>
          </cell>
          <cell r="Y728">
            <v>60</v>
          </cell>
        </row>
        <row r="729">
          <cell r="U729" t="str">
            <v>L104140</v>
          </cell>
          <cell r="V729" t="str">
            <v>DIV FRUVER 10kg</v>
          </cell>
          <cell r="W729" t="str">
            <v>Dañado</v>
          </cell>
          <cell r="X729">
            <v>6</v>
          </cell>
          <cell r="Y729">
            <v>60</v>
          </cell>
        </row>
        <row r="730">
          <cell r="U730" t="str">
            <v>L104142</v>
          </cell>
          <cell r="V730" t="str">
            <v>DIV FRUVER 10kg</v>
          </cell>
          <cell r="W730" t="str">
            <v>Ajuste</v>
          </cell>
          <cell r="X730">
            <v>13</v>
          </cell>
          <cell r="Y730">
            <v>130</v>
          </cell>
        </row>
        <row r="731">
          <cell r="U731" t="str">
            <v>L104142</v>
          </cell>
          <cell r="V731" t="str">
            <v>DIV FRUVER 10kg</v>
          </cell>
          <cell r="W731" t="str">
            <v>Dañado</v>
          </cell>
          <cell r="X731">
            <v>1</v>
          </cell>
          <cell r="Y731">
            <v>10</v>
          </cell>
        </row>
        <row r="732">
          <cell r="U732" t="str">
            <v>L104144</v>
          </cell>
          <cell r="V732" t="str">
            <v>DIV FRUVER 10kg</v>
          </cell>
          <cell r="W732" t="str">
            <v>Ajuste</v>
          </cell>
          <cell r="X732">
            <v>22</v>
          </cell>
          <cell r="Y732">
            <v>220</v>
          </cell>
        </row>
        <row r="733">
          <cell r="U733" t="str">
            <v>L104146</v>
          </cell>
          <cell r="V733" t="str">
            <v>DIV FRUVER 10kg</v>
          </cell>
          <cell r="W733" t="str">
            <v>Ajuste</v>
          </cell>
          <cell r="X733">
            <v>24</v>
          </cell>
          <cell r="Y733">
            <v>240</v>
          </cell>
        </row>
        <row r="734">
          <cell r="U734" t="str">
            <v>L104149</v>
          </cell>
          <cell r="V734" t="str">
            <v>DIV FRUVER 10kg</v>
          </cell>
          <cell r="W734" t="str">
            <v>Ajuste</v>
          </cell>
          <cell r="X734">
            <v>18</v>
          </cell>
          <cell r="Y734">
            <v>180</v>
          </cell>
        </row>
        <row r="735">
          <cell r="U735" t="str">
            <v>L104277</v>
          </cell>
          <cell r="V735" t="str">
            <v>DIV FRUVER 10kg</v>
          </cell>
          <cell r="W735" t="str">
            <v>Ajuste</v>
          </cell>
          <cell r="X735">
            <v>6</v>
          </cell>
          <cell r="Y735">
            <v>60</v>
          </cell>
        </row>
        <row r="736">
          <cell r="U736" t="str">
            <v>L104279</v>
          </cell>
          <cell r="V736" t="str">
            <v>DIV FRUVER 10kg</v>
          </cell>
          <cell r="W736" t="str">
            <v>Ajuste</v>
          </cell>
          <cell r="X736">
            <v>10</v>
          </cell>
          <cell r="Y736">
            <v>100</v>
          </cell>
        </row>
        <row r="737">
          <cell r="U737" t="str">
            <v>L104294</v>
          </cell>
          <cell r="V737" t="str">
            <v>DIV FRUVER 10kg</v>
          </cell>
          <cell r="W737" t="str">
            <v>Ajuste</v>
          </cell>
          <cell r="X737">
            <v>2</v>
          </cell>
          <cell r="Y737">
            <v>20</v>
          </cell>
        </row>
        <row r="738">
          <cell r="U738" t="str">
            <v>L104372</v>
          </cell>
          <cell r="V738" t="str">
            <v>DIV FRUVER 10kg</v>
          </cell>
          <cell r="W738" t="str">
            <v>Ajuste</v>
          </cell>
          <cell r="X738">
            <v>24</v>
          </cell>
          <cell r="Y738">
            <v>240</v>
          </cell>
        </row>
        <row r="739">
          <cell r="U739" t="str">
            <v>L104378</v>
          </cell>
          <cell r="V739" t="str">
            <v>DIV FRUVER 10kg</v>
          </cell>
          <cell r="W739" t="str">
            <v>Ajuste</v>
          </cell>
          <cell r="X739">
            <v>6</v>
          </cell>
          <cell r="Y739">
            <v>60</v>
          </cell>
        </row>
        <row r="740">
          <cell r="U740" t="str">
            <v>L104380</v>
          </cell>
          <cell r="V740" t="str">
            <v>DIV FRUVER 10kg</v>
          </cell>
          <cell r="W740" t="str">
            <v>Ajuste</v>
          </cell>
          <cell r="X740">
            <v>8</v>
          </cell>
          <cell r="Y740">
            <v>80</v>
          </cell>
        </row>
        <row r="741">
          <cell r="U741" t="str">
            <v>L104388</v>
          </cell>
          <cell r="V741" t="str">
            <v>DIV FRUVER 10kg</v>
          </cell>
          <cell r="W741" t="str">
            <v>Ajuste</v>
          </cell>
          <cell r="X741">
            <v>10</v>
          </cell>
          <cell r="Y741">
            <v>100</v>
          </cell>
        </row>
        <row r="742">
          <cell r="U742" t="str">
            <v>L104428</v>
          </cell>
          <cell r="V742" t="str">
            <v>DIV FRUVER 10kg</v>
          </cell>
          <cell r="W742" t="str">
            <v>Ajuste</v>
          </cell>
          <cell r="X742">
            <v>14</v>
          </cell>
          <cell r="Y742">
            <v>140</v>
          </cell>
        </row>
        <row r="743">
          <cell r="U743" t="str">
            <v>L104430</v>
          </cell>
          <cell r="V743" t="str">
            <v>DIV FRUVER 10kg</v>
          </cell>
          <cell r="W743" t="str">
            <v>Ajuste</v>
          </cell>
          <cell r="X743">
            <v>14</v>
          </cell>
          <cell r="Y743">
            <v>140</v>
          </cell>
        </row>
        <row r="744">
          <cell r="U744" t="str">
            <v>L104461</v>
          </cell>
          <cell r="V744" t="str">
            <v>DIV FRUVER 10kg</v>
          </cell>
          <cell r="W744" t="str">
            <v>Ajuste</v>
          </cell>
          <cell r="X744">
            <v>12</v>
          </cell>
          <cell r="Y744">
            <v>120</v>
          </cell>
        </row>
        <row r="745">
          <cell r="U745" t="str">
            <v>L104524</v>
          </cell>
          <cell r="V745" t="str">
            <v>DIV FRUVER 10kg</v>
          </cell>
          <cell r="W745" t="str">
            <v>Ajuste</v>
          </cell>
          <cell r="X745">
            <v>4</v>
          </cell>
          <cell r="Y745">
            <v>40</v>
          </cell>
        </row>
        <row r="746">
          <cell r="U746" t="str">
            <v>L104538</v>
          </cell>
          <cell r="V746" t="str">
            <v>DIV FRUVER 10kg</v>
          </cell>
          <cell r="W746" t="str">
            <v>Ajuste</v>
          </cell>
          <cell r="X746">
            <v>16</v>
          </cell>
          <cell r="Y746">
            <v>160</v>
          </cell>
        </row>
        <row r="747">
          <cell r="U747" t="str">
            <v>L104540</v>
          </cell>
          <cell r="V747" t="str">
            <v>DIV FRUVER 10kg</v>
          </cell>
          <cell r="W747" t="str">
            <v>Ajuste</v>
          </cell>
          <cell r="X747">
            <v>4</v>
          </cell>
          <cell r="Y747">
            <v>40</v>
          </cell>
        </row>
        <row r="748">
          <cell r="U748" t="str">
            <v>L104590</v>
          </cell>
          <cell r="V748" t="str">
            <v>DIV FRUVER 10kg</v>
          </cell>
          <cell r="W748" t="str">
            <v>Ajuste</v>
          </cell>
          <cell r="X748">
            <v>4</v>
          </cell>
          <cell r="Y748">
            <v>40</v>
          </cell>
        </row>
        <row r="749">
          <cell r="U749" t="str">
            <v>L104612</v>
          </cell>
          <cell r="V749" t="str">
            <v>DIV FRUVER 10kg</v>
          </cell>
          <cell r="W749" t="str">
            <v>Ajuste</v>
          </cell>
          <cell r="X749">
            <v>2</v>
          </cell>
          <cell r="Y749">
            <v>20</v>
          </cell>
        </row>
        <row r="750">
          <cell r="U750" t="str">
            <v>L104746</v>
          </cell>
          <cell r="V750" t="str">
            <v>DIV FRUVER 10kg</v>
          </cell>
          <cell r="W750" t="str">
            <v>Ajuste</v>
          </cell>
          <cell r="X750">
            <v>8</v>
          </cell>
          <cell r="Y750">
            <v>80</v>
          </cell>
        </row>
        <row r="751">
          <cell r="U751" t="str">
            <v>L104748</v>
          </cell>
          <cell r="V751" t="str">
            <v>DIV FRUVER 10kg</v>
          </cell>
          <cell r="W751" t="str">
            <v>Ajuste</v>
          </cell>
          <cell r="X751">
            <v>52</v>
          </cell>
          <cell r="Y751">
            <v>520</v>
          </cell>
        </row>
        <row r="752">
          <cell r="U752" t="str">
            <v>L104751</v>
          </cell>
          <cell r="V752" t="str">
            <v>DIV FRUVER 10kg</v>
          </cell>
          <cell r="W752" t="str">
            <v>Ajuste</v>
          </cell>
          <cell r="X752">
            <v>8</v>
          </cell>
          <cell r="Y752">
            <v>80</v>
          </cell>
        </row>
        <row r="753">
          <cell r="U753" t="str">
            <v>L104752</v>
          </cell>
          <cell r="V753" t="str">
            <v>DIV FRUVER 10kg</v>
          </cell>
          <cell r="W753" t="str">
            <v>Ajuste</v>
          </cell>
          <cell r="X753">
            <v>12</v>
          </cell>
          <cell r="Y753">
            <v>120</v>
          </cell>
        </row>
        <row r="754">
          <cell r="U754" t="str">
            <v>L104802</v>
          </cell>
          <cell r="V754" t="str">
            <v>DIV FRUVER 10kg</v>
          </cell>
          <cell r="W754" t="str">
            <v>Ajuste</v>
          </cell>
          <cell r="X754">
            <v>12</v>
          </cell>
          <cell r="Y754">
            <v>120</v>
          </cell>
        </row>
        <row r="755">
          <cell r="U755" t="str">
            <v>L104805</v>
          </cell>
          <cell r="V755" t="str">
            <v>DIV FRUVER 10kg</v>
          </cell>
          <cell r="W755" t="str">
            <v>Ajuste</v>
          </cell>
          <cell r="X755">
            <v>40</v>
          </cell>
          <cell r="Y755">
            <v>400</v>
          </cell>
        </row>
        <row r="756">
          <cell r="U756" t="str">
            <v>L104853</v>
          </cell>
          <cell r="V756" t="str">
            <v>DIV FRUVER 10kg</v>
          </cell>
          <cell r="W756" t="str">
            <v>Ajuste</v>
          </cell>
          <cell r="X756">
            <v>12</v>
          </cell>
          <cell r="Y756">
            <v>120</v>
          </cell>
        </row>
        <row r="757">
          <cell r="U757" t="str">
            <v>L104854</v>
          </cell>
          <cell r="V757" t="str">
            <v>DIV FRUVER 10kg</v>
          </cell>
          <cell r="W757" t="str">
            <v>Ajuste</v>
          </cell>
          <cell r="X757">
            <v>16</v>
          </cell>
          <cell r="Y757">
            <v>160</v>
          </cell>
        </row>
        <row r="758">
          <cell r="U758" t="str">
            <v>L104856</v>
          </cell>
          <cell r="V758" t="str">
            <v>DIV FRUVER 10kg</v>
          </cell>
          <cell r="W758" t="str">
            <v>Ajuste</v>
          </cell>
          <cell r="X758">
            <v>24</v>
          </cell>
          <cell r="Y758">
            <v>240</v>
          </cell>
        </row>
        <row r="759">
          <cell r="U759" t="str">
            <v>L104888</v>
          </cell>
          <cell r="V759" t="str">
            <v>DIV FRUVER 10kg</v>
          </cell>
          <cell r="W759" t="str">
            <v>Ajuste</v>
          </cell>
          <cell r="X759">
            <v>14</v>
          </cell>
          <cell r="Y759">
            <v>140</v>
          </cell>
        </row>
        <row r="760">
          <cell r="U760" t="str">
            <v>L104890</v>
          </cell>
          <cell r="V760" t="str">
            <v>DIV FRUVER 10kg</v>
          </cell>
          <cell r="W760" t="str">
            <v>Ajuste</v>
          </cell>
          <cell r="X760">
            <v>14</v>
          </cell>
          <cell r="Y760">
            <v>140</v>
          </cell>
        </row>
        <row r="761">
          <cell r="U761" t="str">
            <v>L103949</v>
          </cell>
          <cell r="V761" t="str">
            <v>DIV FRUVER 5kg</v>
          </cell>
          <cell r="W761" t="str">
            <v>Ajuste</v>
          </cell>
          <cell r="X761">
            <v>2</v>
          </cell>
          <cell r="Y761">
            <v>10</v>
          </cell>
        </row>
        <row r="762">
          <cell r="U762" t="str">
            <v>L103970</v>
          </cell>
          <cell r="V762" t="str">
            <v>DIV FRUVER 5kg</v>
          </cell>
          <cell r="W762" t="str">
            <v>Ajuste</v>
          </cell>
          <cell r="X762">
            <v>2</v>
          </cell>
          <cell r="Y762">
            <v>10</v>
          </cell>
        </row>
        <row r="763">
          <cell r="U763" t="str">
            <v>L104147</v>
          </cell>
          <cell r="V763" t="str">
            <v>DIV FRUVER 5kg</v>
          </cell>
          <cell r="W763" t="str">
            <v>Ajuste</v>
          </cell>
          <cell r="X763">
            <v>12</v>
          </cell>
          <cell r="Y763">
            <v>60</v>
          </cell>
        </row>
        <row r="764">
          <cell r="U764" t="str">
            <v>L104295</v>
          </cell>
          <cell r="V764" t="str">
            <v>DIV FRUVER 5kg</v>
          </cell>
          <cell r="W764" t="str">
            <v>Ajuste</v>
          </cell>
          <cell r="X764">
            <v>2</v>
          </cell>
          <cell r="Y764">
            <v>10</v>
          </cell>
        </row>
        <row r="765">
          <cell r="U765" t="str">
            <v>L104803</v>
          </cell>
          <cell r="V765" t="str">
            <v>DIV FRUVER 5kg</v>
          </cell>
          <cell r="W765" t="str">
            <v>Ajuste</v>
          </cell>
          <cell r="X765">
            <v>10</v>
          </cell>
          <cell r="Y765">
            <v>50</v>
          </cell>
        </row>
        <row r="766">
          <cell r="U766" t="str">
            <v>L104466</v>
          </cell>
          <cell r="V766" t="str">
            <v>DIV GABCNESPJ</v>
          </cell>
          <cell r="W766" t="str">
            <v>Ajuste</v>
          </cell>
          <cell r="X766">
            <v>10</v>
          </cell>
          <cell r="Y766">
            <v>330</v>
          </cell>
        </row>
        <row r="767">
          <cell r="U767" t="str">
            <v>L104773</v>
          </cell>
          <cell r="V767" t="str">
            <v>DIV GLDV 5kg</v>
          </cell>
          <cell r="W767" t="str">
            <v>Ajuste</v>
          </cell>
          <cell r="X767">
            <v>4</v>
          </cell>
          <cell r="Y767">
            <v>20</v>
          </cell>
        </row>
        <row r="768">
          <cell r="U768" t="str">
            <v>L104037</v>
          </cell>
          <cell r="V768" t="str">
            <v>DIV GLT 2kg</v>
          </cell>
          <cell r="W768" t="str">
            <v>Ajuste</v>
          </cell>
          <cell r="X768">
            <v>30</v>
          </cell>
          <cell r="Y768">
            <v>60</v>
          </cell>
        </row>
        <row r="769">
          <cell r="U769" t="str">
            <v>L104302</v>
          </cell>
          <cell r="V769" t="str">
            <v>DIV GLV 2kg</v>
          </cell>
          <cell r="W769" t="str">
            <v>Ajuste</v>
          </cell>
          <cell r="X769">
            <v>39</v>
          </cell>
          <cell r="Y769">
            <v>78</v>
          </cell>
        </row>
        <row r="770">
          <cell r="U770" t="str">
            <v>L103834</v>
          </cell>
          <cell r="V770" t="str">
            <v>DIV GTA 2.5kg</v>
          </cell>
          <cell r="W770" t="str">
            <v>Ajuste</v>
          </cell>
          <cell r="X770">
            <v>74</v>
          </cell>
          <cell r="Y770">
            <v>185</v>
          </cell>
        </row>
        <row r="771">
          <cell r="U771" t="str">
            <v>L103835</v>
          </cell>
          <cell r="V771" t="str">
            <v>DIV GTA 2kg</v>
          </cell>
          <cell r="W771" t="str">
            <v>Ajuste</v>
          </cell>
          <cell r="X771">
            <v>44</v>
          </cell>
          <cell r="Y771">
            <v>88</v>
          </cell>
        </row>
        <row r="772">
          <cell r="U772" t="str">
            <v>L103836</v>
          </cell>
          <cell r="V772" t="str">
            <v>DIV GTA 2kg</v>
          </cell>
          <cell r="W772" t="str">
            <v>Ajuste</v>
          </cell>
          <cell r="X772">
            <v>4</v>
          </cell>
          <cell r="Y772">
            <v>8</v>
          </cell>
        </row>
        <row r="773">
          <cell r="U773" t="str">
            <v>L104908</v>
          </cell>
          <cell r="V773" t="str">
            <v>DIV GTA 2kg</v>
          </cell>
          <cell r="W773" t="str">
            <v>Ajuste</v>
          </cell>
          <cell r="X773">
            <v>10</v>
          </cell>
          <cell r="Y773">
            <v>20</v>
          </cell>
        </row>
        <row r="774">
          <cell r="U774" t="str">
            <v>L104909</v>
          </cell>
          <cell r="V774" t="str">
            <v>DIV GTA 2kg</v>
          </cell>
          <cell r="W774" t="str">
            <v>Ajuste</v>
          </cell>
          <cell r="X774">
            <v>10</v>
          </cell>
          <cell r="Y774">
            <v>20</v>
          </cell>
        </row>
        <row r="775">
          <cell r="U775" t="str">
            <v>L104910</v>
          </cell>
          <cell r="V775" t="str">
            <v>DIV GTA 2kg</v>
          </cell>
          <cell r="W775" t="str">
            <v>Ajuste</v>
          </cell>
          <cell r="X775">
            <v>76</v>
          </cell>
          <cell r="Y775">
            <v>152</v>
          </cell>
        </row>
        <row r="776">
          <cell r="U776" t="str">
            <v>L104895</v>
          </cell>
          <cell r="V776" t="str">
            <v>DIV GUD 2kg</v>
          </cell>
          <cell r="W776" t="str">
            <v>Ajuste</v>
          </cell>
          <cell r="X776">
            <v>44</v>
          </cell>
          <cell r="Y776">
            <v>88</v>
          </cell>
        </row>
        <row r="777">
          <cell r="U777" t="str">
            <v>L104034</v>
          </cell>
          <cell r="V777" t="str">
            <v>DIV HAV 5kg</v>
          </cell>
          <cell r="W777" t="str">
            <v>Ajuste</v>
          </cell>
          <cell r="X777">
            <v>4</v>
          </cell>
          <cell r="Y777">
            <v>20</v>
          </cell>
        </row>
        <row r="778">
          <cell r="U778" t="str">
            <v>L103777</v>
          </cell>
          <cell r="V778" t="str">
            <v>DIV HDG 30UNI</v>
          </cell>
          <cell r="W778" t="str">
            <v>Ajuste</v>
          </cell>
          <cell r="X778">
            <v>204</v>
          </cell>
          <cell r="Y778">
            <v>408</v>
          </cell>
        </row>
        <row r="779">
          <cell r="U779" t="str">
            <v>L103951</v>
          </cell>
          <cell r="V779" t="str">
            <v>DIV HDG 30UNI</v>
          </cell>
          <cell r="W779" t="str">
            <v>Ajuste</v>
          </cell>
          <cell r="X779">
            <v>14</v>
          </cell>
          <cell r="Y779">
            <v>28</v>
          </cell>
        </row>
        <row r="780">
          <cell r="U780" t="str">
            <v>L104134</v>
          </cell>
          <cell r="V780" t="str">
            <v>DIV HDG 30UNI</v>
          </cell>
          <cell r="W780" t="str">
            <v>Ajuste</v>
          </cell>
          <cell r="X780">
            <v>14</v>
          </cell>
          <cell r="Y780">
            <v>28</v>
          </cell>
        </row>
        <row r="781">
          <cell r="U781" t="str">
            <v>L104217</v>
          </cell>
          <cell r="V781" t="str">
            <v>DIV HDG 30UNI</v>
          </cell>
          <cell r="W781" t="str">
            <v>Ajuste</v>
          </cell>
          <cell r="X781">
            <v>14</v>
          </cell>
          <cell r="Y781">
            <v>28</v>
          </cell>
        </row>
        <row r="782">
          <cell r="U782" t="str">
            <v>L104236</v>
          </cell>
          <cell r="V782" t="str">
            <v>DIV HDG 30UNI</v>
          </cell>
          <cell r="W782" t="str">
            <v>Ajuste</v>
          </cell>
          <cell r="X782">
            <v>360</v>
          </cell>
          <cell r="Y782">
            <v>720</v>
          </cell>
        </row>
        <row r="783">
          <cell r="U783" t="str">
            <v>L104237</v>
          </cell>
          <cell r="V783" t="str">
            <v>DIV HDG 30UNI</v>
          </cell>
          <cell r="W783" t="str">
            <v>Ajuste</v>
          </cell>
          <cell r="X783">
            <v>120</v>
          </cell>
          <cell r="Y783">
            <v>240</v>
          </cell>
        </row>
        <row r="784">
          <cell r="U784" t="str">
            <v>L104365</v>
          </cell>
          <cell r="V784" t="str">
            <v>DIV HDG 30UNI</v>
          </cell>
          <cell r="W784" t="str">
            <v>Ajuste</v>
          </cell>
          <cell r="X784">
            <v>10</v>
          </cell>
          <cell r="Y784">
            <v>20</v>
          </cell>
        </row>
        <row r="785">
          <cell r="U785" t="str">
            <v>L104518</v>
          </cell>
          <cell r="V785" t="str">
            <v>DIV HDG 30UNI</v>
          </cell>
          <cell r="W785" t="str">
            <v>Ajuste</v>
          </cell>
          <cell r="X785">
            <v>6</v>
          </cell>
          <cell r="Y785">
            <v>12</v>
          </cell>
        </row>
        <row r="786">
          <cell r="U786" t="str">
            <v>L104620</v>
          </cell>
          <cell r="V786" t="str">
            <v>DIV HDG 30UNI</v>
          </cell>
          <cell r="W786" t="str">
            <v>Ajuste</v>
          </cell>
          <cell r="X786">
            <v>384</v>
          </cell>
          <cell r="Y786">
            <v>768</v>
          </cell>
        </row>
        <row r="787">
          <cell r="U787" t="str">
            <v>L104755</v>
          </cell>
          <cell r="V787" t="str">
            <v>DIV HDG 30UNI</v>
          </cell>
          <cell r="W787" t="str">
            <v>Ajuste</v>
          </cell>
          <cell r="X787">
            <v>8</v>
          </cell>
          <cell r="Y787">
            <v>16</v>
          </cell>
        </row>
        <row r="788">
          <cell r="U788" t="str">
            <v>L103776</v>
          </cell>
          <cell r="V788" t="str">
            <v>DIV HIDP 7KG</v>
          </cell>
          <cell r="W788" t="str">
            <v>Ajuste</v>
          </cell>
          <cell r="X788">
            <v>2</v>
          </cell>
          <cell r="Y788">
            <v>14</v>
          </cell>
        </row>
        <row r="789">
          <cell r="U789" t="str">
            <v>L104358</v>
          </cell>
          <cell r="V789" t="str">
            <v>DIV HRN 2kg</v>
          </cell>
          <cell r="W789" t="str">
            <v>Ajuste</v>
          </cell>
          <cell r="X789">
            <v>8</v>
          </cell>
          <cell r="Y789">
            <v>16</v>
          </cell>
        </row>
        <row r="790">
          <cell r="U790" t="str">
            <v>L103778</v>
          </cell>
          <cell r="V790" t="str">
            <v>DIV HVG 25kg</v>
          </cell>
          <cell r="W790" t="str">
            <v>Ajuste</v>
          </cell>
          <cell r="X790">
            <v>8</v>
          </cell>
          <cell r="Y790">
            <v>200</v>
          </cell>
        </row>
        <row r="791">
          <cell r="U791" t="str">
            <v>L103779</v>
          </cell>
          <cell r="V791" t="str">
            <v>DIV HVG 25kg</v>
          </cell>
          <cell r="W791" t="str">
            <v>Ajuste</v>
          </cell>
          <cell r="X791">
            <v>6</v>
          </cell>
          <cell r="Y791">
            <v>150</v>
          </cell>
        </row>
        <row r="792">
          <cell r="U792" t="str">
            <v>L104859</v>
          </cell>
          <cell r="V792" t="str">
            <v>DIV HVG 25kg</v>
          </cell>
          <cell r="W792" t="str">
            <v>Ajuste</v>
          </cell>
          <cell r="X792">
            <v>4</v>
          </cell>
          <cell r="Y792">
            <v>100</v>
          </cell>
        </row>
        <row r="793">
          <cell r="U793" t="str">
            <v>L104355</v>
          </cell>
          <cell r="V793" t="str">
            <v>DIV JB 2kg</v>
          </cell>
          <cell r="W793" t="str">
            <v>Ajuste</v>
          </cell>
          <cell r="X793">
            <v>8</v>
          </cell>
          <cell r="Y793">
            <v>16</v>
          </cell>
        </row>
        <row r="794">
          <cell r="U794" t="str">
            <v>L104902</v>
          </cell>
          <cell r="V794" t="str">
            <v>DIV JGO 24x200mL</v>
          </cell>
          <cell r="W794" t="str">
            <v>Ajuste</v>
          </cell>
          <cell r="X794">
            <v>26</v>
          </cell>
          <cell r="Y794">
            <v>62.4</v>
          </cell>
        </row>
        <row r="795">
          <cell r="U795" t="str">
            <v>L104270</v>
          </cell>
          <cell r="V795" t="str">
            <v>DIV JLP 2kg</v>
          </cell>
          <cell r="W795" t="str">
            <v>Ajuste</v>
          </cell>
          <cell r="X795">
            <v>134</v>
          </cell>
          <cell r="Y795">
            <v>268</v>
          </cell>
        </row>
        <row r="796">
          <cell r="U796" t="str">
            <v>L104158</v>
          </cell>
          <cell r="V796" t="str">
            <v>DIV JLP 2kg</v>
          </cell>
          <cell r="W796" t="str">
            <v>Ajuste</v>
          </cell>
          <cell r="X796">
            <v>12</v>
          </cell>
          <cell r="Y796">
            <v>24</v>
          </cell>
        </row>
        <row r="797">
          <cell r="U797" t="str">
            <v>L104269</v>
          </cell>
          <cell r="V797" t="str">
            <v>DIV JLPL 2kg</v>
          </cell>
          <cell r="W797" t="str">
            <v>Ajuste</v>
          </cell>
          <cell r="X797">
            <v>90</v>
          </cell>
          <cell r="Y797">
            <v>180</v>
          </cell>
        </row>
        <row r="798">
          <cell r="U798" t="str">
            <v>L104543</v>
          </cell>
          <cell r="V798" t="str">
            <v>DIV JMAH 2kg</v>
          </cell>
          <cell r="W798" t="str">
            <v>Ajuste</v>
          </cell>
          <cell r="X798">
            <v>8</v>
          </cell>
          <cell r="Y798">
            <v>16</v>
          </cell>
        </row>
        <row r="799">
          <cell r="U799" t="str">
            <v>L104542</v>
          </cell>
          <cell r="V799" t="str">
            <v>DIV JMANV 2kg</v>
          </cell>
          <cell r="W799" t="str">
            <v>Ajuste</v>
          </cell>
          <cell r="X799">
            <v>104</v>
          </cell>
          <cell r="Y799">
            <v>208</v>
          </cell>
        </row>
        <row r="800">
          <cell r="U800" t="str">
            <v>L104798</v>
          </cell>
          <cell r="V800" t="str">
            <v>DIV KTPBBQ 24x397g</v>
          </cell>
          <cell r="W800" t="str">
            <v>Ajuste</v>
          </cell>
          <cell r="X800">
            <v>18</v>
          </cell>
          <cell r="Y800">
            <v>180</v>
          </cell>
        </row>
        <row r="801">
          <cell r="U801" t="str">
            <v>L103759</v>
          </cell>
          <cell r="V801" t="str">
            <v>DIV LCH 48X314g</v>
          </cell>
          <cell r="W801" t="str">
            <v>Ajuste</v>
          </cell>
          <cell r="X801">
            <v>1298</v>
          </cell>
          <cell r="Y801">
            <v>23364</v>
          </cell>
        </row>
        <row r="802">
          <cell r="U802" t="str">
            <v>L104627</v>
          </cell>
          <cell r="V802" t="str">
            <v>DIV LCH 96X167g</v>
          </cell>
          <cell r="W802" t="str">
            <v>Ajuste</v>
          </cell>
          <cell r="X802">
            <v>1334</v>
          </cell>
          <cell r="Y802">
            <v>25346</v>
          </cell>
        </row>
        <row r="803">
          <cell r="U803" t="str">
            <v>L104801</v>
          </cell>
          <cell r="V803" t="str">
            <v>DIV LCH 96X167g</v>
          </cell>
          <cell r="W803" t="str">
            <v>Ajuste</v>
          </cell>
          <cell r="X803">
            <v>96</v>
          </cell>
          <cell r="Y803">
            <v>1824</v>
          </cell>
        </row>
        <row r="804">
          <cell r="U804" t="str">
            <v>L103833</v>
          </cell>
          <cell r="V804" t="str">
            <v>DIV LCH EV 2kg</v>
          </cell>
          <cell r="W804" t="str">
            <v>Ajuste</v>
          </cell>
          <cell r="X804">
            <v>284</v>
          </cell>
          <cell r="Y804">
            <v>568</v>
          </cell>
        </row>
        <row r="805">
          <cell r="U805" t="str">
            <v>L104474</v>
          </cell>
          <cell r="V805" t="str">
            <v>DIV MDP 5kg</v>
          </cell>
          <cell r="W805" t="str">
            <v>Ajuste</v>
          </cell>
          <cell r="X805">
            <v>400</v>
          </cell>
          <cell r="Y805">
            <v>2000</v>
          </cell>
        </row>
        <row r="806">
          <cell r="U806" t="str">
            <v>L103841</v>
          </cell>
          <cell r="V806" t="str">
            <v>DIV Menestra kg</v>
          </cell>
          <cell r="W806" t="str">
            <v>Ajuste</v>
          </cell>
          <cell r="X806">
            <v>2770</v>
          </cell>
          <cell r="Y806">
            <v>2770</v>
          </cell>
        </row>
        <row r="807">
          <cell r="U807" t="str">
            <v>L103875</v>
          </cell>
          <cell r="V807" t="str">
            <v>DIV MERMA DE FRUVER 1kg</v>
          </cell>
          <cell r="W807" t="str">
            <v>Ajuste</v>
          </cell>
          <cell r="X807">
            <v>40</v>
          </cell>
          <cell r="Y807">
            <v>40</v>
          </cell>
        </row>
        <row r="808">
          <cell r="U808" t="str">
            <v>L103877</v>
          </cell>
          <cell r="V808" t="str">
            <v>DIV MERMA DE FRUVER 1kg</v>
          </cell>
          <cell r="W808" t="str">
            <v>Ajuste</v>
          </cell>
          <cell r="X808">
            <v>20</v>
          </cell>
          <cell r="Y808">
            <v>20</v>
          </cell>
        </row>
        <row r="809">
          <cell r="U809" t="str">
            <v>L103879</v>
          </cell>
          <cell r="V809" t="str">
            <v>DIV MERMA DE FRUVER 1kg</v>
          </cell>
          <cell r="W809" t="str">
            <v>Ajuste</v>
          </cell>
          <cell r="X809">
            <v>24</v>
          </cell>
          <cell r="Y809">
            <v>24</v>
          </cell>
        </row>
        <row r="810">
          <cell r="U810" t="str">
            <v>L103950</v>
          </cell>
          <cell r="V810" t="str">
            <v>DIV MERMA DE FRUVER 1kg</v>
          </cell>
          <cell r="W810" t="str">
            <v>Ajuste</v>
          </cell>
          <cell r="X810">
            <v>16</v>
          </cell>
          <cell r="Y810">
            <v>16</v>
          </cell>
        </row>
        <row r="811">
          <cell r="U811" t="str">
            <v>L103968</v>
          </cell>
          <cell r="V811" t="str">
            <v>DIV MERMA DE FRUVER 1kg</v>
          </cell>
          <cell r="W811" t="str">
            <v>Ajuste</v>
          </cell>
          <cell r="X811">
            <v>12</v>
          </cell>
          <cell r="Y811">
            <v>12</v>
          </cell>
        </row>
        <row r="812">
          <cell r="U812" t="str">
            <v>L103971</v>
          </cell>
          <cell r="V812" t="str">
            <v>DIV MERMA DE FRUVER 1kg</v>
          </cell>
          <cell r="W812" t="str">
            <v>Ajuste</v>
          </cell>
          <cell r="X812">
            <v>14</v>
          </cell>
          <cell r="Y812">
            <v>14</v>
          </cell>
        </row>
        <row r="813">
          <cell r="U813" t="str">
            <v>L103973</v>
          </cell>
          <cell r="V813" t="str">
            <v>DIV MERMA DE FRUVER 1kg</v>
          </cell>
          <cell r="W813" t="str">
            <v>Ajuste</v>
          </cell>
          <cell r="X813">
            <v>18</v>
          </cell>
          <cell r="Y813">
            <v>18</v>
          </cell>
        </row>
        <row r="814">
          <cell r="U814" t="str">
            <v>L104139</v>
          </cell>
          <cell r="V814" t="str">
            <v>DIV MERMA DE FRUVER 1kg</v>
          </cell>
          <cell r="W814" t="str">
            <v>Ajuste</v>
          </cell>
          <cell r="X814">
            <v>12</v>
          </cell>
          <cell r="Y814">
            <v>12</v>
          </cell>
        </row>
        <row r="815">
          <cell r="U815" t="str">
            <v>L104141</v>
          </cell>
          <cell r="V815" t="str">
            <v>DIV MERMA DE FRUVER 1kg</v>
          </cell>
          <cell r="W815" t="str">
            <v>Ajuste</v>
          </cell>
          <cell r="X815">
            <v>46</v>
          </cell>
          <cell r="Y815">
            <v>46</v>
          </cell>
        </row>
        <row r="816">
          <cell r="U816" t="str">
            <v>L104143</v>
          </cell>
          <cell r="V816" t="str">
            <v>DIV MERMA DE FRUVER 1kg</v>
          </cell>
          <cell r="W816" t="str">
            <v>Ajuste</v>
          </cell>
          <cell r="X816">
            <v>30</v>
          </cell>
          <cell r="Y816">
            <v>30</v>
          </cell>
        </row>
        <row r="817">
          <cell r="U817" t="str">
            <v>L104145</v>
          </cell>
          <cell r="V817" t="str">
            <v>DIV MERMA DE FRUVER 1kg</v>
          </cell>
          <cell r="W817" t="str">
            <v>Ajuste</v>
          </cell>
          <cell r="X817">
            <v>80</v>
          </cell>
          <cell r="Y817">
            <v>80</v>
          </cell>
        </row>
        <row r="818">
          <cell r="U818" t="str">
            <v>L104148</v>
          </cell>
          <cell r="V818" t="str">
            <v>DIV MERMA DE FRUVER 1kg</v>
          </cell>
          <cell r="W818" t="str">
            <v>Ajuste</v>
          </cell>
          <cell r="X818">
            <v>70</v>
          </cell>
          <cell r="Y818">
            <v>70</v>
          </cell>
        </row>
        <row r="819">
          <cell r="U819" t="str">
            <v>L104150</v>
          </cell>
          <cell r="V819" t="str">
            <v>DIV MERMA DE FRUVER 1kg</v>
          </cell>
          <cell r="W819" t="str">
            <v>Ajuste</v>
          </cell>
          <cell r="X819">
            <v>36</v>
          </cell>
          <cell r="Y819">
            <v>36</v>
          </cell>
        </row>
        <row r="820">
          <cell r="U820" t="str">
            <v>L104254</v>
          </cell>
          <cell r="V820" t="str">
            <v>DIV MERMA DE FRUVER 1kg</v>
          </cell>
          <cell r="W820" t="str">
            <v>Ajuste</v>
          </cell>
          <cell r="X820">
            <v>36</v>
          </cell>
          <cell r="Y820">
            <v>36</v>
          </cell>
        </row>
        <row r="821">
          <cell r="U821" t="str">
            <v>L104278</v>
          </cell>
          <cell r="V821" t="str">
            <v>DIV MERMA DE FRUVER 1kg</v>
          </cell>
          <cell r="W821" t="str">
            <v>Ajuste</v>
          </cell>
          <cell r="X821">
            <v>20</v>
          </cell>
          <cell r="Y821">
            <v>20</v>
          </cell>
        </row>
        <row r="822">
          <cell r="U822" t="str">
            <v>L104373</v>
          </cell>
          <cell r="V822" t="str">
            <v>DIV MERMA DE FRUVER 1kg</v>
          </cell>
          <cell r="W822" t="str">
            <v>Ajuste</v>
          </cell>
          <cell r="X822">
            <v>80</v>
          </cell>
          <cell r="Y822">
            <v>80</v>
          </cell>
        </row>
        <row r="823">
          <cell r="U823" t="str">
            <v>L104379</v>
          </cell>
          <cell r="V823" t="str">
            <v>DIV MERMA DE FRUVER 1kg</v>
          </cell>
          <cell r="W823" t="str">
            <v>Ajuste</v>
          </cell>
          <cell r="X823">
            <v>16</v>
          </cell>
          <cell r="Y823">
            <v>16</v>
          </cell>
        </row>
        <row r="824">
          <cell r="U824" t="str">
            <v>L104381</v>
          </cell>
          <cell r="V824" t="str">
            <v>DIV MERMA DE FRUVER 1kg</v>
          </cell>
          <cell r="W824" t="str">
            <v>Ajuste</v>
          </cell>
          <cell r="X824">
            <v>16</v>
          </cell>
          <cell r="Y824">
            <v>16</v>
          </cell>
        </row>
        <row r="825">
          <cell r="U825" t="str">
            <v>L104390</v>
          </cell>
          <cell r="V825" t="str">
            <v>DIV MERMA DE FRUVER 1kg</v>
          </cell>
          <cell r="W825" t="str">
            <v>Ajuste</v>
          </cell>
          <cell r="X825">
            <v>14</v>
          </cell>
          <cell r="Y825">
            <v>14</v>
          </cell>
        </row>
        <row r="826">
          <cell r="U826" t="str">
            <v>L104429</v>
          </cell>
          <cell r="V826" t="str">
            <v>DIV MERMA DE FRUVER 1kg</v>
          </cell>
          <cell r="W826" t="str">
            <v>Ajuste</v>
          </cell>
          <cell r="X826">
            <v>16</v>
          </cell>
          <cell r="Y826">
            <v>16</v>
          </cell>
        </row>
        <row r="827">
          <cell r="U827" t="str">
            <v>L104431</v>
          </cell>
          <cell r="V827" t="str">
            <v>DIV MERMA DE FRUVER 1kg</v>
          </cell>
          <cell r="W827" t="str">
            <v>Ajuste</v>
          </cell>
          <cell r="X827">
            <v>24</v>
          </cell>
          <cell r="Y827">
            <v>24</v>
          </cell>
        </row>
        <row r="828">
          <cell r="U828" t="str">
            <v>L104525</v>
          </cell>
          <cell r="V828" t="str">
            <v>DIV MERMA DE FRUVER 1kg</v>
          </cell>
          <cell r="W828" t="str">
            <v>Ajuste</v>
          </cell>
          <cell r="X828">
            <v>12</v>
          </cell>
          <cell r="Y828">
            <v>12</v>
          </cell>
        </row>
        <row r="829">
          <cell r="U829" t="str">
            <v>L104539</v>
          </cell>
          <cell r="V829" t="str">
            <v>DIV MERMA DE FRUVER 1kg</v>
          </cell>
          <cell r="W829" t="str">
            <v>Ajuste</v>
          </cell>
          <cell r="X829">
            <v>70</v>
          </cell>
          <cell r="Y829">
            <v>70</v>
          </cell>
        </row>
        <row r="830">
          <cell r="U830" t="str">
            <v>L104541</v>
          </cell>
          <cell r="V830" t="str">
            <v>DIV MERMA DE FRUVER 1kg</v>
          </cell>
          <cell r="W830" t="str">
            <v>Ajuste</v>
          </cell>
          <cell r="X830">
            <v>26</v>
          </cell>
          <cell r="Y830">
            <v>26</v>
          </cell>
        </row>
        <row r="831">
          <cell r="U831" t="str">
            <v>L104591</v>
          </cell>
          <cell r="V831" t="str">
            <v>DIV MERMA DE FRUVER 1kg</v>
          </cell>
          <cell r="W831" t="str">
            <v>Ajuste</v>
          </cell>
          <cell r="X831">
            <v>8</v>
          </cell>
          <cell r="Y831">
            <v>8</v>
          </cell>
        </row>
        <row r="832">
          <cell r="U832" t="str">
            <v>L104747</v>
          </cell>
          <cell r="V832" t="str">
            <v>DIV MERMA DE FRUVER 1kg</v>
          </cell>
          <cell r="W832" t="str">
            <v>Ajuste</v>
          </cell>
          <cell r="X832">
            <v>36</v>
          </cell>
          <cell r="Y832">
            <v>36</v>
          </cell>
        </row>
        <row r="833">
          <cell r="U833" t="str">
            <v>L104749</v>
          </cell>
          <cell r="V833" t="str">
            <v>DIV MERMA DE FRUVER 1kg</v>
          </cell>
          <cell r="W833" t="str">
            <v>Ajuste</v>
          </cell>
          <cell r="X833">
            <v>102</v>
          </cell>
          <cell r="Y833">
            <v>102</v>
          </cell>
        </row>
        <row r="834">
          <cell r="U834" t="str">
            <v>L104750</v>
          </cell>
          <cell r="V834" t="str">
            <v>DIV MERMA DE FRUVER 1kg</v>
          </cell>
          <cell r="W834" t="str">
            <v>Ajuste</v>
          </cell>
          <cell r="X834">
            <v>74</v>
          </cell>
          <cell r="Y834">
            <v>74</v>
          </cell>
        </row>
        <row r="835">
          <cell r="U835" t="str">
            <v>L104753</v>
          </cell>
          <cell r="V835" t="str">
            <v>DIV MERMA DE FRUVER 1kg</v>
          </cell>
          <cell r="W835" t="str">
            <v>Ajuste</v>
          </cell>
          <cell r="X835">
            <v>36</v>
          </cell>
          <cell r="Y835">
            <v>36</v>
          </cell>
        </row>
        <row r="836">
          <cell r="U836" t="str">
            <v>L104804</v>
          </cell>
          <cell r="V836" t="str">
            <v>DIV MERMA DE FRUVER 1kg</v>
          </cell>
          <cell r="W836" t="str">
            <v>Ajuste</v>
          </cell>
          <cell r="X836">
            <v>30</v>
          </cell>
          <cell r="Y836">
            <v>30</v>
          </cell>
        </row>
        <row r="837">
          <cell r="U837" t="str">
            <v>L104806</v>
          </cell>
          <cell r="V837" t="str">
            <v>DIV MERMA DE FRUVER 1kg</v>
          </cell>
          <cell r="W837" t="str">
            <v>Ajuste</v>
          </cell>
          <cell r="X837">
            <v>240</v>
          </cell>
          <cell r="Y837">
            <v>240</v>
          </cell>
        </row>
        <row r="838">
          <cell r="U838" t="str">
            <v>L104855</v>
          </cell>
          <cell r="V838" t="str">
            <v>DIV MERMA DE FRUVER 1kg</v>
          </cell>
          <cell r="W838" t="str">
            <v>Ajuste</v>
          </cell>
          <cell r="X838">
            <v>40</v>
          </cell>
          <cell r="Y838">
            <v>40</v>
          </cell>
        </row>
        <row r="839">
          <cell r="U839" t="str">
            <v>L104857</v>
          </cell>
          <cell r="V839" t="str">
            <v>DIV MERMA DE FRUVER 1kg</v>
          </cell>
          <cell r="W839" t="str">
            <v>Ajuste</v>
          </cell>
          <cell r="X839">
            <v>56</v>
          </cell>
          <cell r="Y839">
            <v>56</v>
          </cell>
        </row>
        <row r="840">
          <cell r="U840" t="str">
            <v>L104889</v>
          </cell>
          <cell r="V840" t="str">
            <v>DIV MERMA DE FRUVER 1kg</v>
          </cell>
          <cell r="W840" t="str">
            <v>Ajuste</v>
          </cell>
          <cell r="X840">
            <v>30</v>
          </cell>
          <cell r="Y840">
            <v>30</v>
          </cell>
        </row>
        <row r="841">
          <cell r="U841" t="str">
            <v>L104891</v>
          </cell>
          <cell r="V841" t="str">
            <v>DIV MERMA DE FRUVER 1kg</v>
          </cell>
          <cell r="W841" t="str">
            <v>Ajuste</v>
          </cell>
          <cell r="X841">
            <v>24</v>
          </cell>
          <cell r="Y841">
            <v>24</v>
          </cell>
        </row>
        <row r="842">
          <cell r="U842" t="str">
            <v>L104907</v>
          </cell>
          <cell r="V842" t="str">
            <v>DIV MNS 2kg</v>
          </cell>
          <cell r="W842" t="str">
            <v>Ajuste</v>
          </cell>
          <cell r="X842">
            <v>4</v>
          </cell>
          <cell r="Y842">
            <v>8</v>
          </cell>
        </row>
        <row r="843">
          <cell r="U843" t="str">
            <v>L104898</v>
          </cell>
          <cell r="V843" t="str">
            <v>DIV MRL 1kg</v>
          </cell>
          <cell r="W843" t="str">
            <v>Ajuste</v>
          </cell>
          <cell r="X843">
            <v>6</v>
          </cell>
          <cell r="Y843">
            <v>6</v>
          </cell>
        </row>
        <row r="844">
          <cell r="U844" t="str">
            <v>L104521</v>
          </cell>
          <cell r="V844" t="str">
            <v>DIV MTQ 2kg</v>
          </cell>
          <cell r="W844" t="str">
            <v>Ajuste</v>
          </cell>
          <cell r="X844">
            <v>10</v>
          </cell>
          <cell r="Y844">
            <v>20</v>
          </cell>
        </row>
        <row r="845">
          <cell r="U845" t="str">
            <v>L103772</v>
          </cell>
          <cell r="V845" t="str">
            <v>DIV MXTCD 5kg</v>
          </cell>
          <cell r="W845" t="str">
            <v>Ajuste</v>
          </cell>
          <cell r="X845">
            <v>56</v>
          </cell>
          <cell r="Y845">
            <v>280</v>
          </cell>
        </row>
        <row r="846">
          <cell r="U846" t="str">
            <v>L104700</v>
          </cell>
          <cell r="V846" t="str">
            <v>DIV MXTCD 5kg</v>
          </cell>
          <cell r="W846" t="str">
            <v>Ajuste</v>
          </cell>
          <cell r="X846">
            <v>24</v>
          </cell>
          <cell r="Y846">
            <v>120</v>
          </cell>
        </row>
        <row r="847">
          <cell r="U847" t="str">
            <v>L104772</v>
          </cell>
          <cell r="V847" t="str">
            <v>DIV MYN 2kg</v>
          </cell>
          <cell r="W847" t="str">
            <v>Ajuste</v>
          </cell>
          <cell r="X847">
            <v>4</v>
          </cell>
          <cell r="Y847">
            <v>8</v>
          </cell>
        </row>
        <row r="848">
          <cell r="U848" t="str">
            <v>L104301</v>
          </cell>
          <cell r="V848" t="str">
            <v>DIV MZL 2kg</v>
          </cell>
          <cell r="W848" t="str">
            <v>Ajuste</v>
          </cell>
          <cell r="X848">
            <v>2</v>
          </cell>
          <cell r="Y848">
            <v>4</v>
          </cell>
        </row>
        <row r="849">
          <cell r="U849" t="str">
            <v>L103980</v>
          </cell>
          <cell r="V849" t="str">
            <v>DIV PASTV 2kg</v>
          </cell>
          <cell r="W849" t="str">
            <v>Ajuste</v>
          </cell>
          <cell r="X849">
            <v>6</v>
          </cell>
          <cell r="Y849">
            <v>12</v>
          </cell>
        </row>
        <row r="850">
          <cell r="U850" t="str">
            <v>L104298</v>
          </cell>
          <cell r="V850" t="str">
            <v>DIV PASTV 2kg</v>
          </cell>
          <cell r="W850" t="str">
            <v>Ajuste</v>
          </cell>
          <cell r="X850">
            <v>26</v>
          </cell>
          <cell r="Y850">
            <v>52</v>
          </cell>
        </row>
        <row r="851">
          <cell r="U851" t="str">
            <v>L104611</v>
          </cell>
          <cell r="V851" t="str">
            <v>DIV PASTV 2kg</v>
          </cell>
          <cell r="W851" t="str">
            <v>Ajuste</v>
          </cell>
          <cell r="X851">
            <v>12</v>
          </cell>
          <cell r="Y851">
            <v>24</v>
          </cell>
        </row>
        <row r="852">
          <cell r="U852" t="str">
            <v>L104299</v>
          </cell>
          <cell r="V852" t="str">
            <v>DIV PASTV 6kg</v>
          </cell>
          <cell r="W852" t="str">
            <v>Ajuste</v>
          </cell>
          <cell r="X852">
            <v>4</v>
          </cell>
          <cell r="Y852">
            <v>24</v>
          </cell>
        </row>
        <row r="853">
          <cell r="U853" t="str">
            <v>L104610</v>
          </cell>
          <cell r="V853" t="str">
            <v>DIV PASTV 6kg</v>
          </cell>
          <cell r="W853" t="str">
            <v>Ajuste</v>
          </cell>
          <cell r="X853">
            <v>4</v>
          </cell>
          <cell r="Y853">
            <v>24</v>
          </cell>
        </row>
        <row r="854">
          <cell r="U854" t="str">
            <v>L104851</v>
          </cell>
          <cell r="V854" t="str">
            <v>DIV PASTV 6kg</v>
          </cell>
          <cell r="W854" t="str">
            <v>Ajuste</v>
          </cell>
          <cell r="X854">
            <v>4</v>
          </cell>
          <cell r="Y854">
            <v>24</v>
          </cell>
        </row>
        <row r="855">
          <cell r="U855" t="str">
            <v>L104033</v>
          </cell>
          <cell r="V855" t="str">
            <v>DIV PCK 3kg</v>
          </cell>
          <cell r="W855" t="str">
            <v>Ajuste</v>
          </cell>
          <cell r="X855">
            <v>12</v>
          </cell>
          <cell r="Y855">
            <v>36</v>
          </cell>
        </row>
        <row r="856">
          <cell r="U856" t="str">
            <v>L104035</v>
          </cell>
          <cell r="V856" t="str">
            <v>DIV PDH 6X8g</v>
          </cell>
          <cell r="W856" t="str">
            <v>Ajuste</v>
          </cell>
          <cell r="X856">
            <v>538</v>
          </cell>
          <cell r="Y856">
            <v>26.900000000000002</v>
          </cell>
        </row>
        <row r="857">
          <cell r="U857" t="str">
            <v>L103763</v>
          </cell>
          <cell r="V857" t="str">
            <v>DIV PEC 8KG</v>
          </cell>
          <cell r="W857" t="str">
            <v>Ajuste</v>
          </cell>
          <cell r="X857">
            <v>90</v>
          </cell>
          <cell r="Y857">
            <v>720</v>
          </cell>
        </row>
        <row r="858">
          <cell r="U858" t="str">
            <v>L103768</v>
          </cell>
          <cell r="V858" t="str">
            <v>DIV PEC 8KG</v>
          </cell>
          <cell r="W858" t="str">
            <v>Ajuste</v>
          </cell>
          <cell r="X858">
            <v>118</v>
          </cell>
          <cell r="Y858">
            <v>944</v>
          </cell>
        </row>
        <row r="859">
          <cell r="U859" t="str">
            <v>L104285</v>
          </cell>
          <cell r="V859" t="str">
            <v>DIV PEC 8KG</v>
          </cell>
          <cell r="W859" t="str">
            <v>Ajuste</v>
          </cell>
          <cell r="X859">
            <v>12</v>
          </cell>
          <cell r="Y859">
            <v>96</v>
          </cell>
        </row>
        <row r="860">
          <cell r="U860" t="str">
            <v>L104432</v>
          </cell>
          <cell r="V860" t="str">
            <v>DIV PEC 8KG</v>
          </cell>
          <cell r="W860" t="str">
            <v>Ajuste</v>
          </cell>
          <cell r="X860">
            <v>66</v>
          </cell>
          <cell r="Y860">
            <v>528</v>
          </cell>
        </row>
        <row r="861">
          <cell r="U861" t="str">
            <v>L104701</v>
          </cell>
          <cell r="V861" t="str">
            <v>DIV PEC 8KG</v>
          </cell>
          <cell r="W861" t="str">
            <v>Ajuste</v>
          </cell>
          <cell r="X861">
            <v>50</v>
          </cell>
          <cell r="Y861">
            <v>400</v>
          </cell>
        </row>
        <row r="862">
          <cell r="U862" t="str">
            <v>L103976</v>
          </cell>
          <cell r="V862" t="str">
            <v>DIV PIZVRD 2kg</v>
          </cell>
          <cell r="W862" t="str">
            <v>Ajuste</v>
          </cell>
          <cell r="X862">
            <v>2</v>
          </cell>
          <cell r="Y862">
            <v>4</v>
          </cell>
        </row>
        <row r="863">
          <cell r="U863" t="str">
            <v>L103770</v>
          </cell>
          <cell r="V863" t="str">
            <v>DIV PLLMC 13kg</v>
          </cell>
          <cell r="W863" t="str">
            <v>Ajuste</v>
          </cell>
          <cell r="X863">
            <v>4</v>
          </cell>
          <cell r="Y863">
            <v>52</v>
          </cell>
        </row>
        <row r="864">
          <cell r="U864" t="str">
            <v>L104289</v>
          </cell>
          <cell r="V864" t="str">
            <v>DIV PLLMC 13kg</v>
          </cell>
          <cell r="W864" t="str">
            <v>Ajuste</v>
          </cell>
          <cell r="X864">
            <v>12</v>
          </cell>
          <cell r="Y864">
            <v>156</v>
          </cell>
        </row>
        <row r="865">
          <cell r="U865" t="str">
            <v>L104621</v>
          </cell>
          <cell r="V865" t="str">
            <v>DIV PLLMC 13kg</v>
          </cell>
          <cell r="W865" t="str">
            <v>Ajuste</v>
          </cell>
          <cell r="X865">
            <v>4</v>
          </cell>
          <cell r="Y865">
            <v>52</v>
          </cell>
        </row>
        <row r="866">
          <cell r="U866" t="str">
            <v>L103769</v>
          </cell>
          <cell r="V866" t="str">
            <v>DIV PLLMC 8kg</v>
          </cell>
          <cell r="W866" t="str">
            <v>Ajuste</v>
          </cell>
          <cell r="X866">
            <v>12</v>
          </cell>
          <cell r="Y866">
            <v>96</v>
          </cell>
        </row>
        <row r="867">
          <cell r="U867" t="str">
            <v>L104619</v>
          </cell>
          <cell r="V867" t="str">
            <v>DIV PLLPM 5kg</v>
          </cell>
          <cell r="W867" t="str">
            <v>Ajuste</v>
          </cell>
          <cell r="X867">
            <v>44</v>
          </cell>
          <cell r="Y867">
            <v>220</v>
          </cell>
        </row>
        <row r="868">
          <cell r="U868" t="str">
            <v>L104897</v>
          </cell>
          <cell r="V868" t="str">
            <v>DIV PNALT 1kg</v>
          </cell>
          <cell r="W868" t="str">
            <v>Ajuste</v>
          </cell>
          <cell r="X868">
            <v>14</v>
          </cell>
          <cell r="Y868">
            <v>14</v>
          </cell>
        </row>
        <row r="869">
          <cell r="U869" t="str">
            <v>L103880</v>
          </cell>
          <cell r="V869" t="str">
            <v>DIV PNCH HUV 946ml</v>
          </cell>
          <cell r="W869" t="str">
            <v>Ajuste</v>
          </cell>
          <cell r="X869">
            <v>2444</v>
          </cell>
          <cell r="Y869">
            <v>2321.7999999999997</v>
          </cell>
        </row>
        <row r="870">
          <cell r="U870" t="str">
            <v>L103880</v>
          </cell>
          <cell r="V870" t="str">
            <v>DIV PNCH HUV 946ml</v>
          </cell>
          <cell r="W870" t="str">
            <v>Dañado</v>
          </cell>
          <cell r="X870">
            <v>16</v>
          </cell>
          <cell r="Y870">
            <v>15.2</v>
          </cell>
        </row>
        <row r="871">
          <cell r="U871" t="str">
            <v>L104086</v>
          </cell>
          <cell r="V871" t="str">
            <v>DIV PNCH HUV 946ml</v>
          </cell>
          <cell r="W871" t="str">
            <v>Ajuste</v>
          </cell>
          <cell r="X871">
            <v>1760</v>
          </cell>
          <cell r="Y871">
            <v>1672</v>
          </cell>
        </row>
        <row r="872">
          <cell r="U872" t="str">
            <v>L103771</v>
          </cell>
          <cell r="V872" t="str">
            <v>DIV PP 5kg</v>
          </cell>
          <cell r="W872" t="str">
            <v>Ajuste</v>
          </cell>
          <cell r="X872">
            <v>36</v>
          </cell>
          <cell r="Y872">
            <v>180</v>
          </cell>
        </row>
        <row r="873">
          <cell r="U873" t="str">
            <v>L103873</v>
          </cell>
          <cell r="V873" t="str">
            <v>DIV PP 5kg</v>
          </cell>
          <cell r="W873" t="str">
            <v>Ajuste</v>
          </cell>
          <cell r="X873">
            <v>24</v>
          </cell>
          <cell r="Y873">
            <v>120</v>
          </cell>
        </row>
        <row r="874">
          <cell r="U874" t="str">
            <v>L104135</v>
          </cell>
          <cell r="V874" t="str">
            <v>DIV PP 5kg</v>
          </cell>
          <cell r="W874" t="str">
            <v>Ajuste</v>
          </cell>
          <cell r="X874">
            <v>16</v>
          </cell>
          <cell r="Y874">
            <v>80</v>
          </cell>
        </row>
        <row r="875">
          <cell r="U875" t="str">
            <v>L104286</v>
          </cell>
          <cell r="V875" t="str">
            <v>DIV PP 5kg</v>
          </cell>
          <cell r="W875" t="str">
            <v>Ajuste</v>
          </cell>
          <cell r="X875">
            <v>14</v>
          </cell>
          <cell r="Y875">
            <v>70</v>
          </cell>
        </row>
        <row r="876">
          <cell r="U876" t="str">
            <v>L104290</v>
          </cell>
          <cell r="V876" t="str">
            <v>DIV PP 5kg</v>
          </cell>
          <cell r="W876" t="str">
            <v>Ajuste</v>
          </cell>
          <cell r="X876">
            <v>10</v>
          </cell>
          <cell r="Y876">
            <v>50</v>
          </cell>
        </row>
        <row r="877">
          <cell r="U877" t="str">
            <v>L104366</v>
          </cell>
          <cell r="V877" t="str">
            <v>DIV PP 5kg</v>
          </cell>
          <cell r="W877" t="str">
            <v>Ajuste</v>
          </cell>
          <cell r="X877">
            <v>14</v>
          </cell>
          <cell r="Y877">
            <v>70</v>
          </cell>
        </row>
        <row r="878">
          <cell r="U878" t="str">
            <v>L104702</v>
          </cell>
          <cell r="V878" t="str">
            <v>DIV PP 5kg</v>
          </cell>
          <cell r="W878" t="str">
            <v>Ajuste</v>
          </cell>
          <cell r="X878">
            <v>12</v>
          </cell>
          <cell r="Y878">
            <v>60</v>
          </cell>
        </row>
        <row r="879">
          <cell r="U879" t="str">
            <v>L104756</v>
          </cell>
          <cell r="V879" t="str">
            <v>DIV PP 5kg</v>
          </cell>
          <cell r="W879" t="str">
            <v>Ajuste</v>
          </cell>
          <cell r="X879">
            <v>10</v>
          </cell>
          <cell r="Y879">
            <v>50</v>
          </cell>
        </row>
        <row r="880">
          <cell r="U880" t="str">
            <v>L104858</v>
          </cell>
          <cell r="V880" t="str">
            <v>DIV PP 5kg</v>
          </cell>
          <cell r="W880" t="str">
            <v>Ajuste</v>
          </cell>
          <cell r="X880">
            <v>48</v>
          </cell>
          <cell r="Y880">
            <v>240</v>
          </cell>
        </row>
        <row r="881">
          <cell r="U881" t="str">
            <v>L103947</v>
          </cell>
          <cell r="V881" t="str">
            <v>DIV PP 8kg</v>
          </cell>
          <cell r="W881" t="str">
            <v>Ajuste</v>
          </cell>
          <cell r="X881">
            <v>4</v>
          </cell>
          <cell r="Y881">
            <v>32</v>
          </cell>
        </row>
        <row r="882">
          <cell r="U882" t="str">
            <v>L104218</v>
          </cell>
          <cell r="V882" t="str">
            <v>DIV PP 8kg</v>
          </cell>
          <cell r="W882" t="str">
            <v>Ajuste</v>
          </cell>
          <cell r="X882">
            <v>10</v>
          </cell>
          <cell r="Y882">
            <v>80</v>
          </cell>
        </row>
        <row r="883">
          <cell r="U883" t="str">
            <v>L104300</v>
          </cell>
          <cell r="V883" t="str">
            <v>DIV PPF 2kg</v>
          </cell>
          <cell r="W883" t="str">
            <v>Ajuste</v>
          </cell>
          <cell r="X883">
            <v>6</v>
          </cell>
          <cell r="Y883">
            <v>12</v>
          </cell>
        </row>
        <row r="884">
          <cell r="U884" t="str">
            <v>L104267</v>
          </cell>
          <cell r="V884" t="str">
            <v>DIV PPF 2kg</v>
          </cell>
          <cell r="W884" t="str">
            <v>Ajuste</v>
          </cell>
          <cell r="X884">
            <v>1</v>
          </cell>
          <cell r="Y884">
            <v>2</v>
          </cell>
        </row>
        <row r="885">
          <cell r="U885" t="str">
            <v>L103943</v>
          </cell>
          <cell r="V885" t="str">
            <v>DIV PPF 3kg</v>
          </cell>
          <cell r="W885" t="str">
            <v>Ajuste</v>
          </cell>
          <cell r="X885">
            <v>6</v>
          </cell>
          <cell r="Y885">
            <v>18</v>
          </cell>
        </row>
        <row r="886">
          <cell r="U886" t="str">
            <v>L103982</v>
          </cell>
          <cell r="V886" t="str">
            <v>DIV PRTZ UND</v>
          </cell>
          <cell r="W886" t="str">
            <v>Ajuste</v>
          </cell>
          <cell r="X886">
            <v>20</v>
          </cell>
          <cell r="Y886">
            <v>20</v>
          </cell>
        </row>
        <row r="887">
          <cell r="U887" t="str">
            <v>L104280</v>
          </cell>
          <cell r="V887" t="str">
            <v>DIV PRTZ UND</v>
          </cell>
          <cell r="W887" t="str">
            <v>Ajuste</v>
          </cell>
          <cell r="X887">
            <v>10</v>
          </cell>
          <cell r="Y887">
            <v>10</v>
          </cell>
        </row>
        <row r="888">
          <cell r="U888" t="str">
            <v>L104296</v>
          </cell>
          <cell r="V888" t="str">
            <v>DIV PRTZ UND</v>
          </cell>
          <cell r="W888" t="str">
            <v>Ajuste</v>
          </cell>
          <cell r="X888">
            <v>22</v>
          </cell>
          <cell r="Y888">
            <v>22</v>
          </cell>
        </row>
        <row r="889">
          <cell r="U889" t="str">
            <v>L104462</v>
          </cell>
          <cell r="V889" t="str">
            <v>DIV PRTZ UND</v>
          </cell>
          <cell r="W889" t="str">
            <v>Ajuste</v>
          </cell>
          <cell r="X889">
            <v>20</v>
          </cell>
          <cell r="Y889">
            <v>20</v>
          </cell>
        </row>
        <row r="890">
          <cell r="U890" t="str">
            <v>L104613</v>
          </cell>
          <cell r="V890" t="str">
            <v>DIV PRTZ UND</v>
          </cell>
          <cell r="W890" t="str">
            <v>Ajuste</v>
          </cell>
          <cell r="X890">
            <v>20</v>
          </cell>
          <cell r="Y890">
            <v>20</v>
          </cell>
        </row>
        <row r="891">
          <cell r="U891" t="str">
            <v>L104852</v>
          </cell>
          <cell r="V891" t="str">
            <v>DIV PRTZ UND</v>
          </cell>
          <cell r="W891" t="str">
            <v>Ajuste</v>
          </cell>
          <cell r="X891">
            <v>20</v>
          </cell>
          <cell r="Y891">
            <v>20</v>
          </cell>
        </row>
        <row r="892">
          <cell r="U892" t="str">
            <v>L104272</v>
          </cell>
          <cell r="V892" t="str">
            <v>DIV PTD 2 kg</v>
          </cell>
          <cell r="W892" t="str">
            <v>Ajuste</v>
          </cell>
          <cell r="X892">
            <v>107</v>
          </cell>
          <cell r="Y892">
            <v>214</v>
          </cell>
        </row>
        <row r="893">
          <cell r="U893" t="str">
            <v>L104275</v>
          </cell>
          <cell r="V893" t="str">
            <v>DIV PTD 2 kg</v>
          </cell>
          <cell r="W893" t="str">
            <v>Ajuste</v>
          </cell>
          <cell r="X893">
            <v>44</v>
          </cell>
          <cell r="Y893">
            <v>88</v>
          </cell>
        </row>
        <row r="894">
          <cell r="U894" t="str">
            <v>L104359</v>
          </cell>
          <cell r="V894" t="str">
            <v>QSV 5kg</v>
          </cell>
          <cell r="W894" t="str">
            <v>Ajuste</v>
          </cell>
          <cell r="X894">
            <v>32</v>
          </cell>
          <cell r="Y894">
            <v>160</v>
          </cell>
        </row>
        <row r="895">
          <cell r="U895" t="str">
            <v>L104359</v>
          </cell>
          <cell r="V895" t="str">
            <v>DIV QSO 5kg</v>
          </cell>
          <cell r="W895" t="str">
            <v>Ajuste</v>
          </cell>
          <cell r="X895">
            <v>54</v>
          </cell>
          <cell r="Y895">
            <v>270</v>
          </cell>
        </row>
        <row r="896">
          <cell r="U896" t="str">
            <v>L104359</v>
          </cell>
          <cell r="V896" t="str">
            <v>PV QSO 5kg</v>
          </cell>
          <cell r="W896" t="str">
            <v>Ajuste</v>
          </cell>
          <cell r="X896">
            <v>18</v>
          </cell>
          <cell r="Y896">
            <v>90</v>
          </cell>
        </row>
        <row r="897">
          <cell r="U897" t="str">
            <v>L103891</v>
          </cell>
          <cell r="V897" t="str">
            <v>DIV QSO 5kg</v>
          </cell>
          <cell r="W897" t="str">
            <v>Ajuste</v>
          </cell>
          <cell r="X897">
            <v>36</v>
          </cell>
          <cell r="Y897">
            <v>180</v>
          </cell>
        </row>
        <row r="898">
          <cell r="U898" t="str">
            <v>L103983</v>
          </cell>
          <cell r="V898" t="str">
            <v>DIV QSO 5kg</v>
          </cell>
          <cell r="W898" t="str">
            <v>Ajuste</v>
          </cell>
          <cell r="X898">
            <v>26</v>
          </cell>
          <cell r="Y898">
            <v>130</v>
          </cell>
        </row>
        <row r="899">
          <cell r="U899" t="str">
            <v>L103983</v>
          </cell>
          <cell r="V899" t="str">
            <v>QSO 5kg</v>
          </cell>
          <cell r="W899" t="str">
            <v>Ajuste</v>
          </cell>
          <cell r="X899">
            <v>28</v>
          </cell>
          <cell r="Y899">
            <v>140</v>
          </cell>
        </row>
        <row r="900">
          <cell r="U900" t="str">
            <v>L104136</v>
          </cell>
          <cell r="V900" t="str">
            <v>DIV QSO 5kg</v>
          </cell>
          <cell r="W900" t="str">
            <v>Ajuste</v>
          </cell>
          <cell r="X900">
            <v>2</v>
          </cell>
          <cell r="Y900">
            <v>10</v>
          </cell>
        </row>
        <row r="901">
          <cell r="U901" t="str">
            <v>L104602</v>
          </cell>
          <cell r="V901" t="str">
            <v>DIV QSO 5kg</v>
          </cell>
          <cell r="W901" t="str">
            <v>Ajuste</v>
          </cell>
          <cell r="X901">
            <v>14</v>
          </cell>
          <cell r="Y901">
            <v>70</v>
          </cell>
        </row>
        <row r="902">
          <cell r="U902" t="str">
            <v>L104894</v>
          </cell>
          <cell r="V902" t="str">
            <v>DIV QSO 5kg</v>
          </cell>
          <cell r="W902" t="str">
            <v>Ajuste</v>
          </cell>
          <cell r="X902">
            <v>16</v>
          </cell>
          <cell r="Y902">
            <v>80</v>
          </cell>
        </row>
        <row r="903">
          <cell r="U903" t="str">
            <v>L103975</v>
          </cell>
          <cell r="V903" t="str">
            <v>DIV QSV 1kg</v>
          </cell>
          <cell r="W903" t="str">
            <v>Ajuste</v>
          </cell>
          <cell r="X903">
            <v>4</v>
          </cell>
          <cell r="Y903">
            <v>4</v>
          </cell>
        </row>
        <row r="904">
          <cell r="U904" t="str">
            <v>L104604</v>
          </cell>
          <cell r="V904" t="str">
            <v>DIV QSV 3kg</v>
          </cell>
          <cell r="W904" t="str">
            <v>Ajuste</v>
          </cell>
          <cell r="X904">
            <v>2</v>
          </cell>
          <cell r="Y904">
            <v>6</v>
          </cell>
        </row>
        <row r="905">
          <cell r="U905" t="str">
            <v>L104137</v>
          </cell>
          <cell r="V905" t="str">
            <v>DIV QSV 4kg</v>
          </cell>
          <cell r="W905" t="str">
            <v>Ajuste</v>
          </cell>
          <cell r="X905">
            <v>6</v>
          </cell>
          <cell r="Y905">
            <v>24</v>
          </cell>
        </row>
        <row r="906">
          <cell r="U906" t="str">
            <v>L104472</v>
          </cell>
          <cell r="V906" t="str">
            <v>DIV SAL 3kg</v>
          </cell>
          <cell r="W906" t="str">
            <v>Ajuste</v>
          </cell>
          <cell r="X906">
            <v>18</v>
          </cell>
          <cell r="Y906">
            <v>54</v>
          </cell>
        </row>
        <row r="907">
          <cell r="U907" t="str">
            <v>L104800</v>
          </cell>
          <cell r="V907" t="str">
            <v>DIV SDO 2kg</v>
          </cell>
          <cell r="W907" t="str">
            <v>Ajuste</v>
          </cell>
          <cell r="X907">
            <v>10</v>
          </cell>
          <cell r="Y907">
            <v>20</v>
          </cell>
        </row>
        <row r="908">
          <cell r="U908" t="str">
            <v>L104614</v>
          </cell>
          <cell r="V908" t="str">
            <v>DIV SNK 1kg</v>
          </cell>
          <cell r="W908" t="str">
            <v>Ajuste</v>
          </cell>
          <cell r="X908">
            <v>2</v>
          </cell>
          <cell r="Y908">
            <v>2</v>
          </cell>
        </row>
        <row r="909">
          <cell r="U909" t="str">
            <v>L104703</v>
          </cell>
          <cell r="V909" t="str">
            <v>DIV SNK 1kg</v>
          </cell>
          <cell r="W909" t="str">
            <v>Ajuste</v>
          </cell>
          <cell r="X909">
            <v>320</v>
          </cell>
          <cell r="Y909">
            <v>320</v>
          </cell>
        </row>
        <row r="910">
          <cell r="U910" t="str">
            <v>L104704</v>
          </cell>
          <cell r="V910" t="str">
            <v>DIV SNK 1kg</v>
          </cell>
          <cell r="W910" t="str">
            <v>Ajuste</v>
          </cell>
          <cell r="X910">
            <v>92</v>
          </cell>
          <cell r="Y910">
            <v>92</v>
          </cell>
        </row>
        <row r="911">
          <cell r="U911" t="str">
            <v>L104467</v>
          </cell>
          <cell r="V911" t="str">
            <v>DIV SNK 2kg</v>
          </cell>
          <cell r="W911" t="str">
            <v>Ajuste</v>
          </cell>
          <cell r="X911">
            <v>72</v>
          </cell>
          <cell r="Y911">
            <v>144</v>
          </cell>
        </row>
        <row r="912">
          <cell r="U912" t="str">
            <v>L104303</v>
          </cell>
          <cell r="V912" t="str">
            <v>DIV SNK 2kg</v>
          </cell>
          <cell r="W912" t="str">
            <v>Ajuste</v>
          </cell>
          <cell r="X912">
            <v>16</v>
          </cell>
          <cell r="Y912">
            <v>32</v>
          </cell>
        </row>
        <row r="913">
          <cell r="U913" t="str">
            <v>L104451</v>
          </cell>
          <cell r="V913" t="str">
            <v>DIV SNK 2kg</v>
          </cell>
          <cell r="W913" t="str">
            <v>Ajuste</v>
          </cell>
          <cell r="X913">
            <v>24</v>
          </cell>
          <cell r="Y913">
            <v>48</v>
          </cell>
        </row>
        <row r="914">
          <cell r="U914" t="str">
            <v>L103766</v>
          </cell>
          <cell r="V914" t="str">
            <v>SNK 3.5kg-CAJA</v>
          </cell>
          <cell r="W914" t="str">
            <v>Ajuste</v>
          </cell>
          <cell r="X914">
            <v>404</v>
          </cell>
          <cell r="Y914">
            <v>1414</v>
          </cell>
        </row>
        <row r="915">
          <cell r="U915" t="str">
            <v>L103766</v>
          </cell>
          <cell r="V915" t="str">
            <v>DIV SNK 3.5kg</v>
          </cell>
          <cell r="W915" t="str">
            <v>Ajuste</v>
          </cell>
          <cell r="X915">
            <v>100</v>
          </cell>
          <cell r="Y915">
            <v>350</v>
          </cell>
        </row>
        <row r="916">
          <cell r="U916" t="str">
            <v>L103766</v>
          </cell>
          <cell r="V916" t="str">
            <v>PV SNK 3.5kg</v>
          </cell>
          <cell r="W916" t="str">
            <v>Ajuste</v>
          </cell>
          <cell r="X916">
            <v>26</v>
          </cell>
          <cell r="Y916">
            <v>91</v>
          </cell>
        </row>
        <row r="917">
          <cell r="U917" t="str">
            <v>L104469</v>
          </cell>
          <cell r="V917" t="str">
            <v>DIV SNK 3kg</v>
          </cell>
          <cell r="W917" t="str">
            <v>Ajuste</v>
          </cell>
          <cell r="X917">
            <v>51</v>
          </cell>
          <cell r="Y917">
            <v>153</v>
          </cell>
        </row>
        <row r="918">
          <cell r="U918" t="str">
            <v>L104468</v>
          </cell>
          <cell r="V918" t="str">
            <v>DIV SNK 6kg</v>
          </cell>
          <cell r="W918" t="str">
            <v>Ajuste</v>
          </cell>
          <cell r="X918">
            <v>28</v>
          </cell>
          <cell r="Y918">
            <v>168</v>
          </cell>
        </row>
        <row r="919">
          <cell r="U919" t="str">
            <v>L104906</v>
          </cell>
          <cell r="V919" t="str">
            <v>DIV SPAV 2kg</v>
          </cell>
          <cell r="W919" t="str">
            <v>Ajuste</v>
          </cell>
          <cell r="X919">
            <v>6</v>
          </cell>
          <cell r="Y919">
            <v>12</v>
          </cell>
        </row>
        <row r="920">
          <cell r="U920" t="str">
            <v>L104788</v>
          </cell>
          <cell r="V920" t="str">
            <v>DIV SZD 2.5kg</v>
          </cell>
          <cell r="W920" t="str">
            <v>Ajuste</v>
          </cell>
          <cell r="X920">
            <v>38</v>
          </cell>
          <cell r="Y920">
            <v>95</v>
          </cell>
        </row>
        <row r="921">
          <cell r="U921" t="str">
            <v>L104904</v>
          </cell>
          <cell r="V921" t="str">
            <v>DIV SZD 2.5kg</v>
          </cell>
          <cell r="W921" t="str">
            <v>Ajuste</v>
          </cell>
          <cell r="X921">
            <v>18</v>
          </cell>
          <cell r="Y921">
            <v>45</v>
          </cell>
        </row>
        <row r="922">
          <cell r="U922" t="str">
            <v>L104789</v>
          </cell>
          <cell r="V922" t="str">
            <v>DIV SZD 4kg</v>
          </cell>
          <cell r="W922" t="str">
            <v>Ajuste</v>
          </cell>
          <cell r="X922">
            <v>325</v>
          </cell>
          <cell r="Y922">
            <v>1300</v>
          </cell>
        </row>
        <row r="923">
          <cell r="U923" t="str">
            <v>L104905</v>
          </cell>
          <cell r="V923" t="str">
            <v>DIV SZD 4kg</v>
          </cell>
          <cell r="W923" t="str">
            <v>Ajuste</v>
          </cell>
          <cell r="X923">
            <v>16</v>
          </cell>
          <cell r="Y923">
            <v>64</v>
          </cell>
        </row>
        <row r="924">
          <cell r="U924" t="str">
            <v>L104790</v>
          </cell>
          <cell r="V924" t="str">
            <v>DIV SZD 5kg</v>
          </cell>
          <cell r="W924" t="str">
            <v>Ajuste</v>
          </cell>
          <cell r="X924">
            <v>274</v>
          </cell>
          <cell r="Y924">
            <v>1370</v>
          </cell>
        </row>
        <row r="925">
          <cell r="U925" t="str">
            <v>L104617</v>
          </cell>
          <cell r="V925" t="str">
            <v>DIV TFP 2kg</v>
          </cell>
          <cell r="W925" t="str">
            <v>Ajuste</v>
          </cell>
          <cell r="X925">
            <v>2</v>
          </cell>
          <cell r="Y925">
            <v>4</v>
          </cell>
        </row>
        <row r="926">
          <cell r="U926" t="str">
            <v>L103773</v>
          </cell>
          <cell r="V926" t="str">
            <v>DIV TRZPCDP 5kg</v>
          </cell>
          <cell r="W926" t="str">
            <v>Ajuste</v>
          </cell>
          <cell r="X926">
            <v>8</v>
          </cell>
          <cell r="Y926">
            <v>40</v>
          </cell>
        </row>
        <row r="927">
          <cell r="U927" t="str">
            <v>L104899</v>
          </cell>
          <cell r="V927" t="str">
            <v>DIV VM 1kg</v>
          </cell>
          <cell r="W927" t="str">
            <v>Ajuste</v>
          </cell>
          <cell r="X927">
            <v>6</v>
          </cell>
          <cell r="Y927">
            <v>6</v>
          </cell>
        </row>
        <row r="928">
          <cell r="U928" t="str">
            <v>L104477</v>
          </cell>
          <cell r="V928" t="str">
            <v>DIV YGT GR 6x1.13kg</v>
          </cell>
          <cell r="W928" t="str">
            <v>Ajuste</v>
          </cell>
          <cell r="X928">
            <v>278</v>
          </cell>
          <cell r="Y928">
            <v>2168.3999999999996</v>
          </cell>
        </row>
        <row r="929">
          <cell r="U929" t="str">
            <v>L104572</v>
          </cell>
          <cell r="V929" t="str">
            <v>DRNO 5kg</v>
          </cell>
          <cell r="W929" t="str">
            <v>Ajuste</v>
          </cell>
          <cell r="X929">
            <v>8</v>
          </cell>
          <cell r="Y929">
            <v>40</v>
          </cell>
        </row>
        <row r="930">
          <cell r="U930" t="str">
            <v>L104589</v>
          </cell>
          <cell r="V930" t="str">
            <v>DRNO 5kg</v>
          </cell>
          <cell r="W930" t="str">
            <v>Ajuste</v>
          </cell>
          <cell r="X930">
            <v>2</v>
          </cell>
          <cell r="Y930">
            <v>10</v>
          </cell>
        </row>
        <row r="931">
          <cell r="U931" t="str">
            <v>L104639</v>
          </cell>
          <cell r="V931" t="str">
            <v>DRNO 5kg</v>
          </cell>
          <cell r="W931" t="str">
            <v>Ajuste</v>
          </cell>
          <cell r="X931">
            <v>2</v>
          </cell>
          <cell r="Y931">
            <v>10</v>
          </cell>
        </row>
        <row r="932">
          <cell r="U932" t="str">
            <v>L104816</v>
          </cell>
          <cell r="V932" t="str">
            <v>DRNO 5kg</v>
          </cell>
          <cell r="W932" t="str">
            <v>Ajuste</v>
          </cell>
          <cell r="X932">
            <v>2</v>
          </cell>
          <cell r="Y932">
            <v>10</v>
          </cell>
        </row>
        <row r="933">
          <cell r="U933" t="str">
            <v>L103904</v>
          </cell>
          <cell r="V933" t="str">
            <v>DSF 2Kg</v>
          </cell>
          <cell r="W933" t="str">
            <v>Ajuste</v>
          </cell>
          <cell r="X933">
            <v>16</v>
          </cell>
          <cell r="Y933">
            <v>32</v>
          </cell>
        </row>
        <row r="934">
          <cell r="U934" t="str">
            <v>L103905</v>
          </cell>
          <cell r="V934" t="str">
            <v>DSF 2Kg</v>
          </cell>
          <cell r="W934" t="str">
            <v>Ajuste</v>
          </cell>
          <cell r="X934">
            <v>32</v>
          </cell>
          <cell r="Y934">
            <v>64</v>
          </cell>
        </row>
        <row r="935">
          <cell r="U935" t="str">
            <v>L103906</v>
          </cell>
          <cell r="V935" t="str">
            <v>DSF 2Kg</v>
          </cell>
          <cell r="W935" t="str">
            <v>Ajuste</v>
          </cell>
          <cell r="X935">
            <v>80</v>
          </cell>
          <cell r="Y935">
            <v>160</v>
          </cell>
        </row>
        <row r="936">
          <cell r="U936" t="str">
            <v>L103907</v>
          </cell>
          <cell r="V936" t="str">
            <v>DSF 2Kg</v>
          </cell>
          <cell r="W936" t="str">
            <v>Ajuste</v>
          </cell>
          <cell r="X936">
            <v>32</v>
          </cell>
          <cell r="Y936">
            <v>64</v>
          </cell>
        </row>
        <row r="937">
          <cell r="U937" t="str">
            <v>L103908</v>
          </cell>
          <cell r="V937" t="str">
            <v>DSF 2Kg</v>
          </cell>
          <cell r="W937" t="str">
            <v>Ajuste</v>
          </cell>
          <cell r="X937">
            <v>64</v>
          </cell>
          <cell r="Y937">
            <v>128</v>
          </cell>
        </row>
        <row r="938">
          <cell r="U938" t="str">
            <v>L104082</v>
          </cell>
          <cell r="V938" t="str">
            <v>DSF 2Kg</v>
          </cell>
          <cell r="W938" t="str">
            <v>Ajuste</v>
          </cell>
          <cell r="X938">
            <v>21</v>
          </cell>
          <cell r="Y938">
            <v>42</v>
          </cell>
        </row>
        <row r="939">
          <cell r="U939" t="str">
            <v>L104083</v>
          </cell>
          <cell r="V939" t="str">
            <v>DSF 2Kg</v>
          </cell>
          <cell r="W939" t="str">
            <v>Ajuste</v>
          </cell>
          <cell r="X939">
            <v>14</v>
          </cell>
          <cell r="Y939">
            <v>28</v>
          </cell>
        </row>
        <row r="940">
          <cell r="U940" t="str">
            <v>L104084</v>
          </cell>
          <cell r="V940" t="str">
            <v>DSF 2Kg</v>
          </cell>
          <cell r="W940" t="str">
            <v>Ajuste</v>
          </cell>
          <cell r="X940">
            <v>2</v>
          </cell>
          <cell r="Y940">
            <v>4</v>
          </cell>
        </row>
        <row r="941">
          <cell r="U941" t="str">
            <v>L104505</v>
          </cell>
          <cell r="V941" t="str">
            <v>DSF 2Kg</v>
          </cell>
          <cell r="W941" t="str">
            <v>Ajuste</v>
          </cell>
          <cell r="X941">
            <v>6</v>
          </cell>
          <cell r="Y941">
            <v>12</v>
          </cell>
        </row>
        <row r="942">
          <cell r="U942" t="str">
            <v>L104078</v>
          </cell>
          <cell r="V942" t="str">
            <v>DSF 3kg-CAJA</v>
          </cell>
          <cell r="W942" t="str">
            <v>Ajuste</v>
          </cell>
          <cell r="X942">
            <v>124</v>
          </cell>
          <cell r="Y942">
            <v>372</v>
          </cell>
        </row>
        <row r="943">
          <cell r="U943" t="str">
            <v>L104079</v>
          </cell>
          <cell r="V943" t="str">
            <v>DSF 3kg-CAJA</v>
          </cell>
          <cell r="W943" t="str">
            <v>Ajuste</v>
          </cell>
          <cell r="X943">
            <v>40</v>
          </cell>
          <cell r="Y943">
            <v>120</v>
          </cell>
        </row>
        <row r="944">
          <cell r="U944" t="str">
            <v>L104080</v>
          </cell>
          <cell r="V944" t="str">
            <v>DSF 3kg-CAJA</v>
          </cell>
          <cell r="W944" t="str">
            <v>Ajuste</v>
          </cell>
          <cell r="X944">
            <v>10</v>
          </cell>
          <cell r="Y944">
            <v>30</v>
          </cell>
        </row>
        <row r="945">
          <cell r="U945" t="str">
            <v>L104081</v>
          </cell>
          <cell r="V945" t="str">
            <v>DSF 3kg-CAJA</v>
          </cell>
          <cell r="W945" t="str">
            <v>Ajuste</v>
          </cell>
          <cell r="X945">
            <v>10</v>
          </cell>
          <cell r="Y945">
            <v>30</v>
          </cell>
        </row>
        <row r="946">
          <cell r="U946" t="str">
            <v>L104163</v>
          </cell>
          <cell r="V946" t="str">
            <v>DSF 3kg-CAJA</v>
          </cell>
          <cell r="W946" t="str">
            <v>Ajuste</v>
          </cell>
          <cell r="X946">
            <v>14</v>
          </cell>
          <cell r="Y946">
            <v>42</v>
          </cell>
        </row>
        <row r="947">
          <cell r="U947" t="str">
            <v>L104506</v>
          </cell>
          <cell r="V947" t="str">
            <v>DSF 3kg-CAJA</v>
          </cell>
          <cell r="W947" t="str">
            <v>Ajuste</v>
          </cell>
          <cell r="X947">
            <v>2</v>
          </cell>
          <cell r="Y947">
            <v>6</v>
          </cell>
        </row>
        <row r="948">
          <cell r="U948" t="str">
            <v>L103840</v>
          </cell>
          <cell r="V948" t="str">
            <v>DSF 4kg-CAJA</v>
          </cell>
          <cell r="W948" t="str">
            <v>Ajuste</v>
          </cell>
          <cell r="X948">
            <v>2</v>
          </cell>
          <cell r="Y948">
            <v>8</v>
          </cell>
        </row>
        <row r="949">
          <cell r="U949" t="str">
            <v>L104075</v>
          </cell>
          <cell r="V949" t="str">
            <v>DSF 4kg-CAJA</v>
          </cell>
          <cell r="W949" t="str">
            <v>Ajuste</v>
          </cell>
          <cell r="X949">
            <v>20</v>
          </cell>
          <cell r="Y949">
            <v>80</v>
          </cell>
        </row>
        <row r="950">
          <cell r="U950" t="str">
            <v>L104076</v>
          </cell>
          <cell r="V950" t="str">
            <v>DSF 4kg-CAJA</v>
          </cell>
          <cell r="W950" t="str">
            <v>Ajuste</v>
          </cell>
          <cell r="X950">
            <v>12</v>
          </cell>
          <cell r="Y950">
            <v>48</v>
          </cell>
        </row>
        <row r="951">
          <cell r="U951" t="str">
            <v>L104077</v>
          </cell>
          <cell r="V951" t="str">
            <v>DSF 4kg-CAJA</v>
          </cell>
          <cell r="W951" t="str">
            <v>Ajuste</v>
          </cell>
          <cell r="X951">
            <v>6</v>
          </cell>
          <cell r="Y951">
            <v>24</v>
          </cell>
        </row>
        <row r="952">
          <cell r="U952" t="str">
            <v>L104246</v>
          </cell>
          <cell r="V952" t="str">
            <v>DSF 4kg-CAJA</v>
          </cell>
          <cell r="W952" t="str">
            <v>Ajuste</v>
          </cell>
          <cell r="X952">
            <v>8</v>
          </cell>
          <cell r="Y952">
            <v>32</v>
          </cell>
        </row>
        <row r="953">
          <cell r="U953" t="str">
            <v>L103839</v>
          </cell>
          <cell r="V953" t="str">
            <v>DSF 5kg-CAJA</v>
          </cell>
          <cell r="W953" t="str">
            <v>Ajuste</v>
          </cell>
          <cell r="X953">
            <v>2</v>
          </cell>
          <cell r="Y953">
            <v>10</v>
          </cell>
        </row>
        <row r="954">
          <cell r="U954" t="str">
            <v>L104164</v>
          </cell>
          <cell r="V954" t="str">
            <v>DSF 5kg-CAJA</v>
          </cell>
          <cell r="W954" t="str">
            <v>Ajuste</v>
          </cell>
          <cell r="X954">
            <v>2</v>
          </cell>
          <cell r="Y954">
            <v>10</v>
          </cell>
        </row>
        <row r="955">
          <cell r="U955" t="str">
            <v>L103852</v>
          </cell>
          <cell r="V955" t="str">
            <v>DTG Vr2kg-CAJA</v>
          </cell>
          <cell r="W955" t="str">
            <v>Ajuste</v>
          </cell>
          <cell r="X955">
            <v>118</v>
          </cell>
          <cell r="Y955">
            <v>236</v>
          </cell>
        </row>
        <row r="956">
          <cell r="U956" t="str">
            <v>L104488</v>
          </cell>
          <cell r="V956" t="str">
            <v>DTG Vr2kg-CAJA</v>
          </cell>
          <cell r="W956" t="str">
            <v>Ajuste</v>
          </cell>
          <cell r="X956">
            <v>2</v>
          </cell>
          <cell r="Y956">
            <v>4</v>
          </cell>
        </row>
        <row r="957">
          <cell r="U957" t="str">
            <v>L103993</v>
          </cell>
          <cell r="V957" t="str">
            <v>DTG Vr3kg-CAJA</v>
          </cell>
          <cell r="W957" t="str">
            <v>Ajuste</v>
          </cell>
          <cell r="X957">
            <v>118</v>
          </cell>
          <cell r="Y957">
            <v>354</v>
          </cell>
        </row>
        <row r="958">
          <cell r="U958" t="str">
            <v>L104214</v>
          </cell>
          <cell r="V958" t="str">
            <v>DTG Vr3kg-CAJA</v>
          </cell>
          <cell r="W958" t="str">
            <v>Ajuste</v>
          </cell>
          <cell r="X958">
            <v>308</v>
          </cell>
          <cell r="Y958">
            <v>924</v>
          </cell>
        </row>
        <row r="959">
          <cell r="U959" t="str">
            <v>L104487</v>
          </cell>
          <cell r="V959" t="str">
            <v>DTG Vr3kg-CAJA</v>
          </cell>
          <cell r="W959" t="str">
            <v>Ajuste</v>
          </cell>
          <cell r="X959">
            <v>118</v>
          </cell>
          <cell r="Y959">
            <v>354</v>
          </cell>
        </row>
        <row r="960">
          <cell r="U960" t="str">
            <v>L104869</v>
          </cell>
          <cell r="V960" t="str">
            <v>DTG Vr3kg-CAJA</v>
          </cell>
          <cell r="W960" t="str">
            <v>Ajuste</v>
          </cell>
          <cell r="X960">
            <v>160</v>
          </cell>
          <cell r="Y960">
            <v>480</v>
          </cell>
        </row>
        <row r="961">
          <cell r="U961" t="str">
            <v>L103851</v>
          </cell>
          <cell r="V961" t="str">
            <v>DTGAY Vr2kg-CAJA</v>
          </cell>
          <cell r="W961" t="str">
            <v>Ajuste</v>
          </cell>
          <cell r="X961">
            <v>260</v>
          </cell>
          <cell r="Y961">
            <v>520</v>
          </cell>
        </row>
        <row r="962">
          <cell r="U962" t="str">
            <v>L104822</v>
          </cell>
          <cell r="V962" t="str">
            <v>DTGAY Vr2kg-CAJA</v>
          </cell>
          <cell r="W962" t="str">
            <v>Ajuste</v>
          </cell>
          <cell r="X962">
            <v>196</v>
          </cell>
          <cell r="Y962">
            <v>392</v>
          </cell>
        </row>
        <row r="963">
          <cell r="U963" t="str">
            <v>L104870</v>
          </cell>
          <cell r="V963" t="str">
            <v>DTGAY Vr2kg-CAJA</v>
          </cell>
          <cell r="W963" t="str">
            <v>Ajuste</v>
          </cell>
          <cell r="X963">
            <v>128</v>
          </cell>
          <cell r="Y963">
            <v>256</v>
          </cell>
        </row>
        <row r="964">
          <cell r="U964" t="str">
            <v>L104375</v>
          </cell>
          <cell r="V964" t="str">
            <v>EE 10Q - UNIDAD</v>
          </cell>
          <cell r="W964" t="str">
            <v>Ajuste</v>
          </cell>
          <cell r="X964">
            <v>2</v>
          </cell>
          <cell r="Y964">
            <v>240</v>
          </cell>
        </row>
        <row r="965">
          <cell r="U965" t="str">
            <v>L103933</v>
          </cell>
          <cell r="V965" t="str">
            <v>EGB 2KG Caja</v>
          </cell>
          <cell r="W965" t="str">
            <v>Ajuste</v>
          </cell>
          <cell r="X965">
            <v>12</v>
          </cell>
          <cell r="Y965">
            <v>24</v>
          </cell>
        </row>
        <row r="966">
          <cell r="U966" t="str">
            <v>L103934</v>
          </cell>
          <cell r="V966" t="str">
            <v>EGB 2KG Caja</v>
          </cell>
          <cell r="W966" t="str">
            <v>Ajuste</v>
          </cell>
          <cell r="X966">
            <v>17</v>
          </cell>
          <cell r="Y966">
            <v>34</v>
          </cell>
        </row>
        <row r="967">
          <cell r="U967" t="str">
            <v>L103935</v>
          </cell>
          <cell r="V967" t="str">
            <v>EGB 2KG Caja</v>
          </cell>
          <cell r="W967" t="str">
            <v>Ajuste</v>
          </cell>
          <cell r="X967">
            <v>12</v>
          </cell>
          <cell r="Y967">
            <v>24</v>
          </cell>
        </row>
        <row r="968">
          <cell r="U968" t="str">
            <v>L103944</v>
          </cell>
          <cell r="V968" t="str">
            <v>EGB 2KG Caja</v>
          </cell>
          <cell r="W968" t="str">
            <v>Ajuste</v>
          </cell>
          <cell r="X968">
            <v>8</v>
          </cell>
          <cell r="Y968">
            <v>16</v>
          </cell>
        </row>
        <row r="969">
          <cell r="U969" t="str">
            <v>L103932</v>
          </cell>
          <cell r="V969" t="str">
            <v>EGB 2KG Caja</v>
          </cell>
          <cell r="W969" t="str">
            <v>Ajuste</v>
          </cell>
          <cell r="X969">
            <v>125</v>
          </cell>
          <cell r="Y969">
            <v>250</v>
          </cell>
        </row>
        <row r="970">
          <cell r="U970" t="str">
            <v>L104363</v>
          </cell>
          <cell r="V970" t="str">
            <v>EGB MD 250ML- UNIDAD</v>
          </cell>
          <cell r="W970" t="str">
            <v>Ajuste</v>
          </cell>
          <cell r="X970">
            <v>144</v>
          </cell>
          <cell r="Y970">
            <v>36</v>
          </cell>
        </row>
        <row r="971">
          <cell r="U971" t="str">
            <v>L104364</v>
          </cell>
          <cell r="V971" t="str">
            <v>EGB MD 250ML- UNIDAD</v>
          </cell>
          <cell r="W971" t="str">
            <v>Ajuste</v>
          </cell>
          <cell r="X971">
            <v>48</v>
          </cell>
          <cell r="Y971">
            <v>12</v>
          </cell>
        </row>
        <row r="972">
          <cell r="U972" t="str">
            <v>L104705</v>
          </cell>
          <cell r="V972" t="str">
            <v>Embutido kg</v>
          </cell>
          <cell r="W972" t="str">
            <v>Ajuste</v>
          </cell>
          <cell r="X972">
            <v>33.4</v>
          </cell>
          <cell r="Y972">
            <v>33.4</v>
          </cell>
        </row>
        <row r="973">
          <cell r="U973" t="str">
            <v>L104730</v>
          </cell>
          <cell r="V973" t="str">
            <v>EMBV 12kg-CAJA</v>
          </cell>
          <cell r="W973" t="str">
            <v>Ajuste</v>
          </cell>
          <cell r="X973">
            <v>38</v>
          </cell>
          <cell r="Y973">
            <v>456</v>
          </cell>
        </row>
        <row r="974">
          <cell r="U974" t="str">
            <v>L104729</v>
          </cell>
          <cell r="V974" t="str">
            <v>EMBV 16kg-CAJA</v>
          </cell>
          <cell r="W974" t="str">
            <v>Ajuste</v>
          </cell>
          <cell r="X974">
            <v>206</v>
          </cell>
          <cell r="Y974">
            <v>3296</v>
          </cell>
        </row>
        <row r="975">
          <cell r="U975" t="str">
            <v>L104331</v>
          </cell>
          <cell r="V975" t="str">
            <v>EMBV 2kg-CAJA</v>
          </cell>
          <cell r="W975" t="str">
            <v>Ajuste</v>
          </cell>
          <cell r="X975">
            <v>7</v>
          </cell>
          <cell r="Y975">
            <v>14</v>
          </cell>
        </row>
        <row r="976">
          <cell r="U976" t="str">
            <v>L104334</v>
          </cell>
          <cell r="V976" t="str">
            <v>EMBV 2kg-CAJA</v>
          </cell>
          <cell r="W976" t="str">
            <v>Ajuste</v>
          </cell>
          <cell r="X976">
            <v>27</v>
          </cell>
          <cell r="Y976">
            <v>54</v>
          </cell>
        </row>
        <row r="977">
          <cell r="U977" t="str">
            <v>L104332</v>
          </cell>
          <cell r="V977" t="str">
            <v>EMBV 2kg-CAJA</v>
          </cell>
          <cell r="W977" t="str">
            <v>Ajuste</v>
          </cell>
          <cell r="X977">
            <v>15</v>
          </cell>
          <cell r="Y977">
            <v>30</v>
          </cell>
        </row>
        <row r="978">
          <cell r="U978" t="str">
            <v>L104333</v>
          </cell>
          <cell r="V978" t="str">
            <v>EMBV 2kg-CAJA</v>
          </cell>
          <cell r="W978" t="str">
            <v>Ajuste</v>
          </cell>
          <cell r="X978">
            <v>12</v>
          </cell>
          <cell r="Y978">
            <v>24</v>
          </cell>
        </row>
        <row r="979">
          <cell r="U979" t="str">
            <v>L104335</v>
          </cell>
          <cell r="V979" t="str">
            <v>EMBV 2kg-CAJA</v>
          </cell>
          <cell r="W979" t="str">
            <v>Ajuste</v>
          </cell>
          <cell r="X979">
            <v>12</v>
          </cell>
          <cell r="Y979">
            <v>24</v>
          </cell>
        </row>
        <row r="980">
          <cell r="U980" t="str">
            <v>L103924</v>
          </cell>
          <cell r="V980" t="str">
            <v>EMBV 2kg-CAJA</v>
          </cell>
          <cell r="W980" t="str">
            <v>Ajuste</v>
          </cell>
          <cell r="X980">
            <v>54</v>
          </cell>
          <cell r="Y980">
            <v>108</v>
          </cell>
        </row>
        <row r="981">
          <cell r="U981" t="str">
            <v>L104107</v>
          </cell>
          <cell r="V981" t="str">
            <v>EMBV 2kg-CAJA</v>
          </cell>
          <cell r="W981" t="str">
            <v>Ajuste</v>
          </cell>
          <cell r="X981">
            <v>40</v>
          </cell>
          <cell r="Y981">
            <v>80</v>
          </cell>
        </row>
        <row r="982">
          <cell r="U982" t="str">
            <v>L104186</v>
          </cell>
          <cell r="V982" t="str">
            <v>EMBV 2kg-CAJA</v>
          </cell>
          <cell r="W982" t="str">
            <v>Ajuste</v>
          </cell>
          <cell r="X982">
            <v>30</v>
          </cell>
          <cell r="Y982">
            <v>60</v>
          </cell>
        </row>
        <row r="983">
          <cell r="U983" t="str">
            <v>L104192</v>
          </cell>
          <cell r="V983" t="str">
            <v>EMBV 2kg-CAJA</v>
          </cell>
          <cell r="W983" t="str">
            <v>Ajuste</v>
          </cell>
          <cell r="X983">
            <v>6</v>
          </cell>
          <cell r="Y983">
            <v>12</v>
          </cell>
        </row>
        <row r="984">
          <cell r="U984" t="str">
            <v>L104458</v>
          </cell>
          <cell r="V984" t="str">
            <v>EMBV 2kg-CAJA</v>
          </cell>
          <cell r="W984" t="str">
            <v>Ajuste</v>
          </cell>
          <cell r="X984">
            <v>52</v>
          </cell>
          <cell r="Y984">
            <v>104</v>
          </cell>
        </row>
        <row r="985">
          <cell r="U985" t="str">
            <v>L104669</v>
          </cell>
          <cell r="V985" t="str">
            <v>EMBV 2kg-CAJA</v>
          </cell>
          <cell r="W985" t="str">
            <v>Ajuste</v>
          </cell>
          <cell r="X985">
            <v>10</v>
          </cell>
          <cell r="Y985">
            <v>20</v>
          </cell>
        </row>
        <row r="986">
          <cell r="U986" t="str">
            <v>L104670</v>
          </cell>
          <cell r="V986" t="str">
            <v>EMBV 2kg-CAJA</v>
          </cell>
          <cell r="W986" t="str">
            <v>Ajuste</v>
          </cell>
          <cell r="X986">
            <v>12</v>
          </cell>
          <cell r="Y986">
            <v>24</v>
          </cell>
        </row>
        <row r="987">
          <cell r="U987" t="str">
            <v>L104671</v>
          </cell>
          <cell r="V987" t="str">
            <v>EMBV 2kg-CAJA</v>
          </cell>
          <cell r="W987" t="str">
            <v>Ajuste</v>
          </cell>
          <cell r="X987">
            <v>16</v>
          </cell>
          <cell r="Y987">
            <v>32</v>
          </cell>
        </row>
        <row r="988">
          <cell r="U988" t="str">
            <v>L104725</v>
          </cell>
          <cell r="V988" t="str">
            <v>EMBV 2kg-CAJA</v>
          </cell>
          <cell r="W988" t="str">
            <v>Ajuste</v>
          </cell>
          <cell r="X988">
            <v>96</v>
          </cell>
          <cell r="Y988">
            <v>192</v>
          </cell>
        </row>
        <row r="989">
          <cell r="U989" t="str">
            <v>L104459</v>
          </cell>
          <cell r="V989" t="str">
            <v>EMBV 3kg</v>
          </cell>
          <cell r="W989" t="str">
            <v>Ajuste</v>
          </cell>
          <cell r="X989">
            <v>4</v>
          </cell>
          <cell r="Y989">
            <v>12</v>
          </cell>
        </row>
        <row r="990">
          <cell r="U990" t="str">
            <v>L104728</v>
          </cell>
          <cell r="V990" t="str">
            <v>EMBV 3kg</v>
          </cell>
          <cell r="W990" t="str">
            <v>Ajuste</v>
          </cell>
          <cell r="X990">
            <v>348</v>
          </cell>
          <cell r="Y990">
            <v>1044</v>
          </cell>
        </row>
        <row r="991">
          <cell r="U991" t="str">
            <v>L104728</v>
          </cell>
          <cell r="V991" t="str">
            <v>PV EMBV 3kg</v>
          </cell>
          <cell r="W991" t="str">
            <v>Ajuste</v>
          </cell>
          <cell r="X991">
            <v>20</v>
          </cell>
          <cell r="Y991">
            <v>60</v>
          </cell>
        </row>
        <row r="992">
          <cell r="U992" t="str">
            <v>L104460</v>
          </cell>
          <cell r="V992" t="str">
            <v>EMBV 4kg-CAJA</v>
          </cell>
          <cell r="W992" t="str">
            <v>Ajuste</v>
          </cell>
          <cell r="X992">
            <v>8</v>
          </cell>
          <cell r="Y992">
            <v>32</v>
          </cell>
        </row>
        <row r="993">
          <cell r="U993" t="str">
            <v>L103825</v>
          </cell>
          <cell r="V993" t="str">
            <v>EMBV 5kg</v>
          </cell>
          <cell r="W993" t="str">
            <v>Ajuste</v>
          </cell>
          <cell r="X993">
            <v>18</v>
          </cell>
          <cell r="Y993">
            <v>90</v>
          </cell>
        </row>
        <row r="994">
          <cell r="U994" t="str">
            <v>L103826</v>
          </cell>
          <cell r="V994" t="str">
            <v>EMBV 5kg</v>
          </cell>
          <cell r="W994" t="str">
            <v>Ajuste</v>
          </cell>
          <cell r="X994">
            <v>3</v>
          </cell>
          <cell r="Y994">
            <v>15</v>
          </cell>
        </row>
        <row r="995">
          <cell r="U995" t="str">
            <v>L103827</v>
          </cell>
          <cell r="V995" t="str">
            <v>EMBV 5kg</v>
          </cell>
          <cell r="W995" t="str">
            <v>Ajuste</v>
          </cell>
          <cell r="X995">
            <v>3</v>
          </cell>
          <cell r="Y995">
            <v>15</v>
          </cell>
        </row>
        <row r="996">
          <cell r="U996" t="str">
            <v>L103807</v>
          </cell>
          <cell r="V996" t="str">
            <v>EMBV 5kg</v>
          </cell>
          <cell r="W996" t="str">
            <v>Ajuste</v>
          </cell>
          <cell r="X996">
            <v>6</v>
          </cell>
          <cell r="Y996">
            <v>30</v>
          </cell>
        </row>
        <row r="997">
          <cell r="U997" t="str">
            <v>L103810</v>
          </cell>
          <cell r="V997" t="str">
            <v>EMBV 5kg</v>
          </cell>
          <cell r="W997" t="str">
            <v>Ajuste</v>
          </cell>
          <cell r="X997">
            <v>10</v>
          </cell>
          <cell r="Y997">
            <v>50</v>
          </cell>
        </row>
        <row r="998">
          <cell r="U998" t="str">
            <v>L104189</v>
          </cell>
          <cell r="V998" t="str">
            <v>EMBV 5kg</v>
          </cell>
          <cell r="W998" t="str">
            <v>Ajuste</v>
          </cell>
          <cell r="X998">
            <v>8</v>
          </cell>
          <cell r="Y998">
            <v>40</v>
          </cell>
        </row>
        <row r="999">
          <cell r="U999" t="str">
            <v>L104191</v>
          </cell>
          <cell r="V999" t="str">
            <v>EMBV 5kg</v>
          </cell>
          <cell r="W999" t="str">
            <v>Ajuste</v>
          </cell>
          <cell r="X999">
            <v>2</v>
          </cell>
          <cell r="Y999">
            <v>10</v>
          </cell>
        </row>
        <row r="1000">
          <cell r="U1000" t="str">
            <v>L104259</v>
          </cell>
          <cell r="V1000" t="str">
            <v>EMBV 5kg</v>
          </cell>
          <cell r="W1000" t="str">
            <v>Ajuste</v>
          </cell>
          <cell r="X1000">
            <v>508</v>
          </cell>
          <cell r="Y1000">
            <v>2540</v>
          </cell>
        </row>
        <row r="1001">
          <cell r="U1001" t="str">
            <v>L104190</v>
          </cell>
          <cell r="V1001" t="str">
            <v>EMBV 7Kg-CAJA</v>
          </cell>
          <cell r="W1001" t="str">
            <v>Ajuste</v>
          </cell>
          <cell r="X1001">
            <v>2</v>
          </cell>
          <cell r="Y1001">
            <v>14</v>
          </cell>
        </row>
        <row r="1002">
          <cell r="U1002" t="str">
            <v>L104775</v>
          </cell>
          <cell r="V1002" t="str">
            <v>EMP 2kg</v>
          </cell>
          <cell r="W1002" t="str">
            <v>Ajuste</v>
          </cell>
          <cell r="X1002">
            <v>2</v>
          </cell>
          <cell r="Y1002">
            <v>4</v>
          </cell>
        </row>
        <row r="1003">
          <cell r="U1003" t="str">
            <v>L104660</v>
          </cell>
          <cell r="V1003" t="str">
            <v>EMP 3kg</v>
          </cell>
          <cell r="W1003" t="str">
            <v>Ajuste</v>
          </cell>
          <cell r="X1003">
            <v>32</v>
          </cell>
          <cell r="Y1003">
            <v>96</v>
          </cell>
        </row>
        <row r="1004">
          <cell r="U1004" t="str">
            <v>L104635</v>
          </cell>
          <cell r="V1004" t="str">
            <v>FDV 3Kg</v>
          </cell>
          <cell r="W1004" t="str">
            <v>Ajuste</v>
          </cell>
          <cell r="X1004">
            <v>24</v>
          </cell>
          <cell r="Y1004">
            <v>72</v>
          </cell>
        </row>
        <row r="1005">
          <cell r="U1005" t="str">
            <v>L104647</v>
          </cell>
          <cell r="V1005" t="str">
            <v>FDV 3Kg</v>
          </cell>
          <cell r="W1005" t="str">
            <v>Ajuste</v>
          </cell>
          <cell r="X1005">
            <v>14</v>
          </cell>
          <cell r="Y1005">
            <v>42</v>
          </cell>
        </row>
        <row r="1006">
          <cell r="U1006" t="str">
            <v>L104374</v>
          </cell>
          <cell r="V1006" t="str">
            <v>FREG MTAL</v>
          </cell>
          <cell r="W1006" t="str">
            <v>Ajuste</v>
          </cell>
          <cell r="X1006">
            <v>2</v>
          </cell>
          <cell r="Y1006">
            <v>90</v>
          </cell>
        </row>
        <row r="1007">
          <cell r="U1007" t="str">
            <v>L104880</v>
          </cell>
          <cell r="V1007" t="str">
            <v>FRJ 3kg-CAJA</v>
          </cell>
          <cell r="W1007" t="str">
            <v>Ajuste</v>
          </cell>
          <cell r="X1007">
            <v>2</v>
          </cell>
          <cell r="Y1007">
            <v>6</v>
          </cell>
        </row>
        <row r="1008">
          <cell r="U1008" t="str">
            <v>L104811</v>
          </cell>
          <cell r="V1008" t="str">
            <v>FRJ 5kg-CAJA</v>
          </cell>
          <cell r="W1008" t="str">
            <v>Ajuste</v>
          </cell>
          <cell r="X1008">
            <v>2</v>
          </cell>
          <cell r="Y1008">
            <v>10</v>
          </cell>
        </row>
        <row r="1009">
          <cell r="U1009" t="str">
            <v>L104030</v>
          </cell>
          <cell r="V1009" t="str">
            <v>FRUV 10kg</v>
          </cell>
          <cell r="W1009" t="str">
            <v>Ajuste</v>
          </cell>
          <cell r="X1009">
            <v>28</v>
          </cell>
          <cell r="Y1009">
            <v>280</v>
          </cell>
        </row>
        <row r="1010">
          <cell r="U1010" t="str">
            <v>,,,</v>
          </cell>
          <cell r="V1010" t="str">
            <v>FRUVER 10kg</v>
          </cell>
          <cell r="W1010" t="str">
            <v>Ajuste</v>
          </cell>
          <cell r="X1010">
            <v>4</v>
          </cell>
          <cell r="Y1010">
            <v>40</v>
          </cell>
        </row>
        <row r="1011">
          <cell r="U1011" t="str">
            <v>L103817</v>
          </cell>
          <cell r="V1011" t="str">
            <v>FRUVER 10kg</v>
          </cell>
          <cell r="W1011" t="str">
            <v>Ajuste</v>
          </cell>
          <cell r="X1011">
            <v>78</v>
          </cell>
          <cell r="Y1011">
            <v>780</v>
          </cell>
        </row>
        <row r="1012">
          <cell r="U1012" t="str">
            <v>L103870</v>
          </cell>
          <cell r="V1012" t="str">
            <v>FRUVER 10kg</v>
          </cell>
          <cell r="W1012" t="str">
            <v>Ajuste</v>
          </cell>
          <cell r="X1012">
            <v>62</v>
          </cell>
          <cell r="Y1012">
            <v>620</v>
          </cell>
        </row>
        <row r="1013">
          <cell r="U1013" t="str">
            <v>L103920</v>
          </cell>
          <cell r="V1013" t="str">
            <v>FRUVER 10kg</v>
          </cell>
          <cell r="W1013" t="str">
            <v>Ajuste</v>
          </cell>
          <cell r="X1013">
            <v>72</v>
          </cell>
          <cell r="Y1013">
            <v>720</v>
          </cell>
        </row>
        <row r="1014">
          <cell r="U1014" t="str">
            <v>L104120</v>
          </cell>
          <cell r="V1014" t="str">
            <v>FRUVER 10kg</v>
          </cell>
          <cell r="W1014" t="str">
            <v>Ajuste</v>
          </cell>
          <cell r="X1014">
            <v>52</v>
          </cell>
          <cell r="Y1014">
            <v>520</v>
          </cell>
        </row>
        <row r="1015">
          <cell r="U1015" t="str">
            <v>L104202</v>
          </cell>
          <cell r="V1015" t="str">
            <v>FRUVER 10kg</v>
          </cell>
          <cell r="W1015" t="str">
            <v>Ajuste</v>
          </cell>
          <cell r="X1015">
            <v>66</v>
          </cell>
          <cell r="Y1015">
            <v>660</v>
          </cell>
        </row>
        <row r="1016">
          <cell r="U1016" t="str">
            <v>L104239</v>
          </cell>
          <cell r="V1016" t="str">
            <v>FRUVER 10kg</v>
          </cell>
          <cell r="W1016" t="str">
            <v>Ajuste</v>
          </cell>
          <cell r="X1016">
            <v>76</v>
          </cell>
          <cell r="Y1016">
            <v>760</v>
          </cell>
        </row>
        <row r="1017">
          <cell r="U1017" t="str">
            <v>L104418</v>
          </cell>
          <cell r="V1017" t="str">
            <v>FRUVER 10kg</v>
          </cell>
          <cell r="W1017" t="str">
            <v>Ajuste</v>
          </cell>
          <cell r="X1017">
            <v>92</v>
          </cell>
          <cell r="Y1017">
            <v>920</v>
          </cell>
        </row>
        <row r="1018">
          <cell r="U1018" t="str">
            <v>L104454</v>
          </cell>
          <cell r="V1018" t="str">
            <v>FRUVER 10kg</v>
          </cell>
          <cell r="W1018" t="str">
            <v>Ajuste</v>
          </cell>
          <cell r="X1018">
            <v>98</v>
          </cell>
          <cell r="Y1018">
            <v>980</v>
          </cell>
        </row>
        <row r="1019">
          <cell r="U1019" t="str">
            <v>L104515</v>
          </cell>
          <cell r="V1019" t="str">
            <v>FRUVER 10kg</v>
          </cell>
          <cell r="W1019" t="str">
            <v>Ajuste</v>
          </cell>
          <cell r="X1019">
            <v>58</v>
          </cell>
          <cell r="Y1019">
            <v>580</v>
          </cell>
        </row>
        <row r="1020">
          <cell r="U1020" t="str">
            <v>L104731</v>
          </cell>
          <cell r="V1020" t="str">
            <v>FRUVER 10kg</v>
          </cell>
          <cell r="W1020" t="str">
            <v>Ajuste</v>
          </cell>
          <cell r="X1020">
            <v>196</v>
          </cell>
          <cell r="Y1020">
            <v>1960</v>
          </cell>
        </row>
        <row r="1021">
          <cell r="U1021" t="str">
            <v>L104796</v>
          </cell>
          <cell r="V1021" t="str">
            <v>FRUVER 10kg</v>
          </cell>
          <cell r="W1021" t="str">
            <v>Ajuste</v>
          </cell>
          <cell r="X1021">
            <v>112</v>
          </cell>
          <cell r="Y1021">
            <v>1120</v>
          </cell>
        </row>
        <row r="1022">
          <cell r="U1022" t="str">
            <v>L104796</v>
          </cell>
          <cell r="V1022" t="str">
            <v>FRUVER 10kg</v>
          </cell>
          <cell r="W1022" t="str">
            <v>Dañado</v>
          </cell>
          <cell r="X1022">
            <v>12</v>
          </cell>
          <cell r="Y1022">
            <v>120</v>
          </cell>
        </row>
        <row r="1023">
          <cell r="U1023" t="str">
            <v>L104845</v>
          </cell>
          <cell r="V1023" t="str">
            <v>FRUVER 10kg</v>
          </cell>
          <cell r="W1023" t="str">
            <v>Ajuste</v>
          </cell>
          <cell r="X1023">
            <v>194</v>
          </cell>
          <cell r="Y1023">
            <v>1940</v>
          </cell>
        </row>
        <row r="1024">
          <cell r="U1024" t="str">
            <v>L104028</v>
          </cell>
          <cell r="V1024" t="str">
            <v>FRVDVG 5kg</v>
          </cell>
          <cell r="W1024" t="str">
            <v>Ajuste</v>
          </cell>
          <cell r="X1024">
            <v>2</v>
          </cell>
          <cell r="Y1024">
            <v>10</v>
          </cell>
        </row>
        <row r="1025">
          <cell r="U1025" t="str">
            <v>L104180</v>
          </cell>
          <cell r="V1025" t="str">
            <v>FRVDVG 5kg</v>
          </cell>
          <cell r="W1025" t="str">
            <v>Ajuste</v>
          </cell>
          <cell r="X1025">
            <v>1</v>
          </cell>
          <cell r="Y1025">
            <v>5</v>
          </cell>
        </row>
        <row r="1026">
          <cell r="U1026" t="str">
            <v>L104180</v>
          </cell>
          <cell r="V1026" t="str">
            <v>FRVDVG 5kg</v>
          </cell>
          <cell r="W1026" t="str">
            <v>Dañado</v>
          </cell>
          <cell r="X1026">
            <v>1</v>
          </cell>
          <cell r="Y1026">
            <v>5</v>
          </cell>
        </row>
        <row r="1027">
          <cell r="U1027" t="str">
            <v>L104496</v>
          </cell>
          <cell r="V1027" t="str">
            <v>FRVDVG 5kg</v>
          </cell>
          <cell r="W1027" t="str">
            <v>Ajuste</v>
          </cell>
          <cell r="X1027">
            <v>24</v>
          </cell>
          <cell r="Y1027">
            <v>120</v>
          </cell>
        </row>
        <row r="1028">
          <cell r="U1028" t="str">
            <v>L104508</v>
          </cell>
          <cell r="V1028" t="str">
            <v>FRVDVG 5kg</v>
          </cell>
          <cell r="W1028" t="str">
            <v>Ajuste</v>
          </cell>
          <cell r="X1028">
            <v>2</v>
          </cell>
          <cell r="Y1028">
            <v>10</v>
          </cell>
        </row>
        <row r="1029">
          <cell r="U1029" t="str">
            <v>L104678</v>
          </cell>
          <cell r="V1029" t="str">
            <v>FRVDVG 5kg</v>
          </cell>
          <cell r="W1029" t="str">
            <v>Ajuste</v>
          </cell>
          <cell r="X1029">
            <v>2</v>
          </cell>
          <cell r="Y1029">
            <v>10</v>
          </cell>
        </row>
        <row r="1030">
          <cell r="U1030" t="str">
            <v>L104688</v>
          </cell>
          <cell r="V1030" t="str">
            <v>FRVDVG 5kg</v>
          </cell>
          <cell r="W1030" t="str">
            <v>Ajuste</v>
          </cell>
          <cell r="X1030">
            <v>2</v>
          </cell>
          <cell r="Y1030">
            <v>10</v>
          </cell>
        </row>
        <row r="1031">
          <cell r="U1031" t="str">
            <v>L103797</v>
          </cell>
          <cell r="V1031" t="str">
            <v>FRVDVG 8kg</v>
          </cell>
          <cell r="W1031" t="str">
            <v>Ajuste</v>
          </cell>
          <cell r="X1031">
            <v>10</v>
          </cell>
          <cell r="Y1031">
            <v>80</v>
          </cell>
        </row>
        <row r="1032">
          <cell r="U1032" t="str">
            <v>L103799</v>
          </cell>
          <cell r="V1032" t="str">
            <v>FRVDVG 8kg</v>
          </cell>
          <cell r="W1032" t="str">
            <v>Ajuste</v>
          </cell>
          <cell r="X1032">
            <v>16</v>
          </cell>
          <cell r="Y1032">
            <v>128</v>
          </cell>
        </row>
        <row r="1033">
          <cell r="U1033" t="str">
            <v>L103813</v>
          </cell>
          <cell r="V1033" t="str">
            <v>FRVDVG 8kg</v>
          </cell>
          <cell r="W1033" t="str">
            <v>Ajuste</v>
          </cell>
          <cell r="X1033">
            <v>18</v>
          </cell>
          <cell r="Y1033">
            <v>144</v>
          </cell>
        </row>
        <row r="1034">
          <cell r="U1034" t="str">
            <v>L103859</v>
          </cell>
          <cell r="V1034" t="str">
            <v>FRVDVG 8kg</v>
          </cell>
          <cell r="W1034" t="str">
            <v>Ajuste</v>
          </cell>
          <cell r="X1034">
            <v>22</v>
          </cell>
          <cell r="Y1034">
            <v>176</v>
          </cell>
        </row>
        <row r="1035">
          <cell r="U1035" t="str">
            <v>L103861</v>
          </cell>
          <cell r="V1035" t="str">
            <v>FRVDVG 8kg</v>
          </cell>
          <cell r="W1035" t="str">
            <v>Ajuste</v>
          </cell>
          <cell r="X1035">
            <v>26</v>
          </cell>
          <cell r="Y1035">
            <v>208</v>
          </cell>
        </row>
        <row r="1036">
          <cell r="U1036" t="str">
            <v>L103909</v>
          </cell>
          <cell r="V1036" t="str">
            <v>FRVDVG 8kg</v>
          </cell>
          <cell r="W1036" t="str">
            <v>Ajuste</v>
          </cell>
          <cell r="X1036">
            <v>16</v>
          </cell>
          <cell r="Y1036">
            <v>128</v>
          </cell>
        </row>
        <row r="1037">
          <cell r="U1037" t="str">
            <v>L104004</v>
          </cell>
          <cell r="V1037" t="str">
            <v>FRVDVG 8kg</v>
          </cell>
          <cell r="W1037" t="str">
            <v>Ajuste</v>
          </cell>
          <cell r="X1037">
            <v>18</v>
          </cell>
          <cell r="Y1037">
            <v>144</v>
          </cell>
        </row>
        <row r="1038">
          <cell r="U1038" t="str">
            <v>L104022</v>
          </cell>
          <cell r="V1038" t="str">
            <v>FRVDVG 8kg</v>
          </cell>
          <cell r="W1038" t="str">
            <v>Ajuste</v>
          </cell>
          <cell r="X1038">
            <v>16</v>
          </cell>
          <cell r="Y1038">
            <v>128</v>
          </cell>
        </row>
        <row r="1039">
          <cell r="U1039" t="str">
            <v>L104027</v>
          </cell>
          <cell r="V1039" t="str">
            <v>FRVDVG 8kg</v>
          </cell>
          <cell r="W1039" t="str">
            <v>Ajuste</v>
          </cell>
          <cell r="X1039">
            <v>12</v>
          </cell>
          <cell r="Y1039">
            <v>96</v>
          </cell>
        </row>
        <row r="1040">
          <cell r="U1040" t="str">
            <v>L104089</v>
          </cell>
          <cell r="V1040" t="str">
            <v>FRVDVG 8kg</v>
          </cell>
          <cell r="W1040" t="str">
            <v>Ajuste</v>
          </cell>
          <cell r="X1040">
            <v>32</v>
          </cell>
          <cell r="Y1040">
            <v>256</v>
          </cell>
        </row>
        <row r="1041">
          <cell r="U1041" t="str">
            <v>L104105</v>
          </cell>
          <cell r="V1041" t="str">
            <v>FRVDVG 8kg</v>
          </cell>
          <cell r="W1041" t="str">
            <v>Ajuste</v>
          </cell>
          <cell r="X1041">
            <v>22</v>
          </cell>
          <cell r="Y1041">
            <v>176</v>
          </cell>
        </row>
        <row r="1042">
          <cell r="U1042" t="str">
            <v>L104111</v>
          </cell>
          <cell r="V1042" t="str">
            <v>FRVDVG 8kg</v>
          </cell>
          <cell r="W1042" t="str">
            <v>Ajuste</v>
          </cell>
          <cell r="X1042">
            <v>10</v>
          </cell>
          <cell r="Y1042">
            <v>80</v>
          </cell>
        </row>
        <row r="1043">
          <cell r="U1043" t="str">
            <v>L104118</v>
          </cell>
          <cell r="V1043" t="str">
            <v>FRVDVG 8kg</v>
          </cell>
          <cell r="W1043" t="str">
            <v>Ajuste</v>
          </cell>
          <cell r="X1043">
            <v>10</v>
          </cell>
          <cell r="Y1043">
            <v>80</v>
          </cell>
        </row>
        <row r="1044">
          <cell r="U1044" t="str">
            <v>L104178</v>
          </cell>
          <cell r="V1044" t="str">
            <v>FRVDVG 8kg</v>
          </cell>
          <cell r="W1044" t="str">
            <v>Ajuste</v>
          </cell>
          <cell r="X1044">
            <v>6</v>
          </cell>
          <cell r="Y1044">
            <v>48</v>
          </cell>
        </row>
        <row r="1045">
          <cell r="U1045" t="str">
            <v>L104179</v>
          </cell>
          <cell r="V1045" t="str">
            <v>FRVDVG 8kg</v>
          </cell>
          <cell r="W1045" t="str">
            <v>Ajuste</v>
          </cell>
          <cell r="X1045">
            <v>6</v>
          </cell>
          <cell r="Y1045">
            <v>48</v>
          </cell>
        </row>
        <row r="1046">
          <cell r="U1046" t="str">
            <v>L104182</v>
          </cell>
          <cell r="V1046" t="str">
            <v>FRVDVG 8kg</v>
          </cell>
          <cell r="W1046" t="str">
            <v>Ajuste</v>
          </cell>
          <cell r="X1046">
            <v>32</v>
          </cell>
          <cell r="Y1046">
            <v>256</v>
          </cell>
        </row>
        <row r="1047">
          <cell r="U1047" t="str">
            <v>L104187</v>
          </cell>
          <cell r="V1047" t="str">
            <v>FRVDVG 8kg</v>
          </cell>
          <cell r="W1047" t="str">
            <v>Ajuste</v>
          </cell>
          <cell r="X1047">
            <v>28</v>
          </cell>
          <cell r="Y1047">
            <v>224</v>
          </cell>
        </row>
        <row r="1048">
          <cell r="U1048" t="str">
            <v>L104232</v>
          </cell>
          <cell r="V1048" t="str">
            <v>FRVDVG 8kg</v>
          </cell>
          <cell r="W1048" t="str">
            <v>Ajuste</v>
          </cell>
          <cell r="X1048">
            <v>10</v>
          </cell>
          <cell r="Y1048">
            <v>80</v>
          </cell>
        </row>
        <row r="1049">
          <cell r="U1049" t="str">
            <v>L104234</v>
          </cell>
          <cell r="V1049" t="str">
            <v>FRVDVG 8kg</v>
          </cell>
          <cell r="W1049" t="str">
            <v>Ajuste</v>
          </cell>
          <cell r="X1049">
            <v>16</v>
          </cell>
          <cell r="Y1049">
            <v>128</v>
          </cell>
        </row>
        <row r="1050">
          <cell r="U1050" t="str">
            <v>L104340</v>
          </cell>
          <cell r="V1050" t="str">
            <v>FRVDVG 8kg</v>
          </cell>
          <cell r="W1050" t="str">
            <v>Ajuste</v>
          </cell>
          <cell r="X1050">
            <v>26</v>
          </cell>
          <cell r="Y1050">
            <v>208</v>
          </cell>
        </row>
        <row r="1051">
          <cell r="U1051" t="str">
            <v>L104348</v>
          </cell>
          <cell r="V1051" t="str">
            <v>FRVDVG 8kg</v>
          </cell>
          <cell r="W1051" t="str">
            <v>Ajuste</v>
          </cell>
          <cell r="X1051">
            <v>16</v>
          </cell>
          <cell r="Y1051">
            <v>128</v>
          </cell>
        </row>
        <row r="1052">
          <cell r="U1052" t="str">
            <v>L104385</v>
          </cell>
          <cell r="V1052" t="str">
            <v>FRVDVG 8kg</v>
          </cell>
          <cell r="W1052" t="str">
            <v>Ajuste</v>
          </cell>
          <cell r="X1052">
            <v>16</v>
          </cell>
          <cell r="Y1052">
            <v>128</v>
          </cell>
        </row>
        <row r="1053">
          <cell r="U1053" t="str">
            <v>L104415</v>
          </cell>
          <cell r="V1053" t="str">
            <v>FRVDVG 8kg</v>
          </cell>
          <cell r="W1053" t="str">
            <v>Ajuste</v>
          </cell>
          <cell r="X1053">
            <v>30</v>
          </cell>
          <cell r="Y1053">
            <v>240</v>
          </cell>
        </row>
        <row r="1054">
          <cell r="U1054" t="str">
            <v>L104421</v>
          </cell>
          <cell r="V1054" t="str">
            <v>FRVDVG 8kg</v>
          </cell>
          <cell r="W1054" t="str">
            <v>Ajuste</v>
          </cell>
          <cell r="X1054">
            <v>12</v>
          </cell>
          <cell r="Y1054">
            <v>96</v>
          </cell>
        </row>
        <row r="1055">
          <cell r="U1055" t="str">
            <v>L104449</v>
          </cell>
          <cell r="V1055" t="str">
            <v>FRVDVG 8kg</v>
          </cell>
          <cell r="W1055" t="str">
            <v>Ajuste</v>
          </cell>
          <cell r="X1055">
            <v>24</v>
          </cell>
          <cell r="Y1055">
            <v>192</v>
          </cell>
        </row>
        <row r="1056">
          <cell r="U1056" t="str">
            <v>L104463</v>
          </cell>
          <cell r="V1056" t="str">
            <v>FRVDVG 8kg</v>
          </cell>
          <cell r="W1056" t="str">
            <v>Ajuste</v>
          </cell>
          <cell r="X1056">
            <v>18</v>
          </cell>
          <cell r="Y1056">
            <v>144</v>
          </cell>
        </row>
        <row r="1057">
          <cell r="U1057" t="str">
            <v>L104495</v>
          </cell>
          <cell r="V1057" t="str">
            <v>FRVDVG 8kg</v>
          </cell>
          <cell r="W1057" t="str">
            <v>Ajuste</v>
          </cell>
          <cell r="X1057">
            <v>40</v>
          </cell>
          <cell r="Y1057">
            <v>320</v>
          </cell>
        </row>
        <row r="1058">
          <cell r="U1058" t="str">
            <v>L104501</v>
          </cell>
          <cell r="V1058" t="str">
            <v>FRVDVG 8kg</v>
          </cell>
          <cell r="W1058" t="str">
            <v>Ajuste</v>
          </cell>
          <cell r="X1058">
            <v>18</v>
          </cell>
          <cell r="Y1058">
            <v>144</v>
          </cell>
        </row>
        <row r="1059">
          <cell r="U1059" t="str">
            <v>L104507</v>
          </cell>
          <cell r="V1059" t="str">
            <v>FRVDVG 8kg</v>
          </cell>
          <cell r="W1059" t="str">
            <v>Ajuste</v>
          </cell>
          <cell r="X1059">
            <v>16</v>
          </cell>
          <cell r="Y1059">
            <v>128</v>
          </cell>
        </row>
        <row r="1060">
          <cell r="U1060" t="str">
            <v>L104677</v>
          </cell>
          <cell r="V1060" t="str">
            <v>FRVDVG 8kg</v>
          </cell>
          <cell r="W1060" t="str">
            <v>Ajuste</v>
          </cell>
          <cell r="X1060">
            <v>30</v>
          </cell>
          <cell r="Y1060">
            <v>240</v>
          </cell>
        </row>
        <row r="1061">
          <cell r="U1061" t="str">
            <v>L104687</v>
          </cell>
          <cell r="V1061" t="str">
            <v>FRVDVG 8kg</v>
          </cell>
          <cell r="W1061" t="str">
            <v>Ajuste</v>
          </cell>
          <cell r="X1061">
            <v>36</v>
          </cell>
          <cell r="Y1061">
            <v>288</v>
          </cell>
        </row>
        <row r="1062">
          <cell r="U1062" t="str">
            <v>L104723</v>
          </cell>
          <cell r="V1062" t="str">
            <v>FRVDVG 8kg</v>
          </cell>
          <cell r="W1062" t="str">
            <v>Ajuste</v>
          </cell>
          <cell r="X1062">
            <v>60</v>
          </cell>
          <cell r="Y1062">
            <v>480</v>
          </cell>
        </row>
        <row r="1063">
          <cell r="U1063" t="str">
            <v>L104726</v>
          </cell>
          <cell r="V1063" t="str">
            <v>FRVDVG 8kg</v>
          </cell>
          <cell r="W1063" t="str">
            <v>Ajuste</v>
          </cell>
          <cell r="X1063">
            <v>24</v>
          </cell>
          <cell r="Y1063">
            <v>192</v>
          </cell>
        </row>
        <row r="1064">
          <cell r="U1064" t="str">
            <v>L104786</v>
          </cell>
          <cell r="V1064" t="str">
            <v>FRVDVG 8kg</v>
          </cell>
          <cell r="W1064" t="str">
            <v>Ajuste</v>
          </cell>
          <cell r="X1064">
            <v>34</v>
          </cell>
          <cell r="Y1064">
            <v>272</v>
          </cell>
        </row>
        <row r="1065">
          <cell r="U1065" t="str">
            <v>L104791</v>
          </cell>
          <cell r="V1065" t="str">
            <v>FRVDVG 8kg</v>
          </cell>
          <cell r="W1065" t="str">
            <v>Ajuste</v>
          </cell>
          <cell r="X1065">
            <v>24</v>
          </cell>
          <cell r="Y1065">
            <v>192</v>
          </cell>
        </row>
        <row r="1066">
          <cell r="U1066" t="str">
            <v>L104794</v>
          </cell>
          <cell r="V1066" t="str">
            <v>FRVDVG 8kg</v>
          </cell>
          <cell r="W1066" t="str">
            <v>Ajuste</v>
          </cell>
          <cell r="X1066">
            <v>38</v>
          </cell>
          <cell r="Y1066">
            <v>304</v>
          </cell>
        </row>
        <row r="1067">
          <cell r="U1067" t="str">
            <v>L104830</v>
          </cell>
          <cell r="V1067" t="str">
            <v>FRVDVG 8kg</v>
          </cell>
          <cell r="W1067" t="str">
            <v>Ajuste</v>
          </cell>
          <cell r="X1067">
            <v>28</v>
          </cell>
          <cell r="Y1067">
            <v>224</v>
          </cell>
        </row>
        <row r="1068">
          <cell r="U1068" t="str">
            <v>L104833</v>
          </cell>
          <cell r="V1068" t="str">
            <v>FRVDVG 8kg</v>
          </cell>
          <cell r="W1068" t="str">
            <v>Ajuste</v>
          </cell>
          <cell r="X1068">
            <v>8</v>
          </cell>
          <cell r="Y1068">
            <v>64</v>
          </cell>
        </row>
        <row r="1069">
          <cell r="U1069" t="str">
            <v>L104838</v>
          </cell>
          <cell r="V1069" t="str">
            <v>FRVDVG 8kg</v>
          </cell>
          <cell r="W1069" t="str">
            <v>Ajuste</v>
          </cell>
          <cell r="X1069">
            <v>38</v>
          </cell>
          <cell r="Y1069">
            <v>304</v>
          </cell>
        </row>
        <row r="1070">
          <cell r="U1070" t="str">
            <v>L104615</v>
          </cell>
          <cell r="V1070" t="str">
            <v>Galleta kg</v>
          </cell>
          <cell r="W1070" t="str">
            <v>Ajuste</v>
          </cell>
          <cell r="X1070">
            <v>52</v>
          </cell>
          <cell r="Y1070">
            <v>52</v>
          </cell>
        </row>
        <row r="1071">
          <cell r="U1071" t="str">
            <v>L104073</v>
          </cell>
          <cell r="V1071" t="str">
            <v>GLT 2kg</v>
          </cell>
          <cell r="W1071" t="str">
            <v>Ajuste</v>
          </cell>
          <cell r="X1071">
            <v>66</v>
          </cell>
          <cell r="Y1071">
            <v>132</v>
          </cell>
        </row>
        <row r="1072">
          <cell r="U1072" t="str">
            <v>L103760</v>
          </cell>
          <cell r="V1072" t="str">
            <v>GLT 2kg</v>
          </cell>
          <cell r="W1072" t="str">
            <v>Ajuste</v>
          </cell>
          <cell r="X1072">
            <v>4</v>
          </cell>
          <cell r="Y1072">
            <v>8</v>
          </cell>
        </row>
        <row r="1073">
          <cell r="U1073" t="str">
            <v>L103761</v>
          </cell>
          <cell r="V1073" t="str">
            <v>GLT 2kg</v>
          </cell>
          <cell r="W1073" t="str">
            <v>Ajuste</v>
          </cell>
          <cell r="X1073">
            <v>20</v>
          </cell>
          <cell r="Y1073">
            <v>40</v>
          </cell>
        </row>
        <row r="1074">
          <cell r="U1074" t="str">
            <v>L104072</v>
          </cell>
          <cell r="V1074" t="str">
            <v>GLT 2kg</v>
          </cell>
          <cell r="W1074" t="str">
            <v>Ajuste</v>
          </cell>
          <cell r="X1074">
            <v>82</v>
          </cell>
          <cell r="Y1074">
            <v>164</v>
          </cell>
        </row>
        <row r="1075">
          <cell r="U1075" t="str">
            <v>L104099</v>
          </cell>
          <cell r="V1075" t="str">
            <v>GLT 2kg</v>
          </cell>
          <cell r="W1075" t="str">
            <v>Ajuste</v>
          </cell>
          <cell r="X1075">
            <v>2</v>
          </cell>
          <cell r="Y1075">
            <v>4</v>
          </cell>
        </row>
        <row r="1076">
          <cell r="U1076" t="str">
            <v>L104101</v>
          </cell>
          <cell r="V1076" t="str">
            <v>GLT 2kg</v>
          </cell>
          <cell r="W1076" t="str">
            <v>Ajuste</v>
          </cell>
          <cell r="X1076">
            <v>34</v>
          </cell>
          <cell r="Y1076">
            <v>68</v>
          </cell>
        </row>
        <row r="1077">
          <cell r="U1077" t="str">
            <v>L104437</v>
          </cell>
          <cell r="V1077" t="str">
            <v>GLV 1.5kg</v>
          </cell>
          <cell r="W1077" t="str">
            <v>Ajuste</v>
          </cell>
          <cell r="X1077">
            <v>2</v>
          </cell>
          <cell r="Y1077">
            <v>3</v>
          </cell>
        </row>
        <row r="1078">
          <cell r="U1078" t="str">
            <v>L104319</v>
          </cell>
          <cell r="V1078" t="str">
            <v>GLV 1kg</v>
          </cell>
          <cell r="W1078" t="str">
            <v>Ajuste</v>
          </cell>
          <cell r="X1078">
            <v>2</v>
          </cell>
          <cell r="Y1078">
            <v>2</v>
          </cell>
        </row>
        <row r="1079">
          <cell r="U1079" t="str">
            <v>L104320</v>
          </cell>
          <cell r="V1079" t="str">
            <v>GLV 1kg</v>
          </cell>
          <cell r="W1079" t="str">
            <v>Ajuste</v>
          </cell>
          <cell r="X1079">
            <v>38</v>
          </cell>
          <cell r="Y1079">
            <v>38</v>
          </cell>
        </row>
        <row r="1080">
          <cell r="U1080" t="str">
            <v>L104879</v>
          </cell>
          <cell r="V1080" t="str">
            <v>GLV 1kg</v>
          </cell>
          <cell r="W1080" t="str">
            <v>Ajuste</v>
          </cell>
          <cell r="X1080">
            <v>87</v>
          </cell>
          <cell r="Y1080">
            <v>87</v>
          </cell>
        </row>
        <row r="1081">
          <cell r="U1081" t="str">
            <v>L103832</v>
          </cell>
          <cell r="V1081" t="str">
            <v>GLV 4kg</v>
          </cell>
          <cell r="W1081" t="str">
            <v>Ajuste</v>
          </cell>
          <cell r="X1081">
            <v>394</v>
          </cell>
          <cell r="Y1081">
            <v>1576</v>
          </cell>
        </row>
        <row r="1082">
          <cell r="U1082" t="str">
            <v>L103832</v>
          </cell>
          <cell r="V1082" t="str">
            <v>GLV 4kg</v>
          </cell>
          <cell r="W1082" t="str">
            <v>Uso del BAP</v>
          </cell>
          <cell r="X1082">
            <v>3</v>
          </cell>
          <cell r="Y1082">
            <v>12</v>
          </cell>
        </row>
        <row r="1083">
          <cell r="U1083" t="str">
            <v>L103785</v>
          </cell>
          <cell r="V1083" t="str">
            <v>GST Vr5.0kg-CAJA</v>
          </cell>
          <cell r="W1083" t="str">
            <v>Ajuste</v>
          </cell>
          <cell r="X1083">
            <v>14</v>
          </cell>
          <cell r="Y1083">
            <v>70</v>
          </cell>
        </row>
        <row r="1084">
          <cell r="U1084" t="str">
            <v>L104575</v>
          </cell>
          <cell r="V1084" t="str">
            <v>GST Vr5.0kg-CAJA</v>
          </cell>
          <cell r="W1084" t="str">
            <v>Ajuste</v>
          </cell>
          <cell r="X1084">
            <v>10</v>
          </cell>
          <cell r="Y1084">
            <v>50</v>
          </cell>
        </row>
        <row r="1085">
          <cell r="U1085" t="str">
            <v>L104587</v>
          </cell>
          <cell r="V1085" t="str">
            <v>GST Vr5.0kg-CAJA</v>
          </cell>
          <cell r="W1085" t="str">
            <v>Ajuste</v>
          </cell>
          <cell r="X1085">
            <v>14</v>
          </cell>
          <cell r="Y1085">
            <v>70</v>
          </cell>
        </row>
        <row r="1086">
          <cell r="U1086" t="str">
            <v>L104847</v>
          </cell>
          <cell r="V1086" t="str">
            <v>GST Vr5.0kg-CAJA</v>
          </cell>
          <cell r="W1086" t="str">
            <v>Ajuste</v>
          </cell>
          <cell r="X1086">
            <v>2</v>
          </cell>
          <cell r="Y1086">
            <v>10</v>
          </cell>
        </row>
        <row r="1087">
          <cell r="U1087" t="str">
            <v>L104211</v>
          </cell>
          <cell r="V1087" t="str">
            <v>GTA 1kg-CAJA</v>
          </cell>
          <cell r="W1087" t="str">
            <v>Ajuste</v>
          </cell>
          <cell r="X1087">
            <v>360</v>
          </cell>
          <cell r="Y1087">
            <v>360</v>
          </cell>
        </row>
        <row r="1088">
          <cell r="U1088" t="str">
            <v>L104438</v>
          </cell>
          <cell r="V1088" t="str">
            <v>GTA 1kg-CAJA</v>
          </cell>
          <cell r="W1088" t="str">
            <v>Ajuste</v>
          </cell>
          <cell r="X1088">
            <v>2</v>
          </cell>
          <cell r="Y1088">
            <v>2</v>
          </cell>
        </row>
        <row r="1089">
          <cell r="U1089" t="str">
            <v>L104318</v>
          </cell>
          <cell r="V1089" t="str">
            <v>GTA 2kg-CAJA</v>
          </cell>
          <cell r="W1089" t="str">
            <v>Ajuste</v>
          </cell>
          <cell r="X1089">
            <v>28</v>
          </cell>
          <cell r="Y1089">
            <v>56</v>
          </cell>
        </row>
        <row r="1090">
          <cell r="U1090" t="str">
            <v>L104321</v>
          </cell>
          <cell r="V1090" t="str">
            <v>GTA 2kg-CAJA</v>
          </cell>
          <cell r="W1090" t="str">
            <v>Ajuste</v>
          </cell>
          <cell r="X1090">
            <v>2</v>
          </cell>
          <cell r="Y1090">
            <v>4</v>
          </cell>
        </row>
        <row r="1091">
          <cell r="U1091" t="str">
            <v>L104323</v>
          </cell>
          <cell r="V1091" t="str">
            <v>GTA 2kg-CAJA</v>
          </cell>
          <cell r="W1091" t="str">
            <v>Ajuste</v>
          </cell>
          <cell r="X1091">
            <v>16</v>
          </cell>
          <cell r="Y1091">
            <v>32</v>
          </cell>
        </row>
        <row r="1092">
          <cell r="U1092" t="str">
            <v>L104324</v>
          </cell>
          <cell r="V1092" t="str">
            <v>GTA 2kg-CAJA</v>
          </cell>
          <cell r="W1092" t="str">
            <v>Ajuste</v>
          </cell>
          <cell r="X1092">
            <v>2</v>
          </cell>
          <cell r="Y1092">
            <v>4</v>
          </cell>
        </row>
        <row r="1093">
          <cell r="U1093" t="str">
            <v>L104325</v>
          </cell>
          <cell r="V1093" t="str">
            <v>GTA 2kg-CAJA</v>
          </cell>
          <cell r="W1093" t="str">
            <v>Ajuste</v>
          </cell>
          <cell r="X1093">
            <v>2</v>
          </cell>
          <cell r="Y1093">
            <v>4</v>
          </cell>
        </row>
        <row r="1094">
          <cell r="U1094" t="str">
            <v>L104740</v>
          </cell>
          <cell r="V1094" t="str">
            <v>GTA 2kg-CAJA</v>
          </cell>
          <cell r="W1094" t="str">
            <v>Ajuste</v>
          </cell>
          <cell r="X1094">
            <v>4</v>
          </cell>
          <cell r="Y1094">
            <v>8</v>
          </cell>
        </row>
        <row r="1095">
          <cell r="U1095" t="str">
            <v>L104912</v>
          </cell>
          <cell r="V1095" t="str">
            <v>GTA 2kg-CAJA</v>
          </cell>
          <cell r="W1095" t="str">
            <v>Ajuste</v>
          </cell>
          <cell r="X1095">
            <v>10</v>
          </cell>
          <cell r="Y1095">
            <v>20</v>
          </cell>
        </row>
        <row r="1096">
          <cell r="U1096" t="str">
            <v>L104161</v>
          </cell>
          <cell r="V1096" t="str">
            <v>GTA 3kg-CAJA</v>
          </cell>
          <cell r="W1096" t="str">
            <v>Ajuste</v>
          </cell>
          <cell r="X1096">
            <v>424</v>
          </cell>
          <cell r="Y1096">
            <v>1272</v>
          </cell>
        </row>
        <row r="1097">
          <cell r="U1097" t="str">
            <v>L104326</v>
          </cell>
          <cell r="V1097" t="str">
            <v>GTA 3kg-CAJA</v>
          </cell>
          <cell r="W1097" t="str">
            <v>Ajuste</v>
          </cell>
          <cell r="X1097">
            <v>4</v>
          </cell>
          <cell r="Y1097">
            <v>12</v>
          </cell>
        </row>
        <row r="1098">
          <cell r="U1098" t="str">
            <v>L104352</v>
          </cell>
          <cell r="V1098" t="str">
            <v>GTA 3kg-CAJA</v>
          </cell>
          <cell r="W1098" t="str">
            <v>Ajuste</v>
          </cell>
          <cell r="X1098">
            <v>2</v>
          </cell>
          <cell r="Y1098">
            <v>6</v>
          </cell>
        </row>
        <row r="1099">
          <cell r="U1099" t="str">
            <v>L104353</v>
          </cell>
          <cell r="V1099" t="str">
            <v>GTA 4kg-CAJA</v>
          </cell>
          <cell r="W1099" t="str">
            <v>Ajuste</v>
          </cell>
          <cell r="X1099">
            <v>2</v>
          </cell>
          <cell r="Y1099">
            <v>8</v>
          </cell>
        </row>
        <row r="1100">
          <cell r="U1100" t="str">
            <v>L104878</v>
          </cell>
          <cell r="V1100" t="str">
            <v>GUD 3kg</v>
          </cell>
          <cell r="W1100" t="str">
            <v>Ajuste</v>
          </cell>
          <cell r="X1100">
            <v>16</v>
          </cell>
          <cell r="Y1100">
            <v>48</v>
          </cell>
        </row>
        <row r="1101">
          <cell r="U1101" t="str">
            <v>L103793</v>
          </cell>
          <cell r="V1101" t="str">
            <v>GUD 5kg-CAJA</v>
          </cell>
          <cell r="W1101" t="str">
            <v>Ajuste</v>
          </cell>
          <cell r="X1101">
            <v>10</v>
          </cell>
          <cell r="Y1101">
            <v>50</v>
          </cell>
        </row>
        <row r="1102">
          <cell r="U1102" t="str">
            <v>L104032</v>
          </cell>
          <cell r="V1102" t="str">
            <v>GUD 5kg-CAJA</v>
          </cell>
          <cell r="W1102" t="str">
            <v>Ajuste</v>
          </cell>
          <cell r="X1102">
            <v>6</v>
          </cell>
          <cell r="Y1102">
            <v>30</v>
          </cell>
        </row>
        <row r="1103">
          <cell r="U1103" t="str">
            <v>L104571</v>
          </cell>
          <cell r="V1103" t="str">
            <v>GUD 5kg-CAJA</v>
          </cell>
          <cell r="W1103" t="str">
            <v>Ajuste</v>
          </cell>
          <cell r="X1103">
            <v>6</v>
          </cell>
          <cell r="Y1103">
            <v>30</v>
          </cell>
        </row>
        <row r="1104">
          <cell r="U1104" t="str">
            <v>L104593</v>
          </cell>
          <cell r="V1104" t="str">
            <v>GUD 5kg-CAJA</v>
          </cell>
          <cell r="W1104" t="str">
            <v>Ajuste</v>
          </cell>
          <cell r="X1104">
            <v>2</v>
          </cell>
          <cell r="Y1104">
            <v>10</v>
          </cell>
        </row>
        <row r="1105">
          <cell r="U1105" t="str">
            <v>L104641</v>
          </cell>
          <cell r="V1105" t="str">
            <v>GUD 5kg-CAJA</v>
          </cell>
          <cell r="W1105" t="str">
            <v>Ajuste</v>
          </cell>
          <cell r="X1105">
            <v>2</v>
          </cell>
          <cell r="Y1105">
            <v>10</v>
          </cell>
        </row>
        <row r="1106">
          <cell r="U1106" t="str">
            <v>L104812</v>
          </cell>
          <cell r="V1106" t="str">
            <v>GUD 5kg</v>
          </cell>
          <cell r="W1106" t="str">
            <v>Ajuste</v>
          </cell>
          <cell r="X1106">
            <v>2</v>
          </cell>
          <cell r="Y1106">
            <v>10</v>
          </cell>
        </row>
        <row r="1107">
          <cell r="U1107" t="str">
            <v>L104812</v>
          </cell>
          <cell r="V1107" t="str">
            <v>GUD 5kg-CAJA</v>
          </cell>
          <cell r="W1107" t="str">
            <v>Ajuste</v>
          </cell>
          <cell r="X1107">
            <v>2</v>
          </cell>
          <cell r="Y1107">
            <v>10</v>
          </cell>
        </row>
        <row r="1108">
          <cell r="U1108" t="str">
            <v>L104322</v>
          </cell>
          <cell r="V1108" t="str">
            <v>HAV 1.5 kg</v>
          </cell>
          <cell r="W1108" t="str">
            <v>Ajuste</v>
          </cell>
          <cell r="X1108">
            <v>90</v>
          </cell>
          <cell r="Y1108">
            <v>135</v>
          </cell>
        </row>
        <row r="1109">
          <cell r="U1109" t="str">
            <v>L104400</v>
          </cell>
          <cell r="V1109" t="str">
            <v>HAV 2kg</v>
          </cell>
          <cell r="W1109" t="str">
            <v>Ajuste</v>
          </cell>
          <cell r="X1109">
            <v>4</v>
          </cell>
          <cell r="Y1109">
            <v>8</v>
          </cell>
        </row>
        <row r="1110">
          <cell r="U1110" t="str">
            <v>L104096</v>
          </cell>
          <cell r="V1110" t="str">
            <v>HAV 3kg</v>
          </cell>
          <cell r="W1110" t="str">
            <v>Ajuste</v>
          </cell>
          <cell r="X1110">
            <v>2</v>
          </cell>
          <cell r="Y1110">
            <v>6</v>
          </cell>
        </row>
        <row r="1111">
          <cell r="U1111" t="str">
            <v>L104097</v>
          </cell>
          <cell r="V1111" t="str">
            <v>HAV 3kg</v>
          </cell>
          <cell r="W1111" t="str">
            <v>Ajuste</v>
          </cell>
          <cell r="X1111">
            <v>6</v>
          </cell>
          <cell r="Y1111">
            <v>18</v>
          </cell>
        </row>
        <row r="1112">
          <cell r="U1112" t="str">
            <v>L104661</v>
          </cell>
          <cell r="V1112" t="str">
            <v>HAV 3kg</v>
          </cell>
          <cell r="W1112" t="str">
            <v>Ajuste</v>
          </cell>
          <cell r="X1112">
            <v>10</v>
          </cell>
          <cell r="Y1112">
            <v>30</v>
          </cell>
        </row>
        <row r="1113">
          <cell r="U1113" t="str">
            <v>L104327</v>
          </cell>
          <cell r="V1113" t="str">
            <v>HAV 5kg-CAJA</v>
          </cell>
          <cell r="W1113" t="str">
            <v>Ajuste</v>
          </cell>
          <cell r="X1113">
            <v>568</v>
          </cell>
          <cell r="Y1113">
            <v>2840</v>
          </cell>
        </row>
        <row r="1114">
          <cell r="U1114" t="str">
            <v>L104327</v>
          </cell>
          <cell r="V1114" t="str">
            <v>PV HAV 5kg-CAJA</v>
          </cell>
          <cell r="W1114" t="str">
            <v>Ajuste</v>
          </cell>
          <cell r="X1114">
            <v>80</v>
          </cell>
          <cell r="Y1114">
            <v>400</v>
          </cell>
        </row>
        <row r="1115">
          <cell r="U1115" t="str">
            <v>L104205</v>
          </cell>
          <cell r="V1115" t="str">
            <v>HDG 1.2kg</v>
          </cell>
          <cell r="W1115" t="str">
            <v>Ajuste</v>
          </cell>
          <cell r="X1115">
            <v>12</v>
          </cell>
          <cell r="Y1115">
            <v>14.399999999999999</v>
          </cell>
        </row>
        <row r="1116">
          <cell r="U1116" t="str">
            <v>L104457</v>
          </cell>
          <cell r="V1116" t="str">
            <v>HDG 30UNI</v>
          </cell>
          <cell r="W1116" t="str">
            <v>Ajuste</v>
          </cell>
          <cell r="X1116">
            <v>3</v>
          </cell>
          <cell r="Y1116">
            <v>6</v>
          </cell>
        </row>
        <row r="1117">
          <cell r="U1117" t="str">
            <v>L104457</v>
          </cell>
          <cell r="V1117" t="str">
            <v>HDG 30UNI</v>
          </cell>
          <cell r="W1117" t="str">
            <v>Dañado</v>
          </cell>
          <cell r="X1117">
            <v>3</v>
          </cell>
          <cell r="Y1117">
            <v>6</v>
          </cell>
        </row>
        <row r="1118">
          <cell r="U1118" t="str">
            <v>L104456</v>
          </cell>
          <cell r="V1118" t="str">
            <v>HDG 4flt x 30uds</v>
          </cell>
          <cell r="W1118" t="str">
            <v>Ajuste</v>
          </cell>
          <cell r="X1118">
            <v>74</v>
          </cell>
          <cell r="Y1118">
            <v>740</v>
          </cell>
        </row>
        <row r="1119">
          <cell r="U1119" t="str">
            <v>L104200</v>
          </cell>
          <cell r="V1119" t="str">
            <v>HGC 30 DOC</v>
          </cell>
          <cell r="W1119" t="str">
            <v>Ajuste</v>
          </cell>
          <cell r="X1119">
            <v>106</v>
          </cell>
          <cell r="Y1119">
            <v>2544</v>
          </cell>
        </row>
        <row r="1120">
          <cell r="U1120" t="str">
            <v>L104201</v>
          </cell>
          <cell r="V1120" t="str">
            <v>HGC 30 DOC</v>
          </cell>
          <cell r="W1120" t="str">
            <v>Ajuste</v>
          </cell>
          <cell r="X1120">
            <v>68</v>
          </cell>
          <cell r="Y1120">
            <v>1632</v>
          </cell>
        </row>
        <row r="1121">
          <cell r="U1121" t="str">
            <v>L104350</v>
          </cell>
          <cell r="V1121" t="str">
            <v>HGC 30 DOC</v>
          </cell>
          <cell r="W1121" t="str">
            <v>Ajuste</v>
          </cell>
          <cell r="X1121">
            <v>212</v>
          </cell>
          <cell r="Y1121">
            <v>5088</v>
          </cell>
        </row>
        <row r="1122">
          <cell r="U1122" t="str">
            <v>L104351</v>
          </cell>
          <cell r="V1122" t="str">
            <v>HGC 30 DOC</v>
          </cell>
          <cell r="W1122" t="str">
            <v>Ajuste</v>
          </cell>
          <cell r="X1122">
            <v>90</v>
          </cell>
          <cell r="Y1122">
            <v>2160</v>
          </cell>
        </row>
        <row r="1123">
          <cell r="U1123" t="str">
            <v>L104658</v>
          </cell>
          <cell r="V1123" t="str">
            <v>HGC 30 DOC</v>
          </cell>
          <cell r="W1123" t="str">
            <v>Ajuste</v>
          </cell>
          <cell r="X1123">
            <v>46</v>
          </cell>
          <cell r="Y1123">
            <v>1104</v>
          </cell>
        </row>
        <row r="1124">
          <cell r="U1124" t="str">
            <v>L104204</v>
          </cell>
          <cell r="V1124" t="str">
            <v>HGC8PACK</v>
          </cell>
          <cell r="W1124" t="str">
            <v>Ajuste</v>
          </cell>
          <cell r="X1124">
            <v>6</v>
          </cell>
          <cell r="Y1124">
            <v>66.300000000000011</v>
          </cell>
        </row>
        <row r="1125">
          <cell r="U1125" t="str">
            <v>L103764</v>
          </cell>
          <cell r="V1125" t="str">
            <v>HIDP 7KG</v>
          </cell>
          <cell r="W1125" t="str">
            <v>Ajuste</v>
          </cell>
          <cell r="X1125">
            <v>60</v>
          </cell>
          <cell r="Y1125">
            <v>420</v>
          </cell>
        </row>
        <row r="1126">
          <cell r="U1126" t="str">
            <v>L103806</v>
          </cell>
          <cell r="V1126" t="str">
            <v>HIDP 7KG</v>
          </cell>
          <cell r="W1126" t="str">
            <v>Ajuste</v>
          </cell>
          <cell r="X1126">
            <v>60</v>
          </cell>
          <cell r="Y1126">
            <v>420</v>
          </cell>
        </row>
        <row r="1127">
          <cell r="U1127" t="str">
            <v>L104207</v>
          </cell>
          <cell r="V1127" t="str">
            <v>HIDP 7KG</v>
          </cell>
          <cell r="W1127" t="str">
            <v>Ajuste</v>
          </cell>
          <cell r="X1127">
            <v>60</v>
          </cell>
          <cell r="Y1127">
            <v>420</v>
          </cell>
        </row>
        <row r="1128">
          <cell r="U1128" t="str">
            <v>L104354</v>
          </cell>
          <cell r="V1128" t="str">
            <v>HIDP 7KG</v>
          </cell>
          <cell r="W1128" t="str">
            <v>Ajuste</v>
          </cell>
          <cell r="X1128">
            <v>60</v>
          </cell>
          <cell r="Y1128">
            <v>420</v>
          </cell>
        </row>
        <row r="1129">
          <cell r="U1129" t="str">
            <v>L104659</v>
          </cell>
          <cell r="V1129" t="str">
            <v>HIDP 7KG</v>
          </cell>
          <cell r="W1129" t="str">
            <v>Ajuste</v>
          </cell>
          <cell r="X1129">
            <v>60</v>
          </cell>
          <cell r="Y1129">
            <v>420</v>
          </cell>
        </row>
        <row r="1130">
          <cell r="U1130" t="str">
            <v>L104397</v>
          </cell>
          <cell r="V1130" t="str">
            <v>HNG 3kg-CAJA</v>
          </cell>
          <cell r="W1130" t="str">
            <v>Ajuste</v>
          </cell>
          <cell r="X1130">
            <v>2</v>
          </cell>
          <cell r="Y1130">
            <v>6</v>
          </cell>
        </row>
        <row r="1131">
          <cell r="U1131" t="str">
            <v>L103786</v>
          </cell>
          <cell r="V1131" t="str">
            <v>HNG 5kg-CAJA</v>
          </cell>
          <cell r="W1131" t="str">
            <v>Ajuste</v>
          </cell>
          <cell r="X1131">
            <v>14</v>
          </cell>
          <cell r="Y1131">
            <v>70</v>
          </cell>
        </row>
        <row r="1132">
          <cell r="U1132" t="str">
            <v>L104045</v>
          </cell>
          <cell r="V1132" t="str">
            <v>HNG 5kg-CAJA</v>
          </cell>
          <cell r="W1132" t="str">
            <v>Ajuste</v>
          </cell>
          <cell r="X1132">
            <v>2</v>
          </cell>
          <cell r="Y1132">
            <v>10</v>
          </cell>
        </row>
        <row r="1133">
          <cell r="U1133" t="str">
            <v>L104567</v>
          </cell>
          <cell r="V1133" t="str">
            <v>HNG 5kg-CAJA</v>
          </cell>
          <cell r="W1133" t="str">
            <v>Ajuste</v>
          </cell>
          <cell r="X1133">
            <v>6</v>
          </cell>
          <cell r="Y1133">
            <v>30</v>
          </cell>
        </row>
        <row r="1134">
          <cell r="U1134" t="str">
            <v>L104592</v>
          </cell>
          <cell r="V1134" t="str">
            <v>HNG 5kg-CAJA</v>
          </cell>
          <cell r="W1134" t="str">
            <v>Ajuste</v>
          </cell>
          <cell r="X1134">
            <v>1</v>
          </cell>
          <cell r="Y1134">
            <v>5</v>
          </cell>
        </row>
        <row r="1135">
          <cell r="U1135" t="str">
            <v>L104810</v>
          </cell>
          <cell r="V1135" t="str">
            <v>HNG 5kg-CAJA</v>
          </cell>
          <cell r="W1135" t="str">
            <v>Ajuste</v>
          </cell>
          <cell r="X1135">
            <v>6</v>
          </cell>
          <cell r="Y1135">
            <v>30</v>
          </cell>
        </row>
        <row r="1136">
          <cell r="U1136" t="str">
            <v>L104598</v>
          </cell>
          <cell r="V1136" t="str">
            <v>HRM 2Kg</v>
          </cell>
          <cell r="W1136" t="str">
            <v>Ajuste</v>
          </cell>
          <cell r="X1136">
            <v>2</v>
          </cell>
          <cell r="Y1136">
            <v>4</v>
          </cell>
        </row>
        <row r="1137">
          <cell r="U1137" t="str">
            <v>L104900</v>
          </cell>
          <cell r="V1137" t="str">
            <v>HRN 5kg</v>
          </cell>
          <cell r="W1137" t="str">
            <v>Ajuste</v>
          </cell>
          <cell r="X1137">
            <v>220</v>
          </cell>
          <cell r="Y1137">
            <v>1100</v>
          </cell>
        </row>
        <row r="1138">
          <cell r="U1138" t="str">
            <v>L104927</v>
          </cell>
          <cell r="V1138" t="str">
            <v>HRNO BSA</v>
          </cell>
          <cell r="W1138" t="str">
            <v>Ajuste</v>
          </cell>
          <cell r="X1138">
            <v>2</v>
          </cell>
          <cell r="Y1138">
            <v>191</v>
          </cell>
        </row>
        <row r="1139">
          <cell r="U1139" t="str">
            <v>L104927</v>
          </cell>
          <cell r="V1139" t="str">
            <v>HRNO IE</v>
          </cell>
          <cell r="W1139" t="str">
            <v>Ajuste</v>
          </cell>
          <cell r="X1139">
            <v>1</v>
          </cell>
          <cell r="Y1139">
            <v>0</v>
          </cell>
        </row>
        <row r="1140">
          <cell r="U1140" t="str">
            <v>L104597</v>
          </cell>
          <cell r="V1140" t="str">
            <v>HRPP 2kg</v>
          </cell>
          <cell r="W1140" t="str">
            <v>Ajuste</v>
          </cell>
          <cell r="X1140">
            <v>6</v>
          </cell>
          <cell r="Y1140">
            <v>12</v>
          </cell>
        </row>
        <row r="1141">
          <cell r="U1141" t="str">
            <v>L103936</v>
          </cell>
          <cell r="V1141" t="str">
            <v>JB 1kg</v>
          </cell>
          <cell r="W1141" t="str">
            <v>Ajuste</v>
          </cell>
          <cell r="X1141">
            <v>60</v>
          </cell>
          <cell r="Y1141">
            <v>60</v>
          </cell>
        </row>
        <row r="1142">
          <cell r="U1142" t="str">
            <v>L103937</v>
          </cell>
          <cell r="V1142" t="str">
            <v>JB 1kg</v>
          </cell>
          <cell r="W1142" t="str">
            <v>Ajuste</v>
          </cell>
          <cell r="X1142">
            <v>66</v>
          </cell>
          <cell r="Y1142">
            <v>66</v>
          </cell>
        </row>
        <row r="1143">
          <cell r="U1143" t="str">
            <v>L103938</v>
          </cell>
          <cell r="V1143" t="str">
            <v>JB 1kg</v>
          </cell>
          <cell r="W1143" t="str">
            <v>Ajuste</v>
          </cell>
          <cell r="X1143">
            <v>142</v>
          </cell>
          <cell r="Y1143">
            <v>142</v>
          </cell>
        </row>
        <row r="1144">
          <cell r="U1144" t="str">
            <v>L103939</v>
          </cell>
          <cell r="V1144" t="str">
            <v>JB 1kg</v>
          </cell>
          <cell r="W1144" t="str">
            <v>Ajuste</v>
          </cell>
          <cell r="X1144">
            <v>82</v>
          </cell>
          <cell r="Y1144">
            <v>82</v>
          </cell>
        </row>
        <row r="1145">
          <cell r="U1145" t="str">
            <v>L103940</v>
          </cell>
          <cell r="V1145" t="str">
            <v>JB 1kg</v>
          </cell>
          <cell r="W1145" t="str">
            <v>Ajuste</v>
          </cell>
          <cell r="X1145">
            <v>124</v>
          </cell>
          <cell r="Y1145">
            <v>124</v>
          </cell>
        </row>
        <row r="1146">
          <cell r="U1146" t="str">
            <v>L103941</v>
          </cell>
          <cell r="V1146" t="str">
            <v>JB 1kg</v>
          </cell>
          <cell r="W1146" t="str">
            <v>Ajuste</v>
          </cell>
          <cell r="X1146">
            <v>22</v>
          </cell>
          <cell r="Y1146">
            <v>22</v>
          </cell>
        </row>
        <row r="1147">
          <cell r="U1147" t="str">
            <v>L103942</v>
          </cell>
          <cell r="V1147" t="str">
            <v>JB 1kg</v>
          </cell>
          <cell r="W1147" t="str">
            <v>Ajuste</v>
          </cell>
          <cell r="X1147">
            <v>16</v>
          </cell>
          <cell r="Y1147">
            <v>16</v>
          </cell>
        </row>
        <row r="1148">
          <cell r="U1148" t="str">
            <v>L104256</v>
          </cell>
          <cell r="V1148" t="str">
            <v>JB 2kg-CAJA</v>
          </cell>
          <cell r="W1148" t="str">
            <v>Ajuste</v>
          </cell>
          <cell r="X1148">
            <v>4</v>
          </cell>
          <cell r="Y1148">
            <v>8</v>
          </cell>
        </row>
        <row r="1149">
          <cell r="U1149" t="str">
            <v>L104369</v>
          </cell>
          <cell r="V1149" t="str">
            <v>JB 2kg-CAJA</v>
          </cell>
          <cell r="W1149" t="str">
            <v>Ajuste</v>
          </cell>
          <cell r="X1149">
            <v>24</v>
          </cell>
          <cell r="Y1149">
            <v>48</v>
          </cell>
        </row>
        <row r="1150">
          <cell r="U1150" t="str">
            <v>L104607</v>
          </cell>
          <cell r="V1150" t="str">
            <v>JGNA</v>
          </cell>
          <cell r="W1150" t="str">
            <v>Ajuste</v>
          </cell>
          <cell r="X1150">
            <v>2</v>
          </cell>
          <cell r="Y1150">
            <v>2</v>
          </cell>
        </row>
        <row r="1151">
          <cell r="U1151" t="str">
            <v>L104434</v>
          </cell>
          <cell r="V1151" t="str">
            <v>JGO 2kg</v>
          </cell>
          <cell r="W1151" t="str">
            <v>Ajuste</v>
          </cell>
          <cell r="X1151">
            <v>14</v>
          </cell>
          <cell r="Y1151">
            <v>28</v>
          </cell>
        </row>
        <row r="1152">
          <cell r="U1152" t="str">
            <v>L104625</v>
          </cell>
          <cell r="V1152" t="str">
            <v>JGO 2kg</v>
          </cell>
          <cell r="W1152" t="str">
            <v>Ajuste</v>
          </cell>
          <cell r="X1152">
            <v>138</v>
          </cell>
          <cell r="Y1152">
            <v>276</v>
          </cell>
        </row>
        <row r="1153">
          <cell r="U1153" t="str">
            <v>L104739</v>
          </cell>
          <cell r="V1153" t="str">
            <v>JGO 2kg</v>
          </cell>
          <cell r="W1153" t="str">
            <v>Ajuste</v>
          </cell>
          <cell r="X1153">
            <v>2</v>
          </cell>
          <cell r="Y1153">
            <v>4</v>
          </cell>
        </row>
        <row r="1154">
          <cell r="U1154" t="str">
            <v>L104893</v>
          </cell>
          <cell r="V1154" t="str">
            <v>JGO 2kg</v>
          </cell>
          <cell r="W1154" t="str">
            <v>Ajuste</v>
          </cell>
          <cell r="X1154">
            <v>524</v>
          </cell>
          <cell r="Y1154">
            <v>1048</v>
          </cell>
        </row>
        <row r="1155">
          <cell r="U1155" t="str">
            <v>L104893</v>
          </cell>
          <cell r="V1155" t="str">
            <v>JGO 2kg</v>
          </cell>
          <cell r="W1155" t="str">
            <v>Uso del BAP</v>
          </cell>
          <cell r="X1155">
            <v>1</v>
          </cell>
          <cell r="Y1155">
            <v>2</v>
          </cell>
        </row>
        <row r="1156">
          <cell r="U1156" t="str">
            <v>L104435</v>
          </cell>
          <cell r="V1156" t="str">
            <v>JGO 5kg-CAJA</v>
          </cell>
          <cell r="W1156" t="str">
            <v>Ajuste</v>
          </cell>
          <cell r="X1156">
            <v>6</v>
          </cell>
          <cell r="Y1156">
            <v>30</v>
          </cell>
        </row>
        <row r="1157">
          <cell r="U1157" t="str">
            <v>L104680</v>
          </cell>
          <cell r="V1157" t="str">
            <v>JGOLT 3kg</v>
          </cell>
          <cell r="W1157" t="str">
            <v>Ajuste</v>
          </cell>
          <cell r="X1157">
            <v>6</v>
          </cell>
          <cell r="Y1157">
            <v>18</v>
          </cell>
        </row>
        <row r="1158">
          <cell r="U1158" t="str">
            <v>L103892</v>
          </cell>
          <cell r="V1158" t="str">
            <v>JLP 2kg Caja</v>
          </cell>
          <cell r="W1158" t="str">
            <v>Ajuste</v>
          </cell>
          <cell r="X1158">
            <v>38</v>
          </cell>
          <cell r="Y1158">
            <v>76</v>
          </cell>
        </row>
        <row r="1159">
          <cell r="U1159" t="str">
            <v>L103896</v>
          </cell>
          <cell r="V1159" t="str">
            <v>JLP 2kg Caja</v>
          </cell>
          <cell r="W1159" t="str">
            <v>Ajuste</v>
          </cell>
          <cell r="X1159">
            <v>68</v>
          </cell>
          <cell r="Y1159">
            <v>136</v>
          </cell>
        </row>
        <row r="1160">
          <cell r="U1160" t="str">
            <v>L103897</v>
          </cell>
          <cell r="V1160" t="str">
            <v>JLP 2kg Caja</v>
          </cell>
          <cell r="W1160" t="str">
            <v>Ajuste</v>
          </cell>
          <cell r="X1160">
            <v>46</v>
          </cell>
          <cell r="Y1160">
            <v>92</v>
          </cell>
        </row>
        <row r="1161">
          <cell r="U1161" t="str">
            <v>L103898</v>
          </cell>
          <cell r="V1161" t="str">
            <v>JLP 2kg Caja</v>
          </cell>
          <cell r="W1161" t="str">
            <v>Ajuste</v>
          </cell>
          <cell r="X1161">
            <v>42</v>
          </cell>
          <cell r="Y1161">
            <v>84</v>
          </cell>
        </row>
        <row r="1162">
          <cell r="U1162" t="str">
            <v>L103899</v>
          </cell>
          <cell r="V1162" t="str">
            <v>JLP 2kg Caja</v>
          </cell>
          <cell r="W1162" t="str">
            <v>Ajuste</v>
          </cell>
          <cell r="X1162">
            <v>24</v>
          </cell>
          <cell r="Y1162">
            <v>48</v>
          </cell>
        </row>
        <row r="1163">
          <cell r="U1163" t="str">
            <v>L104159</v>
          </cell>
          <cell r="V1163" t="str">
            <v>JLP 2kg Caja</v>
          </cell>
          <cell r="W1163" t="str">
            <v>Ajuste</v>
          </cell>
          <cell r="X1163">
            <v>8</v>
          </cell>
          <cell r="Y1163">
            <v>16</v>
          </cell>
        </row>
        <row r="1164">
          <cell r="U1164" t="str">
            <v>L104221</v>
          </cell>
          <cell r="V1164" t="str">
            <v>JLP 2kg Caja</v>
          </cell>
          <cell r="W1164" t="str">
            <v>Ajuste</v>
          </cell>
          <cell r="X1164">
            <v>34</v>
          </cell>
          <cell r="Y1164">
            <v>68</v>
          </cell>
        </row>
        <row r="1165">
          <cell r="U1165" t="str">
            <v>L104244</v>
          </cell>
          <cell r="V1165" t="str">
            <v>JLP 2kg Caja</v>
          </cell>
          <cell r="W1165" t="str">
            <v>Ajuste</v>
          </cell>
          <cell r="X1165">
            <v>74</v>
          </cell>
          <cell r="Y1165">
            <v>148</v>
          </cell>
        </row>
        <row r="1166">
          <cell r="U1166" t="str">
            <v>L104492</v>
          </cell>
          <cell r="V1166" t="str">
            <v>JLP 2kg Caja</v>
          </cell>
          <cell r="W1166" t="str">
            <v>Ajuste</v>
          </cell>
          <cell r="X1166">
            <v>90</v>
          </cell>
          <cell r="Y1166">
            <v>180</v>
          </cell>
        </row>
        <row r="1167">
          <cell r="U1167" t="str">
            <v>L104867</v>
          </cell>
          <cell r="V1167" t="str">
            <v>JLP 2kg Caja</v>
          </cell>
          <cell r="W1167" t="str">
            <v>Ajuste</v>
          </cell>
          <cell r="X1167">
            <v>104</v>
          </cell>
          <cell r="Y1167">
            <v>208</v>
          </cell>
        </row>
        <row r="1168">
          <cell r="U1168" t="str">
            <v>L103992</v>
          </cell>
          <cell r="V1168" t="str">
            <v>JLPL 2kg UNIDAD</v>
          </cell>
          <cell r="W1168" t="str">
            <v>Ajuste</v>
          </cell>
          <cell r="X1168">
            <v>146</v>
          </cell>
          <cell r="Y1168">
            <v>292</v>
          </cell>
        </row>
        <row r="1169">
          <cell r="U1169" t="str">
            <v>L104162</v>
          </cell>
          <cell r="V1169" t="str">
            <v>JLPL 2kg UNIDAD</v>
          </cell>
          <cell r="W1169" t="str">
            <v>Ajuste</v>
          </cell>
          <cell r="X1169">
            <v>2</v>
          </cell>
          <cell r="Y1169">
            <v>4</v>
          </cell>
        </row>
        <row r="1170">
          <cell r="U1170" t="str">
            <v>L104222</v>
          </cell>
          <cell r="V1170" t="str">
            <v>JLPL 2kg UNIDAD</v>
          </cell>
          <cell r="W1170" t="str">
            <v>Ajuste</v>
          </cell>
          <cell r="X1170">
            <v>12</v>
          </cell>
          <cell r="Y1170">
            <v>24</v>
          </cell>
        </row>
        <row r="1171">
          <cell r="U1171" t="str">
            <v>L104245</v>
          </cell>
          <cell r="V1171" t="str">
            <v>JLPL 2kg UNIDAD</v>
          </cell>
          <cell r="W1171" t="str">
            <v>Ajuste</v>
          </cell>
          <cell r="X1171">
            <v>100</v>
          </cell>
          <cell r="Y1171">
            <v>200</v>
          </cell>
        </row>
        <row r="1172">
          <cell r="U1172" t="str">
            <v>L104367</v>
          </cell>
          <cell r="V1172" t="str">
            <v>JLPL 2kg UNIDAD</v>
          </cell>
          <cell r="W1172" t="str">
            <v>Ajuste</v>
          </cell>
          <cell r="X1172">
            <v>4</v>
          </cell>
          <cell r="Y1172">
            <v>8</v>
          </cell>
        </row>
        <row r="1173">
          <cell r="U1173" t="str">
            <v>L104868</v>
          </cell>
          <cell r="V1173" t="str">
            <v>JLPL 2kg UNIDAD</v>
          </cell>
          <cell r="W1173" t="str">
            <v>Ajuste</v>
          </cell>
          <cell r="X1173">
            <v>12</v>
          </cell>
          <cell r="Y1173">
            <v>24</v>
          </cell>
        </row>
        <row r="1174">
          <cell r="U1174" t="str">
            <v>L103790</v>
          </cell>
          <cell r="V1174" t="str">
            <v>JML 1 kg-CAJA</v>
          </cell>
          <cell r="W1174" t="str">
            <v>Ajuste</v>
          </cell>
          <cell r="X1174">
            <v>8</v>
          </cell>
          <cell r="Y1174">
            <v>8</v>
          </cell>
        </row>
        <row r="1175">
          <cell r="U1175" t="str">
            <v>L104696</v>
          </cell>
          <cell r="V1175" t="str">
            <v>Jugo kg</v>
          </cell>
          <cell r="W1175" t="str">
            <v>Ajuste</v>
          </cell>
          <cell r="X1175">
            <v>60</v>
          </cell>
          <cell r="Y1175">
            <v>60</v>
          </cell>
        </row>
        <row r="1176">
          <cell r="U1176" t="str">
            <v>L104849</v>
          </cell>
          <cell r="V1176" t="str">
            <v>KTP 1kg</v>
          </cell>
          <cell r="W1176" t="str">
            <v>Ajuste</v>
          </cell>
          <cell r="X1176">
            <v>20</v>
          </cell>
          <cell r="Y1176">
            <v>20</v>
          </cell>
        </row>
        <row r="1177">
          <cell r="U1177" t="str">
            <v>L104059</v>
          </cell>
          <cell r="V1177" t="str">
            <v>KTP 2kg</v>
          </cell>
          <cell r="W1177" t="str">
            <v>Ajuste</v>
          </cell>
          <cell r="X1177">
            <v>38</v>
          </cell>
          <cell r="Y1177">
            <v>76</v>
          </cell>
        </row>
        <row r="1178">
          <cell r="U1178" t="str">
            <v>L104060</v>
          </cell>
          <cell r="V1178" t="str">
            <v>KTP 2kg</v>
          </cell>
          <cell r="W1178" t="str">
            <v>Ajuste</v>
          </cell>
          <cell r="X1178">
            <v>24</v>
          </cell>
          <cell r="Y1178">
            <v>48</v>
          </cell>
        </row>
        <row r="1179">
          <cell r="U1179" t="str">
            <v>L104061</v>
          </cell>
          <cell r="V1179" t="str">
            <v>KTP 2kg</v>
          </cell>
          <cell r="W1179" t="str">
            <v>Ajuste</v>
          </cell>
          <cell r="X1179">
            <v>8</v>
          </cell>
          <cell r="Y1179">
            <v>16</v>
          </cell>
        </row>
        <row r="1180">
          <cell r="U1180" t="str">
            <v>L104062</v>
          </cell>
          <cell r="V1180" t="str">
            <v>KTP 2kg</v>
          </cell>
          <cell r="W1180" t="str">
            <v>Ajuste</v>
          </cell>
          <cell r="X1180">
            <v>4</v>
          </cell>
          <cell r="Y1180">
            <v>8</v>
          </cell>
        </row>
        <row r="1181">
          <cell r="U1181" t="str">
            <v>L104850</v>
          </cell>
          <cell r="V1181" t="str">
            <v>KTP 2kg</v>
          </cell>
          <cell r="W1181" t="str">
            <v>Ajuste</v>
          </cell>
          <cell r="X1181">
            <v>4</v>
          </cell>
          <cell r="Y1181">
            <v>8</v>
          </cell>
        </row>
        <row r="1182">
          <cell r="U1182" t="str">
            <v>L104396</v>
          </cell>
          <cell r="V1182" t="str">
            <v>KTP 3kg</v>
          </cell>
          <cell r="W1182" t="str">
            <v>Ajuste</v>
          </cell>
          <cell r="X1182">
            <v>22</v>
          </cell>
          <cell r="Y1182">
            <v>66</v>
          </cell>
        </row>
        <row r="1183">
          <cell r="U1183" t="str">
            <v>L104665</v>
          </cell>
          <cell r="V1183" t="str">
            <v>KTP 3kg</v>
          </cell>
          <cell r="W1183" t="str">
            <v>Ajuste</v>
          </cell>
          <cell r="X1183">
            <v>2</v>
          </cell>
          <cell r="Y1183">
            <v>6</v>
          </cell>
        </row>
        <row r="1184">
          <cell r="U1184" t="str">
            <v>L104087</v>
          </cell>
          <cell r="V1184" t="str">
            <v>KTP 4kg</v>
          </cell>
          <cell r="W1184" t="str">
            <v>Ajuste</v>
          </cell>
          <cell r="X1184">
            <v>6</v>
          </cell>
          <cell r="Y1184">
            <v>24</v>
          </cell>
        </row>
        <row r="1185">
          <cell r="U1185" t="str">
            <v>L104043</v>
          </cell>
          <cell r="V1185" t="str">
            <v>LCC 5kg-(CAJA)</v>
          </cell>
          <cell r="W1185" t="str">
            <v>Ajuste</v>
          </cell>
          <cell r="X1185">
            <v>8</v>
          </cell>
          <cell r="Y1185">
            <v>40</v>
          </cell>
        </row>
        <row r="1186">
          <cell r="U1186" t="str">
            <v>L104570</v>
          </cell>
          <cell r="V1186" t="str">
            <v>LCC 5kg-(CAJA)</v>
          </cell>
          <cell r="W1186" t="str">
            <v>Ajuste</v>
          </cell>
          <cell r="X1186">
            <v>6</v>
          </cell>
          <cell r="Y1186">
            <v>30</v>
          </cell>
        </row>
        <row r="1187">
          <cell r="U1187" t="str">
            <v>L104581</v>
          </cell>
          <cell r="V1187" t="str">
            <v>LCC 5kg-(CAJA)</v>
          </cell>
          <cell r="W1187" t="str">
            <v>Ajuste</v>
          </cell>
          <cell r="X1187">
            <v>2</v>
          </cell>
          <cell r="Y1187">
            <v>10</v>
          </cell>
        </row>
        <row r="1188">
          <cell r="U1188" t="str">
            <v>L104637</v>
          </cell>
          <cell r="V1188" t="str">
            <v>LCC 5kg-(CAJA)</v>
          </cell>
          <cell r="W1188" t="str">
            <v>Ajuste</v>
          </cell>
          <cell r="X1188">
            <v>2</v>
          </cell>
          <cell r="Y1188">
            <v>10</v>
          </cell>
        </row>
        <row r="1189">
          <cell r="U1189" t="str">
            <v>L104815</v>
          </cell>
          <cell r="V1189" t="str">
            <v>LCC 5kg-(CAJA)</v>
          </cell>
          <cell r="W1189" t="str">
            <v>Ajuste</v>
          </cell>
          <cell r="X1189">
            <v>2</v>
          </cell>
          <cell r="Y1189">
            <v>10</v>
          </cell>
        </row>
        <row r="1190">
          <cell r="U1190" t="str">
            <v>L103850</v>
          </cell>
          <cell r="V1190" t="str">
            <v>LCD 24x410gr-CAJA</v>
          </cell>
          <cell r="W1190" t="str">
            <v>Ajuste</v>
          </cell>
          <cell r="X1190">
            <v>528</v>
          </cell>
          <cell r="Y1190">
            <v>5808</v>
          </cell>
        </row>
        <row r="1191">
          <cell r="U1191" t="str">
            <v>L103923</v>
          </cell>
          <cell r="V1191" t="str">
            <v>LCD 24x410gr-CAJA</v>
          </cell>
          <cell r="W1191" t="str">
            <v>Ajuste</v>
          </cell>
          <cell r="X1191">
            <v>196</v>
          </cell>
          <cell r="Y1191">
            <v>2156</v>
          </cell>
        </row>
        <row r="1192">
          <cell r="U1192" t="str">
            <v>L104016</v>
          </cell>
          <cell r="V1192" t="str">
            <v>LCD 24x410gr-CAJA</v>
          </cell>
          <cell r="W1192" t="str">
            <v>Ajuste</v>
          </cell>
          <cell r="X1192">
            <v>12</v>
          </cell>
          <cell r="Y1192">
            <v>132</v>
          </cell>
        </row>
        <row r="1193">
          <cell r="U1193" t="str">
            <v>L104018</v>
          </cell>
          <cell r="V1193" t="str">
            <v>LCD 5kg-CAJA</v>
          </cell>
          <cell r="W1193" t="str">
            <v>Ajuste</v>
          </cell>
          <cell r="X1193">
            <v>6</v>
          </cell>
          <cell r="Y1193">
            <v>30</v>
          </cell>
        </row>
        <row r="1194">
          <cell r="U1194" t="str">
            <v>L104559</v>
          </cell>
          <cell r="V1194" t="str">
            <v>LCH 2kg-caja</v>
          </cell>
          <cell r="W1194" t="str">
            <v>Ajuste</v>
          </cell>
          <cell r="X1194">
            <v>8</v>
          </cell>
          <cell r="Y1194">
            <v>16</v>
          </cell>
        </row>
        <row r="1195">
          <cell r="U1195" t="str">
            <v>L104562</v>
          </cell>
          <cell r="V1195" t="str">
            <v>LCH 2kg-caja</v>
          </cell>
          <cell r="W1195" t="str">
            <v>Ajuste</v>
          </cell>
          <cell r="X1195">
            <v>4</v>
          </cell>
          <cell r="Y1195">
            <v>8</v>
          </cell>
        </row>
        <row r="1196">
          <cell r="U1196" t="str">
            <v>L104560</v>
          </cell>
          <cell r="V1196" t="str">
            <v>LCH 3kg</v>
          </cell>
          <cell r="W1196" t="str">
            <v>Ajuste</v>
          </cell>
          <cell r="X1196">
            <v>2</v>
          </cell>
          <cell r="Y1196">
            <v>6</v>
          </cell>
        </row>
        <row r="1197">
          <cell r="U1197" t="str">
            <v>L104561</v>
          </cell>
          <cell r="V1197" t="str">
            <v>LCH 3kg</v>
          </cell>
          <cell r="W1197" t="str">
            <v>Ajuste</v>
          </cell>
          <cell r="X1197">
            <v>2</v>
          </cell>
          <cell r="Y1197">
            <v>6</v>
          </cell>
        </row>
        <row r="1198">
          <cell r="U1198" t="str">
            <v>L103994</v>
          </cell>
          <cell r="V1198" t="str">
            <v>LCH 48X167g-CAJA</v>
          </cell>
          <cell r="W1198" t="str">
            <v>Ajuste</v>
          </cell>
          <cell r="X1198">
            <v>188</v>
          </cell>
          <cell r="Y1198">
            <v>1786</v>
          </cell>
        </row>
        <row r="1199">
          <cell r="U1199" t="str">
            <v>L103995</v>
          </cell>
          <cell r="V1199" t="str">
            <v>LCH 48X315g-CAJA</v>
          </cell>
          <cell r="W1199" t="str">
            <v>Ajuste</v>
          </cell>
          <cell r="X1199">
            <v>2</v>
          </cell>
          <cell r="Y1199">
            <v>36</v>
          </cell>
        </row>
        <row r="1200">
          <cell r="U1200" t="str">
            <v>L104711</v>
          </cell>
          <cell r="V1200" t="str">
            <v>LCH 48X315g-CAJA</v>
          </cell>
          <cell r="W1200" t="str">
            <v>Ajuste</v>
          </cell>
          <cell r="X1200">
            <v>1408</v>
          </cell>
          <cell r="Y1200">
            <v>25344</v>
          </cell>
        </row>
        <row r="1201">
          <cell r="U1201" t="str">
            <v>L104711</v>
          </cell>
          <cell r="V1201" t="str">
            <v>PV LCH 48X315g</v>
          </cell>
          <cell r="W1201" t="str">
            <v>Ajuste</v>
          </cell>
          <cell r="X1201">
            <v>338</v>
          </cell>
          <cell r="Y1201">
            <v>6084</v>
          </cell>
        </row>
        <row r="1202">
          <cell r="U1202" t="str">
            <v>L104563</v>
          </cell>
          <cell r="V1202" t="str">
            <v>LCH 4kg</v>
          </cell>
          <cell r="W1202" t="str">
            <v>Ajuste</v>
          </cell>
          <cell r="X1202">
            <v>240</v>
          </cell>
          <cell r="Y1202">
            <v>960</v>
          </cell>
        </row>
        <row r="1203">
          <cell r="U1203" t="str">
            <v>L104564</v>
          </cell>
          <cell r="V1203" t="str">
            <v>LCH 4kg</v>
          </cell>
          <cell r="W1203" t="str">
            <v>Ajuste</v>
          </cell>
          <cell r="X1203">
            <v>90</v>
          </cell>
          <cell r="Y1203">
            <v>360</v>
          </cell>
        </row>
        <row r="1204">
          <cell r="U1204" t="str">
            <v>L104860</v>
          </cell>
          <cell r="V1204" t="str">
            <v>LCH 4kg</v>
          </cell>
          <cell r="W1204" t="str">
            <v>Ajuste</v>
          </cell>
          <cell r="X1204">
            <v>4</v>
          </cell>
          <cell r="Y1204">
            <v>16</v>
          </cell>
        </row>
        <row r="1205">
          <cell r="U1205" t="str">
            <v>L104860</v>
          </cell>
          <cell r="V1205" t="str">
            <v>PV ARZ 5Kg</v>
          </cell>
          <cell r="W1205" t="str">
            <v>Ajuste</v>
          </cell>
          <cell r="X1205">
            <v>48</v>
          </cell>
          <cell r="Y1205">
            <v>240</v>
          </cell>
        </row>
        <row r="1206">
          <cell r="U1206" t="str">
            <v>L104861</v>
          </cell>
          <cell r="V1206" t="str">
            <v>LCH 4kg</v>
          </cell>
          <cell r="W1206" t="str">
            <v>Ajuste</v>
          </cell>
          <cell r="X1206">
            <v>28</v>
          </cell>
          <cell r="Y1206">
            <v>112</v>
          </cell>
        </row>
        <row r="1207">
          <cell r="U1207" t="str">
            <v>L104862</v>
          </cell>
          <cell r="V1207" t="str">
            <v>LCH 4kg</v>
          </cell>
          <cell r="W1207" t="str">
            <v>Ajuste</v>
          </cell>
          <cell r="X1207">
            <v>18</v>
          </cell>
          <cell r="Y1207">
            <v>72</v>
          </cell>
        </row>
        <row r="1208">
          <cell r="U1208" t="str">
            <v>L104863</v>
          </cell>
          <cell r="V1208" t="str">
            <v>LCH 4kg</v>
          </cell>
          <cell r="W1208" t="str">
            <v>Ajuste</v>
          </cell>
          <cell r="X1208">
            <v>16</v>
          </cell>
          <cell r="Y1208">
            <v>64</v>
          </cell>
        </row>
        <row r="1209">
          <cell r="U1209" t="str">
            <v>L104864</v>
          </cell>
          <cell r="V1209" t="str">
            <v>LCH 4kg</v>
          </cell>
          <cell r="W1209" t="str">
            <v>Ajuste</v>
          </cell>
          <cell r="X1209">
            <v>16</v>
          </cell>
          <cell r="Y1209">
            <v>64</v>
          </cell>
        </row>
        <row r="1210">
          <cell r="U1210" t="str">
            <v>L104865</v>
          </cell>
          <cell r="V1210" t="str">
            <v>LCH 4kg</v>
          </cell>
          <cell r="W1210" t="str">
            <v>Ajuste</v>
          </cell>
          <cell r="X1210">
            <v>6</v>
          </cell>
          <cell r="Y1210">
            <v>24</v>
          </cell>
        </row>
        <row r="1211">
          <cell r="U1211" t="str">
            <v>L104866</v>
          </cell>
          <cell r="V1211" t="str">
            <v>LCH 4kg</v>
          </cell>
          <cell r="W1211" t="str">
            <v>Ajuste</v>
          </cell>
          <cell r="X1211">
            <v>8</v>
          </cell>
          <cell r="Y1211">
            <v>32</v>
          </cell>
        </row>
        <row r="1212">
          <cell r="U1212" t="str">
            <v>L104757</v>
          </cell>
          <cell r="V1212" t="str">
            <v>LCH 96X167g-CAJA</v>
          </cell>
          <cell r="W1212" t="str">
            <v>Ajuste</v>
          </cell>
          <cell r="X1212">
            <v>100</v>
          </cell>
          <cell r="Y1212">
            <v>1900</v>
          </cell>
        </row>
        <row r="1213">
          <cell r="U1213" t="str">
            <v>L104757</v>
          </cell>
          <cell r="V1213" t="str">
            <v>PV LCH 96X167g</v>
          </cell>
          <cell r="W1213" t="str">
            <v>Ajuste</v>
          </cell>
          <cell r="X1213">
            <v>38</v>
          </cell>
          <cell r="Y1213">
            <v>722</v>
          </cell>
        </row>
        <row r="1214">
          <cell r="U1214" t="str">
            <v>L104758</v>
          </cell>
          <cell r="V1214" t="str">
            <v>LCH 96X167g-CAJA</v>
          </cell>
          <cell r="W1214" t="str">
            <v>Ajuste</v>
          </cell>
          <cell r="X1214">
            <v>80</v>
          </cell>
          <cell r="Y1214">
            <v>1520</v>
          </cell>
        </row>
        <row r="1215">
          <cell r="U1215" t="str">
            <v>L104842</v>
          </cell>
          <cell r="V1215" t="str">
            <v>LCH EV 2kg</v>
          </cell>
          <cell r="W1215" t="str">
            <v>Ajuste</v>
          </cell>
          <cell r="X1215">
            <v>50</v>
          </cell>
          <cell r="Y1215">
            <v>100</v>
          </cell>
        </row>
        <row r="1216">
          <cell r="U1216" t="str">
            <v>L103895</v>
          </cell>
          <cell r="V1216" t="str">
            <v>LCH EV 3kg</v>
          </cell>
          <cell r="W1216" t="str">
            <v>Ajuste</v>
          </cell>
          <cell r="X1216">
            <v>88</v>
          </cell>
          <cell r="Y1216">
            <v>264</v>
          </cell>
        </row>
        <row r="1217">
          <cell r="U1217" t="str">
            <v>L104843</v>
          </cell>
          <cell r="V1217" t="str">
            <v>LCH EV 3kg</v>
          </cell>
          <cell r="W1217" t="str">
            <v>Ajuste</v>
          </cell>
          <cell r="X1217">
            <v>94</v>
          </cell>
          <cell r="Y1217">
            <v>282</v>
          </cell>
        </row>
        <row r="1218">
          <cell r="U1218" t="str">
            <v>L104021</v>
          </cell>
          <cell r="V1218" t="str">
            <v>LCH EV5kg-CAJA</v>
          </cell>
          <cell r="W1218" t="str">
            <v>Ajuste</v>
          </cell>
          <cell r="X1218">
            <v>6</v>
          </cell>
          <cell r="Y1218">
            <v>30</v>
          </cell>
        </row>
        <row r="1219">
          <cell r="U1219" t="str">
            <v>L104041</v>
          </cell>
          <cell r="V1219" t="str">
            <v>LCH EV5kg-CAJA</v>
          </cell>
          <cell r="W1219" t="str">
            <v>Ajuste</v>
          </cell>
          <cell r="X1219">
            <v>2</v>
          </cell>
          <cell r="Y1219">
            <v>10</v>
          </cell>
        </row>
        <row r="1220">
          <cell r="U1220" t="str">
            <v>L103887</v>
          </cell>
          <cell r="V1220" t="str">
            <v>LCS 24x237ml-CAJA</v>
          </cell>
          <cell r="W1220" t="str">
            <v>Ajuste</v>
          </cell>
          <cell r="X1220">
            <v>32</v>
          </cell>
          <cell r="Y1220">
            <v>192</v>
          </cell>
        </row>
        <row r="1221">
          <cell r="U1221" t="str">
            <v>L103888</v>
          </cell>
          <cell r="V1221" t="str">
            <v>LCS 24x237ml-CAJA</v>
          </cell>
          <cell r="W1221" t="str">
            <v>Ajuste</v>
          </cell>
          <cell r="X1221">
            <v>30</v>
          </cell>
          <cell r="Y1221">
            <v>180</v>
          </cell>
        </row>
        <row r="1222">
          <cell r="U1222" t="str">
            <v>L103889</v>
          </cell>
          <cell r="V1222" t="str">
            <v>LCS 24x237ml-CAJA</v>
          </cell>
          <cell r="W1222" t="str">
            <v>Ajuste</v>
          </cell>
          <cell r="X1222">
            <v>32</v>
          </cell>
          <cell r="Y1222">
            <v>192</v>
          </cell>
        </row>
        <row r="1223">
          <cell r="U1223" t="str">
            <v>L103890</v>
          </cell>
          <cell r="V1223" t="str">
            <v>LCS 24x237ml-CAJA</v>
          </cell>
          <cell r="W1223" t="str">
            <v>Ajuste</v>
          </cell>
          <cell r="X1223">
            <v>32</v>
          </cell>
          <cell r="Y1223">
            <v>192</v>
          </cell>
        </row>
        <row r="1224">
          <cell r="U1224" t="str">
            <v>L103782</v>
          </cell>
          <cell r="V1224" t="str">
            <v>LEP 2kg</v>
          </cell>
          <cell r="W1224" t="str">
            <v>Ajuste</v>
          </cell>
          <cell r="X1224">
            <v>4</v>
          </cell>
          <cell r="Y1224">
            <v>8</v>
          </cell>
        </row>
        <row r="1225">
          <cell r="U1225" t="str">
            <v>L104569</v>
          </cell>
          <cell r="V1225" t="str">
            <v>LEP 2kg</v>
          </cell>
          <cell r="W1225" t="str">
            <v>Ajuste</v>
          </cell>
          <cell r="X1225">
            <v>4</v>
          </cell>
          <cell r="Y1225">
            <v>8</v>
          </cell>
        </row>
        <row r="1226">
          <cell r="U1226" t="str">
            <v>L104339</v>
          </cell>
          <cell r="V1226" t="str">
            <v>LJACD 13kg</v>
          </cell>
          <cell r="W1226" t="str">
            <v>Ajuste</v>
          </cell>
          <cell r="X1226">
            <v>2</v>
          </cell>
          <cell r="Y1226">
            <v>26</v>
          </cell>
        </row>
        <row r="1227">
          <cell r="U1227" t="str">
            <v>L104745</v>
          </cell>
          <cell r="V1227" t="str">
            <v>LLQD 2kg</v>
          </cell>
          <cell r="W1227" t="str">
            <v>Ajuste</v>
          </cell>
          <cell r="X1227">
            <v>4</v>
          </cell>
          <cell r="Y1227">
            <v>8</v>
          </cell>
        </row>
        <row r="1228">
          <cell r="U1228" t="str">
            <v>L104436</v>
          </cell>
          <cell r="V1228" t="str">
            <v>LPN 2kg</v>
          </cell>
          <cell r="W1228" t="str">
            <v>Ajuste</v>
          </cell>
          <cell r="X1228">
            <v>4</v>
          </cell>
          <cell r="Y1228">
            <v>8</v>
          </cell>
        </row>
        <row r="1229">
          <cell r="U1229" t="str">
            <v>L104426</v>
          </cell>
          <cell r="V1229" t="str">
            <v>LPN 2kg-CAJA</v>
          </cell>
          <cell r="W1229" t="str">
            <v>Ajuste</v>
          </cell>
          <cell r="X1229">
            <v>8</v>
          </cell>
          <cell r="Y1229">
            <v>16</v>
          </cell>
        </row>
        <row r="1230">
          <cell r="U1230" t="str">
            <v>L104371</v>
          </cell>
          <cell r="V1230" t="str">
            <v>MAG 3Kg - CAJA</v>
          </cell>
          <cell r="W1230" t="str">
            <v>Ajuste</v>
          </cell>
          <cell r="X1230">
            <v>4</v>
          </cell>
          <cell r="Y1230">
            <v>12</v>
          </cell>
        </row>
        <row r="1231">
          <cell r="U1231" t="str">
            <v>L104370</v>
          </cell>
          <cell r="V1231" t="str">
            <v>MAG 8KG-CAJA</v>
          </cell>
          <cell r="W1231" t="str">
            <v>Ajuste</v>
          </cell>
          <cell r="X1231">
            <v>236</v>
          </cell>
          <cell r="Y1231">
            <v>1888</v>
          </cell>
        </row>
        <row r="1232">
          <cell r="U1232" t="str">
            <v>L104882</v>
          </cell>
          <cell r="V1232" t="str">
            <v>Maiz kg</v>
          </cell>
          <cell r="W1232" t="str">
            <v>Ajuste</v>
          </cell>
          <cell r="X1232">
            <v>93.42</v>
          </cell>
          <cell r="Y1232">
            <v>93.42</v>
          </cell>
        </row>
        <row r="1233">
          <cell r="U1233" t="str">
            <v>L103946</v>
          </cell>
          <cell r="V1233" t="str">
            <v>MCR 10kg-CAJA</v>
          </cell>
          <cell r="W1233" t="str">
            <v>Ajuste</v>
          </cell>
          <cell r="X1233">
            <v>793</v>
          </cell>
          <cell r="Y1233">
            <v>7930</v>
          </cell>
        </row>
        <row r="1234">
          <cell r="U1234" t="str">
            <v>L104085</v>
          </cell>
          <cell r="V1234" t="str">
            <v>MCR 2kg-CAJA</v>
          </cell>
          <cell r="W1234" t="str">
            <v>Ajuste</v>
          </cell>
          <cell r="X1234">
            <v>284</v>
          </cell>
          <cell r="Y1234">
            <v>568</v>
          </cell>
        </row>
        <row r="1235">
          <cell r="U1235" t="str">
            <v>L104595</v>
          </cell>
          <cell r="V1235" t="str">
            <v>MCR 2kg-CAJA</v>
          </cell>
          <cell r="W1235" t="str">
            <v>Ajuste</v>
          </cell>
          <cell r="X1235">
            <v>2</v>
          </cell>
          <cell r="Y1235">
            <v>4</v>
          </cell>
        </row>
        <row r="1236">
          <cell r="U1236" t="str">
            <v>L104767</v>
          </cell>
          <cell r="V1236" t="str">
            <v>MCR 2kg-CAJA</v>
          </cell>
          <cell r="W1236" t="str">
            <v>Ajuste</v>
          </cell>
          <cell r="X1236">
            <v>4</v>
          </cell>
          <cell r="Y1236">
            <v>8</v>
          </cell>
        </row>
        <row r="1237">
          <cell r="U1237" t="str">
            <v>L103988</v>
          </cell>
          <cell r="V1237" t="str">
            <v>MCR 5kg-CAJA</v>
          </cell>
          <cell r="W1237" t="str">
            <v>Ajuste</v>
          </cell>
          <cell r="X1237">
            <v>2</v>
          </cell>
          <cell r="Y1237">
            <v>10</v>
          </cell>
        </row>
        <row r="1238">
          <cell r="U1238" t="str">
            <v>L103945</v>
          </cell>
          <cell r="V1238" t="str">
            <v>MDPAY 5kg</v>
          </cell>
          <cell r="W1238" t="str">
            <v>Ajuste</v>
          </cell>
          <cell r="X1238">
            <v>400</v>
          </cell>
          <cell r="Y1238">
            <v>2000</v>
          </cell>
        </row>
        <row r="1239">
          <cell r="U1239" t="str">
            <v>L103990</v>
          </cell>
          <cell r="V1239" t="str">
            <v>Menestra kg</v>
          </cell>
          <cell r="W1239" t="str">
            <v>Ajuste</v>
          </cell>
          <cell r="X1239">
            <v>2000</v>
          </cell>
          <cell r="Y1239">
            <v>2000</v>
          </cell>
        </row>
        <row r="1240">
          <cell r="U1240" t="str">
            <v>L104698</v>
          </cell>
          <cell r="V1240" t="str">
            <v>Menestra kg</v>
          </cell>
          <cell r="W1240" t="str">
            <v>Ajuste</v>
          </cell>
          <cell r="X1240">
            <v>2000</v>
          </cell>
          <cell r="Y1240">
            <v>2000</v>
          </cell>
        </row>
        <row r="1241">
          <cell r="U1241" t="str">
            <v>L90421</v>
          </cell>
          <cell r="V1241" t="str">
            <v>Menestra kg</v>
          </cell>
          <cell r="W1241" t="str">
            <v>Ajuste</v>
          </cell>
          <cell r="X1241">
            <v>15.75</v>
          </cell>
          <cell r="Y1241">
            <v>15.75</v>
          </cell>
        </row>
        <row r="1242">
          <cell r="U1242" t="str">
            <v>L90369</v>
          </cell>
          <cell r="V1242" t="str">
            <v>Menestra kg</v>
          </cell>
          <cell r="W1242" t="str">
            <v>Ajuste</v>
          </cell>
          <cell r="X1242">
            <v>46.550000000000004</v>
          </cell>
          <cell r="Y1242">
            <v>46.550000000000004</v>
          </cell>
        </row>
        <row r="1243">
          <cell r="U1243" t="str">
            <v>L90397</v>
          </cell>
          <cell r="V1243" t="str">
            <v>Menestra kg</v>
          </cell>
          <cell r="W1243" t="str">
            <v>Ajuste</v>
          </cell>
          <cell r="X1243">
            <v>3.85</v>
          </cell>
          <cell r="Y1243">
            <v>3.85</v>
          </cell>
        </row>
        <row r="1244">
          <cell r="U1244" t="str">
            <v>L89775</v>
          </cell>
          <cell r="V1244" t="str">
            <v>Menestra kg</v>
          </cell>
          <cell r="W1244" t="str">
            <v>Ajuste</v>
          </cell>
          <cell r="X1244">
            <v>3.5</v>
          </cell>
          <cell r="Y1244">
            <v>3.5</v>
          </cell>
        </row>
        <row r="1245">
          <cell r="U1245" t="str">
            <v>L103798</v>
          </cell>
          <cell r="V1245" t="str">
            <v>MERMA DE FRUVER 1 kg</v>
          </cell>
          <cell r="W1245" t="str">
            <v>Ajuste</v>
          </cell>
          <cell r="X1245">
            <v>5.0199999999999996</v>
          </cell>
          <cell r="Y1245">
            <v>5.0199999999999996</v>
          </cell>
        </row>
        <row r="1246">
          <cell r="U1246" t="str">
            <v>L103800</v>
          </cell>
          <cell r="V1246" t="str">
            <v>MERMA DE FRUVER 1 kg</v>
          </cell>
          <cell r="W1246" t="str">
            <v>Ajuste</v>
          </cell>
          <cell r="X1246">
            <v>38.44</v>
          </cell>
          <cell r="Y1246">
            <v>38.44</v>
          </cell>
        </row>
        <row r="1247">
          <cell r="U1247" t="str">
            <v>L103814</v>
          </cell>
          <cell r="V1247" t="str">
            <v>MERMA DE FRUVER 1 kg</v>
          </cell>
          <cell r="W1247" t="str">
            <v>Ajuste</v>
          </cell>
          <cell r="X1247">
            <v>47.34</v>
          </cell>
          <cell r="Y1247">
            <v>47.34</v>
          </cell>
        </row>
        <row r="1248">
          <cell r="U1248" t="str">
            <v>L103818</v>
          </cell>
          <cell r="V1248" t="str">
            <v>MERMA DE FRUVER 1 kg</v>
          </cell>
          <cell r="W1248" t="str">
            <v>Ajuste</v>
          </cell>
          <cell r="X1248">
            <v>80</v>
          </cell>
          <cell r="Y1248">
            <v>80</v>
          </cell>
        </row>
        <row r="1249">
          <cell r="U1249" t="str">
            <v>L103860</v>
          </cell>
          <cell r="V1249" t="str">
            <v>MERMA DE FRUVER 1 kg</v>
          </cell>
          <cell r="W1249" t="str">
            <v>Ajuste</v>
          </cell>
          <cell r="X1249">
            <v>50.36</v>
          </cell>
          <cell r="Y1249">
            <v>50.36</v>
          </cell>
        </row>
        <row r="1250">
          <cell r="U1250" t="str">
            <v>L103862</v>
          </cell>
          <cell r="V1250" t="str">
            <v>MERMA DE FRUVER 1 kg</v>
          </cell>
          <cell r="W1250" t="str">
            <v>Ajuste</v>
          </cell>
          <cell r="X1250">
            <v>33.380000000000003</v>
          </cell>
          <cell r="Y1250">
            <v>33.380000000000003</v>
          </cell>
        </row>
        <row r="1251">
          <cell r="U1251" t="str">
            <v>L103871</v>
          </cell>
          <cell r="V1251" t="str">
            <v>MERMA DE FRUVER 1 kg</v>
          </cell>
          <cell r="W1251" t="str">
            <v>Ajuste</v>
          </cell>
          <cell r="X1251">
            <v>40</v>
          </cell>
          <cell r="Y1251">
            <v>40</v>
          </cell>
        </row>
        <row r="1252">
          <cell r="U1252" t="str">
            <v>L103910</v>
          </cell>
          <cell r="V1252" t="str">
            <v>MERMA DE FRUVER 1 kg</v>
          </cell>
          <cell r="W1252" t="str">
            <v>Ajuste</v>
          </cell>
          <cell r="X1252">
            <v>90.4</v>
          </cell>
          <cell r="Y1252">
            <v>90.4</v>
          </cell>
        </row>
        <row r="1253">
          <cell r="U1253" t="str">
            <v>L103921</v>
          </cell>
          <cell r="V1253" t="str">
            <v>MERMA DE FRUVER 1 kg</v>
          </cell>
          <cell r="W1253" t="str">
            <v>Ajuste</v>
          </cell>
          <cell r="X1253">
            <v>60</v>
          </cell>
          <cell r="Y1253">
            <v>60</v>
          </cell>
        </row>
        <row r="1254">
          <cell r="U1254" t="str">
            <v>L104005</v>
          </cell>
          <cell r="V1254" t="str">
            <v>MERMA DE FRUVER 1 kg</v>
          </cell>
          <cell r="W1254" t="str">
            <v>Ajuste</v>
          </cell>
          <cell r="X1254">
            <v>41</v>
          </cell>
          <cell r="Y1254">
            <v>41</v>
          </cell>
        </row>
        <row r="1255">
          <cell r="U1255" t="str">
            <v>L104023</v>
          </cell>
          <cell r="V1255" t="str">
            <v>MERMA DE FRUVER 1 kg</v>
          </cell>
          <cell r="W1255" t="str">
            <v>Ajuste</v>
          </cell>
          <cell r="X1255">
            <v>13.36</v>
          </cell>
          <cell r="Y1255">
            <v>13.36</v>
          </cell>
        </row>
        <row r="1256">
          <cell r="U1256" t="str">
            <v>L104029</v>
          </cell>
          <cell r="V1256" t="str">
            <v>MERMA DE FRUVER 1 kg</v>
          </cell>
          <cell r="W1256" t="str">
            <v>Ajuste</v>
          </cell>
          <cell r="X1256">
            <v>8.42</v>
          </cell>
          <cell r="Y1256">
            <v>8.42</v>
          </cell>
        </row>
        <row r="1257">
          <cell r="U1257" t="str">
            <v>L104031</v>
          </cell>
          <cell r="V1257" t="str">
            <v>MERMA DE FRUVER 1 kg</v>
          </cell>
          <cell r="W1257" t="str">
            <v>Ajuste</v>
          </cell>
          <cell r="X1257">
            <v>840.00000000000011</v>
          </cell>
          <cell r="Y1257">
            <v>840.00000000000011</v>
          </cell>
        </row>
        <row r="1258">
          <cell r="U1258" t="str">
            <v>L104090</v>
          </cell>
          <cell r="V1258" t="str">
            <v>MERMA DE FRUVER 1 kg</v>
          </cell>
          <cell r="W1258" t="str">
            <v>Ajuste</v>
          </cell>
          <cell r="X1258">
            <v>90.08</v>
          </cell>
          <cell r="Y1258">
            <v>90.08</v>
          </cell>
        </row>
        <row r="1259">
          <cell r="U1259" t="str">
            <v>L104106</v>
          </cell>
          <cell r="V1259" t="str">
            <v>MERMA DE FRUVER 1 kg</v>
          </cell>
          <cell r="W1259" t="str">
            <v>Ajuste</v>
          </cell>
          <cell r="X1259">
            <v>82.8</v>
          </cell>
          <cell r="Y1259">
            <v>82.8</v>
          </cell>
        </row>
        <row r="1260">
          <cell r="U1260" t="str">
            <v>L104112</v>
          </cell>
          <cell r="V1260" t="str">
            <v>MERMA DE FRUVER 1 kg</v>
          </cell>
          <cell r="W1260" t="str">
            <v>Ajuste</v>
          </cell>
          <cell r="X1260">
            <v>7.88</v>
          </cell>
          <cell r="Y1260">
            <v>7.88</v>
          </cell>
        </row>
        <row r="1261">
          <cell r="U1261" t="str">
            <v>L104119</v>
          </cell>
          <cell r="V1261" t="str">
            <v>MERMA DE FRUVER 1 kg</v>
          </cell>
          <cell r="W1261" t="str">
            <v>Ajuste</v>
          </cell>
          <cell r="X1261">
            <v>10.82</v>
          </cell>
          <cell r="Y1261">
            <v>10.82</v>
          </cell>
        </row>
        <row r="1262">
          <cell r="U1262" t="str">
            <v>L104121</v>
          </cell>
          <cell r="V1262" t="str">
            <v>MERMA DE FRUVER 1 kg</v>
          </cell>
          <cell r="W1262" t="str">
            <v>Ajuste</v>
          </cell>
          <cell r="X1262">
            <v>220</v>
          </cell>
          <cell r="Y1262">
            <v>220</v>
          </cell>
        </row>
        <row r="1263">
          <cell r="U1263" t="str">
            <v>L104181</v>
          </cell>
          <cell r="V1263" t="str">
            <v>MERMA DE FRUVER 1 kg</v>
          </cell>
          <cell r="W1263" t="str">
            <v>Ajuste</v>
          </cell>
          <cell r="X1263">
            <v>10.96</v>
          </cell>
          <cell r="Y1263">
            <v>10.96</v>
          </cell>
        </row>
        <row r="1264">
          <cell r="U1264" t="str">
            <v>L104183</v>
          </cell>
          <cell r="V1264" t="str">
            <v>MERMA DE FRUVER 1 kg</v>
          </cell>
          <cell r="W1264" t="str">
            <v>Ajuste</v>
          </cell>
          <cell r="X1264">
            <v>72.180000000000007</v>
          </cell>
          <cell r="Y1264">
            <v>72.180000000000007</v>
          </cell>
        </row>
        <row r="1265">
          <cell r="U1265" t="str">
            <v>L104188</v>
          </cell>
          <cell r="V1265" t="str">
            <v>MERMA DE FRUVER 1 kg</v>
          </cell>
          <cell r="W1265" t="str">
            <v>Ajuste</v>
          </cell>
          <cell r="X1265">
            <v>80.239999999999995</v>
          </cell>
          <cell r="Y1265">
            <v>80.239999999999995</v>
          </cell>
        </row>
        <row r="1266">
          <cell r="U1266" t="str">
            <v>L104233</v>
          </cell>
          <cell r="V1266" t="str">
            <v>MERMA DE FRUVER 1 kg</v>
          </cell>
          <cell r="W1266" t="str">
            <v>Ajuste</v>
          </cell>
          <cell r="X1266">
            <v>10.92</v>
          </cell>
          <cell r="Y1266">
            <v>10.92</v>
          </cell>
        </row>
        <row r="1267">
          <cell r="U1267" t="str">
            <v>L104235</v>
          </cell>
          <cell r="V1267" t="str">
            <v>MERMA DE FRUVER 1 kg</v>
          </cell>
          <cell r="W1267" t="str">
            <v>Ajuste</v>
          </cell>
          <cell r="X1267">
            <v>76.52</v>
          </cell>
          <cell r="Y1267">
            <v>76.52</v>
          </cell>
        </row>
        <row r="1268">
          <cell r="U1268" t="str">
            <v>L104240</v>
          </cell>
          <cell r="V1268" t="str">
            <v>MERMA DE FRUVER 1 kg</v>
          </cell>
          <cell r="W1268" t="str">
            <v>Ajuste</v>
          </cell>
          <cell r="X1268">
            <v>120</v>
          </cell>
          <cell r="Y1268">
            <v>120</v>
          </cell>
        </row>
        <row r="1269">
          <cell r="U1269" t="str">
            <v>L104341</v>
          </cell>
          <cell r="V1269" t="str">
            <v>MERMA DE FRUVER 1 kg</v>
          </cell>
          <cell r="W1269" t="str">
            <v>Ajuste</v>
          </cell>
          <cell r="X1269">
            <v>94.2</v>
          </cell>
          <cell r="Y1269">
            <v>94.2</v>
          </cell>
        </row>
        <row r="1270">
          <cell r="U1270" t="str">
            <v>L104349</v>
          </cell>
          <cell r="V1270" t="str">
            <v>MERMA DE FRUVER 1 kg</v>
          </cell>
          <cell r="W1270" t="str">
            <v>Ajuste</v>
          </cell>
          <cell r="X1270">
            <v>25.2</v>
          </cell>
          <cell r="Y1270">
            <v>25.2</v>
          </cell>
        </row>
        <row r="1271">
          <cell r="U1271" t="str">
            <v>L104386</v>
          </cell>
          <cell r="V1271" t="str">
            <v>MERMA DE FRUVER 1 kg</v>
          </cell>
          <cell r="W1271" t="str">
            <v>Ajuste</v>
          </cell>
          <cell r="X1271">
            <v>89.38</v>
          </cell>
          <cell r="Y1271">
            <v>89.38</v>
          </cell>
        </row>
        <row r="1272">
          <cell r="U1272" t="str">
            <v>L104416</v>
          </cell>
          <cell r="V1272" t="str">
            <v>MERMA DE FRUVER 1 kg</v>
          </cell>
          <cell r="W1272" t="str">
            <v>Ajuste</v>
          </cell>
          <cell r="X1272">
            <v>76.66</v>
          </cell>
          <cell r="Y1272">
            <v>76.66</v>
          </cell>
        </row>
        <row r="1273">
          <cell r="U1273" t="str">
            <v>L104419</v>
          </cell>
          <cell r="V1273" t="str">
            <v>MERMA DE FRUVER 1 kg</v>
          </cell>
          <cell r="W1273" t="str">
            <v>Ajuste</v>
          </cell>
          <cell r="X1273">
            <v>150</v>
          </cell>
          <cell r="Y1273">
            <v>150</v>
          </cell>
        </row>
        <row r="1274">
          <cell r="U1274" t="str">
            <v>L104425</v>
          </cell>
          <cell r="V1274" t="str">
            <v>MERMA DE FRUVER 1 kg</v>
          </cell>
          <cell r="W1274" t="str">
            <v>Ajuste</v>
          </cell>
          <cell r="X1274">
            <v>20.9</v>
          </cell>
          <cell r="Y1274">
            <v>20.9</v>
          </cell>
        </row>
        <row r="1275">
          <cell r="U1275" t="str">
            <v>L104450</v>
          </cell>
          <cell r="V1275" t="str">
            <v>MERMA DE FRUVER 1 kg</v>
          </cell>
          <cell r="W1275" t="str">
            <v>Ajuste</v>
          </cell>
          <cell r="X1275">
            <v>56.08</v>
          </cell>
          <cell r="Y1275">
            <v>56.08</v>
          </cell>
        </row>
        <row r="1276">
          <cell r="U1276" t="str">
            <v>L104455</v>
          </cell>
          <cell r="V1276" t="str">
            <v>MERMA DE FRUVER 1 kg</v>
          </cell>
          <cell r="W1276" t="str">
            <v>Ajuste</v>
          </cell>
          <cell r="X1276">
            <v>120</v>
          </cell>
          <cell r="Y1276">
            <v>120</v>
          </cell>
        </row>
        <row r="1277">
          <cell r="U1277" t="str">
            <v>L104464</v>
          </cell>
          <cell r="V1277" t="str">
            <v>MERMA DE FRUVER 1 kg</v>
          </cell>
          <cell r="W1277" t="str">
            <v>Ajuste</v>
          </cell>
          <cell r="X1277">
            <v>32.22</v>
          </cell>
          <cell r="Y1277">
            <v>32.22</v>
          </cell>
        </row>
        <row r="1278">
          <cell r="U1278" t="str">
            <v>L104497</v>
          </cell>
          <cell r="V1278" t="str">
            <v>MERMA DE FRUVER 1 kg</v>
          </cell>
          <cell r="W1278" t="str">
            <v>Ajuste</v>
          </cell>
          <cell r="X1278">
            <v>111.52</v>
          </cell>
          <cell r="Y1278">
            <v>111.52</v>
          </cell>
        </row>
        <row r="1279">
          <cell r="U1279" t="str">
            <v>L104504</v>
          </cell>
          <cell r="V1279" t="str">
            <v>MERMA DE FRUVER 1 kg</v>
          </cell>
          <cell r="W1279" t="str">
            <v>Ajuste</v>
          </cell>
          <cell r="X1279">
            <v>34.36</v>
          </cell>
          <cell r="Y1279">
            <v>34.36</v>
          </cell>
        </row>
        <row r="1280">
          <cell r="U1280" t="str">
            <v>L104509</v>
          </cell>
          <cell r="V1280" t="str">
            <v>MERMA DE FRUVER 1 kg</v>
          </cell>
          <cell r="W1280" t="str">
            <v>Ajuste</v>
          </cell>
          <cell r="X1280">
            <v>20.38</v>
          </cell>
          <cell r="Y1280">
            <v>20.38</v>
          </cell>
        </row>
        <row r="1281">
          <cell r="U1281" t="str">
            <v>L104516</v>
          </cell>
          <cell r="V1281" t="str">
            <v>MERMA DE FRUVER 1 kg</v>
          </cell>
          <cell r="W1281" t="str">
            <v>Ajuste</v>
          </cell>
          <cell r="X1281">
            <v>156</v>
          </cell>
          <cell r="Y1281">
            <v>156</v>
          </cell>
        </row>
        <row r="1282">
          <cell r="U1282" t="str">
            <v>L104679</v>
          </cell>
          <cell r="V1282" t="str">
            <v>MERMA DE FRUVER 1 kg</v>
          </cell>
          <cell r="W1282" t="str">
            <v>Ajuste</v>
          </cell>
          <cell r="X1282">
            <v>58.56</v>
          </cell>
          <cell r="Y1282">
            <v>58.56</v>
          </cell>
        </row>
        <row r="1283">
          <cell r="U1283" t="str">
            <v>L104689</v>
          </cell>
          <cell r="V1283" t="str">
            <v>MERMA DE FRUVER 1 kg</v>
          </cell>
          <cell r="W1283" t="str">
            <v>Ajuste</v>
          </cell>
          <cell r="X1283">
            <v>95.26</v>
          </cell>
          <cell r="Y1283">
            <v>95.26</v>
          </cell>
        </row>
        <row r="1284">
          <cell r="U1284" t="str">
            <v>L104724</v>
          </cell>
          <cell r="V1284" t="str">
            <v>MERMA DE FRUVER 1 kg</v>
          </cell>
          <cell r="W1284" t="str">
            <v>Ajuste</v>
          </cell>
          <cell r="X1284">
            <v>120.4</v>
          </cell>
          <cell r="Y1284">
            <v>120.4</v>
          </cell>
        </row>
        <row r="1285">
          <cell r="U1285" t="str">
            <v>L104727</v>
          </cell>
          <cell r="V1285" t="str">
            <v>MERMA DE FRUVER 1 kg</v>
          </cell>
          <cell r="W1285" t="str">
            <v>Ajuste</v>
          </cell>
          <cell r="X1285">
            <v>35.4</v>
          </cell>
          <cell r="Y1285">
            <v>35.4</v>
          </cell>
        </row>
        <row r="1286">
          <cell r="U1286" t="str">
            <v>L104732</v>
          </cell>
          <cell r="V1286" t="str">
            <v>MERMA DE FRUVER 1 kg</v>
          </cell>
          <cell r="W1286" t="str">
            <v>Ajuste</v>
          </cell>
          <cell r="X1286">
            <v>70</v>
          </cell>
          <cell r="Y1286">
            <v>70</v>
          </cell>
        </row>
        <row r="1287">
          <cell r="U1287" t="str">
            <v>L104787</v>
          </cell>
          <cell r="V1287" t="str">
            <v>MERMA DE FRUVER 1 kg</v>
          </cell>
          <cell r="W1287" t="str">
            <v>Ajuste</v>
          </cell>
          <cell r="X1287">
            <v>70.2</v>
          </cell>
          <cell r="Y1287">
            <v>70.2</v>
          </cell>
        </row>
        <row r="1288">
          <cell r="U1288" t="str">
            <v>L104792</v>
          </cell>
          <cell r="V1288" t="str">
            <v>MERMA DE FRUVER 1 kg</v>
          </cell>
          <cell r="W1288" t="str">
            <v>Ajuste</v>
          </cell>
          <cell r="X1288">
            <v>40.200000000000003</v>
          </cell>
          <cell r="Y1288">
            <v>40.200000000000003</v>
          </cell>
        </row>
        <row r="1289">
          <cell r="U1289" t="str">
            <v>L104795</v>
          </cell>
          <cell r="V1289" t="str">
            <v>MERMA DE FRUVER 1 kg</v>
          </cell>
          <cell r="W1289" t="str">
            <v>Ajuste</v>
          </cell>
          <cell r="X1289">
            <v>27.38</v>
          </cell>
          <cell r="Y1289">
            <v>27.38</v>
          </cell>
        </row>
        <row r="1290">
          <cell r="U1290" t="str">
            <v>L104797</v>
          </cell>
          <cell r="V1290" t="str">
            <v>MERMA DE FRUVER 1 kg</v>
          </cell>
          <cell r="W1290" t="str">
            <v>Ajuste</v>
          </cell>
          <cell r="X1290">
            <v>120</v>
          </cell>
          <cell r="Y1290">
            <v>120</v>
          </cell>
        </row>
        <row r="1291">
          <cell r="U1291" t="str">
            <v>L104831</v>
          </cell>
          <cell r="V1291" t="str">
            <v>MERMA DE FRUVER 1 kg</v>
          </cell>
          <cell r="W1291" t="str">
            <v>Ajuste</v>
          </cell>
          <cell r="X1291">
            <v>32.9</v>
          </cell>
          <cell r="Y1291">
            <v>32.9</v>
          </cell>
        </row>
        <row r="1292">
          <cell r="U1292" t="str">
            <v>L104834</v>
          </cell>
          <cell r="V1292" t="str">
            <v>MERMA DE FRUVER 1 kg</v>
          </cell>
          <cell r="W1292" t="str">
            <v>Ajuste</v>
          </cell>
          <cell r="X1292">
            <v>23.28</v>
          </cell>
          <cell r="Y1292">
            <v>23.28</v>
          </cell>
        </row>
        <row r="1293">
          <cell r="U1293" t="str">
            <v>L104839</v>
          </cell>
          <cell r="V1293" t="str">
            <v>MERMA DE FRUVER 1 kg</v>
          </cell>
          <cell r="W1293" t="str">
            <v>Ajuste</v>
          </cell>
          <cell r="X1293">
            <v>70.88</v>
          </cell>
          <cell r="Y1293">
            <v>70.88</v>
          </cell>
        </row>
        <row r="1294">
          <cell r="U1294" t="str">
            <v>L104846</v>
          </cell>
          <cell r="V1294" t="str">
            <v>MERMA DE FRUVER 1 kg</v>
          </cell>
          <cell r="W1294" t="str">
            <v>Ajuste</v>
          </cell>
          <cell r="X1294">
            <v>70</v>
          </cell>
          <cell r="Y1294">
            <v>70</v>
          </cell>
        </row>
        <row r="1295">
          <cell r="U1295" t="str">
            <v>L103893</v>
          </cell>
          <cell r="V1295" t="str">
            <v>Merma KG</v>
          </cell>
          <cell r="W1295" t="str">
            <v>Ajuste</v>
          </cell>
          <cell r="X1295">
            <v>79.36</v>
          </cell>
          <cell r="Y1295">
            <v>79.36</v>
          </cell>
        </row>
        <row r="1296">
          <cell r="U1296" t="str">
            <v>L103954</v>
          </cell>
          <cell r="V1296" t="str">
            <v>Merma KG</v>
          </cell>
          <cell r="W1296" t="str">
            <v>Ajuste</v>
          </cell>
          <cell r="X1296">
            <v>59.74</v>
          </cell>
          <cell r="Y1296">
            <v>59.74</v>
          </cell>
        </row>
        <row r="1297">
          <cell r="U1297" t="str">
            <v>L103956</v>
          </cell>
          <cell r="V1297" t="str">
            <v>Merma KG</v>
          </cell>
          <cell r="W1297" t="str">
            <v>Ajuste</v>
          </cell>
          <cell r="X1297">
            <v>37.67</v>
          </cell>
          <cell r="Y1297">
            <v>37.67</v>
          </cell>
        </row>
        <row r="1298">
          <cell r="U1298" t="str">
            <v>L104151</v>
          </cell>
          <cell r="V1298" t="str">
            <v>Merma KG</v>
          </cell>
          <cell r="W1298" t="str">
            <v>Ajuste</v>
          </cell>
          <cell r="X1298">
            <v>178.9</v>
          </cell>
          <cell r="Y1298">
            <v>178.9</v>
          </cell>
        </row>
        <row r="1299">
          <cell r="U1299" t="str">
            <v>L104153</v>
          </cell>
          <cell r="V1299" t="str">
            <v>Merma KG</v>
          </cell>
          <cell r="W1299" t="str">
            <v>Ajuste</v>
          </cell>
          <cell r="X1299">
            <v>1.4</v>
          </cell>
          <cell r="Y1299">
            <v>1.4</v>
          </cell>
        </row>
        <row r="1300">
          <cell r="U1300" t="str">
            <v>L104154</v>
          </cell>
          <cell r="V1300" t="str">
            <v>Merma KG</v>
          </cell>
          <cell r="W1300" t="str">
            <v>Ajuste</v>
          </cell>
          <cell r="X1300">
            <v>30.74</v>
          </cell>
          <cell r="Y1300">
            <v>30.74</v>
          </cell>
        </row>
        <row r="1301">
          <cell r="U1301" t="str">
            <v>L104925</v>
          </cell>
          <cell r="V1301" t="str">
            <v>Mesa</v>
          </cell>
          <cell r="W1301" t="str">
            <v>Ajuste</v>
          </cell>
          <cell r="X1301">
            <v>2</v>
          </cell>
          <cell r="Y1301">
            <v>20</v>
          </cell>
        </row>
        <row r="1302">
          <cell r="U1302" t="str">
            <v>L103791</v>
          </cell>
          <cell r="V1302" t="str">
            <v>MLCT 3Kg</v>
          </cell>
          <cell r="W1302" t="str">
            <v>Ajuste</v>
          </cell>
          <cell r="X1302">
            <v>12</v>
          </cell>
          <cell r="Y1302">
            <v>36</v>
          </cell>
        </row>
        <row r="1303">
          <cell r="U1303" t="str">
            <v>L104920</v>
          </cell>
          <cell r="V1303" t="str">
            <v>MLCT 3Kg</v>
          </cell>
          <cell r="W1303" t="str">
            <v>Ajuste</v>
          </cell>
          <cell r="X1303">
            <v>2</v>
          </cell>
          <cell r="Y1303">
            <v>6</v>
          </cell>
        </row>
        <row r="1304">
          <cell r="U1304" t="str">
            <v>L103989</v>
          </cell>
          <cell r="V1304" t="str">
            <v>MNS 10Kg-PAQUETE</v>
          </cell>
          <cell r="W1304" t="str">
            <v>Ajuste</v>
          </cell>
          <cell r="X1304">
            <v>800</v>
          </cell>
          <cell r="Y1304">
            <v>8000</v>
          </cell>
        </row>
        <row r="1305">
          <cell r="U1305" t="str">
            <v>L104697</v>
          </cell>
          <cell r="V1305" t="str">
            <v>MNS 10Kg-PAQUETE</v>
          </cell>
          <cell r="W1305" t="str">
            <v>Ajuste</v>
          </cell>
          <cell r="X1305">
            <v>1189</v>
          </cell>
          <cell r="Y1305">
            <v>11890</v>
          </cell>
        </row>
        <row r="1306">
          <cell r="U1306" t="str">
            <v>L104820</v>
          </cell>
          <cell r="V1306" t="str">
            <v>MNS 2kg-PAQUETE</v>
          </cell>
          <cell r="W1306" t="str">
            <v>Ajuste</v>
          </cell>
          <cell r="X1306">
            <v>12</v>
          </cell>
          <cell r="Y1306">
            <v>24</v>
          </cell>
        </row>
        <row r="1307">
          <cell r="U1307" t="str">
            <v>L103831</v>
          </cell>
          <cell r="V1307" t="str">
            <v>MNS 2kg-PAQUETE</v>
          </cell>
          <cell r="W1307" t="str">
            <v>Ajuste</v>
          </cell>
          <cell r="X1307">
            <v>6</v>
          </cell>
          <cell r="Y1307">
            <v>12</v>
          </cell>
        </row>
        <row r="1308">
          <cell r="U1308" t="str">
            <v>L104377</v>
          </cell>
          <cell r="V1308" t="str">
            <v>MSA MTAL</v>
          </cell>
          <cell r="W1308" t="str">
            <v>Ajuste</v>
          </cell>
          <cell r="X1308">
            <v>6</v>
          </cell>
          <cell r="Y1308">
            <v>288</v>
          </cell>
        </row>
        <row r="1309">
          <cell r="U1309" t="str">
            <v>L104197</v>
          </cell>
          <cell r="V1309" t="str">
            <v>MTQ 7kg</v>
          </cell>
          <cell r="W1309" t="str">
            <v>Ajuste</v>
          </cell>
          <cell r="X1309">
            <v>62</v>
          </cell>
          <cell r="Y1309">
            <v>434</v>
          </cell>
        </row>
        <row r="1310">
          <cell r="U1310" t="str">
            <v>L103812</v>
          </cell>
          <cell r="V1310" t="str">
            <v>MXTCD 10kg</v>
          </cell>
          <cell r="W1310" t="str">
            <v>Ajuste</v>
          </cell>
          <cell r="X1310">
            <v>42</v>
          </cell>
          <cell r="Y1310">
            <v>420</v>
          </cell>
        </row>
        <row r="1311">
          <cell r="U1311" t="str">
            <v>L103824</v>
          </cell>
          <cell r="V1311" t="str">
            <v>MXTCD 10kg</v>
          </cell>
          <cell r="W1311" t="str">
            <v>Ajuste</v>
          </cell>
          <cell r="X1311">
            <v>20</v>
          </cell>
          <cell r="Y1311">
            <v>200</v>
          </cell>
        </row>
        <row r="1312">
          <cell r="U1312" t="str">
            <v>L104193</v>
          </cell>
          <cell r="V1312" t="str">
            <v>MXTCD 10kg</v>
          </cell>
          <cell r="W1312" t="str">
            <v>Ajuste</v>
          </cell>
          <cell r="X1312">
            <v>20</v>
          </cell>
          <cell r="Y1312">
            <v>200</v>
          </cell>
        </row>
        <row r="1313">
          <cell r="U1313" t="str">
            <v>L104196</v>
          </cell>
          <cell r="V1313" t="str">
            <v>MXTCD 10kg</v>
          </cell>
          <cell r="W1313" t="str">
            <v>Ajuste</v>
          </cell>
          <cell r="X1313">
            <v>198</v>
          </cell>
          <cell r="Y1313">
            <v>1980</v>
          </cell>
        </row>
        <row r="1314">
          <cell r="U1314" t="str">
            <v>L104336</v>
          </cell>
          <cell r="V1314" t="str">
            <v>MXTCD 10kg</v>
          </cell>
          <cell r="W1314" t="str">
            <v>Ajuste</v>
          </cell>
          <cell r="X1314">
            <v>34</v>
          </cell>
          <cell r="Y1314">
            <v>340</v>
          </cell>
        </row>
        <row r="1315">
          <cell r="U1315" t="str">
            <v>L104657</v>
          </cell>
          <cell r="V1315" t="str">
            <v>MXTCD 10kg</v>
          </cell>
          <cell r="W1315" t="str">
            <v>Ajuste</v>
          </cell>
          <cell r="X1315">
            <v>28</v>
          </cell>
          <cell r="Y1315">
            <v>280</v>
          </cell>
        </row>
        <row r="1316">
          <cell r="U1316" t="str">
            <v>L104074</v>
          </cell>
          <cell r="V1316" t="str">
            <v>MYN 2kg - Caja</v>
          </cell>
          <cell r="W1316" t="str">
            <v>Ajuste</v>
          </cell>
          <cell r="X1316">
            <v>10</v>
          </cell>
          <cell r="Y1316">
            <v>20</v>
          </cell>
        </row>
        <row r="1317">
          <cell r="U1317" t="str">
            <v>L104737</v>
          </cell>
          <cell r="V1317" t="str">
            <v>MYN 2kg - Caja</v>
          </cell>
          <cell r="W1317" t="str">
            <v>Ajuste</v>
          </cell>
          <cell r="X1317">
            <v>4</v>
          </cell>
          <cell r="Y1317">
            <v>8</v>
          </cell>
        </row>
        <row r="1318">
          <cell r="U1318" t="str">
            <v>L104069</v>
          </cell>
          <cell r="V1318" t="str">
            <v>MYN 3kg - Caja</v>
          </cell>
          <cell r="W1318" t="str">
            <v>Ajuste</v>
          </cell>
          <cell r="X1318">
            <v>26</v>
          </cell>
          <cell r="Y1318">
            <v>78</v>
          </cell>
        </row>
        <row r="1319">
          <cell r="U1319" t="str">
            <v>L104070</v>
          </cell>
          <cell r="V1319" t="str">
            <v>MYN 3kg - Caja</v>
          </cell>
          <cell r="W1319" t="str">
            <v>Ajuste</v>
          </cell>
          <cell r="X1319">
            <v>10</v>
          </cell>
          <cell r="Y1319">
            <v>30</v>
          </cell>
        </row>
        <row r="1320">
          <cell r="U1320" t="str">
            <v>L104238</v>
          </cell>
          <cell r="V1320" t="str">
            <v>MYN 3kg - Caja</v>
          </cell>
          <cell r="W1320" t="str">
            <v>Ajuste</v>
          </cell>
          <cell r="X1320">
            <v>3215</v>
          </cell>
          <cell r="Y1320">
            <v>9645</v>
          </cell>
        </row>
        <row r="1321">
          <cell r="U1321" t="str">
            <v>L104238</v>
          </cell>
          <cell r="V1321" t="str">
            <v>DIV MYN 3kg</v>
          </cell>
          <cell r="W1321" t="str">
            <v>Ajuste</v>
          </cell>
          <cell r="X1321">
            <v>236</v>
          </cell>
          <cell r="Y1321">
            <v>708</v>
          </cell>
        </row>
        <row r="1322">
          <cell r="U1322" t="str">
            <v>L104401</v>
          </cell>
          <cell r="V1322" t="str">
            <v>MYN 3kg - Caja</v>
          </cell>
          <cell r="W1322" t="str">
            <v>Ajuste</v>
          </cell>
          <cell r="X1322">
            <v>24</v>
          </cell>
          <cell r="Y1322">
            <v>72</v>
          </cell>
        </row>
        <row r="1323">
          <cell r="U1323" t="str">
            <v>L104664</v>
          </cell>
          <cell r="V1323" t="str">
            <v>MYN 3kg - Caja</v>
          </cell>
          <cell r="W1323" t="str">
            <v>Ajuste</v>
          </cell>
          <cell r="X1323">
            <v>20</v>
          </cell>
          <cell r="Y1323">
            <v>60</v>
          </cell>
        </row>
        <row r="1324">
          <cell r="U1324" t="str">
            <v>L103996</v>
          </cell>
          <cell r="V1324" t="str">
            <v>MYN 4kg - Caja</v>
          </cell>
          <cell r="W1324" t="str">
            <v>Ajuste</v>
          </cell>
          <cell r="X1324">
            <v>204</v>
          </cell>
          <cell r="Y1324">
            <v>816</v>
          </cell>
        </row>
        <row r="1325">
          <cell r="U1325" t="str">
            <v>L103996</v>
          </cell>
          <cell r="V1325" t="str">
            <v>MYN 4kg - Caja</v>
          </cell>
          <cell r="W1325" t="str">
            <v>Dañado</v>
          </cell>
          <cell r="X1325">
            <v>4</v>
          </cell>
          <cell r="Y1325">
            <v>16</v>
          </cell>
        </row>
        <row r="1326">
          <cell r="U1326" t="str">
            <v>L104877</v>
          </cell>
          <cell r="V1326" t="str">
            <v>MZL 3kg</v>
          </cell>
          <cell r="W1326" t="str">
            <v>Ajuste</v>
          </cell>
          <cell r="X1326">
            <v>160</v>
          </cell>
          <cell r="Y1326">
            <v>480</v>
          </cell>
        </row>
        <row r="1327">
          <cell r="U1327" t="str">
            <v>L103784</v>
          </cell>
          <cell r="V1327" t="str">
            <v>MZL 5kg</v>
          </cell>
          <cell r="W1327" t="str">
            <v>Ajuste</v>
          </cell>
          <cell r="X1327">
            <v>24</v>
          </cell>
          <cell r="Y1327">
            <v>120</v>
          </cell>
        </row>
        <row r="1328">
          <cell r="U1328" t="str">
            <v>L104039</v>
          </cell>
          <cell r="V1328" t="str">
            <v>MZL 5kg</v>
          </cell>
          <cell r="W1328" t="str">
            <v>Ajuste</v>
          </cell>
          <cell r="X1328">
            <v>10</v>
          </cell>
          <cell r="Y1328">
            <v>50</v>
          </cell>
        </row>
        <row r="1329">
          <cell r="U1329" t="str">
            <v>L104574</v>
          </cell>
          <cell r="V1329" t="str">
            <v>MZL 5kg</v>
          </cell>
          <cell r="W1329" t="str">
            <v>Ajuste</v>
          </cell>
          <cell r="X1329">
            <v>10</v>
          </cell>
          <cell r="Y1329">
            <v>50</v>
          </cell>
        </row>
        <row r="1330">
          <cell r="U1330" t="str">
            <v>L104586</v>
          </cell>
          <cell r="V1330" t="str">
            <v>MZL 5kg</v>
          </cell>
          <cell r="W1330" t="str">
            <v>Ajuste</v>
          </cell>
          <cell r="X1330">
            <v>20</v>
          </cell>
          <cell r="Y1330">
            <v>100</v>
          </cell>
        </row>
        <row r="1331">
          <cell r="U1331" t="str">
            <v>L104638</v>
          </cell>
          <cell r="V1331" t="str">
            <v>MZL 5kg</v>
          </cell>
          <cell r="W1331" t="str">
            <v>Ajuste</v>
          </cell>
          <cell r="X1331">
            <v>6</v>
          </cell>
          <cell r="Y1331">
            <v>30</v>
          </cell>
        </row>
        <row r="1332">
          <cell r="U1332" t="str">
            <v>L104807</v>
          </cell>
          <cell r="V1332" t="str">
            <v>MZL 5kg</v>
          </cell>
          <cell r="W1332" t="str">
            <v>Ajuste</v>
          </cell>
          <cell r="X1332">
            <v>6</v>
          </cell>
          <cell r="Y1332">
            <v>30</v>
          </cell>
        </row>
        <row r="1333">
          <cell r="U1333" t="str">
            <v>L104809</v>
          </cell>
          <cell r="V1333" t="str">
            <v>MZL 5kg</v>
          </cell>
          <cell r="W1333" t="str">
            <v>Ajuste</v>
          </cell>
          <cell r="X1333">
            <v>14</v>
          </cell>
          <cell r="Y1333">
            <v>70</v>
          </cell>
        </row>
        <row r="1334">
          <cell r="U1334" t="str">
            <v>L104407</v>
          </cell>
          <cell r="V1334" t="str">
            <v>MZT 3kg</v>
          </cell>
          <cell r="W1334" t="str">
            <v>Ajuste</v>
          </cell>
          <cell r="X1334">
            <v>6</v>
          </cell>
          <cell r="Y1334">
            <v>18</v>
          </cell>
        </row>
        <row r="1335">
          <cell r="U1335" t="str">
            <v>L104662</v>
          </cell>
          <cell r="V1335" t="str">
            <v>MZT 3kg</v>
          </cell>
          <cell r="W1335" t="str">
            <v>Ajuste</v>
          </cell>
          <cell r="X1335">
            <v>40</v>
          </cell>
          <cell r="Y1335">
            <v>120</v>
          </cell>
        </row>
        <row r="1336">
          <cell r="U1336" t="str">
            <v>L104058</v>
          </cell>
          <cell r="V1336" t="str">
            <v>MZT 4kg</v>
          </cell>
          <cell r="W1336" t="str">
            <v>Ajuste</v>
          </cell>
          <cell r="X1336">
            <v>72</v>
          </cell>
          <cell r="Y1336">
            <v>288</v>
          </cell>
        </row>
        <row r="1337">
          <cell r="U1337" t="str">
            <v>L104057</v>
          </cell>
          <cell r="V1337" t="str">
            <v>MZT 4kg</v>
          </cell>
          <cell r="W1337" t="str">
            <v>Ajuste</v>
          </cell>
          <cell r="X1337">
            <v>54</v>
          </cell>
          <cell r="Y1337">
            <v>216</v>
          </cell>
        </row>
        <row r="1338">
          <cell r="U1338" t="str">
            <v>L104003</v>
          </cell>
          <cell r="V1338" t="str">
            <v>MZT 4kg</v>
          </cell>
          <cell r="W1338" t="str">
            <v>Ajuste</v>
          </cell>
          <cell r="X1338">
            <v>227</v>
          </cell>
          <cell r="Y1338">
            <v>908</v>
          </cell>
        </row>
        <row r="1339">
          <cell r="U1339" t="str">
            <v>l104130</v>
          </cell>
          <cell r="V1339" t="str">
            <v>NV ACE 12x900ml-CAJA</v>
          </cell>
          <cell r="W1339" t="str">
            <v>Ajuste</v>
          </cell>
          <cell r="X1339">
            <v>622</v>
          </cell>
          <cell r="Y1339">
            <v>6717.6000000000022</v>
          </cell>
        </row>
        <row r="1340">
          <cell r="U1340" t="str">
            <v>l104130</v>
          </cell>
          <cell r="V1340" t="str">
            <v>NV ACE 12x900ml-CAJA</v>
          </cell>
          <cell r="W1340" t="str">
            <v>Reproceso</v>
          </cell>
          <cell r="X1340">
            <v>30</v>
          </cell>
          <cell r="Y1340">
            <v>324</v>
          </cell>
        </row>
        <row r="1341">
          <cell r="U1341" t="str">
            <v>l104130</v>
          </cell>
          <cell r="V1341" t="str">
            <v>NV ACE 1x900ml-UNI</v>
          </cell>
          <cell r="W1341" t="str">
            <v>Ajuste</v>
          </cell>
          <cell r="X1341">
            <v>720</v>
          </cell>
          <cell r="Y1341">
            <v>648.00000000000034</v>
          </cell>
        </row>
        <row r="1342">
          <cell r="U1342" t="str">
            <v>l104133</v>
          </cell>
          <cell r="V1342" t="str">
            <v>NV ARJ 1X1LB-UNI</v>
          </cell>
          <cell r="W1342" t="str">
            <v>Ajuste</v>
          </cell>
          <cell r="X1342">
            <v>1100</v>
          </cell>
          <cell r="Y1342">
            <v>461.99999999999972</v>
          </cell>
        </row>
        <row r="1343">
          <cell r="U1343" t="str">
            <v>l104133</v>
          </cell>
          <cell r="V1343" t="str">
            <v>NV ARJ 25X1LB-CAJA</v>
          </cell>
          <cell r="W1343" t="str">
            <v>Ajuste</v>
          </cell>
          <cell r="X1343">
            <v>134</v>
          </cell>
          <cell r="Y1343">
            <v>1518.2200000000005</v>
          </cell>
        </row>
        <row r="1344">
          <cell r="U1344" t="str">
            <v>l104133</v>
          </cell>
          <cell r="V1344" t="str">
            <v>NV ARJ 25X1LB-CAJA</v>
          </cell>
          <cell r="W1344" t="str">
            <v>Reproceso</v>
          </cell>
          <cell r="X1344">
            <v>22</v>
          </cell>
          <cell r="Y1344">
            <v>249.26000000000002</v>
          </cell>
        </row>
        <row r="1345">
          <cell r="U1345" t="str">
            <v>l103959</v>
          </cell>
          <cell r="V1345" t="str">
            <v>NV ARZ 10x5lb-CAJA</v>
          </cell>
          <cell r="W1345" t="str">
            <v>Ajuste</v>
          </cell>
          <cell r="X1345">
            <v>778</v>
          </cell>
          <cell r="Y1345">
            <v>17637.260000000006</v>
          </cell>
        </row>
        <row r="1346">
          <cell r="U1346" t="str">
            <v>l103959</v>
          </cell>
          <cell r="V1346" t="str">
            <v>NV ARZ 10x5lb-CAJA</v>
          </cell>
          <cell r="W1346" t="str">
            <v>Reproceso</v>
          </cell>
          <cell r="X1346">
            <v>12</v>
          </cell>
          <cell r="Y1346">
            <v>272.04000000000002</v>
          </cell>
        </row>
        <row r="1347">
          <cell r="U1347" t="str">
            <v>l103959</v>
          </cell>
          <cell r="V1347" t="str">
            <v>NV ARZ 1x5lb-UNI</v>
          </cell>
          <cell r="W1347" t="str">
            <v>Ajuste</v>
          </cell>
          <cell r="X1347">
            <v>240</v>
          </cell>
          <cell r="Y1347">
            <v>542.4</v>
          </cell>
        </row>
        <row r="1348">
          <cell r="U1348" t="str">
            <v>l104126</v>
          </cell>
          <cell r="V1348" t="str">
            <v>NV ATN 1x170g-UNIDAD</v>
          </cell>
          <cell r="W1348" t="str">
            <v>Ajuste</v>
          </cell>
          <cell r="X1348">
            <v>2232</v>
          </cell>
          <cell r="Y1348">
            <v>379.44000000000005</v>
          </cell>
        </row>
        <row r="1349">
          <cell r="U1349" t="str">
            <v>L104125</v>
          </cell>
          <cell r="V1349" t="str">
            <v>NV ATN 48x170g-CAJA</v>
          </cell>
          <cell r="W1349" t="str">
            <v>Ajuste</v>
          </cell>
          <cell r="X1349">
            <v>139</v>
          </cell>
          <cell r="Y1349">
            <v>1134.2400000000002</v>
          </cell>
        </row>
        <row r="1350">
          <cell r="U1350" t="str">
            <v>L104125</v>
          </cell>
          <cell r="V1350" t="str">
            <v>NV ATN 48x170g-CAJA</v>
          </cell>
          <cell r="W1350" t="str">
            <v>Reproceso</v>
          </cell>
          <cell r="X1350">
            <v>23</v>
          </cell>
          <cell r="Y1350">
            <v>187.67999999999998</v>
          </cell>
        </row>
        <row r="1351">
          <cell r="U1351" t="str">
            <v>l103998</v>
          </cell>
          <cell r="V1351" t="str">
            <v>NV CRAVE 1X320g-UNI</v>
          </cell>
          <cell r="W1351" t="str">
            <v>Ajuste</v>
          </cell>
          <cell r="X1351">
            <v>1116</v>
          </cell>
          <cell r="Y1351">
            <v>357.11999999999978</v>
          </cell>
        </row>
        <row r="1352">
          <cell r="U1352" t="str">
            <v>L103997</v>
          </cell>
          <cell r="V1352" t="str">
            <v>NV CRAVE 24X320g-CAJA</v>
          </cell>
          <cell r="W1352" t="str">
            <v>Ajuste</v>
          </cell>
          <cell r="X1352">
            <v>139</v>
          </cell>
          <cell r="Y1352">
            <v>1067.52</v>
          </cell>
        </row>
        <row r="1353">
          <cell r="U1353" t="str">
            <v>L103997</v>
          </cell>
          <cell r="V1353" t="str">
            <v>NV CRAVE 24X320g-CAJA</v>
          </cell>
          <cell r="W1353" t="str">
            <v>Reproceso</v>
          </cell>
          <cell r="X1353">
            <v>23</v>
          </cell>
          <cell r="Y1353">
            <v>176.64</v>
          </cell>
        </row>
        <row r="1354">
          <cell r="U1354" t="str">
            <v>l104000</v>
          </cell>
          <cell r="V1354" t="str">
            <v>NV CRMAIZ 1X320g-UNI</v>
          </cell>
          <cell r="W1354" t="str">
            <v>Ajuste</v>
          </cell>
          <cell r="X1354">
            <v>1116</v>
          </cell>
          <cell r="Y1354">
            <v>357.11999999999978</v>
          </cell>
        </row>
        <row r="1355">
          <cell r="U1355" t="str">
            <v>L103999</v>
          </cell>
          <cell r="V1355" t="str">
            <v>NV CRMAIZ 24X320g-CAJA</v>
          </cell>
          <cell r="W1355" t="str">
            <v>Ajuste</v>
          </cell>
          <cell r="X1355">
            <v>139</v>
          </cell>
          <cell r="Y1355">
            <v>1067.52</v>
          </cell>
        </row>
        <row r="1356">
          <cell r="U1356" t="str">
            <v>L103999</v>
          </cell>
          <cell r="V1356" t="str">
            <v>NV CRMAIZ 24X320g-CAJA</v>
          </cell>
          <cell r="W1356" t="str">
            <v>Reproceso</v>
          </cell>
          <cell r="X1356">
            <v>23</v>
          </cell>
          <cell r="Y1356">
            <v>176.64</v>
          </cell>
        </row>
        <row r="1357">
          <cell r="U1357" t="str">
            <v>l104185</v>
          </cell>
          <cell r="V1357" t="str">
            <v>NV HAR 1 x 454g-UNI</v>
          </cell>
          <cell r="W1357" t="str">
            <v>Ajuste</v>
          </cell>
          <cell r="X1357">
            <v>888</v>
          </cell>
          <cell r="Y1357">
            <v>399.60000000000008</v>
          </cell>
        </row>
        <row r="1358">
          <cell r="U1358" t="str">
            <v>l104184</v>
          </cell>
          <cell r="V1358" t="str">
            <v>NV HAR 24 x 454g-CAJA</v>
          </cell>
          <cell r="W1358" t="str">
            <v>Ajuste</v>
          </cell>
          <cell r="X1358">
            <v>302</v>
          </cell>
          <cell r="Y1358">
            <v>3288.7799999999988</v>
          </cell>
        </row>
        <row r="1359">
          <cell r="U1359" t="str">
            <v>l104184</v>
          </cell>
          <cell r="V1359" t="str">
            <v>NV HAR 24 x 454g-CAJA</v>
          </cell>
          <cell r="W1359" t="str">
            <v>Reproceso</v>
          </cell>
          <cell r="X1359">
            <v>28</v>
          </cell>
          <cell r="Y1359">
            <v>304.92</v>
          </cell>
        </row>
        <row r="1360">
          <cell r="U1360" t="str">
            <v>l104184</v>
          </cell>
          <cell r="V1360" t="str">
            <v>NV HAR 1 x 454g-UNI</v>
          </cell>
          <cell r="W1360" t="str">
            <v>Ajuste</v>
          </cell>
          <cell r="X1360">
            <v>480</v>
          </cell>
          <cell r="Y1360">
            <v>216</v>
          </cell>
        </row>
        <row r="1361">
          <cell r="U1361" t="str">
            <v>l104124</v>
          </cell>
          <cell r="V1361" t="str">
            <v>NV LCH 1X400g-UNI</v>
          </cell>
          <cell r="W1361" t="str">
            <v>Ajuste</v>
          </cell>
          <cell r="X1361">
            <v>1116</v>
          </cell>
          <cell r="Y1361">
            <v>446.4</v>
          </cell>
        </row>
        <row r="1362">
          <cell r="U1362" t="str">
            <v>L104123</v>
          </cell>
          <cell r="V1362" t="str">
            <v>NV LCH 24X400g-CAJA</v>
          </cell>
          <cell r="W1362" t="str">
            <v>Ajuste</v>
          </cell>
          <cell r="X1362">
            <v>139</v>
          </cell>
          <cell r="Y1362">
            <v>1334.4</v>
          </cell>
        </row>
        <row r="1363">
          <cell r="U1363" t="str">
            <v>L104123</v>
          </cell>
          <cell r="V1363" t="str">
            <v>NV LCH 24X400g-CAJA</v>
          </cell>
          <cell r="W1363" t="str">
            <v>Reproceso</v>
          </cell>
          <cell r="X1363">
            <v>23</v>
          </cell>
          <cell r="Y1363">
            <v>220.8</v>
          </cell>
        </row>
        <row r="1364">
          <cell r="U1364" t="str">
            <v>l104132</v>
          </cell>
          <cell r="V1364" t="str">
            <v>NV LTJ 25X1Lb-CAJA</v>
          </cell>
          <cell r="W1364" t="str">
            <v>Ajuste</v>
          </cell>
          <cell r="X1364">
            <v>287</v>
          </cell>
          <cell r="Y1364">
            <v>3251.7099999999996</v>
          </cell>
        </row>
        <row r="1365">
          <cell r="U1365" t="str">
            <v>l104132</v>
          </cell>
          <cell r="V1365" t="str">
            <v>NV LTJ 25X1Lb-CAJA</v>
          </cell>
          <cell r="W1365" t="str">
            <v>Reproceso</v>
          </cell>
          <cell r="X1365">
            <v>27</v>
          </cell>
          <cell r="Y1365">
            <v>305.90999999999997</v>
          </cell>
        </row>
        <row r="1366">
          <cell r="U1366" t="str">
            <v>l104132</v>
          </cell>
          <cell r="V1366" t="str">
            <v>NV LTJ 1X1Lb-UNI</v>
          </cell>
          <cell r="W1366" t="str">
            <v>Ajuste</v>
          </cell>
          <cell r="X1366">
            <v>1350</v>
          </cell>
          <cell r="Y1366">
            <v>607.49999999999977</v>
          </cell>
        </row>
        <row r="1367">
          <cell r="U1367" t="str">
            <v>l104168</v>
          </cell>
          <cell r="V1367" t="str">
            <v>NV SAL 1X454g-UNI</v>
          </cell>
          <cell r="W1367" t="str">
            <v>Ajuste</v>
          </cell>
          <cell r="X1367">
            <v>1260</v>
          </cell>
          <cell r="Y1367">
            <v>566.99999999999966</v>
          </cell>
        </row>
        <row r="1368">
          <cell r="U1368" t="str">
            <v>l104168</v>
          </cell>
          <cell r="V1368" t="str">
            <v>NV SAL 30X454g-CAJA</v>
          </cell>
          <cell r="W1368" t="str">
            <v>Ajuste</v>
          </cell>
          <cell r="X1368">
            <v>109</v>
          </cell>
          <cell r="Y1368">
            <v>1484.579999999999</v>
          </cell>
        </row>
        <row r="1369">
          <cell r="U1369" t="str">
            <v>l104168</v>
          </cell>
          <cell r="V1369" t="str">
            <v>NV SAL 30X454g-CAJA</v>
          </cell>
          <cell r="W1369" t="str">
            <v>Reproceso</v>
          </cell>
          <cell r="X1369">
            <v>21</v>
          </cell>
          <cell r="Y1369">
            <v>286.02</v>
          </cell>
        </row>
        <row r="1370">
          <cell r="U1370" t="str">
            <v>l104131</v>
          </cell>
          <cell r="V1370" t="str">
            <v>NV SPAGUETTIS 1 x 454G-UNI</v>
          </cell>
          <cell r="W1370" t="str">
            <v>Ajuste</v>
          </cell>
          <cell r="X1370">
            <v>400</v>
          </cell>
          <cell r="Y1370">
            <v>179.99999999999997</v>
          </cell>
        </row>
        <row r="1371">
          <cell r="U1371" t="str">
            <v>l104131</v>
          </cell>
          <cell r="V1371" t="str">
            <v>NV SPAGUETTIS 20 x 454G-CAJA</v>
          </cell>
          <cell r="W1371" t="str">
            <v>Ajuste</v>
          </cell>
          <cell r="X1371">
            <v>772</v>
          </cell>
          <cell r="Y1371">
            <v>7009.7599999999975</v>
          </cell>
        </row>
        <row r="1372">
          <cell r="U1372" t="str">
            <v>l104131</v>
          </cell>
          <cell r="V1372" t="str">
            <v>NV SPAGUETTIS 20 x 454G-CAJA</v>
          </cell>
          <cell r="W1372" t="str">
            <v>Reproceso</v>
          </cell>
          <cell r="X1372">
            <v>10</v>
          </cell>
          <cell r="Y1372">
            <v>90.8</v>
          </cell>
        </row>
        <row r="1373">
          <cell r="U1373" t="str">
            <v>l104129</v>
          </cell>
          <cell r="V1373" t="str">
            <v>NV SRD 1X15 OZ-UNI</v>
          </cell>
          <cell r="W1373" t="str">
            <v>Ajuste</v>
          </cell>
          <cell r="X1373">
            <v>1116</v>
          </cell>
          <cell r="Y1373">
            <v>468.71999999999991</v>
          </cell>
        </row>
        <row r="1374">
          <cell r="U1374" t="str">
            <v>l104127</v>
          </cell>
          <cell r="V1374" t="str">
            <v>NV SRD 1X5.5 ONZ-UNI</v>
          </cell>
          <cell r="W1374" t="str">
            <v>Ajuste</v>
          </cell>
          <cell r="X1374">
            <v>2200</v>
          </cell>
          <cell r="Y1374">
            <v>330.00000000000017</v>
          </cell>
        </row>
        <row r="1375">
          <cell r="U1375" t="str">
            <v>l104127</v>
          </cell>
          <cell r="V1375" t="str">
            <v>NV SRD 50X5.5 ONZ-CAJA</v>
          </cell>
          <cell r="W1375" t="str">
            <v>Ajuste</v>
          </cell>
          <cell r="X1375">
            <v>134</v>
          </cell>
          <cell r="Y1375">
            <v>1043.8599999999999</v>
          </cell>
        </row>
        <row r="1376">
          <cell r="U1376" t="str">
            <v>l104127</v>
          </cell>
          <cell r="V1376" t="str">
            <v>NV SRD 50X5.5 ONZ-CAJA</v>
          </cell>
          <cell r="W1376" t="str">
            <v>Reproceso</v>
          </cell>
          <cell r="X1376">
            <v>22</v>
          </cell>
          <cell r="Y1376">
            <v>171.38</v>
          </cell>
        </row>
        <row r="1377">
          <cell r="U1377" t="str">
            <v>L104128</v>
          </cell>
          <cell r="V1377" t="str">
            <v>NV SRD 24X15 OZ-CAJA</v>
          </cell>
          <cell r="W1377" t="str">
            <v>Ajuste</v>
          </cell>
          <cell r="X1377">
            <v>139</v>
          </cell>
          <cell r="Y1377">
            <v>1417.8000000000009</v>
          </cell>
        </row>
        <row r="1378">
          <cell r="U1378" t="str">
            <v>L104128</v>
          </cell>
          <cell r="V1378" t="str">
            <v>NV SRD 24X15 OZ-CAJA</v>
          </cell>
          <cell r="W1378" t="str">
            <v>Reproceso</v>
          </cell>
          <cell r="X1378">
            <v>23</v>
          </cell>
          <cell r="Y1378">
            <v>234.59999999999997</v>
          </cell>
        </row>
        <row r="1379">
          <cell r="U1379" t="str">
            <v>L104228</v>
          </cell>
          <cell r="V1379" t="str">
            <v>PAA kg</v>
          </cell>
          <cell r="W1379" t="str">
            <v>Ajuste</v>
          </cell>
          <cell r="X1379">
            <v>2</v>
          </cell>
          <cell r="Y1379">
            <v>2</v>
          </cell>
        </row>
        <row r="1380">
          <cell r="U1380" t="str">
            <v>L103794</v>
          </cell>
          <cell r="V1380" t="str">
            <v>PAN 2kg</v>
          </cell>
          <cell r="W1380" t="str">
            <v>Ajuste</v>
          </cell>
          <cell r="X1380">
            <v>4</v>
          </cell>
          <cell r="Y1380">
            <v>8</v>
          </cell>
        </row>
        <row r="1381">
          <cell r="U1381" t="str">
            <v>L103808</v>
          </cell>
          <cell r="V1381" t="str">
            <v>PAN 2kg</v>
          </cell>
          <cell r="W1381" t="str">
            <v>Ajuste</v>
          </cell>
          <cell r="X1381">
            <v>6</v>
          </cell>
          <cell r="Y1381">
            <v>12</v>
          </cell>
        </row>
        <row r="1382">
          <cell r="U1382" t="str">
            <v>L103853</v>
          </cell>
          <cell r="V1382" t="str">
            <v>PAN 2kg</v>
          </cell>
          <cell r="W1382" t="str">
            <v>Ajuste</v>
          </cell>
          <cell r="X1382">
            <v>22</v>
          </cell>
          <cell r="Y1382">
            <v>44</v>
          </cell>
        </row>
        <row r="1383">
          <cell r="U1383" t="str">
            <v>L103856</v>
          </cell>
          <cell r="V1383" t="str">
            <v>PAN 2kg</v>
          </cell>
          <cell r="W1383" t="str">
            <v>Ajuste</v>
          </cell>
          <cell r="X1383">
            <v>12</v>
          </cell>
          <cell r="Y1383">
            <v>24</v>
          </cell>
        </row>
        <row r="1384">
          <cell r="U1384" t="str">
            <v>L103865</v>
          </cell>
          <cell r="V1384" t="str">
            <v>PAN 2kg</v>
          </cell>
          <cell r="W1384" t="str">
            <v>Ajuste</v>
          </cell>
          <cell r="X1384">
            <v>10</v>
          </cell>
          <cell r="Y1384">
            <v>20</v>
          </cell>
        </row>
        <row r="1385">
          <cell r="U1385" t="str">
            <v>L103901</v>
          </cell>
          <cell r="V1385" t="str">
            <v>PAN 2kg</v>
          </cell>
          <cell r="W1385" t="str">
            <v>Ajuste</v>
          </cell>
          <cell r="X1385">
            <v>12</v>
          </cell>
          <cell r="Y1385">
            <v>24</v>
          </cell>
        </row>
        <row r="1386">
          <cell r="U1386" t="str">
            <v>L103958</v>
          </cell>
          <cell r="V1386" t="str">
            <v>PAN 2kg</v>
          </cell>
          <cell r="W1386" t="str">
            <v>Ajuste</v>
          </cell>
          <cell r="X1386">
            <v>2</v>
          </cell>
          <cell r="Y1386">
            <v>4</v>
          </cell>
        </row>
        <row r="1387">
          <cell r="U1387" t="str">
            <v>L104002</v>
          </cell>
          <cell r="V1387" t="str">
            <v>PAN 2kg</v>
          </cell>
          <cell r="W1387" t="str">
            <v>Ajuste</v>
          </cell>
          <cell r="X1387">
            <v>30</v>
          </cell>
          <cell r="Y1387">
            <v>60</v>
          </cell>
        </row>
        <row r="1388">
          <cell r="U1388" t="str">
            <v>L104017</v>
          </cell>
          <cell r="V1388" t="str">
            <v>PAN 2kg</v>
          </cell>
          <cell r="W1388" t="str">
            <v>Ajuste</v>
          </cell>
          <cell r="X1388">
            <v>28</v>
          </cell>
          <cell r="Y1388">
            <v>56</v>
          </cell>
        </row>
        <row r="1389">
          <cell r="U1389" t="str">
            <v>L104024</v>
          </cell>
          <cell r="V1389" t="str">
            <v>PAN 2kg</v>
          </cell>
          <cell r="W1389" t="str">
            <v>Ajuste</v>
          </cell>
          <cell r="X1389">
            <v>2</v>
          </cell>
          <cell r="Y1389">
            <v>4</v>
          </cell>
        </row>
        <row r="1390">
          <cell r="U1390" t="str">
            <v>L104110</v>
          </cell>
          <cell r="V1390" t="str">
            <v>PAN 2kg</v>
          </cell>
          <cell r="W1390" t="str">
            <v>Ajuste</v>
          </cell>
          <cell r="X1390">
            <v>10</v>
          </cell>
          <cell r="Y1390">
            <v>20</v>
          </cell>
        </row>
        <row r="1391">
          <cell r="U1391" t="str">
            <v>L104117</v>
          </cell>
          <cell r="V1391" t="str">
            <v>PAN 2kg</v>
          </cell>
          <cell r="W1391" t="str">
            <v>Ajuste</v>
          </cell>
          <cell r="X1391">
            <v>4</v>
          </cell>
          <cell r="Y1391">
            <v>8</v>
          </cell>
        </row>
        <row r="1392">
          <cell r="U1392" t="str">
            <v>L104172</v>
          </cell>
          <cell r="V1392" t="str">
            <v>PAN 2kg</v>
          </cell>
          <cell r="W1392" t="str">
            <v>Ajuste</v>
          </cell>
          <cell r="X1392">
            <v>2</v>
          </cell>
          <cell r="Y1392">
            <v>4</v>
          </cell>
        </row>
        <row r="1393">
          <cell r="U1393" t="str">
            <v>L104177</v>
          </cell>
          <cell r="V1393" t="str">
            <v>PAN 2kg</v>
          </cell>
          <cell r="W1393" t="str">
            <v>Ajuste</v>
          </cell>
          <cell r="X1393">
            <v>6</v>
          </cell>
          <cell r="Y1393">
            <v>12</v>
          </cell>
        </row>
        <row r="1394">
          <cell r="U1394" t="str">
            <v>L104226</v>
          </cell>
          <cell r="V1394" t="str">
            <v>PAN 2kg</v>
          </cell>
          <cell r="W1394" t="str">
            <v>Ajuste</v>
          </cell>
          <cell r="X1394">
            <v>4</v>
          </cell>
          <cell r="Y1394">
            <v>8</v>
          </cell>
        </row>
        <row r="1395">
          <cell r="U1395" t="str">
            <v>L104231</v>
          </cell>
          <cell r="V1395" t="str">
            <v>PAN 2kg</v>
          </cell>
          <cell r="W1395" t="str">
            <v>Ajuste</v>
          </cell>
          <cell r="X1395">
            <v>6</v>
          </cell>
          <cell r="Y1395">
            <v>12</v>
          </cell>
        </row>
        <row r="1396">
          <cell r="U1396" t="str">
            <v>L104342</v>
          </cell>
          <cell r="V1396" t="str">
            <v>PAN 2kg</v>
          </cell>
          <cell r="W1396" t="str">
            <v>Ajuste</v>
          </cell>
          <cell r="X1396">
            <v>4</v>
          </cell>
          <cell r="Y1396">
            <v>8</v>
          </cell>
        </row>
        <row r="1397">
          <cell r="U1397" t="str">
            <v>L104347</v>
          </cell>
          <cell r="V1397" t="str">
            <v>PAN 2kg</v>
          </cell>
          <cell r="W1397" t="str">
            <v>Ajuste</v>
          </cell>
          <cell r="X1397">
            <v>8</v>
          </cell>
          <cell r="Y1397">
            <v>16</v>
          </cell>
        </row>
        <row r="1398">
          <cell r="U1398" t="str">
            <v>L104383</v>
          </cell>
          <cell r="V1398" t="str">
            <v>PAN 2kg</v>
          </cell>
          <cell r="W1398" t="str">
            <v>Ajuste</v>
          </cell>
          <cell r="X1398">
            <v>10</v>
          </cell>
          <cell r="Y1398">
            <v>20</v>
          </cell>
        </row>
        <row r="1399">
          <cell r="U1399" t="str">
            <v>L104411</v>
          </cell>
          <cell r="V1399" t="str">
            <v>PAN 2kg</v>
          </cell>
          <cell r="W1399" t="str">
            <v>Ajuste</v>
          </cell>
          <cell r="X1399">
            <v>24</v>
          </cell>
          <cell r="Y1399">
            <v>48</v>
          </cell>
        </row>
        <row r="1400">
          <cell r="U1400" t="str">
            <v>L104424</v>
          </cell>
          <cell r="V1400" t="str">
            <v>PAN 2kg</v>
          </cell>
          <cell r="W1400" t="str">
            <v>Ajuste</v>
          </cell>
          <cell r="X1400">
            <v>14</v>
          </cell>
          <cell r="Y1400">
            <v>28</v>
          </cell>
        </row>
        <row r="1401">
          <cell r="U1401" t="str">
            <v>L104445</v>
          </cell>
          <cell r="V1401" t="str">
            <v>PAN 2kg</v>
          </cell>
          <cell r="W1401" t="str">
            <v>Ajuste</v>
          </cell>
          <cell r="X1401">
            <v>2</v>
          </cell>
          <cell r="Y1401">
            <v>4</v>
          </cell>
        </row>
        <row r="1402">
          <cell r="U1402" t="str">
            <v>L104446</v>
          </cell>
          <cell r="V1402" t="str">
            <v>PAN 2kg</v>
          </cell>
          <cell r="W1402" t="str">
            <v>Ajuste</v>
          </cell>
          <cell r="X1402">
            <v>34</v>
          </cell>
          <cell r="Y1402">
            <v>68</v>
          </cell>
        </row>
        <row r="1403">
          <cell r="U1403" t="str">
            <v>L104448</v>
          </cell>
          <cell r="V1403" t="str">
            <v>PAN 2kg</v>
          </cell>
          <cell r="W1403" t="str">
            <v>Ajuste</v>
          </cell>
          <cell r="X1403">
            <v>2</v>
          </cell>
          <cell r="Y1403">
            <v>4</v>
          </cell>
        </row>
        <row r="1404">
          <cell r="U1404" t="str">
            <v>L104485</v>
          </cell>
          <cell r="V1404" t="str">
            <v>PAN 2kg</v>
          </cell>
          <cell r="W1404" t="str">
            <v>Ajuste</v>
          </cell>
          <cell r="X1404">
            <v>10</v>
          </cell>
          <cell r="Y1404">
            <v>20</v>
          </cell>
        </row>
        <row r="1405">
          <cell r="U1405" t="str">
            <v>L104490</v>
          </cell>
          <cell r="V1405" t="str">
            <v>PAN 2kg</v>
          </cell>
          <cell r="W1405" t="str">
            <v>Ajuste</v>
          </cell>
          <cell r="X1405">
            <v>2</v>
          </cell>
          <cell r="Y1405">
            <v>4</v>
          </cell>
        </row>
        <row r="1406">
          <cell r="U1406" t="str">
            <v>L104493</v>
          </cell>
          <cell r="V1406" t="str">
            <v>PAN 2kg</v>
          </cell>
          <cell r="W1406" t="str">
            <v>Ajuste</v>
          </cell>
          <cell r="X1406">
            <v>14</v>
          </cell>
          <cell r="Y1406">
            <v>28</v>
          </cell>
        </row>
        <row r="1407">
          <cell r="U1407" t="str">
            <v>L104500</v>
          </cell>
          <cell r="V1407" t="str">
            <v>PAN 2kg</v>
          </cell>
          <cell r="W1407" t="str">
            <v>Ajuste</v>
          </cell>
          <cell r="X1407">
            <v>8</v>
          </cell>
          <cell r="Y1407">
            <v>16</v>
          </cell>
        </row>
        <row r="1408">
          <cell r="U1408" t="str">
            <v>L104536</v>
          </cell>
          <cell r="V1408" t="str">
            <v>PAN 2kg</v>
          </cell>
          <cell r="W1408" t="str">
            <v>Ajuste</v>
          </cell>
          <cell r="X1408">
            <v>10</v>
          </cell>
          <cell r="Y1408">
            <v>20</v>
          </cell>
        </row>
        <row r="1409">
          <cell r="U1409" t="str">
            <v>L104537</v>
          </cell>
          <cell r="V1409" t="str">
            <v>PAN 2kg</v>
          </cell>
          <cell r="W1409" t="str">
            <v>Ajuste</v>
          </cell>
          <cell r="X1409">
            <v>2</v>
          </cell>
          <cell r="Y1409">
            <v>4</v>
          </cell>
        </row>
        <row r="1410">
          <cell r="U1410" t="str">
            <v>L104692</v>
          </cell>
          <cell r="V1410" t="str">
            <v>PAN 2kg</v>
          </cell>
          <cell r="W1410" t="str">
            <v>Ajuste</v>
          </cell>
          <cell r="X1410">
            <v>64</v>
          </cell>
          <cell r="Y1410">
            <v>128</v>
          </cell>
        </row>
        <row r="1411">
          <cell r="U1411" t="str">
            <v>L103957</v>
          </cell>
          <cell r="V1411" t="str">
            <v>PAN 5kg-CAJA</v>
          </cell>
          <cell r="W1411" t="str">
            <v>Ajuste</v>
          </cell>
          <cell r="X1411">
            <v>8</v>
          </cell>
          <cell r="Y1411">
            <v>40</v>
          </cell>
        </row>
        <row r="1412">
          <cell r="U1412" t="str">
            <v>L104759</v>
          </cell>
          <cell r="V1412" t="str">
            <v>PAPSZD 1kg</v>
          </cell>
          <cell r="W1412" t="str">
            <v>Ajuste</v>
          </cell>
          <cell r="X1412">
            <v>900</v>
          </cell>
          <cell r="Y1412">
            <v>900</v>
          </cell>
        </row>
        <row r="1413">
          <cell r="U1413" t="str">
            <v>L103795</v>
          </cell>
          <cell r="V1413" t="str">
            <v>PASTV 2kg</v>
          </cell>
          <cell r="W1413" t="str">
            <v>Ajuste</v>
          </cell>
          <cell r="X1413">
            <v>10</v>
          </cell>
          <cell r="Y1413">
            <v>20</v>
          </cell>
        </row>
        <row r="1414">
          <cell r="U1414" t="str">
            <v>L103809</v>
          </cell>
          <cell r="V1414" t="str">
            <v>PASTV 2kg</v>
          </cell>
          <cell r="W1414" t="str">
            <v>Ajuste</v>
          </cell>
          <cell r="X1414">
            <v>24</v>
          </cell>
          <cell r="Y1414">
            <v>48</v>
          </cell>
        </row>
        <row r="1415">
          <cell r="U1415" t="str">
            <v>L103854</v>
          </cell>
          <cell r="V1415" t="str">
            <v>PASTV 2kg</v>
          </cell>
          <cell r="W1415" t="str">
            <v>Ajuste</v>
          </cell>
          <cell r="X1415">
            <v>18</v>
          </cell>
          <cell r="Y1415">
            <v>36</v>
          </cell>
        </row>
        <row r="1416">
          <cell r="U1416" t="str">
            <v>L103857</v>
          </cell>
          <cell r="V1416" t="str">
            <v>PASTV 2kg</v>
          </cell>
          <cell r="W1416" t="str">
            <v>Ajuste</v>
          </cell>
          <cell r="X1416">
            <v>14</v>
          </cell>
          <cell r="Y1416">
            <v>28</v>
          </cell>
        </row>
        <row r="1417">
          <cell r="U1417" t="str">
            <v>L103866</v>
          </cell>
          <cell r="V1417" t="str">
            <v>PASTV 2kg</v>
          </cell>
          <cell r="W1417" t="str">
            <v>Ajuste</v>
          </cell>
          <cell r="X1417">
            <v>2</v>
          </cell>
          <cell r="Y1417">
            <v>4</v>
          </cell>
        </row>
        <row r="1418">
          <cell r="U1418" t="str">
            <v>L103902</v>
          </cell>
          <cell r="V1418" t="str">
            <v>PASTV 2kg</v>
          </cell>
          <cell r="W1418" t="str">
            <v>Ajuste</v>
          </cell>
          <cell r="X1418">
            <v>8</v>
          </cell>
          <cell r="Y1418">
            <v>16</v>
          </cell>
        </row>
        <row r="1419">
          <cell r="U1419" t="str">
            <v>L103911</v>
          </cell>
          <cell r="V1419" t="str">
            <v>PASTV 2kg</v>
          </cell>
          <cell r="W1419" t="str">
            <v>Ajuste</v>
          </cell>
          <cell r="X1419">
            <v>2</v>
          </cell>
          <cell r="Y1419">
            <v>4</v>
          </cell>
        </row>
        <row r="1420">
          <cell r="U1420" t="str">
            <v>L104009</v>
          </cell>
          <cell r="V1420" t="str">
            <v>PASTV 2kg</v>
          </cell>
          <cell r="W1420" t="str">
            <v>Ajuste</v>
          </cell>
          <cell r="X1420">
            <v>20</v>
          </cell>
          <cell r="Y1420">
            <v>40</v>
          </cell>
        </row>
        <row r="1421">
          <cell r="U1421" t="str">
            <v>L104026</v>
          </cell>
          <cell r="V1421" t="str">
            <v>PASTV 2kg</v>
          </cell>
          <cell r="W1421" t="str">
            <v>Ajuste</v>
          </cell>
          <cell r="X1421">
            <v>6</v>
          </cell>
          <cell r="Y1421">
            <v>12</v>
          </cell>
        </row>
        <row r="1422">
          <cell r="U1422" t="str">
            <v>L104104</v>
          </cell>
          <cell r="V1422" t="str">
            <v>PASTV 2kg</v>
          </cell>
          <cell r="W1422" t="str">
            <v>Ajuste</v>
          </cell>
          <cell r="X1422">
            <v>10</v>
          </cell>
          <cell r="Y1422">
            <v>20</v>
          </cell>
        </row>
        <row r="1423">
          <cell r="U1423" t="str">
            <v>L104109</v>
          </cell>
          <cell r="V1423" t="str">
            <v>PASTV 2kg</v>
          </cell>
          <cell r="W1423" t="str">
            <v>Ajuste</v>
          </cell>
          <cell r="X1423">
            <v>14</v>
          </cell>
          <cell r="Y1423">
            <v>28</v>
          </cell>
        </row>
        <row r="1424">
          <cell r="U1424" t="str">
            <v>L104116</v>
          </cell>
          <cell r="V1424" t="str">
            <v>PASTV 2kg</v>
          </cell>
          <cell r="W1424" t="str">
            <v>Ajuste</v>
          </cell>
          <cell r="X1424">
            <v>40</v>
          </cell>
          <cell r="Y1424">
            <v>80</v>
          </cell>
        </row>
        <row r="1425">
          <cell r="U1425" t="str">
            <v>L104171</v>
          </cell>
          <cell r="V1425" t="str">
            <v>PASTV 2kg</v>
          </cell>
          <cell r="W1425" t="str">
            <v>Ajuste</v>
          </cell>
          <cell r="X1425">
            <v>14</v>
          </cell>
          <cell r="Y1425">
            <v>28</v>
          </cell>
        </row>
        <row r="1426">
          <cell r="U1426" t="str">
            <v>L104173</v>
          </cell>
          <cell r="V1426" t="str">
            <v>PASTV 2kg</v>
          </cell>
          <cell r="W1426" t="str">
            <v>Ajuste</v>
          </cell>
          <cell r="X1426">
            <v>40</v>
          </cell>
          <cell r="Y1426">
            <v>80</v>
          </cell>
        </row>
        <row r="1427">
          <cell r="U1427" t="str">
            <v>L104176</v>
          </cell>
          <cell r="V1427" t="str">
            <v>PASTV 2kg</v>
          </cell>
          <cell r="W1427" t="str">
            <v>Ajuste</v>
          </cell>
          <cell r="X1427">
            <v>14</v>
          </cell>
          <cell r="Y1427">
            <v>28</v>
          </cell>
        </row>
        <row r="1428">
          <cell r="U1428" t="str">
            <v>L104225</v>
          </cell>
          <cell r="V1428" t="str">
            <v>PASTV 2kg</v>
          </cell>
          <cell r="W1428" t="str">
            <v>Ajuste</v>
          </cell>
          <cell r="X1428">
            <v>6</v>
          </cell>
          <cell r="Y1428">
            <v>12</v>
          </cell>
        </row>
        <row r="1429">
          <cell r="U1429" t="str">
            <v>L104230</v>
          </cell>
          <cell r="V1429" t="str">
            <v>PASTV 2kg</v>
          </cell>
          <cell r="W1429" t="str">
            <v>Ajuste</v>
          </cell>
          <cell r="X1429">
            <v>16</v>
          </cell>
          <cell r="Y1429">
            <v>32</v>
          </cell>
        </row>
        <row r="1430">
          <cell r="U1430" t="str">
            <v>L104345</v>
          </cell>
          <cell r="V1430" t="str">
            <v>PASTV 2kg</v>
          </cell>
          <cell r="W1430" t="str">
            <v>Ajuste</v>
          </cell>
          <cell r="X1430">
            <v>6</v>
          </cell>
          <cell r="Y1430">
            <v>12</v>
          </cell>
        </row>
        <row r="1431">
          <cell r="U1431" t="str">
            <v>L104384</v>
          </cell>
          <cell r="V1431" t="str">
            <v>PASTV 2kg</v>
          </cell>
          <cell r="W1431" t="str">
            <v>Ajuste</v>
          </cell>
          <cell r="X1431">
            <v>12</v>
          </cell>
          <cell r="Y1431">
            <v>24</v>
          </cell>
        </row>
        <row r="1432">
          <cell r="U1432" t="str">
            <v>L104414</v>
          </cell>
          <cell r="V1432" t="str">
            <v>PASTV 2kg</v>
          </cell>
          <cell r="W1432" t="str">
            <v>Ajuste</v>
          </cell>
          <cell r="X1432">
            <v>34</v>
          </cell>
          <cell r="Y1432">
            <v>68</v>
          </cell>
        </row>
        <row r="1433">
          <cell r="U1433" t="str">
            <v>L104423</v>
          </cell>
          <cell r="V1433" t="str">
            <v>PASTV 2kg</v>
          </cell>
          <cell r="W1433" t="str">
            <v>Ajuste</v>
          </cell>
          <cell r="X1433">
            <v>26</v>
          </cell>
          <cell r="Y1433">
            <v>52</v>
          </cell>
        </row>
        <row r="1434">
          <cell r="U1434" t="str">
            <v>L104441</v>
          </cell>
          <cell r="V1434" t="str">
            <v>PASTV 2kg</v>
          </cell>
          <cell r="W1434" t="str">
            <v>Ajuste</v>
          </cell>
          <cell r="X1434">
            <v>34</v>
          </cell>
          <cell r="Y1434">
            <v>68</v>
          </cell>
        </row>
        <row r="1435">
          <cell r="U1435" t="str">
            <v>L104442</v>
          </cell>
          <cell r="V1435" t="str">
            <v>PASTV 2kg</v>
          </cell>
          <cell r="W1435" t="str">
            <v>Ajuste</v>
          </cell>
          <cell r="X1435">
            <v>74</v>
          </cell>
          <cell r="Y1435">
            <v>148</v>
          </cell>
        </row>
        <row r="1436">
          <cell r="U1436" t="str">
            <v>L104444</v>
          </cell>
          <cell r="V1436" t="str">
            <v>PASTV 2kg</v>
          </cell>
          <cell r="W1436" t="str">
            <v>Ajuste</v>
          </cell>
          <cell r="X1436">
            <v>30</v>
          </cell>
          <cell r="Y1436">
            <v>60</v>
          </cell>
        </row>
        <row r="1437">
          <cell r="U1437" t="str">
            <v>L104484</v>
          </cell>
          <cell r="V1437" t="str">
            <v>PASTV 2kg</v>
          </cell>
          <cell r="W1437" t="str">
            <v>Ajuste</v>
          </cell>
          <cell r="X1437">
            <v>30</v>
          </cell>
          <cell r="Y1437">
            <v>60</v>
          </cell>
        </row>
        <row r="1438">
          <cell r="U1438" t="str">
            <v>L104491</v>
          </cell>
          <cell r="V1438" t="str">
            <v>PASTV 2kg</v>
          </cell>
          <cell r="W1438" t="str">
            <v>Ajuste</v>
          </cell>
          <cell r="X1438">
            <v>2</v>
          </cell>
          <cell r="Y1438">
            <v>4</v>
          </cell>
        </row>
        <row r="1439">
          <cell r="U1439" t="str">
            <v>L104499</v>
          </cell>
          <cell r="V1439" t="str">
            <v>PASTV 2kg</v>
          </cell>
          <cell r="W1439" t="str">
            <v>Ajuste</v>
          </cell>
          <cell r="X1439">
            <v>20</v>
          </cell>
          <cell r="Y1439">
            <v>40</v>
          </cell>
        </row>
        <row r="1440">
          <cell r="U1440" t="str">
            <v>L104675</v>
          </cell>
          <cell r="V1440" t="str">
            <v>PASTV 2kg</v>
          </cell>
          <cell r="W1440" t="str">
            <v>Ajuste</v>
          </cell>
          <cell r="X1440">
            <v>20</v>
          </cell>
          <cell r="Y1440">
            <v>40</v>
          </cell>
        </row>
        <row r="1441">
          <cell r="U1441" t="str">
            <v>L104684</v>
          </cell>
          <cell r="V1441" t="str">
            <v>PASTV 2kg</v>
          </cell>
          <cell r="W1441" t="str">
            <v>Ajuste</v>
          </cell>
          <cell r="X1441">
            <v>40</v>
          </cell>
          <cell r="Y1441">
            <v>80</v>
          </cell>
        </row>
        <row r="1442">
          <cell r="U1442" t="str">
            <v>L104709</v>
          </cell>
          <cell r="V1442" t="str">
            <v>PASTV 2kg</v>
          </cell>
          <cell r="W1442" t="str">
            <v>Ajuste</v>
          </cell>
          <cell r="X1442">
            <v>2</v>
          </cell>
          <cell r="Y1442">
            <v>4</v>
          </cell>
        </row>
        <row r="1443">
          <cell r="U1443" t="str">
            <v>L104715</v>
          </cell>
          <cell r="V1443" t="str">
            <v>PASTV 2kg</v>
          </cell>
          <cell r="W1443" t="str">
            <v>Ajuste</v>
          </cell>
          <cell r="X1443">
            <v>20</v>
          </cell>
          <cell r="Y1443">
            <v>40</v>
          </cell>
        </row>
        <row r="1444">
          <cell r="U1444" t="str">
            <v>L104720</v>
          </cell>
          <cell r="V1444" t="str">
            <v>PASTV 2kg</v>
          </cell>
          <cell r="W1444" t="str">
            <v>Ajuste</v>
          </cell>
          <cell r="X1444">
            <v>14</v>
          </cell>
          <cell r="Y1444">
            <v>28</v>
          </cell>
        </row>
        <row r="1445">
          <cell r="U1445" t="str">
            <v>l104733</v>
          </cell>
          <cell r="V1445" t="str">
            <v>PASTV 3kg</v>
          </cell>
          <cell r="W1445" t="str">
            <v>Ajuste</v>
          </cell>
          <cell r="X1445">
            <v>12</v>
          </cell>
          <cell r="Y1445">
            <v>36</v>
          </cell>
        </row>
        <row r="1446">
          <cell r="U1446" t="str">
            <v>l104733</v>
          </cell>
          <cell r="V1446" t="str">
            <v>PASTVGT 1kg</v>
          </cell>
          <cell r="W1446" t="str">
            <v>Ajuste</v>
          </cell>
          <cell r="X1446">
            <v>6</v>
          </cell>
          <cell r="Y1446">
            <v>6</v>
          </cell>
        </row>
        <row r="1447">
          <cell r="U1447" t="str">
            <v>L103796</v>
          </cell>
          <cell r="V1447" t="str">
            <v>PASTV 3kg</v>
          </cell>
          <cell r="W1447" t="str">
            <v>Ajuste</v>
          </cell>
          <cell r="X1447">
            <v>14</v>
          </cell>
          <cell r="Y1447">
            <v>42</v>
          </cell>
        </row>
        <row r="1448">
          <cell r="U1448" t="str">
            <v>L103811</v>
          </cell>
          <cell r="V1448" t="str">
            <v>PASTV 3kg</v>
          </cell>
          <cell r="W1448" t="str">
            <v>Ajuste</v>
          </cell>
          <cell r="X1448">
            <v>38</v>
          </cell>
          <cell r="Y1448">
            <v>114</v>
          </cell>
        </row>
        <row r="1449">
          <cell r="U1449" t="str">
            <v>L103855</v>
          </cell>
          <cell r="V1449" t="str">
            <v>PASTV 3kg</v>
          </cell>
          <cell r="W1449" t="str">
            <v>Ajuste</v>
          </cell>
          <cell r="X1449">
            <v>52</v>
          </cell>
          <cell r="Y1449">
            <v>156</v>
          </cell>
        </row>
        <row r="1450">
          <cell r="U1450" t="str">
            <v>L103858</v>
          </cell>
          <cell r="V1450" t="str">
            <v>PASTV 3kg</v>
          </cell>
          <cell r="W1450" t="str">
            <v>Ajuste</v>
          </cell>
          <cell r="X1450">
            <v>8</v>
          </cell>
          <cell r="Y1450">
            <v>24</v>
          </cell>
        </row>
        <row r="1451">
          <cell r="U1451" t="str">
            <v>L103864</v>
          </cell>
          <cell r="V1451" t="str">
            <v>PASTV 3kg</v>
          </cell>
          <cell r="W1451" t="str">
            <v>Ajuste</v>
          </cell>
          <cell r="X1451">
            <v>22</v>
          </cell>
          <cell r="Y1451">
            <v>66</v>
          </cell>
        </row>
        <row r="1452">
          <cell r="U1452" t="str">
            <v>L103903</v>
          </cell>
          <cell r="V1452" t="str">
            <v>PASTV 3kg</v>
          </cell>
          <cell r="W1452" t="str">
            <v>Ajuste</v>
          </cell>
          <cell r="X1452">
            <v>10</v>
          </cell>
          <cell r="Y1452">
            <v>30</v>
          </cell>
        </row>
        <row r="1453">
          <cell r="U1453" t="str">
            <v>L104008</v>
          </cell>
          <cell r="V1453" t="str">
            <v>PASTV 3kg</v>
          </cell>
          <cell r="W1453" t="str">
            <v>Ajuste</v>
          </cell>
          <cell r="X1453">
            <v>2</v>
          </cell>
          <cell r="Y1453">
            <v>6</v>
          </cell>
        </row>
        <row r="1454">
          <cell r="U1454" t="str">
            <v>L104025</v>
          </cell>
          <cell r="V1454" t="str">
            <v>PASTV 3kg</v>
          </cell>
          <cell r="W1454" t="str">
            <v>Ajuste</v>
          </cell>
          <cell r="X1454">
            <v>22</v>
          </cell>
          <cell r="Y1454">
            <v>66</v>
          </cell>
        </row>
        <row r="1455">
          <cell r="U1455" t="str">
            <v>L104103</v>
          </cell>
          <cell r="V1455" t="str">
            <v>PASTV 3kg</v>
          </cell>
          <cell r="W1455" t="str">
            <v>Ajuste</v>
          </cell>
          <cell r="X1455">
            <v>22</v>
          </cell>
          <cell r="Y1455">
            <v>66</v>
          </cell>
        </row>
        <row r="1456">
          <cell r="U1456" t="str">
            <v>L104108</v>
          </cell>
          <cell r="V1456" t="str">
            <v>PASTV 3kg</v>
          </cell>
          <cell r="W1456" t="str">
            <v>Ajuste</v>
          </cell>
          <cell r="X1456">
            <v>22</v>
          </cell>
          <cell r="Y1456">
            <v>66</v>
          </cell>
        </row>
        <row r="1457">
          <cell r="U1457" t="str">
            <v>L104115</v>
          </cell>
          <cell r="V1457" t="str">
            <v>PASTV 3kg</v>
          </cell>
          <cell r="W1457" t="str">
            <v>Ajuste</v>
          </cell>
          <cell r="X1457">
            <v>20</v>
          </cell>
          <cell r="Y1457">
            <v>60</v>
          </cell>
        </row>
        <row r="1458">
          <cell r="U1458" t="str">
            <v>L104170</v>
          </cell>
          <cell r="V1458" t="str">
            <v>PASTV 3kg</v>
          </cell>
          <cell r="W1458" t="str">
            <v>Ajuste</v>
          </cell>
          <cell r="X1458">
            <v>6</v>
          </cell>
          <cell r="Y1458">
            <v>18</v>
          </cell>
        </row>
        <row r="1459">
          <cell r="U1459" t="str">
            <v>L104175</v>
          </cell>
          <cell r="V1459" t="str">
            <v>PASTV 3kg</v>
          </cell>
          <cell r="W1459" t="str">
            <v>Ajuste</v>
          </cell>
          <cell r="X1459">
            <v>34</v>
          </cell>
          <cell r="Y1459">
            <v>102</v>
          </cell>
        </row>
        <row r="1460">
          <cell r="U1460" t="str">
            <v>L104224</v>
          </cell>
          <cell r="V1460" t="str">
            <v>PASTV 3kg</v>
          </cell>
          <cell r="W1460" t="str">
            <v>Ajuste</v>
          </cell>
          <cell r="X1460">
            <v>12</v>
          </cell>
          <cell r="Y1460">
            <v>36</v>
          </cell>
        </row>
        <row r="1461">
          <cell r="U1461" t="str">
            <v>L104229</v>
          </cell>
          <cell r="V1461" t="str">
            <v>PASTV 3kg</v>
          </cell>
          <cell r="W1461" t="str">
            <v>Ajuste</v>
          </cell>
          <cell r="X1461">
            <v>54</v>
          </cell>
          <cell r="Y1461">
            <v>162</v>
          </cell>
        </row>
        <row r="1462">
          <cell r="U1462" t="str">
            <v>L104343</v>
          </cell>
          <cell r="V1462" t="str">
            <v>PASTV 3kg</v>
          </cell>
          <cell r="W1462" t="str">
            <v>Ajuste</v>
          </cell>
          <cell r="X1462">
            <v>14</v>
          </cell>
          <cell r="Y1462">
            <v>42</v>
          </cell>
        </row>
        <row r="1463">
          <cell r="U1463" t="str">
            <v>L104344</v>
          </cell>
          <cell r="V1463" t="str">
            <v>PASTV 3kg</v>
          </cell>
          <cell r="W1463" t="str">
            <v>Ajuste</v>
          </cell>
          <cell r="X1463">
            <v>32</v>
          </cell>
          <cell r="Y1463">
            <v>96</v>
          </cell>
        </row>
        <row r="1464">
          <cell r="U1464" t="str">
            <v>L104382</v>
          </cell>
          <cell r="V1464" t="str">
            <v>PASTV 3kg</v>
          </cell>
          <cell r="W1464" t="str">
            <v>Ajuste</v>
          </cell>
          <cell r="X1464">
            <v>38</v>
          </cell>
          <cell r="Y1464">
            <v>114</v>
          </cell>
        </row>
        <row r="1465">
          <cell r="U1465" t="str">
            <v>L104413</v>
          </cell>
          <cell r="V1465" t="str">
            <v>PASTV 3kg</v>
          </cell>
          <cell r="W1465" t="str">
            <v>Ajuste</v>
          </cell>
          <cell r="X1465">
            <v>10</v>
          </cell>
          <cell r="Y1465">
            <v>30</v>
          </cell>
        </row>
        <row r="1466">
          <cell r="U1466" t="str">
            <v>L104422</v>
          </cell>
          <cell r="V1466" t="str">
            <v>PASTV 3kg</v>
          </cell>
          <cell r="W1466" t="str">
            <v>Ajuste</v>
          </cell>
          <cell r="X1466">
            <v>12</v>
          </cell>
          <cell r="Y1466">
            <v>36</v>
          </cell>
        </row>
        <row r="1467">
          <cell r="U1467" t="str">
            <v>L104443</v>
          </cell>
          <cell r="V1467" t="str">
            <v>PASTV 3kg</v>
          </cell>
          <cell r="W1467" t="str">
            <v>Ajuste</v>
          </cell>
          <cell r="X1467">
            <v>20</v>
          </cell>
          <cell r="Y1467">
            <v>60</v>
          </cell>
        </row>
        <row r="1468">
          <cell r="U1468" t="str">
            <v>L104483</v>
          </cell>
          <cell r="V1468" t="str">
            <v>PASTV 3kg</v>
          </cell>
          <cell r="W1468" t="str">
            <v>Ajuste</v>
          </cell>
          <cell r="X1468">
            <v>16</v>
          </cell>
          <cell r="Y1468">
            <v>48</v>
          </cell>
        </row>
        <row r="1469">
          <cell r="U1469" t="str">
            <v>L104498</v>
          </cell>
          <cell r="V1469" t="str">
            <v>PASTV 3kg</v>
          </cell>
          <cell r="W1469" t="str">
            <v>Ajuste</v>
          </cell>
          <cell r="X1469">
            <v>12</v>
          </cell>
          <cell r="Y1469">
            <v>36</v>
          </cell>
        </row>
        <row r="1470">
          <cell r="U1470" t="str">
            <v>L104007</v>
          </cell>
          <cell r="V1470" t="str">
            <v>PASTV 4kg</v>
          </cell>
          <cell r="W1470" t="str">
            <v>Ajuste</v>
          </cell>
          <cell r="X1470">
            <v>6</v>
          </cell>
          <cell r="Y1470">
            <v>24</v>
          </cell>
        </row>
        <row r="1471">
          <cell r="U1471" t="str">
            <v>L104114</v>
          </cell>
          <cell r="V1471" t="str">
            <v>PASTV 4kg</v>
          </cell>
          <cell r="W1471" t="str">
            <v>Ajuste</v>
          </cell>
          <cell r="X1471">
            <v>4</v>
          </cell>
          <cell r="Y1471">
            <v>16</v>
          </cell>
        </row>
        <row r="1472">
          <cell r="U1472" t="str">
            <v>L104346</v>
          </cell>
          <cell r="V1472" t="str">
            <v>PASTV 4kg</v>
          </cell>
          <cell r="W1472" t="str">
            <v>Ajuste</v>
          </cell>
          <cell r="X1472">
            <v>2</v>
          </cell>
          <cell r="Y1472">
            <v>8</v>
          </cell>
        </row>
        <row r="1473">
          <cell r="U1473" t="str">
            <v>L104440</v>
          </cell>
          <cell r="V1473" t="str">
            <v>PASTV 4kg</v>
          </cell>
          <cell r="W1473" t="str">
            <v>Ajuste</v>
          </cell>
          <cell r="X1473">
            <v>2</v>
          </cell>
          <cell r="Y1473">
            <v>8</v>
          </cell>
        </row>
        <row r="1474">
          <cell r="U1474" t="str">
            <v>L104258</v>
          </cell>
          <cell r="V1474" t="str">
            <v>PASTVGT 2kg</v>
          </cell>
          <cell r="W1474" t="str">
            <v>Ajuste</v>
          </cell>
          <cell r="X1474">
            <v>4</v>
          </cell>
          <cell r="Y1474">
            <v>8</v>
          </cell>
        </row>
        <row r="1475">
          <cell r="U1475" t="str">
            <v>L104482</v>
          </cell>
          <cell r="V1475" t="str">
            <v>PASTVGT 2kg</v>
          </cell>
          <cell r="W1475" t="str">
            <v>Ajuste</v>
          </cell>
          <cell r="X1475">
            <v>2</v>
          </cell>
          <cell r="Y1475">
            <v>4</v>
          </cell>
        </row>
        <row r="1476">
          <cell r="U1476" t="str">
            <v>L104338</v>
          </cell>
          <cell r="V1476" t="str">
            <v>PCDP 13 Kg Bolsa</v>
          </cell>
          <cell r="W1476" t="str">
            <v>Ajuste</v>
          </cell>
          <cell r="X1476">
            <v>2</v>
          </cell>
          <cell r="Y1476">
            <v>26</v>
          </cell>
        </row>
        <row r="1477">
          <cell r="U1477" t="str">
            <v>L103805</v>
          </cell>
          <cell r="V1477" t="str">
            <v>PCK 2kg - CAJA</v>
          </cell>
          <cell r="W1477" t="str">
            <v>Ajuste</v>
          </cell>
          <cell r="X1477">
            <v>12</v>
          </cell>
          <cell r="Y1477">
            <v>24</v>
          </cell>
        </row>
        <row r="1478">
          <cell r="U1478" t="str">
            <v>L104055</v>
          </cell>
          <cell r="V1478" t="str">
            <v>PCK 2kg - CAJA</v>
          </cell>
          <cell r="W1478" t="str">
            <v>Ajuste</v>
          </cell>
          <cell r="X1478">
            <v>4</v>
          </cell>
          <cell r="Y1478">
            <v>8</v>
          </cell>
        </row>
        <row r="1479">
          <cell r="U1479" t="str">
            <v>L104056</v>
          </cell>
          <cell r="V1479" t="str">
            <v>PCK 2kg - CAJA</v>
          </cell>
          <cell r="W1479" t="str">
            <v>Ajuste</v>
          </cell>
          <cell r="X1479">
            <v>6</v>
          </cell>
          <cell r="Y1479">
            <v>12</v>
          </cell>
        </row>
        <row r="1480">
          <cell r="U1480" t="str">
            <v>L104408</v>
          </cell>
          <cell r="V1480" t="str">
            <v>PCK 2kg - CAJA</v>
          </cell>
          <cell r="W1480" t="str">
            <v>Ajuste</v>
          </cell>
          <cell r="X1480">
            <v>12</v>
          </cell>
          <cell r="Y1480">
            <v>24</v>
          </cell>
        </row>
        <row r="1481">
          <cell r="U1481" t="str">
            <v>L104410</v>
          </cell>
          <cell r="V1481" t="str">
            <v>PCK 2kg - CAJA</v>
          </cell>
          <cell r="W1481" t="str">
            <v>Ajuste</v>
          </cell>
          <cell r="X1481">
            <v>2</v>
          </cell>
          <cell r="Y1481">
            <v>4</v>
          </cell>
        </row>
        <row r="1482">
          <cell r="U1482" t="str">
            <v>L104599</v>
          </cell>
          <cell r="V1482" t="str">
            <v>PCK 2kg - CAJA</v>
          </cell>
          <cell r="W1482" t="str">
            <v>Ajuste</v>
          </cell>
          <cell r="X1482">
            <v>4</v>
          </cell>
          <cell r="Y1482">
            <v>8</v>
          </cell>
        </row>
        <row r="1483">
          <cell r="U1483" t="str">
            <v>L104736</v>
          </cell>
          <cell r="V1483" t="str">
            <v>PCK 2kg - CAJA</v>
          </cell>
          <cell r="W1483" t="str">
            <v>Ajuste</v>
          </cell>
          <cell r="X1483">
            <v>4</v>
          </cell>
          <cell r="Y1483">
            <v>8</v>
          </cell>
        </row>
        <row r="1484">
          <cell r="U1484" t="str">
            <v>L104818</v>
          </cell>
          <cell r="V1484" t="str">
            <v>PCK 2kg - CAJA</v>
          </cell>
          <cell r="W1484" t="str">
            <v>Ajuste</v>
          </cell>
          <cell r="X1484">
            <v>2</v>
          </cell>
          <cell r="Y1484">
            <v>4</v>
          </cell>
        </row>
        <row r="1485">
          <cell r="U1485" t="str">
            <v>L104013</v>
          </cell>
          <cell r="V1485" t="str">
            <v>PFC 2KG - BOLSA</v>
          </cell>
          <cell r="W1485" t="str">
            <v>Ajuste</v>
          </cell>
          <cell r="X1485">
            <v>112</v>
          </cell>
          <cell r="Y1485">
            <v>224</v>
          </cell>
        </row>
        <row r="1486">
          <cell r="U1486" t="str">
            <v>L103815</v>
          </cell>
          <cell r="V1486" t="str">
            <v>PFC 2KG - BOLSA</v>
          </cell>
          <cell r="W1486" t="str">
            <v>Ajuste</v>
          </cell>
          <cell r="X1486">
            <v>92</v>
          </cell>
          <cell r="Y1486">
            <v>184</v>
          </cell>
        </row>
        <row r="1487">
          <cell r="U1487" t="str">
            <v>L103829</v>
          </cell>
          <cell r="V1487" t="str">
            <v>PFC 2KG - BOLSA</v>
          </cell>
          <cell r="W1487" t="str">
            <v>Ajuste</v>
          </cell>
          <cell r="X1487">
            <v>52</v>
          </cell>
          <cell r="Y1487">
            <v>104</v>
          </cell>
        </row>
        <row r="1488">
          <cell r="U1488" t="str">
            <v>L103912</v>
          </cell>
          <cell r="V1488" t="str">
            <v>PFC 2KG - BOLSA</v>
          </cell>
          <cell r="W1488" t="str">
            <v>Ajuste</v>
          </cell>
          <cell r="X1488">
            <v>50</v>
          </cell>
          <cell r="Y1488">
            <v>100</v>
          </cell>
        </row>
        <row r="1489">
          <cell r="U1489" t="str">
            <v>L104329</v>
          </cell>
          <cell r="V1489" t="str">
            <v>PFC 2KG - BOLSA</v>
          </cell>
          <cell r="W1489" t="str">
            <v>Ajuste</v>
          </cell>
          <cell r="X1489">
            <v>100</v>
          </cell>
          <cell r="Y1489">
            <v>200</v>
          </cell>
        </row>
        <row r="1490">
          <cell r="U1490" t="str">
            <v>L104690</v>
          </cell>
          <cell r="V1490" t="str">
            <v>PFC 2KG - BOLSA</v>
          </cell>
          <cell r="W1490" t="str">
            <v>Ajuste</v>
          </cell>
          <cell r="X1490">
            <v>80</v>
          </cell>
          <cell r="Y1490">
            <v>160</v>
          </cell>
        </row>
        <row r="1491">
          <cell r="U1491" t="str">
            <v>L103816</v>
          </cell>
          <cell r="V1491" t="str">
            <v>PFC 3KG - CAJA</v>
          </cell>
          <cell r="W1491" t="str">
            <v>Ajuste</v>
          </cell>
          <cell r="X1491">
            <v>2</v>
          </cell>
          <cell r="Y1491">
            <v>6</v>
          </cell>
        </row>
        <row r="1492">
          <cell r="U1492" t="str">
            <v>L103830</v>
          </cell>
          <cell r="V1492" t="str">
            <v>PFC 3KG - CAJA</v>
          </cell>
          <cell r="W1492" t="str">
            <v>Ajuste</v>
          </cell>
          <cell r="X1492">
            <v>2</v>
          </cell>
          <cell r="Y1492">
            <v>6</v>
          </cell>
        </row>
        <row r="1493">
          <cell r="U1493" t="str">
            <v>L103913</v>
          </cell>
          <cell r="V1493" t="str">
            <v>PFC 3KG - CAJA</v>
          </cell>
          <cell r="W1493" t="str">
            <v>Ajuste</v>
          </cell>
          <cell r="X1493">
            <v>2</v>
          </cell>
          <cell r="Y1493">
            <v>6</v>
          </cell>
        </row>
        <row r="1494">
          <cell r="U1494" t="str">
            <v>L104330</v>
          </cell>
          <cell r="V1494" t="str">
            <v>PFC 3KG - CAJA</v>
          </cell>
          <cell r="W1494" t="str">
            <v>Ajuste</v>
          </cell>
          <cell r="X1494">
            <v>2</v>
          </cell>
          <cell r="Y1494">
            <v>6</v>
          </cell>
        </row>
        <row r="1495">
          <cell r="U1495" t="str">
            <v>L104691</v>
          </cell>
          <cell r="V1495" t="str">
            <v>PFC 3KG - CAJA</v>
          </cell>
          <cell r="W1495" t="str">
            <v>Ajuste</v>
          </cell>
          <cell r="X1495">
            <v>2</v>
          </cell>
          <cell r="Y1495">
            <v>6</v>
          </cell>
        </row>
        <row r="1496">
          <cell r="U1496" t="str">
            <v>L104113</v>
          </cell>
          <cell r="V1496" t="str">
            <v>PFC 5KG - CAJA</v>
          </cell>
          <cell r="W1496" t="str">
            <v>Ajuste</v>
          </cell>
          <cell r="X1496">
            <v>2</v>
          </cell>
          <cell r="Y1496">
            <v>10</v>
          </cell>
        </row>
        <row r="1497">
          <cell r="U1497" t="str">
            <v>L103843</v>
          </cell>
          <cell r="V1497" t="str">
            <v>PH 1kg</v>
          </cell>
          <cell r="W1497" t="str">
            <v>Ajuste</v>
          </cell>
          <cell r="X1497">
            <v>10</v>
          </cell>
          <cell r="Y1497">
            <v>10</v>
          </cell>
        </row>
        <row r="1498">
          <cell r="U1498" t="str">
            <v>L104155</v>
          </cell>
          <cell r="V1498" t="str">
            <v>PH 1kg</v>
          </cell>
          <cell r="W1498" t="str">
            <v>Ajuste</v>
          </cell>
          <cell r="X1498">
            <v>14</v>
          </cell>
          <cell r="Y1498">
            <v>14</v>
          </cell>
        </row>
        <row r="1499">
          <cell r="U1499" t="str">
            <v>L104219</v>
          </cell>
          <cell r="V1499" t="str">
            <v>PH 1kg</v>
          </cell>
          <cell r="W1499" t="str">
            <v>Ajuste</v>
          </cell>
          <cell r="X1499">
            <v>10</v>
          </cell>
          <cell r="Y1499">
            <v>10</v>
          </cell>
        </row>
        <row r="1500">
          <cell r="U1500" t="str">
            <v>L104761</v>
          </cell>
          <cell r="V1500" t="str">
            <v>PH 1kg</v>
          </cell>
          <cell r="W1500" t="str">
            <v>Ajuste</v>
          </cell>
          <cell r="X1500">
            <v>24</v>
          </cell>
          <cell r="Y1500">
            <v>24</v>
          </cell>
        </row>
        <row r="1501">
          <cell r="U1501" t="str">
            <v>L103846</v>
          </cell>
          <cell r="V1501" t="str">
            <v>PMP 1kg-CAJA</v>
          </cell>
          <cell r="W1501" t="str">
            <v>Ajuste</v>
          </cell>
          <cell r="X1501">
            <v>4</v>
          </cell>
          <cell r="Y1501">
            <v>4</v>
          </cell>
        </row>
        <row r="1502">
          <cell r="U1502" t="str">
            <v>L104227</v>
          </cell>
          <cell r="V1502" t="str">
            <v>PMP 1kg-CAJA</v>
          </cell>
          <cell r="W1502" t="str">
            <v>Ajuste</v>
          </cell>
          <cell r="X1502">
            <v>10</v>
          </cell>
          <cell r="Y1502">
            <v>10</v>
          </cell>
        </row>
        <row r="1503">
          <cell r="U1503" t="str">
            <v>L104762</v>
          </cell>
          <cell r="V1503" t="str">
            <v>PMP 1kg-CAJA</v>
          </cell>
          <cell r="W1503" t="str">
            <v>Ajuste</v>
          </cell>
          <cell r="X1503">
            <v>10</v>
          </cell>
          <cell r="Y1503">
            <v>10</v>
          </cell>
        </row>
        <row r="1504">
          <cell r="U1504" t="str">
            <v>L104832</v>
          </cell>
          <cell r="V1504" t="str">
            <v>PNA 1kg-CAJA</v>
          </cell>
          <cell r="W1504" t="str">
            <v>Ajuste</v>
          </cell>
          <cell r="X1504">
            <v>16</v>
          </cell>
          <cell r="Y1504">
            <v>16</v>
          </cell>
        </row>
        <row r="1505">
          <cell r="U1505" t="str">
            <v>L104044</v>
          </cell>
          <cell r="V1505" t="str">
            <v>PNALT 5kg</v>
          </cell>
          <cell r="W1505" t="str">
            <v>Ajuste</v>
          </cell>
          <cell r="X1505">
            <v>4</v>
          </cell>
          <cell r="Y1505">
            <v>20</v>
          </cell>
        </row>
        <row r="1506">
          <cell r="U1506" t="str">
            <v>L104568</v>
          </cell>
          <cell r="V1506" t="str">
            <v>PNALT 5kg</v>
          </cell>
          <cell r="W1506" t="str">
            <v>Ajuste</v>
          </cell>
          <cell r="X1506">
            <v>4</v>
          </cell>
          <cell r="Y1506">
            <v>20</v>
          </cell>
        </row>
        <row r="1507">
          <cell r="U1507" t="str">
            <v>L104582</v>
          </cell>
          <cell r="V1507" t="str">
            <v>PNALT 5kg</v>
          </cell>
          <cell r="W1507" t="str">
            <v>Ajuste</v>
          </cell>
          <cell r="X1507">
            <v>1</v>
          </cell>
          <cell r="Y1507">
            <v>5</v>
          </cell>
        </row>
        <row r="1508">
          <cell r="U1508" t="str">
            <v>L104636</v>
          </cell>
          <cell r="V1508" t="str">
            <v>PNALT 5kg</v>
          </cell>
          <cell r="W1508" t="str">
            <v>Ajuste</v>
          </cell>
          <cell r="X1508">
            <v>6</v>
          </cell>
          <cell r="Y1508">
            <v>30</v>
          </cell>
        </row>
        <row r="1509">
          <cell r="U1509" t="str">
            <v>L104813</v>
          </cell>
          <cell r="V1509" t="str">
            <v>PNALT 5kg</v>
          </cell>
          <cell r="W1509" t="str">
            <v>Ajuste</v>
          </cell>
          <cell r="X1509">
            <v>2</v>
          </cell>
          <cell r="Y1509">
            <v>10</v>
          </cell>
        </row>
        <row r="1510">
          <cell r="U1510" t="str">
            <v>L104848</v>
          </cell>
          <cell r="V1510" t="str">
            <v>PNALT 5kg</v>
          </cell>
          <cell r="W1510" t="str">
            <v>Ajuste</v>
          </cell>
          <cell r="X1510">
            <v>2</v>
          </cell>
          <cell r="Y1510">
            <v>10</v>
          </cell>
        </row>
        <row r="1511">
          <cell r="U1511" t="str">
            <v>L104014</v>
          </cell>
          <cell r="V1511" t="str">
            <v>PNCH HUV 946ml</v>
          </cell>
          <cell r="W1511" t="str">
            <v>Ajuste</v>
          </cell>
          <cell r="X1511">
            <v>32</v>
          </cell>
          <cell r="Y1511">
            <v>30.399999999999991</v>
          </cell>
        </row>
        <row r="1512">
          <cell r="U1512" t="str">
            <v>L104433</v>
          </cell>
          <cell r="V1512" t="str">
            <v>PNCH HUV 946ml</v>
          </cell>
          <cell r="W1512" t="str">
            <v>Ajuste</v>
          </cell>
          <cell r="X1512">
            <v>20</v>
          </cell>
          <cell r="Y1512">
            <v>19</v>
          </cell>
        </row>
        <row r="1513">
          <cell r="U1513" t="str">
            <v>L103849</v>
          </cell>
          <cell r="V1513" t="str">
            <v>PPA 3kg-Paquete</v>
          </cell>
          <cell r="W1513" t="str">
            <v>Ajuste</v>
          </cell>
          <cell r="X1513">
            <v>4</v>
          </cell>
          <cell r="Y1513">
            <v>12</v>
          </cell>
        </row>
        <row r="1514">
          <cell r="U1514" t="str">
            <v>L103863</v>
          </cell>
          <cell r="V1514" t="str">
            <v>PRTZ UND</v>
          </cell>
          <cell r="W1514" t="str">
            <v>Ajuste</v>
          </cell>
          <cell r="X1514">
            <v>28</v>
          </cell>
          <cell r="Y1514">
            <v>28</v>
          </cell>
        </row>
        <row r="1515">
          <cell r="U1515" t="str">
            <v>L103900</v>
          </cell>
          <cell r="V1515" t="str">
            <v>PRTZ UND</v>
          </cell>
          <cell r="W1515" t="str">
            <v>Ajuste</v>
          </cell>
          <cell r="X1515">
            <v>12</v>
          </cell>
          <cell r="Y1515">
            <v>12</v>
          </cell>
        </row>
        <row r="1516">
          <cell r="U1516" t="str">
            <v>L104006</v>
          </cell>
          <cell r="V1516" t="str">
            <v>PRTZ UND</v>
          </cell>
          <cell r="W1516" t="str">
            <v>Ajuste</v>
          </cell>
          <cell r="X1516">
            <v>54</v>
          </cell>
          <cell r="Y1516">
            <v>54</v>
          </cell>
        </row>
        <row r="1517">
          <cell r="U1517" t="str">
            <v>L104088</v>
          </cell>
          <cell r="V1517" t="str">
            <v>PRTZ UND</v>
          </cell>
          <cell r="W1517" t="str">
            <v>Ajuste</v>
          </cell>
          <cell r="X1517">
            <v>16</v>
          </cell>
          <cell r="Y1517">
            <v>16</v>
          </cell>
        </row>
        <row r="1518">
          <cell r="U1518" t="str">
            <v>L104169</v>
          </cell>
          <cell r="V1518" t="str">
            <v>PRTZ UND</v>
          </cell>
          <cell r="W1518" t="str">
            <v>Ajuste</v>
          </cell>
          <cell r="X1518">
            <v>18</v>
          </cell>
          <cell r="Y1518">
            <v>18</v>
          </cell>
        </row>
        <row r="1519">
          <cell r="U1519" t="str">
            <v>L104174</v>
          </cell>
          <cell r="V1519" t="str">
            <v>PRTZ UND</v>
          </cell>
          <cell r="W1519" t="str">
            <v>Ajuste</v>
          </cell>
          <cell r="X1519">
            <v>62</v>
          </cell>
          <cell r="Y1519">
            <v>62</v>
          </cell>
        </row>
        <row r="1520">
          <cell r="U1520" t="str">
            <v>L104223</v>
          </cell>
          <cell r="V1520" t="str">
            <v>PRTZ UND</v>
          </cell>
          <cell r="W1520" t="str">
            <v>Ajuste</v>
          </cell>
          <cell r="X1520">
            <v>22</v>
          </cell>
          <cell r="Y1520">
            <v>22</v>
          </cell>
        </row>
        <row r="1521">
          <cell r="U1521" t="str">
            <v>L104420</v>
          </cell>
          <cell r="V1521" t="str">
            <v>PRTZ UND</v>
          </cell>
          <cell r="W1521" t="str">
            <v>Ajuste</v>
          </cell>
          <cell r="X1521">
            <v>38</v>
          </cell>
          <cell r="Y1521">
            <v>38</v>
          </cell>
        </row>
        <row r="1522">
          <cell r="U1522" t="str">
            <v>L104486</v>
          </cell>
          <cell r="V1522" t="str">
            <v>PRTZ UND</v>
          </cell>
          <cell r="W1522" t="str">
            <v>Ajuste</v>
          </cell>
          <cell r="X1522">
            <v>32</v>
          </cell>
          <cell r="Y1522">
            <v>32</v>
          </cell>
        </row>
        <row r="1523">
          <cell r="U1523" t="str">
            <v>L104494</v>
          </cell>
          <cell r="V1523" t="str">
            <v>PRTZ UND</v>
          </cell>
          <cell r="W1523" t="str">
            <v>Ajuste</v>
          </cell>
          <cell r="X1523">
            <v>16</v>
          </cell>
          <cell r="Y1523">
            <v>16</v>
          </cell>
        </row>
        <row r="1524">
          <cell r="U1524" t="str">
            <v>L104674</v>
          </cell>
          <cell r="V1524" t="str">
            <v>PRTZ UND</v>
          </cell>
          <cell r="W1524" t="str">
            <v>Ajuste</v>
          </cell>
          <cell r="X1524">
            <v>6</v>
          </cell>
          <cell r="Y1524">
            <v>6</v>
          </cell>
        </row>
        <row r="1525">
          <cell r="U1525" t="str">
            <v>L104682</v>
          </cell>
          <cell r="V1525" t="str">
            <v>PRTZ UND</v>
          </cell>
          <cell r="W1525" t="str">
            <v>Ajuste</v>
          </cell>
          <cell r="X1525">
            <v>18</v>
          </cell>
          <cell r="Y1525">
            <v>18</v>
          </cell>
        </row>
        <row r="1526">
          <cell r="U1526" t="str">
            <v>L104781</v>
          </cell>
          <cell r="V1526" t="str">
            <v>PRTZ UND</v>
          </cell>
          <cell r="W1526" t="str">
            <v>Ajuste</v>
          </cell>
          <cell r="X1526">
            <v>36</v>
          </cell>
          <cell r="Y1526">
            <v>36</v>
          </cell>
        </row>
        <row r="1527">
          <cell r="U1527" t="str">
            <v>L104785</v>
          </cell>
          <cell r="V1527" t="str">
            <v>PRTZ UND</v>
          </cell>
          <cell r="W1527" t="str">
            <v>Ajuste</v>
          </cell>
          <cell r="X1527">
            <v>20</v>
          </cell>
          <cell r="Y1527">
            <v>20</v>
          </cell>
        </row>
        <row r="1528">
          <cell r="U1528" t="str">
            <v>L104827</v>
          </cell>
          <cell r="V1528" t="str">
            <v>PRTZ UND</v>
          </cell>
          <cell r="W1528" t="str">
            <v>Ajuste</v>
          </cell>
          <cell r="X1528">
            <v>24</v>
          </cell>
          <cell r="Y1528">
            <v>24</v>
          </cell>
        </row>
        <row r="1529">
          <cell r="U1529" t="str">
            <v>L104835</v>
          </cell>
          <cell r="V1529" t="str">
            <v>PRTZ UND</v>
          </cell>
          <cell r="W1529" t="str">
            <v>Ajuste</v>
          </cell>
          <cell r="X1529">
            <v>14</v>
          </cell>
          <cell r="Y1529">
            <v>14</v>
          </cell>
        </row>
        <row r="1530">
          <cell r="U1530" t="str">
            <v>L104695</v>
          </cell>
          <cell r="V1530" t="str">
            <v>PRTZ UND</v>
          </cell>
          <cell r="W1530" t="str">
            <v>Ajuste</v>
          </cell>
          <cell r="X1530">
            <v>9</v>
          </cell>
          <cell r="Y1530">
            <v>9</v>
          </cell>
        </row>
        <row r="1531">
          <cell r="U1531" t="str">
            <v>L103882</v>
          </cell>
          <cell r="V1531" t="str">
            <v>PTD 1 kg</v>
          </cell>
          <cell r="W1531" t="str">
            <v>Ajuste</v>
          </cell>
          <cell r="X1531">
            <v>156</v>
          </cell>
          <cell r="Y1531">
            <v>156</v>
          </cell>
        </row>
        <row r="1532">
          <cell r="U1532" t="str">
            <v>L103884</v>
          </cell>
          <cell r="V1532" t="str">
            <v>PTD 1 kg</v>
          </cell>
          <cell r="W1532" t="str">
            <v>Ajuste</v>
          </cell>
          <cell r="X1532">
            <v>24</v>
          </cell>
          <cell r="Y1532">
            <v>24</v>
          </cell>
        </row>
        <row r="1533">
          <cell r="U1533" t="str">
            <v>L103886</v>
          </cell>
          <cell r="V1533" t="str">
            <v>PTD 1 kg</v>
          </cell>
          <cell r="W1533" t="str">
            <v>Ajuste</v>
          </cell>
          <cell r="X1533">
            <v>12</v>
          </cell>
          <cell r="Y1533">
            <v>12</v>
          </cell>
        </row>
        <row r="1534">
          <cell r="U1534" t="str">
            <v>L103925</v>
          </cell>
          <cell r="V1534" t="str">
            <v>PTD 1 kg</v>
          </cell>
          <cell r="W1534" t="str">
            <v>Ajuste</v>
          </cell>
          <cell r="X1534">
            <v>48</v>
          </cell>
          <cell r="Y1534">
            <v>48</v>
          </cell>
        </row>
        <row r="1535">
          <cell r="U1535" t="str">
            <v>L103928</v>
          </cell>
          <cell r="V1535" t="str">
            <v>PTD 1 kg</v>
          </cell>
          <cell r="W1535" t="str">
            <v>Ajuste</v>
          </cell>
          <cell r="X1535">
            <v>46</v>
          </cell>
          <cell r="Y1535">
            <v>46</v>
          </cell>
        </row>
        <row r="1536">
          <cell r="U1536" t="str">
            <v>L103929</v>
          </cell>
          <cell r="V1536" t="str">
            <v>PTD 1 kg</v>
          </cell>
          <cell r="W1536" t="str">
            <v>Ajuste</v>
          </cell>
          <cell r="X1536">
            <v>12</v>
          </cell>
          <cell r="Y1536">
            <v>12</v>
          </cell>
        </row>
        <row r="1537">
          <cell r="U1537" t="str">
            <v>L103930</v>
          </cell>
          <cell r="V1537" t="str">
            <v>PTD 1 kg</v>
          </cell>
          <cell r="W1537" t="str">
            <v>Ajuste</v>
          </cell>
          <cell r="X1537">
            <v>12</v>
          </cell>
          <cell r="Y1537">
            <v>12</v>
          </cell>
        </row>
        <row r="1538">
          <cell r="U1538" t="str">
            <v>L103953</v>
          </cell>
          <cell r="V1538" t="str">
            <v>PTD 1 kg</v>
          </cell>
          <cell r="W1538" t="str">
            <v>Ajuste</v>
          </cell>
          <cell r="X1538">
            <v>24</v>
          </cell>
          <cell r="Y1538">
            <v>24</v>
          </cell>
        </row>
        <row r="1539">
          <cell r="U1539" t="str">
            <v>L104243</v>
          </cell>
          <cell r="V1539" t="str">
            <v>PTD 1 kg</v>
          </cell>
          <cell r="W1539" t="str">
            <v>Ajuste</v>
          </cell>
          <cell r="X1539">
            <v>48</v>
          </cell>
          <cell r="Y1539">
            <v>48</v>
          </cell>
        </row>
        <row r="1540">
          <cell r="U1540" t="str">
            <v>L104360</v>
          </cell>
          <cell r="V1540" t="str">
            <v>PTD 1 kg</v>
          </cell>
          <cell r="W1540" t="str">
            <v>Ajuste</v>
          </cell>
          <cell r="X1540">
            <v>24</v>
          </cell>
          <cell r="Y1540">
            <v>24</v>
          </cell>
        </row>
        <row r="1541">
          <cell r="U1541" t="str">
            <v>L104361</v>
          </cell>
          <cell r="V1541" t="str">
            <v>PTD 1 kg</v>
          </cell>
          <cell r="W1541" t="str">
            <v>Ajuste</v>
          </cell>
          <cell r="X1541">
            <v>30</v>
          </cell>
          <cell r="Y1541">
            <v>30</v>
          </cell>
        </row>
        <row r="1542">
          <cell r="U1542" t="str">
            <v>L104362</v>
          </cell>
          <cell r="V1542" t="str">
            <v>PTD 1 kg</v>
          </cell>
          <cell r="W1542" t="str">
            <v>Ajuste</v>
          </cell>
          <cell r="X1542">
            <v>24</v>
          </cell>
          <cell r="Y1542">
            <v>24</v>
          </cell>
        </row>
        <row r="1543">
          <cell r="U1543" t="str">
            <v>L103883</v>
          </cell>
          <cell r="V1543" t="str">
            <v>PTD 2 kg</v>
          </cell>
          <cell r="W1543" t="str">
            <v>Ajuste</v>
          </cell>
          <cell r="X1543">
            <v>12</v>
          </cell>
          <cell r="Y1543">
            <v>24</v>
          </cell>
        </row>
        <row r="1544">
          <cell r="U1544" t="str">
            <v>L103885</v>
          </cell>
          <cell r="V1544" t="str">
            <v>PTD 2 kg</v>
          </cell>
          <cell r="W1544" t="str">
            <v>Ajuste</v>
          </cell>
          <cell r="X1544">
            <v>12</v>
          </cell>
          <cell r="Y1544">
            <v>24</v>
          </cell>
        </row>
        <row r="1545">
          <cell r="U1545" t="str">
            <v>L103926</v>
          </cell>
          <cell r="V1545" t="str">
            <v>PTD 2 kg</v>
          </cell>
          <cell r="W1545" t="str">
            <v>Ajuste</v>
          </cell>
          <cell r="X1545">
            <v>12</v>
          </cell>
          <cell r="Y1545">
            <v>24</v>
          </cell>
        </row>
        <row r="1546">
          <cell r="U1546" t="str">
            <v>L103927</v>
          </cell>
          <cell r="V1546" t="str">
            <v>PTD 2 kg</v>
          </cell>
          <cell r="W1546" t="str">
            <v>Ajuste</v>
          </cell>
          <cell r="X1546">
            <v>12</v>
          </cell>
          <cell r="Y1546">
            <v>24</v>
          </cell>
        </row>
        <row r="1547">
          <cell r="U1547" t="str">
            <v>L103931</v>
          </cell>
          <cell r="V1547" t="str">
            <v>PTD 2 kg</v>
          </cell>
          <cell r="W1547" t="str">
            <v>Ajuste</v>
          </cell>
          <cell r="X1547">
            <v>36</v>
          </cell>
          <cell r="Y1547">
            <v>72</v>
          </cell>
        </row>
        <row r="1548">
          <cell r="U1548" t="str">
            <v>L103952</v>
          </cell>
          <cell r="V1548" t="str">
            <v>PTD 2 kg</v>
          </cell>
          <cell r="W1548" t="str">
            <v>Ajuste</v>
          </cell>
          <cell r="X1548">
            <v>24</v>
          </cell>
          <cell r="Y1548">
            <v>48</v>
          </cell>
        </row>
        <row r="1549">
          <cell r="U1549" t="str">
            <v>L104241</v>
          </cell>
          <cell r="V1549" t="str">
            <v>PTD 2 kg</v>
          </cell>
          <cell r="W1549" t="str">
            <v>Ajuste</v>
          </cell>
          <cell r="X1549">
            <v>28</v>
          </cell>
          <cell r="Y1549">
            <v>56</v>
          </cell>
        </row>
        <row r="1550">
          <cell r="U1550" t="str">
            <v>L104297</v>
          </cell>
          <cell r="V1550" t="str">
            <v>PTD 2 kg</v>
          </cell>
          <cell r="W1550" t="str">
            <v>Ajuste</v>
          </cell>
          <cell r="X1550">
            <v>564</v>
          </cell>
          <cell r="Y1550">
            <v>1128</v>
          </cell>
        </row>
        <row r="1551">
          <cell r="U1551" t="str">
            <v>L104297</v>
          </cell>
          <cell r="V1551" t="str">
            <v>PV PTD 2 kg</v>
          </cell>
          <cell r="W1551" t="str">
            <v>Ajuste</v>
          </cell>
          <cell r="X1551">
            <v>308</v>
          </cell>
          <cell r="Y1551">
            <v>616</v>
          </cell>
        </row>
        <row r="1552">
          <cell r="U1552" t="str">
            <v>L104606</v>
          </cell>
          <cell r="V1552" t="str">
            <v>PTD 2 kg</v>
          </cell>
          <cell r="W1552" t="str">
            <v>Ajuste</v>
          </cell>
          <cell r="X1552">
            <v>4</v>
          </cell>
          <cell r="Y1552">
            <v>8</v>
          </cell>
        </row>
        <row r="1553">
          <cell r="U1553" t="str">
            <v>L104094</v>
          </cell>
          <cell r="V1553" t="str">
            <v>PTM -3kg- Caja</v>
          </cell>
          <cell r="W1553" t="str">
            <v>Ajuste</v>
          </cell>
          <cell r="X1553">
            <v>2</v>
          </cell>
          <cell r="Y1553">
            <v>6</v>
          </cell>
        </row>
        <row r="1554">
          <cell r="U1554" t="str">
            <v>L104405</v>
          </cell>
          <cell r="V1554" t="str">
            <v>PTM -3kg- Caja</v>
          </cell>
          <cell r="W1554" t="str">
            <v>Ajuste</v>
          </cell>
          <cell r="X1554">
            <v>16</v>
          </cell>
          <cell r="Y1554">
            <v>48</v>
          </cell>
        </row>
        <row r="1555">
          <cell r="U1555" t="str">
            <v>L103844</v>
          </cell>
          <cell r="V1555" t="str">
            <v>PTO 1kg</v>
          </cell>
          <cell r="W1555" t="str">
            <v>Ajuste</v>
          </cell>
          <cell r="X1555">
            <v>2</v>
          </cell>
          <cell r="Y1555">
            <v>2</v>
          </cell>
        </row>
        <row r="1556">
          <cell r="U1556" t="str">
            <v>L104220</v>
          </cell>
          <cell r="V1556" t="str">
            <v>PTO 1kg</v>
          </cell>
          <cell r="W1556" t="str">
            <v>Ajuste</v>
          </cell>
          <cell r="X1556">
            <v>4</v>
          </cell>
          <cell r="Y1556">
            <v>4</v>
          </cell>
        </row>
        <row r="1557">
          <cell r="U1557" t="str">
            <v>L103991</v>
          </cell>
          <cell r="V1557" t="str">
            <v>PTV 16 a 22kg</v>
          </cell>
          <cell r="W1557" t="str">
            <v>Ajuste</v>
          </cell>
          <cell r="X1557">
            <v>430</v>
          </cell>
          <cell r="Y1557">
            <v>8170</v>
          </cell>
        </row>
        <row r="1558">
          <cell r="U1558" t="str">
            <v>L103991</v>
          </cell>
          <cell r="V1558" t="str">
            <v>DIV PTV 16 a 22kg</v>
          </cell>
          <cell r="W1558" t="str">
            <v>Ajuste</v>
          </cell>
          <cell r="X1558">
            <v>32</v>
          </cell>
          <cell r="Y1558">
            <v>608</v>
          </cell>
        </row>
        <row r="1559">
          <cell r="U1559" t="str">
            <v>L103991</v>
          </cell>
          <cell r="V1559" t="str">
            <v>PV PTV 16 a 22kg</v>
          </cell>
          <cell r="W1559" t="str">
            <v>Ajuste</v>
          </cell>
          <cell r="X1559">
            <v>263</v>
          </cell>
          <cell r="Y1559">
            <v>4997</v>
          </cell>
        </row>
        <row r="1560">
          <cell r="U1560" t="str">
            <v>L104741</v>
          </cell>
          <cell r="V1560" t="str">
            <v>PTV 2kg</v>
          </cell>
          <cell r="W1560" t="str">
            <v>Ajuste</v>
          </cell>
          <cell r="X1560">
            <v>2</v>
          </cell>
          <cell r="Y1560">
            <v>4</v>
          </cell>
        </row>
        <row r="1561">
          <cell r="U1561" t="str">
            <v>L104265</v>
          </cell>
          <cell r="V1561" t="str">
            <v>PTV 5kg</v>
          </cell>
          <cell r="W1561" t="str">
            <v>Ajuste</v>
          </cell>
          <cell r="X1561">
            <v>794</v>
          </cell>
          <cell r="Y1561">
            <v>3970</v>
          </cell>
        </row>
        <row r="1562">
          <cell r="U1562" t="str">
            <v>L104706</v>
          </cell>
          <cell r="V1562" t="str">
            <v>PV ARZ 5Kg</v>
          </cell>
          <cell r="W1562" t="str">
            <v>Ajuste</v>
          </cell>
          <cell r="X1562">
            <v>136</v>
          </cell>
          <cell r="Y1562">
            <v>680</v>
          </cell>
        </row>
        <row r="1563">
          <cell r="U1563" t="str">
            <v>L104634</v>
          </cell>
          <cell r="V1563" t="str">
            <v>PV CRV 1kg</v>
          </cell>
          <cell r="W1563" t="str">
            <v>Ajuste</v>
          </cell>
          <cell r="X1563">
            <v>4</v>
          </cell>
          <cell r="Y1563">
            <v>4</v>
          </cell>
        </row>
        <row r="1564">
          <cell r="U1564" t="str">
            <v>L104913</v>
          </cell>
          <cell r="V1564" t="str">
            <v>PV GTA 2kg-CAJA</v>
          </cell>
          <cell r="W1564" t="str">
            <v>Ajuste</v>
          </cell>
          <cell r="X1564">
            <v>10</v>
          </cell>
          <cell r="Y1564">
            <v>20</v>
          </cell>
        </row>
        <row r="1565">
          <cell r="U1565" t="str">
            <v>PB2026-1</v>
          </cell>
          <cell r="V1565" t="str">
            <v>PV MZL 3kg</v>
          </cell>
          <cell r="W1565" t="str">
            <v>Ajuste</v>
          </cell>
          <cell r="X1565">
            <v>2</v>
          </cell>
          <cell r="Y1565">
            <v>0</v>
          </cell>
        </row>
        <row r="1566">
          <cell r="U1566" t="str">
            <v>L104676</v>
          </cell>
          <cell r="V1566" t="str">
            <v>PV PAN 2kg</v>
          </cell>
          <cell r="W1566" t="str">
            <v>Ajuste</v>
          </cell>
          <cell r="X1566">
            <v>2</v>
          </cell>
          <cell r="Y1566">
            <v>4</v>
          </cell>
        </row>
        <row r="1567">
          <cell r="U1567" t="str">
            <v>L104685</v>
          </cell>
          <cell r="V1567" t="str">
            <v>PV PAN 2kg</v>
          </cell>
          <cell r="W1567" t="str">
            <v>Ajuste</v>
          </cell>
          <cell r="X1567">
            <v>10</v>
          </cell>
          <cell r="Y1567">
            <v>20</v>
          </cell>
        </row>
        <row r="1568">
          <cell r="U1568" t="str">
            <v>L104710</v>
          </cell>
          <cell r="V1568" t="str">
            <v>PV PAN 2kg</v>
          </cell>
          <cell r="W1568" t="str">
            <v>Ajuste</v>
          </cell>
          <cell r="X1568">
            <v>4</v>
          </cell>
          <cell r="Y1568">
            <v>8</v>
          </cell>
        </row>
        <row r="1569">
          <cell r="U1569" t="str">
            <v>L104717</v>
          </cell>
          <cell r="V1569" t="str">
            <v>PV PAN 2kg</v>
          </cell>
          <cell r="W1569" t="str">
            <v>Ajuste</v>
          </cell>
          <cell r="X1569">
            <v>6</v>
          </cell>
          <cell r="Y1569">
            <v>12</v>
          </cell>
        </row>
        <row r="1570">
          <cell r="U1570" t="str">
            <v>L104722</v>
          </cell>
          <cell r="V1570" t="str">
            <v>PV PAN 2kg</v>
          </cell>
          <cell r="W1570" t="str">
            <v>Ajuste</v>
          </cell>
          <cell r="X1570">
            <v>6</v>
          </cell>
          <cell r="Y1570">
            <v>12</v>
          </cell>
        </row>
        <row r="1571">
          <cell r="U1571" t="str">
            <v>L104776</v>
          </cell>
          <cell r="V1571" t="str">
            <v>PV PAN 2kg</v>
          </cell>
          <cell r="W1571" t="str">
            <v>Ajuste</v>
          </cell>
          <cell r="X1571">
            <v>10</v>
          </cell>
          <cell r="Y1571">
            <v>20</v>
          </cell>
        </row>
        <row r="1572">
          <cell r="U1572" t="str">
            <v>L104793</v>
          </cell>
          <cell r="V1572" t="str">
            <v>PV PAN 2kg</v>
          </cell>
          <cell r="W1572" t="str">
            <v>Ajuste</v>
          </cell>
          <cell r="X1572">
            <v>30</v>
          </cell>
          <cell r="Y1572">
            <v>60</v>
          </cell>
        </row>
        <row r="1573">
          <cell r="U1573" t="str">
            <v>L104826</v>
          </cell>
          <cell r="V1573" t="str">
            <v>PV PAN 2kg</v>
          </cell>
          <cell r="W1573" t="str">
            <v>Ajuste</v>
          </cell>
          <cell r="X1573">
            <v>2</v>
          </cell>
          <cell r="Y1573">
            <v>4</v>
          </cell>
        </row>
        <row r="1574">
          <cell r="U1574" t="str">
            <v>L104829</v>
          </cell>
          <cell r="V1574" t="str">
            <v>PV PAN 2kg</v>
          </cell>
          <cell r="W1574" t="str">
            <v>Ajuste</v>
          </cell>
          <cell r="X1574">
            <v>8</v>
          </cell>
          <cell r="Y1574">
            <v>16</v>
          </cell>
        </row>
        <row r="1575">
          <cell r="U1575" t="str">
            <v>L104837</v>
          </cell>
          <cell r="V1575" t="str">
            <v>PV PAN 2kg</v>
          </cell>
          <cell r="W1575" t="str">
            <v>Ajuste</v>
          </cell>
          <cell r="X1575">
            <v>2</v>
          </cell>
          <cell r="Y1575">
            <v>4</v>
          </cell>
        </row>
        <row r="1576">
          <cell r="U1576" t="str">
            <v>L104777</v>
          </cell>
          <cell r="V1576" t="str">
            <v>PV PASTV 2kg</v>
          </cell>
          <cell r="W1576" t="str">
            <v>Ajuste</v>
          </cell>
          <cell r="X1576">
            <v>10</v>
          </cell>
          <cell r="Y1576">
            <v>20</v>
          </cell>
        </row>
        <row r="1577">
          <cell r="U1577" t="str">
            <v>L104784</v>
          </cell>
          <cell r="V1577" t="str">
            <v>PV PASTV 2kg</v>
          </cell>
          <cell r="W1577" t="str">
            <v>Ajuste</v>
          </cell>
          <cell r="X1577">
            <v>24</v>
          </cell>
          <cell r="Y1577">
            <v>48</v>
          </cell>
        </row>
        <row r="1578">
          <cell r="U1578" t="str">
            <v>L104825</v>
          </cell>
          <cell r="V1578" t="str">
            <v>PV PASTV 2kg</v>
          </cell>
          <cell r="W1578" t="str">
            <v>Ajuste</v>
          </cell>
          <cell r="X1578">
            <v>26</v>
          </cell>
          <cell r="Y1578">
            <v>52</v>
          </cell>
        </row>
        <row r="1579">
          <cell r="U1579" t="str">
            <v>L104828</v>
          </cell>
          <cell r="V1579" t="str">
            <v>PV PASTV 2kg</v>
          </cell>
          <cell r="W1579" t="str">
            <v>Ajuste</v>
          </cell>
          <cell r="X1579">
            <v>12</v>
          </cell>
          <cell r="Y1579">
            <v>24</v>
          </cell>
        </row>
        <row r="1580">
          <cell r="U1580" t="str">
            <v>L104836</v>
          </cell>
          <cell r="V1580" t="str">
            <v>PV PASTV 2kg</v>
          </cell>
          <cell r="W1580" t="str">
            <v>Ajuste</v>
          </cell>
          <cell r="X1580">
            <v>8</v>
          </cell>
          <cell r="Y1580">
            <v>16</v>
          </cell>
        </row>
        <row r="1581">
          <cell r="U1581" t="str">
            <v>L104672</v>
          </cell>
          <cell r="V1581" t="str">
            <v>PV PASTV 3kg</v>
          </cell>
          <cell r="W1581" t="str">
            <v>Ajuste</v>
          </cell>
          <cell r="X1581">
            <v>16</v>
          </cell>
          <cell r="Y1581">
            <v>48</v>
          </cell>
        </row>
        <row r="1582">
          <cell r="U1582" t="str">
            <v>L104683</v>
          </cell>
          <cell r="V1582" t="str">
            <v>PV PASTV 3kg</v>
          </cell>
          <cell r="W1582" t="str">
            <v>Ajuste</v>
          </cell>
          <cell r="X1582">
            <v>24</v>
          </cell>
          <cell r="Y1582">
            <v>72</v>
          </cell>
        </row>
        <row r="1583">
          <cell r="U1583" t="str">
            <v>L104714</v>
          </cell>
          <cell r="V1583" t="str">
            <v>PV PASTV 3kg</v>
          </cell>
          <cell r="W1583" t="str">
            <v>Ajuste</v>
          </cell>
          <cell r="X1583">
            <v>28</v>
          </cell>
          <cell r="Y1583">
            <v>84</v>
          </cell>
        </row>
        <row r="1584">
          <cell r="U1584" t="str">
            <v>L104778</v>
          </cell>
          <cell r="V1584" t="str">
            <v>PV PASTV 3kg</v>
          </cell>
          <cell r="W1584" t="str">
            <v>Ajuste</v>
          </cell>
          <cell r="X1584">
            <v>16</v>
          </cell>
          <cell r="Y1584">
            <v>48</v>
          </cell>
        </row>
        <row r="1585">
          <cell r="U1585" t="str">
            <v>L104783</v>
          </cell>
          <cell r="V1585" t="str">
            <v>PV PASTV 3kg</v>
          </cell>
          <cell r="W1585" t="str">
            <v>Ajuste</v>
          </cell>
          <cell r="X1585">
            <v>36</v>
          </cell>
          <cell r="Y1585">
            <v>108</v>
          </cell>
        </row>
        <row r="1586">
          <cell r="U1586" t="str">
            <v>L104824</v>
          </cell>
          <cell r="V1586" t="str">
            <v>PV PASTV 3kg</v>
          </cell>
          <cell r="W1586" t="str">
            <v>Ajuste</v>
          </cell>
          <cell r="X1586">
            <v>2</v>
          </cell>
          <cell r="Y1586">
            <v>6</v>
          </cell>
        </row>
        <row r="1587">
          <cell r="U1587" t="str">
            <v>L104673</v>
          </cell>
          <cell r="V1587" t="str">
            <v>PV PASTV 4kg</v>
          </cell>
          <cell r="W1587" t="str">
            <v>Ajuste</v>
          </cell>
          <cell r="X1587">
            <v>14</v>
          </cell>
          <cell r="Y1587">
            <v>56</v>
          </cell>
        </row>
        <row r="1588">
          <cell r="U1588" t="str">
            <v>L104716</v>
          </cell>
          <cell r="V1588" t="str">
            <v>PV PASTV 4kg</v>
          </cell>
          <cell r="W1588" t="str">
            <v>Ajuste</v>
          </cell>
          <cell r="X1588">
            <v>2</v>
          </cell>
          <cell r="Y1588">
            <v>8</v>
          </cell>
        </row>
        <row r="1589">
          <cell r="U1589" t="str">
            <v>L104782</v>
          </cell>
          <cell r="V1589" t="str">
            <v>PV PASTV 4kg</v>
          </cell>
          <cell r="W1589" t="str">
            <v>Ajuste</v>
          </cell>
          <cell r="X1589">
            <v>2</v>
          </cell>
          <cell r="Y1589">
            <v>8</v>
          </cell>
        </row>
        <row r="1590">
          <cell r="U1590" t="str">
            <v>L104412</v>
          </cell>
          <cell r="V1590" t="str">
            <v>PV PASTV 6kg</v>
          </cell>
          <cell r="W1590" t="str">
            <v>Ajuste</v>
          </cell>
          <cell r="X1590">
            <v>2</v>
          </cell>
          <cell r="Y1590">
            <v>12</v>
          </cell>
        </row>
        <row r="1591">
          <cell r="U1591" t="str">
            <v>L104881</v>
          </cell>
          <cell r="V1591" t="str">
            <v>PV PNALT 3kg</v>
          </cell>
          <cell r="W1591" t="str">
            <v>Ajuste</v>
          </cell>
          <cell r="X1591">
            <v>48</v>
          </cell>
          <cell r="Y1591">
            <v>144</v>
          </cell>
        </row>
        <row r="1592">
          <cell r="U1592" t="str">
            <v>L104918</v>
          </cell>
          <cell r="V1592" t="str">
            <v>PV SNK 1Kg</v>
          </cell>
          <cell r="W1592" t="str">
            <v>Ajuste</v>
          </cell>
          <cell r="X1592">
            <v>8</v>
          </cell>
          <cell r="Y1592">
            <v>8</v>
          </cell>
        </row>
        <row r="1593">
          <cell r="U1593" t="str">
            <v>L104356</v>
          </cell>
          <cell r="V1593" t="str">
            <v>PV YGT GR 6X32oz-CAJA</v>
          </cell>
          <cell r="W1593" t="str">
            <v>Ajuste</v>
          </cell>
          <cell r="X1593">
            <v>1200</v>
          </cell>
          <cell r="Y1593">
            <v>6527.9999999999936</v>
          </cell>
        </row>
        <row r="1594">
          <cell r="U1594" t="str">
            <v>L104195</v>
          </cell>
          <cell r="V1594" t="str">
            <v>QSC 3kg</v>
          </cell>
          <cell r="W1594" t="str">
            <v>Ajuste</v>
          </cell>
          <cell r="X1594">
            <v>2</v>
          </cell>
          <cell r="Y1594">
            <v>6</v>
          </cell>
        </row>
        <row r="1595">
          <cell r="U1595" t="str">
            <v>L104194</v>
          </cell>
          <cell r="V1595" t="str">
            <v>QSC 6kg</v>
          </cell>
          <cell r="W1595" t="str">
            <v>Ajuste</v>
          </cell>
          <cell r="X1595">
            <v>190</v>
          </cell>
          <cell r="Y1595">
            <v>1140</v>
          </cell>
        </row>
        <row r="1596">
          <cell r="U1596" t="str">
            <v>L104011</v>
          </cell>
          <cell r="V1596" t="str">
            <v>QSV 1.5kg</v>
          </cell>
          <cell r="W1596" t="str">
            <v>Ajuste</v>
          </cell>
          <cell r="X1596">
            <v>138</v>
          </cell>
          <cell r="Y1596">
            <v>207</v>
          </cell>
        </row>
        <row r="1597">
          <cell r="U1597" t="str">
            <v>L104012</v>
          </cell>
          <cell r="V1597" t="str">
            <v>QSV 1.5kg</v>
          </cell>
          <cell r="W1597" t="str">
            <v>Ajuste</v>
          </cell>
          <cell r="X1597">
            <v>2</v>
          </cell>
          <cell r="Y1597">
            <v>3</v>
          </cell>
        </row>
        <row r="1598">
          <cell r="U1598" t="str">
            <v>L104001</v>
          </cell>
          <cell r="V1598" t="str">
            <v>QSV 1kg</v>
          </cell>
          <cell r="W1598" t="str">
            <v>Ajuste</v>
          </cell>
          <cell r="X1598">
            <v>72</v>
          </cell>
          <cell r="Y1598">
            <v>72</v>
          </cell>
        </row>
        <row r="1599">
          <cell r="U1599" t="str">
            <v>L103788</v>
          </cell>
          <cell r="V1599" t="str">
            <v>SAL 1kg-PAQUETE</v>
          </cell>
          <cell r="W1599" t="str">
            <v>Ajuste</v>
          </cell>
          <cell r="X1599">
            <v>34</v>
          </cell>
          <cell r="Y1599">
            <v>34</v>
          </cell>
        </row>
        <row r="1600">
          <cell r="U1600" t="str">
            <v>L103985</v>
          </cell>
          <cell r="V1600" t="str">
            <v>SAL 1kg-PAQUETE</v>
          </cell>
          <cell r="W1600" t="str">
            <v>Ajuste</v>
          </cell>
          <cell r="X1600">
            <v>128</v>
          </cell>
          <cell r="Y1600">
            <v>128</v>
          </cell>
        </row>
        <row r="1601">
          <cell r="U1601" t="str">
            <v>L104048</v>
          </cell>
          <cell r="V1601" t="str">
            <v>SAL 1kg-PAQUETE</v>
          </cell>
          <cell r="W1601" t="str">
            <v>Ajuste</v>
          </cell>
          <cell r="X1601">
            <v>6</v>
          </cell>
          <cell r="Y1601">
            <v>6</v>
          </cell>
        </row>
        <row r="1602">
          <cell r="U1602" t="str">
            <v>L103986</v>
          </cell>
          <cell r="V1602" t="str">
            <v>SAL 2kg-PAQUETE</v>
          </cell>
          <cell r="W1602" t="str">
            <v>Ajuste</v>
          </cell>
          <cell r="X1602">
            <v>2</v>
          </cell>
          <cell r="Y1602">
            <v>4</v>
          </cell>
        </row>
        <row r="1603">
          <cell r="U1603" t="str">
            <v>L104623</v>
          </cell>
          <cell r="V1603" t="str">
            <v>SAL 2kg-PAQUETE</v>
          </cell>
          <cell r="W1603" t="str">
            <v>Ajuste</v>
          </cell>
          <cell r="X1603">
            <v>84</v>
          </cell>
          <cell r="Y1603">
            <v>168</v>
          </cell>
        </row>
        <row r="1604">
          <cell r="U1604" t="str">
            <v>L104644</v>
          </cell>
          <cell r="V1604" t="str">
            <v>SAL 2kg-PAQUETE</v>
          </cell>
          <cell r="W1604" t="str">
            <v>Ajuste</v>
          </cell>
          <cell r="X1604">
            <v>12</v>
          </cell>
          <cell r="Y1604">
            <v>24</v>
          </cell>
        </row>
        <row r="1605">
          <cell r="U1605" t="str">
            <v>L104871</v>
          </cell>
          <cell r="V1605" t="str">
            <v>SAL 2kg-PAQUETE</v>
          </cell>
          <cell r="W1605" t="str">
            <v>Ajuste</v>
          </cell>
          <cell r="X1605">
            <v>10</v>
          </cell>
          <cell r="Y1605">
            <v>20</v>
          </cell>
        </row>
        <row r="1606">
          <cell r="U1606" t="str">
            <v>L104929</v>
          </cell>
          <cell r="V1606" t="str">
            <v>SAL 2kg-PAQUETE</v>
          </cell>
          <cell r="W1606" t="str">
            <v>Ajuste</v>
          </cell>
          <cell r="X1606">
            <v>1530</v>
          </cell>
          <cell r="Y1606">
            <v>3060</v>
          </cell>
        </row>
        <row r="1607">
          <cell r="U1607" t="str">
            <v>L104260</v>
          </cell>
          <cell r="V1607" t="str">
            <v>SAL 5kg-PAQUETE</v>
          </cell>
          <cell r="W1607" t="str">
            <v>Ajuste</v>
          </cell>
          <cell r="X1607">
            <v>1151</v>
          </cell>
          <cell r="Y1607">
            <v>5755</v>
          </cell>
        </row>
        <row r="1608">
          <cell r="U1608" t="str">
            <v>L104071</v>
          </cell>
          <cell r="V1608" t="str">
            <v>SAV 2kg-CAJA</v>
          </cell>
          <cell r="W1608" t="str">
            <v>Ajuste</v>
          </cell>
          <cell r="X1608">
            <v>4</v>
          </cell>
          <cell r="Y1608">
            <v>8</v>
          </cell>
        </row>
        <row r="1609">
          <cell r="U1609" t="str">
            <v>L104387</v>
          </cell>
          <cell r="V1609" t="str">
            <v>SAV 3kg</v>
          </cell>
          <cell r="W1609" t="str">
            <v>Ajuste</v>
          </cell>
          <cell r="X1609">
            <v>10</v>
          </cell>
          <cell r="Y1609">
            <v>30</v>
          </cell>
        </row>
        <row r="1610">
          <cell r="U1610" t="str">
            <v>L104389</v>
          </cell>
          <cell r="V1610" t="str">
            <v>SAV 3kg</v>
          </cell>
          <cell r="W1610" t="str">
            <v>Ajuste</v>
          </cell>
          <cell r="X1610">
            <v>6</v>
          </cell>
          <cell r="Y1610">
            <v>18</v>
          </cell>
        </row>
        <row r="1611">
          <cell r="U1611" t="str">
            <v>L104391</v>
          </cell>
          <cell r="V1611" t="str">
            <v>SAV 3kg</v>
          </cell>
          <cell r="W1611" t="str">
            <v>Ajuste</v>
          </cell>
          <cell r="X1611">
            <v>10</v>
          </cell>
          <cell r="Y1611">
            <v>30</v>
          </cell>
        </row>
        <row r="1612">
          <cell r="U1612" t="str">
            <v>L104392</v>
          </cell>
          <cell r="V1612" t="str">
            <v>SAV 3kg</v>
          </cell>
          <cell r="W1612" t="str">
            <v>Ajuste</v>
          </cell>
          <cell r="X1612">
            <v>6</v>
          </cell>
          <cell r="Y1612">
            <v>18</v>
          </cell>
        </row>
        <row r="1613">
          <cell r="U1613" t="str">
            <v>L104681</v>
          </cell>
          <cell r="V1613" t="str">
            <v>SAV 3kg</v>
          </cell>
          <cell r="W1613" t="str">
            <v>Ajuste</v>
          </cell>
          <cell r="X1613">
            <v>12</v>
          </cell>
          <cell r="Y1613">
            <v>36</v>
          </cell>
        </row>
        <row r="1614">
          <cell r="U1614" t="str">
            <v>L104799</v>
          </cell>
          <cell r="V1614" t="str">
            <v>SBC 2kg</v>
          </cell>
          <cell r="W1614" t="str">
            <v>Ajuste</v>
          </cell>
          <cell r="X1614">
            <v>1854</v>
          </cell>
          <cell r="Y1614">
            <v>3708</v>
          </cell>
        </row>
        <row r="1615">
          <cell r="U1615" t="str">
            <v>L104799</v>
          </cell>
          <cell r="V1615" t="str">
            <v>PV SBC 2kg</v>
          </cell>
          <cell r="W1615" t="str">
            <v>Ajuste</v>
          </cell>
          <cell r="X1615">
            <v>164</v>
          </cell>
          <cell r="Y1615">
            <v>328</v>
          </cell>
        </row>
        <row r="1616">
          <cell r="U1616" t="str">
            <v>L104399</v>
          </cell>
          <cell r="V1616" t="str">
            <v>SBC 2kg</v>
          </cell>
          <cell r="W1616" t="str">
            <v>Ajuste</v>
          </cell>
          <cell r="X1616">
            <v>10</v>
          </cell>
          <cell r="Y1616">
            <v>20</v>
          </cell>
        </row>
        <row r="1617">
          <cell r="U1617" t="str">
            <v>L104578</v>
          </cell>
          <cell r="V1617" t="str">
            <v>SCL 2kg-CAJA</v>
          </cell>
          <cell r="W1617" t="str">
            <v>Ajuste</v>
          </cell>
          <cell r="X1617">
            <v>4</v>
          </cell>
          <cell r="Y1617">
            <v>8</v>
          </cell>
        </row>
        <row r="1618">
          <cell r="U1618" t="str">
            <v>L104577</v>
          </cell>
          <cell r="V1618" t="str">
            <v>SDA 3Kg</v>
          </cell>
          <cell r="W1618" t="str">
            <v>Ajuste</v>
          </cell>
          <cell r="X1618">
            <v>10</v>
          </cell>
          <cell r="Y1618">
            <v>30</v>
          </cell>
        </row>
        <row r="1619">
          <cell r="U1619" t="str">
            <v>L104924</v>
          </cell>
          <cell r="V1619" t="str">
            <v>SDO</v>
          </cell>
          <cell r="W1619" t="str">
            <v>Ajuste</v>
          </cell>
          <cell r="X1619">
            <v>12</v>
          </cell>
          <cell r="Y1619">
            <v>48</v>
          </cell>
        </row>
        <row r="1620">
          <cell r="U1620" t="str">
            <v>L104261</v>
          </cell>
          <cell r="V1620" t="str">
            <v>SDR 2Kg-UNIDAD</v>
          </cell>
          <cell r="W1620" t="str">
            <v>Ajuste</v>
          </cell>
          <cell r="X1620">
            <v>296</v>
          </cell>
          <cell r="Y1620">
            <v>592</v>
          </cell>
        </row>
        <row r="1621">
          <cell r="U1621" t="str">
            <v>L103842</v>
          </cell>
          <cell r="V1621" t="str">
            <v>SDR 3kg-CAJA</v>
          </cell>
          <cell r="W1621" t="str">
            <v>Ajuste</v>
          </cell>
          <cell r="X1621">
            <v>4</v>
          </cell>
          <cell r="Y1621">
            <v>12</v>
          </cell>
        </row>
        <row r="1622">
          <cell r="U1622" t="str">
            <v>L103847</v>
          </cell>
          <cell r="V1622" t="str">
            <v>SDR 3kg-CAJA</v>
          </cell>
          <cell r="W1622" t="str">
            <v>Ajuste</v>
          </cell>
          <cell r="X1622">
            <v>2</v>
          </cell>
          <cell r="Y1622">
            <v>6</v>
          </cell>
        </row>
        <row r="1623">
          <cell r="U1623" t="str">
            <v>L104263</v>
          </cell>
          <cell r="V1623" t="str">
            <v>SDR 3kg-CAJA</v>
          </cell>
          <cell r="W1623" t="str">
            <v>Ajuste</v>
          </cell>
          <cell r="X1623">
            <v>140</v>
          </cell>
          <cell r="Y1623">
            <v>420</v>
          </cell>
        </row>
        <row r="1624">
          <cell r="U1624" t="str">
            <v>L104262</v>
          </cell>
          <cell r="V1624" t="str">
            <v>SDR 5kg</v>
          </cell>
          <cell r="W1624" t="str">
            <v>Ajuste</v>
          </cell>
          <cell r="X1624">
            <v>32</v>
          </cell>
          <cell r="Y1624">
            <v>160</v>
          </cell>
        </row>
        <row r="1625">
          <cell r="U1625" t="str">
            <v>L104357</v>
          </cell>
          <cell r="V1625" t="str">
            <v>SDR 9kg-CAJA</v>
          </cell>
          <cell r="W1625" t="str">
            <v>Ajuste</v>
          </cell>
          <cell r="X1625">
            <v>82</v>
          </cell>
          <cell r="Y1625">
            <v>738</v>
          </cell>
        </row>
        <row r="1626">
          <cell r="U1626" t="str">
            <v>L104098</v>
          </cell>
          <cell r="V1626" t="str">
            <v>SDS 2kg</v>
          </cell>
          <cell r="W1626" t="str">
            <v>Ajuste</v>
          </cell>
          <cell r="X1626">
            <v>4</v>
          </cell>
          <cell r="Y1626">
            <v>8</v>
          </cell>
        </row>
        <row r="1627">
          <cell r="U1627" t="str">
            <v>L104065</v>
          </cell>
          <cell r="V1627" t="str">
            <v>SDS 3kg-CAJA</v>
          </cell>
          <cell r="W1627" t="str">
            <v>Ajuste</v>
          </cell>
          <cell r="X1627">
            <v>8</v>
          </cell>
          <cell r="Y1627">
            <v>24</v>
          </cell>
        </row>
        <row r="1628">
          <cell r="U1628" t="str">
            <v>L104309</v>
          </cell>
          <cell r="V1628" t="str">
            <v>SNK 1.5kg-CAJA</v>
          </cell>
          <cell r="W1628" t="str">
            <v>Ajuste</v>
          </cell>
          <cell r="X1628">
            <v>8</v>
          </cell>
          <cell r="Y1628">
            <v>12</v>
          </cell>
        </row>
        <row r="1629">
          <cell r="U1629" t="str">
            <v>L104310</v>
          </cell>
          <cell r="V1629" t="str">
            <v>SNK 1.5kg-CAJA</v>
          </cell>
          <cell r="W1629" t="str">
            <v>Ajuste</v>
          </cell>
          <cell r="X1629">
            <v>16</v>
          </cell>
          <cell r="Y1629">
            <v>24</v>
          </cell>
        </row>
        <row r="1630">
          <cell r="U1630" t="str">
            <v>L104311</v>
          </cell>
          <cell r="V1630" t="str">
            <v>SNK 1.5kg-CAJA</v>
          </cell>
          <cell r="W1630" t="str">
            <v>Ajuste</v>
          </cell>
          <cell r="X1630">
            <v>6</v>
          </cell>
          <cell r="Y1630">
            <v>9</v>
          </cell>
        </row>
        <row r="1631">
          <cell r="U1631" t="str">
            <v>L104707</v>
          </cell>
          <cell r="V1631" t="str">
            <v>SNK 1.5kg-CAJA</v>
          </cell>
          <cell r="W1631" t="str">
            <v>Ajuste</v>
          </cell>
          <cell r="X1631">
            <v>198</v>
          </cell>
          <cell r="Y1631">
            <v>297</v>
          </cell>
        </row>
        <row r="1632">
          <cell r="U1632" t="str">
            <v>L104707</v>
          </cell>
          <cell r="V1632" t="str">
            <v>PV SNK 1.5kg</v>
          </cell>
          <cell r="W1632" t="str">
            <v>Ajuste</v>
          </cell>
          <cell r="X1632">
            <v>20</v>
          </cell>
          <cell r="Y1632">
            <v>30</v>
          </cell>
        </row>
        <row r="1633">
          <cell r="U1633" t="str">
            <v>L104312</v>
          </cell>
          <cell r="V1633" t="str">
            <v>SNK 1Kg-CAJA</v>
          </cell>
          <cell r="W1633" t="str">
            <v>Ajuste</v>
          </cell>
          <cell r="X1633">
            <v>2</v>
          </cell>
          <cell r="Y1633">
            <v>2</v>
          </cell>
        </row>
        <row r="1634">
          <cell r="U1634" t="str">
            <v>L104713</v>
          </cell>
          <cell r="V1634" t="str">
            <v>SNK 1Kg-CAJA</v>
          </cell>
          <cell r="W1634" t="str">
            <v>Ajuste</v>
          </cell>
          <cell r="X1634">
            <v>80</v>
          </cell>
          <cell r="Y1634">
            <v>80</v>
          </cell>
        </row>
        <row r="1635">
          <cell r="U1635" t="str">
            <v>L104914</v>
          </cell>
          <cell r="V1635" t="str">
            <v>SNK 1Kg-CAJA</v>
          </cell>
          <cell r="W1635" t="str">
            <v>Ajuste</v>
          </cell>
          <cell r="X1635">
            <v>8</v>
          </cell>
          <cell r="Y1635">
            <v>8</v>
          </cell>
        </row>
        <row r="1636">
          <cell r="U1636" t="str">
            <v>L104313</v>
          </cell>
          <cell r="V1636" t="str">
            <v>SNK 2kg-CAJA</v>
          </cell>
          <cell r="W1636" t="str">
            <v>Ajuste</v>
          </cell>
          <cell r="X1636">
            <v>8</v>
          </cell>
          <cell r="Y1636">
            <v>16</v>
          </cell>
        </row>
        <row r="1637">
          <cell r="U1637" t="str">
            <v>L104314</v>
          </cell>
          <cell r="V1637" t="str">
            <v>SNK 2kg-CAJA</v>
          </cell>
          <cell r="W1637" t="str">
            <v>Ajuste</v>
          </cell>
          <cell r="X1637">
            <v>10</v>
          </cell>
          <cell r="Y1637">
            <v>20</v>
          </cell>
        </row>
        <row r="1638">
          <cell r="U1638" t="str">
            <v>L104315</v>
          </cell>
          <cell r="V1638" t="str">
            <v>SNK 2kg-CAJA</v>
          </cell>
          <cell r="W1638" t="str">
            <v>Ajuste</v>
          </cell>
          <cell r="X1638">
            <v>12</v>
          </cell>
          <cell r="Y1638">
            <v>24</v>
          </cell>
        </row>
        <row r="1639">
          <cell r="U1639" t="str">
            <v>L104316</v>
          </cell>
          <cell r="V1639" t="str">
            <v>SNK 2kg-CAJA</v>
          </cell>
          <cell r="W1639" t="str">
            <v>Ajuste</v>
          </cell>
          <cell r="X1639">
            <v>6</v>
          </cell>
          <cell r="Y1639">
            <v>12</v>
          </cell>
        </row>
        <row r="1640">
          <cell r="U1640" t="str">
            <v>L104317</v>
          </cell>
          <cell r="V1640" t="str">
            <v>SNK 2kg-CAJA</v>
          </cell>
          <cell r="W1640" t="str">
            <v>Ajuste</v>
          </cell>
          <cell r="X1640">
            <v>8</v>
          </cell>
          <cell r="Y1640">
            <v>16</v>
          </cell>
        </row>
        <row r="1641">
          <cell r="U1641" t="str">
            <v>L104718</v>
          </cell>
          <cell r="V1641" t="str">
            <v>SNK 3.5kg-CAJA</v>
          </cell>
          <cell r="W1641" t="str">
            <v>Ajuste</v>
          </cell>
          <cell r="X1641">
            <v>50</v>
          </cell>
          <cell r="Y1641">
            <v>175</v>
          </cell>
        </row>
        <row r="1642">
          <cell r="U1642" t="str">
            <v>L104306</v>
          </cell>
          <cell r="V1642" t="str">
            <v>SNK 3kg-CAJA</v>
          </cell>
          <cell r="W1642" t="str">
            <v>Ajuste</v>
          </cell>
          <cell r="X1642">
            <v>4</v>
          </cell>
          <cell r="Y1642">
            <v>12</v>
          </cell>
        </row>
        <row r="1643">
          <cell r="U1643" t="str">
            <v>L104307</v>
          </cell>
          <cell r="V1643" t="str">
            <v>SNK 3kg-CAJA</v>
          </cell>
          <cell r="W1643" t="str">
            <v>Ajuste</v>
          </cell>
          <cell r="X1643">
            <v>2</v>
          </cell>
          <cell r="Y1643">
            <v>6</v>
          </cell>
        </row>
        <row r="1644">
          <cell r="U1644" t="str">
            <v>L104308</v>
          </cell>
          <cell r="V1644" t="str">
            <v>SNK 3kg-CAJA</v>
          </cell>
          <cell r="W1644" t="str">
            <v>Ajuste</v>
          </cell>
          <cell r="X1644">
            <v>2</v>
          </cell>
          <cell r="Y1644">
            <v>6</v>
          </cell>
        </row>
        <row r="1645">
          <cell r="U1645" t="str">
            <v>L104452</v>
          </cell>
          <cell r="V1645" t="str">
            <v>SNK 3kg-CAJA</v>
          </cell>
          <cell r="W1645" t="str">
            <v>Ajuste</v>
          </cell>
          <cell r="X1645">
            <v>30</v>
          </cell>
          <cell r="Y1645">
            <v>90</v>
          </cell>
        </row>
        <row r="1646">
          <cell r="U1646" t="str">
            <v>L104712</v>
          </cell>
          <cell r="V1646" t="str">
            <v>SNK 4.5kg-CAJA</v>
          </cell>
          <cell r="W1646" t="str">
            <v>Ajuste</v>
          </cell>
          <cell r="X1646">
            <v>30</v>
          </cell>
          <cell r="Y1646">
            <v>135</v>
          </cell>
        </row>
        <row r="1647">
          <cell r="U1647" t="str">
            <v>L103765</v>
          </cell>
          <cell r="V1647" t="str">
            <v>SNK 4kg-CAJA</v>
          </cell>
          <cell r="W1647" t="str">
            <v>Ajuste</v>
          </cell>
          <cell r="X1647">
            <v>24</v>
          </cell>
          <cell r="Y1647">
            <v>96</v>
          </cell>
        </row>
        <row r="1648">
          <cell r="U1648" t="str">
            <v>L104719</v>
          </cell>
          <cell r="V1648" t="str">
            <v>SNK 5kg-CAJA</v>
          </cell>
          <cell r="W1648" t="str">
            <v>Ajuste</v>
          </cell>
          <cell r="X1648">
            <v>50</v>
          </cell>
          <cell r="Y1648">
            <v>250</v>
          </cell>
        </row>
        <row r="1649">
          <cell r="U1649" t="str">
            <v>L103820</v>
          </cell>
          <cell r="V1649" t="str">
            <v>SNKSL 1kg</v>
          </cell>
          <cell r="W1649" t="str">
            <v>Ajuste</v>
          </cell>
          <cell r="X1649">
            <v>234</v>
          </cell>
          <cell r="Y1649">
            <v>234</v>
          </cell>
        </row>
        <row r="1650">
          <cell r="U1650" t="str">
            <v>L104819</v>
          </cell>
          <cell r="V1650" t="str">
            <v>SNKSL 1kg</v>
          </cell>
          <cell r="W1650" t="str">
            <v>Ajuste</v>
          </cell>
          <cell r="X1650">
            <v>8</v>
          </cell>
          <cell r="Y1650">
            <v>8</v>
          </cell>
        </row>
        <row r="1651">
          <cell r="U1651" t="str">
            <v>L103819</v>
          </cell>
          <cell r="V1651" t="str">
            <v>SNKSL 2kg</v>
          </cell>
          <cell r="W1651" t="str">
            <v>Ajuste</v>
          </cell>
          <cell r="X1651">
            <v>852</v>
          </cell>
          <cell r="Y1651">
            <v>1704</v>
          </cell>
        </row>
        <row r="1652">
          <cell r="U1652" t="str">
            <v>L104453</v>
          </cell>
          <cell r="V1652" t="str">
            <v>SPAV 1kg-CAJA</v>
          </cell>
          <cell r="W1652" t="str">
            <v>Ajuste</v>
          </cell>
          <cell r="X1652">
            <v>16</v>
          </cell>
          <cell r="Y1652">
            <v>16</v>
          </cell>
        </row>
        <row r="1653">
          <cell r="U1653" t="str">
            <v>L104596</v>
          </cell>
          <cell r="V1653" t="str">
            <v>SPAV 1kg-CAJA</v>
          </cell>
          <cell r="W1653" t="str">
            <v>Ajuste</v>
          </cell>
          <cell r="X1653">
            <v>2</v>
          </cell>
          <cell r="Y1653">
            <v>2</v>
          </cell>
        </row>
        <row r="1654">
          <cell r="U1654" t="str">
            <v>L104844</v>
          </cell>
          <cell r="V1654" t="str">
            <v>SPAV 1kg-CAJA</v>
          </cell>
          <cell r="W1654" t="str">
            <v>Ajuste</v>
          </cell>
          <cell r="X1654">
            <v>84</v>
          </cell>
          <cell r="Y1654">
            <v>84</v>
          </cell>
        </row>
        <row r="1655">
          <cell r="U1655" t="str">
            <v>L104152</v>
          </cell>
          <cell r="V1655" t="str">
            <v>SPAV 2kg-CAJA</v>
          </cell>
          <cell r="W1655" t="str">
            <v>Ajuste</v>
          </cell>
          <cell r="X1655">
            <v>610</v>
          </cell>
          <cell r="Y1655">
            <v>1220</v>
          </cell>
        </row>
        <row r="1656">
          <cell r="U1656" t="str">
            <v>L104328</v>
          </cell>
          <cell r="V1656" t="str">
            <v>SPAV 2kg-CAJA</v>
          </cell>
          <cell r="W1656" t="str">
            <v>Ajuste</v>
          </cell>
          <cell r="X1656">
            <v>146</v>
          </cell>
          <cell r="Y1656">
            <v>292</v>
          </cell>
        </row>
        <row r="1657">
          <cell r="U1657" t="str">
            <v>L104922</v>
          </cell>
          <cell r="V1657" t="str">
            <v>SPAV 3kg-CAJA</v>
          </cell>
          <cell r="W1657" t="str">
            <v>Ajuste</v>
          </cell>
          <cell r="X1657">
            <v>4</v>
          </cell>
          <cell r="Y1657">
            <v>12</v>
          </cell>
        </row>
        <row r="1658">
          <cell r="U1658" t="str">
            <v>L104010</v>
          </cell>
          <cell r="V1658" t="str">
            <v>SPAV 5kg-CAJA</v>
          </cell>
          <cell r="W1658" t="str">
            <v>Ajuste</v>
          </cell>
          <cell r="X1658">
            <v>100</v>
          </cell>
          <cell r="Y1658">
            <v>500</v>
          </cell>
        </row>
        <row r="1659">
          <cell r="U1659" t="str">
            <v>L104876</v>
          </cell>
          <cell r="V1659" t="str">
            <v>SPT 36x90ml-CAJA</v>
          </cell>
          <cell r="W1659" t="str">
            <v>Ajuste</v>
          </cell>
          <cell r="X1659">
            <v>131</v>
          </cell>
          <cell r="Y1659">
            <v>1004.7699999999998</v>
          </cell>
        </row>
        <row r="1660">
          <cell r="U1660" t="str">
            <v>L104887</v>
          </cell>
          <cell r="V1660" t="str">
            <v>SPT 3kg-CAJA</v>
          </cell>
          <cell r="W1660" t="str">
            <v>Ajuste</v>
          </cell>
          <cell r="X1660">
            <v>2</v>
          </cell>
          <cell r="Y1660">
            <v>6</v>
          </cell>
        </row>
        <row r="1661">
          <cell r="U1661" t="str">
            <v>L104653</v>
          </cell>
          <cell r="V1661" t="str">
            <v>SPVL 3kg</v>
          </cell>
          <cell r="W1661" t="str">
            <v>Ajuste</v>
          </cell>
          <cell r="X1661">
            <v>84</v>
          </cell>
          <cell r="Y1661">
            <v>252</v>
          </cell>
        </row>
        <row r="1662">
          <cell r="U1662" t="str">
            <v>L104654</v>
          </cell>
          <cell r="V1662" t="str">
            <v>SPVL 3kg</v>
          </cell>
          <cell r="W1662" t="str">
            <v>Ajuste</v>
          </cell>
          <cell r="X1662">
            <v>4</v>
          </cell>
          <cell r="Y1662">
            <v>12</v>
          </cell>
        </row>
        <row r="1663">
          <cell r="U1663" t="str">
            <v>L103789</v>
          </cell>
          <cell r="V1663" t="str">
            <v>SRD 1kg-CAJA</v>
          </cell>
          <cell r="W1663" t="str">
            <v>Ajuste</v>
          </cell>
          <cell r="X1663">
            <v>6</v>
          </cell>
          <cell r="Y1663">
            <v>6</v>
          </cell>
        </row>
        <row r="1664">
          <cell r="U1664" t="str">
            <v>L104583</v>
          </cell>
          <cell r="V1664" t="str">
            <v>SRD 5kg-CAJA</v>
          </cell>
          <cell r="W1664" t="str">
            <v>Ajuste</v>
          </cell>
          <cell r="X1664">
            <v>2</v>
          </cell>
          <cell r="Y1664">
            <v>10</v>
          </cell>
        </row>
        <row r="1665">
          <cell r="U1665" t="str">
            <v>L104398</v>
          </cell>
          <cell r="V1665" t="str">
            <v>srp 1.5kg - caja</v>
          </cell>
          <cell r="W1665" t="str">
            <v>Ajuste</v>
          </cell>
          <cell r="X1665">
            <v>2</v>
          </cell>
          <cell r="Y1665">
            <v>3</v>
          </cell>
        </row>
        <row r="1666">
          <cell r="U1666" t="str">
            <v>L104095</v>
          </cell>
          <cell r="V1666" t="str">
            <v>srpfv 2kg - caja</v>
          </cell>
          <cell r="W1666" t="str">
            <v>Ajuste</v>
          </cell>
          <cell r="X1666">
            <v>2</v>
          </cell>
          <cell r="Y1666">
            <v>4</v>
          </cell>
        </row>
        <row r="1667">
          <cell r="U1667" t="str">
            <v>L104686</v>
          </cell>
          <cell r="V1667" t="str">
            <v>SSY 2kg-CAJA</v>
          </cell>
          <cell r="W1667" t="str">
            <v>Ajuste</v>
          </cell>
          <cell r="X1667">
            <v>154</v>
          </cell>
          <cell r="Y1667">
            <v>308</v>
          </cell>
        </row>
        <row r="1668">
          <cell r="U1668" t="str">
            <v>L104376</v>
          </cell>
          <cell r="V1668" t="str">
            <v>STB - UNIDAD</v>
          </cell>
          <cell r="W1668" t="str">
            <v>Ajuste</v>
          </cell>
          <cell r="X1668">
            <v>16</v>
          </cell>
          <cell r="Y1668">
            <v>128</v>
          </cell>
        </row>
        <row r="1669">
          <cell r="U1669" t="str">
            <v>L104066</v>
          </cell>
          <cell r="V1669" t="str">
            <v>STM 1.5KG</v>
          </cell>
          <cell r="W1669" t="str">
            <v>Ajuste</v>
          </cell>
          <cell r="X1669">
            <v>4</v>
          </cell>
          <cell r="Y1669">
            <v>6</v>
          </cell>
        </row>
        <row r="1670">
          <cell r="U1670" t="str">
            <v>L104067</v>
          </cell>
          <cell r="V1670" t="str">
            <v>STM 1.5KG</v>
          </cell>
          <cell r="W1670" t="str">
            <v>Ajuste</v>
          </cell>
          <cell r="X1670">
            <v>10</v>
          </cell>
          <cell r="Y1670">
            <v>15</v>
          </cell>
        </row>
        <row r="1671">
          <cell r="U1671" t="str">
            <v>L104019</v>
          </cell>
          <cell r="V1671" t="str">
            <v>STM 2kg</v>
          </cell>
          <cell r="W1671" t="str">
            <v>Ajuste</v>
          </cell>
          <cell r="X1671">
            <v>2</v>
          </cell>
          <cell r="Y1671">
            <v>4</v>
          </cell>
        </row>
        <row r="1672">
          <cell r="U1672" t="str">
            <v>L104594</v>
          </cell>
          <cell r="V1672" t="str">
            <v>STM 2kg</v>
          </cell>
          <cell r="W1672" t="str">
            <v>Ajuste</v>
          </cell>
          <cell r="X1672">
            <v>22</v>
          </cell>
          <cell r="Y1672">
            <v>44</v>
          </cell>
        </row>
        <row r="1673">
          <cell r="U1673" t="str">
            <v>L104093</v>
          </cell>
          <cell r="V1673" t="str">
            <v>STM 3kg-CAJA</v>
          </cell>
          <cell r="W1673" t="str">
            <v>Ajuste</v>
          </cell>
          <cell r="X1673">
            <v>24</v>
          </cell>
          <cell r="Y1673">
            <v>72</v>
          </cell>
        </row>
        <row r="1674">
          <cell r="U1674" t="str">
            <v>L104404</v>
          </cell>
          <cell r="V1674" t="str">
            <v>STM 3kg-CAJA</v>
          </cell>
          <cell r="W1674" t="str">
            <v>Ajuste</v>
          </cell>
          <cell r="X1674">
            <v>14</v>
          </cell>
          <cell r="Y1674">
            <v>42</v>
          </cell>
        </row>
        <row r="1675">
          <cell r="U1675" t="str">
            <v>L104409</v>
          </cell>
          <cell r="V1675" t="str">
            <v>STM 3kg-CAJA</v>
          </cell>
          <cell r="W1675" t="str">
            <v>Ajuste</v>
          </cell>
          <cell r="X1675">
            <v>32</v>
          </cell>
          <cell r="Y1675">
            <v>96</v>
          </cell>
        </row>
        <row r="1676">
          <cell r="U1676" t="str">
            <v>L104667</v>
          </cell>
          <cell r="V1676" t="str">
            <v>STM 3kg-CAJA</v>
          </cell>
          <cell r="W1676" t="str">
            <v>Ajuste</v>
          </cell>
          <cell r="X1676">
            <v>32</v>
          </cell>
          <cell r="Y1676">
            <v>96</v>
          </cell>
        </row>
        <row r="1677">
          <cell r="U1677" t="str">
            <v>L103914</v>
          </cell>
          <cell r="V1677" t="str">
            <v>STM 48x200g-CAJA</v>
          </cell>
          <cell r="W1677" t="str">
            <v>Ajuste</v>
          </cell>
          <cell r="X1677">
            <v>448</v>
          </cell>
          <cell r="Y1677">
            <v>4838.4000000000115</v>
          </cell>
        </row>
        <row r="1678">
          <cell r="U1678" t="str">
            <v>l103974</v>
          </cell>
          <cell r="V1678" t="str">
            <v>STM 48x350g-CAJA</v>
          </cell>
          <cell r="W1678" t="str">
            <v>Ajuste</v>
          </cell>
          <cell r="X1678">
            <v>1068</v>
          </cell>
          <cell r="Y1678">
            <v>19224</v>
          </cell>
        </row>
        <row r="1679">
          <cell r="U1679" t="str">
            <v>l103974</v>
          </cell>
          <cell r="V1679" t="str">
            <v>STM 48x350g-CAJA</v>
          </cell>
          <cell r="W1679" t="str">
            <v>Dañado</v>
          </cell>
          <cell r="X1679">
            <v>1</v>
          </cell>
          <cell r="Y1679">
            <v>18</v>
          </cell>
        </row>
        <row r="1680">
          <cell r="U1680" t="str">
            <v>l103984</v>
          </cell>
          <cell r="V1680" t="str">
            <v>STM 4kg</v>
          </cell>
          <cell r="W1680" t="str">
            <v>Ajuste</v>
          </cell>
          <cell r="X1680">
            <v>60</v>
          </cell>
          <cell r="Y1680">
            <v>240</v>
          </cell>
        </row>
        <row r="1681">
          <cell r="U1681" t="str">
            <v>L103894</v>
          </cell>
          <cell r="V1681" t="str">
            <v>STM 5kg-CAJA</v>
          </cell>
          <cell r="W1681" t="str">
            <v>Ajuste</v>
          </cell>
          <cell r="X1681">
            <v>140</v>
          </cell>
          <cell r="Y1681">
            <v>700</v>
          </cell>
        </row>
        <row r="1682">
          <cell r="U1682" t="str">
            <v>L104699</v>
          </cell>
          <cell r="V1682" t="str">
            <v>Suavizante kg</v>
          </cell>
          <cell r="W1682" t="str">
            <v>Ajuste</v>
          </cell>
          <cell r="X1682">
            <v>68</v>
          </cell>
          <cell r="Y1682">
            <v>68</v>
          </cell>
        </row>
        <row r="1683">
          <cell r="U1683" t="str">
            <v>L104923</v>
          </cell>
          <cell r="V1683" t="str">
            <v>SZD 1kg-Caja</v>
          </cell>
          <cell r="W1683" t="str">
            <v>Ajuste</v>
          </cell>
          <cell r="X1683">
            <v>57</v>
          </cell>
          <cell r="Y1683">
            <v>57</v>
          </cell>
        </row>
        <row r="1684">
          <cell r="U1684" t="str">
            <v>L104840</v>
          </cell>
          <cell r="V1684" t="str">
            <v>SZD 2.5kg</v>
          </cell>
          <cell r="W1684" t="str">
            <v>Ajuste</v>
          </cell>
          <cell r="X1684">
            <v>280</v>
          </cell>
          <cell r="Y1684">
            <v>700</v>
          </cell>
        </row>
        <row r="1685">
          <cell r="U1685" t="str">
            <v>L104840</v>
          </cell>
          <cell r="V1685" t="str">
            <v>PV SZD 2.5kg</v>
          </cell>
          <cell r="W1685" t="str">
            <v>Ajuste</v>
          </cell>
          <cell r="X1685">
            <v>100</v>
          </cell>
          <cell r="Y1685">
            <v>250</v>
          </cell>
        </row>
        <row r="1686">
          <cell r="U1686" t="str">
            <v>L104663</v>
          </cell>
          <cell r="V1686" t="str">
            <v>SZD 3kg-Caja</v>
          </cell>
          <cell r="W1686" t="str">
            <v>Ajuste</v>
          </cell>
          <cell r="X1686">
            <v>6</v>
          </cell>
          <cell r="Y1686">
            <v>18</v>
          </cell>
        </row>
        <row r="1687">
          <cell r="U1687" t="str">
            <v>L104921</v>
          </cell>
          <cell r="V1687" t="str">
            <v>SZD 3kg-Caja</v>
          </cell>
          <cell r="W1687" t="str">
            <v>Ajuste</v>
          </cell>
          <cell r="X1687">
            <v>66</v>
          </cell>
          <cell r="Y1687">
            <v>198</v>
          </cell>
        </row>
        <row r="1688">
          <cell r="U1688" t="str">
            <v>L104921</v>
          </cell>
          <cell r="V1688" t="str">
            <v>PV SZD 3kg</v>
          </cell>
          <cell r="W1688" t="str">
            <v>Ajuste</v>
          </cell>
          <cell r="X1688">
            <v>24</v>
          </cell>
          <cell r="Y1688">
            <v>72</v>
          </cell>
        </row>
        <row r="1689">
          <cell r="U1689" t="str">
            <v>L104092</v>
          </cell>
          <cell r="V1689" t="str">
            <v>SZD 4kg-Caja</v>
          </cell>
          <cell r="W1689" t="str">
            <v>Ajuste</v>
          </cell>
          <cell r="X1689">
            <v>28</v>
          </cell>
          <cell r="Y1689">
            <v>112</v>
          </cell>
        </row>
        <row r="1690">
          <cell r="U1690" t="str">
            <v>L104020</v>
          </cell>
          <cell r="V1690" t="str">
            <v>SZD 5kg-Caja</v>
          </cell>
          <cell r="W1690" t="str">
            <v>Ajuste</v>
          </cell>
          <cell r="X1690">
            <v>22</v>
          </cell>
          <cell r="Y1690">
            <v>110</v>
          </cell>
        </row>
        <row r="1691">
          <cell r="U1691" t="str">
            <v>L104402</v>
          </cell>
          <cell r="V1691" t="str">
            <v>SZD 5kg-Caja</v>
          </cell>
          <cell r="W1691" t="str">
            <v>Ajuste</v>
          </cell>
          <cell r="X1691">
            <v>15</v>
          </cell>
          <cell r="Y1691">
            <v>75</v>
          </cell>
        </row>
        <row r="1692">
          <cell r="U1692" t="str">
            <v>L104403</v>
          </cell>
          <cell r="V1692" t="str">
            <v>SZD 5kg-Caja</v>
          </cell>
          <cell r="W1692" t="str">
            <v>Ajuste</v>
          </cell>
          <cell r="X1692">
            <v>6</v>
          </cell>
          <cell r="Y1692">
            <v>30</v>
          </cell>
        </row>
        <row r="1693">
          <cell r="U1693" t="str">
            <v>L104708</v>
          </cell>
          <cell r="V1693" t="str">
            <v>SZD 5kg-Caja</v>
          </cell>
          <cell r="W1693" t="str">
            <v>Ajuste</v>
          </cell>
          <cell r="X1693">
            <v>2140</v>
          </cell>
          <cell r="Y1693">
            <v>10700</v>
          </cell>
        </row>
        <row r="1694">
          <cell r="U1694" t="str">
            <v>L104708</v>
          </cell>
          <cell r="V1694" t="str">
            <v>PV SZD 5kg</v>
          </cell>
          <cell r="W1694" t="str">
            <v>Ajuste</v>
          </cell>
          <cell r="X1694">
            <v>132</v>
          </cell>
          <cell r="Y1694">
            <v>660</v>
          </cell>
        </row>
        <row r="1695">
          <cell r="U1695" t="str">
            <v>L103916</v>
          </cell>
          <cell r="V1695" t="str">
            <v>SZD 6kg-Caja</v>
          </cell>
          <cell r="W1695" t="str">
            <v>Ajuste</v>
          </cell>
          <cell r="X1695">
            <v>566</v>
          </cell>
          <cell r="Y1695">
            <v>3396</v>
          </cell>
        </row>
        <row r="1696">
          <cell r="U1696" t="str">
            <v>L104102</v>
          </cell>
          <cell r="V1696" t="str">
            <v>SZD 6kg-Caja</v>
          </cell>
          <cell r="W1696" t="str">
            <v>Ajuste</v>
          </cell>
          <cell r="X1696">
            <v>4</v>
          </cell>
          <cell r="Y1696">
            <v>24</v>
          </cell>
        </row>
        <row r="1697">
          <cell r="U1697" t="str">
            <v>L104841</v>
          </cell>
          <cell r="V1697" t="str">
            <v>SZD 6kg-Caja</v>
          </cell>
          <cell r="W1697" t="str">
            <v>Ajuste</v>
          </cell>
          <cell r="X1697">
            <v>408</v>
          </cell>
          <cell r="Y1697">
            <v>2448</v>
          </cell>
        </row>
        <row r="1698">
          <cell r="U1698" t="str">
            <v>L104841</v>
          </cell>
          <cell r="V1698" t="str">
            <v>PV SZD 6kg</v>
          </cell>
          <cell r="W1698" t="str">
            <v>Ajuste</v>
          </cell>
          <cell r="X1698">
            <v>208</v>
          </cell>
          <cell r="Y1698">
            <v>1248</v>
          </cell>
        </row>
        <row r="1699">
          <cell r="U1699" t="str">
            <v>L103987</v>
          </cell>
          <cell r="V1699" t="str">
            <v>SZD 7kg - CAJA</v>
          </cell>
          <cell r="W1699" t="str">
            <v>Ajuste</v>
          </cell>
          <cell r="X1699">
            <v>60</v>
          </cell>
          <cell r="Y1699">
            <v>420</v>
          </cell>
        </row>
        <row r="1700">
          <cell r="U1700" t="str">
            <v>L104928</v>
          </cell>
          <cell r="V1700" t="str">
            <v>TCN 6KG-CAJA</v>
          </cell>
          <cell r="W1700" t="str">
            <v>Ajuste</v>
          </cell>
          <cell r="X1700">
            <v>200</v>
          </cell>
          <cell r="Y1700">
            <v>1200</v>
          </cell>
        </row>
        <row r="1701">
          <cell r="U1701" t="str">
            <v>L104928</v>
          </cell>
          <cell r="V1701" t="str">
            <v>PV TCN 6KG-CAJA</v>
          </cell>
          <cell r="W1701" t="str">
            <v>Ajuste</v>
          </cell>
          <cell r="X1701">
            <v>156</v>
          </cell>
          <cell r="Y1701">
            <v>936</v>
          </cell>
        </row>
        <row r="1702">
          <cell r="U1702" t="str">
            <v>L104649</v>
          </cell>
          <cell r="V1702" t="str">
            <v>TPVPE 1Kg</v>
          </cell>
          <cell r="W1702" t="str">
            <v>Ajuste</v>
          </cell>
          <cell r="X1702">
            <v>22</v>
          </cell>
          <cell r="Y1702">
            <v>22</v>
          </cell>
        </row>
        <row r="1703">
          <cell r="U1703" t="str">
            <v>L104650</v>
          </cell>
          <cell r="V1703" t="str">
            <v>TPVPE 1Kg</v>
          </cell>
          <cell r="W1703" t="str">
            <v>Ajuste</v>
          </cell>
          <cell r="X1703">
            <v>16</v>
          </cell>
          <cell r="Y1703">
            <v>16</v>
          </cell>
        </row>
        <row r="1704">
          <cell r="U1704" t="str">
            <v>L104919</v>
          </cell>
          <cell r="V1704" t="str">
            <v>VM 3kg-CAJA</v>
          </cell>
          <cell r="W1704" t="str">
            <v>Ajuste</v>
          </cell>
          <cell r="X1704">
            <v>2</v>
          </cell>
          <cell r="Y1704">
            <v>6</v>
          </cell>
        </row>
        <row r="1705">
          <cell r="U1705" t="str">
            <v>L103780</v>
          </cell>
          <cell r="V1705" t="str">
            <v>VM 5kg-CAJA</v>
          </cell>
          <cell r="W1705" t="str">
            <v>Ajuste</v>
          </cell>
          <cell r="X1705">
            <v>22</v>
          </cell>
          <cell r="Y1705">
            <v>110</v>
          </cell>
        </row>
        <row r="1706">
          <cell r="U1706" t="str">
            <v>L104042</v>
          </cell>
          <cell r="V1706" t="str">
            <v>VM 5kg-CAJA</v>
          </cell>
          <cell r="W1706" t="str">
            <v>Ajuste</v>
          </cell>
          <cell r="X1706">
            <v>8</v>
          </cell>
          <cell r="Y1706">
            <v>40</v>
          </cell>
        </row>
        <row r="1707">
          <cell r="U1707" t="str">
            <v>L104573</v>
          </cell>
          <cell r="V1707" t="str">
            <v>VM 5kg-CAJA</v>
          </cell>
          <cell r="W1707" t="str">
            <v>Ajuste</v>
          </cell>
          <cell r="X1707">
            <v>9</v>
          </cell>
          <cell r="Y1707">
            <v>45</v>
          </cell>
        </row>
        <row r="1708">
          <cell r="U1708" t="str">
            <v>L104585</v>
          </cell>
          <cell r="V1708" t="str">
            <v>VM 5kg-CAJA</v>
          </cell>
          <cell r="W1708" t="str">
            <v>Ajuste</v>
          </cell>
          <cell r="X1708">
            <v>11</v>
          </cell>
          <cell r="Y1708">
            <v>55</v>
          </cell>
        </row>
        <row r="1709">
          <cell r="U1709" t="str">
            <v>L104640</v>
          </cell>
          <cell r="V1709" t="str">
            <v>VM 5kg-CAJA</v>
          </cell>
          <cell r="W1709" t="str">
            <v>Ajuste</v>
          </cell>
          <cell r="X1709">
            <v>2</v>
          </cell>
          <cell r="Y1709">
            <v>10</v>
          </cell>
        </row>
        <row r="1710">
          <cell r="U1710" t="str">
            <v>L104808</v>
          </cell>
          <cell r="V1710" t="str">
            <v>VM 5kg-CAJA</v>
          </cell>
          <cell r="W1710" t="str">
            <v>Ajuste</v>
          </cell>
          <cell r="X1710">
            <v>2</v>
          </cell>
          <cell r="Y1710">
            <v>10</v>
          </cell>
        </row>
        <row r="1711">
          <cell r="U1711" t="str">
            <v>L104774</v>
          </cell>
          <cell r="V1711" t="str">
            <v>VNG 2KG</v>
          </cell>
          <cell r="W1711" t="str">
            <v>Ajuste</v>
          </cell>
          <cell r="X1711">
            <v>2</v>
          </cell>
          <cell r="Y1711">
            <v>4</v>
          </cell>
        </row>
        <row r="1712">
          <cell r="U1712" t="str">
            <v>L104395</v>
          </cell>
          <cell r="V1712" t="str">
            <v>VNG 3KG</v>
          </cell>
          <cell r="W1712" t="str">
            <v>Ajuste</v>
          </cell>
          <cell r="X1712">
            <v>32</v>
          </cell>
          <cell r="Y1712">
            <v>96</v>
          </cell>
        </row>
        <row r="1713">
          <cell r="U1713" t="str">
            <v>L104668</v>
          </cell>
          <cell r="V1713" t="str">
            <v>VNG 3KG</v>
          </cell>
          <cell r="W1713" t="str">
            <v>Ajuste</v>
          </cell>
          <cell r="X1713">
            <v>10</v>
          </cell>
          <cell r="Y1713">
            <v>30</v>
          </cell>
        </row>
        <row r="1714">
          <cell r="U1714" t="str">
            <v>L105850</v>
          </cell>
          <cell r="V1714" t="str">
            <v>ACC 3kg</v>
          </cell>
          <cell r="W1714" t="str">
            <v>Ajuste</v>
          </cell>
          <cell r="X1714">
            <v>6</v>
          </cell>
          <cell r="Y1714">
            <v>18</v>
          </cell>
        </row>
        <row r="1715">
          <cell r="U1715" t="str">
            <v>L105519</v>
          </cell>
          <cell r="V1715" t="str">
            <v>ACE 1KG-CAJA</v>
          </cell>
          <cell r="W1715" t="str">
            <v>Ajuste</v>
          </cell>
          <cell r="X1715">
            <v>60</v>
          </cell>
          <cell r="Y1715">
            <v>60</v>
          </cell>
        </row>
        <row r="1716">
          <cell r="U1716" t="str">
            <v>L105873</v>
          </cell>
          <cell r="V1716" t="str">
            <v>ACE 1KG-CAJA</v>
          </cell>
          <cell r="W1716" t="str">
            <v>Ajuste</v>
          </cell>
          <cell r="X1716">
            <v>13</v>
          </cell>
          <cell r="Y1716">
            <v>13</v>
          </cell>
        </row>
        <row r="1717">
          <cell r="U1717" t="str">
            <v>L105539</v>
          </cell>
          <cell r="V1717" t="str">
            <v>ACT 2kg</v>
          </cell>
          <cell r="W1717" t="str">
            <v>Ajuste</v>
          </cell>
          <cell r="X1717">
            <v>8</v>
          </cell>
          <cell r="Y1717">
            <v>16.559999999999999</v>
          </cell>
        </row>
        <row r="1718">
          <cell r="U1718" t="str">
            <v>L105861</v>
          </cell>
          <cell r="V1718" t="str">
            <v>ACT 3kg</v>
          </cell>
          <cell r="W1718" t="str">
            <v>Ajuste</v>
          </cell>
          <cell r="X1718">
            <v>1</v>
          </cell>
          <cell r="Y1718">
            <v>3</v>
          </cell>
        </row>
        <row r="1719">
          <cell r="U1719" t="str">
            <v>L105052</v>
          </cell>
          <cell r="V1719" t="str">
            <v>ACT 5kg</v>
          </cell>
          <cell r="W1719" t="str">
            <v>Ajuste</v>
          </cell>
          <cell r="X1719">
            <v>2</v>
          </cell>
          <cell r="Y1719">
            <v>10</v>
          </cell>
        </row>
        <row r="1720">
          <cell r="U1720" t="str">
            <v>L105396</v>
          </cell>
          <cell r="V1720" t="str">
            <v>ACT 5kg</v>
          </cell>
          <cell r="W1720" t="str">
            <v>Ajuste</v>
          </cell>
          <cell r="X1720">
            <v>1</v>
          </cell>
          <cell r="Y1720">
            <v>5</v>
          </cell>
        </row>
        <row r="1721">
          <cell r="U1721" t="str">
            <v>L105737</v>
          </cell>
          <cell r="V1721" t="str">
            <v>ADP 1kg</v>
          </cell>
          <cell r="W1721" t="str">
            <v>Ajuste</v>
          </cell>
          <cell r="X1721">
            <v>62</v>
          </cell>
          <cell r="Y1721">
            <v>62</v>
          </cell>
        </row>
        <row r="1722">
          <cell r="U1722" t="str">
            <v>L105738</v>
          </cell>
          <cell r="V1722" t="str">
            <v>ADP 1kg</v>
          </cell>
          <cell r="W1722" t="str">
            <v>Ajuste</v>
          </cell>
          <cell r="X1722">
            <v>182</v>
          </cell>
          <cell r="Y1722">
            <v>182</v>
          </cell>
        </row>
        <row r="1723">
          <cell r="U1723" t="str">
            <v>L105739</v>
          </cell>
          <cell r="V1723" t="str">
            <v>ADP 1kg</v>
          </cell>
          <cell r="W1723" t="str">
            <v>Ajuste</v>
          </cell>
          <cell r="X1723">
            <v>20</v>
          </cell>
          <cell r="Y1723">
            <v>20</v>
          </cell>
        </row>
        <row r="1724">
          <cell r="U1724" t="str">
            <v>L105740</v>
          </cell>
          <cell r="V1724" t="str">
            <v>ADP 1kg</v>
          </cell>
          <cell r="W1724" t="str">
            <v>Ajuste</v>
          </cell>
          <cell r="X1724">
            <v>2</v>
          </cell>
          <cell r="Y1724">
            <v>2</v>
          </cell>
        </row>
        <row r="1725">
          <cell r="U1725" t="str">
            <v>L105254</v>
          </cell>
          <cell r="V1725" t="str">
            <v>ADP 2Kg</v>
          </cell>
          <cell r="W1725" t="str">
            <v>Ajuste</v>
          </cell>
          <cell r="X1725">
            <v>2</v>
          </cell>
          <cell r="Y1725">
            <v>4</v>
          </cell>
        </row>
        <row r="1726">
          <cell r="U1726" t="str">
            <v>L105276</v>
          </cell>
          <cell r="V1726" t="str">
            <v>ADR 2kg</v>
          </cell>
          <cell r="W1726" t="str">
            <v>Ajuste</v>
          </cell>
          <cell r="X1726">
            <v>4</v>
          </cell>
          <cell r="Y1726">
            <v>8</v>
          </cell>
        </row>
        <row r="1727">
          <cell r="U1727" t="str">
            <v>L105455</v>
          </cell>
          <cell r="V1727" t="str">
            <v>ADR 3kg</v>
          </cell>
          <cell r="W1727" t="str">
            <v>Ajuste</v>
          </cell>
          <cell r="X1727">
            <v>140</v>
          </cell>
          <cell r="Y1727">
            <v>420</v>
          </cell>
        </row>
        <row r="1728">
          <cell r="U1728" t="str">
            <v>L105032</v>
          </cell>
          <cell r="V1728" t="str">
            <v>AGU 24X500ml-CAJA</v>
          </cell>
          <cell r="W1728" t="str">
            <v>Ajuste</v>
          </cell>
          <cell r="X1728">
            <v>2</v>
          </cell>
          <cell r="Y1728">
            <v>24</v>
          </cell>
        </row>
        <row r="1729">
          <cell r="U1729" t="str">
            <v>L105936</v>
          </cell>
          <cell r="V1729" t="str">
            <v>ALC 1GAL - UNIDAD</v>
          </cell>
          <cell r="W1729" t="str">
            <v>Ajuste</v>
          </cell>
          <cell r="X1729">
            <v>56</v>
          </cell>
          <cell r="Y1729">
            <v>211.68</v>
          </cell>
        </row>
        <row r="1730">
          <cell r="U1730" t="str">
            <v>L105212</v>
          </cell>
          <cell r="V1730" t="str">
            <v>APP 2Kg</v>
          </cell>
          <cell r="W1730" t="str">
            <v>Ajuste</v>
          </cell>
          <cell r="X1730">
            <v>4</v>
          </cell>
          <cell r="Y1730">
            <v>8</v>
          </cell>
        </row>
        <row r="1731">
          <cell r="U1731" t="str">
            <v>L105401</v>
          </cell>
          <cell r="V1731" t="str">
            <v>ARTVARHOG kg</v>
          </cell>
          <cell r="W1731" t="str">
            <v>Ajuste</v>
          </cell>
          <cell r="X1731">
            <v>8</v>
          </cell>
          <cell r="Y1731">
            <v>8</v>
          </cell>
        </row>
        <row r="1732">
          <cell r="U1732" t="str">
            <v>L105534</v>
          </cell>
          <cell r="V1732" t="str">
            <v>ARZ 2 kg-Unidad</v>
          </cell>
          <cell r="W1732" t="str">
            <v>Ajuste</v>
          </cell>
          <cell r="X1732">
            <v>72</v>
          </cell>
          <cell r="Y1732">
            <v>144</v>
          </cell>
        </row>
        <row r="1733">
          <cell r="U1733" t="str">
            <v>L104975</v>
          </cell>
          <cell r="V1733" t="str">
            <v>ARZ AY 5Kg</v>
          </cell>
          <cell r="W1733" t="str">
            <v>Ajuste</v>
          </cell>
          <cell r="X1733">
            <v>594</v>
          </cell>
          <cell r="Y1733">
            <v>2970</v>
          </cell>
        </row>
        <row r="1734">
          <cell r="U1734" t="str">
            <v>L105247</v>
          </cell>
          <cell r="V1734" t="str">
            <v>ARZEPF 5kg (CAJA)</v>
          </cell>
          <cell r="W1734" t="str">
            <v>Ajuste</v>
          </cell>
          <cell r="X1734">
            <v>251</v>
          </cell>
          <cell r="Y1734">
            <v>1255</v>
          </cell>
        </row>
        <row r="1735">
          <cell r="U1735" t="str">
            <v>L105965</v>
          </cell>
          <cell r="V1735" t="str">
            <v>ARZEPF 5kg (CAJA)</v>
          </cell>
          <cell r="W1735" t="str">
            <v>Ajuste</v>
          </cell>
          <cell r="X1735">
            <v>393</v>
          </cell>
          <cell r="Y1735">
            <v>1965</v>
          </cell>
        </row>
        <row r="1736">
          <cell r="U1736" t="str">
            <v>L105855</v>
          </cell>
          <cell r="V1736" t="str">
            <v>ARZEPF14kg (CAJA)</v>
          </cell>
          <cell r="W1736" t="str">
            <v>Ajuste</v>
          </cell>
          <cell r="X1736">
            <v>100</v>
          </cell>
          <cell r="Y1736">
            <v>1400</v>
          </cell>
        </row>
        <row r="1737">
          <cell r="U1737" t="str">
            <v>L105035</v>
          </cell>
          <cell r="V1737" t="str">
            <v>ATN 1kg-CAJA</v>
          </cell>
          <cell r="W1737" t="str">
            <v>Ajuste</v>
          </cell>
          <cell r="X1737">
            <v>22</v>
          </cell>
          <cell r="Y1737">
            <v>22</v>
          </cell>
        </row>
        <row r="1738">
          <cell r="U1738" t="str">
            <v>L105036</v>
          </cell>
          <cell r="V1738" t="str">
            <v>ATN 1kg-CAJA</v>
          </cell>
          <cell r="W1738" t="str">
            <v>Ajuste</v>
          </cell>
          <cell r="X1738">
            <v>4</v>
          </cell>
          <cell r="Y1738">
            <v>4</v>
          </cell>
        </row>
        <row r="1739">
          <cell r="U1739" t="str">
            <v>L105139</v>
          </cell>
          <cell r="V1739" t="str">
            <v>ATN 1kg-CAJA</v>
          </cell>
          <cell r="W1739" t="str">
            <v>Ajuste</v>
          </cell>
          <cell r="X1739">
            <v>6</v>
          </cell>
          <cell r="Y1739">
            <v>6</v>
          </cell>
        </row>
        <row r="1740">
          <cell r="U1740" t="str">
            <v>L105386</v>
          </cell>
          <cell r="V1740" t="str">
            <v>ATN 1kg-CAJA</v>
          </cell>
          <cell r="W1740" t="str">
            <v>Ajuste</v>
          </cell>
          <cell r="X1740">
            <v>10</v>
          </cell>
          <cell r="Y1740">
            <v>10</v>
          </cell>
        </row>
        <row r="1741">
          <cell r="U1741" t="str">
            <v>L105795</v>
          </cell>
          <cell r="V1741" t="str">
            <v>ATN 1kg-CAJA</v>
          </cell>
          <cell r="W1741" t="str">
            <v>Ajuste</v>
          </cell>
          <cell r="X1741">
            <v>30</v>
          </cell>
          <cell r="Y1741">
            <v>30</v>
          </cell>
        </row>
        <row r="1742">
          <cell r="U1742" t="str">
            <v>L105796</v>
          </cell>
          <cell r="V1742" t="str">
            <v>ATN 1kg-CAJA</v>
          </cell>
          <cell r="W1742" t="str">
            <v>Ajuste</v>
          </cell>
          <cell r="X1742">
            <v>36</v>
          </cell>
          <cell r="Y1742">
            <v>36</v>
          </cell>
        </row>
        <row r="1743">
          <cell r="U1743" t="str">
            <v>L105797</v>
          </cell>
          <cell r="V1743" t="str">
            <v>ATN 1kg-CAJA</v>
          </cell>
          <cell r="W1743" t="str">
            <v>Ajuste</v>
          </cell>
          <cell r="X1743">
            <v>14</v>
          </cell>
          <cell r="Y1743">
            <v>14</v>
          </cell>
        </row>
        <row r="1744">
          <cell r="U1744" t="str">
            <v>L105540</v>
          </cell>
          <cell r="V1744" t="str">
            <v>AZC 2kg-PAQUETE</v>
          </cell>
          <cell r="W1744" t="str">
            <v>Ajuste</v>
          </cell>
          <cell r="X1744">
            <v>222</v>
          </cell>
          <cell r="Y1744">
            <v>444</v>
          </cell>
        </row>
        <row r="1745">
          <cell r="U1745" t="str">
            <v>L105540</v>
          </cell>
          <cell r="V1745" t="str">
            <v>AZC 2kg-PAQUETE</v>
          </cell>
          <cell r="W1745" t="str">
            <v>Uso del BAP</v>
          </cell>
          <cell r="X1745">
            <v>2</v>
          </cell>
          <cell r="Y1745">
            <v>4</v>
          </cell>
        </row>
        <row r="1746">
          <cell r="U1746" t="str">
            <v>L105063</v>
          </cell>
          <cell r="V1746" t="str">
            <v>AZC 2kg-PAQUETE</v>
          </cell>
          <cell r="W1746" t="str">
            <v>Ajuste</v>
          </cell>
          <cell r="X1746">
            <v>174</v>
          </cell>
          <cell r="Y1746">
            <v>348</v>
          </cell>
        </row>
        <row r="1747">
          <cell r="U1747" t="str">
            <v>L105318</v>
          </cell>
          <cell r="V1747" t="str">
            <v>AZC 2kg-PAQUETE</v>
          </cell>
          <cell r="W1747" t="str">
            <v>Ajuste</v>
          </cell>
          <cell r="X1747">
            <v>46</v>
          </cell>
          <cell r="Y1747">
            <v>92</v>
          </cell>
        </row>
        <row r="1748">
          <cell r="U1748" t="str">
            <v>L105665</v>
          </cell>
          <cell r="V1748" t="str">
            <v>AZC 2kg-PAQUETE</v>
          </cell>
          <cell r="W1748" t="str">
            <v>Ajuste</v>
          </cell>
          <cell r="X1748">
            <v>22</v>
          </cell>
          <cell r="Y1748">
            <v>44</v>
          </cell>
        </row>
        <row r="1749">
          <cell r="U1749" t="str">
            <v>L104971</v>
          </cell>
          <cell r="V1749" t="str">
            <v>BASP 5kg</v>
          </cell>
          <cell r="W1749" t="str">
            <v>Ajuste</v>
          </cell>
          <cell r="X1749">
            <v>132</v>
          </cell>
          <cell r="Y1749">
            <v>660</v>
          </cell>
        </row>
        <row r="1750">
          <cell r="U1750" t="str">
            <v>L104972</v>
          </cell>
          <cell r="V1750" t="str">
            <v>BASPAY 5kg</v>
          </cell>
          <cell r="W1750" t="str">
            <v>Ajuste</v>
          </cell>
          <cell r="X1750">
            <v>132</v>
          </cell>
          <cell r="Y1750">
            <v>660</v>
          </cell>
        </row>
        <row r="1751">
          <cell r="U1751" t="str">
            <v>L105251</v>
          </cell>
          <cell r="V1751" t="str">
            <v>BDP 5kg-CAJA</v>
          </cell>
          <cell r="W1751" t="str">
            <v>Ajuste</v>
          </cell>
          <cell r="X1751">
            <v>216</v>
          </cell>
          <cell r="Y1751">
            <v>1080</v>
          </cell>
        </row>
        <row r="1752">
          <cell r="U1752" t="str">
            <v>L105251</v>
          </cell>
          <cell r="V1752" t="str">
            <v>PV BDP 5kg</v>
          </cell>
          <cell r="W1752" t="str">
            <v>Ajuste</v>
          </cell>
          <cell r="X1752">
            <v>184</v>
          </cell>
          <cell r="Y1752">
            <v>920</v>
          </cell>
        </row>
        <row r="1753">
          <cell r="U1753" t="str">
            <v>L105251</v>
          </cell>
          <cell r="V1753" t="str">
            <v>PV BDP 5kg</v>
          </cell>
          <cell r="W1753" t="str">
            <v>Dañado</v>
          </cell>
          <cell r="X1753">
            <v>2</v>
          </cell>
          <cell r="Y1753">
            <v>10</v>
          </cell>
        </row>
        <row r="1754">
          <cell r="U1754" t="str">
            <v>L105377</v>
          </cell>
          <cell r="V1754" t="str">
            <v>BPB 1Kg-UNIDAD</v>
          </cell>
          <cell r="W1754" t="str">
            <v>Ajuste</v>
          </cell>
          <cell r="X1754">
            <v>14</v>
          </cell>
          <cell r="Y1754">
            <v>14</v>
          </cell>
        </row>
        <row r="1755">
          <cell r="U1755" t="str">
            <v>L105658</v>
          </cell>
          <cell r="V1755" t="str">
            <v>BPB 1Kg-UNIDAD</v>
          </cell>
          <cell r="W1755" t="str">
            <v>Ajuste</v>
          </cell>
          <cell r="X1755">
            <v>8</v>
          </cell>
          <cell r="Y1755">
            <v>8</v>
          </cell>
        </row>
        <row r="1756">
          <cell r="U1756" t="str">
            <v>L105656</v>
          </cell>
          <cell r="V1756" t="str">
            <v>BPB 3Kg-UNIDAD</v>
          </cell>
          <cell r="W1756" t="str">
            <v>Ajuste</v>
          </cell>
          <cell r="X1756">
            <v>10</v>
          </cell>
          <cell r="Y1756">
            <v>30</v>
          </cell>
        </row>
        <row r="1757">
          <cell r="U1757" t="str">
            <v>L105037</v>
          </cell>
          <cell r="V1757" t="str">
            <v>BPV 5kg</v>
          </cell>
          <cell r="W1757" t="str">
            <v>Ajuste</v>
          </cell>
          <cell r="X1757">
            <v>14</v>
          </cell>
          <cell r="Y1757">
            <v>70</v>
          </cell>
        </row>
        <row r="1758">
          <cell r="U1758" t="str">
            <v>L105159</v>
          </cell>
          <cell r="V1758" t="str">
            <v>BPV 5kg</v>
          </cell>
          <cell r="W1758" t="str">
            <v>Ajuste</v>
          </cell>
          <cell r="X1758">
            <v>4</v>
          </cell>
          <cell r="Y1758">
            <v>20</v>
          </cell>
        </row>
        <row r="1759">
          <cell r="U1759" t="str">
            <v>L105160</v>
          </cell>
          <cell r="V1759" t="str">
            <v>BPV 5kg</v>
          </cell>
          <cell r="W1759" t="str">
            <v>Ajuste</v>
          </cell>
          <cell r="X1759">
            <v>2</v>
          </cell>
          <cell r="Y1759">
            <v>10</v>
          </cell>
        </row>
        <row r="1760">
          <cell r="U1760" t="str">
            <v>L105161</v>
          </cell>
          <cell r="V1760" t="str">
            <v>BPV 5kg</v>
          </cell>
          <cell r="W1760" t="str">
            <v>Ajuste</v>
          </cell>
          <cell r="X1760">
            <v>4</v>
          </cell>
          <cell r="Y1760">
            <v>20</v>
          </cell>
        </row>
        <row r="1761">
          <cell r="U1761" t="str">
            <v>L105162</v>
          </cell>
          <cell r="V1761" t="str">
            <v>BPV 5kg</v>
          </cell>
          <cell r="W1761" t="str">
            <v>Ajuste</v>
          </cell>
          <cell r="X1761">
            <v>6</v>
          </cell>
          <cell r="Y1761">
            <v>30</v>
          </cell>
        </row>
        <row r="1762">
          <cell r="U1762" t="str">
            <v>L105388</v>
          </cell>
          <cell r="V1762" t="str">
            <v>BPV 5kg</v>
          </cell>
          <cell r="W1762" t="str">
            <v>Ajuste</v>
          </cell>
          <cell r="X1762">
            <v>14</v>
          </cell>
          <cell r="Y1762">
            <v>70</v>
          </cell>
        </row>
        <row r="1763">
          <cell r="U1763" t="str">
            <v>L105641</v>
          </cell>
          <cell r="V1763" t="str">
            <v>BPV 5kg</v>
          </cell>
          <cell r="W1763" t="str">
            <v>Ajuste</v>
          </cell>
          <cell r="X1763">
            <v>2</v>
          </cell>
          <cell r="Y1763">
            <v>10</v>
          </cell>
        </row>
        <row r="1764">
          <cell r="U1764" t="str">
            <v>L105642</v>
          </cell>
          <cell r="V1764" t="str">
            <v>BPV 5kg</v>
          </cell>
          <cell r="W1764" t="str">
            <v>Ajuste</v>
          </cell>
          <cell r="X1764">
            <v>2</v>
          </cell>
          <cell r="Y1764">
            <v>10</v>
          </cell>
        </row>
        <row r="1765">
          <cell r="U1765" t="str">
            <v>L105754</v>
          </cell>
          <cell r="V1765" t="str">
            <v>BPV 5kg</v>
          </cell>
          <cell r="W1765" t="str">
            <v>Ajuste</v>
          </cell>
          <cell r="X1765">
            <v>8</v>
          </cell>
          <cell r="Y1765">
            <v>40</v>
          </cell>
        </row>
        <row r="1766">
          <cell r="U1766" t="str">
            <v>L105932</v>
          </cell>
          <cell r="V1766" t="str">
            <v>BPV 5kg</v>
          </cell>
          <cell r="W1766" t="str">
            <v>Ajuste</v>
          </cell>
          <cell r="X1766">
            <v>8</v>
          </cell>
          <cell r="Y1766">
            <v>40</v>
          </cell>
        </row>
        <row r="1767">
          <cell r="U1767" t="str">
            <v>L105933</v>
          </cell>
          <cell r="V1767" t="str">
            <v>BPV 5kg</v>
          </cell>
          <cell r="W1767" t="str">
            <v>Ajuste</v>
          </cell>
          <cell r="X1767">
            <v>8</v>
          </cell>
          <cell r="Y1767">
            <v>40</v>
          </cell>
        </row>
        <row r="1768">
          <cell r="U1768" t="str">
            <v>L105934</v>
          </cell>
          <cell r="V1768" t="str">
            <v>BPV 5kg</v>
          </cell>
          <cell r="W1768" t="str">
            <v>Ajuste</v>
          </cell>
          <cell r="X1768">
            <v>2</v>
          </cell>
          <cell r="Y1768">
            <v>10</v>
          </cell>
        </row>
        <row r="1769">
          <cell r="U1769" t="str">
            <v>L104970</v>
          </cell>
          <cell r="V1769" t="str">
            <v>BPVAY 10kg</v>
          </cell>
          <cell r="W1769" t="str">
            <v>Ajuste</v>
          </cell>
          <cell r="X1769">
            <v>132</v>
          </cell>
          <cell r="Y1769">
            <v>1320</v>
          </cell>
        </row>
        <row r="1770">
          <cell r="U1770" t="str">
            <v>L106021</v>
          </cell>
          <cell r="V1770" t="str">
            <v>CAF 2kg</v>
          </cell>
          <cell r="W1770" t="str">
            <v>Ajuste</v>
          </cell>
          <cell r="X1770">
            <v>10</v>
          </cell>
          <cell r="Y1770">
            <v>20</v>
          </cell>
        </row>
        <row r="1771">
          <cell r="U1771" t="str">
            <v>L105663</v>
          </cell>
          <cell r="V1771" t="str">
            <v>CCHP 1kg</v>
          </cell>
          <cell r="W1771" t="str">
            <v>Ajuste</v>
          </cell>
          <cell r="X1771">
            <v>3</v>
          </cell>
          <cell r="Y1771">
            <v>3</v>
          </cell>
        </row>
        <row r="1772">
          <cell r="U1772" t="str">
            <v>L105663</v>
          </cell>
          <cell r="V1772" t="str">
            <v>CCHP 1kg</v>
          </cell>
          <cell r="W1772" t="str">
            <v>Uso del BAP</v>
          </cell>
          <cell r="X1772">
            <v>1</v>
          </cell>
          <cell r="Y1772">
            <v>1</v>
          </cell>
        </row>
        <row r="1773">
          <cell r="U1773" t="str">
            <v>L105860</v>
          </cell>
          <cell r="V1773" t="str">
            <v>CHP 3kg</v>
          </cell>
          <cell r="W1773" t="str">
            <v>Ajuste</v>
          </cell>
          <cell r="X1773">
            <v>8</v>
          </cell>
          <cell r="Y1773">
            <v>24</v>
          </cell>
        </row>
        <row r="1774">
          <cell r="U1774" t="str">
            <v>L105402</v>
          </cell>
          <cell r="V1774" t="str">
            <v>CHT 1kg - CAJA</v>
          </cell>
          <cell r="W1774" t="str">
            <v>Ajuste</v>
          </cell>
          <cell r="X1774">
            <v>780</v>
          </cell>
          <cell r="Y1774">
            <v>780</v>
          </cell>
        </row>
        <row r="1775">
          <cell r="U1775" t="str">
            <v>L105403</v>
          </cell>
          <cell r="V1775" t="str">
            <v>CHT 1kg - CAJA</v>
          </cell>
          <cell r="W1775" t="str">
            <v>Ajuste</v>
          </cell>
          <cell r="X1775">
            <v>54</v>
          </cell>
          <cell r="Y1775">
            <v>54</v>
          </cell>
        </row>
        <row r="1776">
          <cell r="U1776" t="str">
            <v>L105025</v>
          </cell>
          <cell r="V1776" t="str">
            <v>CJRC46-25UNI</v>
          </cell>
          <cell r="W1776" t="str">
            <v>Ajuste</v>
          </cell>
          <cell r="X1776">
            <v>192</v>
          </cell>
          <cell r="Y1776">
            <v>1497.6</v>
          </cell>
        </row>
        <row r="1777">
          <cell r="U1777" t="str">
            <v>L105060</v>
          </cell>
          <cell r="V1777" t="str">
            <v>CLX 2kg</v>
          </cell>
          <cell r="W1777" t="str">
            <v>Ajuste</v>
          </cell>
          <cell r="X1777">
            <v>10</v>
          </cell>
          <cell r="Y1777">
            <v>20</v>
          </cell>
        </row>
        <row r="1778">
          <cell r="U1778" t="str">
            <v>L105664</v>
          </cell>
          <cell r="V1778" t="str">
            <v>CLX 2kg</v>
          </cell>
          <cell r="W1778" t="str">
            <v>Ajuste</v>
          </cell>
          <cell r="X1778">
            <v>4</v>
          </cell>
          <cell r="Y1778">
            <v>8</v>
          </cell>
        </row>
        <row r="1779">
          <cell r="U1779" t="str">
            <v>L105638</v>
          </cell>
          <cell r="V1779" t="str">
            <v>CNPH 5Kg</v>
          </cell>
          <cell r="W1779" t="str">
            <v>Ajuste</v>
          </cell>
          <cell r="X1779">
            <v>200</v>
          </cell>
          <cell r="Y1779">
            <v>1000</v>
          </cell>
        </row>
        <row r="1780">
          <cell r="U1780" t="str">
            <v>L104976</v>
          </cell>
          <cell r="V1780" t="str">
            <v>CODV 2kg</v>
          </cell>
          <cell r="W1780" t="str">
            <v>Ajuste</v>
          </cell>
          <cell r="X1780">
            <v>80</v>
          </cell>
          <cell r="Y1780">
            <v>160</v>
          </cell>
        </row>
        <row r="1781">
          <cell r="U1781" t="str">
            <v>L105674</v>
          </cell>
          <cell r="V1781" t="str">
            <v>COSDC 3KG</v>
          </cell>
          <cell r="W1781" t="str">
            <v>Ajuste</v>
          </cell>
          <cell r="X1781">
            <v>492</v>
          </cell>
          <cell r="Y1781">
            <v>1476</v>
          </cell>
        </row>
        <row r="1782">
          <cell r="U1782" t="str">
            <v>L105125</v>
          </cell>
          <cell r="V1782" t="str">
            <v>COSDC 3KG</v>
          </cell>
          <cell r="W1782" t="str">
            <v>Ajuste</v>
          </cell>
          <cell r="X1782">
            <v>888</v>
          </cell>
          <cell r="Y1782">
            <v>2664</v>
          </cell>
        </row>
        <row r="1783">
          <cell r="U1783" t="str">
            <v>L105939</v>
          </cell>
          <cell r="V1783" t="str">
            <v>CRAVCH 3kg</v>
          </cell>
          <cell r="W1783" t="str">
            <v>Ajuste</v>
          </cell>
          <cell r="X1783">
            <v>6</v>
          </cell>
          <cell r="Y1783">
            <v>18</v>
          </cell>
        </row>
        <row r="1784">
          <cell r="U1784" t="str">
            <v>L105153</v>
          </cell>
          <cell r="V1784" t="str">
            <v>CRV 1.5kg</v>
          </cell>
          <cell r="W1784" t="str">
            <v>Ajuste</v>
          </cell>
          <cell r="X1784">
            <v>2</v>
          </cell>
          <cell r="Y1784">
            <v>3</v>
          </cell>
        </row>
        <row r="1785">
          <cell r="U1785" t="str">
            <v>L105154</v>
          </cell>
          <cell r="V1785" t="str">
            <v>CRV 1kg</v>
          </cell>
          <cell r="W1785" t="str">
            <v>Ajuste</v>
          </cell>
          <cell r="X1785">
            <v>2</v>
          </cell>
          <cell r="Y1785">
            <v>2</v>
          </cell>
        </row>
        <row r="1786">
          <cell r="U1786" t="str">
            <v>L105158</v>
          </cell>
          <cell r="V1786" t="str">
            <v>CRV 1kg</v>
          </cell>
          <cell r="W1786" t="str">
            <v>Ajuste</v>
          </cell>
          <cell r="X1786">
            <v>2</v>
          </cell>
          <cell r="Y1786">
            <v>2</v>
          </cell>
        </row>
        <row r="1787">
          <cell r="U1787" t="str">
            <v>L105373</v>
          </cell>
          <cell r="V1787" t="str">
            <v>CRV 1kg</v>
          </cell>
          <cell r="W1787" t="str">
            <v>Ajuste</v>
          </cell>
          <cell r="X1787">
            <v>2</v>
          </cell>
          <cell r="Y1787">
            <v>2</v>
          </cell>
        </row>
        <row r="1788">
          <cell r="U1788" t="str">
            <v>L105374</v>
          </cell>
          <cell r="V1788" t="str">
            <v>CRV 1kg</v>
          </cell>
          <cell r="W1788" t="str">
            <v>Ajuste</v>
          </cell>
          <cell r="X1788">
            <v>2</v>
          </cell>
          <cell r="Y1788">
            <v>2</v>
          </cell>
        </row>
        <row r="1789">
          <cell r="U1789" t="str">
            <v>L105575</v>
          </cell>
          <cell r="V1789" t="str">
            <v>CRV 1kg</v>
          </cell>
          <cell r="W1789" t="str">
            <v>Ajuste</v>
          </cell>
          <cell r="X1789">
            <v>18</v>
          </cell>
          <cell r="Y1789">
            <v>18</v>
          </cell>
        </row>
        <row r="1790">
          <cell r="U1790" t="str">
            <v>L105576</v>
          </cell>
          <cell r="V1790" t="str">
            <v>CRV 1kg</v>
          </cell>
          <cell r="W1790" t="str">
            <v>Ajuste</v>
          </cell>
          <cell r="X1790">
            <v>10</v>
          </cell>
          <cell r="Y1790">
            <v>10</v>
          </cell>
        </row>
        <row r="1791">
          <cell r="U1791" t="str">
            <v>L105577</v>
          </cell>
          <cell r="V1791" t="str">
            <v>CRV 1kg</v>
          </cell>
          <cell r="W1791" t="str">
            <v>Ajuste</v>
          </cell>
          <cell r="X1791">
            <v>2</v>
          </cell>
          <cell r="Y1791">
            <v>2</v>
          </cell>
        </row>
        <row r="1792">
          <cell r="U1792" t="str">
            <v>L105578</v>
          </cell>
          <cell r="V1792" t="str">
            <v>CRV 1kg</v>
          </cell>
          <cell r="W1792" t="str">
            <v>Ajuste</v>
          </cell>
          <cell r="X1792">
            <v>10</v>
          </cell>
          <cell r="Y1792">
            <v>10</v>
          </cell>
        </row>
        <row r="1793">
          <cell r="U1793" t="str">
            <v>L105579</v>
          </cell>
          <cell r="V1793" t="str">
            <v>CRV 1kg</v>
          </cell>
          <cell r="W1793" t="str">
            <v>Ajuste</v>
          </cell>
          <cell r="X1793">
            <v>12</v>
          </cell>
          <cell r="Y1793">
            <v>12</v>
          </cell>
        </row>
        <row r="1794">
          <cell r="U1794" t="str">
            <v>L105580</v>
          </cell>
          <cell r="V1794" t="str">
            <v>CRV 1kg</v>
          </cell>
          <cell r="W1794" t="str">
            <v>Ajuste</v>
          </cell>
          <cell r="X1794">
            <v>16</v>
          </cell>
          <cell r="Y1794">
            <v>16</v>
          </cell>
        </row>
        <row r="1795">
          <cell r="U1795" t="str">
            <v>L105581</v>
          </cell>
          <cell r="V1795" t="str">
            <v>CRV 1kg</v>
          </cell>
          <cell r="W1795" t="str">
            <v>Ajuste</v>
          </cell>
          <cell r="X1795">
            <v>96</v>
          </cell>
          <cell r="Y1795">
            <v>96</v>
          </cell>
        </row>
        <row r="1796">
          <cell r="U1796" t="str">
            <v>L105582</v>
          </cell>
          <cell r="V1796" t="str">
            <v>CRV 1kg</v>
          </cell>
          <cell r="W1796" t="str">
            <v>Ajuste</v>
          </cell>
          <cell r="X1796">
            <v>12</v>
          </cell>
          <cell r="Y1796">
            <v>12</v>
          </cell>
        </row>
        <row r="1797">
          <cell r="U1797" t="str">
            <v>L105583</v>
          </cell>
          <cell r="V1797" t="str">
            <v>CRV 1kg</v>
          </cell>
          <cell r="W1797" t="str">
            <v>Ajuste</v>
          </cell>
          <cell r="X1797">
            <v>8</v>
          </cell>
          <cell r="Y1797">
            <v>8</v>
          </cell>
        </row>
        <row r="1798">
          <cell r="U1798" t="str">
            <v>L105587</v>
          </cell>
          <cell r="V1798" t="str">
            <v>CRV 1kg</v>
          </cell>
          <cell r="W1798" t="str">
            <v>Ajuste</v>
          </cell>
          <cell r="X1798">
            <v>6</v>
          </cell>
          <cell r="Y1798">
            <v>6</v>
          </cell>
        </row>
        <row r="1799">
          <cell r="U1799" t="str">
            <v>L105589</v>
          </cell>
          <cell r="V1799" t="str">
            <v>CRV 1kg</v>
          </cell>
          <cell r="W1799" t="str">
            <v>Ajuste</v>
          </cell>
          <cell r="X1799">
            <v>2</v>
          </cell>
          <cell r="Y1799">
            <v>2</v>
          </cell>
        </row>
        <row r="1800">
          <cell r="U1800" t="str">
            <v>L105590</v>
          </cell>
          <cell r="V1800" t="str">
            <v>CRV 1kg</v>
          </cell>
          <cell r="W1800" t="str">
            <v>Ajuste</v>
          </cell>
          <cell r="X1800">
            <v>2</v>
          </cell>
          <cell r="Y1800">
            <v>2</v>
          </cell>
        </row>
        <row r="1801">
          <cell r="U1801" t="str">
            <v>L105908</v>
          </cell>
          <cell r="V1801" t="str">
            <v>CRV 1kg</v>
          </cell>
          <cell r="W1801" t="str">
            <v>Ajuste</v>
          </cell>
          <cell r="X1801">
            <v>2</v>
          </cell>
          <cell r="Y1801">
            <v>2</v>
          </cell>
        </row>
        <row r="1802">
          <cell r="U1802" t="str">
            <v>L105155</v>
          </cell>
          <cell r="V1802" t="str">
            <v>CRV 2kg-CAJA</v>
          </cell>
          <cell r="W1802" t="str">
            <v>Ajuste</v>
          </cell>
          <cell r="X1802">
            <v>2</v>
          </cell>
          <cell r="Y1802">
            <v>4</v>
          </cell>
        </row>
        <row r="1803">
          <cell r="U1803" t="str">
            <v>L105156</v>
          </cell>
          <cell r="V1803" t="str">
            <v>CRV 2kg-CAJA</v>
          </cell>
          <cell r="W1803" t="str">
            <v>Ajuste</v>
          </cell>
          <cell r="X1803">
            <v>2</v>
          </cell>
          <cell r="Y1803">
            <v>4</v>
          </cell>
        </row>
        <row r="1804">
          <cell r="U1804" t="str">
            <v>L105157</v>
          </cell>
          <cell r="V1804" t="str">
            <v>CRV 2kg-CAJA</v>
          </cell>
          <cell r="W1804" t="str">
            <v>Ajuste</v>
          </cell>
          <cell r="X1804">
            <v>2</v>
          </cell>
          <cell r="Y1804">
            <v>4</v>
          </cell>
        </row>
        <row r="1805">
          <cell r="U1805" t="str">
            <v>L105217</v>
          </cell>
          <cell r="V1805" t="str">
            <v>CRV 2kg-CAJA</v>
          </cell>
          <cell r="W1805" t="str">
            <v>Ajuste</v>
          </cell>
          <cell r="X1805">
            <v>2</v>
          </cell>
          <cell r="Y1805">
            <v>4</v>
          </cell>
        </row>
        <row r="1806">
          <cell r="U1806" t="str">
            <v>L105313</v>
          </cell>
          <cell r="V1806" t="str">
            <v>CRV 2kg-CAJA</v>
          </cell>
          <cell r="W1806" t="str">
            <v>Ajuste</v>
          </cell>
          <cell r="X1806">
            <v>6</v>
          </cell>
          <cell r="Y1806">
            <v>12</v>
          </cell>
        </row>
        <row r="1807">
          <cell r="U1807" t="str">
            <v>L105314</v>
          </cell>
          <cell r="V1807" t="str">
            <v>CRV 2kg-CAJA</v>
          </cell>
          <cell r="W1807" t="str">
            <v>Ajuste</v>
          </cell>
          <cell r="X1807">
            <v>10</v>
          </cell>
          <cell r="Y1807">
            <v>20</v>
          </cell>
        </row>
        <row r="1808">
          <cell r="U1808" t="str">
            <v>L105390</v>
          </cell>
          <cell r="V1808" t="str">
            <v>CRV 2kg-CAJA</v>
          </cell>
          <cell r="W1808" t="str">
            <v>Ajuste</v>
          </cell>
          <cell r="X1808">
            <v>2</v>
          </cell>
          <cell r="Y1808">
            <v>4</v>
          </cell>
        </row>
        <row r="1809">
          <cell r="U1809" t="str">
            <v>L105391</v>
          </cell>
          <cell r="V1809" t="str">
            <v>CRV 2kg-CAJA</v>
          </cell>
          <cell r="W1809" t="str">
            <v>Ajuste</v>
          </cell>
          <cell r="X1809">
            <v>3</v>
          </cell>
          <cell r="Y1809">
            <v>6</v>
          </cell>
        </row>
        <row r="1810">
          <cell r="U1810" t="str">
            <v>L105584</v>
          </cell>
          <cell r="V1810" t="str">
            <v>CRV 2kg-CAJA</v>
          </cell>
          <cell r="W1810" t="str">
            <v>Ajuste</v>
          </cell>
          <cell r="X1810">
            <v>2</v>
          </cell>
          <cell r="Y1810">
            <v>4</v>
          </cell>
        </row>
        <row r="1811">
          <cell r="U1811" t="str">
            <v>L105585</v>
          </cell>
          <cell r="V1811" t="str">
            <v>CRV 2kg-CAJA</v>
          </cell>
          <cell r="W1811" t="str">
            <v>Ajuste</v>
          </cell>
          <cell r="X1811">
            <v>2</v>
          </cell>
          <cell r="Y1811">
            <v>4</v>
          </cell>
        </row>
        <row r="1812">
          <cell r="U1812" t="str">
            <v>L105586</v>
          </cell>
          <cell r="V1812" t="str">
            <v>CRV 2kg-CAJA</v>
          </cell>
          <cell r="W1812" t="str">
            <v>Ajuste</v>
          </cell>
          <cell r="X1812">
            <v>4</v>
          </cell>
          <cell r="Y1812">
            <v>8</v>
          </cell>
        </row>
        <row r="1813">
          <cell r="U1813" t="str">
            <v>L105588</v>
          </cell>
          <cell r="V1813" t="str">
            <v>CRV 2kg-CAJA</v>
          </cell>
          <cell r="W1813" t="str">
            <v>Ajuste</v>
          </cell>
          <cell r="X1813">
            <v>2</v>
          </cell>
          <cell r="Y1813">
            <v>4</v>
          </cell>
        </row>
        <row r="1814">
          <cell r="U1814" t="str">
            <v>L105045</v>
          </cell>
          <cell r="V1814" t="str">
            <v>CTF 3Kg-CAJA</v>
          </cell>
          <cell r="W1814" t="str">
            <v>Ajuste</v>
          </cell>
          <cell r="X1814">
            <v>8</v>
          </cell>
          <cell r="Y1814">
            <v>24</v>
          </cell>
        </row>
        <row r="1815">
          <cell r="U1815" t="str">
            <v>L105164</v>
          </cell>
          <cell r="V1815" t="str">
            <v>CTF 3Kg-CAJA</v>
          </cell>
          <cell r="W1815" t="str">
            <v>Ajuste</v>
          </cell>
          <cell r="X1815">
            <v>8</v>
          </cell>
          <cell r="Y1815">
            <v>24</v>
          </cell>
        </row>
        <row r="1816">
          <cell r="U1816" t="str">
            <v>L105389</v>
          </cell>
          <cell r="V1816" t="str">
            <v>CTF 3Kg-CAJA</v>
          </cell>
          <cell r="W1816" t="str">
            <v>Ajuste</v>
          </cell>
          <cell r="X1816">
            <v>2</v>
          </cell>
          <cell r="Y1816">
            <v>6</v>
          </cell>
        </row>
        <row r="1817">
          <cell r="U1817" t="str">
            <v>L105906</v>
          </cell>
          <cell r="V1817" t="str">
            <v>CTF 3Kg-CAJA</v>
          </cell>
          <cell r="W1817" t="str">
            <v>Ajuste</v>
          </cell>
          <cell r="X1817">
            <v>2</v>
          </cell>
          <cell r="Y1817">
            <v>6</v>
          </cell>
        </row>
        <row r="1818">
          <cell r="U1818" t="str">
            <v>L105053</v>
          </cell>
          <cell r="V1818" t="str">
            <v>CTF 5Kg-CAJA</v>
          </cell>
          <cell r="W1818" t="str">
            <v>Ajuste</v>
          </cell>
          <cell r="X1818">
            <v>2</v>
          </cell>
          <cell r="Y1818">
            <v>10</v>
          </cell>
        </row>
        <row r="1819">
          <cell r="U1819" t="str">
            <v>L105783</v>
          </cell>
          <cell r="V1819" t="str">
            <v>DDP 2KG</v>
          </cell>
          <cell r="W1819" t="str">
            <v>Ajuste</v>
          </cell>
          <cell r="X1819">
            <v>263</v>
          </cell>
          <cell r="Y1819">
            <v>526</v>
          </cell>
        </row>
        <row r="1820">
          <cell r="U1820" t="str">
            <v>L106029</v>
          </cell>
          <cell r="V1820" t="str">
            <v>DIV ACT 3kg</v>
          </cell>
          <cell r="W1820" t="str">
            <v>Ajuste</v>
          </cell>
          <cell r="X1820">
            <v>12</v>
          </cell>
          <cell r="Y1820">
            <v>36</v>
          </cell>
        </row>
        <row r="1821">
          <cell r="U1821" t="str">
            <v>L105670</v>
          </cell>
          <cell r="V1821" t="str">
            <v>DIV Aderezo kg</v>
          </cell>
          <cell r="W1821" t="str">
            <v>Ajuste</v>
          </cell>
          <cell r="X1821">
            <v>6</v>
          </cell>
          <cell r="Y1821">
            <v>6</v>
          </cell>
        </row>
        <row r="1822">
          <cell r="U1822" t="str">
            <v>L105335</v>
          </cell>
          <cell r="V1822" t="str">
            <v>DIV ADR 2kg</v>
          </cell>
          <cell r="W1822" t="str">
            <v>Ajuste</v>
          </cell>
          <cell r="X1822">
            <v>2</v>
          </cell>
          <cell r="Y1822">
            <v>4</v>
          </cell>
        </row>
        <row r="1823">
          <cell r="U1823" t="str">
            <v>L105679</v>
          </cell>
          <cell r="V1823" t="str">
            <v>DIV ADR 2kg</v>
          </cell>
          <cell r="W1823" t="str">
            <v>Ajuste</v>
          </cell>
          <cell r="X1823">
            <v>18</v>
          </cell>
          <cell r="Y1823">
            <v>36</v>
          </cell>
        </row>
        <row r="1824">
          <cell r="U1824" t="str">
            <v>L105690</v>
          </cell>
          <cell r="V1824" t="str">
            <v>DIV ADR 2kg</v>
          </cell>
          <cell r="W1824" t="str">
            <v>Ajuste</v>
          </cell>
          <cell r="X1824">
            <v>5</v>
          </cell>
          <cell r="Y1824">
            <v>10</v>
          </cell>
        </row>
        <row r="1825">
          <cell r="U1825" t="str">
            <v>L106026</v>
          </cell>
          <cell r="V1825" t="str">
            <v>DIV ADR 2kg</v>
          </cell>
          <cell r="W1825" t="str">
            <v>Ajuste</v>
          </cell>
          <cell r="X1825">
            <v>2</v>
          </cell>
          <cell r="Y1825">
            <v>4</v>
          </cell>
        </row>
        <row r="1826">
          <cell r="U1826" t="str">
            <v>L104934</v>
          </cell>
          <cell r="V1826" t="str">
            <v>DIV ALP 7kg</v>
          </cell>
          <cell r="W1826" t="str">
            <v>Ajuste</v>
          </cell>
          <cell r="X1826">
            <v>6</v>
          </cell>
          <cell r="Y1826">
            <v>42</v>
          </cell>
        </row>
        <row r="1827">
          <cell r="U1827" t="str">
            <v>L105979</v>
          </cell>
          <cell r="V1827" t="str">
            <v>DIV AMCO 2kg</v>
          </cell>
          <cell r="W1827" t="str">
            <v>Ajuste</v>
          </cell>
          <cell r="X1827">
            <v>10</v>
          </cell>
          <cell r="Y1827">
            <v>20</v>
          </cell>
        </row>
        <row r="1828">
          <cell r="U1828" t="str">
            <v>L106019</v>
          </cell>
          <cell r="V1828" t="str">
            <v>DIV ARZ 2 kg</v>
          </cell>
          <cell r="W1828" t="str">
            <v>Ajuste</v>
          </cell>
          <cell r="X1828">
            <v>112</v>
          </cell>
          <cell r="Y1828">
            <v>224</v>
          </cell>
        </row>
        <row r="1829">
          <cell r="U1829" t="str">
            <v>L105591</v>
          </cell>
          <cell r="V1829" t="str">
            <v>DIV AZC 2kg</v>
          </cell>
          <cell r="W1829" t="str">
            <v>Ajuste</v>
          </cell>
          <cell r="X1829">
            <v>66</v>
          </cell>
          <cell r="Y1829">
            <v>132</v>
          </cell>
        </row>
        <row r="1830">
          <cell r="U1830" t="str">
            <v>L104951</v>
          </cell>
          <cell r="V1830" t="str">
            <v>DIV BASP 5kg</v>
          </cell>
          <cell r="W1830" t="str">
            <v>Ajuste</v>
          </cell>
          <cell r="X1830">
            <v>10</v>
          </cell>
          <cell r="Y1830">
            <v>50</v>
          </cell>
        </row>
        <row r="1831">
          <cell r="U1831" t="str">
            <v>L105688</v>
          </cell>
          <cell r="V1831" t="str">
            <v>DIV BPV 2kg</v>
          </cell>
          <cell r="W1831" t="str">
            <v>Ajuste</v>
          </cell>
          <cell r="X1831">
            <v>12</v>
          </cell>
          <cell r="Y1831">
            <v>24</v>
          </cell>
        </row>
        <row r="1832">
          <cell r="U1832" t="str">
            <v>L106024</v>
          </cell>
          <cell r="V1832" t="str">
            <v>DIV BPV 2kg</v>
          </cell>
          <cell r="W1832" t="str">
            <v>Ajuste</v>
          </cell>
          <cell r="X1832">
            <v>2</v>
          </cell>
          <cell r="Y1832">
            <v>4</v>
          </cell>
        </row>
        <row r="1833">
          <cell r="U1833" t="str">
            <v>L105081</v>
          </cell>
          <cell r="V1833" t="str">
            <v>DIV BPV 5kg</v>
          </cell>
          <cell r="W1833" t="str">
            <v>Ajuste</v>
          </cell>
          <cell r="X1833">
            <v>6</v>
          </cell>
          <cell r="Y1833">
            <v>30</v>
          </cell>
        </row>
        <row r="1834">
          <cell r="U1834" t="str">
            <v>L105349</v>
          </cell>
          <cell r="V1834" t="str">
            <v>DIV BPV 5kg</v>
          </cell>
          <cell r="W1834" t="str">
            <v>Ajuste</v>
          </cell>
          <cell r="X1834">
            <v>12</v>
          </cell>
          <cell r="Y1834">
            <v>60</v>
          </cell>
        </row>
        <row r="1835">
          <cell r="U1835" t="str">
            <v>L106023</v>
          </cell>
          <cell r="V1835" t="str">
            <v>DIV BPV 5kg</v>
          </cell>
          <cell r="W1835" t="str">
            <v>Ajuste</v>
          </cell>
          <cell r="X1835">
            <v>7</v>
          </cell>
          <cell r="Y1835">
            <v>35</v>
          </cell>
        </row>
        <row r="1836">
          <cell r="U1836" t="str">
            <v>L105676</v>
          </cell>
          <cell r="V1836" t="str">
            <v>DIV CHT 2kg</v>
          </cell>
          <cell r="W1836" t="str">
            <v>Ajuste</v>
          </cell>
          <cell r="X1836">
            <v>2</v>
          </cell>
          <cell r="Y1836">
            <v>4</v>
          </cell>
        </row>
        <row r="1837">
          <cell r="U1837" t="str">
            <v>L105331</v>
          </cell>
          <cell r="V1837" t="str">
            <v>DIV CHWM 2kg</v>
          </cell>
          <cell r="W1837" t="str">
            <v>Ajuste</v>
          </cell>
          <cell r="X1837">
            <v>8</v>
          </cell>
          <cell r="Y1837">
            <v>16</v>
          </cell>
        </row>
        <row r="1838">
          <cell r="U1838" t="str">
            <v>L105700</v>
          </cell>
          <cell r="V1838" t="str">
            <v>DIV CHWM 2kg</v>
          </cell>
          <cell r="W1838" t="str">
            <v>Ajuste</v>
          </cell>
          <cell r="X1838">
            <v>20</v>
          </cell>
          <cell r="Y1838">
            <v>40</v>
          </cell>
        </row>
        <row r="1839">
          <cell r="U1839" t="str">
            <v>L105094</v>
          </cell>
          <cell r="V1839" t="str">
            <v>DIV CLGRN 2kg</v>
          </cell>
          <cell r="W1839" t="str">
            <v>Ajuste</v>
          </cell>
          <cell r="X1839">
            <v>32</v>
          </cell>
          <cell r="Y1839">
            <v>64</v>
          </cell>
        </row>
        <row r="1840">
          <cell r="U1840" t="str">
            <v>L105507</v>
          </cell>
          <cell r="V1840" t="str">
            <v>DIV CLX 2kg</v>
          </cell>
          <cell r="W1840" t="str">
            <v>Ajuste</v>
          </cell>
          <cell r="X1840">
            <v>10</v>
          </cell>
          <cell r="Y1840">
            <v>20</v>
          </cell>
        </row>
        <row r="1841">
          <cell r="U1841" t="str">
            <v>L105869</v>
          </cell>
          <cell r="V1841" t="str">
            <v>DIV CNPH 4.5kg</v>
          </cell>
          <cell r="W1841" t="str">
            <v>Ajuste</v>
          </cell>
          <cell r="X1841">
            <v>200</v>
          </cell>
          <cell r="Y1841">
            <v>900</v>
          </cell>
        </row>
        <row r="1842">
          <cell r="U1842" t="str">
            <v>L105088</v>
          </cell>
          <cell r="V1842" t="str">
            <v>DIV COLBB 2kg</v>
          </cell>
          <cell r="W1842" t="str">
            <v>Ajuste</v>
          </cell>
          <cell r="X1842">
            <v>10</v>
          </cell>
          <cell r="Y1842">
            <v>20</v>
          </cell>
        </row>
        <row r="1843">
          <cell r="U1843" t="str">
            <v>L105857</v>
          </cell>
          <cell r="V1843" t="str">
            <v>DIV COSDC 14KG</v>
          </cell>
          <cell r="W1843" t="str">
            <v>Ajuste</v>
          </cell>
          <cell r="X1843">
            <v>50</v>
          </cell>
          <cell r="Y1843">
            <v>700</v>
          </cell>
        </row>
        <row r="1844">
          <cell r="U1844" t="str">
            <v>L105239</v>
          </cell>
          <cell r="V1844" t="str">
            <v>DIV CPVF 5kg</v>
          </cell>
          <cell r="W1844" t="str">
            <v>Ajuste</v>
          </cell>
          <cell r="X1844">
            <v>2</v>
          </cell>
          <cell r="Y1844">
            <v>10</v>
          </cell>
        </row>
        <row r="1845">
          <cell r="U1845" t="str">
            <v>L105662</v>
          </cell>
          <cell r="V1845" t="str">
            <v>DIV CRM 10kg</v>
          </cell>
          <cell r="W1845" t="str">
            <v>Ajuste</v>
          </cell>
          <cell r="X1845">
            <v>172</v>
          </cell>
          <cell r="Y1845">
            <v>1720</v>
          </cell>
        </row>
        <row r="1846">
          <cell r="U1846" t="str">
            <v>L105348</v>
          </cell>
          <cell r="V1846" t="str">
            <v>DIV CRM 2kg</v>
          </cell>
          <cell r="W1846" t="str">
            <v>Ajuste</v>
          </cell>
          <cell r="X1846">
            <v>38</v>
          </cell>
          <cell r="Y1846">
            <v>76</v>
          </cell>
        </row>
        <row r="1847">
          <cell r="U1847" t="str">
            <v>L105512</v>
          </cell>
          <cell r="V1847" t="str">
            <v>DIV CRV 1kg</v>
          </cell>
          <cell r="W1847" t="str">
            <v>Ajuste</v>
          </cell>
          <cell r="X1847">
            <v>2</v>
          </cell>
          <cell r="Y1847">
            <v>2</v>
          </cell>
        </row>
        <row r="1848">
          <cell r="U1848" t="str">
            <v>L105080</v>
          </cell>
          <cell r="V1848" t="str">
            <v>DIV CRV 2kg</v>
          </cell>
          <cell r="W1848" t="str">
            <v>Ajuste</v>
          </cell>
          <cell r="X1848">
            <v>2</v>
          </cell>
          <cell r="Y1848">
            <v>4</v>
          </cell>
        </row>
        <row r="1849">
          <cell r="U1849" t="str">
            <v>L106030</v>
          </cell>
          <cell r="V1849" t="str">
            <v>DIV CRV 2kg</v>
          </cell>
          <cell r="W1849" t="str">
            <v>Ajuste</v>
          </cell>
          <cell r="X1849">
            <v>2</v>
          </cell>
          <cell r="Y1849">
            <v>4</v>
          </cell>
        </row>
        <row r="1850">
          <cell r="U1850" t="str">
            <v>L104942</v>
          </cell>
          <cell r="V1850" t="str">
            <v>DIV DSDM 1kg</v>
          </cell>
          <cell r="W1850" t="str">
            <v>Ajuste</v>
          </cell>
          <cell r="X1850">
            <v>6</v>
          </cell>
          <cell r="Y1850">
            <v>6</v>
          </cell>
        </row>
        <row r="1851">
          <cell r="U1851" t="str">
            <v>L104944</v>
          </cell>
          <cell r="V1851" t="str">
            <v>DIV DSF 2Kg</v>
          </cell>
          <cell r="W1851" t="str">
            <v>Ajuste</v>
          </cell>
          <cell r="X1851">
            <v>194</v>
          </cell>
          <cell r="Y1851">
            <v>388</v>
          </cell>
        </row>
        <row r="1852">
          <cell r="U1852" t="str">
            <v>L105506</v>
          </cell>
          <cell r="V1852" t="str">
            <v>DIV DSF 2Kg</v>
          </cell>
          <cell r="W1852" t="str">
            <v>Ajuste</v>
          </cell>
          <cell r="X1852">
            <v>10</v>
          </cell>
          <cell r="Y1852">
            <v>20</v>
          </cell>
        </row>
        <row r="1853">
          <cell r="U1853" t="str">
            <v>L104952</v>
          </cell>
          <cell r="V1853" t="str">
            <v>DIV DSF 4kg</v>
          </cell>
          <cell r="W1853" t="str">
            <v>Ajuste</v>
          </cell>
          <cell r="X1853">
            <v>6</v>
          </cell>
          <cell r="Y1853">
            <v>24</v>
          </cell>
        </row>
        <row r="1854">
          <cell r="U1854" t="str">
            <v>l105510</v>
          </cell>
          <cell r="V1854" t="str">
            <v>DIV DTG Vr3kg</v>
          </cell>
          <cell r="W1854" t="str">
            <v>Ajuste</v>
          </cell>
          <cell r="X1854">
            <v>28</v>
          </cell>
          <cell r="Y1854">
            <v>84</v>
          </cell>
        </row>
        <row r="1855">
          <cell r="U1855" t="str">
            <v>L105263</v>
          </cell>
          <cell r="V1855" t="str">
            <v>DIV ECDP 5kg</v>
          </cell>
          <cell r="W1855" t="str">
            <v>Ajuste</v>
          </cell>
          <cell r="X1855">
            <v>6</v>
          </cell>
          <cell r="Y1855">
            <v>30</v>
          </cell>
        </row>
        <row r="1856">
          <cell r="U1856" t="str">
            <v>L105920</v>
          </cell>
          <cell r="V1856" t="str">
            <v>DIV ECDP 7kg</v>
          </cell>
          <cell r="W1856" t="str">
            <v>Ajuste</v>
          </cell>
          <cell r="X1856">
            <v>30</v>
          </cell>
          <cell r="Y1856">
            <v>210</v>
          </cell>
        </row>
        <row r="1857">
          <cell r="U1857" t="str">
            <v>L104945</v>
          </cell>
          <cell r="V1857" t="str">
            <v>DIV EGB 2kg</v>
          </cell>
          <cell r="W1857" t="str">
            <v>Ajuste</v>
          </cell>
          <cell r="X1857">
            <v>12</v>
          </cell>
          <cell r="Y1857">
            <v>24</v>
          </cell>
        </row>
        <row r="1858">
          <cell r="U1858" t="str">
            <v>L105993</v>
          </cell>
          <cell r="V1858" t="str">
            <v>DIV EMBV 2kg</v>
          </cell>
          <cell r="W1858" t="str">
            <v>Ajuste</v>
          </cell>
          <cell r="X1858">
            <v>2</v>
          </cell>
          <cell r="Y1858">
            <v>4</v>
          </cell>
        </row>
        <row r="1859">
          <cell r="U1859" t="str">
            <v>L105992</v>
          </cell>
          <cell r="V1859" t="str">
            <v>DIV EMBV 5kg</v>
          </cell>
          <cell r="W1859" t="str">
            <v>Ajuste</v>
          </cell>
          <cell r="X1859">
            <v>22</v>
          </cell>
          <cell r="Y1859">
            <v>110</v>
          </cell>
        </row>
        <row r="1860">
          <cell r="U1860" t="str">
            <v>L106001</v>
          </cell>
          <cell r="V1860" t="str">
            <v>DIV EMBV 5kg</v>
          </cell>
          <cell r="W1860" t="str">
            <v>Ajuste</v>
          </cell>
          <cell r="X1860">
            <v>8</v>
          </cell>
          <cell r="Y1860">
            <v>40</v>
          </cell>
        </row>
        <row r="1861">
          <cell r="U1861" t="str">
            <v>L105667</v>
          </cell>
          <cell r="V1861" t="str">
            <v>ESQPCD 8kg</v>
          </cell>
          <cell r="W1861" t="str">
            <v>Ajuste</v>
          </cell>
          <cell r="X1861">
            <v>154</v>
          </cell>
          <cell r="Y1861">
            <v>1232</v>
          </cell>
        </row>
        <row r="1862">
          <cell r="U1862" t="str">
            <v>L105667</v>
          </cell>
          <cell r="V1862" t="str">
            <v>DIV ESQPCD 8kg</v>
          </cell>
          <cell r="W1862" t="str">
            <v>Ajuste</v>
          </cell>
          <cell r="X1862">
            <v>238</v>
          </cell>
          <cell r="Y1862">
            <v>1904</v>
          </cell>
        </row>
        <row r="1863">
          <cell r="U1863" t="str">
            <v>L105333</v>
          </cell>
          <cell r="V1863" t="str">
            <v>DIV ESV 2kg</v>
          </cell>
          <cell r="W1863" t="str">
            <v>Ajuste</v>
          </cell>
          <cell r="X1863">
            <v>4</v>
          </cell>
          <cell r="Y1863">
            <v>8</v>
          </cell>
        </row>
        <row r="1864">
          <cell r="U1864" t="str">
            <v>L105238</v>
          </cell>
          <cell r="V1864" t="str">
            <v>DIV FRCONG 2kg</v>
          </cell>
          <cell r="W1864" t="str">
            <v>Ajuste</v>
          </cell>
          <cell r="X1864">
            <v>14</v>
          </cell>
          <cell r="Y1864">
            <v>28</v>
          </cell>
        </row>
        <row r="1865">
          <cell r="U1865" t="str">
            <v>L105976</v>
          </cell>
          <cell r="V1865" t="str">
            <v>DIV FRJ 2kg</v>
          </cell>
          <cell r="W1865" t="str">
            <v>Ajuste</v>
          </cell>
          <cell r="X1865">
            <v>4</v>
          </cell>
          <cell r="Y1865">
            <v>8</v>
          </cell>
        </row>
        <row r="1866">
          <cell r="U1866" t="str">
            <v>L104988</v>
          </cell>
          <cell r="V1866" t="str">
            <v>DIV FRUVER 10kg</v>
          </cell>
          <cell r="W1866" t="str">
            <v>Ajuste</v>
          </cell>
          <cell r="X1866">
            <v>8</v>
          </cell>
          <cell r="Y1866">
            <v>80</v>
          </cell>
        </row>
        <row r="1867">
          <cell r="U1867" t="str">
            <v>L104994</v>
          </cell>
          <cell r="V1867" t="str">
            <v>DIV FRUVER 10kg</v>
          </cell>
          <cell r="W1867" t="str">
            <v>Ajuste</v>
          </cell>
          <cell r="X1867">
            <v>8</v>
          </cell>
          <cell r="Y1867">
            <v>80</v>
          </cell>
        </row>
        <row r="1868">
          <cell r="U1868" t="str">
            <v>L105000</v>
          </cell>
          <cell r="V1868" t="str">
            <v>DIV FRUVER 10kg</v>
          </cell>
          <cell r="W1868" t="str">
            <v>Ajuste</v>
          </cell>
          <cell r="X1868">
            <v>6</v>
          </cell>
          <cell r="Y1868">
            <v>60</v>
          </cell>
        </row>
        <row r="1869">
          <cell r="U1869" t="str">
            <v>L105004</v>
          </cell>
          <cell r="V1869" t="str">
            <v>DIV FRUVER 10kg</v>
          </cell>
          <cell r="W1869" t="str">
            <v>Ajuste</v>
          </cell>
          <cell r="X1869">
            <v>24</v>
          </cell>
          <cell r="Y1869">
            <v>240</v>
          </cell>
        </row>
        <row r="1870">
          <cell r="U1870" t="str">
            <v>L105009</v>
          </cell>
          <cell r="V1870" t="str">
            <v>DIV FRUVER 10kg</v>
          </cell>
          <cell r="W1870" t="str">
            <v>Ajuste</v>
          </cell>
          <cell r="X1870">
            <v>12</v>
          </cell>
          <cell r="Y1870">
            <v>120</v>
          </cell>
        </row>
        <row r="1871">
          <cell r="U1871" t="str">
            <v>L105012</v>
          </cell>
          <cell r="V1871" t="str">
            <v>DIV FRUVER 10kg</v>
          </cell>
          <cell r="W1871" t="str">
            <v>Ajuste</v>
          </cell>
          <cell r="X1871">
            <v>6</v>
          </cell>
          <cell r="Y1871">
            <v>60</v>
          </cell>
        </row>
        <row r="1872">
          <cell r="U1872" t="str">
            <v>L105116</v>
          </cell>
          <cell r="V1872" t="str">
            <v>DIV FRUVER 10kg</v>
          </cell>
          <cell r="W1872" t="str">
            <v>Ajuste</v>
          </cell>
          <cell r="X1872">
            <v>16</v>
          </cell>
          <cell r="Y1872">
            <v>160</v>
          </cell>
        </row>
        <row r="1873">
          <cell r="U1873" t="str">
            <v>L105136</v>
          </cell>
          <cell r="V1873" t="str">
            <v>DIV FRUVER 10kg</v>
          </cell>
          <cell r="W1873" t="str">
            <v>Ajuste</v>
          </cell>
          <cell r="X1873">
            <v>16</v>
          </cell>
          <cell r="Y1873">
            <v>160</v>
          </cell>
        </row>
        <row r="1874">
          <cell r="U1874" t="str">
            <v>L105219</v>
          </cell>
          <cell r="V1874" t="str">
            <v>DIV FRUVER 10kg</v>
          </cell>
          <cell r="W1874" t="str">
            <v>Ajuste</v>
          </cell>
          <cell r="X1874">
            <v>4</v>
          </cell>
          <cell r="Y1874">
            <v>40</v>
          </cell>
        </row>
        <row r="1875">
          <cell r="U1875" t="str">
            <v>L105221</v>
          </cell>
          <cell r="V1875" t="str">
            <v>DIV FRUVER 10kg</v>
          </cell>
          <cell r="W1875" t="str">
            <v>Ajuste</v>
          </cell>
          <cell r="X1875">
            <v>6</v>
          </cell>
          <cell r="Y1875">
            <v>60</v>
          </cell>
        </row>
        <row r="1876">
          <cell r="U1876" t="str">
            <v>L105224</v>
          </cell>
          <cell r="V1876" t="str">
            <v>DIV FRUVER 10kg</v>
          </cell>
          <cell r="W1876" t="str">
            <v>Ajuste</v>
          </cell>
          <cell r="X1876">
            <v>8</v>
          </cell>
          <cell r="Y1876">
            <v>80</v>
          </cell>
        </row>
        <row r="1877">
          <cell r="U1877" t="str">
            <v>L105228</v>
          </cell>
          <cell r="V1877" t="str">
            <v>DIV FRUVER 10kg</v>
          </cell>
          <cell r="W1877" t="str">
            <v>Ajuste</v>
          </cell>
          <cell r="X1877">
            <v>10</v>
          </cell>
          <cell r="Y1877">
            <v>100</v>
          </cell>
        </row>
        <row r="1878">
          <cell r="U1878" t="str">
            <v>L105229</v>
          </cell>
          <cell r="V1878" t="str">
            <v>DIV FRUVER 10kg</v>
          </cell>
          <cell r="W1878" t="str">
            <v>Ajuste</v>
          </cell>
          <cell r="X1878">
            <v>10</v>
          </cell>
          <cell r="Y1878">
            <v>100</v>
          </cell>
        </row>
        <row r="1879">
          <cell r="U1879" t="str">
            <v>L105232</v>
          </cell>
          <cell r="V1879" t="str">
            <v>DIV FRUVER 10kg</v>
          </cell>
          <cell r="W1879" t="str">
            <v>Ajuste</v>
          </cell>
          <cell r="X1879">
            <v>20</v>
          </cell>
          <cell r="Y1879">
            <v>200</v>
          </cell>
        </row>
        <row r="1880">
          <cell r="U1880" t="str">
            <v>L105234</v>
          </cell>
          <cell r="V1880" t="str">
            <v>DIV FRUVER 10kg</v>
          </cell>
          <cell r="W1880" t="str">
            <v>Ajuste</v>
          </cell>
          <cell r="X1880">
            <v>22</v>
          </cell>
          <cell r="Y1880">
            <v>220</v>
          </cell>
        </row>
        <row r="1881">
          <cell r="U1881" t="str">
            <v>L105321</v>
          </cell>
          <cell r="V1881" t="str">
            <v>DIV FRUVER 10kg</v>
          </cell>
          <cell r="W1881" t="str">
            <v>Ajuste</v>
          </cell>
          <cell r="X1881">
            <v>30</v>
          </cell>
          <cell r="Y1881">
            <v>300</v>
          </cell>
        </row>
        <row r="1882">
          <cell r="U1882" t="str">
            <v>L105363</v>
          </cell>
          <cell r="V1882" t="str">
            <v>DIV FRUVER 10kg</v>
          </cell>
          <cell r="W1882" t="str">
            <v>Ajuste</v>
          </cell>
          <cell r="X1882">
            <v>6</v>
          </cell>
          <cell r="Y1882">
            <v>60</v>
          </cell>
        </row>
        <row r="1883">
          <cell r="U1883" t="str">
            <v>L105366</v>
          </cell>
          <cell r="V1883" t="str">
            <v>DIV FRUVER 10kg</v>
          </cell>
          <cell r="W1883" t="str">
            <v>Ajuste</v>
          </cell>
          <cell r="X1883">
            <v>6</v>
          </cell>
          <cell r="Y1883">
            <v>60</v>
          </cell>
        </row>
        <row r="1884">
          <cell r="U1884" t="str">
            <v>L105368</v>
          </cell>
          <cell r="V1884" t="str">
            <v>DIV FRUVER 10kg</v>
          </cell>
          <cell r="W1884" t="str">
            <v>Ajuste</v>
          </cell>
          <cell r="X1884">
            <v>10</v>
          </cell>
          <cell r="Y1884">
            <v>100</v>
          </cell>
        </row>
        <row r="1885">
          <cell r="U1885" t="str">
            <v>L105371</v>
          </cell>
          <cell r="V1885" t="str">
            <v>DIV FRUVER 10kg</v>
          </cell>
          <cell r="W1885" t="str">
            <v>Ajuste</v>
          </cell>
          <cell r="X1885">
            <v>14</v>
          </cell>
          <cell r="Y1885">
            <v>140</v>
          </cell>
        </row>
        <row r="1886">
          <cell r="U1886" t="str">
            <v>L105423</v>
          </cell>
          <cell r="V1886" t="str">
            <v>DIV FRUVER 10kg</v>
          </cell>
          <cell r="W1886" t="str">
            <v>Ajuste</v>
          </cell>
          <cell r="X1886">
            <v>50</v>
          </cell>
          <cell r="Y1886">
            <v>500</v>
          </cell>
        </row>
        <row r="1887">
          <cell r="U1887" t="str">
            <v>L105426</v>
          </cell>
          <cell r="V1887" t="str">
            <v>DIV FRUVER 10kg</v>
          </cell>
          <cell r="W1887" t="str">
            <v>Ajuste</v>
          </cell>
          <cell r="X1887">
            <v>6</v>
          </cell>
          <cell r="Y1887">
            <v>60</v>
          </cell>
        </row>
        <row r="1888">
          <cell r="U1888" t="str">
            <v>L105443</v>
          </cell>
          <cell r="V1888" t="str">
            <v>DIV FRUVER 10kg</v>
          </cell>
          <cell r="W1888" t="str">
            <v>Ajuste</v>
          </cell>
          <cell r="X1888">
            <v>14</v>
          </cell>
          <cell r="Y1888">
            <v>140</v>
          </cell>
        </row>
        <row r="1889">
          <cell r="U1889" t="str">
            <v>L105622</v>
          </cell>
          <cell r="V1889" t="str">
            <v>DIV FRUVER 10kg</v>
          </cell>
          <cell r="W1889" t="str">
            <v>Ajuste</v>
          </cell>
          <cell r="X1889">
            <v>36</v>
          </cell>
          <cell r="Y1889">
            <v>360</v>
          </cell>
        </row>
        <row r="1890">
          <cell r="U1890" t="str">
            <v>L105632</v>
          </cell>
          <cell r="V1890" t="str">
            <v>DIV FRUVER 10kg</v>
          </cell>
          <cell r="W1890" t="str">
            <v>Ajuste</v>
          </cell>
          <cell r="X1890">
            <v>10</v>
          </cell>
          <cell r="Y1890">
            <v>100</v>
          </cell>
        </row>
        <row r="1891">
          <cell r="U1891" t="str">
            <v>L105636</v>
          </cell>
          <cell r="V1891" t="str">
            <v>DIV FRUVER 10kg</v>
          </cell>
          <cell r="W1891" t="str">
            <v>Ajuste</v>
          </cell>
          <cell r="X1891">
            <v>6</v>
          </cell>
          <cell r="Y1891">
            <v>60</v>
          </cell>
        </row>
        <row r="1892">
          <cell r="U1892" t="str">
            <v>L105776</v>
          </cell>
          <cell r="V1892" t="str">
            <v>DIV FRUVER 10kg</v>
          </cell>
          <cell r="W1892" t="str">
            <v>Ajuste</v>
          </cell>
          <cell r="X1892">
            <v>16</v>
          </cell>
          <cell r="Y1892">
            <v>160</v>
          </cell>
        </row>
        <row r="1893">
          <cell r="U1893" t="str">
            <v>L105778</v>
          </cell>
          <cell r="V1893" t="str">
            <v>DIV FRUVER 10kg</v>
          </cell>
          <cell r="W1893" t="str">
            <v>Ajuste</v>
          </cell>
          <cell r="X1893">
            <v>18</v>
          </cell>
          <cell r="Y1893">
            <v>180</v>
          </cell>
        </row>
        <row r="1894">
          <cell r="U1894" t="str">
            <v>L105780</v>
          </cell>
          <cell r="V1894" t="str">
            <v>DIV FRUVER 10kg</v>
          </cell>
          <cell r="W1894" t="str">
            <v>Ajuste</v>
          </cell>
          <cell r="X1894">
            <v>4</v>
          </cell>
          <cell r="Y1894">
            <v>40</v>
          </cell>
        </row>
        <row r="1895">
          <cell r="U1895" t="str">
            <v>L105784</v>
          </cell>
          <cell r="V1895" t="str">
            <v>DIV FRUVER 10kg</v>
          </cell>
          <cell r="W1895" t="str">
            <v>Ajuste</v>
          </cell>
          <cell r="X1895">
            <v>24</v>
          </cell>
          <cell r="Y1895">
            <v>240</v>
          </cell>
        </row>
        <row r="1896">
          <cell r="U1896" t="str">
            <v>L105923</v>
          </cell>
          <cell r="V1896" t="str">
            <v>DIV FRUVER 10kg</v>
          </cell>
          <cell r="W1896" t="str">
            <v>Ajuste</v>
          </cell>
          <cell r="X1896">
            <v>38</v>
          </cell>
          <cell r="Y1896">
            <v>380</v>
          </cell>
        </row>
        <row r="1897">
          <cell r="U1897" t="str">
            <v>L105925</v>
          </cell>
          <cell r="V1897" t="str">
            <v>DIV FRUVER 10kg</v>
          </cell>
          <cell r="W1897" t="str">
            <v>Ajuste</v>
          </cell>
          <cell r="X1897">
            <v>12</v>
          </cell>
          <cell r="Y1897">
            <v>120</v>
          </cell>
        </row>
        <row r="1898">
          <cell r="U1898" t="str">
            <v>L105927</v>
          </cell>
          <cell r="V1898" t="str">
            <v>DIV FRUVER 10kg</v>
          </cell>
          <cell r="W1898" t="str">
            <v>Ajuste</v>
          </cell>
          <cell r="X1898">
            <v>20</v>
          </cell>
          <cell r="Y1898">
            <v>200</v>
          </cell>
        </row>
        <row r="1899">
          <cell r="U1899" t="str">
            <v>L105930</v>
          </cell>
          <cell r="V1899" t="str">
            <v>DIV FRUVER 10kg</v>
          </cell>
          <cell r="W1899" t="str">
            <v>Ajuste</v>
          </cell>
          <cell r="X1899">
            <v>6</v>
          </cell>
          <cell r="Y1899">
            <v>60</v>
          </cell>
        </row>
        <row r="1900">
          <cell r="U1900" t="str">
            <v>L105984</v>
          </cell>
          <cell r="V1900" t="str">
            <v>DIV FRUVER 10kg</v>
          </cell>
          <cell r="W1900" t="str">
            <v>Ajuste</v>
          </cell>
          <cell r="X1900">
            <v>14</v>
          </cell>
          <cell r="Y1900">
            <v>140</v>
          </cell>
        </row>
        <row r="1901">
          <cell r="U1901" t="str">
            <v>L105996</v>
          </cell>
          <cell r="V1901" t="str">
            <v>DIV FRUVER 10kg</v>
          </cell>
          <cell r="W1901" t="str">
            <v>Ajuste</v>
          </cell>
          <cell r="X1901">
            <v>14</v>
          </cell>
          <cell r="Y1901">
            <v>140</v>
          </cell>
        </row>
        <row r="1902">
          <cell r="U1902" t="str">
            <v>L106013</v>
          </cell>
          <cell r="V1902" t="str">
            <v>DIV FRUVER 10kg</v>
          </cell>
          <cell r="W1902" t="str">
            <v>Ajuste</v>
          </cell>
          <cell r="X1902">
            <v>10</v>
          </cell>
          <cell r="Y1902">
            <v>100</v>
          </cell>
        </row>
        <row r="1903">
          <cell r="U1903" t="str">
            <v>L106015</v>
          </cell>
          <cell r="V1903" t="str">
            <v>DIV FRUVER 10kg</v>
          </cell>
          <cell r="W1903" t="str">
            <v>Ajuste</v>
          </cell>
          <cell r="X1903">
            <v>10</v>
          </cell>
          <cell r="Y1903">
            <v>100</v>
          </cell>
        </row>
        <row r="1904">
          <cell r="U1904" t="str">
            <v>L106017</v>
          </cell>
          <cell r="V1904" t="str">
            <v>DIV FRUVER 10kg</v>
          </cell>
          <cell r="W1904" t="str">
            <v>Ajuste</v>
          </cell>
          <cell r="X1904">
            <v>10</v>
          </cell>
          <cell r="Y1904">
            <v>100</v>
          </cell>
        </row>
        <row r="1905">
          <cell r="U1905" t="str">
            <v>L105230</v>
          </cell>
          <cell r="V1905" t="str">
            <v>DIV FRUVER 5kg</v>
          </cell>
          <cell r="W1905" t="str">
            <v>Ajuste</v>
          </cell>
          <cell r="X1905">
            <v>2</v>
          </cell>
          <cell r="Y1905">
            <v>10</v>
          </cell>
        </row>
        <row r="1906">
          <cell r="U1906" t="str">
            <v>L105424</v>
          </cell>
          <cell r="V1906" t="str">
            <v>DIV FRUVER 5kg</v>
          </cell>
          <cell r="W1906" t="str">
            <v>Ajuste</v>
          </cell>
          <cell r="X1906">
            <v>4</v>
          </cell>
          <cell r="Y1906">
            <v>20</v>
          </cell>
        </row>
        <row r="1907">
          <cell r="U1907" t="str">
            <v>L105781</v>
          </cell>
          <cell r="V1907" t="str">
            <v>DIV FRUVER 5kg</v>
          </cell>
          <cell r="W1907" t="str">
            <v>Ajuste</v>
          </cell>
          <cell r="X1907">
            <v>8</v>
          </cell>
          <cell r="Y1907">
            <v>40</v>
          </cell>
        </row>
        <row r="1908">
          <cell r="U1908" t="str">
            <v>L105336</v>
          </cell>
          <cell r="V1908" t="str">
            <v>DIV GLDV 5kg</v>
          </cell>
          <cell r="W1908" t="str">
            <v>Ajuste</v>
          </cell>
          <cell r="X1908">
            <v>21</v>
          </cell>
          <cell r="Y1908">
            <v>105</v>
          </cell>
        </row>
        <row r="1909">
          <cell r="U1909" t="str">
            <v>L105701</v>
          </cell>
          <cell r="V1909" t="str">
            <v>DIV GLT 2kg</v>
          </cell>
          <cell r="W1909" t="str">
            <v>Ajuste</v>
          </cell>
          <cell r="X1909">
            <v>8</v>
          </cell>
          <cell r="Y1909">
            <v>16</v>
          </cell>
        </row>
        <row r="1910">
          <cell r="U1910" t="str">
            <v>L105677</v>
          </cell>
          <cell r="V1910" t="str">
            <v>DIV GLV 2kg</v>
          </cell>
          <cell r="W1910" t="str">
            <v>Ajuste</v>
          </cell>
          <cell r="X1910">
            <v>4</v>
          </cell>
          <cell r="Y1910">
            <v>8</v>
          </cell>
        </row>
        <row r="1911">
          <cell r="U1911" t="str">
            <v>L105504</v>
          </cell>
          <cell r="V1911" t="str">
            <v>DIV GUD 2kg</v>
          </cell>
          <cell r="W1911" t="str">
            <v>Ajuste</v>
          </cell>
          <cell r="X1911">
            <v>12</v>
          </cell>
          <cell r="Y1911">
            <v>24</v>
          </cell>
        </row>
        <row r="1912">
          <cell r="U1912" t="str">
            <v>L105975</v>
          </cell>
          <cell r="V1912" t="str">
            <v>DIV GUD 2kg</v>
          </cell>
          <cell r="W1912" t="str">
            <v>Ajuste</v>
          </cell>
          <cell r="X1912">
            <v>16</v>
          </cell>
          <cell r="Y1912">
            <v>32</v>
          </cell>
        </row>
        <row r="1913">
          <cell r="U1913" t="str">
            <v>L106022</v>
          </cell>
          <cell r="V1913" t="str">
            <v>DIV GUD 2kg</v>
          </cell>
          <cell r="W1913" t="str">
            <v>Ajuste</v>
          </cell>
          <cell r="X1913">
            <v>12</v>
          </cell>
          <cell r="Y1913">
            <v>24</v>
          </cell>
        </row>
        <row r="1914">
          <cell r="U1914" t="str">
            <v>l105272</v>
          </cell>
          <cell r="V1914" t="str">
            <v>HAV 25kg-Unidad</v>
          </cell>
          <cell r="W1914" t="str">
            <v>Ajuste</v>
          </cell>
          <cell r="X1914">
            <v>3</v>
          </cell>
          <cell r="Y1914">
            <v>75</v>
          </cell>
        </row>
        <row r="1915">
          <cell r="U1915" t="str">
            <v>l105272</v>
          </cell>
          <cell r="V1915" t="str">
            <v>DIV HAV 25kg</v>
          </cell>
          <cell r="W1915" t="str">
            <v>Ajuste</v>
          </cell>
          <cell r="X1915">
            <v>13</v>
          </cell>
          <cell r="Y1915">
            <v>325</v>
          </cell>
        </row>
        <row r="1916">
          <cell r="U1916" t="str">
            <v>L106031</v>
          </cell>
          <cell r="V1916" t="str">
            <v>DIV HAV 5kg</v>
          </cell>
          <cell r="W1916" t="str">
            <v>Ajuste</v>
          </cell>
          <cell r="X1916">
            <v>32</v>
          </cell>
          <cell r="Y1916">
            <v>160</v>
          </cell>
        </row>
        <row r="1917">
          <cell r="U1917" t="str">
            <v>L105859</v>
          </cell>
          <cell r="V1917" t="str">
            <v>DIV HAV 5kg</v>
          </cell>
          <cell r="W1917" t="str">
            <v>Ajuste</v>
          </cell>
          <cell r="X1917">
            <v>50</v>
          </cell>
          <cell r="Y1917">
            <v>250</v>
          </cell>
        </row>
        <row r="1918">
          <cell r="U1918" t="str">
            <v>L104967</v>
          </cell>
          <cell r="V1918" t="str">
            <v>DIV HDG 30UNI</v>
          </cell>
          <cell r="W1918" t="str">
            <v>Ajuste</v>
          </cell>
          <cell r="X1918">
            <v>36</v>
          </cell>
          <cell r="Y1918">
            <v>72</v>
          </cell>
        </row>
        <row r="1919">
          <cell r="U1919" t="str">
            <v>L105115</v>
          </cell>
          <cell r="V1919" t="str">
            <v>DIV HDG 30UNI</v>
          </cell>
          <cell r="W1919" t="str">
            <v>Ajuste</v>
          </cell>
          <cell r="X1919">
            <v>12</v>
          </cell>
          <cell r="Y1919">
            <v>24</v>
          </cell>
        </row>
        <row r="1920">
          <cell r="U1920" t="str">
            <v>L105875</v>
          </cell>
          <cell r="V1920" t="str">
            <v>DIV HDG 30UNI</v>
          </cell>
          <cell r="W1920" t="str">
            <v>Ajuste</v>
          </cell>
          <cell r="X1920">
            <v>16</v>
          </cell>
          <cell r="Y1920">
            <v>32</v>
          </cell>
        </row>
        <row r="1921">
          <cell r="U1921" t="str">
            <v>L105028</v>
          </cell>
          <cell r="V1921" t="str">
            <v>DIV HLD 473ml</v>
          </cell>
          <cell r="W1921" t="str">
            <v>Ajuste</v>
          </cell>
          <cell r="X1921">
            <v>852</v>
          </cell>
          <cell r="Y1921">
            <v>400.44</v>
          </cell>
        </row>
        <row r="1922">
          <cell r="U1922" t="str">
            <v>L105248</v>
          </cell>
          <cell r="V1922" t="str">
            <v>DIV HLD 473ml</v>
          </cell>
          <cell r="W1922" t="str">
            <v>Ajuste</v>
          </cell>
          <cell r="X1922">
            <v>2774</v>
          </cell>
          <cell r="Y1922">
            <v>1303.78</v>
          </cell>
        </row>
        <row r="1923">
          <cell r="U1923" t="str">
            <v>L105029</v>
          </cell>
          <cell r="V1923" t="str">
            <v>DIV HLD 900ml</v>
          </cell>
          <cell r="W1923" t="str">
            <v>Ajuste</v>
          </cell>
          <cell r="X1923">
            <v>154</v>
          </cell>
          <cell r="Y1923">
            <v>138.6</v>
          </cell>
        </row>
        <row r="1924">
          <cell r="U1924" t="str">
            <v>L105249</v>
          </cell>
          <cell r="V1924" t="str">
            <v>DIV HLD 900ml</v>
          </cell>
          <cell r="W1924" t="str">
            <v>Ajuste</v>
          </cell>
          <cell r="X1924">
            <v>234</v>
          </cell>
          <cell r="Y1924">
            <v>210.6</v>
          </cell>
        </row>
        <row r="1925">
          <cell r="U1925" t="str">
            <v>L104966</v>
          </cell>
          <cell r="V1925" t="str">
            <v>DIV HVG 25kg</v>
          </cell>
          <cell r="W1925" t="str">
            <v>Ajuste</v>
          </cell>
          <cell r="X1925">
            <v>8</v>
          </cell>
          <cell r="Y1925">
            <v>200</v>
          </cell>
        </row>
        <row r="1926">
          <cell r="U1926" t="str">
            <v>L104940</v>
          </cell>
          <cell r="V1926" t="str">
            <v>DIV JB 2kg</v>
          </cell>
          <cell r="W1926" t="str">
            <v>Ajuste</v>
          </cell>
          <cell r="X1926">
            <v>134</v>
          </cell>
          <cell r="Y1926">
            <v>268</v>
          </cell>
        </row>
        <row r="1927">
          <cell r="U1927" t="str">
            <v>L105500</v>
          </cell>
          <cell r="V1927" t="str">
            <v>DIV JGO 2kg</v>
          </cell>
          <cell r="W1927" t="str">
            <v>Ajuste</v>
          </cell>
          <cell r="X1927">
            <v>20</v>
          </cell>
          <cell r="Y1927">
            <v>40</v>
          </cell>
        </row>
        <row r="1928">
          <cell r="U1928" t="str">
            <v>L105501</v>
          </cell>
          <cell r="V1928" t="str">
            <v>DIV JGO 2kg</v>
          </cell>
          <cell r="W1928" t="str">
            <v>Ajuste</v>
          </cell>
          <cell r="X1928">
            <v>6</v>
          </cell>
          <cell r="Y1928">
            <v>12</v>
          </cell>
        </row>
        <row r="1929">
          <cell r="U1929" t="str">
            <v>L106033</v>
          </cell>
          <cell r="V1929" t="str">
            <v>DIV JGO 2kg</v>
          </cell>
          <cell r="W1929" t="str">
            <v>Ajuste</v>
          </cell>
          <cell r="X1929">
            <v>1180</v>
          </cell>
          <cell r="Y1929">
            <v>2360</v>
          </cell>
        </row>
        <row r="1930">
          <cell r="U1930" t="str">
            <v>L104953</v>
          </cell>
          <cell r="V1930" t="str">
            <v>DIV JLP 2kg</v>
          </cell>
          <cell r="W1930" t="str">
            <v>Ajuste</v>
          </cell>
          <cell r="X1930">
            <v>74</v>
          </cell>
          <cell r="Y1930">
            <v>148</v>
          </cell>
        </row>
        <row r="1931">
          <cell r="U1931" t="str">
            <v>L104943</v>
          </cell>
          <cell r="V1931" t="str">
            <v>DIV JLPL 2kg</v>
          </cell>
          <cell r="W1931" t="str">
            <v>Ajuste</v>
          </cell>
          <cell r="X1931">
            <v>244</v>
          </cell>
          <cell r="Y1931">
            <v>488</v>
          </cell>
        </row>
        <row r="1932">
          <cell r="U1932" t="str">
            <v>L105097</v>
          </cell>
          <cell r="V1932" t="str">
            <v>DIV JPM 2kg</v>
          </cell>
          <cell r="W1932" t="str">
            <v>Ajuste</v>
          </cell>
          <cell r="X1932">
            <v>4</v>
          </cell>
          <cell r="Y1932">
            <v>8</v>
          </cell>
        </row>
        <row r="1933">
          <cell r="U1933" t="str">
            <v>L105337</v>
          </cell>
          <cell r="V1933" t="str">
            <v>DIV KTP 2kg</v>
          </cell>
          <cell r="W1933" t="str">
            <v>Ajuste</v>
          </cell>
          <cell r="X1933">
            <v>2</v>
          </cell>
          <cell r="Y1933">
            <v>4</v>
          </cell>
        </row>
        <row r="1934">
          <cell r="U1934" t="str">
            <v>L105689</v>
          </cell>
          <cell r="V1934" t="str">
            <v>DIV KTP 2kg</v>
          </cell>
          <cell r="W1934" t="str">
            <v>Ajuste</v>
          </cell>
          <cell r="X1934">
            <v>4</v>
          </cell>
          <cell r="Y1934">
            <v>8</v>
          </cell>
        </row>
        <row r="1935">
          <cell r="U1935" t="str">
            <v>L104937</v>
          </cell>
          <cell r="V1935" t="str">
            <v>DIV KTPBBQ 24x397g</v>
          </cell>
          <cell r="W1935" t="str">
            <v>Ajuste</v>
          </cell>
          <cell r="X1935">
            <v>39</v>
          </cell>
          <cell r="Y1935">
            <v>390</v>
          </cell>
        </row>
        <row r="1936">
          <cell r="U1936" t="str">
            <v>L105497</v>
          </cell>
          <cell r="V1936" t="str">
            <v>LCH 48X315g-CAJA</v>
          </cell>
          <cell r="W1936" t="str">
            <v>Ajuste</v>
          </cell>
          <cell r="X1936">
            <v>241</v>
          </cell>
          <cell r="Y1936">
            <v>4338</v>
          </cell>
        </row>
        <row r="1937">
          <cell r="U1937" t="str">
            <v>L105497</v>
          </cell>
          <cell r="V1937" t="str">
            <v>DIV LCH 48X314g</v>
          </cell>
          <cell r="W1937" t="str">
            <v>Ajuste</v>
          </cell>
          <cell r="X1937">
            <v>135</v>
          </cell>
          <cell r="Y1937">
            <v>2430</v>
          </cell>
        </row>
        <row r="1938">
          <cell r="U1938" t="str">
            <v>L105685</v>
          </cell>
          <cell r="V1938" t="str">
            <v>DIV LCH 4kg</v>
          </cell>
          <cell r="W1938" t="str">
            <v>Ajuste</v>
          </cell>
          <cell r="X1938">
            <v>180</v>
          </cell>
          <cell r="Y1938">
            <v>720</v>
          </cell>
        </row>
        <row r="1939">
          <cell r="U1939" t="str">
            <v>L104935</v>
          </cell>
          <cell r="V1939" t="str">
            <v>DIV LCH 96X167g</v>
          </cell>
          <cell r="W1939" t="str">
            <v>Ajuste</v>
          </cell>
          <cell r="X1939">
            <v>990</v>
          </cell>
          <cell r="Y1939">
            <v>18810</v>
          </cell>
        </row>
        <row r="1940">
          <cell r="U1940" t="str">
            <v>l104969</v>
          </cell>
          <cell r="V1940" t="str">
            <v>DIV LCH EV 2kg</v>
          </cell>
          <cell r="W1940" t="str">
            <v>Ajuste</v>
          </cell>
          <cell r="X1940">
            <v>12</v>
          </cell>
          <cell r="Y1940">
            <v>24</v>
          </cell>
        </row>
        <row r="1941">
          <cell r="U1941" t="str">
            <v>L105980</v>
          </cell>
          <cell r="V1941" t="str">
            <v>DIV LPN 2kg-CAJA</v>
          </cell>
          <cell r="W1941" t="str">
            <v>Ajuste</v>
          </cell>
          <cell r="X1941">
            <v>2</v>
          </cell>
          <cell r="Y1941">
            <v>4</v>
          </cell>
        </row>
        <row r="1942">
          <cell r="U1942" t="str">
            <v>L106004</v>
          </cell>
          <cell r="V1942" t="str">
            <v>DIV LPN 2kg-CAJA</v>
          </cell>
          <cell r="W1942" t="str">
            <v>Ajuste</v>
          </cell>
          <cell r="X1942">
            <v>2</v>
          </cell>
          <cell r="Y1942">
            <v>4</v>
          </cell>
        </row>
        <row r="1943">
          <cell r="U1943" t="str">
            <v>L105678</v>
          </cell>
          <cell r="V1943" t="str">
            <v>DIV MAN 2Kg</v>
          </cell>
          <cell r="W1943" t="str">
            <v>Ajuste</v>
          </cell>
          <cell r="X1943">
            <v>6</v>
          </cell>
          <cell r="Y1943">
            <v>12</v>
          </cell>
        </row>
        <row r="1944">
          <cell r="U1944" t="str">
            <v>L105671</v>
          </cell>
          <cell r="V1944" t="str">
            <v>DIV mani</v>
          </cell>
          <cell r="W1944" t="str">
            <v>Ajuste</v>
          </cell>
          <cell r="X1944">
            <v>8</v>
          </cell>
          <cell r="Y1944">
            <v>8</v>
          </cell>
        </row>
        <row r="1945">
          <cell r="U1945" t="str">
            <v>L104931</v>
          </cell>
          <cell r="V1945" t="str">
            <v>DIV MEDP 6kg</v>
          </cell>
          <cell r="W1945" t="str">
            <v>Ajuste</v>
          </cell>
          <cell r="X1945">
            <v>58</v>
          </cell>
          <cell r="Y1945">
            <v>348</v>
          </cell>
        </row>
        <row r="1946">
          <cell r="U1946" t="str">
            <v>L105148</v>
          </cell>
          <cell r="V1946" t="str">
            <v>DIV MEDP 6kg</v>
          </cell>
          <cell r="W1946" t="str">
            <v>Ajuste</v>
          </cell>
          <cell r="X1946">
            <v>92</v>
          </cell>
          <cell r="Y1946">
            <v>552</v>
          </cell>
        </row>
        <row r="1947">
          <cell r="U1947" t="str">
            <v>L105266</v>
          </cell>
          <cell r="V1947" t="str">
            <v>DIV MEDP 6kg</v>
          </cell>
          <cell r="W1947" t="str">
            <v>Ajuste</v>
          </cell>
          <cell r="X1947">
            <v>6</v>
          </cell>
          <cell r="Y1947">
            <v>36</v>
          </cell>
        </row>
        <row r="1948">
          <cell r="U1948" t="str">
            <v>L105268</v>
          </cell>
          <cell r="V1948" t="str">
            <v>DIV Menestra kg</v>
          </cell>
          <cell r="W1948" t="str">
            <v>Ajuste</v>
          </cell>
          <cell r="X1948">
            <v>810</v>
          </cell>
          <cell r="Y1948">
            <v>810</v>
          </cell>
        </row>
        <row r="1949">
          <cell r="U1949" t="str">
            <v>L105268</v>
          </cell>
          <cell r="V1949" t="str">
            <v>DIV Menestra kg</v>
          </cell>
          <cell r="W1949" t="str">
            <v>Dañado</v>
          </cell>
          <cell r="X1949">
            <v>360</v>
          </cell>
          <cell r="Y1949">
            <v>360</v>
          </cell>
        </row>
        <row r="1950">
          <cell r="U1950" t="str">
            <v>L103845</v>
          </cell>
          <cell r="V1950" t="str">
            <v>DIV Menestra kg</v>
          </cell>
          <cell r="W1950" t="str">
            <v>Ajuste</v>
          </cell>
          <cell r="X1950">
            <v>200</v>
          </cell>
          <cell r="Y1950">
            <v>200</v>
          </cell>
        </row>
        <row r="1951">
          <cell r="U1951" t="str">
            <v>L104989</v>
          </cell>
          <cell r="V1951" t="str">
            <v>DIV MERMA DE FRUVER 1kg</v>
          </cell>
          <cell r="W1951" t="str">
            <v>Ajuste</v>
          </cell>
          <cell r="X1951">
            <v>24</v>
          </cell>
          <cell r="Y1951">
            <v>24</v>
          </cell>
        </row>
        <row r="1952">
          <cell r="U1952" t="str">
            <v>L104996</v>
          </cell>
          <cell r="V1952" t="str">
            <v>DIV MERMA DE FRUVER 1kg</v>
          </cell>
          <cell r="W1952" t="str">
            <v>Ajuste</v>
          </cell>
          <cell r="X1952">
            <v>28</v>
          </cell>
          <cell r="Y1952">
            <v>28</v>
          </cell>
        </row>
        <row r="1953">
          <cell r="U1953" t="str">
            <v>L105001</v>
          </cell>
          <cell r="V1953" t="str">
            <v>DIV MERMA DE FRUVER 1kg</v>
          </cell>
          <cell r="W1953" t="str">
            <v>Ajuste</v>
          </cell>
          <cell r="X1953">
            <v>32</v>
          </cell>
          <cell r="Y1953">
            <v>32</v>
          </cell>
        </row>
        <row r="1954">
          <cell r="U1954" t="str">
            <v>L105005</v>
          </cell>
          <cell r="V1954" t="str">
            <v>DIV MERMA DE FRUVER 1kg</v>
          </cell>
          <cell r="W1954" t="str">
            <v>Ajuste</v>
          </cell>
          <cell r="X1954">
            <v>72</v>
          </cell>
          <cell r="Y1954">
            <v>72</v>
          </cell>
        </row>
        <row r="1955">
          <cell r="U1955" t="str">
            <v>L105010</v>
          </cell>
          <cell r="V1955" t="str">
            <v>DIV MERMA DE FRUVER 1kg</v>
          </cell>
          <cell r="W1955" t="str">
            <v>Ajuste</v>
          </cell>
          <cell r="X1955">
            <v>28</v>
          </cell>
          <cell r="Y1955">
            <v>28</v>
          </cell>
        </row>
        <row r="1956">
          <cell r="U1956" t="str">
            <v>L105117</v>
          </cell>
          <cell r="V1956" t="str">
            <v>DIV MERMA DE FRUVER 1kg</v>
          </cell>
          <cell r="W1956" t="str">
            <v>Ajuste</v>
          </cell>
          <cell r="X1956">
            <v>60</v>
          </cell>
          <cell r="Y1956">
            <v>60</v>
          </cell>
        </row>
        <row r="1957">
          <cell r="U1957" t="str">
            <v>L105137</v>
          </cell>
          <cell r="V1957" t="str">
            <v>DIV MERMA DE FRUVER 1kg</v>
          </cell>
          <cell r="W1957" t="str">
            <v>Ajuste</v>
          </cell>
          <cell r="X1957">
            <v>30</v>
          </cell>
          <cell r="Y1957">
            <v>30</v>
          </cell>
        </row>
        <row r="1958">
          <cell r="U1958" t="str">
            <v>L105220</v>
          </cell>
          <cell r="V1958" t="str">
            <v>DIV MERMA DE FRUVER 1kg</v>
          </cell>
          <cell r="W1958" t="str">
            <v>Ajuste</v>
          </cell>
          <cell r="X1958">
            <v>10</v>
          </cell>
          <cell r="Y1958">
            <v>10</v>
          </cell>
        </row>
        <row r="1959">
          <cell r="U1959" t="str">
            <v>L105222</v>
          </cell>
          <cell r="V1959" t="str">
            <v>DIV MERMA DE FRUVER 1kg</v>
          </cell>
          <cell r="W1959" t="str">
            <v>Ajuste</v>
          </cell>
          <cell r="X1959">
            <v>12</v>
          </cell>
          <cell r="Y1959">
            <v>12</v>
          </cell>
        </row>
        <row r="1960">
          <cell r="U1960" t="str">
            <v>L105226</v>
          </cell>
          <cell r="V1960" t="str">
            <v>DIV MERMA DE FRUVER 1kg</v>
          </cell>
          <cell r="W1960" t="str">
            <v>Ajuste</v>
          </cell>
          <cell r="X1960">
            <v>2</v>
          </cell>
          <cell r="Y1960">
            <v>2</v>
          </cell>
        </row>
        <row r="1961">
          <cell r="U1961" t="str">
            <v>L105227</v>
          </cell>
          <cell r="V1961" t="str">
            <v>DIV MERMA DE FRUVER 1kg</v>
          </cell>
          <cell r="W1961" t="str">
            <v>Ajuste</v>
          </cell>
          <cell r="X1961">
            <v>24</v>
          </cell>
          <cell r="Y1961">
            <v>24</v>
          </cell>
        </row>
        <row r="1962">
          <cell r="U1962" t="str">
            <v>L105231</v>
          </cell>
          <cell r="V1962" t="str">
            <v>DIV MERMA DE FRUVER 1kg</v>
          </cell>
          <cell r="W1962" t="str">
            <v>Ajuste</v>
          </cell>
          <cell r="X1962">
            <v>26</v>
          </cell>
          <cell r="Y1962">
            <v>26</v>
          </cell>
        </row>
        <row r="1963">
          <cell r="U1963" t="str">
            <v>L105233</v>
          </cell>
          <cell r="V1963" t="str">
            <v>DIV MERMA DE FRUVER 1kg</v>
          </cell>
          <cell r="W1963" t="str">
            <v>Ajuste</v>
          </cell>
          <cell r="X1963">
            <v>64</v>
          </cell>
          <cell r="Y1963">
            <v>64</v>
          </cell>
        </row>
        <row r="1964">
          <cell r="U1964" t="str">
            <v>L105235</v>
          </cell>
          <cell r="V1964" t="str">
            <v>DIV MERMA DE FRUVER 1kg</v>
          </cell>
          <cell r="W1964" t="str">
            <v>Ajuste</v>
          </cell>
          <cell r="X1964">
            <v>24</v>
          </cell>
          <cell r="Y1964">
            <v>24</v>
          </cell>
        </row>
        <row r="1965">
          <cell r="U1965" t="str">
            <v>L105323</v>
          </cell>
          <cell r="V1965" t="str">
            <v>DIV MERMA DE FRUVER 1kg</v>
          </cell>
          <cell r="W1965" t="str">
            <v>Ajuste</v>
          </cell>
          <cell r="X1965">
            <v>68</v>
          </cell>
          <cell r="Y1965">
            <v>68</v>
          </cell>
        </row>
        <row r="1966">
          <cell r="U1966" t="str">
            <v>L105364</v>
          </cell>
          <cell r="V1966" t="str">
            <v>DIV MERMA DE FRUVER 1kg</v>
          </cell>
          <cell r="W1966" t="str">
            <v>Ajuste</v>
          </cell>
          <cell r="X1966">
            <v>40</v>
          </cell>
          <cell r="Y1966">
            <v>40</v>
          </cell>
        </row>
        <row r="1967">
          <cell r="U1967" t="str">
            <v>L105365</v>
          </cell>
          <cell r="V1967" t="str">
            <v>DIV MERMA DE FRUVER 1kg</v>
          </cell>
          <cell r="W1967" t="str">
            <v>Ajuste</v>
          </cell>
          <cell r="X1967">
            <v>20</v>
          </cell>
          <cell r="Y1967">
            <v>20</v>
          </cell>
        </row>
        <row r="1968">
          <cell r="U1968" t="str">
            <v>L105369</v>
          </cell>
          <cell r="V1968" t="str">
            <v>DIV MERMA DE FRUVER 1kg</v>
          </cell>
          <cell r="W1968" t="str">
            <v>Ajuste</v>
          </cell>
          <cell r="X1968">
            <v>48</v>
          </cell>
          <cell r="Y1968">
            <v>48</v>
          </cell>
        </row>
        <row r="1969">
          <cell r="U1969" t="str">
            <v>L105370</v>
          </cell>
          <cell r="V1969" t="str">
            <v>DIV MERMA DE FRUVER 1kg</v>
          </cell>
          <cell r="W1969" t="str">
            <v>Ajuste</v>
          </cell>
          <cell r="X1969">
            <v>72</v>
          </cell>
          <cell r="Y1969">
            <v>72</v>
          </cell>
        </row>
        <row r="1970">
          <cell r="U1970" t="str">
            <v>L105425</v>
          </cell>
          <cell r="V1970" t="str">
            <v>DIV MERMA DE FRUVER 1kg</v>
          </cell>
          <cell r="W1970" t="str">
            <v>Ajuste</v>
          </cell>
          <cell r="X1970">
            <v>180</v>
          </cell>
          <cell r="Y1970">
            <v>180</v>
          </cell>
        </row>
        <row r="1971">
          <cell r="U1971" t="str">
            <v>L105427</v>
          </cell>
          <cell r="V1971" t="str">
            <v>DIV MERMA DE FRUVER 1kg</v>
          </cell>
          <cell r="W1971" t="str">
            <v>Ajuste</v>
          </cell>
          <cell r="X1971">
            <v>20</v>
          </cell>
          <cell r="Y1971">
            <v>20</v>
          </cell>
        </row>
        <row r="1972">
          <cell r="U1972" t="str">
            <v>L105445</v>
          </cell>
          <cell r="V1972" t="str">
            <v>DIV MERMA DE FRUVER 1kg</v>
          </cell>
          <cell r="W1972" t="str">
            <v>Ajuste</v>
          </cell>
          <cell r="X1972">
            <v>10</v>
          </cell>
          <cell r="Y1972">
            <v>10</v>
          </cell>
        </row>
        <row r="1973">
          <cell r="U1973" t="str">
            <v>L105633</v>
          </cell>
          <cell r="V1973" t="str">
            <v>DIV MERMA DE FRUVER 1kg</v>
          </cell>
          <cell r="W1973" t="str">
            <v>Ajuste</v>
          </cell>
          <cell r="X1973">
            <v>30</v>
          </cell>
          <cell r="Y1973">
            <v>30</v>
          </cell>
        </row>
        <row r="1974">
          <cell r="U1974" t="str">
            <v>L105634</v>
          </cell>
          <cell r="V1974" t="str">
            <v>DIV MERMA DE FRUVER 1kg</v>
          </cell>
          <cell r="W1974" t="str">
            <v>Ajuste</v>
          </cell>
          <cell r="X1974">
            <v>36</v>
          </cell>
          <cell r="Y1974">
            <v>36</v>
          </cell>
        </row>
        <row r="1975">
          <cell r="U1975" t="str">
            <v>L105637</v>
          </cell>
          <cell r="V1975" t="str">
            <v>DIV MERMA DE FRUVER 1kg</v>
          </cell>
          <cell r="W1975" t="str">
            <v>Ajuste</v>
          </cell>
          <cell r="X1975">
            <v>16</v>
          </cell>
          <cell r="Y1975">
            <v>16</v>
          </cell>
        </row>
        <row r="1976">
          <cell r="U1976" t="str">
            <v>L105777</v>
          </cell>
          <cell r="V1976" t="str">
            <v>DIV MERMA DE FRUVER 1kg</v>
          </cell>
          <cell r="W1976" t="str">
            <v>Ajuste</v>
          </cell>
          <cell r="X1976">
            <v>20</v>
          </cell>
          <cell r="Y1976">
            <v>20</v>
          </cell>
        </row>
        <row r="1977">
          <cell r="U1977" t="str">
            <v>L105779</v>
          </cell>
          <cell r="V1977" t="str">
            <v>DIV MERMA DE FRUVER 1kg</v>
          </cell>
          <cell r="W1977" t="str">
            <v>Ajuste</v>
          </cell>
          <cell r="X1977">
            <v>98</v>
          </cell>
          <cell r="Y1977">
            <v>98</v>
          </cell>
        </row>
        <row r="1978">
          <cell r="U1978" t="str">
            <v>L105782</v>
          </cell>
          <cell r="V1978" t="str">
            <v>DIV MERMA DE FRUVER 1kg</v>
          </cell>
          <cell r="W1978" t="str">
            <v>Ajuste</v>
          </cell>
          <cell r="X1978">
            <v>38</v>
          </cell>
          <cell r="Y1978">
            <v>38</v>
          </cell>
        </row>
        <row r="1979">
          <cell r="U1979" t="str">
            <v>L105785</v>
          </cell>
          <cell r="V1979" t="str">
            <v>DIV MERMA DE FRUVER 1kg</v>
          </cell>
          <cell r="W1979" t="str">
            <v>Ajuste</v>
          </cell>
          <cell r="X1979">
            <v>116</v>
          </cell>
          <cell r="Y1979">
            <v>116</v>
          </cell>
        </row>
        <row r="1980">
          <cell r="U1980" t="str">
            <v>L105924</v>
          </cell>
          <cell r="V1980" t="str">
            <v>DIV MERMA DE FRUVER 1kg</v>
          </cell>
          <cell r="W1980" t="str">
            <v>Ajuste</v>
          </cell>
          <cell r="X1980">
            <v>110</v>
          </cell>
          <cell r="Y1980">
            <v>110</v>
          </cell>
        </row>
        <row r="1981">
          <cell r="U1981" t="str">
            <v>L105926</v>
          </cell>
          <cell r="V1981" t="str">
            <v>DIV MERMA DE FRUVER 1kg</v>
          </cell>
          <cell r="W1981" t="str">
            <v>Ajuste</v>
          </cell>
          <cell r="X1981">
            <v>100</v>
          </cell>
          <cell r="Y1981">
            <v>100</v>
          </cell>
        </row>
        <row r="1982">
          <cell r="U1982" t="str">
            <v>L105928</v>
          </cell>
          <cell r="V1982" t="str">
            <v>DIV MERMA DE FRUVER 1kg</v>
          </cell>
          <cell r="W1982" t="str">
            <v>Ajuste</v>
          </cell>
          <cell r="X1982">
            <v>106</v>
          </cell>
          <cell r="Y1982">
            <v>106</v>
          </cell>
        </row>
        <row r="1983">
          <cell r="U1983" t="str">
            <v>L105931</v>
          </cell>
          <cell r="V1983" t="str">
            <v>DIV MERMA DE FRUVER 1kg</v>
          </cell>
          <cell r="W1983" t="str">
            <v>Ajuste</v>
          </cell>
          <cell r="X1983">
            <v>10</v>
          </cell>
          <cell r="Y1983">
            <v>10</v>
          </cell>
        </row>
        <row r="1984">
          <cell r="U1984" t="str">
            <v>L105987</v>
          </cell>
          <cell r="V1984" t="str">
            <v>DIV MERMA DE FRUVER 1kg</v>
          </cell>
          <cell r="W1984" t="str">
            <v>Ajuste</v>
          </cell>
          <cell r="X1984">
            <v>16</v>
          </cell>
          <cell r="Y1984">
            <v>16</v>
          </cell>
        </row>
        <row r="1985">
          <cell r="U1985" t="str">
            <v>L106000</v>
          </cell>
          <cell r="V1985" t="str">
            <v>DIV MERMA DE FRUVER 1kg</v>
          </cell>
          <cell r="W1985" t="str">
            <v>Ajuste</v>
          </cell>
          <cell r="X1985">
            <v>8</v>
          </cell>
          <cell r="Y1985">
            <v>8</v>
          </cell>
        </row>
        <row r="1986">
          <cell r="U1986" t="str">
            <v>L106014</v>
          </cell>
          <cell r="V1986" t="str">
            <v>DIV MERMA DE FRUVER 1kg</v>
          </cell>
          <cell r="W1986" t="str">
            <v>Ajuste</v>
          </cell>
          <cell r="X1986">
            <v>10</v>
          </cell>
          <cell r="Y1986">
            <v>10</v>
          </cell>
        </row>
        <row r="1987">
          <cell r="U1987" t="str">
            <v>L106016</v>
          </cell>
          <cell r="V1987" t="str">
            <v>DIV MERMA DE FRUVER 1kg</v>
          </cell>
          <cell r="W1987" t="str">
            <v>Ajuste</v>
          </cell>
          <cell r="X1987">
            <v>10</v>
          </cell>
          <cell r="Y1987">
            <v>10</v>
          </cell>
        </row>
        <row r="1988">
          <cell r="U1988" t="str">
            <v>L106018</v>
          </cell>
          <cell r="V1988" t="str">
            <v>DIV MERMA DE FRUVER 1kg</v>
          </cell>
          <cell r="W1988" t="str">
            <v>Ajuste</v>
          </cell>
          <cell r="X1988">
            <v>10</v>
          </cell>
          <cell r="Y1988">
            <v>10</v>
          </cell>
        </row>
        <row r="1989">
          <cell r="U1989" t="str">
            <v>L105669</v>
          </cell>
          <cell r="V1989" t="str">
            <v>DIV Merma KG</v>
          </cell>
          <cell r="W1989" t="str">
            <v>Ajuste</v>
          </cell>
          <cell r="X1989">
            <v>6</v>
          </cell>
          <cell r="Y1989">
            <v>6</v>
          </cell>
        </row>
        <row r="1990">
          <cell r="U1990" t="str">
            <v>L106032</v>
          </cell>
          <cell r="V1990" t="str">
            <v>DIV Merma KG</v>
          </cell>
          <cell r="W1990" t="str">
            <v>Ajuste</v>
          </cell>
          <cell r="X1990">
            <v>10</v>
          </cell>
          <cell r="Y1990">
            <v>10</v>
          </cell>
        </row>
        <row r="1991">
          <cell r="U1991" t="str">
            <v>L105502</v>
          </cell>
          <cell r="V1991" t="str">
            <v>DIV MLCT 2kg</v>
          </cell>
          <cell r="W1991" t="str">
            <v>Ajuste</v>
          </cell>
          <cell r="X1991">
            <v>6</v>
          </cell>
          <cell r="Y1991">
            <v>12</v>
          </cell>
        </row>
        <row r="1992">
          <cell r="U1992" t="str">
            <v>L106025</v>
          </cell>
          <cell r="V1992" t="str">
            <v>DIV MLCT 2kg</v>
          </cell>
          <cell r="W1992" t="str">
            <v>Ajuste</v>
          </cell>
          <cell r="X1992">
            <v>2</v>
          </cell>
          <cell r="Y1992">
            <v>4</v>
          </cell>
        </row>
        <row r="1993">
          <cell r="U1993" t="str">
            <v>L106003</v>
          </cell>
          <cell r="V1993" t="str">
            <v>DIV MLNVAR 45-50kg</v>
          </cell>
          <cell r="W1993" t="str">
            <v>Ajuste</v>
          </cell>
          <cell r="X1993">
            <v>124</v>
          </cell>
          <cell r="Y1993">
            <v>5952</v>
          </cell>
        </row>
        <row r="1994">
          <cell r="U1994" t="str">
            <v>L106003</v>
          </cell>
          <cell r="V1994" t="str">
            <v>DIV MLNVAR 45-50kg</v>
          </cell>
          <cell r="W1994" t="str">
            <v>Reproceso</v>
          </cell>
          <cell r="X1994">
            <v>47</v>
          </cell>
          <cell r="Y1994">
            <v>2256</v>
          </cell>
        </row>
        <row r="1995">
          <cell r="U1995" t="str">
            <v>L106003</v>
          </cell>
          <cell r="V1995" t="str">
            <v>MLNVAR 10kg</v>
          </cell>
          <cell r="W1995" t="str">
            <v>Ajuste</v>
          </cell>
          <cell r="X1995">
            <v>450</v>
          </cell>
          <cell r="Y1995">
            <v>4500</v>
          </cell>
        </row>
        <row r="1996">
          <cell r="U1996" t="str">
            <v>L105972</v>
          </cell>
          <cell r="V1996" t="str">
            <v>DIV MNS 10kg</v>
          </cell>
          <cell r="W1996" t="str">
            <v>Ajuste</v>
          </cell>
          <cell r="X1996">
            <v>400</v>
          </cell>
          <cell r="Y1996">
            <v>4000</v>
          </cell>
        </row>
        <row r="1997">
          <cell r="U1997" t="str">
            <v>L105919</v>
          </cell>
          <cell r="V1997" t="str">
            <v>DIV MNS 10kg</v>
          </cell>
          <cell r="W1997" t="str">
            <v>Ajuste</v>
          </cell>
          <cell r="X1997">
            <v>5</v>
          </cell>
          <cell r="Y1997">
            <v>50</v>
          </cell>
        </row>
        <row r="1998">
          <cell r="U1998" t="str">
            <v>L105077</v>
          </cell>
          <cell r="V1998" t="str">
            <v>DIV MNS 2kg</v>
          </cell>
          <cell r="W1998" t="str">
            <v>Ajuste</v>
          </cell>
          <cell r="X1998">
            <v>6</v>
          </cell>
          <cell r="Y1998">
            <v>12</v>
          </cell>
        </row>
        <row r="1999">
          <cell r="U1999" t="str">
            <v>L105998</v>
          </cell>
          <cell r="V1999" t="str">
            <v>PTM 5kg-CAJA</v>
          </cell>
          <cell r="W1999" t="str">
            <v>Ajuste</v>
          </cell>
          <cell r="X1999">
            <v>91</v>
          </cell>
          <cell r="Y1999">
            <v>455</v>
          </cell>
        </row>
        <row r="2000">
          <cell r="U2000" t="str">
            <v>L105998</v>
          </cell>
          <cell r="V2000" t="str">
            <v>DIV MTQ 1kg</v>
          </cell>
          <cell r="W2000" t="str">
            <v>Ajuste</v>
          </cell>
          <cell r="X2000">
            <v>2</v>
          </cell>
          <cell r="Y2000">
            <v>2</v>
          </cell>
        </row>
        <row r="2001">
          <cell r="U2001" t="str">
            <v>L105145</v>
          </cell>
          <cell r="V2001" t="str">
            <v>DIV MXTCD 5kg</v>
          </cell>
          <cell r="W2001" t="str">
            <v>Ajuste</v>
          </cell>
          <cell r="X2001">
            <v>28</v>
          </cell>
          <cell r="Y2001">
            <v>140</v>
          </cell>
        </row>
        <row r="2002">
          <cell r="U2002" t="str">
            <v>L105334</v>
          </cell>
          <cell r="V2002" t="str">
            <v>DIV MYN 2kg</v>
          </cell>
          <cell r="W2002" t="str">
            <v>Ajuste</v>
          </cell>
          <cell r="X2002">
            <v>8</v>
          </cell>
          <cell r="Y2002">
            <v>16</v>
          </cell>
        </row>
        <row r="2003">
          <cell r="U2003" t="str">
            <v>L105675</v>
          </cell>
          <cell r="V2003" t="str">
            <v>DIV MYN 2kg</v>
          </cell>
          <cell r="W2003" t="str">
            <v>Ajuste</v>
          </cell>
          <cell r="X2003">
            <v>12</v>
          </cell>
          <cell r="Y2003">
            <v>24</v>
          </cell>
        </row>
        <row r="2004">
          <cell r="U2004" t="str">
            <v>L105702</v>
          </cell>
          <cell r="V2004" t="str">
            <v>DIV MYN 2kg</v>
          </cell>
          <cell r="W2004" t="str">
            <v>Ajuste</v>
          </cell>
          <cell r="X2004">
            <v>5</v>
          </cell>
          <cell r="Y2004">
            <v>10</v>
          </cell>
        </row>
        <row r="2005">
          <cell r="U2005" t="str">
            <v>L105673</v>
          </cell>
          <cell r="V2005" t="str">
            <v>DIV MYN 5kg</v>
          </cell>
          <cell r="W2005" t="str">
            <v>Ajuste</v>
          </cell>
          <cell r="X2005">
            <v>12</v>
          </cell>
          <cell r="Y2005">
            <v>60</v>
          </cell>
        </row>
        <row r="2006">
          <cell r="U2006" t="str">
            <v>L105503</v>
          </cell>
          <cell r="V2006" t="str">
            <v>DIV MZL 2kg</v>
          </cell>
          <cell r="W2006" t="str">
            <v>Ajuste</v>
          </cell>
          <cell r="X2006">
            <v>4</v>
          </cell>
          <cell r="Y2006">
            <v>8</v>
          </cell>
        </row>
        <row r="2007">
          <cell r="U2007" t="str">
            <v>L105977</v>
          </cell>
          <cell r="V2007" t="str">
            <v>DIV MZL 2kg</v>
          </cell>
          <cell r="W2007" t="str">
            <v>Ajuste</v>
          </cell>
          <cell r="X2007">
            <v>4</v>
          </cell>
          <cell r="Y2007">
            <v>8</v>
          </cell>
        </row>
        <row r="2008">
          <cell r="U2008" t="str">
            <v>L105343</v>
          </cell>
          <cell r="V2008" t="str">
            <v>DIV MZT 2kg</v>
          </cell>
          <cell r="W2008" t="str">
            <v>Ajuste</v>
          </cell>
          <cell r="X2008">
            <v>10</v>
          </cell>
          <cell r="Y2008">
            <v>20</v>
          </cell>
        </row>
        <row r="2009">
          <cell r="U2009" t="str">
            <v>L105705</v>
          </cell>
          <cell r="V2009" t="str">
            <v>DIV MZT 2kg</v>
          </cell>
          <cell r="W2009" t="str">
            <v>Ajuste</v>
          </cell>
          <cell r="X2009">
            <v>4</v>
          </cell>
          <cell r="Y2009">
            <v>8</v>
          </cell>
        </row>
        <row r="2010">
          <cell r="U2010" t="str">
            <v>L105014</v>
          </cell>
          <cell r="V2010" t="str">
            <v>DIV PASTV 2kg</v>
          </cell>
          <cell r="W2010" t="str">
            <v>Ajuste</v>
          </cell>
          <cell r="X2010">
            <v>20</v>
          </cell>
          <cell r="Y2010">
            <v>40</v>
          </cell>
        </row>
        <row r="2011">
          <cell r="U2011" t="str">
            <v>L105237</v>
          </cell>
          <cell r="V2011" t="str">
            <v>DIV PASTV 2kg</v>
          </cell>
          <cell r="W2011" t="str">
            <v>Ajuste</v>
          </cell>
          <cell r="X2011">
            <v>22</v>
          </cell>
          <cell r="Y2011">
            <v>44</v>
          </cell>
        </row>
        <row r="2012">
          <cell r="U2012" t="str">
            <v>L105322</v>
          </cell>
          <cell r="V2012" t="str">
            <v>DIV PASTV 2kg</v>
          </cell>
          <cell r="W2012" t="str">
            <v>Ajuste</v>
          </cell>
          <cell r="X2012">
            <v>34</v>
          </cell>
          <cell r="Y2012">
            <v>68</v>
          </cell>
        </row>
        <row r="2013">
          <cell r="U2013" t="str">
            <v>L105444</v>
          </cell>
          <cell r="V2013" t="str">
            <v>DIV PASTV 2kg</v>
          </cell>
          <cell r="W2013" t="str">
            <v>Ajuste</v>
          </cell>
          <cell r="X2013">
            <v>14</v>
          </cell>
          <cell r="Y2013">
            <v>28</v>
          </cell>
        </row>
        <row r="2014">
          <cell r="U2014" t="str">
            <v>L105983</v>
          </cell>
          <cell r="V2014" t="str">
            <v>DIV PASTV 2kg</v>
          </cell>
          <cell r="W2014" t="str">
            <v>Ajuste</v>
          </cell>
          <cell r="X2014">
            <v>16</v>
          </cell>
          <cell r="Y2014">
            <v>32</v>
          </cell>
        </row>
        <row r="2015">
          <cell r="U2015" t="str">
            <v>L105994</v>
          </cell>
          <cell r="V2015" t="str">
            <v>DIV PASTV 2kg</v>
          </cell>
          <cell r="W2015" t="str">
            <v>Ajuste</v>
          </cell>
          <cell r="X2015">
            <v>24</v>
          </cell>
          <cell r="Y2015">
            <v>48</v>
          </cell>
        </row>
        <row r="2016">
          <cell r="U2016" t="str">
            <v>L105020</v>
          </cell>
          <cell r="V2016" t="str">
            <v>DIV PASTV 6kg</v>
          </cell>
          <cell r="W2016" t="str">
            <v>Ajuste</v>
          </cell>
          <cell r="X2016">
            <v>2</v>
          </cell>
          <cell r="Y2016">
            <v>12</v>
          </cell>
        </row>
        <row r="2017">
          <cell r="U2017" t="str">
            <v>L105982</v>
          </cell>
          <cell r="V2017" t="str">
            <v>DIV PASTV 6kg</v>
          </cell>
          <cell r="W2017" t="str">
            <v>Ajuste</v>
          </cell>
          <cell r="X2017">
            <v>2</v>
          </cell>
          <cell r="Y2017">
            <v>12</v>
          </cell>
        </row>
        <row r="2018">
          <cell r="U2018" t="str">
            <v>L105999</v>
          </cell>
          <cell r="V2018" t="str">
            <v>DIV PASTV 6kg</v>
          </cell>
          <cell r="W2018" t="str">
            <v>Ajuste</v>
          </cell>
          <cell r="X2018">
            <v>6</v>
          </cell>
          <cell r="Y2018">
            <v>36</v>
          </cell>
        </row>
        <row r="2019">
          <cell r="U2019" t="str">
            <v>L104965</v>
          </cell>
          <cell r="V2019" t="str">
            <v>DIV PATDP 2.5KG</v>
          </cell>
          <cell r="W2019" t="str">
            <v>Ajuste</v>
          </cell>
          <cell r="X2019">
            <v>10</v>
          </cell>
          <cell r="Y2019">
            <v>25</v>
          </cell>
        </row>
        <row r="2020">
          <cell r="U2020" t="str">
            <v>L104964</v>
          </cell>
          <cell r="V2020" t="str">
            <v>DIV PCDP 7kg</v>
          </cell>
          <cell r="W2020" t="str">
            <v>Ajuste</v>
          </cell>
          <cell r="X2020">
            <v>16</v>
          </cell>
          <cell r="Y2020">
            <v>112</v>
          </cell>
        </row>
        <row r="2021">
          <cell r="U2021" t="str">
            <v>L105262</v>
          </cell>
          <cell r="V2021" t="str">
            <v>DIV PCDP 7kg</v>
          </cell>
          <cell r="W2021" t="str">
            <v>Ajuste</v>
          </cell>
          <cell r="X2021">
            <v>12</v>
          </cell>
          <cell r="Y2021">
            <v>84</v>
          </cell>
        </row>
        <row r="2022">
          <cell r="U2022" t="str">
            <v>L105706</v>
          </cell>
          <cell r="V2022" t="str">
            <v>DIV PCK 3kg</v>
          </cell>
          <cell r="W2022" t="str">
            <v>Ajuste</v>
          </cell>
          <cell r="X2022">
            <v>4</v>
          </cell>
          <cell r="Y2022">
            <v>12</v>
          </cell>
        </row>
        <row r="2023">
          <cell r="U2023" t="str">
            <v>L105265</v>
          </cell>
          <cell r="V2023" t="str">
            <v>DIV PCP 4kg</v>
          </cell>
          <cell r="W2023" t="str">
            <v>Ajuste</v>
          </cell>
          <cell r="X2023">
            <v>66</v>
          </cell>
          <cell r="Y2023">
            <v>264</v>
          </cell>
        </row>
        <row r="2024">
          <cell r="U2024" t="str">
            <v>L105265</v>
          </cell>
          <cell r="V2024" t="str">
            <v>DIV PCP 4kg</v>
          </cell>
          <cell r="W2024" t="str">
            <v>Dañado</v>
          </cell>
          <cell r="X2024">
            <v>4</v>
          </cell>
          <cell r="Y2024">
            <v>16</v>
          </cell>
        </row>
        <row r="2025">
          <cell r="U2025" t="str">
            <v>L105270</v>
          </cell>
          <cell r="V2025" t="str">
            <v>DIV PCP 4kg</v>
          </cell>
          <cell r="W2025" t="str">
            <v>Ajuste</v>
          </cell>
          <cell r="X2025">
            <v>14</v>
          </cell>
          <cell r="Y2025">
            <v>56</v>
          </cell>
        </row>
        <row r="2026">
          <cell r="U2026" t="str">
            <v>L105273</v>
          </cell>
          <cell r="V2026" t="str">
            <v>DIV PDA G</v>
          </cell>
          <cell r="W2026" t="str">
            <v>Ajuste</v>
          </cell>
          <cell r="X2026">
            <v>14</v>
          </cell>
          <cell r="Y2026">
            <v>78.399999999999991</v>
          </cell>
        </row>
        <row r="2027">
          <cell r="U2027" t="str">
            <v>L105271</v>
          </cell>
          <cell r="V2027" t="str">
            <v>DIV PDA M</v>
          </cell>
          <cell r="W2027" t="str">
            <v>Ajuste</v>
          </cell>
          <cell r="X2027">
            <v>16</v>
          </cell>
          <cell r="Y2027">
            <v>83.200000000000017</v>
          </cell>
        </row>
        <row r="2028">
          <cell r="U2028" t="str">
            <v>L104932</v>
          </cell>
          <cell r="V2028" t="str">
            <v>DIV PEC 11kg a 13kg</v>
          </cell>
          <cell r="W2028" t="str">
            <v>Ajuste</v>
          </cell>
          <cell r="X2028">
            <v>14</v>
          </cell>
          <cell r="Y2028">
            <v>168</v>
          </cell>
        </row>
        <row r="2029">
          <cell r="U2029" t="str">
            <v>L104933</v>
          </cell>
          <cell r="V2029" t="str">
            <v>DIV PEC 8KG</v>
          </cell>
          <cell r="W2029" t="str">
            <v>Ajuste</v>
          </cell>
          <cell r="X2029">
            <v>24</v>
          </cell>
          <cell r="Y2029">
            <v>192</v>
          </cell>
        </row>
        <row r="2030">
          <cell r="U2030" t="str">
            <v>L105267</v>
          </cell>
          <cell r="V2030" t="str">
            <v>DIV PEC 8KG</v>
          </cell>
          <cell r="W2030" t="str">
            <v>Ajuste</v>
          </cell>
          <cell r="X2030">
            <v>4</v>
          </cell>
          <cell r="Y2030">
            <v>32</v>
          </cell>
        </row>
        <row r="2031">
          <cell r="U2031" t="str">
            <v>L105303</v>
          </cell>
          <cell r="V2031" t="str">
            <v>DIV PEC 8KG</v>
          </cell>
          <cell r="W2031" t="str">
            <v>Ajuste</v>
          </cell>
          <cell r="X2031">
            <v>10</v>
          </cell>
          <cell r="Y2031">
            <v>80</v>
          </cell>
        </row>
        <row r="2032">
          <cell r="U2032" t="str">
            <v>L105508</v>
          </cell>
          <cell r="V2032" t="str">
            <v>DIV PH 1kg</v>
          </cell>
          <cell r="W2032" t="str">
            <v>Ajuste</v>
          </cell>
          <cell r="X2032">
            <v>12</v>
          </cell>
          <cell r="Y2032">
            <v>12</v>
          </cell>
        </row>
        <row r="2033">
          <cell r="U2033" t="str">
            <v>L105146</v>
          </cell>
          <cell r="V2033" t="str">
            <v>DIV PLLMC 13kg</v>
          </cell>
          <cell r="W2033" t="str">
            <v>Ajuste</v>
          </cell>
          <cell r="X2033">
            <v>8</v>
          </cell>
          <cell r="Y2033">
            <v>104</v>
          </cell>
        </row>
        <row r="2034">
          <cell r="U2034" t="str">
            <v>L105592</v>
          </cell>
          <cell r="V2034" t="str">
            <v>DIV PLLMC 13kg</v>
          </cell>
          <cell r="W2034" t="str">
            <v>Ajuste</v>
          </cell>
          <cell r="X2034">
            <v>16</v>
          </cell>
          <cell r="Y2034">
            <v>208</v>
          </cell>
        </row>
        <row r="2035">
          <cell r="U2035" t="str">
            <v>L105147</v>
          </cell>
          <cell r="V2035" t="str">
            <v>DIV PLLMC 8kg</v>
          </cell>
          <cell r="W2035" t="str">
            <v>Ajuste</v>
          </cell>
          <cell r="X2035">
            <v>8</v>
          </cell>
          <cell r="Y2035">
            <v>64</v>
          </cell>
        </row>
        <row r="2036">
          <cell r="U2036" t="str">
            <v>L105304</v>
          </cell>
          <cell r="V2036" t="str">
            <v>DIV PLLPM 5kg</v>
          </cell>
          <cell r="W2036" t="str">
            <v>Ajuste</v>
          </cell>
          <cell r="X2036">
            <v>2</v>
          </cell>
          <cell r="Y2036">
            <v>10</v>
          </cell>
        </row>
        <row r="2037">
          <cell r="U2037" t="str">
            <v>L105593</v>
          </cell>
          <cell r="V2037" t="str">
            <v>DIV PLLPM 5kg</v>
          </cell>
          <cell r="W2037" t="str">
            <v>Ajuste</v>
          </cell>
          <cell r="X2037">
            <v>54</v>
          </cell>
          <cell r="Y2037">
            <v>270</v>
          </cell>
        </row>
        <row r="2038">
          <cell r="U2038" t="str">
            <v>L105974</v>
          </cell>
          <cell r="V2038" t="str">
            <v>DIV PNALT 2kg</v>
          </cell>
          <cell r="W2038" t="str">
            <v>Ajuste</v>
          </cell>
          <cell r="X2038">
            <v>2</v>
          </cell>
          <cell r="Y2038">
            <v>4</v>
          </cell>
        </row>
        <row r="2039">
          <cell r="U2039" t="str">
            <v>L105142</v>
          </cell>
          <cell r="V2039" t="str">
            <v>DIV PP 5kg</v>
          </cell>
          <cell r="W2039" t="str">
            <v>Ajuste</v>
          </cell>
          <cell r="X2039">
            <v>94</v>
          </cell>
          <cell r="Y2039">
            <v>470</v>
          </cell>
        </row>
        <row r="2040">
          <cell r="U2040" t="str">
            <v>L105264</v>
          </cell>
          <cell r="V2040" t="str">
            <v>DIV PP 5kg</v>
          </cell>
          <cell r="W2040" t="str">
            <v>Ajuste</v>
          </cell>
          <cell r="X2040">
            <v>6</v>
          </cell>
          <cell r="Y2040">
            <v>30</v>
          </cell>
        </row>
        <row r="2041">
          <cell r="U2041" t="str">
            <v>L105324</v>
          </cell>
          <cell r="V2041" t="str">
            <v>DIV PP 5kg</v>
          </cell>
          <cell r="W2041" t="str">
            <v>Ajuste</v>
          </cell>
          <cell r="X2041">
            <v>6</v>
          </cell>
          <cell r="Y2041">
            <v>30</v>
          </cell>
        </row>
        <row r="2042">
          <cell r="U2042" t="str">
            <v>L105594</v>
          </cell>
          <cell r="V2042" t="str">
            <v>DIV PP 5kg</v>
          </cell>
          <cell r="W2042" t="str">
            <v>Ajuste</v>
          </cell>
          <cell r="X2042">
            <v>144</v>
          </cell>
          <cell r="Y2042">
            <v>720</v>
          </cell>
        </row>
        <row r="2043">
          <cell r="U2043" t="str">
            <v>L105775</v>
          </cell>
          <cell r="V2043" t="str">
            <v>DIV PP 5kg</v>
          </cell>
          <cell r="W2043" t="str">
            <v>Ajuste</v>
          </cell>
          <cell r="X2043">
            <v>66</v>
          </cell>
          <cell r="Y2043">
            <v>330</v>
          </cell>
        </row>
        <row r="2044">
          <cell r="U2044" t="str">
            <v>L105935</v>
          </cell>
          <cell r="V2044" t="str">
            <v>DIV PP 5kg</v>
          </cell>
          <cell r="W2044" t="str">
            <v>Ajuste</v>
          </cell>
          <cell r="X2044">
            <v>18</v>
          </cell>
          <cell r="Y2044">
            <v>90</v>
          </cell>
        </row>
        <row r="2045">
          <cell r="U2045" t="str">
            <v>L105013</v>
          </cell>
          <cell r="V2045" t="str">
            <v>DIV PRTZ UND</v>
          </cell>
          <cell r="W2045" t="str">
            <v>Ajuste</v>
          </cell>
          <cell r="X2045">
            <v>24</v>
          </cell>
          <cell r="Y2045">
            <v>24</v>
          </cell>
        </row>
        <row r="2046">
          <cell r="U2046" t="str">
            <v>L105981</v>
          </cell>
          <cell r="V2046" t="str">
            <v>DIV PRTZ UND</v>
          </cell>
          <cell r="W2046" t="str">
            <v>Ajuste</v>
          </cell>
          <cell r="X2046">
            <v>26</v>
          </cell>
          <cell r="Y2046">
            <v>26</v>
          </cell>
        </row>
        <row r="2047">
          <cell r="U2047" t="str">
            <v>L104941</v>
          </cell>
          <cell r="V2047" t="str">
            <v>DIV PTD 2 kg</v>
          </cell>
          <cell r="W2047" t="str">
            <v>Ajuste</v>
          </cell>
          <cell r="X2047">
            <v>278</v>
          </cell>
          <cell r="Y2047">
            <v>556</v>
          </cell>
        </row>
        <row r="2048">
          <cell r="U2048" t="str">
            <v>L106008</v>
          </cell>
          <cell r="V2048" t="str">
            <v>DIV PTLJH T32</v>
          </cell>
          <cell r="W2048" t="str">
            <v>Ajuste</v>
          </cell>
          <cell r="X2048">
            <v>4</v>
          </cell>
          <cell r="Y2048">
            <v>3.2</v>
          </cell>
        </row>
        <row r="2049">
          <cell r="U2049" t="str">
            <v>L106006</v>
          </cell>
          <cell r="V2049" t="str">
            <v>DIV PTLJH T34</v>
          </cell>
          <cell r="W2049" t="str">
            <v>Ajuste</v>
          </cell>
          <cell r="X2049">
            <v>2</v>
          </cell>
          <cell r="Y2049">
            <v>1.6</v>
          </cell>
        </row>
        <row r="2050">
          <cell r="U2050" t="str">
            <v>L106007</v>
          </cell>
          <cell r="V2050" t="str">
            <v>DIV PTLJH T36</v>
          </cell>
          <cell r="W2050" t="str">
            <v>Ajuste</v>
          </cell>
          <cell r="X2050">
            <v>4</v>
          </cell>
          <cell r="Y2050">
            <v>3.2</v>
          </cell>
        </row>
        <row r="2051">
          <cell r="U2051" t="str">
            <v>L106009</v>
          </cell>
          <cell r="V2051" t="str">
            <v>DIV PTLJM T8</v>
          </cell>
          <cell r="W2051" t="str">
            <v>Ajuste</v>
          </cell>
          <cell r="X2051">
            <v>8</v>
          </cell>
          <cell r="Y2051">
            <v>8</v>
          </cell>
        </row>
        <row r="2052">
          <cell r="U2052" t="str">
            <v>L105509</v>
          </cell>
          <cell r="V2052" t="str">
            <v>DIV PTO 1kg</v>
          </cell>
          <cell r="W2052" t="str">
            <v>Ajuste</v>
          </cell>
          <cell r="X2052">
            <v>6</v>
          </cell>
          <cell r="Y2052">
            <v>6</v>
          </cell>
        </row>
        <row r="2053">
          <cell r="U2053" t="str">
            <v>L105236</v>
          </cell>
          <cell r="V2053" t="str">
            <v>DIV QSO 5kg</v>
          </cell>
          <cell r="W2053" t="str">
            <v>Ajuste</v>
          </cell>
          <cell r="X2053">
            <v>22</v>
          </cell>
          <cell r="Y2053">
            <v>110</v>
          </cell>
        </row>
        <row r="2054">
          <cell r="U2054" t="str">
            <v>L105490</v>
          </cell>
          <cell r="V2054" t="str">
            <v>DIV QSO 5kg</v>
          </cell>
          <cell r="W2054" t="str">
            <v>Ajuste</v>
          </cell>
          <cell r="X2054">
            <v>6</v>
          </cell>
          <cell r="Y2054">
            <v>30</v>
          </cell>
        </row>
        <row r="2055">
          <cell r="U2055" t="str">
            <v>L106002</v>
          </cell>
          <cell r="V2055" t="str">
            <v>DIV QSO 5kg</v>
          </cell>
          <cell r="W2055" t="str">
            <v>Ajuste</v>
          </cell>
          <cell r="X2055">
            <v>20</v>
          </cell>
          <cell r="Y2055">
            <v>100</v>
          </cell>
        </row>
        <row r="2056">
          <cell r="U2056" t="str">
            <v>L105240</v>
          </cell>
          <cell r="V2056" t="str">
            <v>DIV QSV 1kg</v>
          </cell>
          <cell r="W2056" t="str">
            <v>Ajuste</v>
          </cell>
          <cell r="X2056">
            <v>2</v>
          </cell>
          <cell r="Y2056">
            <v>2</v>
          </cell>
        </row>
        <row r="2057">
          <cell r="U2057" t="str">
            <v>L105327</v>
          </cell>
          <cell r="V2057" t="str">
            <v>DIV QSV 2kg</v>
          </cell>
          <cell r="W2057" t="str">
            <v>Ajuste</v>
          </cell>
          <cell r="X2057">
            <v>26</v>
          </cell>
          <cell r="Y2057">
            <v>52</v>
          </cell>
        </row>
        <row r="2058">
          <cell r="U2058" t="str">
            <v>L105995</v>
          </cell>
          <cell r="V2058" t="str">
            <v>DIV QSV 2kg</v>
          </cell>
          <cell r="W2058" t="str">
            <v>Ajuste</v>
          </cell>
          <cell r="X2058">
            <v>12</v>
          </cell>
          <cell r="Y2058">
            <v>24</v>
          </cell>
        </row>
        <row r="2059">
          <cell r="U2059" t="str">
            <v>L105491</v>
          </cell>
          <cell r="V2059" t="str">
            <v>DIV QSV 3kg</v>
          </cell>
          <cell r="W2059" t="str">
            <v>Ajuste</v>
          </cell>
          <cell r="X2059">
            <v>2</v>
          </cell>
          <cell r="Y2059">
            <v>6</v>
          </cell>
        </row>
        <row r="2060">
          <cell r="U2060" t="str">
            <v>L106005</v>
          </cell>
          <cell r="V2060" t="str">
            <v>DIV RIPM 1 - PAQUETE</v>
          </cell>
          <cell r="W2060" t="str">
            <v>Ajuste</v>
          </cell>
          <cell r="X2060">
            <v>24</v>
          </cell>
          <cell r="Y2060">
            <v>12</v>
          </cell>
        </row>
        <row r="2061">
          <cell r="U2061" t="str">
            <v>L106010</v>
          </cell>
          <cell r="V2061" t="str">
            <v>DIV RPBV - UNIDAD</v>
          </cell>
          <cell r="W2061" t="str">
            <v>Ajuste</v>
          </cell>
          <cell r="X2061">
            <v>2</v>
          </cell>
          <cell r="Y2061">
            <v>0.6</v>
          </cell>
        </row>
        <row r="2062">
          <cell r="U2062" t="str">
            <v>L105661</v>
          </cell>
          <cell r="V2062" t="str">
            <v>DIV RTZPCDO 5kg</v>
          </cell>
          <cell r="W2062" t="str">
            <v>Ajuste</v>
          </cell>
          <cell r="X2062">
            <v>102</v>
          </cell>
          <cell r="Y2062">
            <v>510</v>
          </cell>
        </row>
        <row r="2063">
          <cell r="U2063" t="str">
            <v>L106028</v>
          </cell>
          <cell r="V2063" t="str">
            <v>DIV SAING 2kg</v>
          </cell>
          <cell r="W2063" t="str">
            <v>Ajuste</v>
          </cell>
          <cell r="X2063">
            <v>6</v>
          </cell>
          <cell r="Y2063">
            <v>12</v>
          </cell>
        </row>
        <row r="2064">
          <cell r="U2064" t="str">
            <v>L105711</v>
          </cell>
          <cell r="V2064" t="str">
            <v>DIV SAL 3kg</v>
          </cell>
          <cell r="W2064" t="str">
            <v>Ajuste</v>
          </cell>
          <cell r="X2064">
            <v>30</v>
          </cell>
          <cell r="Y2064">
            <v>90</v>
          </cell>
        </row>
        <row r="2065">
          <cell r="U2065" t="str">
            <v>L105672</v>
          </cell>
          <cell r="V2065" t="str">
            <v>DIV Salsa de Tomate kg</v>
          </cell>
          <cell r="W2065" t="str">
            <v>Ajuste</v>
          </cell>
          <cell r="X2065">
            <v>26</v>
          </cell>
          <cell r="Y2065">
            <v>26</v>
          </cell>
        </row>
        <row r="2066">
          <cell r="U2066" t="str">
            <v>L105352</v>
          </cell>
          <cell r="V2066" t="str">
            <v>DIV SCD 4kg</v>
          </cell>
          <cell r="W2066" t="str">
            <v>Ajuste</v>
          </cell>
          <cell r="X2066">
            <v>2</v>
          </cell>
          <cell r="Y2066">
            <v>8</v>
          </cell>
        </row>
        <row r="2067">
          <cell r="U2067" t="str">
            <v>L105350</v>
          </cell>
          <cell r="V2067" t="str">
            <v>DIV SCN 2kg</v>
          </cell>
          <cell r="W2067" t="str">
            <v>Ajuste</v>
          </cell>
          <cell r="X2067">
            <v>4</v>
          </cell>
          <cell r="Y2067">
            <v>8</v>
          </cell>
        </row>
        <row r="2068">
          <cell r="U2068" t="str">
            <v>L106027</v>
          </cell>
          <cell r="V2068" t="str">
            <v>DIV SCN 2kg</v>
          </cell>
          <cell r="W2068" t="str">
            <v>Ajuste</v>
          </cell>
          <cell r="X2068">
            <v>6</v>
          </cell>
          <cell r="Y2068">
            <v>12</v>
          </cell>
        </row>
        <row r="2069">
          <cell r="U2069" t="str">
            <v>L105342</v>
          </cell>
          <cell r="V2069" t="str">
            <v>DIV SDO 2kg</v>
          </cell>
          <cell r="W2069" t="str">
            <v>Ajuste</v>
          </cell>
          <cell r="X2069">
            <v>8</v>
          </cell>
          <cell r="Y2069">
            <v>16</v>
          </cell>
        </row>
        <row r="2070">
          <cell r="U2070" t="str">
            <v>L105686</v>
          </cell>
          <cell r="V2070" t="str">
            <v>DIV SDO 2kg</v>
          </cell>
          <cell r="W2070" t="str">
            <v>Ajuste</v>
          </cell>
          <cell r="X2070">
            <v>25</v>
          </cell>
          <cell r="Y2070">
            <v>50</v>
          </cell>
        </row>
        <row r="2071">
          <cell r="U2071" t="str">
            <v>L104950</v>
          </cell>
          <cell r="V2071" t="str">
            <v>DIV SHMP 2kg</v>
          </cell>
          <cell r="W2071" t="str">
            <v>Ajuste</v>
          </cell>
          <cell r="X2071">
            <v>8</v>
          </cell>
          <cell r="Y2071">
            <v>16</v>
          </cell>
        </row>
        <row r="2072">
          <cell r="U2072" t="str">
            <v>L105527</v>
          </cell>
          <cell r="V2072" t="str">
            <v>DIV SNK 2kg</v>
          </cell>
          <cell r="W2072" t="str">
            <v>Ajuste</v>
          </cell>
          <cell r="X2072">
            <v>32</v>
          </cell>
          <cell r="Y2072">
            <v>64</v>
          </cell>
        </row>
        <row r="2073">
          <cell r="U2073" t="str">
            <v>L105487</v>
          </cell>
          <cell r="V2073" t="str">
            <v>DIV SNK 3kg</v>
          </cell>
          <cell r="W2073" t="str">
            <v>Ajuste</v>
          </cell>
          <cell r="X2073">
            <v>22</v>
          </cell>
          <cell r="Y2073">
            <v>66</v>
          </cell>
        </row>
        <row r="2074">
          <cell r="U2074" t="str">
            <v>L105488</v>
          </cell>
          <cell r="V2074" t="str">
            <v>DIV SNK 3kg</v>
          </cell>
          <cell r="W2074" t="str">
            <v>Ajuste</v>
          </cell>
          <cell r="X2074">
            <v>96</v>
          </cell>
          <cell r="Y2074">
            <v>288</v>
          </cell>
        </row>
        <row r="2075">
          <cell r="U2075" t="str">
            <v>L105528</v>
          </cell>
          <cell r="V2075" t="str">
            <v>DIV SNK 3kg</v>
          </cell>
          <cell r="W2075" t="str">
            <v>Ajuste</v>
          </cell>
          <cell r="X2075">
            <v>10</v>
          </cell>
          <cell r="Y2075">
            <v>30</v>
          </cell>
        </row>
        <row r="2076">
          <cell r="U2076" t="str">
            <v>L105533</v>
          </cell>
          <cell r="V2076" t="str">
            <v>DIV SNK 3kg</v>
          </cell>
          <cell r="W2076" t="str">
            <v>Ajuste</v>
          </cell>
          <cell r="X2076">
            <v>165</v>
          </cell>
          <cell r="Y2076">
            <v>495</v>
          </cell>
        </row>
        <row r="2077">
          <cell r="U2077" t="str">
            <v>L105538</v>
          </cell>
          <cell r="V2077" t="str">
            <v>DIV SNK 3kg</v>
          </cell>
          <cell r="W2077" t="str">
            <v>Ajuste</v>
          </cell>
          <cell r="X2077">
            <v>171</v>
          </cell>
          <cell r="Y2077">
            <v>513</v>
          </cell>
        </row>
        <row r="2078">
          <cell r="U2078" t="str">
            <v>L105489</v>
          </cell>
          <cell r="V2078" t="str">
            <v>DIV SNK 6kg</v>
          </cell>
          <cell r="W2078" t="str">
            <v>Ajuste</v>
          </cell>
          <cell r="X2078">
            <v>32</v>
          </cell>
          <cell r="Y2078">
            <v>192</v>
          </cell>
        </row>
        <row r="2079">
          <cell r="U2079" t="str">
            <v>L105536</v>
          </cell>
          <cell r="V2079" t="str">
            <v>DIV SNK 6kg</v>
          </cell>
          <cell r="W2079" t="str">
            <v>Ajuste</v>
          </cell>
          <cell r="X2079">
            <v>32</v>
          </cell>
          <cell r="Y2079">
            <v>192</v>
          </cell>
        </row>
        <row r="2080">
          <cell r="U2080" t="str">
            <v>L105703</v>
          </cell>
          <cell r="V2080" t="str">
            <v>DIV SPAV 1kg</v>
          </cell>
          <cell r="W2080" t="str">
            <v>Ajuste</v>
          </cell>
          <cell r="X2080">
            <v>10</v>
          </cell>
          <cell r="Y2080">
            <v>10</v>
          </cell>
        </row>
        <row r="2081">
          <cell r="U2081" t="str">
            <v>L105082</v>
          </cell>
          <cell r="V2081" t="str">
            <v>DIV SRD 2kg</v>
          </cell>
          <cell r="W2081" t="str">
            <v>Ajuste</v>
          </cell>
          <cell r="X2081">
            <v>8</v>
          </cell>
          <cell r="Y2081">
            <v>16</v>
          </cell>
        </row>
        <row r="2082">
          <cell r="U2082" t="str">
            <v>L106020</v>
          </cell>
          <cell r="V2082" t="str">
            <v>DIV SRD 2kg</v>
          </cell>
          <cell r="W2082" t="str">
            <v>Ajuste</v>
          </cell>
          <cell r="X2082">
            <v>32</v>
          </cell>
          <cell r="Y2082">
            <v>64</v>
          </cell>
        </row>
        <row r="2083">
          <cell r="U2083" t="str">
            <v>L105704</v>
          </cell>
          <cell r="V2083" t="str">
            <v>DIV SRP 2kg</v>
          </cell>
          <cell r="W2083" t="str">
            <v>Ajuste</v>
          </cell>
          <cell r="X2083">
            <v>7</v>
          </cell>
          <cell r="Y2083">
            <v>14</v>
          </cell>
        </row>
        <row r="2084">
          <cell r="U2084" t="str">
            <v>L105511</v>
          </cell>
          <cell r="V2084" t="str">
            <v>DIV SRT 2kg-CAJA</v>
          </cell>
          <cell r="W2084" t="str">
            <v>Ajuste</v>
          </cell>
          <cell r="X2084">
            <v>2</v>
          </cell>
          <cell r="Y2084">
            <v>4</v>
          </cell>
        </row>
        <row r="2085">
          <cell r="U2085" t="str">
            <v>L105078</v>
          </cell>
          <cell r="V2085" t="str">
            <v>DIV STM 2kg</v>
          </cell>
          <cell r="W2085" t="str">
            <v>Ajuste</v>
          </cell>
          <cell r="X2085">
            <v>4</v>
          </cell>
          <cell r="Y2085">
            <v>8</v>
          </cell>
        </row>
        <row r="2086">
          <cell r="U2086" t="str">
            <v>L105341</v>
          </cell>
          <cell r="V2086" t="str">
            <v>DIV STM 2kg</v>
          </cell>
          <cell r="W2086" t="str">
            <v>Ajuste</v>
          </cell>
          <cell r="X2086">
            <v>6</v>
          </cell>
          <cell r="Y2086">
            <v>12</v>
          </cell>
        </row>
        <row r="2087">
          <cell r="U2087" t="str">
            <v>L105505</v>
          </cell>
          <cell r="V2087" t="str">
            <v>DIV STM 2kg</v>
          </cell>
          <cell r="W2087" t="str">
            <v>Ajuste</v>
          </cell>
          <cell r="X2087">
            <v>10</v>
          </cell>
          <cell r="Y2087">
            <v>20</v>
          </cell>
        </row>
        <row r="2088">
          <cell r="U2088" t="str">
            <v>L105430</v>
          </cell>
          <cell r="V2088" t="str">
            <v>STM 5kg-CAJA</v>
          </cell>
          <cell r="W2088" t="str">
            <v>Ajuste</v>
          </cell>
          <cell r="X2088">
            <v>455</v>
          </cell>
          <cell r="Y2088">
            <v>2275</v>
          </cell>
        </row>
        <row r="2089">
          <cell r="U2089" t="str">
            <v>L105430</v>
          </cell>
          <cell r="V2089" t="str">
            <v>DIV STM 5kg</v>
          </cell>
          <cell r="W2089" t="str">
            <v>Ajuste</v>
          </cell>
          <cell r="X2089">
            <v>169</v>
          </cell>
          <cell r="Y2089">
            <v>845</v>
          </cell>
        </row>
        <row r="2090">
          <cell r="U2090" t="str">
            <v>L105332</v>
          </cell>
          <cell r="V2090" t="str">
            <v>DIV SZD 2.5kg</v>
          </cell>
          <cell r="W2090" t="str">
            <v>Ajuste</v>
          </cell>
          <cell r="X2090">
            <v>2</v>
          </cell>
          <cell r="Y2090">
            <v>5</v>
          </cell>
        </row>
        <row r="2091">
          <cell r="U2091" t="str">
            <v>L105460</v>
          </cell>
          <cell r="V2091" t="str">
            <v>SZD 3kg-Caja</v>
          </cell>
          <cell r="W2091" t="str">
            <v>Ajuste</v>
          </cell>
          <cell r="X2091">
            <v>1331</v>
          </cell>
          <cell r="Y2091">
            <v>3993</v>
          </cell>
        </row>
        <row r="2092">
          <cell r="U2092" t="str">
            <v>L105460</v>
          </cell>
          <cell r="V2092" t="str">
            <v>DIV SZD 3kg</v>
          </cell>
          <cell r="W2092" t="str">
            <v>Ajuste</v>
          </cell>
          <cell r="X2092">
            <v>818</v>
          </cell>
          <cell r="Y2092">
            <v>2454</v>
          </cell>
        </row>
        <row r="2093">
          <cell r="U2093" t="str">
            <v>L104936</v>
          </cell>
          <cell r="V2093" t="str">
            <v>DIV SZD 4kg</v>
          </cell>
          <cell r="W2093" t="str">
            <v>Ajuste</v>
          </cell>
          <cell r="X2093">
            <v>113</v>
          </cell>
          <cell r="Y2093">
            <v>452</v>
          </cell>
        </row>
        <row r="2094">
          <cell r="U2094" t="str">
            <v>L105465</v>
          </cell>
          <cell r="V2094" t="str">
            <v>SZD 6kg-Caja</v>
          </cell>
          <cell r="W2094" t="str">
            <v>Ajuste</v>
          </cell>
          <cell r="X2094">
            <v>298</v>
          </cell>
          <cell r="Y2094">
            <v>1788</v>
          </cell>
        </row>
        <row r="2095">
          <cell r="U2095" t="str">
            <v>L105465</v>
          </cell>
          <cell r="V2095" t="str">
            <v>DIV SZD 6kg</v>
          </cell>
          <cell r="W2095" t="str">
            <v>Ajuste</v>
          </cell>
          <cell r="X2095">
            <v>134</v>
          </cell>
          <cell r="Y2095">
            <v>804</v>
          </cell>
        </row>
        <row r="2096">
          <cell r="U2096" t="str">
            <v>L105261</v>
          </cell>
          <cell r="V2096" t="str">
            <v>DIV TRZPCDP 5kg</v>
          </cell>
          <cell r="W2096" t="str">
            <v>Ajuste</v>
          </cell>
          <cell r="X2096">
            <v>8</v>
          </cell>
          <cell r="Y2096">
            <v>40</v>
          </cell>
        </row>
        <row r="2097">
          <cell r="U2097" t="str">
            <v>L106012</v>
          </cell>
          <cell r="V2097" t="str">
            <v>DIV TSHRT TM</v>
          </cell>
          <cell r="W2097" t="str">
            <v>Ajuste</v>
          </cell>
          <cell r="X2097">
            <v>4</v>
          </cell>
          <cell r="Y2097">
            <v>4</v>
          </cell>
        </row>
        <row r="2098">
          <cell r="U2098" t="str">
            <v>L106011</v>
          </cell>
          <cell r="V2098" t="str">
            <v>DIV TSHRTH TV</v>
          </cell>
          <cell r="W2098" t="str">
            <v>Ajuste</v>
          </cell>
          <cell r="X2098">
            <v>6</v>
          </cell>
          <cell r="Y2098">
            <v>3</v>
          </cell>
        </row>
        <row r="2099">
          <cell r="U2099" t="str">
            <v>L105635</v>
          </cell>
          <cell r="V2099" t="str">
            <v>DIV TSHRTH TV</v>
          </cell>
          <cell r="W2099" t="str">
            <v>Ajuste</v>
          </cell>
          <cell r="X2099">
            <v>1</v>
          </cell>
          <cell r="Y2099">
            <v>0.5</v>
          </cell>
        </row>
        <row r="2100">
          <cell r="U2100" t="str">
            <v>L105997</v>
          </cell>
          <cell r="V2100" t="str">
            <v>DIV YGT 1kg</v>
          </cell>
          <cell r="W2100" t="str">
            <v>Ajuste</v>
          </cell>
          <cell r="X2100">
            <v>24</v>
          </cell>
          <cell r="Y2100">
            <v>24</v>
          </cell>
        </row>
        <row r="2101">
          <cell r="U2101" t="str">
            <v>L105659</v>
          </cell>
          <cell r="V2101" t="str">
            <v>DLQ 3kg</v>
          </cell>
          <cell r="W2101" t="str">
            <v>Ajuste</v>
          </cell>
          <cell r="X2101">
            <v>2</v>
          </cell>
          <cell r="Y2101">
            <v>6</v>
          </cell>
        </row>
        <row r="2102">
          <cell r="U2102" t="str">
            <v>l105320</v>
          </cell>
          <cell r="V2102" t="str">
            <v>DTG Vr2kg-CAJA</v>
          </cell>
          <cell r="W2102" t="str">
            <v>Ajuste</v>
          </cell>
          <cell r="X2102">
            <v>72</v>
          </cell>
          <cell r="Y2102">
            <v>144</v>
          </cell>
        </row>
        <row r="2103">
          <cell r="U2103" t="str">
            <v>l105320</v>
          </cell>
          <cell r="V2103" t="str">
            <v>DTGAY Vr2kg-CAJA</v>
          </cell>
          <cell r="W2103" t="str">
            <v>Ajuste</v>
          </cell>
          <cell r="X2103">
            <v>60</v>
          </cell>
          <cell r="Y2103">
            <v>120</v>
          </cell>
        </row>
        <row r="2104">
          <cell r="U2104" t="str">
            <v>L105399</v>
          </cell>
          <cell r="V2104" t="str">
            <v>DTG Vr3kg-CAJA</v>
          </cell>
          <cell r="W2104" t="str">
            <v>Ajuste</v>
          </cell>
          <cell r="X2104">
            <v>353</v>
          </cell>
          <cell r="Y2104">
            <v>1059</v>
          </cell>
        </row>
        <row r="2105">
          <cell r="U2105" t="str">
            <v>L105058</v>
          </cell>
          <cell r="V2105" t="str">
            <v>DTG Vr3kg-CAJA</v>
          </cell>
          <cell r="W2105" t="str">
            <v>Ajuste</v>
          </cell>
          <cell r="X2105">
            <v>262</v>
          </cell>
          <cell r="Y2105">
            <v>786</v>
          </cell>
        </row>
        <row r="2106">
          <cell r="U2106" t="str">
            <v>L105629</v>
          </cell>
          <cell r="V2106" t="str">
            <v>DTG Vr3kg-CAJA</v>
          </cell>
          <cell r="W2106" t="str">
            <v>Ajuste</v>
          </cell>
          <cell r="X2106">
            <v>124</v>
          </cell>
          <cell r="Y2106">
            <v>372</v>
          </cell>
        </row>
        <row r="2107">
          <cell r="U2107" t="str">
            <v>L105628</v>
          </cell>
          <cell r="V2107" t="str">
            <v>DTGAY Vr2kg-CAJA</v>
          </cell>
          <cell r="W2107" t="str">
            <v>Ajuste</v>
          </cell>
          <cell r="X2107">
            <v>150</v>
          </cell>
          <cell r="Y2107">
            <v>300</v>
          </cell>
        </row>
        <row r="2108">
          <cell r="U2108" t="str">
            <v>L105246</v>
          </cell>
          <cell r="V2108" t="str">
            <v>EGI</v>
          </cell>
          <cell r="W2108" t="str">
            <v>Ajuste</v>
          </cell>
          <cell r="X2108">
            <v>1</v>
          </cell>
          <cell r="Y2108">
            <v>70</v>
          </cell>
        </row>
        <row r="2109">
          <cell r="U2109" t="str">
            <v>L105451</v>
          </cell>
          <cell r="V2109" t="str">
            <v>EMBV 2kg-CAJA</v>
          </cell>
          <cell r="W2109" t="str">
            <v>Ajuste</v>
          </cell>
          <cell r="X2109">
            <v>155</v>
          </cell>
          <cell r="Y2109">
            <v>310</v>
          </cell>
        </row>
        <row r="2110">
          <cell r="U2110" t="str">
            <v>L105339</v>
          </cell>
          <cell r="V2110" t="str">
            <v>EMBV 2kg-CAJA</v>
          </cell>
          <cell r="W2110" t="str">
            <v>Ajuste</v>
          </cell>
          <cell r="X2110">
            <v>144</v>
          </cell>
          <cell r="Y2110">
            <v>288</v>
          </cell>
        </row>
        <row r="2111">
          <cell r="U2111" t="str">
            <v>L105339</v>
          </cell>
          <cell r="V2111" t="str">
            <v>PV EMBV 2kg</v>
          </cell>
          <cell r="W2111" t="str">
            <v>Ajuste</v>
          </cell>
          <cell r="X2111">
            <v>30</v>
          </cell>
          <cell r="Y2111">
            <v>60</v>
          </cell>
        </row>
        <row r="2112">
          <cell r="U2112" t="str">
            <v>L105901</v>
          </cell>
          <cell r="V2112" t="str">
            <v>EMBV 2kg-CAJA</v>
          </cell>
          <cell r="W2112" t="str">
            <v>Ajuste</v>
          </cell>
          <cell r="X2112">
            <v>234</v>
          </cell>
          <cell r="Y2112">
            <v>468</v>
          </cell>
        </row>
        <row r="2113">
          <cell r="U2113" t="str">
            <v>L105071</v>
          </cell>
          <cell r="V2113" t="str">
            <v>EMBV 2kg-CAJA</v>
          </cell>
          <cell r="W2113" t="str">
            <v>Ajuste</v>
          </cell>
          <cell r="X2113">
            <v>66</v>
          </cell>
          <cell r="Y2113">
            <v>132</v>
          </cell>
        </row>
        <row r="2114">
          <cell r="U2114" t="str">
            <v>L105185</v>
          </cell>
          <cell r="V2114" t="str">
            <v>EMBV 2kg-CAJA</v>
          </cell>
          <cell r="W2114" t="str">
            <v>Ajuste</v>
          </cell>
          <cell r="X2114">
            <v>8</v>
          </cell>
          <cell r="Y2114">
            <v>16</v>
          </cell>
        </row>
        <row r="2115">
          <cell r="U2115" t="str">
            <v>L105186</v>
          </cell>
          <cell r="V2115" t="str">
            <v>EMBV 2kg-CAJA</v>
          </cell>
          <cell r="W2115" t="str">
            <v>Ajuste</v>
          </cell>
          <cell r="X2115">
            <v>6</v>
          </cell>
          <cell r="Y2115">
            <v>12</v>
          </cell>
        </row>
        <row r="2116">
          <cell r="U2116" t="str">
            <v>L105187</v>
          </cell>
          <cell r="V2116" t="str">
            <v>EMBV 2kg-CAJA</v>
          </cell>
          <cell r="W2116" t="str">
            <v>Ajuste</v>
          </cell>
          <cell r="X2116">
            <v>4</v>
          </cell>
          <cell r="Y2116">
            <v>8</v>
          </cell>
        </row>
        <row r="2117">
          <cell r="U2117" t="str">
            <v>L105188</v>
          </cell>
          <cell r="V2117" t="str">
            <v>EMBV 2kg-CAJA</v>
          </cell>
          <cell r="W2117" t="str">
            <v>Ajuste</v>
          </cell>
          <cell r="X2117">
            <v>30</v>
          </cell>
          <cell r="Y2117">
            <v>60</v>
          </cell>
        </row>
        <row r="2118">
          <cell r="U2118" t="str">
            <v>L105189</v>
          </cell>
          <cell r="V2118" t="str">
            <v>EMBV 2kg-CAJA</v>
          </cell>
          <cell r="W2118" t="str">
            <v>Ajuste</v>
          </cell>
          <cell r="X2118">
            <v>20</v>
          </cell>
          <cell r="Y2118">
            <v>40</v>
          </cell>
        </row>
        <row r="2119">
          <cell r="U2119" t="str">
            <v>L105190</v>
          </cell>
          <cell r="V2119" t="str">
            <v>EMBV 2kg-CAJA</v>
          </cell>
          <cell r="W2119" t="str">
            <v>Ajuste</v>
          </cell>
          <cell r="X2119">
            <v>8</v>
          </cell>
          <cell r="Y2119">
            <v>16</v>
          </cell>
        </row>
        <row r="2120">
          <cell r="U2120" t="str">
            <v>L105191</v>
          </cell>
          <cell r="V2120" t="str">
            <v>EMBV 2kg-CAJA</v>
          </cell>
          <cell r="W2120" t="str">
            <v>Ajuste</v>
          </cell>
          <cell r="X2120">
            <v>6</v>
          </cell>
          <cell r="Y2120">
            <v>12</v>
          </cell>
        </row>
        <row r="2121">
          <cell r="U2121" t="str">
            <v>L105072</v>
          </cell>
          <cell r="V2121" t="str">
            <v>EMBV 3kg</v>
          </cell>
          <cell r="W2121" t="str">
            <v>Ajuste</v>
          </cell>
          <cell r="X2121">
            <v>12</v>
          </cell>
          <cell r="Y2121">
            <v>36</v>
          </cell>
        </row>
        <row r="2122">
          <cell r="U2122" t="str">
            <v>L105437</v>
          </cell>
          <cell r="V2122" t="str">
            <v>EMBV 3kg</v>
          </cell>
          <cell r="W2122" t="str">
            <v>Ajuste</v>
          </cell>
          <cell r="X2122">
            <v>22</v>
          </cell>
          <cell r="Y2122">
            <v>66</v>
          </cell>
        </row>
        <row r="2123">
          <cell r="U2123" t="str">
            <v>L105438</v>
          </cell>
          <cell r="V2123" t="str">
            <v>EMBV 3kg</v>
          </cell>
          <cell r="W2123" t="str">
            <v>Ajuste</v>
          </cell>
          <cell r="X2123">
            <v>4</v>
          </cell>
          <cell r="Y2123">
            <v>12</v>
          </cell>
        </row>
        <row r="2124">
          <cell r="U2124" t="str">
            <v>L105691</v>
          </cell>
          <cell r="V2124" t="str">
            <v>EMP 2kg</v>
          </cell>
          <cell r="W2124" t="str">
            <v>Ajuste</v>
          </cell>
          <cell r="X2124">
            <v>2</v>
          </cell>
          <cell r="Y2124">
            <v>4</v>
          </cell>
        </row>
        <row r="2125">
          <cell r="U2125" t="str">
            <v>L105736</v>
          </cell>
          <cell r="V2125" t="str">
            <v>ESAV 2kg</v>
          </cell>
          <cell r="W2125" t="str">
            <v>Ajuste</v>
          </cell>
          <cell r="X2125">
            <v>2</v>
          </cell>
          <cell r="Y2125">
            <v>4</v>
          </cell>
        </row>
        <row r="2126">
          <cell r="U2126" t="str">
            <v>L105853</v>
          </cell>
          <cell r="V2126" t="str">
            <v>FRJ 3kg-CAJA</v>
          </cell>
          <cell r="W2126" t="str">
            <v>Ajuste</v>
          </cell>
          <cell r="X2126">
            <v>6</v>
          </cell>
          <cell r="Y2126">
            <v>18</v>
          </cell>
        </row>
        <row r="2127">
          <cell r="U2127" t="str">
            <v>L105300</v>
          </cell>
          <cell r="V2127" t="str">
            <v>FRUROB kg</v>
          </cell>
          <cell r="W2127" t="str">
            <v>Ajuste</v>
          </cell>
          <cell r="X2127">
            <v>1396</v>
          </cell>
          <cell r="Y2127">
            <v>1396</v>
          </cell>
        </row>
        <row r="2128">
          <cell r="U2128" t="str">
            <v>L105301</v>
          </cell>
          <cell r="V2128" t="str">
            <v>FRUROB kg</v>
          </cell>
          <cell r="W2128" t="str">
            <v>Ajuste</v>
          </cell>
          <cell r="X2128">
            <v>1540</v>
          </cell>
          <cell r="Y2128">
            <v>1540</v>
          </cell>
        </row>
        <row r="2129">
          <cell r="U2129" t="str">
            <v>,,,,,</v>
          </cell>
          <cell r="V2129" t="str">
            <v>FRUVER 10kg</v>
          </cell>
          <cell r="W2129" t="str">
            <v>Ajuste</v>
          </cell>
          <cell r="X2129">
            <v>4</v>
          </cell>
          <cell r="Y2129">
            <v>40</v>
          </cell>
        </row>
        <row r="2130">
          <cell r="U2130" t="str">
            <v>L104973</v>
          </cell>
          <cell r="V2130" t="str">
            <v>FRUVER 10kg</v>
          </cell>
          <cell r="W2130" t="str">
            <v>Ajuste</v>
          </cell>
          <cell r="X2130">
            <v>112</v>
          </cell>
          <cell r="Y2130">
            <v>1120</v>
          </cell>
        </row>
        <row r="2131">
          <cell r="U2131" t="str">
            <v>L105021</v>
          </cell>
          <cell r="V2131" t="str">
            <v>FRUVER 10kg</v>
          </cell>
          <cell r="W2131" t="str">
            <v>Ajuste</v>
          </cell>
          <cell r="X2131">
            <v>86</v>
          </cell>
          <cell r="Y2131">
            <v>860</v>
          </cell>
        </row>
        <row r="2132">
          <cell r="U2132" t="str">
            <v>L105021</v>
          </cell>
          <cell r="V2132" t="str">
            <v>PV FRUVER 10kg</v>
          </cell>
          <cell r="W2132" t="str">
            <v>Ajuste</v>
          </cell>
          <cell r="X2132">
            <v>72</v>
          </cell>
          <cell r="Y2132">
            <v>720</v>
          </cell>
        </row>
        <row r="2133">
          <cell r="U2133" t="str">
            <v>105122</v>
          </cell>
          <cell r="V2133" t="str">
            <v>FRUVER 5kg</v>
          </cell>
          <cell r="W2133" t="str">
            <v>Ajuste</v>
          </cell>
          <cell r="X2133">
            <v>8</v>
          </cell>
          <cell r="Y2133">
            <v>40</v>
          </cell>
        </row>
        <row r="2134">
          <cell r="U2134" t="str">
            <v>L105023</v>
          </cell>
          <cell r="V2134" t="str">
            <v>FRUVER 5kg</v>
          </cell>
          <cell r="W2134" t="str">
            <v>Ajuste</v>
          </cell>
          <cell r="X2134">
            <v>34</v>
          </cell>
          <cell r="Y2134">
            <v>170</v>
          </cell>
        </row>
        <row r="2135">
          <cell r="U2135" t="str">
            <v>L105023</v>
          </cell>
          <cell r="V2135" t="str">
            <v>PV FRVDVG 5kg</v>
          </cell>
          <cell r="W2135" t="str">
            <v>Ajuste</v>
          </cell>
          <cell r="X2135">
            <v>24</v>
          </cell>
          <cell r="Y2135">
            <v>120</v>
          </cell>
        </row>
        <row r="2136">
          <cell r="U2136" t="str">
            <v>L105225</v>
          </cell>
          <cell r="V2136" t="str">
            <v>FRUVER 5kg</v>
          </cell>
          <cell r="W2136" t="str">
            <v>Ajuste</v>
          </cell>
          <cell r="X2136">
            <v>28</v>
          </cell>
          <cell r="Y2136">
            <v>140</v>
          </cell>
        </row>
        <row r="2137">
          <cell r="U2137" t="str">
            <v>L105361</v>
          </cell>
          <cell r="V2137" t="str">
            <v>FRUVER 5kg</v>
          </cell>
          <cell r="W2137" t="str">
            <v>Ajuste</v>
          </cell>
          <cell r="X2137">
            <v>96</v>
          </cell>
          <cell r="Y2137">
            <v>480</v>
          </cell>
        </row>
        <row r="2138">
          <cell r="U2138" t="str">
            <v>L105372</v>
          </cell>
          <cell r="V2138" t="str">
            <v>FRUVER 5kg</v>
          </cell>
          <cell r="W2138" t="str">
            <v>Ajuste</v>
          </cell>
          <cell r="X2138">
            <v>2</v>
          </cell>
          <cell r="Y2138">
            <v>10</v>
          </cell>
        </row>
        <row r="2139">
          <cell r="U2139" t="str">
            <v>L105485</v>
          </cell>
          <cell r="V2139" t="str">
            <v>FRUVER 5kg</v>
          </cell>
          <cell r="W2139" t="str">
            <v>Ajuste</v>
          </cell>
          <cell r="X2139">
            <v>10</v>
          </cell>
          <cell r="Y2139">
            <v>50</v>
          </cell>
        </row>
        <row r="2140">
          <cell r="U2140" t="str">
            <v>L105121</v>
          </cell>
          <cell r="V2140" t="str">
            <v>FRUVER 8kg</v>
          </cell>
          <cell r="W2140" t="str">
            <v>Ajuste</v>
          </cell>
          <cell r="X2140">
            <v>42</v>
          </cell>
          <cell r="Y2140">
            <v>336</v>
          </cell>
        </row>
        <row r="2141">
          <cell r="U2141" t="str">
            <v>L104962</v>
          </cell>
          <cell r="V2141" t="str">
            <v>FRVDVG 5kg</v>
          </cell>
          <cell r="W2141" t="str">
            <v>Ajuste</v>
          </cell>
          <cell r="X2141">
            <v>2</v>
          </cell>
          <cell r="Y2141">
            <v>10</v>
          </cell>
        </row>
        <row r="2142">
          <cell r="U2142" t="str">
            <v>L105018</v>
          </cell>
          <cell r="V2142" t="str">
            <v>FRVDVG 5kg</v>
          </cell>
          <cell r="W2142" t="str">
            <v>Ajuste</v>
          </cell>
          <cell r="X2142">
            <v>2</v>
          </cell>
          <cell r="Y2142">
            <v>10</v>
          </cell>
        </row>
        <row r="2143">
          <cell r="U2143" t="str">
            <v>L104954</v>
          </cell>
          <cell r="V2143" t="str">
            <v>FRVDVG 8kg</v>
          </cell>
          <cell r="W2143" t="str">
            <v>Ajuste</v>
          </cell>
          <cell r="X2143">
            <v>30</v>
          </cell>
          <cell r="Y2143">
            <v>240</v>
          </cell>
        </row>
        <row r="2144">
          <cell r="U2144" t="str">
            <v>L104954</v>
          </cell>
          <cell r="V2144" t="str">
            <v>PV FRVDVG 8kg</v>
          </cell>
          <cell r="W2144" t="str">
            <v>Ajuste</v>
          </cell>
          <cell r="X2144">
            <v>20</v>
          </cell>
          <cell r="Y2144">
            <v>160</v>
          </cell>
        </row>
        <row r="2145">
          <cell r="U2145" t="str">
            <v>L104961</v>
          </cell>
          <cell r="V2145" t="str">
            <v>FRVDVG 8kg</v>
          </cell>
          <cell r="W2145" t="str">
            <v>Ajuste</v>
          </cell>
          <cell r="X2145">
            <v>10</v>
          </cell>
          <cell r="Y2145">
            <v>80</v>
          </cell>
        </row>
        <row r="2146">
          <cell r="U2146" t="str">
            <v>L105007</v>
          </cell>
          <cell r="V2146" t="str">
            <v>FRVDVG 8kg</v>
          </cell>
          <cell r="W2146" t="str">
            <v>Ajuste</v>
          </cell>
          <cell r="X2146">
            <v>10</v>
          </cell>
          <cell r="Y2146">
            <v>80</v>
          </cell>
        </row>
        <row r="2147">
          <cell r="U2147" t="str">
            <v>L105015</v>
          </cell>
          <cell r="V2147" t="str">
            <v>FRVDVG 8kg</v>
          </cell>
          <cell r="W2147" t="str">
            <v>Ajuste</v>
          </cell>
          <cell r="X2147">
            <v>66</v>
          </cell>
          <cell r="Y2147">
            <v>528</v>
          </cell>
        </row>
        <row r="2148">
          <cell r="U2148" t="str">
            <v>L105015</v>
          </cell>
          <cell r="V2148" t="str">
            <v>PV FRVDVG 8kg</v>
          </cell>
          <cell r="W2148" t="str">
            <v>Ajuste</v>
          </cell>
          <cell r="X2148">
            <v>40</v>
          </cell>
          <cell r="Y2148">
            <v>320</v>
          </cell>
        </row>
        <row r="2149">
          <cell r="U2149" t="str">
            <v>L105017</v>
          </cell>
          <cell r="V2149" t="str">
            <v>FRVDVG 8kg</v>
          </cell>
          <cell r="W2149" t="str">
            <v>Ajuste</v>
          </cell>
          <cell r="X2149">
            <v>38</v>
          </cell>
          <cell r="Y2149">
            <v>304</v>
          </cell>
        </row>
        <row r="2150">
          <cell r="U2150" t="str">
            <v>L105962</v>
          </cell>
          <cell r="V2150" t="str">
            <v>GERB 2Kg</v>
          </cell>
          <cell r="W2150" t="str">
            <v>Ajuste</v>
          </cell>
          <cell r="X2150">
            <v>32</v>
          </cell>
          <cell r="Y2150">
            <v>64</v>
          </cell>
        </row>
        <row r="2151">
          <cell r="U2151" t="str">
            <v>L105963</v>
          </cell>
          <cell r="V2151" t="str">
            <v>GERB 2Kg</v>
          </cell>
          <cell r="W2151" t="str">
            <v>Ajuste</v>
          </cell>
          <cell r="X2151">
            <v>26</v>
          </cell>
          <cell r="Y2151">
            <v>52</v>
          </cell>
        </row>
        <row r="2152">
          <cell r="U2152" t="str">
            <v>L105964</v>
          </cell>
          <cell r="V2152" t="str">
            <v>GERB 3Kg</v>
          </cell>
          <cell r="W2152" t="str">
            <v>Ajuste</v>
          </cell>
          <cell r="X2152">
            <v>2</v>
          </cell>
          <cell r="Y2152">
            <v>6</v>
          </cell>
        </row>
        <row r="2153">
          <cell r="U2153" t="str">
            <v>L105717</v>
          </cell>
          <cell r="V2153" t="str">
            <v>GLDJ 1kg</v>
          </cell>
          <cell r="W2153" t="str">
            <v>Ajuste</v>
          </cell>
          <cell r="X2153">
            <v>10</v>
          </cell>
          <cell r="Y2153">
            <v>10</v>
          </cell>
        </row>
        <row r="2154">
          <cell r="U2154" t="str">
            <v>L105718</v>
          </cell>
          <cell r="V2154" t="str">
            <v>GLDJ 1kg</v>
          </cell>
          <cell r="W2154" t="str">
            <v>Ajuste</v>
          </cell>
          <cell r="X2154">
            <v>5</v>
          </cell>
          <cell r="Y2154">
            <v>5</v>
          </cell>
        </row>
        <row r="2155">
          <cell r="U2155" t="str">
            <v>L105719</v>
          </cell>
          <cell r="V2155" t="str">
            <v>GLDJ 1kg</v>
          </cell>
          <cell r="W2155" t="str">
            <v>Ajuste</v>
          </cell>
          <cell r="X2155">
            <v>8</v>
          </cell>
          <cell r="Y2155">
            <v>8</v>
          </cell>
        </row>
        <row r="2156">
          <cell r="U2156" t="str">
            <v>L105720</v>
          </cell>
          <cell r="V2156" t="str">
            <v>GLDJ 1kg</v>
          </cell>
          <cell r="W2156" t="str">
            <v>Ajuste</v>
          </cell>
          <cell r="X2156">
            <v>51</v>
          </cell>
          <cell r="Y2156">
            <v>51</v>
          </cell>
        </row>
        <row r="2157">
          <cell r="U2157" t="str">
            <v>L105721</v>
          </cell>
          <cell r="V2157" t="str">
            <v>GLDJ 1kg</v>
          </cell>
          <cell r="W2157" t="str">
            <v>Ajuste</v>
          </cell>
          <cell r="X2157">
            <v>71</v>
          </cell>
          <cell r="Y2157">
            <v>71</v>
          </cell>
        </row>
        <row r="2158">
          <cell r="U2158" t="str">
            <v>L105722</v>
          </cell>
          <cell r="V2158" t="str">
            <v>GLDJ 1kg</v>
          </cell>
          <cell r="W2158" t="str">
            <v>Ajuste</v>
          </cell>
          <cell r="X2158">
            <v>52</v>
          </cell>
          <cell r="Y2158">
            <v>52</v>
          </cell>
        </row>
        <row r="2159">
          <cell r="U2159" t="str">
            <v>L105535</v>
          </cell>
          <cell r="V2159" t="str">
            <v>GLDJ 3Kg Caja</v>
          </cell>
          <cell r="W2159" t="str">
            <v>Ajuste</v>
          </cell>
          <cell r="X2159">
            <v>5</v>
          </cell>
          <cell r="Y2159">
            <v>15</v>
          </cell>
        </row>
        <row r="2160">
          <cell r="U2160" t="str">
            <v>L105537</v>
          </cell>
          <cell r="V2160" t="str">
            <v>GLDJ 3Kg Caja</v>
          </cell>
          <cell r="W2160" t="str">
            <v>Ajuste</v>
          </cell>
          <cell r="X2160">
            <v>4</v>
          </cell>
          <cell r="Y2160">
            <v>12</v>
          </cell>
        </row>
        <row r="2161">
          <cell r="U2161" t="str">
            <v>L105885</v>
          </cell>
          <cell r="V2161" t="str">
            <v>GLT 2kg</v>
          </cell>
          <cell r="W2161" t="str">
            <v>Ajuste</v>
          </cell>
          <cell r="X2161">
            <v>4</v>
          </cell>
          <cell r="Y2161">
            <v>8</v>
          </cell>
        </row>
        <row r="2162">
          <cell r="U2162" t="str">
            <v>L105151</v>
          </cell>
          <cell r="V2162" t="str">
            <v>GLV 1kg</v>
          </cell>
          <cell r="W2162" t="str">
            <v>Ajuste</v>
          </cell>
          <cell r="X2162">
            <v>4</v>
          </cell>
          <cell r="Y2162">
            <v>4</v>
          </cell>
        </row>
        <row r="2163">
          <cell r="U2163" t="str">
            <v>L105514</v>
          </cell>
          <cell r="V2163" t="str">
            <v>GLV 2kg</v>
          </cell>
          <cell r="W2163" t="str">
            <v>Ajuste</v>
          </cell>
          <cell r="X2163">
            <v>4</v>
          </cell>
          <cell r="Y2163">
            <v>8</v>
          </cell>
        </row>
        <row r="2164">
          <cell r="U2164" t="str">
            <v>L105515</v>
          </cell>
          <cell r="V2164" t="str">
            <v>GLV 2kg</v>
          </cell>
          <cell r="W2164" t="str">
            <v>Ajuste</v>
          </cell>
          <cell r="X2164">
            <v>6</v>
          </cell>
          <cell r="Y2164">
            <v>12</v>
          </cell>
        </row>
        <row r="2165">
          <cell r="U2165" t="str">
            <v>L105516</v>
          </cell>
          <cell r="V2165" t="str">
            <v>GLV 2kg</v>
          </cell>
          <cell r="W2165" t="str">
            <v>Ajuste</v>
          </cell>
          <cell r="X2165">
            <v>4</v>
          </cell>
          <cell r="Y2165">
            <v>8</v>
          </cell>
        </row>
        <row r="2166">
          <cell r="U2166" t="str">
            <v>L105517</v>
          </cell>
          <cell r="V2166" t="str">
            <v>GLV 2kg</v>
          </cell>
          <cell r="W2166" t="str">
            <v>Ajuste</v>
          </cell>
          <cell r="X2166">
            <v>8</v>
          </cell>
          <cell r="Y2166">
            <v>16</v>
          </cell>
        </row>
        <row r="2167">
          <cell r="U2167" t="str">
            <v>L105518</v>
          </cell>
          <cell r="V2167" t="str">
            <v>GLV 2kg</v>
          </cell>
          <cell r="W2167" t="str">
            <v>Ajuste</v>
          </cell>
          <cell r="X2167">
            <v>2</v>
          </cell>
          <cell r="Y2167">
            <v>4</v>
          </cell>
        </row>
        <row r="2168">
          <cell r="U2168" t="str">
            <v>L105787</v>
          </cell>
          <cell r="V2168" t="str">
            <v>Golosinas kg</v>
          </cell>
          <cell r="W2168" t="str">
            <v>Ajuste</v>
          </cell>
          <cell r="X2168">
            <v>150</v>
          </cell>
          <cell r="Y2168">
            <v>150</v>
          </cell>
        </row>
        <row r="2169">
          <cell r="U2169" t="str">
            <v>L105644</v>
          </cell>
          <cell r="V2169" t="str">
            <v>GST 3kg</v>
          </cell>
          <cell r="W2169" t="str">
            <v>Ajuste</v>
          </cell>
          <cell r="X2169">
            <v>20</v>
          </cell>
          <cell r="Y2169">
            <v>60</v>
          </cell>
        </row>
        <row r="2170">
          <cell r="U2170" t="str">
            <v>L105807</v>
          </cell>
          <cell r="V2170" t="str">
            <v>GST 3kg</v>
          </cell>
          <cell r="W2170" t="str">
            <v>Ajuste</v>
          </cell>
          <cell r="X2170">
            <v>4</v>
          </cell>
          <cell r="Y2170">
            <v>12</v>
          </cell>
        </row>
        <row r="2171">
          <cell r="U2171" t="str">
            <v>L105042</v>
          </cell>
          <cell r="V2171" t="str">
            <v>GST Vr5.0kg-CAJA</v>
          </cell>
          <cell r="W2171" t="str">
            <v>Ajuste</v>
          </cell>
          <cell r="X2171">
            <v>6</v>
          </cell>
          <cell r="Y2171">
            <v>30</v>
          </cell>
        </row>
        <row r="2172">
          <cell r="U2172" t="str">
            <v>L105208</v>
          </cell>
          <cell r="V2172" t="str">
            <v>GST Vr5.0kg-CAJA</v>
          </cell>
          <cell r="W2172" t="str">
            <v>Ajuste</v>
          </cell>
          <cell r="X2172">
            <v>2</v>
          </cell>
          <cell r="Y2172">
            <v>10</v>
          </cell>
        </row>
        <row r="2173">
          <cell r="U2173" t="str">
            <v>L105910</v>
          </cell>
          <cell r="V2173" t="str">
            <v>GST Vr5.0kg-CAJA</v>
          </cell>
          <cell r="W2173" t="str">
            <v>Ajuste</v>
          </cell>
          <cell r="X2173">
            <v>4</v>
          </cell>
          <cell r="Y2173">
            <v>20</v>
          </cell>
        </row>
        <row r="2174">
          <cell r="U2174" t="str">
            <v>L105048</v>
          </cell>
          <cell r="V2174" t="str">
            <v>GTA 1.5kg-CAJA</v>
          </cell>
          <cell r="W2174" t="str">
            <v>Ajuste</v>
          </cell>
          <cell r="X2174">
            <v>2</v>
          </cell>
          <cell r="Y2174">
            <v>3</v>
          </cell>
        </row>
        <row r="2175">
          <cell r="U2175" t="str">
            <v>L105309</v>
          </cell>
          <cell r="V2175" t="str">
            <v>GTA 1.5kg-CAJA</v>
          </cell>
          <cell r="W2175" t="str">
            <v>Ajuste</v>
          </cell>
          <cell r="X2175">
            <v>2</v>
          </cell>
          <cell r="Y2175">
            <v>3</v>
          </cell>
        </row>
        <row r="2176">
          <cell r="U2176" t="str">
            <v>L105170</v>
          </cell>
          <cell r="V2176" t="str">
            <v>GTA 1kg-CAJA</v>
          </cell>
          <cell r="W2176" t="str">
            <v>Ajuste</v>
          </cell>
          <cell r="X2176">
            <v>6</v>
          </cell>
          <cell r="Y2176">
            <v>6</v>
          </cell>
        </row>
        <row r="2177">
          <cell r="U2177" t="str">
            <v>L105171</v>
          </cell>
          <cell r="V2177" t="str">
            <v>GTA 1kg-CAJA</v>
          </cell>
          <cell r="W2177" t="str">
            <v>Ajuste</v>
          </cell>
          <cell r="X2177">
            <v>24</v>
          </cell>
          <cell r="Y2177">
            <v>24</v>
          </cell>
        </row>
        <row r="2178">
          <cell r="U2178" t="str">
            <v>L105215</v>
          </cell>
          <cell r="V2178" t="str">
            <v>GTA 1kg-CAJA</v>
          </cell>
          <cell r="W2178" t="str">
            <v>Ajuste</v>
          </cell>
          <cell r="X2178">
            <v>2</v>
          </cell>
          <cell r="Y2178">
            <v>2</v>
          </cell>
        </row>
        <row r="2179">
          <cell r="U2179" t="str">
            <v>L105215</v>
          </cell>
          <cell r="V2179" t="str">
            <v>PV GTA 1kg</v>
          </cell>
          <cell r="W2179" t="str">
            <v>Ajuste</v>
          </cell>
          <cell r="X2179">
            <v>2</v>
          </cell>
          <cell r="Y2179">
            <v>2</v>
          </cell>
        </row>
        <row r="2180">
          <cell r="U2180" t="str">
            <v>L105310</v>
          </cell>
          <cell r="V2180" t="str">
            <v>GTA 1kg-CAJA</v>
          </cell>
          <cell r="W2180" t="str">
            <v>Ajuste</v>
          </cell>
          <cell r="X2180">
            <v>10</v>
          </cell>
          <cell r="Y2180">
            <v>10</v>
          </cell>
        </row>
        <row r="2181">
          <cell r="U2181" t="str">
            <v>L105544</v>
          </cell>
          <cell r="V2181" t="str">
            <v>GTA 1kg-CAJA</v>
          </cell>
          <cell r="W2181" t="str">
            <v>Ajuste</v>
          </cell>
          <cell r="X2181">
            <v>6</v>
          </cell>
          <cell r="Y2181">
            <v>6</v>
          </cell>
        </row>
        <row r="2182">
          <cell r="U2182" t="str">
            <v>L105546</v>
          </cell>
          <cell r="V2182" t="str">
            <v>GTA 1kg-CAJA</v>
          </cell>
          <cell r="W2182" t="str">
            <v>Ajuste</v>
          </cell>
          <cell r="X2182">
            <v>10</v>
          </cell>
          <cell r="Y2182">
            <v>10</v>
          </cell>
        </row>
        <row r="2183">
          <cell r="U2183" t="str">
            <v>L105558</v>
          </cell>
          <cell r="V2183" t="str">
            <v>GTA 1kg-CAJA</v>
          </cell>
          <cell r="W2183" t="str">
            <v>Ajuste</v>
          </cell>
          <cell r="X2183">
            <v>7</v>
          </cell>
          <cell r="Y2183">
            <v>7</v>
          </cell>
        </row>
        <row r="2184">
          <cell r="U2184" t="str">
            <v>L105558</v>
          </cell>
          <cell r="V2184" t="str">
            <v>GTA 1kg-CAJA</v>
          </cell>
          <cell r="W2184" t="str">
            <v>Uso del BAP</v>
          </cell>
          <cell r="X2184">
            <v>1</v>
          </cell>
          <cell r="Y2184">
            <v>1</v>
          </cell>
        </row>
        <row r="2185">
          <cell r="U2185" t="str">
            <v>L105607</v>
          </cell>
          <cell r="V2185" t="str">
            <v>GTA 1kg-CAJA</v>
          </cell>
          <cell r="W2185" t="str">
            <v>Ajuste</v>
          </cell>
          <cell r="X2185">
            <v>2</v>
          </cell>
          <cell r="Y2185">
            <v>2</v>
          </cell>
        </row>
        <row r="2186">
          <cell r="U2186" t="str">
            <v>L105604</v>
          </cell>
          <cell r="V2186" t="str">
            <v>GTA 2kg-CAJA</v>
          </cell>
          <cell r="W2186" t="str">
            <v>Ajuste</v>
          </cell>
          <cell r="X2186">
            <v>150</v>
          </cell>
          <cell r="Y2186">
            <v>300</v>
          </cell>
        </row>
        <row r="2187">
          <cell r="U2187" t="str">
            <v>L105606</v>
          </cell>
          <cell r="V2187" t="str">
            <v>GTA 2kg-CAJA</v>
          </cell>
          <cell r="W2187" t="str">
            <v>Ajuste</v>
          </cell>
          <cell r="X2187">
            <v>12</v>
          </cell>
          <cell r="Y2187">
            <v>24</v>
          </cell>
        </row>
        <row r="2188">
          <cell r="U2188" t="str">
            <v>L105623</v>
          </cell>
          <cell r="V2188" t="str">
            <v>GTA 2kg-CAJA</v>
          </cell>
          <cell r="W2188" t="str">
            <v>Ajuste</v>
          </cell>
          <cell r="X2188">
            <v>2</v>
          </cell>
          <cell r="Y2188">
            <v>4</v>
          </cell>
        </row>
        <row r="2189">
          <cell r="U2189" t="str">
            <v>L105624</v>
          </cell>
          <cell r="V2189" t="str">
            <v>GTA 2kg-CAJA</v>
          </cell>
          <cell r="W2189" t="str">
            <v>Ajuste</v>
          </cell>
          <cell r="X2189">
            <v>2</v>
          </cell>
          <cell r="Y2189">
            <v>4</v>
          </cell>
        </row>
        <row r="2190">
          <cell r="U2190" t="str">
            <v>L105143</v>
          </cell>
          <cell r="V2190" t="str">
            <v>GTA 3kg-CAJA</v>
          </cell>
          <cell r="W2190" t="str">
            <v>Ajuste</v>
          </cell>
          <cell r="X2190">
            <v>10</v>
          </cell>
          <cell r="Y2190">
            <v>30</v>
          </cell>
        </row>
        <row r="2191">
          <cell r="U2191" t="str">
            <v>L105144</v>
          </cell>
          <cell r="V2191" t="str">
            <v>GTA 3kg-CAJA</v>
          </cell>
          <cell r="W2191" t="str">
            <v>Ajuste</v>
          </cell>
          <cell r="X2191">
            <v>2</v>
          </cell>
          <cell r="Y2191">
            <v>6</v>
          </cell>
        </row>
        <row r="2192">
          <cell r="U2192" t="str">
            <v>L105729</v>
          </cell>
          <cell r="V2192" t="str">
            <v>Guandu kg</v>
          </cell>
          <cell r="W2192" t="str">
            <v>Ajuste</v>
          </cell>
          <cell r="X2192">
            <v>3.92</v>
          </cell>
          <cell r="Y2192">
            <v>3.92</v>
          </cell>
        </row>
        <row r="2193">
          <cell r="U2193" t="str">
            <v>L105647</v>
          </cell>
          <cell r="V2193" t="str">
            <v>GUD 3kg</v>
          </cell>
          <cell r="W2193" t="str">
            <v>Ajuste</v>
          </cell>
          <cell r="X2193">
            <v>56</v>
          </cell>
          <cell r="Y2193">
            <v>168</v>
          </cell>
        </row>
        <row r="2194">
          <cell r="U2194" t="str">
            <v>L105716</v>
          </cell>
          <cell r="V2194" t="str">
            <v>GUD 3kg</v>
          </cell>
          <cell r="W2194" t="str">
            <v>Ajuste</v>
          </cell>
          <cell r="X2194">
            <v>46</v>
          </cell>
          <cell r="Y2194">
            <v>138</v>
          </cell>
        </row>
        <row r="2195">
          <cell r="U2195" t="str">
            <v>L105845</v>
          </cell>
          <cell r="V2195" t="str">
            <v>GUD 3kg</v>
          </cell>
          <cell r="W2195" t="str">
            <v>Ajuste</v>
          </cell>
          <cell r="X2195">
            <v>40</v>
          </cell>
          <cell r="Y2195">
            <v>120</v>
          </cell>
        </row>
        <row r="2196">
          <cell r="U2196" t="str">
            <v>L105846</v>
          </cell>
          <cell r="V2196" t="str">
            <v>GUD 3kg</v>
          </cell>
          <cell r="W2196" t="str">
            <v>Ajuste</v>
          </cell>
          <cell r="X2196">
            <v>26</v>
          </cell>
          <cell r="Y2196">
            <v>78</v>
          </cell>
        </row>
        <row r="2197">
          <cell r="U2197" t="str">
            <v>L105847</v>
          </cell>
          <cell r="V2197" t="str">
            <v>GUD 3kg</v>
          </cell>
          <cell r="W2197" t="str">
            <v>Ajuste</v>
          </cell>
          <cell r="X2197">
            <v>14</v>
          </cell>
          <cell r="Y2197">
            <v>42</v>
          </cell>
        </row>
        <row r="2198">
          <cell r="U2198" t="str">
            <v>L105848</v>
          </cell>
          <cell r="V2198" t="str">
            <v>GUD 3kg</v>
          </cell>
          <cell r="W2198" t="str">
            <v>Ajuste</v>
          </cell>
          <cell r="X2198">
            <v>10</v>
          </cell>
          <cell r="Y2198">
            <v>30</v>
          </cell>
        </row>
        <row r="2199">
          <cell r="U2199" t="str">
            <v>L105849</v>
          </cell>
          <cell r="V2199" t="str">
            <v>GUD 3kg</v>
          </cell>
          <cell r="W2199" t="str">
            <v>Ajuste</v>
          </cell>
          <cell r="X2199">
            <v>4</v>
          </cell>
          <cell r="Y2199">
            <v>12</v>
          </cell>
        </row>
        <row r="2200">
          <cell r="U2200" t="str">
            <v>L105941</v>
          </cell>
          <cell r="V2200" t="str">
            <v>GUD 3kg</v>
          </cell>
          <cell r="W2200" t="str">
            <v>Ajuste</v>
          </cell>
          <cell r="X2200">
            <v>2</v>
          </cell>
          <cell r="Y2200">
            <v>6</v>
          </cell>
        </row>
        <row r="2201">
          <cell r="U2201" t="str">
            <v>L105055</v>
          </cell>
          <cell r="V2201" t="str">
            <v>GUD 5kg-CAJA</v>
          </cell>
          <cell r="W2201" t="str">
            <v>Ajuste</v>
          </cell>
          <cell r="X2201">
            <v>6</v>
          </cell>
          <cell r="Y2201">
            <v>30</v>
          </cell>
        </row>
        <row r="2202">
          <cell r="U2202" t="str">
            <v>L105184</v>
          </cell>
          <cell r="V2202" t="str">
            <v>GUD 5kg-CAJA</v>
          </cell>
          <cell r="W2202" t="str">
            <v>Ajuste</v>
          </cell>
          <cell r="X2202">
            <v>6</v>
          </cell>
          <cell r="Y2202">
            <v>30</v>
          </cell>
        </row>
        <row r="2203">
          <cell r="U2203" t="str">
            <v>L105278</v>
          </cell>
          <cell r="V2203" t="str">
            <v>HAV 25kg-Unidad</v>
          </cell>
          <cell r="W2203" t="str">
            <v>Ajuste</v>
          </cell>
          <cell r="X2203">
            <v>5</v>
          </cell>
          <cell r="Y2203">
            <v>125</v>
          </cell>
        </row>
        <row r="2204">
          <cell r="U2204" t="str">
            <v>L105893</v>
          </cell>
          <cell r="V2204" t="str">
            <v>HAV 3kg</v>
          </cell>
          <cell r="W2204" t="str">
            <v>Ajuste</v>
          </cell>
          <cell r="X2204">
            <v>2</v>
          </cell>
          <cell r="Y2204">
            <v>6</v>
          </cell>
        </row>
        <row r="2205">
          <cell r="U2205" t="str">
            <v>L105744</v>
          </cell>
          <cell r="V2205" t="str">
            <v>HAV 3kg</v>
          </cell>
          <cell r="W2205" t="str">
            <v>Ajuste</v>
          </cell>
          <cell r="X2205">
            <v>2</v>
          </cell>
          <cell r="Y2205">
            <v>6</v>
          </cell>
        </row>
        <row r="2206">
          <cell r="U2206" t="str">
            <v>L105429</v>
          </cell>
          <cell r="V2206" t="str">
            <v>HAV 5kg-CAJA</v>
          </cell>
          <cell r="W2206" t="str">
            <v>Ajuste</v>
          </cell>
          <cell r="X2206">
            <v>45</v>
          </cell>
          <cell r="Y2206">
            <v>225</v>
          </cell>
        </row>
        <row r="2207">
          <cell r="U2207" t="str">
            <v>L105241</v>
          </cell>
          <cell r="V2207" t="str">
            <v>HAV PD 25kg-Unidad</v>
          </cell>
          <cell r="W2207" t="str">
            <v>Ajuste</v>
          </cell>
          <cell r="X2207">
            <v>120</v>
          </cell>
          <cell r="Y2207">
            <v>3000</v>
          </cell>
        </row>
        <row r="2208">
          <cell r="U2208" t="str">
            <v>L105819</v>
          </cell>
          <cell r="V2208" t="str">
            <v>HDG 2flt x 30uds</v>
          </cell>
          <cell r="W2208" t="str">
            <v>Ajuste</v>
          </cell>
          <cell r="X2208">
            <v>156</v>
          </cell>
          <cell r="Y2208">
            <v>780</v>
          </cell>
        </row>
        <row r="2209">
          <cell r="U2209" t="str">
            <v>L105450</v>
          </cell>
          <cell r="V2209" t="str">
            <v>HDG 30UNI</v>
          </cell>
          <cell r="W2209" t="str">
            <v>Ajuste</v>
          </cell>
          <cell r="X2209">
            <v>4</v>
          </cell>
          <cell r="Y2209">
            <v>8</v>
          </cell>
        </row>
        <row r="2210">
          <cell r="U2210" t="str">
            <v>L105206</v>
          </cell>
          <cell r="V2210" t="str">
            <v>HDG 3Doc</v>
          </cell>
          <cell r="W2210" t="str">
            <v>Ajuste</v>
          </cell>
          <cell r="X2210">
            <v>18</v>
          </cell>
          <cell r="Y2210">
            <v>57.6</v>
          </cell>
        </row>
        <row r="2211">
          <cell r="U2211" t="str">
            <v>L105442</v>
          </cell>
          <cell r="V2211" t="str">
            <v>HDG 4flt x 30uds</v>
          </cell>
          <cell r="W2211" t="str">
            <v>Ajuste</v>
          </cell>
          <cell r="X2211">
            <v>44</v>
          </cell>
          <cell r="Y2211">
            <v>440</v>
          </cell>
        </row>
        <row r="2212">
          <cell r="U2212" t="str">
            <v>L105205</v>
          </cell>
          <cell r="V2212" t="str">
            <v>HGC 30 DOC</v>
          </cell>
          <cell r="W2212" t="str">
            <v>Ajuste</v>
          </cell>
          <cell r="X2212">
            <v>59</v>
          </cell>
          <cell r="Y2212">
            <v>1416</v>
          </cell>
        </row>
        <row r="2213">
          <cell r="U2213" t="str">
            <v>L105205</v>
          </cell>
          <cell r="V2213" t="str">
            <v>HGC 30 DOC</v>
          </cell>
          <cell r="W2213" t="str">
            <v>Merma para Animales</v>
          </cell>
          <cell r="X2213">
            <v>1</v>
          </cell>
          <cell r="Y2213">
            <v>24</v>
          </cell>
        </row>
        <row r="2214">
          <cell r="U2214" t="str">
            <v>L105440</v>
          </cell>
          <cell r="V2214" t="str">
            <v>HGC 30 DOC</v>
          </cell>
          <cell r="W2214" t="str">
            <v>Ajuste</v>
          </cell>
          <cell r="X2214">
            <v>74</v>
          </cell>
          <cell r="Y2214">
            <v>1776</v>
          </cell>
        </row>
        <row r="2215">
          <cell r="U2215" t="str">
            <v>L105808</v>
          </cell>
          <cell r="V2215" t="str">
            <v>HGC 30 DOC</v>
          </cell>
          <cell r="W2215" t="str">
            <v>Ajuste</v>
          </cell>
          <cell r="X2215">
            <v>52</v>
          </cell>
          <cell r="Y2215">
            <v>1248</v>
          </cell>
        </row>
        <row r="2216">
          <cell r="U2216" t="str">
            <v>L105393</v>
          </cell>
          <cell r="V2216" t="str">
            <v>HIDP 18KG</v>
          </cell>
          <cell r="W2216" t="str">
            <v>Ajuste</v>
          </cell>
          <cell r="X2216">
            <v>200</v>
          </cell>
          <cell r="Y2216">
            <v>3600</v>
          </cell>
        </row>
        <row r="2217">
          <cell r="U2217" t="str">
            <v>L105820</v>
          </cell>
          <cell r="V2217" t="str">
            <v>HIDP 7KG</v>
          </cell>
          <cell r="W2217" t="str">
            <v>Ajuste</v>
          </cell>
          <cell r="X2217">
            <v>48</v>
          </cell>
          <cell r="Y2217">
            <v>336</v>
          </cell>
        </row>
        <row r="2218">
          <cell r="U2218" t="str">
            <v>L105441</v>
          </cell>
          <cell r="V2218" t="str">
            <v>HIDP 7KG</v>
          </cell>
          <cell r="W2218" t="str">
            <v>Ajuste</v>
          </cell>
          <cell r="X2218">
            <v>60</v>
          </cell>
          <cell r="Y2218">
            <v>420</v>
          </cell>
        </row>
        <row r="2219">
          <cell r="U2219" t="str">
            <v>L105043</v>
          </cell>
          <cell r="V2219" t="str">
            <v>HNG 3kg-CAJA</v>
          </cell>
          <cell r="W2219" t="str">
            <v>Ajuste</v>
          </cell>
          <cell r="X2219">
            <v>4</v>
          </cell>
          <cell r="Y2219">
            <v>12</v>
          </cell>
        </row>
        <row r="2220">
          <cell r="U2220" t="str">
            <v>L105297</v>
          </cell>
          <cell r="V2220" t="str">
            <v>HNG 3kg-CAJA</v>
          </cell>
          <cell r="W2220" t="str">
            <v>Ajuste</v>
          </cell>
          <cell r="X2220">
            <v>2</v>
          </cell>
          <cell r="Y2220">
            <v>6</v>
          </cell>
        </row>
        <row r="2221">
          <cell r="U2221" t="str">
            <v>L105680</v>
          </cell>
          <cell r="V2221" t="str">
            <v>HNG 3kg-CAJA</v>
          </cell>
          <cell r="W2221" t="str">
            <v>Ajuste</v>
          </cell>
          <cell r="X2221">
            <v>2</v>
          </cell>
          <cell r="Y2221">
            <v>6</v>
          </cell>
        </row>
        <row r="2222">
          <cell r="U2222" t="str">
            <v>L105056</v>
          </cell>
          <cell r="V2222" t="str">
            <v>HNG 5kg-CAJA</v>
          </cell>
          <cell r="W2222" t="str">
            <v>Ajuste</v>
          </cell>
          <cell r="X2222">
            <v>2</v>
          </cell>
          <cell r="Y2222">
            <v>10</v>
          </cell>
        </row>
        <row r="2223">
          <cell r="U2223" t="str">
            <v>L105382</v>
          </cell>
          <cell r="V2223" t="str">
            <v>HRN 2kg</v>
          </cell>
          <cell r="W2223" t="str">
            <v>Ajuste</v>
          </cell>
          <cell r="X2223">
            <v>6</v>
          </cell>
          <cell r="Y2223">
            <v>12</v>
          </cell>
        </row>
        <row r="2224">
          <cell r="U2224" t="str">
            <v>L105683</v>
          </cell>
          <cell r="V2224" t="str">
            <v>JB 1kg</v>
          </cell>
          <cell r="W2224" t="str">
            <v>Ajuste</v>
          </cell>
          <cell r="X2224">
            <v>60</v>
          </cell>
          <cell r="Y2224">
            <v>60</v>
          </cell>
        </row>
        <row r="2225">
          <cell r="U2225" t="str">
            <v>L105308</v>
          </cell>
          <cell r="V2225" t="str">
            <v>JGNA</v>
          </cell>
          <cell r="W2225" t="str">
            <v>Ajuste</v>
          </cell>
          <cell r="X2225">
            <v>4</v>
          </cell>
          <cell r="Y2225">
            <v>4</v>
          </cell>
        </row>
        <row r="2226">
          <cell r="U2226" t="str">
            <v>L105652</v>
          </cell>
          <cell r="V2226" t="str">
            <v>JGNA</v>
          </cell>
          <cell r="W2226" t="str">
            <v>Ajuste</v>
          </cell>
          <cell r="X2226">
            <v>6</v>
          </cell>
          <cell r="Y2226">
            <v>6</v>
          </cell>
        </row>
        <row r="2227">
          <cell r="U2227" t="str">
            <v>L105307</v>
          </cell>
          <cell r="V2227" t="str">
            <v>JGNO</v>
          </cell>
          <cell r="W2227" t="str">
            <v>Ajuste</v>
          </cell>
          <cell r="X2227">
            <v>22</v>
          </cell>
          <cell r="Y2227">
            <v>22</v>
          </cell>
        </row>
        <row r="2228">
          <cell r="U2228" t="str">
            <v>L105428</v>
          </cell>
          <cell r="V2228" t="str">
            <v>JGNO</v>
          </cell>
          <cell r="W2228" t="str">
            <v>Ajuste</v>
          </cell>
          <cell r="X2228">
            <v>4</v>
          </cell>
          <cell r="Y2228">
            <v>4</v>
          </cell>
        </row>
        <row r="2229">
          <cell r="U2229" t="str">
            <v>L105651</v>
          </cell>
          <cell r="V2229" t="str">
            <v>JGNO</v>
          </cell>
          <cell r="W2229" t="str">
            <v>Ajuste</v>
          </cell>
          <cell r="X2229">
            <v>6</v>
          </cell>
          <cell r="Y2229">
            <v>6</v>
          </cell>
        </row>
        <row r="2230">
          <cell r="U2230" t="str">
            <v>L105039</v>
          </cell>
          <cell r="V2230" t="str">
            <v>JGO 2kg</v>
          </cell>
          <cell r="W2230" t="str">
            <v>Ajuste</v>
          </cell>
          <cell r="X2230">
            <v>20</v>
          </cell>
          <cell r="Y2230">
            <v>40</v>
          </cell>
        </row>
        <row r="2231">
          <cell r="U2231" t="str">
            <v>L105526</v>
          </cell>
          <cell r="V2231" t="str">
            <v>JGO 2kg</v>
          </cell>
          <cell r="W2231" t="str">
            <v>Ajuste</v>
          </cell>
          <cell r="X2231">
            <v>42</v>
          </cell>
          <cell r="Y2231">
            <v>84</v>
          </cell>
        </row>
        <row r="2232">
          <cell r="U2232" t="str">
            <v>L105059</v>
          </cell>
          <cell r="V2232" t="str">
            <v>JLP 2kg Caja</v>
          </cell>
          <cell r="W2232" t="str">
            <v>Ajuste</v>
          </cell>
          <cell r="X2232">
            <v>14</v>
          </cell>
          <cell r="Y2232">
            <v>28</v>
          </cell>
        </row>
        <row r="2233">
          <cell r="U2233" t="str">
            <v>L105306</v>
          </cell>
          <cell r="V2233" t="str">
            <v>JLP 2kg Caja</v>
          </cell>
          <cell r="W2233" t="str">
            <v>Ajuste</v>
          </cell>
          <cell r="X2233">
            <v>82</v>
          </cell>
          <cell r="Y2233">
            <v>164</v>
          </cell>
        </row>
        <row r="2234">
          <cell r="U2234" t="str">
            <v>L105657</v>
          </cell>
          <cell r="V2234" t="str">
            <v>JLP 2kg Caja</v>
          </cell>
          <cell r="W2234" t="str">
            <v>Ajuste</v>
          </cell>
          <cell r="X2234">
            <v>40</v>
          </cell>
          <cell r="Y2234">
            <v>80</v>
          </cell>
        </row>
        <row r="2235">
          <cell r="U2235" t="str">
            <v>L105066</v>
          </cell>
          <cell r="V2235" t="str">
            <v>JLP 3kg Caja</v>
          </cell>
          <cell r="W2235" t="str">
            <v>Ajuste</v>
          </cell>
          <cell r="X2235">
            <v>2</v>
          </cell>
          <cell r="Y2235">
            <v>6</v>
          </cell>
        </row>
        <row r="2236">
          <cell r="U2236" t="str">
            <v>L105392</v>
          </cell>
          <cell r="V2236" t="str">
            <v>JLPM 2kg</v>
          </cell>
          <cell r="W2236" t="str">
            <v>Ajuste</v>
          </cell>
          <cell r="X2236">
            <v>8</v>
          </cell>
          <cell r="Y2236">
            <v>16</v>
          </cell>
        </row>
        <row r="2237">
          <cell r="U2237" t="str">
            <v>L105655</v>
          </cell>
          <cell r="V2237" t="str">
            <v>JLPM 2kg</v>
          </cell>
          <cell r="W2237" t="str">
            <v>Ajuste</v>
          </cell>
          <cell r="X2237">
            <v>10</v>
          </cell>
          <cell r="Y2237">
            <v>20</v>
          </cell>
        </row>
        <row r="2238">
          <cell r="U2238" t="str">
            <v>L105174</v>
          </cell>
          <cell r="V2238" t="str">
            <v>JML 1 kg-CAJA</v>
          </cell>
          <cell r="W2238" t="str">
            <v>Ajuste</v>
          </cell>
          <cell r="X2238">
            <v>18</v>
          </cell>
          <cell r="Y2238">
            <v>18</v>
          </cell>
        </row>
        <row r="2239">
          <cell r="U2239" t="str">
            <v>L105531</v>
          </cell>
          <cell r="V2239" t="str">
            <v>JML 1 kg-CAJA</v>
          </cell>
          <cell r="W2239" t="str">
            <v>Ajuste</v>
          </cell>
          <cell r="X2239">
            <v>36</v>
          </cell>
          <cell r="Y2239">
            <v>36</v>
          </cell>
        </row>
        <row r="2240">
          <cell r="U2240" t="str">
            <v>L105840</v>
          </cell>
          <cell r="V2240" t="str">
            <v>JML 1 kg-CAJA</v>
          </cell>
          <cell r="W2240" t="str">
            <v>Ajuste</v>
          </cell>
          <cell r="X2240">
            <v>12</v>
          </cell>
          <cell r="Y2240">
            <v>12</v>
          </cell>
        </row>
        <row r="2241">
          <cell r="U2241" t="str">
            <v>L105841</v>
          </cell>
          <cell r="V2241" t="str">
            <v>JML 1 kg-CAJA</v>
          </cell>
          <cell r="W2241" t="str">
            <v>Ajuste</v>
          </cell>
          <cell r="X2241">
            <v>4</v>
          </cell>
          <cell r="Y2241">
            <v>4</v>
          </cell>
        </row>
        <row r="2242">
          <cell r="U2242" t="str">
            <v>l105513</v>
          </cell>
          <cell r="V2242" t="str">
            <v>KTP 2kg</v>
          </cell>
          <cell r="W2242" t="str">
            <v>Ajuste</v>
          </cell>
          <cell r="X2242">
            <v>63</v>
          </cell>
          <cell r="Y2242">
            <v>126</v>
          </cell>
        </row>
        <row r="2243">
          <cell r="U2243" t="str">
            <v>L105883</v>
          </cell>
          <cell r="V2243" t="str">
            <v>KTP 3kg</v>
          </cell>
          <cell r="W2243" t="str">
            <v>Ajuste</v>
          </cell>
          <cell r="X2243">
            <v>8</v>
          </cell>
          <cell r="Y2243">
            <v>24</v>
          </cell>
        </row>
        <row r="2244">
          <cell r="U2244" t="str">
            <v>L105907</v>
          </cell>
          <cell r="V2244" t="str">
            <v>KTP 3kg</v>
          </cell>
          <cell r="W2244" t="str">
            <v>Ajuste</v>
          </cell>
          <cell r="X2244">
            <v>2</v>
          </cell>
          <cell r="Y2244">
            <v>6</v>
          </cell>
        </row>
        <row r="2245">
          <cell r="U2245" t="str">
            <v>L105913</v>
          </cell>
          <cell r="V2245" t="str">
            <v>KTP 4kg</v>
          </cell>
          <cell r="W2245" t="str">
            <v>Ajuste</v>
          </cell>
          <cell r="X2245">
            <v>2</v>
          </cell>
          <cell r="Y2245">
            <v>8</v>
          </cell>
        </row>
        <row r="2246">
          <cell r="U2246" t="str">
            <v>L105643</v>
          </cell>
          <cell r="V2246" t="str">
            <v>LCC 3kg-(CAJA)</v>
          </cell>
          <cell r="W2246" t="str">
            <v>Ajuste</v>
          </cell>
          <cell r="X2246">
            <v>2</v>
          </cell>
          <cell r="Y2246">
            <v>6</v>
          </cell>
        </row>
        <row r="2247">
          <cell r="U2247" t="str">
            <v>L105803</v>
          </cell>
          <cell r="V2247" t="str">
            <v>LCC 3kg-(CAJA)</v>
          </cell>
          <cell r="W2247" t="str">
            <v>Ajuste</v>
          </cell>
          <cell r="X2247">
            <v>6</v>
          </cell>
          <cell r="Y2247">
            <v>18</v>
          </cell>
        </row>
        <row r="2248">
          <cell r="U2248" t="str">
            <v>L105804</v>
          </cell>
          <cell r="V2248" t="str">
            <v>LCC 3kg-(CAJA)</v>
          </cell>
          <cell r="W2248" t="str">
            <v>Ajuste</v>
          </cell>
          <cell r="X2248">
            <v>2</v>
          </cell>
          <cell r="Y2248">
            <v>6</v>
          </cell>
        </row>
        <row r="2249">
          <cell r="U2249" t="str">
            <v>L105805</v>
          </cell>
          <cell r="V2249" t="str">
            <v>LCC 3kg-(CAJA)</v>
          </cell>
          <cell r="W2249" t="str">
            <v>Ajuste</v>
          </cell>
          <cell r="X2249">
            <v>6</v>
          </cell>
          <cell r="Y2249">
            <v>18</v>
          </cell>
        </row>
        <row r="2250">
          <cell r="U2250" t="str">
            <v>L105806</v>
          </cell>
          <cell r="V2250" t="str">
            <v>LCC 3kg-(CAJA)</v>
          </cell>
          <cell r="W2250" t="str">
            <v>Ajuste</v>
          </cell>
          <cell r="X2250">
            <v>6</v>
          </cell>
          <cell r="Y2250">
            <v>18</v>
          </cell>
        </row>
        <row r="2251">
          <cell r="U2251" t="str">
            <v>L105868</v>
          </cell>
          <cell r="V2251" t="str">
            <v>LCC 3kg-(CAJA)</v>
          </cell>
          <cell r="W2251" t="str">
            <v>Ajuste</v>
          </cell>
          <cell r="X2251">
            <v>10</v>
          </cell>
          <cell r="Y2251">
            <v>30</v>
          </cell>
        </row>
        <row r="2252">
          <cell r="U2252" t="str">
            <v>L105040</v>
          </cell>
          <cell r="V2252" t="str">
            <v>LCC 5kg-(CAJA)</v>
          </cell>
          <cell r="W2252" t="str">
            <v>Ajuste</v>
          </cell>
          <cell r="X2252">
            <v>6</v>
          </cell>
          <cell r="Y2252">
            <v>30</v>
          </cell>
        </row>
        <row r="2253">
          <cell r="U2253" t="str">
            <v>L105387</v>
          </cell>
          <cell r="V2253" t="str">
            <v>LCC 5kg-(CAJA)</v>
          </cell>
          <cell r="W2253" t="str">
            <v>Ajuste</v>
          </cell>
          <cell r="X2253">
            <v>2</v>
          </cell>
          <cell r="Y2253">
            <v>10</v>
          </cell>
        </row>
        <row r="2254">
          <cell r="U2254" t="str">
            <v>L105843</v>
          </cell>
          <cell r="V2254" t="str">
            <v>LCD 5kg-CAJA</v>
          </cell>
          <cell r="W2254" t="str">
            <v>Ajuste</v>
          </cell>
          <cell r="X2254">
            <v>10</v>
          </cell>
          <cell r="Y2254">
            <v>50</v>
          </cell>
        </row>
        <row r="2255">
          <cell r="U2255" t="str">
            <v>L105844</v>
          </cell>
          <cell r="V2255" t="str">
            <v>LCD 5kg-CAJA</v>
          </cell>
          <cell r="W2255" t="str">
            <v>Ajuste</v>
          </cell>
          <cell r="X2255">
            <v>6</v>
          </cell>
          <cell r="Y2255">
            <v>30</v>
          </cell>
        </row>
        <row r="2256">
          <cell r="U2256" t="str">
            <v>L105854</v>
          </cell>
          <cell r="V2256" t="str">
            <v>LCD 5kg-CAJA</v>
          </cell>
          <cell r="W2256" t="str">
            <v>Ajuste</v>
          </cell>
          <cell r="X2256">
            <v>4</v>
          </cell>
          <cell r="Y2256">
            <v>20</v>
          </cell>
        </row>
        <row r="2257">
          <cell r="U2257" t="str">
            <v>L105959</v>
          </cell>
          <cell r="V2257" t="str">
            <v>LCH 12x946mL-CAJA</v>
          </cell>
          <cell r="W2257" t="str">
            <v>Ajuste</v>
          </cell>
          <cell r="X2257">
            <v>40</v>
          </cell>
          <cell r="Y2257">
            <v>454</v>
          </cell>
        </row>
        <row r="2258">
          <cell r="U2258" t="str">
            <v>L105461</v>
          </cell>
          <cell r="V2258" t="str">
            <v>LCH 24X315g-CAJA</v>
          </cell>
          <cell r="W2258" t="str">
            <v>Ajuste</v>
          </cell>
          <cell r="X2258">
            <v>500</v>
          </cell>
          <cell r="Y2258">
            <v>4250</v>
          </cell>
        </row>
        <row r="2259">
          <cell r="U2259" t="str">
            <v>L105457</v>
          </cell>
          <cell r="V2259" t="str">
            <v>LCH 48X167g-CAJA</v>
          </cell>
          <cell r="W2259" t="str">
            <v>Ajuste</v>
          </cell>
          <cell r="X2259">
            <v>748</v>
          </cell>
          <cell r="Y2259">
            <v>7106</v>
          </cell>
        </row>
        <row r="2260">
          <cell r="U2260" t="str">
            <v>L105459</v>
          </cell>
          <cell r="V2260" t="str">
            <v>LCH 48X314g-CAJA</v>
          </cell>
          <cell r="W2260" t="str">
            <v>Ajuste</v>
          </cell>
          <cell r="X2260">
            <v>2</v>
          </cell>
          <cell r="Y2260">
            <v>36</v>
          </cell>
        </row>
        <row r="2261">
          <cell r="U2261" t="str">
            <v>L105947</v>
          </cell>
          <cell r="V2261" t="str">
            <v>LCH 4kg</v>
          </cell>
          <cell r="W2261" t="str">
            <v>Ajuste</v>
          </cell>
          <cell r="X2261">
            <v>2</v>
          </cell>
          <cell r="Y2261">
            <v>8</v>
          </cell>
        </row>
        <row r="2262">
          <cell r="U2262" t="str">
            <v>L105948</v>
          </cell>
          <cell r="V2262" t="str">
            <v>LCH 4kg</v>
          </cell>
          <cell r="W2262" t="str">
            <v>Ajuste</v>
          </cell>
          <cell r="X2262">
            <v>2</v>
          </cell>
          <cell r="Y2262">
            <v>8</v>
          </cell>
        </row>
        <row r="2263">
          <cell r="U2263" t="str">
            <v>L105949</v>
          </cell>
          <cell r="V2263" t="str">
            <v>LCH 4kg</v>
          </cell>
          <cell r="W2263" t="str">
            <v>Ajuste</v>
          </cell>
          <cell r="X2263">
            <v>6</v>
          </cell>
          <cell r="Y2263">
            <v>24</v>
          </cell>
        </row>
        <row r="2264">
          <cell r="U2264" t="str">
            <v>L105950</v>
          </cell>
          <cell r="V2264" t="str">
            <v>LCH 4kg</v>
          </cell>
          <cell r="W2264" t="str">
            <v>Ajuste</v>
          </cell>
          <cell r="X2264">
            <v>4</v>
          </cell>
          <cell r="Y2264">
            <v>16</v>
          </cell>
        </row>
        <row r="2265">
          <cell r="U2265" t="str">
            <v>L105951</v>
          </cell>
          <cell r="V2265" t="str">
            <v>LCH 4kg</v>
          </cell>
          <cell r="W2265" t="str">
            <v>Ajuste</v>
          </cell>
          <cell r="X2265">
            <v>2</v>
          </cell>
          <cell r="Y2265">
            <v>8</v>
          </cell>
        </row>
        <row r="2266">
          <cell r="U2266" t="str">
            <v>L105952</v>
          </cell>
          <cell r="V2266" t="str">
            <v>LCH 4kg</v>
          </cell>
          <cell r="W2266" t="str">
            <v>Ajuste</v>
          </cell>
          <cell r="X2266">
            <v>8</v>
          </cell>
          <cell r="Y2266">
            <v>32</v>
          </cell>
        </row>
        <row r="2267">
          <cell r="U2267" t="str">
            <v>L105953</v>
          </cell>
          <cell r="V2267" t="str">
            <v>LCH 4kg</v>
          </cell>
          <cell r="W2267" t="str">
            <v>Ajuste</v>
          </cell>
          <cell r="X2267">
            <v>4</v>
          </cell>
          <cell r="Y2267">
            <v>16</v>
          </cell>
        </row>
        <row r="2268">
          <cell r="U2268" t="str">
            <v>L105954</v>
          </cell>
          <cell r="V2268" t="str">
            <v>LCH 4kg</v>
          </cell>
          <cell r="W2268" t="str">
            <v>Ajuste</v>
          </cell>
          <cell r="X2268">
            <v>2</v>
          </cell>
          <cell r="Y2268">
            <v>8</v>
          </cell>
        </row>
        <row r="2269">
          <cell r="U2269" t="str">
            <v>L105955</v>
          </cell>
          <cell r="V2269" t="str">
            <v>LCH 4kg</v>
          </cell>
          <cell r="W2269" t="str">
            <v>Ajuste</v>
          </cell>
          <cell r="X2269">
            <v>4</v>
          </cell>
          <cell r="Y2269">
            <v>16</v>
          </cell>
        </row>
        <row r="2270">
          <cell r="U2270" t="str">
            <v>L105956</v>
          </cell>
          <cell r="V2270" t="str">
            <v>LCH 4kg</v>
          </cell>
          <cell r="W2270" t="str">
            <v>Ajuste</v>
          </cell>
          <cell r="X2270">
            <v>4</v>
          </cell>
          <cell r="Y2270">
            <v>16</v>
          </cell>
        </row>
        <row r="2271">
          <cell r="U2271" t="str">
            <v>L105957</v>
          </cell>
          <cell r="V2271" t="str">
            <v>LCH 4kg</v>
          </cell>
          <cell r="W2271" t="str">
            <v>Ajuste</v>
          </cell>
          <cell r="X2271">
            <v>14</v>
          </cell>
          <cell r="Y2271">
            <v>56</v>
          </cell>
        </row>
        <row r="2272">
          <cell r="U2272" t="str">
            <v>L105958</v>
          </cell>
          <cell r="V2272" t="str">
            <v>LCH 4kg</v>
          </cell>
          <cell r="W2272" t="str">
            <v>Ajuste</v>
          </cell>
          <cell r="X2272">
            <v>8</v>
          </cell>
          <cell r="Y2272">
            <v>32</v>
          </cell>
        </row>
        <row r="2273">
          <cell r="U2273" t="str">
            <v>L105966</v>
          </cell>
          <cell r="V2273" t="str">
            <v>LCH 4kg</v>
          </cell>
          <cell r="W2273" t="str">
            <v>Ajuste</v>
          </cell>
          <cell r="X2273">
            <v>72</v>
          </cell>
          <cell r="Y2273">
            <v>288</v>
          </cell>
        </row>
        <row r="2274">
          <cell r="U2274" t="str">
            <v>L105967</v>
          </cell>
          <cell r="V2274" t="str">
            <v>LCH 4kg</v>
          </cell>
          <cell r="W2274" t="str">
            <v>Ajuste</v>
          </cell>
          <cell r="X2274">
            <v>2</v>
          </cell>
          <cell r="Y2274">
            <v>8</v>
          </cell>
        </row>
        <row r="2275">
          <cell r="U2275" t="str">
            <v>L105968</v>
          </cell>
          <cell r="V2275" t="str">
            <v>LCH 4kg</v>
          </cell>
          <cell r="W2275" t="str">
            <v>Ajuste</v>
          </cell>
          <cell r="X2275">
            <v>8</v>
          </cell>
          <cell r="Y2275">
            <v>32</v>
          </cell>
        </row>
        <row r="2276">
          <cell r="U2276" t="str">
            <v>L105969</v>
          </cell>
          <cell r="V2276" t="str">
            <v>LCH 4kg</v>
          </cell>
          <cell r="W2276" t="str">
            <v>Ajuste</v>
          </cell>
          <cell r="X2276">
            <v>8</v>
          </cell>
          <cell r="Y2276">
            <v>32</v>
          </cell>
        </row>
        <row r="2277">
          <cell r="U2277" t="str">
            <v>L105970</v>
          </cell>
          <cell r="V2277" t="str">
            <v>LCH 4kg</v>
          </cell>
          <cell r="W2277" t="str">
            <v>Ajuste</v>
          </cell>
          <cell r="X2277">
            <v>8</v>
          </cell>
          <cell r="Y2277">
            <v>32</v>
          </cell>
        </row>
        <row r="2278">
          <cell r="U2278" t="str">
            <v>L105458</v>
          </cell>
          <cell r="V2278" t="str">
            <v>LCH 96X167g-CAJA</v>
          </cell>
          <cell r="W2278" t="str">
            <v>Ajuste</v>
          </cell>
          <cell r="X2278">
            <v>242</v>
          </cell>
          <cell r="Y2278">
            <v>4598</v>
          </cell>
        </row>
        <row r="2279">
          <cell r="U2279" t="str">
            <v>L105057</v>
          </cell>
          <cell r="V2279" t="str">
            <v>LCH EV 3kg</v>
          </cell>
          <cell r="W2279" t="str">
            <v>Ajuste</v>
          </cell>
          <cell r="X2279">
            <v>2</v>
          </cell>
          <cell r="Y2279">
            <v>6</v>
          </cell>
        </row>
        <row r="2280">
          <cell r="U2280" t="str">
            <v>L105462</v>
          </cell>
          <cell r="V2280" t="str">
            <v>LCH EV5kg-CAJA</v>
          </cell>
          <cell r="W2280" t="str">
            <v>Ajuste</v>
          </cell>
          <cell r="X2280">
            <v>12</v>
          </cell>
          <cell r="Y2280">
            <v>60</v>
          </cell>
        </row>
        <row r="2281">
          <cell r="U2281" t="str">
            <v>L105463</v>
          </cell>
          <cell r="V2281" t="str">
            <v>LCH EV5kg-CAJA</v>
          </cell>
          <cell r="W2281" t="str">
            <v>Ajuste</v>
          </cell>
          <cell r="X2281">
            <v>2</v>
          </cell>
          <cell r="Y2281">
            <v>10</v>
          </cell>
        </row>
        <row r="2282">
          <cell r="U2282" t="str">
            <v>L105971</v>
          </cell>
          <cell r="V2282" t="str">
            <v>LCHAY 4kg</v>
          </cell>
          <cell r="W2282" t="str">
            <v>Ajuste</v>
          </cell>
          <cell r="X2282">
            <v>120</v>
          </cell>
          <cell r="Y2282">
            <v>480</v>
          </cell>
        </row>
        <row r="2283">
          <cell r="U2283" t="str">
            <v>L105422</v>
          </cell>
          <cell r="V2283" t="str">
            <v>LDC 27x200mL-CAJA</v>
          </cell>
          <cell r="W2283" t="str">
            <v>Ajuste</v>
          </cell>
          <cell r="X2283">
            <v>465</v>
          </cell>
          <cell r="Y2283">
            <v>2962.0499999999911</v>
          </cell>
        </row>
        <row r="2284">
          <cell r="U2284" t="str">
            <v>L105422</v>
          </cell>
          <cell r="V2284" t="str">
            <v>LDC 27x200mL-CAJA</v>
          </cell>
          <cell r="W2284" t="str">
            <v>Dañado</v>
          </cell>
          <cell r="X2284">
            <v>1</v>
          </cell>
          <cell r="Y2284">
            <v>6.37</v>
          </cell>
        </row>
        <row r="2285">
          <cell r="U2285" t="str">
            <v>L105493</v>
          </cell>
          <cell r="V2285" t="str">
            <v>Leche evaporada kg</v>
          </cell>
          <cell r="W2285" t="str">
            <v>Ajuste</v>
          </cell>
          <cell r="X2285">
            <v>11.2</v>
          </cell>
          <cell r="Y2285">
            <v>11.2</v>
          </cell>
        </row>
        <row r="2286">
          <cell r="U2286" t="str">
            <v>L105207</v>
          </cell>
          <cell r="V2286" t="str">
            <v>LEP 2kg</v>
          </cell>
          <cell r="W2286" t="str">
            <v>Ajuste</v>
          </cell>
          <cell r="X2286">
            <v>40</v>
          </cell>
          <cell r="Y2286">
            <v>80</v>
          </cell>
        </row>
        <row r="2287">
          <cell r="U2287" t="str">
            <v>L105385</v>
          </cell>
          <cell r="V2287" t="str">
            <v>LEP 2kg</v>
          </cell>
          <cell r="W2287" t="str">
            <v>Ajuste</v>
          </cell>
          <cell r="X2287">
            <v>6</v>
          </cell>
          <cell r="Y2287">
            <v>12</v>
          </cell>
        </row>
        <row r="2288">
          <cell r="U2288" t="str">
            <v>L105541</v>
          </cell>
          <cell r="V2288" t="str">
            <v>LSN 2kg-CAJA</v>
          </cell>
          <cell r="W2288" t="str">
            <v>Ajuste</v>
          </cell>
          <cell r="X2288">
            <v>8</v>
          </cell>
          <cell r="Y2288">
            <v>16</v>
          </cell>
        </row>
        <row r="2289">
          <cell r="U2289" t="str">
            <v>L105542</v>
          </cell>
          <cell r="V2289" t="str">
            <v>LSN 2kg-CAJA</v>
          </cell>
          <cell r="W2289" t="str">
            <v>Ajuste</v>
          </cell>
          <cell r="X2289">
            <v>2</v>
          </cell>
          <cell r="Y2289">
            <v>4</v>
          </cell>
        </row>
        <row r="2290">
          <cell r="U2290" t="str">
            <v>L105945</v>
          </cell>
          <cell r="V2290" t="str">
            <v>Maiz kg</v>
          </cell>
          <cell r="W2290" t="str">
            <v>Ajuste</v>
          </cell>
          <cell r="X2290">
            <v>8.4</v>
          </cell>
          <cell r="Y2290">
            <v>8.4</v>
          </cell>
        </row>
        <row r="2291">
          <cell r="U2291" t="str">
            <v>ManejoNV-Febrero</v>
          </cell>
          <cell r="V2291" t="str">
            <v>Manejo NV</v>
          </cell>
          <cell r="W2291" t="str">
            <v>Ajuste</v>
          </cell>
          <cell r="X2291">
            <v>120</v>
          </cell>
          <cell r="Y2291">
            <v>1.2000000000000004</v>
          </cell>
        </row>
        <row r="2292">
          <cell r="U2292" t="str">
            <v>L105764</v>
          </cell>
          <cell r="V2292" t="str">
            <v>Mayonesa kg</v>
          </cell>
          <cell r="W2292" t="str">
            <v>Ajuste</v>
          </cell>
          <cell r="X2292">
            <v>1.9</v>
          </cell>
          <cell r="Y2292">
            <v>1.9</v>
          </cell>
        </row>
        <row r="2293">
          <cell r="U2293" t="str">
            <v>L105165</v>
          </cell>
          <cell r="V2293" t="str">
            <v>MCR 2kg-CAJA</v>
          </cell>
          <cell r="W2293" t="str">
            <v>Ajuste</v>
          </cell>
          <cell r="X2293">
            <v>10</v>
          </cell>
          <cell r="Y2293">
            <v>20</v>
          </cell>
        </row>
        <row r="2294">
          <cell r="U2294" t="str">
            <v>L105454</v>
          </cell>
          <cell r="V2294" t="str">
            <v>MCR 2kg-CAJA</v>
          </cell>
          <cell r="W2294" t="str">
            <v>Ajuste</v>
          </cell>
          <cell r="X2294">
            <v>350</v>
          </cell>
          <cell r="Y2294">
            <v>700</v>
          </cell>
        </row>
        <row r="2295">
          <cell r="U2295" t="str">
            <v>L105243</v>
          </cell>
          <cell r="V2295" t="str">
            <v>PTV 16 a 22kg</v>
          </cell>
          <cell r="W2295" t="str">
            <v>Ajuste</v>
          </cell>
          <cell r="X2295">
            <v>302</v>
          </cell>
          <cell r="Y2295">
            <v>5738</v>
          </cell>
        </row>
        <row r="2296">
          <cell r="U2296" t="str">
            <v>L105243</v>
          </cell>
          <cell r="V2296" t="str">
            <v>PTV 16 a 22kg</v>
          </cell>
          <cell r="W2296" t="str">
            <v>Reproceso</v>
          </cell>
          <cell r="X2296">
            <v>20</v>
          </cell>
          <cell r="Y2296">
            <v>380</v>
          </cell>
        </row>
        <row r="2297">
          <cell r="U2297" t="str">
            <v>L105243</v>
          </cell>
          <cell r="V2297" t="str">
            <v>MCR 5kg-CAJA</v>
          </cell>
          <cell r="W2297" t="str">
            <v>Ajuste</v>
          </cell>
          <cell r="X2297">
            <v>190</v>
          </cell>
          <cell r="Y2297">
            <v>950</v>
          </cell>
        </row>
        <row r="2298">
          <cell r="U2298" t="str">
            <v>l104977</v>
          </cell>
          <cell r="V2298" t="str">
            <v>MCR 5kg-CAJA</v>
          </cell>
          <cell r="W2298" t="str">
            <v>Ajuste</v>
          </cell>
          <cell r="X2298">
            <v>136</v>
          </cell>
          <cell r="Y2298">
            <v>680</v>
          </cell>
        </row>
        <row r="2299">
          <cell r="U2299" t="str">
            <v>L105909</v>
          </cell>
          <cell r="V2299" t="str">
            <v>MCR 5kg-CAJA</v>
          </cell>
          <cell r="W2299" t="str">
            <v>Ajuste</v>
          </cell>
          <cell r="X2299">
            <v>2</v>
          </cell>
          <cell r="Y2299">
            <v>10</v>
          </cell>
        </row>
        <row r="2300">
          <cell r="U2300" t="str">
            <v>L105054</v>
          </cell>
          <cell r="V2300" t="str">
            <v>MDM 5kg-CAJA</v>
          </cell>
          <cell r="W2300" t="str">
            <v>Ajuste</v>
          </cell>
          <cell r="X2300">
            <v>4</v>
          </cell>
          <cell r="Y2300">
            <v>20</v>
          </cell>
        </row>
        <row r="2301">
          <cell r="U2301" t="str">
            <v>L105210</v>
          </cell>
          <cell r="V2301" t="str">
            <v>MDM 5kg-CAJA</v>
          </cell>
          <cell r="W2301" t="str">
            <v>Ajuste</v>
          </cell>
          <cell r="X2301">
            <v>2</v>
          </cell>
          <cell r="Y2301">
            <v>10</v>
          </cell>
        </row>
        <row r="2302">
          <cell r="U2302" t="str">
            <v>L105047</v>
          </cell>
          <cell r="V2302" t="str">
            <v>MDP 5kg</v>
          </cell>
          <cell r="W2302" t="str">
            <v>Ajuste</v>
          </cell>
          <cell r="X2302">
            <v>280</v>
          </cell>
          <cell r="Y2302">
            <v>1400</v>
          </cell>
        </row>
        <row r="2303">
          <cell r="U2303" t="str">
            <v>L105046</v>
          </cell>
          <cell r="V2303" t="str">
            <v>MDPAY 5kg</v>
          </cell>
          <cell r="W2303" t="str">
            <v>Ajuste</v>
          </cell>
          <cell r="X2303">
            <v>120</v>
          </cell>
          <cell r="Y2303">
            <v>600</v>
          </cell>
        </row>
        <row r="2304">
          <cell r="U2304" t="str">
            <v>L105791</v>
          </cell>
          <cell r="V2304" t="str">
            <v>Menestra kg</v>
          </cell>
          <cell r="W2304" t="str">
            <v>Ajuste</v>
          </cell>
          <cell r="X2304">
            <v>2040</v>
          </cell>
          <cell r="Y2304">
            <v>2040</v>
          </cell>
        </row>
        <row r="2305">
          <cell r="U2305" t="str">
            <v>L104955</v>
          </cell>
          <cell r="V2305" t="str">
            <v>MERMA DE FRUVER 1 kg</v>
          </cell>
          <cell r="W2305" t="str">
            <v>Ajuste</v>
          </cell>
          <cell r="X2305">
            <v>64.2</v>
          </cell>
          <cell r="Y2305">
            <v>64.2</v>
          </cell>
        </row>
        <row r="2306">
          <cell r="U2306" t="str">
            <v>L104963</v>
          </cell>
          <cell r="V2306" t="str">
            <v>MERMA DE FRUVER 1 kg</v>
          </cell>
          <cell r="W2306" t="str">
            <v>Ajuste</v>
          </cell>
          <cell r="X2306">
            <v>28.46</v>
          </cell>
          <cell r="Y2306">
            <v>28.46</v>
          </cell>
        </row>
        <row r="2307">
          <cell r="U2307" t="str">
            <v>L104974</v>
          </cell>
          <cell r="V2307" t="str">
            <v>MERMA DE FRUVER 1 kg</v>
          </cell>
          <cell r="W2307" t="str">
            <v>Ajuste</v>
          </cell>
          <cell r="X2307">
            <v>90</v>
          </cell>
          <cell r="Y2307">
            <v>90</v>
          </cell>
        </row>
        <row r="2308">
          <cell r="U2308" t="str">
            <v>L105008</v>
          </cell>
          <cell r="V2308" t="str">
            <v>MERMA DE FRUVER 1 kg</v>
          </cell>
          <cell r="W2308" t="str">
            <v>Ajuste</v>
          </cell>
          <cell r="X2308">
            <v>41.52</v>
          </cell>
          <cell r="Y2308">
            <v>41.52</v>
          </cell>
        </row>
        <row r="2309">
          <cell r="U2309" t="str">
            <v>L105016</v>
          </cell>
          <cell r="V2309" t="str">
            <v>MERMA DE FRUVER 1 kg</v>
          </cell>
          <cell r="W2309" t="str">
            <v>Ajuste</v>
          </cell>
          <cell r="X2309">
            <v>148.52000000000001</v>
          </cell>
          <cell r="Y2309">
            <v>148.52000000000001</v>
          </cell>
        </row>
        <row r="2310">
          <cell r="U2310" t="str">
            <v>L105019</v>
          </cell>
          <cell r="V2310" t="str">
            <v>MERMA DE FRUVER 1 kg</v>
          </cell>
          <cell r="W2310" t="str">
            <v>Ajuste</v>
          </cell>
          <cell r="X2310">
            <v>60.26</v>
          </cell>
          <cell r="Y2310">
            <v>60.26</v>
          </cell>
        </row>
        <row r="2311">
          <cell r="U2311" t="str">
            <v>L105022</v>
          </cell>
          <cell r="V2311" t="str">
            <v>MERMA DE FRUVER 1 kg</v>
          </cell>
          <cell r="W2311" t="str">
            <v>Ajuste</v>
          </cell>
          <cell r="X2311">
            <v>8</v>
          </cell>
          <cell r="Y2311">
            <v>8</v>
          </cell>
        </row>
        <row r="2312">
          <cell r="U2312" t="str">
            <v>L105119</v>
          </cell>
          <cell r="V2312" t="str">
            <v>MERMA DE FRUVER 1 kg</v>
          </cell>
          <cell r="W2312" t="str">
            <v>Ajuste</v>
          </cell>
          <cell r="X2312">
            <v>74</v>
          </cell>
          <cell r="Y2312">
            <v>74</v>
          </cell>
        </row>
        <row r="2313">
          <cell r="U2313" t="str">
            <v>L105123</v>
          </cell>
          <cell r="V2313" t="str">
            <v>MERMA DE FRUVER 1 kg</v>
          </cell>
          <cell r="W2313" t="str">
            <v>Ajuste</v>
          </cell>
          <cell r="X2313">
            <v>40</v>
          </cell>
          <cell r="Y2313">
            <v>40</v>
          </cell>
        </row>
        <row r="2314">
          <cell r="U2314" t="str">
            <v>L105180</v>
          </cell>
          <cell r="V2314" t="str">
            <v>MERMA DE FRUVER 1 kg</v>
          </cell>
          <cell r="W2314" t="str">
            <v>Ajuste</v>
          </cell>
          <cell r="X2314">
            <v>42.94</v>
          </cell>
          <cell r="Y2314">
            <v>42.94</v>
          </cell>
        </row>
        <row r="2315">
          <cell r="U2315" t="str">
            <v>L105183</v>
          </cell>
          <cell r="V2315" t="str">
            <v>MERMA DE FRUVER 1 kg</v>
          </cell>
          <cell r="W2315" t="str">
            <v>Ajuste</v>
          </cell>
          <cell r="X2315">
            <v>11.6</v>
          </cell>
          <cell r="Y2315">
            <v>11.6</v>
          </cell>
        </row>
        <row r="2316">
          <cell r="U2316" t="str">
            <v>L105193</v>
          </cell>
          <cell r="V2316" t="str">
            <v>MERMA DE FRUVER 1 kg</v>
          </cell>
          <cell r="W2316" t="str">
            <v>Ajuste</v>
          </cell>
          <cell r="X2316">
            <v>20.04</v>
          </cell>
          <cell r="Y2316">
            <v>20.04</v>
          </cell>
        </row>
        <row r="2317">
          <cell r="U2317" t="str">
            <v>L105199</v>
          </cell>
          <cell r="V2317" t="str">
            <v>MERMA DE FRUVER 1 kg</v>
          </cell>
          <cell r="W2317" t="str">
            <v>Ajuste</v>
          </cell>
          <cell r="X2317">
            <v>13.22</v>
          </cell>
          <cell r="Y2317">
            <v>13.22</v>
          </cell>
        </row>
        <row r="2318">
          <cell r="U2318" t="str">
            <v>L105201</v>
          </cell>
          <cell r="V2318" t="str">
            <v>MERMA DE FRUVER 1 kg</v>
          </cell>
          <cell r="W2318" t="str">
            <v>Ajuste</v>
          </cell>
          <cell r="X2318">
            <v>100</v>
          </cell>
          <cell r="Y2318">
            <v>100</v>
          </cell>
        </row>
        <row r="2319">
          <cell r="U2319" t="str">
            <v>L105288</v>
          </cell>
          <cell r="V2319" t="str">
            <v>MERMA DE FRUVER 1 kg</v>
          </cell>
          <cell r="W2319" t="str">
            <v>Ajuste</v>
          </cell>
          <cell r="X2319">
            <v>11.5</v>
          </cell>
          <cell r="Y2319">
            <v>11.5</v>
          </cell>
        </row>
        <row r="2320">
          <cell r="U2320" t="str">
            <v>L105290</v>
          </cell>
          <cell r="V2320" t="str">
            <v>MERMA DE FRUVER 1 kg</v>
          </cell>
          <cell r="W2320" t="str">
            <v>Ajuste</v>
          </cell>
          <cell r="X2320">
            <v>75.739999999999995</v>
          </cell>
          <cell r="Y2320">
            <v>75.739999999999995</v>
          </cell>
        </row>
        <row r="2321">
          <cell r="U2321" t="str">
            <v>L105295</v>
          </cell>
          <cell r="V2321" t="str">
            <v>MERMA DE FRUVER 1 kg</v>
          </cell>
          <cell r="W2321" t="str">
            <v>Ajuste</v>
          </cell>
          <cell r="X2321">
            <v>26.5</v>
          </cell>
          <cell r="Y2321">
            <v>26.5</v>
          </cell>
        </row>
        <row r="2322">
          <cell r="U2322" t="str">
            <v>L105299</v>
          </cell>
          <cell r="V2322" t="str">
            <v>MERMA DE FRUVER 1 kg</v>
          </cell>
          <cell r="W2322" t="str">
            <v>Ajuste</v>
          </cell>
          <cell r="X2322">
            <v>270</v>
          </cell>
          <cell r="Y2322">
            <v>270</v>
          </cell>
        </row>
        <row r="2323">
          <cell r="U2323" t="str">
            <v>L105330</v>
          </cell>
          <cell r="V2323" t="str">
            <v>MERMA DE FRUVER 1 kg</v>
          </cell>
          <cell r="W2323" t="str">
            <v>Ajuste</v>
          </cell>
          <cell r="X2323">
            <v>12.38</v>
          </cell>
          <cell r="Y2323">
            <v>12.38</v>
          </cell>
        </row>
        <row r="2324">
          <cell r="U2324" t="str">
            <v>L105340</v>
          </cell>
          <cell r="V2324" t="str">
            <v>MERMA DE FRUVER 1 kg</v>
          </cell>
          <cell r="W2324" t="str">
            <v>Ajuste</v>
          </cell>
          <cell r="X2324">
            <v>48.92</v>
          </cell>
          <cell r="Y2324">
            <v>48.92</v>
          </cell>
        </row>
        <row r="2325">
          <cell r="U2325" t="str">
            <v>L105347</v>
          </cell>
          <cell r="V2325" t="str">
            <v>MERMA DE FRUVER 1 kg</v>
          </cell>
          <cell r="W2325" t="str">
            <v>Ajuste</v>
          </cell>
          <cell r="X2325">
            <v>25.2</v>
          </cell>
          <cell r="Y2325">
            <v>25.2</v>
          </cell>
        </row>
        <row r="2326">
          <cell r="U2326" t="str">
            <v>L105362</v>
          </cell>
          <cell r="V2326" t="str">
            <v>MERMA DE FRUVER 1 kg</v>
          </cell>
          <cell r="W2326" t="str">
            <v>Ajuste</v>
          </cell>
          <cell r="X2326">
            <v>120</v>
          </cell>
          <cell r="Y2326">
            <v>120</v>
          </cell>
        </row>
        <row r="2327">
          <cell r="U2327" t="str">
            <v>L105414</v>
          </cell>
          <cell r="V2327" t="str">
            <v>MERMA DE FRUVER 1 kg</v>
          </cell>
          <cell r="W2327" t="str">
            <v>Ajuste</v>
          </cell>
          <cell r="X2327">
            <v>31.56</v>
          </cell>
          <cell r="Y2327">
            <v>31.56</v>
          </cell>
        </row>
        <row r="2328">
          <cell r="U2328" t="str">
            <v>L105419</v>
          </cell>
          <cell r="V2328" t="str">
            <v>MERMA DE FRUVER 1 kg</v>
          </cell>
          <cell r="W2328" t="str">
            <v>Ajuste</v>
          </cell>
          <cell r="X2328">
            <v>17.14</v>
          </cell>
          <cell r="Y2328">
            <v>17.14</v>
          </cell>
        </row>
        <row r="2329">
          <cell r="U2329" t="str">
            <v>L105472</v>
          </cell>
          <cell r="V2329" t="str">
            <v>MERMA DE FRUVER 1 kg</v>
          </cell>
          <cell r="W2329" t="str">
            <v>Ajuste</v>
          </cell>
          <cell r="X2329">
            <v>23</v>
          </cell>
          <cell r="Y2329">
            <v>23</v>
          </cell>
        </row>
        <row r="2330">
          <cell r="U2330" t="str">
            <v>L105478</v>
          </cell>
          <cell r="V2330" t="str">
            <v>MERMA DE FRUVER 1 kg</v>
          </cell>
          <cell r="W2330" t="str">
            <v>Ajuste</v>
          </cell>
          <cell r="X2330">
            <v>71</v>
          </cell>
          <cell r="Y2330">
            <v>71</v>
          </cell>
        </row>
        <row r="2331">
          <cell r="U2331" t="str">
            <v>L105486</v>
          </cell>
          <cell r="V2331" t="str">
            <v>MERMA DE FRUVER 1 kg</v>
          </cell>
          <cell r="W2331" t="str">
            <v>Ajuste</v>
          </cell>
          <cell r="X2331">
            <v>160</v>
          </cell>
          <cell r="Y2331">
            <v>160</v>
          </cell>
        </row>
        <row r="2332">
          <cell r="U2332" t="str">
            <v>L105693</v>
          </cell>
          <cell r="V2332" t="str">
            <v>MERMA DE FRUVER 1 kg</v>
          </cell>
          <cell r="W2332" t="str">
            <v>Ajuste</v>
          </cell>
          <cell r="X2332">
            <v>49</v>
          </cell>
          <cell r="Y2332">
            <v>49</v>
          </cell>
        </row>
        <row r="2333">
          <cell r="U2333" t="str">
            <v>L105708</v>
          </cell>
          <cell r="V2333" t="str">
            <v>MERMA DE FRUVER 1 kg</v>
          </cell>
          <cell r="W2333" t="str">
            <v>Ajuste</v>
          </cell>
          <cell r="X2333">
            <v>10</v>
          </cell>
          <cell r="Y2333">
            <v>10</v>
          </cell>
        </row>
        <row r="2334">
          <cell r="U2334" t="str">
            <v>L105710</v>
          </cell>
          <cell r="V2334" t="str">
            <v>MERMA DE FRUVER 1 kg</v>
          </cell>
          <cell r="W2334" t="str">
            <v>Ajuste</v>
          </cell>
          <cell r="X2334">
            <v>32.6</v>
          </cell>
          <cell r="Y2334">
            <v>32.6</v>
          </cell>
        </row>
        <row r="2335">
          <cell r="U2335" t="str">
            <v>L105762</v>
          </cell>
          <cell r="V2335" t="str">
            <v>MERMA DE FRUVER 1 kg</v>
          </cell>
          <cell r="W2335" t="str">
            <v>Ajuste</v>
          </cell>
          <cell r="X2335">
            <v>27.04</v>
          </cell>
          <cell r="Y2335">
            <v>27.04</v>
          </cell>
        </row>
        <row r="2336">
          <cell r="U2336" t="str">
            <v>L105769</v>
          </cell>
          <cell r="V2336" t="str">
            <v>MERMA DE FRUVER 1 kg</v>
          </cell>
          <cell r="W2336" t="str">
            <v>Ajuste</v>
          </cell>
          <cell r="X2336">
            <v>8.5500000000000007</v>
          </cell>
          <cell r="Y2336">
            <v>8.5500000000000007</v>
          </cell>
        </row>
        <row r="2337">
          <cell r="U2337" t="str">
            <v>L105818</v>
          </cell>
          <cell r="V2337" t="str">
            <v>MERMA DE FRUVER 1 kg</v>
          </cell>
          <cell r="W2337" t="str">
            <v>Ajuste</v>
          </cell>
          <cell r="X2337">
            <v>5.1100000000000003</v>
          </cell>
          <cell r="Y2337">
            <v>5.1100000000000003</v>
          </cell>
        </row>
        <row r="2338">
          <cell r="U2338" t="str">
            <v>L105822</v>
          </cell>
          <cell r="V2338" t="str">
            <v>MERMA DE FRUVER 1 kg</v>
          </cell>
          <cell r="W2338" t="str">
            <v>Ajuste</v>
          </cell>
          <cell r="X2338">
            <v>7.27</v>
          </cell>
          <cell r="Y2338">
            <v>7.27</v>
          </cell>
        </row>
        <row r="2339">
          <cell r="U2339" t="str">
            <v>L105831</v>
          </cell>
          <cell r="V2339" t="str">
            <v>MERMA DE FRUVER 1 kg</v>
          </cell>
          <cell r="W2339" t="str">
            <v>Ajuste</v>
          </cell>
          <cell r="X2339">
            <v>2.6</v>
          </cell>
          <cell r="Y2339">
            <v>2.6</v>
          </cell>
        </row>
        <row r="2340">
          <cell r="U2340" t="str">
            <v>L105837</v>
          </cell>
          <cell r="V2340" t="str">
            <v>MERMA DE FRUVER 1 kg</v>
          </cell>
          <cell r="W2340" t="str">
            <v>Ajuste</v>
          </cell>
          <cell r="X2340">
            <v>28.2</v>
          </cell>
          <cell r="Y2340">
            <v>28.2</v>
          </cell>
        </row>
        <row r="2341">
          <cell r="U2341" t="str">
            <v>L105904</v>
          </cell>
          <cell r="V2341" t="str">
            <v>MERMA DE FRUVER 1 kg</v>
          </cell>
          <cell r="W2341" t="str">
            <v>Ajuste</v>
          </cell>
          <cell r="X2341">
            <v>57.34</v>
          </cell>
          <cell r="Y2341">
            <v>57.34</v>
          </cell>
        </row>
        <row r="2342">
          <cell r="U2342" t="str">
            <v>L105917</v>
          </cell>
          <cell r="V2342" t="str">
            <v>MERMA DE FRUVER 1 kg</v>
          </cell>
          <cell r="W2342" t="str">
            <v>Ajuste</v>
          </cell>
          <cell r="X2342">
            <v>208</v>
          </cell>
          <cell r="Y2342">
            <v>208</v>
          </cell>
        </row>
        <row r="2343">
          <cell r="U2343" t="str">
            <v>L105252</v>
          </cell>
          <cell r="V2343" t="str">
            <v>Merma KG</v>
          </cell>
          <cell r="W2343" t="str">
            <v>Ajuste</v>
          </cell>
          <cell r="X2343">
            <v>38</v>
          </cell>
          <cell r="Y2343">
            <v>38</v>
          </cell>
        </row>
        <row r="2344">
          <cell r="U2344" t="str">
            <v>L105411</v>
          </cell>
          <cell r="V2344" t="str">
            <v>Merma KG</v>
          </cell>
          <cell r="W2344" t="str">
            <v>Ajuste</v>
          </cell>
          <cell r="X2344">
            <v>18.5</v>
          </cell>
          <cell r="Y2344">
            <v>18.5</v>
          </cell>
        </row>
        <row r="2345">
          <cell r="U2345" t="str">
            <v>L105044</v>
          </cell>
          <cell r="V2345" t="str">
            <v>MLCT 3Kg</v>
          </cell>
          <cell r="W2345" t="str">
            <v>Ajuste</v>
          </cell>
          <cell r="X2345">
            <v>4</v>
          </cell>
          <cell r="Y2345">
            <v>12</v>
          </cell>
        </row>
        <row r="2346">
          <cell r="U2346" t="str">
            <v>L105211</v>
          </cell>
          <cell r="V2346" t="str">
            <v>MLCT 3Kg</v>
          </cell>
          <cell r="W2346" t="str">
            <v>Ajuste</v>
          </cell>
          <cell r="X2346">
            <v>2</v>
          </cell>
          <cell r="Y2346">
            <v>6</v>
          </cell>
        </row>
        <row r="2347">
          <cell r="U2347" t="str">
            <v>L105269</v>
          </cell>
          <cell r="V2347" t="str">
            <v>MNS 10Kg-PAQUETE</v>
          </cell>
          <cell r="W2347" t="str">
            <v>Ajuste</v>
          </cell>
          <cell r="X2347">
            <v>400</v>
          </cell>
          <cell r="Y2347">
            <v>4000</v>
          </cell>
        </row>
        <row r="2348">
          <cell r="U2348" t="str">
            <v>L105790</v>
          </cell>
          <cell r="V2348" t="str">
            <v>MNS 10Kg-PAQUETE</v>
          </cell>
          <cell r="W2348" t="str">
            <v>Ajuste</v>
          </cell>
          <cell r="X2348">
            <v>996</v>
          </cell>
          <cell r="Y2348">
            <v>9960</v>
          </cell>
        </row>
        <row r="2349">
          <cell r="U2349" t="str">
            <v>L105316</v>
          </cell>
          <cell r="V2349" t="str">
            <v>MNS 2kg-PAQUETE</v>
          </cell>
          <cell r="W2349" t="str">
            <v>Ajuste</v>
          </cell>
          <cell r="X2349">
            <v>20</v>
          </cell>
          <cell r="Y2349">
            <v>40</v>
          </cell>
        </row>
        <row r="2350">
          <cell r="U2350" t="str">
            <v>L105149</v>
          </cell>
          <cell r="V2350" t="str">
            <v>MNS 2kg-PAQUETE</v>
          </cell>
          <cell r="W2350" t="str">
            <v>Ajuste</v>
          </cell>
          <cell r="X2350">
            <v>14</v>
          </cell>
          <cell r="Y2350">
            <v>28</v>
          </cell>
        </row>
        <row r="2351">
          <cell r="U2351" t="str">
            <v>L105532</v>
          </cell>
          <cell r="V2351" t="str">
            <v>MNS 2kg-PAQUETE</v>
          </cell>
          <cell r="W2351" t="str">
            <v>Ajuste</v>
          </cell>
          <cell r="X2351">
            <v>20</v>
          </cell>
          <cell r="Y2351">
            <v>40</v>
          </cell>
        </row>
        <row r="2352">
          <cell r="U2352" t="str">
            <v>L105631</v>
          </cell>
          <cell r="V2352" t="str">
            <v>MNS 2kg-PAQUETE</v>
          </cell>
          <cell r="W2352" t="str">
            <v>Ajuste</v>
          </cell>
          <cell r="X2352">
            <v>2</v>
          </cell>
          <cell r="Y2352">
            <v>4</v>
          </cell>
        </row>
        <row r="2353">
          <cell r="U2353" t="str">
            <v>L105135</v>
          </cell>
          <cell r="V2353" t="str">
            <v>MRL 2kg</v>
          </cell>
          <cell r="W2353" t="str">
            <v>Ajuste</v>
          </cell>
          <cell r="X2353">
            <v>2</v>
          </cell>
          <cell r="Y2353">
            <v>4</v>
          </cell>
        </row>
        <row r="2354">
          <cell r="U2354" t="str">
            <v>L105872</v>
          </cell>
          <cell r="V2354" t="str">
            <v>MRL 2kg</v>
          </cell>
          <cell r="W2354" t="str">
            <v>Ajuste</v>
          </cell>
          <cell r="X2354">
            <v>2</v>
          </cell>
          <cell r="Y2354">
            <v>4</v>
          </cell>
        </row>
        <row r="2355">
          <cell r="U2355" t="str">
            <v>L105138</v>
          </cell>
          <cell r="V2355" t="str">
            <v>MRL 3kg</v>
          </cell>
          <cell r="W2355" t="str">
            <v>Ajuste</v>
          </cell>
          <cell r="X2355">
            <v>6</v>
          </cell>
          <cell r="Y2355">
            <v>18</v>
          </cell>
        </row>
        <row r="2356">
          <cell r="U2356" t="str">
            <v>L105649</v>
          </cell>
          <cell r="V2356" t="str">
            <v>MSDP 5kg</v>
          </cell>
          <cell r="W2356" t="str">
            <v>Ajuste</v>
          </cell>
          <cell r="X2356">
            <v>420</v>
          </cell>
          <cell r="Y2356">
            <v>2100</v>
          </cell>
        </row>
        <row r="2357">
          <cell r="U2357" t="str">
            <v>L105887</v>
          </cell>
          <cell r="V2357" t="str">
            <v>MYN 2kg - Caja</v>
          </cell>
          <cell r="W2357" t="str">
            <v>Ajuste</v>
          </cell>
          <cell r="X2357">
            <v>12</v>
          </cell>
          <cell r="Y2357">
            <v>24</v>
          </cell>
        </row>
        <row r="2358">
          <cell r="U2358" t="str">
            <v>L105915</v>
          </cell>
          <cell r="V2358" t="str">
            <v>MYN 2kg - Caja</v>
          </cell>
          <cell r="W2358" t="str">
            <v>Ajuste</v>
          </cell>
          <cell r="X2358">
            <v>2</v>
          </cell>
          <cell r="Y2358">
            <v>4</v>
          </cell>
        </row>
        <row r="2359">
          <cell r="U2359" t="str">
            <v>L105523</v>
          </cell>
          <cell r="V2359" t="str">
            <v>AZC 2kg-PAQUETE</v>
          </cell>
          <cell r="W2359" t="str">
            <v>Ajuste</v>
          </cell>
          <cell r="X2359">
            <v>20</v>
          </cell>
          <cell r="Y2359">
            <v>40</v>
          </cell>
        </row>
        <row r="2360">
          <cell r="U2360" t="str">
            <v>L105523</v>
          </cell>
          <cell r="V2360" t="str">
            <v>MYN 3kg - Caja</v>
          </cell>
          <cell r="W2360" t="str">
            <v>Ajuste</v>
          </cell>
          <cell r="X2360">
            <v>32</v>
          </cell>
          <cell r="Y2360">
            <v>96</v>
          </cell>
        </row>
        <row r="2361">
          <cell r="U2361" t="str">
            <v>L105524</v>
          </cell>
          <cell r="V2361" t="str">
            <v>MYN 3kg - Caja</v>
          </cell>
          <cell r="W2361" t="str">
            <v>Ajuste</v>
          </cell>
          <cell r="X2361">
            <v>2</v>
          </cell>
          <cell r="Y2361">
            <v>6</v>
          </cell>
        </row>
        <row r="2362">
          <cell r="U2362" t="str">
            <v>L105888</v>
          </cell>
          <cell r="V2362" t="str">
            <v>MYN 3kg - Caja</v>
          </cell>
          <cell r="W2362" t="str">
            <v>Ajuste</v>
          </cell>
          <cell r="X2362">
            <v>2</v>
          </cell>
          <cell r="Y2362">
            <v>6</v>
          </cell>
        </row>
        <row r="2363">
          <cell r="U2363" t="str">
            <v>L105889</v>
          </cell>
          <cell r="V2363" t="str">
            <v>MYN 3kg - Caja</v>
          </cell>
          <cell r="W2363" t="str">
            <v>Ajuste</v>
          </cell>
          <cell r="X2363">
            <v>2</v>
          </cell>
          <cell r="Y2363">
            <v>6</v>
          </cell>
        </row>
        <row r="2364">
          <cell r="U2364" t="str">
            <v>L105890</v>
          </cell>
          <cell r="V2364" t="str">
            <v>MYN 3kg - Caja</v>
          </cell>
          <cell r="W2364" t="str">
            <v>Ajuste</v>
          </cell>
          <cell r="X2364">
            <v>2</v>
          </cell>
          <cell r="Y2364">
            <v>6</v>
          </cell>
        </row>
        <row r="2365">
          <cell r="U2365" t="str">
            <v>L105891</v>
          </cell>
          <cell r="V2365" t="str">
            <v>MYN 3kg - Caja</v>
          </cell>
          <cell r="W2365" t="str">
            <v>Ajuste</v>
          </cell>
          <cell r="X2365">
            <v>2</v>
          </cell>
          <cell r="Y2365">
            <v>6</v>
          </cell>
        </row>
        <row r="2366">
          <cell r="U2366" t="str">
            <v>L105892</v>
          </cell>
          <cell r="V2366" t="str">
            <v>MYN 3kg - Caja</v>
          </cell>
          <cell r="W2366" t="str">
            <v>Ajuste</v>
          </cell>
          <cell r="X2366">
            <v>2</v>
          </cell>
          <cell r="Y2366">
            <v>6</v>
          </cell>
        </row>
        <row r="2367">
          <cell r="U2367" t="str">
            <v>l105646</v>
          </cell>
          <cell r="V2367" t="str">
            <v>MZL 3kg</v>
          </cell>
          <cell r="W2367" t="str">
            <v>Ajuste</v>
          </cell>
          <cell r="X2367">
            <v>6</v>
          </cell>
          <cell r="Y2367">
            <v>18</v>
          </cell>
        </row>
        <row r="2368">
          <cell r="U2368" t="str">
            <v>L105839</v>
          </cell>
          <cell r="V2368" t="str">
            <v>MZL 3kg</v>
          </cell>
          <cell r="W2368" t="str">
            <v>Ajuste</v>
          </cell>
          <cell r="X2368">
            <v>2</v>
          </cell>
          <cell r="Y2368">
            <v>6</v>
          </cell>
        </row>
        <row r="2369">
          <cell r="U2369" t="str">
            <v>L105051</v>
          </cell>
          <cell r="V2369" t="str">
            <v>MZL 5kg</v>
          </cell>
          <cell r="W2369" t="str">
            <v>Ajuste</v>
          </cell>
          <cell r="X2369">
            <v>13</v>
          </cell>
          <cell r="Y2369">
            <v>65</v>
          </cell>
        </row>
        <row r="2370">
          <cell r="U2370" t="str">
            <v>L105163</v>
          </cell>
          <cell r="V2370" t="str">
            <v>MZL 5kg</v>
          </cell>
          <cell r="W2370" t="str">
            <v>Ajuste</v>
          </cell>
          <cell r="X2370">
            <v>4</v>
          </cell>
          <cell r="Y2370">
            <v>20</v>
          </cell>
        </row>
        <row r="2371">
          <cell r="U2371" t="str">
            <v>L105380</v>
          </cell>
          <cell r="V2371" t="str">
            <v>MZL 5kg</v>
          </cell>
          <cell r="W2371" t="str">
            <v>Ajuste</v>
          </cell>
          <cell r="X2371">
            <v>10</v>
          </cell>
          <cell r="Y2371">
            <v>50</v>
          </cell>
        </row>
        <row r="2372">
          <cell r="U2372" t="str">
            <v>L105102</v>
          </cell>
          <cell r="V2372" t="str">
            <v>NV ACE 12x900ml-CAJA</v>
          </cell>
          <cell r="W2372" t="str">
            <v>Ajuste</v>
          </cell>
          <cell r="X2372">
            <v>630</v>
          </cell>
          <cell r="Y2372">
            <v>6804</v>
          </cell>
        </row>
        <row r="2373">
          <cell r="U2373" t="str">
            <v>L105102</v>
          </cell>
          <cell r="V2373" t="str">
            <v>NV ACE 12x900ml-CAJA</v>
          </cell>
          <cell r="W2373" t="str">
            <v>Reproceso</v>
          </cell>
          <cell r="X2373">
            <v>30</v>
          </cell>
          <cell r="Y2373">
            <v>324</v>
          </cell>
        </row>
        <row r="2374">
          <cell r="U2374" t="str">
            <v>L105102</v>
          </cell>
          <cell r="V2374" t="str">
            <v>NV ACE 1x900ml-UNI</v>
          </cell>
          <cell r="W2374" t="str">
            <v>Ajuste</v>
          </cell>
          <cell r="X2374">
            <v>720</v>
          </cell>
          <cell r="Y2374">
            <v>648.00000000000034</v>
          </cell>
        </row>
        <row r="2375">
          <cell r="U2375" t="str">
            <v>l105108</v>
          </cell>
          <cell r="V2375" t="str">
            <v>NV ARJ 1X1LB-UNI</v>
          </cell>
          <cell r="W2375" t="str">
            <v>Ajuste</v>
          </cell>
          <cell r="X2375">
            <v>1110</v>
          </cell>
          <cell r="Y2375">
            <v>466.19999999999987</v>
          </cell>
        </row>
        <row r="2376">
          <cell r="U2376" t="str">
            <v>L105107</v>
          </cell>
          <cell r="V2376" t="str">
            <v>NV ARJ 25X1LB-CAJA</v>
          </cell>
          <cell r="W2376" t="str">
            <v>Ajuste</v>
          </cell>
          <cell r="X2376">
            <v>136</v>
          </cell>
          <cell r="Y2376">
            <v>1540.8800000000006</v>
          </cell>
        </row>
        <row r="2377">
          <cell r="U2377" t="str">
            <v>L105107</v>
          </cell>
          <cell r="V2377" t="str">
            <v>NV ARJ 25X1LB-CAJA</v>
          </cell>
          <cell r="W2377" t="str">
            <v>Reproceso</v>
          </cell>
          <cell r="X2377">
            <v>22</v>
          </cell>
          <cell r="Y2377">
            <v>249.26</v>
          </cell>
        </row>
        <row r="2378">
          <cell r="U2378" t="str">
            <v>L104982</v>
          </cell>
          <cell r="V2378" t="str">
            <v>NV ARZ 10x5lb-CAJA</v>
          </cell>
          <cell r="W2378" t="str">
            <v>Ajuste</v>
          </cell>
          <cell r="X2378">
            <v>786</v>
          </cell>
          <cell r="Y2378">
            <v>17818.620000000014</v>
          </cell>
        </row>
        <row r="2379">
          <cell r="U2379" t="str">
            <v>L104982</v>
          </cell>
          <cell r="V2379" t="str">
            <v>NV ARZ 10x5lb-CAJA</v>
          </cell>
          <cell r="W2379" t="str">
            <v>Reproceso</v>
          </cell>
          <cell r="X2379">
            <v>12</v>
          </cell>
          <cell r="Y2379">
            <v>272.04000000000002</v>
          </cell>
        </row>
        <row r="2380">
          <cell r="U2380" t="str">
            <v>L104982</v>
          </cell>
          <cell r="V2380" t="str">
            <v>NV ARZ 1x5lb-UNI</v>
          </cell>
          <cell r="W2380" t="str">
            <v>Ajuste</v>
          </cell>
          <cell r="X2380">
            <v>244</v>
          </cell>
          <cell r="Y2380">
            <v>551.43999999999983</v>
          </cell>
        </row>
        <row r="2381">
          <cell r="U2381" t="str">
            <v>l105092</v>
          </cell>
          <cell r="V2381" t="str">
            <v>NV ATN 1x170g-UNIDAD</v>
          </cell>
          <cell r="W2381" t="str">
            <v>Ajuste</v>
          </cell>
          <cell r="X2381">
            <v>2256</v>
          </cell>
          <cell r="Y2381">
            <v>383.51999999999992</v>
          </cell>
        </row>
        <row r="2382">
          <cell r="U2382" t="str">
            <v>L104992</v>
          </cell>
          <cell r="V2382" t="str">
            <v>NV ATN 1x170g-UNIDAD</v>
          </cell>
          <cell r="W2382" t="str">
            <v>Ajuste</v>
          </cell>
          <cell r="X2382">
            <v>40</v>
          </cell>
          <cell r="Y2382">
            <v>6.8000000000000007</v>
          </cell>
        </row>
        <row r="2383">
          <cell r="U2383" t="str">
            <v>L104990</v>
          </cell>
          <cell r="V2383" t="str">
            <v>NV ATN 48x170g-CAJA</v>
          </cell>
          <cell r="W2383" t="str">
            <v>Ajuste</v>
          </cell>
          <cell r="X2383">
            <v>20</v>
          </cell>
          <cell r="Y2383">
            <v>163.19999999999999</v>
          </cell>
        </row>
        <row r="2384">
          <cell r="U2384" t="str">
            <v>L105090</v>
          </cell>
          <cell r="V2384" t="str">
            <v>NV ATN 48x170g-CAJA</v>
          </cell>
          <cell r="W2384" t="str">
            <v>Ajuste</v>
          </cell>
          <cell r="X2384">
            <v>141</v>
          </cell>
          <cell r="Y2384">
            <v>1150.5600000000004</v>
          </cell>
        </row>
        <row r="2385">
          <cell r="U2385" t="str">
            <v>L105090</v>
          </cell>
          <cell r="V2385" t="str">
            <v>NV ATN 48x170g-CAJA</v>
          </cell>
          <cell r="W2385" t="str">
            <v>Reproceso</v>
          </cell>
          <cell r="X2385">
            <v>23</v>
          </cell>
          <cell r="Y2385">
            <v>187.67999999999998</v>
          </cell>
        </row>
        <row r="2386">
          <cell r="U2386" t="str">
            <v>l104983</v>
          </cell>
          <cell r="V2386" t="str">
            <v>NV AZC 25 x 800g-CAJA</v>
          </cell>
          <cell r="W2386" t="str">
            <v>Ajuste</v>
          </cell>
          <cell r="X2386">
            <v>170</v>
          </cell>
          <cell r="Y2386">
            <v>3400</v>
          </cell>
        </row>
        <row r="2387">
          <cell r="U2387" t="str">
            <v>l104983</v>
          </cell>
          <cell r="V2387" t="str">
            <v>NV AZC 25 x 800g-CAJA</v>
          </cell>
          <cell r="W2387" t="str">
            <v>Reproceso</v>
          </cell>
          <cell r="X2387">
            <v>21</v>
          </cell>
          <cell r="Y2387">
            <v>420</v>
          </cell>
        </row>
        <row r="2388">
          <cell r="U2388" t="str">
            <v>l104983</v>
          </cell>
          <cell r="V2388" t="str">
            <v>NV AZC 25 x 800g-CAJA</v>
          </cell>
          <cell r="W2388" t="str">
            <v>Transformacion a unidades - Programas</v>
          </cell>
          <cell r="X2388">
            <v>35</v>
          </cell>
          <cell r="Y2388">
            <v>700</v>
          </cell>
        </row>
        <row r="2389">
          <cell r="U2389" t="str">
            <v>l104983</v>
          </cell>
          <cell r="V2389" t="str">
            <v>NV AZC 1 x 800g-UNI</v>
          </cell>
          <cell r="W2389" t="str">
            <v>Ajuste</v>
          </cell>
          <cell r="X2389">
            <v>3882</v>
          </cell>
          <cell r="Y2389">
            <v>3105.6000000000004</v>
          </cell>
        </row>
        <row r="2390">
          <cell r="U2390" t="str">
            <v>l105079</v>
          </cell>
          <cell r="V2390" t="str">
            <v>NV CRAVE 24X320g-CAJA</v>
          </cell>
          <cell r="W2390" t="str">
            <v>Ajuste</v>
          </cell>
          <cell r="X2390">
            <v>141</v>
          </cell>
          <cell r="Y2390">
            <v>1082.8799999999997</v>
          </cell>
        </row>
        <row r="2391">
          <cell r="U2391" t="str">
            <v>l105079</v>
          </cell>
          <cell r="V2391" t="str">
            <v>NV CRAVE 24X320g-CAJA</v>
          </cell>
          <cell r="W2391" t="str">
            <v>Reproceso</v>
          </cell>
          <cell r="X2391">
            <v>23</v>
          </cell>
          <cell r="Y2391">
            <v>176.64</v>
          </cell>
        </row>
        <row r="2392">
          <cell r="U2392" t="str">
            <v>l105079</v>
          </cell>
          <cell r="V2392" t="str">
            <v>NV CRAVE 1X320g-UNI</v>
          </cell>
          <cell r="W2392" t="str">
            <v>Ajuste</v>
          </cell>
          <cell r="X2392">
            <v>1104</v>
          </cell>
          <cell r="Y2392">
            <v>353.27999999999975</v>
          </cell>
        </row>
        <row r="2393">
          <cell r="U2393" t="str">
            <v>l105083</v>
          </cell>
          <cell r="V2393" t="str">
            <v>NV CRMAIZ 24X320g-CAJA</v>
          </cell>
          <cell r="W2393" t="str">
            <v>Ajuste</v>
          </cell>
          <cell r="X2393">
            <v>141</v>
          </cell>
          <cell r="Y2393">
            <v>1082.8799999999997</v>
          </cell>
        </row>
        <row r="2394">
          <cell r="U2394" t="str">
            <v>l105083</v>
          </cell>
          <cell r="V2394" t="str">
            <v>NV CRMAIZ 24X320g-CAJA</v>
          </cell>
          <cell r="W2394" t="str">
            <v>Reproceso</v>
          </cell>
          <cell r="X2394">
            <v>23</v>
          </cell>
          <cell r="Y2394">
            <v>176.64</v>
          </cell>
        </row>
        <row r="2395">
          <cell r="U2395" t="str">
            <v>l105083</v>
          </cell>
          <cell r="V2395" t="str">
            <v>NV CRMAIZ 1X320g-UNI</v>
          </cell>
          <cell r="W2395" t="str">
            <v>Ajuste</v>
          </cell>
          <cell r="X2395">
            <v>1104</v>
          </cell>
          <cell r="Y2395">
            <v>353.27999999999975</v>
          </cell>
        </row>
        <row r="2396">
          <cell r="U2396" t="str">
            <v>l105084</v>
          </cell>
          <cell r="V2396" t="str">
            <v>NV HAR 24 x 454g-CAJA</v>
          </cell>
          <cell r="W2396" t="str">
            <v>Ajuste</v>
          </cell>
          <cell r="X2396">
            <v>303</v>
          </cell>
          <cell r="Y2396">
            <v>3299.6699999999987</v>
          </cell>
        </row>
        <row r="2397">
          <cell r="U2397" t="str">
            <v>l105084</v>
          </cell>
          <cell r="V2397" t="str">
            <v>NV HAR 24 x 454g-CAJA</v>
          </cell>
          <cell r="W2397" t="str">
            <v>Reproceso</v>
          </cell>
          <cell r="X2397">
            <v>27</v>
          </cell>
          <cell r="Y2397">
            <v>294.03000000000003</v>
          </cell>
        </row>
        <row r="2398">
          <cell r="U2398" t="str">
            <v>l105084</v>
          </cell>
          <cell r="V2398" t="str">
            <v>NV HAR 1 x 454g-UNI</v>
          </cell>
          <cell r="W2398" t="str">
            <v>Ajuste</v>
          </cell>
          <cell r="X2398">
            <v>1296</v>
          </cell>
          <cell r="Y2398">
            <v>583.19999999999982</v>
          </cell>
        </row>
        <row r="2399">
          <cell r="U2399" t="str">
            <v>l105087</v>
          </cell>
          <cell r="V2399" t="str">
            <v>NV LCH 1X400g-UNI</v>
          </cell>
          <cell r="W2399" t="str">
            <v>Ajuste</v>
          </cell>
          <cell r="X2399">
            <v>1128</v>
          </cell>
          <cell r="Y2399">
            <v>451.19999999999993</v>
          </cell>
        </row>
        <row r="2400">
          <cell r="U2400" t="str">
            <v>L105085</v>
          </cell>
          <cell r="V2400" t="str">
            <v>NV LCH 24X400g-CAJA</v>
          </cell>
          <cell r="W2400" t="str">
            <v>Ajuste</v>
          </cell>
          <cell r="X2400">
            <v>141</v>
          </cell>
          <cell r="Y2400">
            <v>1353.6000000000001</v>
          </cell>
        </row>
        <row r="2401">
          <cell r="U2401" t="str">
            <v>L105085</v>
          </cell>
          <cell r="V2401" t="str">
            <v>NV LCH 24X400g-CAJA</v>
          </cell>
          <cell r="W2401" t="str">
            <v>Reproceso</v>
          </cell>
          <cell r="X2401">
            <v>23</v>
          </cell>
          <cell r="Y2401">
            <v>220.8</v>
          </cell>
        </row>
        <row r="2402">
          <cell r="U2402" t="str">
            <v>l105105</v>
          </cell>
          <cell r="V2402" t="str">
            <v>NV LTJ 1X1Lb-UNI</v>
          </cell>
          <cell r="W2402" t="str">
            <v>Ajuste</v>
          </cell>
          <cell r="X2402">
            <v>1320</v>
          </cell>
          <cell r="Y2402">
            <v>593.99999999999977</v>
          </cell>
        </row>
        <row r="2403">
          <cell r="U2403" t="str">
            <v>L105104</v>
          </cell>
          <cell r="V2403" t="str">
            <v>NV LTJ 25X1Lb-CAJA</v>
          </cell>
          <cell r="W2403" t="str">
            <v>Ajuste</v>
          </cell>
          <cell r="X2403">
            <v>290</v>
          </cell>
          <cell r="Y2403">
            <v>3285.7</v>
          </cell>
        </row>
        <row r="2404">
          <cell r="U2404" t="str">
            <v>L105104</v>
          </cell>
          <cell r="V2404" t="str">
            <v>NV LTJ 25X1Lb-CAJA</v>
          </cell>
          <cell r="W2404" t="str">
            <v>Reproceso</v>
          </cell>
          <cell r="X2404">
            <v>26</v>
          </cell>
          <cell r="Y2404">
            <v>294.58</v>
          </cell>
        </row>
        <row r="2405">
          <cell r="U2405" t="str">
            <v>l104984</v>
          </cell>
          <cell r="V2405" t="str">
            <v>NV SAL 1X454g-UNI</v>
          </cell>
          <cell r="W2405" t="str">
            <v>Ajuste</v>
          </cell>
          <cell r="X2405">
            <v>1260</v>
          </cell>
          <cell r="Y2405">
            <v>566.99999999999955</v>
          </cell>
        </row>
        <row r="2406">
          <cell r="U2406" t="str">
            <v>l104984</v>
          </cell>
          <cell r="V2406" t="str">
            <v>NV SAL 30X454g-CAJA</v>
          </cell>
          <cell r="W2406" t="str">
            <v>Ajuste</v>
          </cell>
          <cell r="X2406">
            <v>111</v>
          </cell>
          <cell r="Y2406">
            <v>1511.8199999999986</v>
          </cell>
        </row>
        <row r="2407">
          <cell r="U2407" t="str">
            <v>l104984</v>
          </cell>
          <cell r="V2407" t="str">
            <v>NV SAL 30X454g-CAJA</v>
          </cell>
          <cell r="W2407" t="str">
            <v>Reproceso</v>
          </cell>
          <cell r="X2407">
            <v>21</v>
          </cell>
          <cell r="Y2407">
            <v>286.02</v>
          </cell>
        </row>
        <row r="2408">
          <cell r="U2408" t="str">
            <v>l105103</v>
          </cell>
          <cell r="V2408" t="str">
            <v>NV SPAGUETTIS 1 x 454G-UNI</v>
          </cell>
          <cell r="W2408" t="str">
            <v>Ajuste</v>
          </cell>
          <cell r="X2408">
            <v>400</v>
          </cell>
          <cell r="Y2408">
            <v>180</v>
          </cell>
        </row>
        <row r="2409">
          <cell r="U2409" t="str">
            <v>l105103</v>
          </cell>
          <cell r="V2409" t="str">
            <v>NV SPAGUETTIS 20 x 454G-CAJA</v>
          </cell>
          <cell r="W2409" t="str">
            <v>Ajuste</v>
          </cell>
          <cell r="X2409">
            <v>784</v>
          </cell>
          <cell r="Y2409">
            <v>7118.7199999999966</v>
          </cell>
        </row>
        <row r="2410">
          <cell r="U2410" t="str">
            <v>l105103</v>
          </cell>
          <cell r="V2410" t="str">
            <v>NV SPAGUETTIS 20 x 454G-CAJA</v>
          </cell>
          <cell r="W2410" t="str">
            <v>Reproceso</v>
          </cell>
          <cell r="X2410">
            <v>10</v>
          </cell>
          <cell r="Y2410">
            <v>90.8</v>
          </cell>
        </row>
        <row r="2411">
          <cell r="U2411" t="str">
            <v>l105100</v>
          </cell>
          <cell r="V2411" t="str">
            <v>NV SRD 1X15 OZ-UNI</v>
          </cell>
          <cell r="W2411" t="str">
            <v>Ajuste</v>
          </cell>
          <cell r="X2411">
            <v>1032</v>
          </cell>
          <cell r="Y2411">
            <v>433.43999999999983</v>
          </cell>
        </row>
        <row r="2412">
          <cell r="U2412" t="str">
            <v>l105099</v>
          </cell>
          <cell r="V2412" t="str">
            <v>NV SRD 24X15 OZ-CAJA</v>
          </cell>
          <cell r="W2412" t="str">
            <v>Ajuste</v>
          </cell>
          <cell r="X2412">
            <v>141</v>
          </cell>
          <cell r="Y2412">
            <v>1438.2000000000012</v>
          </cell>
        </row>
        <row r="2413">
          <cell r="U2413" t="str">
            <v>l105099</v>
          </cell>
          <cell r="V2413" t="str">
            <v>NV SRD 24X15 OZ-CAJA</v>
          </cell>
          <cell r="W2413" t="str">
            <v>Reproceso</v>
          </cell>
          <cell r="X2413">
            <v>23</v>
          </cell>
          <cell r="Y2413">
            <v>234.6</v>
          </cell>
        </row>
        <row r="2414">
          <cell r="U2414" t="str">
            <v>l105099</v>
          </cell>
          <cell r="V2414" t="str">
            <v>NV SRD 1X15 OZ-UNI</v>
          </cell>
          <cell r="W2414" t="str">
            <v>Ajuste</v>
          </cell>
          <cell r="X2414">
            <v>96</v>
          </cell>
          <cell r="Y2414">
            <v>40.320000000000007</v>
          </cell>
        </row>
        <row r="2415">
          <cell r="U2415" t="str">
            <v>l105098</v>
          </cell>
          <cell r="V2415" t="str">
            <v>NV SRD 1X5.5 ONZ-UNI</v>
          </cell>
          <cell r="W2415" t="str">
            <v>Ajuste</v>
          </cell>
          <cell r="X2415">
            <v>2220</v>
          </cell>
          <cell r="Y2415">
            <v>333.00000000000023</v>
          </cell>
        </row>
        <row r="2416">
          <cell r="U2416" t="str">
            <v>L104995</v>
          </cell>
          <cell r="V2416" t="str">
            <v>NV SRD 50X5.5 ONZ-CAJA</v>
          </cell>
          <cell r="W2416" t="str">
            <v>Ajuste</v>
          </cell>
          <cell r="X2416">
            <v>20</v>
          </cell>
          <cell r="Y2416">
            <v>155.80000000000001</v>
          </cell>
        </row>
        <row r="2417">
          <cell r="U2417" t="str">
            <v>L105095</v>
          </cell>
          <cell r="V2417" t="str">
            <v>NV SRD 50X5.5 ONZ-CAJA</v>
          </cell>
          <cell r="W2417" t="str">
            <v>Ajuste</v>
          </cell>
          <cell r="X2417">
            <v>136</v>
          </cell>
          <cell r="Y2417">
            <v>1059.4399999999998</v>
          </cell>
        </row>
        <row r="2418">
          <cell r="U2418" t="str">
            <v>L105095</v>
          </cell>
          <cell r="V2418" t="str">
            <v>NV SRD 50X5.5 ONZ-CAJA</v>
          </cell>
          <cell r="W2418" t="str">
            <v>Reproceso</v>
          </cell>
          <cell r="X2418">
            <v>22</v>
          </cell>
          <cell r="Y2418">
            <v>171.38</v>
          </cell>
        </row>
        <row r="2419">
          <cell r="U2419" t="str">
            <v>L105446</v>
          </cell>
          <cell r="V2419" t="str">
            <v>PAL HLD 3KG-CAJA</v>
          </cell>
          <cell r="W2419" t="str">
            <v>Ajuste</v>
          </cell>
          <cell r="X2419">
            <v>114</v>
          </cell>
          <cell r="Y2419">
            <v>342</v>
          </cell>
        </row>
        <row r="2420">
          <cell r="U2420" t="str">
            <v>L105447</v>
          </cell>
          <cell r="V2420" t="str">
            <v>PAL HLD 3KG-CAJA</v>
          </cell>
          <cell r="W2420" t="str">
            <v>Ajuste</v>
          </cell>
          <cell r="X2420">
            <v>24</v>
          </cell>
          <cell r="Y2420">
            <v>72</v>
          </cell>
        </row>
        <row r="2421">
          <cell r="U2421" t="str">
            <v>L105448</v>
          </cell>
          <cell r="V2421" t="str">
            <v>PAL HLD 3KG-CAJA</v>
          </cell>
          <cell r="W2421" t="str">
            <v>Ajuste</v>
          </cell>
          <cell r="X2421">
            <v>4</v>
          </cell>
          <cell r="Y2421">
            <v>12</v>
          </cell>
        </row>
        <row r="2422">
          <cell r="U2422" t="str">
            <v>L105449</v>
          </cell>
          <cell r="V2422" t="str">
            <v>PAL HLD 3KG-CAJA</v>
          </cell>
          <cell r="W2422" t="str">
            <v>Ajuste</v>
          </cell>
          <cell r="X2422">
            <v>6</v>
          </cell>
          <cell r="Y2422">
            <v>18</v>
          </cell>
        </row>
        <row r="2423">
          <cell r="U2423" t="str">
            <v>L105421</v>
          </cell>
          <cell r="V2423" t="str">
            <v>Pan kg</v>
          </cell>
          <cell r="W2423" t="str">
            <v>Ajuste</v>
          </cell>
          <cell r="X2423">
            <v>26</v>
          </cell>
          <cell r="Y2423">
            <v>26</v>
          </cell>
        </row>
        <row r="2424">
          <cell r="U2424" t="str">
            <v>L105900</v>
          </cell>
          <cell r="V2424" t="str">
            <v>Pan kg</v>
          </cell>
          <cell r="W2424" t="str">
            <v>Ajuste</v>
          </cell>
          <cell r="X2424">
            <v>2.7</v>
          </cell>
          <cell r="Y2424">
            <v>2.7</v>
          </cell>
        </row>
        <row r="2425">
          <cell r="U2425" t="str">
            <v>L105978</v>
          </cell>
          <cell r="V2425" t="str">
            <v>Pasta de tomate kg</v>
          </cell>
          <cell r="W2425" t="str">
            <v>Ajuste</v>
          </cell>
          <cell r="X2425">
            <v>1490</v>
          </cell>
          <cell r="Y2425">
            <v>1490</v>
          </cell>
        </row>
        <row r="2426">
          <cell r="U2426" t="str">
            <v>L105625</v>
          </cell>
          <cell r="V2426" t="str">
            <v>Pasta kg</v>
          </cell>
          <cell r="W2426" t="str">
            <v>Ajuste</v>
          </cell>
          <cell r="X2426">
            <v>4</v>
          </cell>
          <cell r="Y2426">
            <v>4</v>
          </cell>
        </row>
        <row r="2427">
          <cell r="U2427" t="str">
            <v>L105120</v>
          </cell>
          <cell r="V2427" t="str">
            <v>PASTV 2kg</v>
          </cell>
          <cell r="W2427" t="str">
            <v>Ajuste</v>
          </cell>
          <cell r="X2427">
            <v>20.86</v>
          </cell>
          <cell r="Y2427">
            <v>41.72</v>
          </cell>
        </row>
        <row r="2428">
          <cell r="U2428" t="str">
            <v>L105469</v>
          </cell>
          <cell r="V2428" t="str">
            <v>PASTVGT 1kg</v>
          </cell>
          <cell r="W2428" t="str">
            <v>Ajuste</v>
          </cell>
          <cell r="X2428">
            <v>6</v>
          </cell>
          <cell r="Y2428">
            <v>6</v>
          </cell>
        </row>
        <row r="2429">
          <cell r="U2429" t="str">
            <v>L105456</v>
          </cell>
          <cell r="V2429" t="str">
            <v>PASTVGT 2kg</v>
          </cell>
          <cell r="W2429" t="str">
            <v>Ajuste</v>
          </cell>
          <cell r="X2429">
            <v>4</v>
          </cell>
          <cell r="Y2429">
            <v>8</v>
          </cell>
        </row>
        <row r="2430">
          <cell r="U2430" t="str">
            <v>L105886</v>
          </cell>
          <cell r="V2430" t="str">
            <v>PCK 1.5kg - CAJA</v>
          </cell>
          <cell r="W2430" t="str">
            <v>Ajuste</v>
          </cell>
          <cell r="X2430">
            <v>2</v>
          </cell>
          <cell r="Y2430">
            <v>3</v>
          </cell>
        </row>
        <row r="2431">
          <cell r="U2431" t="str">
            <v>L105134</v>
          </cell>
          <cell r="V2431" t="str">
            <v>PCK 12kg - CAJA</v>
          </cell>
          <cell r="W2431" t="str">
            <v>Ajuste</v>
          </cell>
          <cell r="X2431">
            <v>28</v>
          </cell>
          <cell r="Y2431">
            <v>336</v>
          </cell>
        </row>
        <row r="2432">
          <cell r="U2432" t="str">
            <v>L105133</v>
          </cell>
          <cell r="V2432" t="str">
            <v>PCK 2kg - CAJA</v>
          </cell>
          <cell r="W2432" t="str">
            <v>Ajuste</v>
          </cell>
          <cell r="X2432">
            <v>270</v>
          </cell>
          <cell r="Y2432">
            <v>540</v>
          </cell>
        </row>
        <row r="2433">
          <cell r="U2433" t="str">
            <v>L105253</v>
          </cell>
          <cell r="V2433" t="str">
            <v>PCK 2kg - CAJA</v>
          </cell>
          <cell r="W2433" t="str">
            <v>Ajuste</v>
          </cell>
          <cell r="X2433">
            <v>2</v>
          </cell>
          <cell r="Y2433">
            <v>4</v>
          </cell>
        </row>
        <row r="2434">
          <cell r="U2434" t="str">
            <v>L105302</v>
          </cell>
          <cell r="V2434" t="str">
            <v>PCK 2kg - CAJA</v>
          </cell>
          <cell r="W2434" t="str">
            <v>Ajuste</v>
          </cell>
          <cell r="X2434">
            <v>2</v>
          </cell>
          <cell r="Y2434">
            <v>4</v>
          </cell>
        </row>
        <row r="2435">
          <cell r="U2435" t="str">
            <v>L105400</v>
          </cell>
          <cell r="V2435" t="str">
            <v>PCK 2kg - CAJA</v>
          </cell>
          <cell r="W2435" t="str">
            <v>Ajuste</v>
          </cell>
          <cell r="X2435">
            <v>10</v>
          </cell>
          <cell r="Y2435">
            <v>20</v>
          </cell>
        </row>
        <row r="2436">
          <cell r="U2436" t="str">
            <v>L105876</v>
          </cell>
          <cell r="V2436" t="str">
            <v>PCK 2kg - CAJA</v>
          </cell>
          <cell r="W2436" t="str">
            <v>Ajuste</v>
          </cell>
          <cell r="X2436">
            <v>4</v>
          </cell>
          <cell r="Y2436">
            <v>8</v>
          </cell>
        </row>
        <row r="2437">
          <cell r="U2437" t="str">
            <v>L105877</v>
          </cell>
          <cell r="V2437" t="str">
            <v>PCK 2kg - CAJA</v>
          </cell>
          <cell r="W2437" t="str">
            <v>Ajuste</v>
          </cell>
          <cell r="X2437">
            <v>4</v>
          </cell>
          <cell r="Y2437">
            <v>8</v>
          </cell>
        </row>
        <row r="2438">
          <cell r="U2438" t="str">
            <v>L105742</v>
          </cell>
          <cell r="V2438" t="str">
            <v>PCK 2kg - CAJA</v>
          </cell>
          <cell r="W2438" t="str">
            <v>Ajuste</v>
          </cell>
          <cell r="X2438">
            <v>2</v>
          </cell>
          <cell r="Y2438">
            <v>4</v>
          </cell>
        </row>
        <row r="2439">
          <cell r="U2439" t="str">
            <v>L105216</v>
          </cell>
          <cell r="V2439" t="str">
            <v>PCK 3kg - CAJA</v>
          </cell>
          <cell r="W2439" t="str">
            <v>Ajuste</v>
          </cell>
          <cell r="X2439">
            <v>4</v>
          </cell>
          <cell r="Y2439">
            <v>12</v>
          </cell>
        </row>
        <row r="2440">
          <cell r="U2440" t="str">
            <v>L105218</v>
          </cell>
          <cell r="V2440" t="str">
            <v>PCK 3kg - CAJA</v>
          </cell>
          <cell r="W2440" t="str">
            <v>Ajuste</v>
          </cell>
          <cell r="X2440">
            <v>6</v>
          </cell>
          <cell r="Y2440">
            <v>18</v>
          </cell>
        </row>
        <row r="2441">
          <cell r="U2441" t="str">
            <v>L104957</v>
          </cell>
          <cell r="V2441" t="str">
            <v>PFC 2KG - BOLSA</v>
          </cell>
          <cell r="W2441" t="str">
            <v>Ajuste</v>
          </cell>
          <cell r="X2441">
            <v>102</v>
          </cell>
          <cell r="Y2441">
            <v>204</v>
          </cell>
        </row>
        <row r="2442">
          <cell r="U2442" t="str">
            <v>L105286</v>
          </cell>
          <cell r="V2442" t="str">
            <v>PFC 2KG - BOLSA</v>
          </cell>
          <cell r="W2442" t="str">
            <v>Ajuste</v>
          </cell>
          <cell r="X2442">
            <v>88</v>
          </cell>
          <cell r="Y2442">
            <v>176</v>
          </cell>
        </row>
        <row r="2443">
          <cell r="U2443" t="str">
            <v>L105483</v>
          </cell>
          <cell r="V2443" t="str">
            <v>PFC 2KG - BOLSA</v>
          </cell>
          <cell r="W2443" t="str">
            <v>Ajuste</v>
          </cell>
          <cell r="X2443">
            <v>82</v>
          </cell>
          <cell r="Y2443">
            <v>164</v>
          </cell>
        </row>
        <row r="2444">
          <cell r="U2444" t="str">
            <v>L105687</v>
          </cell>
          <cell r="V2444" t="str">
            <v>PFC 2KG - BOLSA</v>
          </cell>
          <cell r="W2444" t="str">
            <v>Ajuste</v>
          </cell>
          <cell r="X2444">
            <v>62</v>
          </cell>
          <cell r="Y2444">
            <v>124</v>
          </cell>
        </row>
        <row r="2445">
          <cell r="U2445" t="str">
            <v>L104958</v>
          </cell>
          <cell r="V2445" t="str">
            <v>PFC 3KG - CAJA</v>
          </cell>
          <cell r="W2445" t="str">
            <v>Ajuste</v>
          </cell>
          <cell r="X2445">
            <v>2</v>
          </cell>
          <cell r="Y2445">
            <v>6</v>
          </cell>
        </row>
        <row r="2446">
          <cell r="U2446" t="str">
            <v>L105482</v>
          </cell>
          <cell r="V2446" t="str">
            <v>PFC 3KG - CAJA</v>
          </cell>
          <cell r="W2446" t="str">
            <v>Ajuste</v>
          </cell>
          <cell r="X2446">
            <v>2</v>
          </cell>
          <cell r="Y2446">
            <v>6</v>
          </cell>
        </row>
        <row r="2447">
          <cell r="U2447" t="str">
            <v>l105639</v>
          </cell>
          <cell r="V2447" t="str">
            <v>PH 1kg</v>
          </cell>
          <cell r="W2447" t="str">
            <v>Ajuste</v>
          </cell>
          <cell r="X2447">
            <v>16</v>
          </cell>
          <cell r="Y2447">
            <v>16</v>
          </cell>
        </row>
        <row r="2448">
          <cell r="U2448" t="str">
            <v>L105031</v>
          </cell>
          <cell r="V2448" t="str">
            <v>PH 1kg</v>
          </cell>
          <cell r="W2448" t="str">
            <v>Ajuste</v>
          </cell>
          <cell r="X2448">
            <v>58</v>
          </cell>
          <cell r="Y2448">
            <v>58</v>
          </cell>
        </row>
        <row r="2449">
          <cell r="U2449" t="str">
            <v>L105394</v>
          </cell>
          <cell r="V2449" t="str">
            <v>PH 1kg</v>
          </cell>
          <cell r="W2449" t="str">
            <v>Ajuste</v>
          </cell>
          <cell r="X2449">
            <v>4</v>
          </cell>
          <cell r="Y2449">
            <v>4</v>
          </cell>
        </row>
        <row r="2450">
          <cell r="U2450" t="str">
            <v>L105394</v>
          </cell>
          <cell r="V2450" t="str">
            <v>PH 1kg</v>
          </cell>
          <cell r="W2450" t="str">
            <v>Uso del BAP</v>
          </cell>
          <cell r="X2450">
            <v>4</v>
          </cell>
          <cell r="Y2450">
            <v>4</v>
          </cell>
        </row>
        <row r="2451">
          <cell r="U2451" t="str">
            <v>L105728</v>
          </cell>
          <cell r="V2451" t="str">
            <v>Pina en lata kg</v>
          </cell>
          <cell r="W2451" t="str">
            <v>Ajuste</v>
          </cell>
          <cell r="X2451">
            <v>59</v>
          </cell>
          <cell r="Y2451">
            <v>59</v>
          </cell>
        </row>
        <row r="2452">
          <cell r="U2452" t="str">
            <v>L105050</v>
          </cell>
          <cell r="V2452" t="str">
            <v>PLMTO 3kg</v>
          </cell>
          <cell r="W2452" t="str">
            <v>Ajuste</v>
          </cell>
          <cell r="X2452">
            <v>2</v>
          </cell>
          <cell r="Y2452">
            <v>6</v>
          </cell>
        </row>
        <row r="2453">
          <cell r="U2453" t="str">
            <v>L105030</v>
          </cell>
          <cell r="V2453" t="str">
            <v>PMP 1kg-CAJA</v>
          </cell>
          <cell r="W2453" t="str">
            <v>Ajuste</v>
          </cell>
          <cell r="X2453">
            <v>72</v>
          </cell>
          <cell r="Y2453">
            <v>72</v>
          </cell>
        </row>
        <row r="2454">
          <cell r="U2454" t="str">
            <v>L105214</v>
          </cell>
          <cell r="V2454" t="str">
            <v>PMP 1kg-CAJA</v>
          </cell>
          <cell r="W2454" t="str">
            <v>Ajuste</v>
          </cell>
          <cell r="X2454">
            <v>4</v>
          </cell>
          <cell r="Y2454">
            <v>4</v>
          </cell>
        </row>
        <row r="2455">
          <cell r="U2455" t="str">
            <v>L105376</v>
          </cell>
          <cell r="V2455" t="str">
            <v>PMP 1kg-CAJA</v>
          </cell>
          <cell r="W2455" t="str">
            <v>Ajuste</v>
          </cell>
          <cell r="X2455">
            <v>2</v>
          </cell>
          <cell r="Y2455">
            <v>2</v>
          </cell>
        </row>
        <row r="2456">
          <cell r="U2456" t="str">
            <v>L105640</v>
          </cell>
          <cell r="V2456" t="str">
            <v>PMP 1kg-CAJA</v>
          </cell>
          <cell r="W2456" t="str">
            <v>Ajuste</v>
          </cell>
          <cell r="X2456">
            <v>10</v>
          </cell>
          <cell r="Y2456">
            <v>10</v>
          </cell>
        </row>
        <row r="2457">
          <cell r="U2457" t="str">
            <v>L105712</v>
          </cell>
          <cell r="V2457" t="str">
            <v>PNALT 3kg</v>
          </cell>
          <cell r="W2457" t="str">
            <v>Ajuste</v>
          </cell>
          <cell r="X2457">
            <v>71</v>
          </cell>
          <cell r="Y2457">
            <v>213</v>
          </cell>
        </row>
        <row r="2458">
          <cell r="U2458" t="str">
            <v>L105713</v>
          </cell>
          <cell r="V2458" t="str">
            <v>PNALT 3kg</v>
          </cell>
          <cell r="W2458" t="str">
            <v>Ajuste</v>
          </cell>
          <cell r="X2458">
            <v>7</v>
          </cell>
          <cell r="Y2458">
            <v>21</v>
          </cell>
        </row>
        <row r="2459">
          <cell r="U2459" t="str">
            <v>L105714</v>
          </cell>
          <cell r="V2459" t="str">
            <v>PNALT 3kg</v>
          </cell>
          <cell r="W2459" t="str">
            <v>Ajuste</v>
          </cell>
          <cell r="X2459">
            <v>32</v>
          </cell>
          <cell r="Y2459">
            <v>96</v>
          </cell>
        </row>
        <row r="2460">
          <cell r="U2460" t="str">
            <v>L105715</v>
          </cell>
          <cell r="V2460" t="str">
            <v>PNALT 3kg</v>
          </cell>
          <cell r="W2460" t="str">
            <v>Ajuste</v>
          </cell>
          <cell r="X2460">
            <v>4</v>
          </cell>
          <cell r="Y2460">
            <v>12</v>
          </cell>
        </row>
        <row r="2461">
          <cell r="U2461" t="str">
            <v>L105041</v>
          </cell>
          <cell r="V2461" t="str">
            <v>PNALT 5kg</v>
          </cell>
          <cell r="W2461" t="str">
            <v>Ajuste</v>
          </cell>
          <cell r="X2461">
            <v>4</v>
          </cell>
          <cell r="Y2461">
            <v>20</v>
          </cell>
        </row>
        <row r="2462">
          <cell r="U2462" t="str">
            <v>L105381</v>
          </cell>
          <cell r="V2462" t="str">
            <v>PNALT 5kg</v>
          </cell>
          <cell r="W2462" t="str">
            <v>Ajuste</v>
          </cell>
          <cell r="X2462">
            <v>4</v>
          </cell>
          <cell r="Y2462">
            <v>20</v>
          </cell>
        </row>
        <row r="2463">
          <cell r="U2463" t="str">
            <v>L105654</v>
          </cell>
          <cell r="V2463" t="str">
            <v>PPC 20kg-BOLSA</v>
          </cell>
          <cell r="W2463" t="str">
            <v>Ajuste</v>
          </cell>
          <cell r="X2463">
            <v>70</v>
          </cell>
          <cell r="Y2463">
            <v>1400</v>
          </cell>
        </row>
        <row r="2464">
          <cell r="U2464" t="str">
            <v>L104946</v>
          </cell>
          <cell r="V2464" t="str">
            <v>PRTZ UND</v>
          </cell>
          <cell r="W2464" t="str">
            <v>Ajuste</v>
          </cell>
          <cell r="X2464">
            <v>2</v>
          </cell>
          <cell r="Y2464">
            <v>2</v>
          </cell>
        </row>
        <row r="2465">
          <cell r="U2465" t="str">
            <v>L104956</v>
          </cell>
          <cell r="V2465" t="str">
            <v>PRTZ UND</v>
          </cell>
          <cell r="W2465" t="str">
            <v>Ajuste</v>
          </cell>
          <cell r="X2465">
            <v>6</v>
          </cell>
          <cell r="Y2465">
            <v>6</v>
          </cell>
        </row>
        <row r="2466">
          <cell r="U2466" t="str">
            <v>L104985</v>
          </cell>
          <cell r="V2466" t="str">
            <v>PRTZ UND</v>
          </cell>
          <cell r="W2466" t="str">
            <v>Ajuste</v>
          </cell>
          <cell r="X2466">
            <v>30</v>
          </cell>
          <cell r="Y2466">
            <v>30</v>
          </cell>
        </row>
        <row r="2467">
          <cell r="U2467" t="str">
            <v>L104991</v>
          </cell>
          <cell r="V2467" t="str">
            <v>PRTZ UND</v>
          </cell>
          <cell r="W2467" t="str">
            <v>Ajuste</v>
          </cell>
          <cell r="X2467">
            <v>16</v>
          </cell>
          <cell r="Y2467">
            <v>16</v>
          </cell>
        </row>
        <row r="2468">
          <cell r="U2468" t="str">
            <v>L104991</v>
          </cell>
          <cell r="V2468" t="str">
            <v>PV PRTZ UND</v>
          </cell>
          <cell r="W2468" t="str">
            <v>Ajuste</v>
          </cell>
          <cell r="X2468">
            <v>6</v>
          </cell>
          <cell r="Y2468">
            <v>6</v>
          </cell>
        </row>
        <row r="2469">
          <cell r="U2469" t="str">
            <v>L105378</v>
          </cell>
          <cell r="V2469" t="str">
            <v>PTD 1 kg</v>
          </cell>
          <cell r="W2469" t="str">
            <v>Ajuste</v>
          </cell>
          <cell r="X2469">
            <v>2</v>
          </cell>
          <cell r="Y2469">
            <v>2</v>
          </cell>
        </row>
        <row r="2470">
          <cell r="U2470" t="str">
            <v>L105521</v>
          </cell>
          <cell r="V2470" t="str">
            <v>PTM 1.5KG</v>
          </cell>
          <cell r="W2470" t="str">
            <v>Ajuste</v>
          </cell>
          <cell r="X2470">
            <v>26</v>
          </cell>
          <cell r="Y2470">
            <v>39</v>
          </cell>
        </row>
        <row r="2471">
          <cell r="U2471" t="str">
            <v>L105522</v>
          </cell>
          <cell r="V2471" t="str">
            <v>PTM -2kg- Caja</v>
          </cell>
          <cell r="W2471" t="str">
            <v>Ajuste</v>
          </cell>
          <cell r="X2471">
            <v>2</v>
          </cell>
          <cell r="Y2471">
            <v>4</v>
          </cell>
        </row>
        <row r="2472">
          <cell r="U2472" t="str">
            <v>L105882</v>
          </cell>
          <cell r="V2472" t="str">
            <v>PTM -2kg- Caja</v>
          </cell>
          <cell r="W2472" t="str">
            <v>Ajuste</v>
          </cell>
          <cell r="X2472">
            <v>2</v>
          </cell>
          <cell r="Y2472">
            <v>4</v>
          </cell>
        </row>
        <row r="2473">
          <cell r="U2473" t="str">
            <v>L105798</v>
          </cell>
          <cell r="V2473" t="str">
            <v>PTM -3kg- Caja</v>
          </cell>
          <cell r="W2473" t="str">
            <v>Ajuste</v>
          </cell>
          <cell r="X2473">
            <v>12</v>
          </cell>
          <cell r="Y2473">
            <v>36</v>
          </cell>
        </row>
        <row r="2474">
          <cell r="U2474" t="str">
            <v>L105799</v>
          </cell>
          <cell r="V2474" t="str">
            <v>PTM -3kg- Caja</v>
          </cell>
          <cell r="W2474" t="str">
            <v>Ajuste</v>
          </cell>
          <cell r="X2474">
            <v>10</v>
          </cell>
          <cell r="Y2474">
            <v>30</v>
          </cell>
        </row>
        <row r="2475">
          <cell r="U2475" t="str">
            <v>L105881</v>
          </cell>
          <cell r="V2475" t="str">
            <v>PTM -3kg- Caja</v>
          </cell>
          <cell r="W2475" t="str">
            <v>Ajuste</v>
          </cell>
          <cell r="X2475">
            <v>6</v>
          </cell>
          <cell r="Y2475">
            <v>18</v>
          </cell>
        </row>
        <row r="2476">
          <cell r="U2476" t="str">
            <v>L105986</v>
          </cell>
          <cell r="V2476" t="str">
            <v>PTM 5kg-CAJA</v>
          </cell>
          <cell r="W2476" t="str">
            <v>Ajuste</v>
          </cell>
          <cell r="X2476">
            <v>290</v>
          </cell>
          <cell r="Y2476">
            <v>1450</v>
          </cell>
        </row>
        <row r="2477">
          <cell r="U2477" t="str">
            <v>L105988</v>
          </cell>
          <cell r="V2477" t="str">
            <v>PTM 5kg-CAJA</v>
          </cell>
          <cell r="W2477" t="str">
            <v>Ajuste</v>
          </cell>
          <cell r="X2477">
            <v>116</v>
          </cell>
          <cell r="Y2477">
            <v>580</v>
          </cell>
        </row>
        <row r="2478">
          <cell r="U2478" t="str">
            <v>L105989</v>
          </cell>
          <cell r="V2478" t="str">
            <v>PTM 5kg-CAJA</v>
          </cell>
          <cell r="W2478" t="str">
            <v>Ajuste</v>
          </cell>
          <cell r="X2478">
            <v>156</v>
          </cell>
          <cell r="Y2478">
            <v>780</v>
          </cell>
        </row>
        <row r="2479">
          <cell r="U2479" t="str">
            <v>L105990</v>
          </cell>
          <cell r="V2479" t="str">
            <v>PTM 5kg-CAJA</v>
          </cell>
          <cell r="W2479" t="str">
            <v>Ajuste</v>
          </cell>
          <cell r="X2479">
            <v>410</v>
          </cell>
          <cell r="Y2479">
            <v>2050</v>
          </cell>
        </row>
        <row r="2480">
          <cell r="U2480" t="str">
            <v>L105991</v>
          </cell>
          <cell r="V2480" t="str">
            <v>PTM 5kg-CAJA</v>
          </cell>
          <cell r="W2480" t="str">
            <v>Ajuste</v>
          </cell>
          <cell r="X2480">
            <v>70</v>
          </cell>
          <cell r="Y2480">
            <v>350</v>
          </cell>
        </row>
        <row r="2481">
          <cell r="U2481" t="str">
            <v>L105615</v>
          </cell>
          <cell r="V2481" t="str">
            <v>PTN 2kg-CAJA</v>
          </cell>
          <cell r="W2481" t="str">
            <v>Ajuste</v>
          </cell>
          <cell r="X2481">
            <v>192</v>
          </cell>
          <cell r="Y2481">
            <v>384</v>
          </cell>
        </row>
        <row r="2482">
          <cell r="U2482" t="str">
            <v>L105415</v>
          </cell>
          <cell r="V2482" t="str">
            <v>PTN 2kg-CAJA</v>
          </cell>
          <cell r="W2482" t="str">
            <v>Ajuste</v>
          </cell>
          <cell r="X2482">
            <v>8</v>
          </cell>
          <cell r="Y2482">
            <v>16</v>
          </cell>
        </row>
        <row r="2483">
          <cell r="U2483" t="str">
            <v>L105609</v>
          </cell>
          <cell r="V2483" t="str">
            <v>PTN 2kg-CAJA</v>
          </cell>
          <cell r="W2483" t="str">
            <v>Ajuste</v>
          </cell>
          <cell r="X2483">
            <v>60</v>
          </cell>
          <cell r="Y2483">
            <v>120</v>
          </cell>
        </row>
        <row r="2484">
          <cell r="U2484" t="str">
            <v>L105610</v>
          </cell>
          <cell r="V2484" t="str">
            <v>PTN 2kg-CAJA</v>
          </cell>
          <cell r="W2484" t="str">
            <v>Ajuste</v>
          </cell>
          <cell r="X2484">
            <v>92</v>
          </cell>
          <cell r="Y2484">
            <v>184</v>
          </cell>
        </row>
        <row r="2485">
          <cell r="U2485" t="str">
            <v>L105619</v>
          </cell>
          <cell r="V2485" t="str">
            <v>PTN 2kg-CAJA</v>
          </cell>
          <cell r="W2485" t="str">
            <v>Ajuste</v>
          </cell>
          <cell r="X2485">
            <v>4</v>
          </cell>
          <cell r="Y2485">
            <v>8</v>
          </cell>
        </row>
        <row r="2486">
          <cell r="U2486" t="str">
            <v>L105375</v>
          </cell>
          <cell r="V2486" t="str">
            <v>PTO 1kg</v>
          </cell>
          <cell r="W2486" t="str">
            <v>Ajuste</v>
          </cell>
          <cell r="X2486">
            <v>4</v>
          </cell>
          <cell r="Y2486">
            <v>4</v>
          </cell>
        </row>
        <row r="2487">
          <cell r="U2487" t="str">
            <v>L105660</v>
          </cell>
          <cell r="V2487" t="str">
            <v>PTO 1kg</v>
          </cell>
          <cell r="W2487" t="str">
            <v>Ajuste</v>
          </cell>
          <cell r="X2487">
            <v>2</v>
          </cell>
          <cell r="Y2487">
            <v>2</v>
          </cell>
        </row>
        <row r="2488">
          <cell r="U2488" t="str">
            <v>L105543</v>
          </cell>
          <cell r="V2488" t="str">
            <v>PTV 2kg</v>
          </cell>
          <cell r="W2488" t="str">
            <v>Ajuste</v>
          </cell>
          <cell r="X2488">
            <v>16</v>
          </cell>
          <cell r="Y2488">
            <v>32</v>
          </cell>
        </row>
        <row r="2489">
          <cell r="U2489" t="str">
            <v>L105547</v>
          </cell>
          <cell r="V2489" t="str">
            <v>PTV 2kg</v>
          </cell>
          <cell r="W2489" t="str">
            <v>Ajuste</v>
          </cell>
          <cell r="X2489">
            <v>4</v>
          </cell>
          <cell r="Y2489">
            <v>8</v>
          </cell>
        </row>
        <row r="2490">
          <cell r="U2490" t="str">
            <v>L105548</v>
          </cell>
          <cell r="V2490" t="str">
            <v>PTV 2kg</v>
          </cell>
          <cell r="W2490" t="str">
            <v>Ajuste</v>
          </cell>
          <cell r="X2490">
            <v>4</v>
          </cell>
          <cell r="Y2490">
            <v>8</v>
          </cell>
        </row>
        <row r="2491">
          <cell r="U2491" t="str">
            <v>L105549</v>
          </cell>
          <cell r="V2491" t="str">
            <v>PTV 2kg</v>
          </cell>
          <cell r="W2491" t="str">
            <v>Ajuste</v>
          </cell>
          <cell r="X2491">
            <v>6</v>
          </cell>
          <cell r="Y2491">
            <v>12</v>
          </cell>
        </row>
        <row r="2492">
          <cell r="U2492" t="str">
            <v>L105550</v>
          </cell>
          <cell r="V2492" t="str">
            <v>PTV 2kg</v>
          </cell>
          <cell r="W2492" t="str">
            <v>Ajuste</v>
          </cell>
          <cell r="X2492">
            <v>2</v>
          </cell>
          <cell r="Y2492">
            <v>4</v>
          </cell>
        </row>
        <row r="2493">
          <cell r="U2493" t="str">
            <v>L105551</v>
          </cell>
          <cell r="V2493" t="str">
            <v>PTV 2kg</v>
          </cell>
          <cell r="W2493" t="str">
            <v>Ajuste</v>
          </cell>
          <cell r="X2493">
            <v>2</v>
          </cell>
          <cell r="Y2493">
            <v>4</v>
          </cell>
        </row>
        <row r="2494">
          <cell r="U2494" t="str">
            <v>l105250</v>
          </cell>
          <cell r="V2494" t="str">
            <v>PTV 5kg</v>
          </cell>
          <cell r="W2494" t="str">
            <v>Ajuste</v>
          </cell>
          <cell r="X2494">
            <v>976</v>
          </cell>
          <cell r="Y2494">
            <v>4880</v>
          </cell>
        </row>
        <row r="2495">
          <cell r="U2495" t="str">
            <v>L105874</v>
          </cell>
          <cell r="V2495" t="str">
            <v>PV ACE 1500ml</v>
          </cell>
          <cell r="W2495" t="str">
            <v>Ajuste</v>
          </cell>
          <cell r="X2495">
            <v>40</v>
          </cell>
          <cell r="Y2495">
            <v>60</v>
          </cell>
        </row>
        <row r="2496">
          <cell r="U2496" t="str">
            <v>L105554</v>
          </cell>
          <cell r="V2496" t="str">
            <v>PV ADR 3kg</v>
          </cell>
          <cell r="W2496" t="str">
            <v>Ajuste</v>
          </cell>
          <cell r="X2496">
            <v>2</v>
          </cell>
          <cell r="Y2496">
            <v>6</v>
          </cell>
        </row>
        <row r="2497">
          <cell r="U2497" t="str">
            <v>L10655</v>
          </cell>
          <cell r="V2497" t="str">
            <v>PV ARZ 5Kg</v>
          </cell>
          <cell r="W2497" t="str">
            <v>Ajuste</v>
          </cell>
          <cell r="X2497">
            <v>6</v>
          </cell>
          <cell r="Y2497">
            <v>30</v>
          </cell>
        </row>
        <row r="2498">
          <cell r="U2498" t="str">
            <v>L105305</v>
          </cell>
          <cell r="V2498" t="str">
            <v>PV ARZ 5Kg</v>
          </cell>
          <cell r="W2498" t="str">
            <v>Ajuste</v>
          </cell>
          <cell r="X2498">
            <v>64</v>
          </cell>
          <cell r="Y2498">
            <v>320</v>
          </cell>
        </row>
        <row r="2499">
          <cell r="U2499" t="str">
            <v>L105027</v>
          </cell>
          <cell r="V2499" t="str">
            <v>PV ARZ 5Kg</v>
          </cell>
          <cell r="W2499" t="str">
            <v>Ajuste</v>
          </cell>
          <cell r="X2499">
            <v>582</v>
          </cell>
          <cell r="Y2499">
            <v>2910</v>
          </cell>
        </row>
        <row r="2500">
          <cell r="U2500" t="str">
            <v>L105653</v>
          </cell>
          <cell r="V2500" t="str">
            <v>PV ARZ 5Kg</v>
          </cell>
          <cell r="W2500" t="str">
            <v>Ajuste</v>
          </cell>
          <cell r="X2500">
            <v>56</v>
          </cell>
          <cell r="Y2500">
            <v>280</v>
          </cell>
        </row>
        <row r="2501">
          <cell r="U2501" t="str">
            <v>L105921</v>
          </cell>
          <cell r="V2501" t="str">
            <v>PV BDP 5kg</v>
          </cell>
          <cell r="W2501" t="str">
            <v>Ajuste</v>
          </cell>
          <cell r="X2501">
            <v>1</v>
          </cell>
          <cell r="Y2501">
            <v>5</v>
          </cell>
        </row>
        <row r="2502">
          <cell r="U2502" t="str">
            <v>L105786</v>
          </cell>
          <cell r="V2502" t="str">
            <v>PV CHT 3kg</v>
          </cell>
          <cell r="W2502" t="str">
            <v>Ajuste</v>
          </cell>
          <cell r="X2502">
            <v>124</v>
          </cell>
          <cell r="Y2502">
            <v>372</v>
          </cell>
        </row>
        <row r="2503">
          <cell r="U2503" t="str">
            <v>L105773</v>
          </cell>
          <cell r="V2503" t="str">
            <v>PV CHTV 4kg</v>
          </cell>
          <cell r="W2503" t="str">
            <v>Ajuste</v>
          </cell>
          <cell r="X2503">
            <v>422</v>
          </cell>
          <cell r="Y2503">
            <v>1688</v>
          </cell>
        </row>
        <row r="2504">
          <cell r="U2504" t="str">
            <v>L105772</v>
          </cell>
          <cell r="V2504" t="str">
            <v>PV CHTV 5kg</v>
          </cell>
          <cell r="W2504" t="str">
            <v>Ajuste</v>
          </cell>
          <cell r="X2504">
            <v>216</v>
          </cell>
          <cell r="Y2504">
            <v>1080</v>
          </cell>
        </row>
        <row r="2505">
          <cell r="U2505" t="str">
            <v>L105747</v>
          </cell>
          <cell r="V2505" t="str">
            <v>PV CHWM 2kg</v>
          </cell>
          <cell r="W2505" t="str">
            <v>Ajuste</v>
          </cell>
          <cell r="X2505">
            <v>12</v>
          </cell>
          <cell r="Y2505">
            <v>24</v>
          </cell>
        </row>
        <row r="2506">
          <cell r="U2506" t="str">
            <v>L104978</v>
          </cell>
          <cell r="V2506" t="str">
            <v>PV CRV 1kg</v>
          </cell>
          <cell r="W2506" t="str">
            <v>Ajuste</v>
          </cell>
          <cell r="X2506">
            <v>242</v>
          </cell>
          <cell r="Y2506">
            <v>242</v>
          </cell>
        </row>
        <row r="2507">
          <cell r="U2507" t="str">
            <v>L104979</v>
          </cell>
          <cell r="V2507" t="str">
            <v>PV CRV 1kg</v>
          </cell>
          <cell r="W2507" t="str">
            <v>Ajuste</v>
          </cell>
          <cell r="X2507">
            <v>112</v>
          </cell>
          <cell r="Y2507">
            <v>112</v>
          </cell>
        </row>
        <row r="2508">
          <cell r="U2508" t="str">
            <v>L105435</v>
          </cell>
          <cell r="V2508" t="str">
            <v>PV EMBV 3kg</v>
          </cell>
          <cell r="W2508" t="str">
            <v>Ajuste</v>
          </cell>
          <cell r="X2508">
            <v>4</v>
          </cell>
          <cell r="Y2508">
            <v>12</v>
          </cell>
        </row>
        <row r="2509">
          <cell r="U2509" t="str">
            <v>L105826</v>
          </cell>
          <cell r="V2509" t="str">
            <v>PV EMBV 3kg</v>
          </cell>
          <cell r="W2509" t="str">
            <v>Ajuste</v>
          </cell>
          <cell r="X2509">
            <v>8</v>
          </cell>
          <cell r="Y2509">
            <v>24</v>
          </cell>
        </row>
        <row r="2510">
          <cell r="U2510" t="str">
            <v>L105827</v>
          </cell>
          <cell r="V2510" t="str">
            <v>PV EMBV 3kg</v>
          </cell>
          <cell r="W2510" t="str">
            <v>Ajuste</v>
          </cell>
          <cell r="X2510">
            <v>6</v>
          </cell>
          <cell r="Y2510">
            <v>18</v>
          </cell>
        </row>
        <row r="2511">
          <cell r="U2511" t="str">
            <v>L105828</v>
          </cell>
          <cell r="V2511" t="str">
            <v>PV EMBV 3kg</v>
          </cell>
          <cell r="W2511" t="str">
            <v>Ajuste</v>
          </cell>
          <cell r="X2511">
            <v>24</v>
          </cell>
          <cell r="Y2511">
            <v>72</v>
          </cell>
        </row>
        <row r="2512">
          <cell r="U2512" t="str">
            <v>L105829</v>
          </cell>
          <cell r="V2512" t="str">
            <v>PV EMBV 3kg</v>
          </cell>
          <cell r="W2512" t="str">
            <v>Ajuste</v>
          </cell>
          <cell r="X2512">
            <v>36</v>
          </cell>
          <cell r="Y2512">
            <v>108</v>
          </cell>
        </row>
        <row r="2513">
          <cell r="U2513" t="str">
            <v>L105122</v>
          </cell>
          <cell r="V2513" t="str">
            <v>PV FRUVER 10kg</v>
          </cell>
          <cell r="W2513" t="str">
            <v>Ajuste</v>
          </cell>
          <cell r="X2513">
            <v>50</v>
          </cell>
          <cell r="Y2513">
            <v>500</v>
          </cell>
        </row>
        <row r="2514">
          <cell r="U2514" t="str">
            <v>L105200</v>
          </cell>
          <cell r="V2514" t="str">
            <v>PV FRUVER 10kg</v>
          </cell>
          <cell r="W2514" t="str">
            <v>Ajuste</v>
          </cell>
          <cell r="X2514">
            <v>62</v>
          </cell>
          <cell r="Y2514">
            <v>620</v>
          </cell>
        </row>
        <row r="2515">
          <cell r="U2515" t="str">
            <v>L105298</v>
          </cell>
          <cell r="V2515" t="str">
            <v>PV FRUVER 10kg</v>
          </cell>
          <cell r="W2515" t="str">
            <v>Ajuste</v>
          </cell>
          <cell r="X2515">
            <v>128</v>
          </cell>
          <cell r="Y2515">
            <v>1280</v>
          </cell>
        </row>
        <row r="2516">
          <cell r="U2516" t="str">
            <v>L105360</v>
          </cell>
          <cell r="V2516" t="str">
            <v>PV FRUVER 10kg</v>
          </cell>
          <cell r="W2516" t="str">
            <v>Ajuste</v>
          </cell>
          <cell r="X2516">
            <v>52</v>
          </cell>
          <cell r="Y2516">
            <v>520</v>
          </cell>
        </row>
        <row r="2517">
          <cell r="U2517" t="str">
            <v>L105484</v>
          </cell>
          <cell r="V2517" t="str">
            <v>PV FRUVER 10kg</v>
          </cell>
          <cell r="W2517" t="str">
            <v>Ajuste</v>
          </cell>
          <cell r="X2517">
            <v>130</v>
          </cell>
          <cell r="Y2517">
            <v>1300</v>
          </cell>
        </row>
        <row r="2518">
          <cell r="U2518" t="str">
            <v>L105602</v>
          </cell>
          <cell r="V2518" t="str">
            <v>PV FRUVER 10kg</v>
          </cell>
          <cell r="W2518" t="str">
            <v>Ajuste</v>
          </cell>
          <cell r="X2518">
            <v>2</v>
          </cell>
          <cell r="Y2518">
            <v>20</v>
          </cell>
        </row>
        <row r="2519">
          <cell r="U2519" t="str">
            <v>L105707</v>
          </cell>
          <cell r="V2519" t="str">
            <v>PV FRUVER 10kg</v>
          </cell>
          <cell r="W2519" t="str">
            <v>Ajuste</v>
          </cell>
          <cell r="X2519">
            <v>42</v>
          </cell>
          <cell r="Y2519">
            <v>420</v>
          </cell>
        </row>
        <row r="2520">
          <cell r="U2520" t="str">
            <v>L105830</v>
          </cell>
          <cell r="V2520" t="str">
            <v>PV FRUVER 10kg</v>
          </cell>
          <cell r="W2520" t="str">
            <v>Ajuste</v>
          </cell>
          <cell r="X2520">
            <v>190</v>
          </cell>
          <cell r="Y2520">
            <v>1900</v>
          </cell>
        </row>
        <row r="2521">
          <cell r="U2521" t="str">
            <v>L105916</v>
          </cell>
          <cell r="V2521" t="str">
            <v>PV FRUVER 10kg</v>
          </cell>
          <cell r="W2521" t="str">
            <v>Ajuste</v>
          </cell>
          <cell r="X2521">
            <v>140</v>
          </cell>
          <cell r="Y2521">
            <v>1400</v>
          </cell>
        </row>
        <row r="2522">
          <cell r="U2522" t="str">
            <v>L105329</v>
          </cell>
          <cell r="V2522" t="str">
            <v>PV FRVDVG 5kg</v>
          </cell>
          <cell r="W2522" t="str">
            <v>Ajuste</v>
          </cell>
          <cell r="X2522">
            <v>2</v>
          </cell>
          <cell r="Y2522">
            <v>10</v>
          </cell>
        </row>
        <row r="2523">
          <cell r="U2523" t="str">
            <v>L105471</v>
          </cell>
          <cell r="V2523" t="str">
            <v>PV FRVDVG 5kg</v>
          </cell>
          <cell r="W2523" t="str">
            <v>Ajuste</v>
          </cell>
          <cell r="X2523">
            <v>2</v>
          </cell>
          <cell r="Y2523">
            <v>10</v>
          </cell>
        </row>
        <row r="2524">
          <cell r="U2524" t="str">
            <v>L105477</v>
          </cell>
          <cell r="V2524" t="str">
            <v>PV FRVDVG 5kg</v>
          </cell>
          <cell r="W2524" t="str">
            <v>Ajuste</v>
          </cell>
          <cell r="X2524">
            <v>2</v>
          </cell>
          <cell r="Y2524">
            <v>10</v>
          </cell>
        </row>
        <row r="2525">
          <cell r="U2525" t="str">
            <v>L105761</v>
          </cell>
          <cell r="V2525" t="str">
            <v>PV FRVDVG 5kg</v>
          </cell>
          <cell r="W2525" t="str">
            <v>Ajuste</v>
          </cell>
          <cell r="X2525">
            <v>2</v>
          </cell>
          <cell r="Y2525">
            <v>10</v>
          </cell>
        </row>
        <row r="2526">
          <cell r="U2526" t="str">
            <v>L105817</v>
          </cell>
          <cell r="V2526" t="str">
            <v>PV FRVDVG 5kg</v>
          </cell>
          <cell r="W2526" t="str">
            <v>Ajuste</v>
          </cell>
          <cell r="X2526">
            <v>2</v>
          </cell>
          <cell r="Y2526">
            <v>10</v>
          </cell>
        </row>
        <row r="2527">
          <cell r="U2527" t="str">
            <v>L105836</v>
          </cell>
          <cell r="V2527" t="str">
            <v>PV FRVDVG 5kg</v>
          </cell>
          <cell r="W2527" t="str">
            <v>Ajuste</v>
          </cell>
          <cell r="X2527">
            <v>2</v>
          </cell>
          <cell r="Y2527">
            <v>10</v>
          </cell>
        </row>
        <row r="2528">
          <cell r="U2528" t="str">
            <v>L105118</v>
          </cell>
          <cell r="V2528" t="str">
            <v>PV FRVDVG 8kg</v>
          </cell>
          <cell r="W2528" t="str">
            <v>Ajuste</v>
          </cell>
          <cell r="X2528">
            <v>80</v>
          </cell>
          <cell r="Y2528">
            <v>640</v>
          </cell>
        </row>
        <row r="2529">
          <cell r="U2529" t="str">
            <v>L105179</v>
          </cell>
          <cell r="V2529" t="str">
            <v>PV FRVDVG 8kg</v>
          </cell>
          <cell r="W2529" t="str">
            <v>Ajuste</v>
          </cell>
          <cell r="X2529">
            <v>2</v>
          </cell>
          <cell r="Y2529">
            <v>16</v>
          </cell>
        </row>
        <row r="2530">
          <cell r="U2530" t="str">
            <v>L105182</v>
          </cell>
          <cell r="V2530" t="str">
            <v>PV FRVDVG 8kg</v>
          </cell>
          <cell r="W2530" t="str">
            <v>Ajuste</v>
          </cell>
          <cell r="X2530">
            <v>14</v>
          </cell>
          <cell r="Y2530">
            <v>112</v>
          </cell>
        </row>
        <row r="2531">
          <cell r="U2531" t="str">
            <v>L105192</v>
          </cell>
          <cell r="V2531" t="str">
            <v>PV FRVDVG 8kg</v>
          </cell>
          <cell r="W2531" t="str">
            <v>Ajuste</v>
          </cell>
          <cell r="X2531">
            <v>10</v>
          </cell>
          <cell r="Y2531">
            <v>80</v>
          </cell>
        </row>
        <row r="2532">
          <cell r="U2532" t="str">
            <v>L105198</v>
          </cell>
          <cell r="V2532" t="str">
            <v>PV FRVDVG 8kg</v>
          </cell>
          <cell r="W2532" t="str">
            <v>Ajuste</v>
          </cell>
          <cell r="X2532">
            <v>14</v>
          </cell>
          <cell r="Y2532">
            <v>112</v>
          </cell>
        </row>
        <row r="2533">
          <cell r="U2533" t="str">
            <v>L105287</v>
          </cell>
          <cell r="V2533" t="str">
            <v>PV FRVDVG 8kg</v>
          </cell>
          <cell r="W2533" t="str">
            <v>Ajuste</v>
          </cell>
          <cell r="X2533">
            <v>6</v>
          </cell>
          <cell r="Y2533">
            <v>48</v>
          </cell>
        </row>
        <row r="2534">
          <cell r="U2534" t="str">
            <v>L105289</v>
          </cell>
          <cell r="V2534" t="str">
            <v>PV FRVDVG 8kg</v>
          </cell>
          <cell r="W2534" t="str">
            <v>Ajuste</v>
          </cell>
          <cell r="X2534">
            <v>42</v>
          </cell>
          <cell r="Y2534">
            <v>336</v>
          </cell>
        </row>
        <row r="2535">
          <cell r="U2535" t="str">
            <v>L105294</v>
          </cell>
          <cell r="V2535" t="str">
            <v>PV FRVDVG 8kg</v>
          </cell>
          <cell r="W2535" t="str">
            <v>Ajuste</v>
          </cell>
          <cell r="X2535">
            <v>16</v>
          </cell>
          <cell r="Y2535">
            <v>128</v>
          </cell>
        </row>
        <row r="2536">
          <cell r="U2536" t="str">
            <v>L105328</v>
          </cell>
          <cell r="V2536" t="str">
            <v>PV FRVDVG 8kg</v>
          </cell>
          <cell r="W2536" t="str">
            <v>Ajuste</v>
          </cell>
          <cell r="X2536">
            <v>18</v>
          </cell>
          <cell r="Y2536">
            <v>144</v>
          </cell>
        </row>
        <row r="2537">
          <cell r="U2537" t="str">
            <v>L105338</v>
          </cell>
          <cell r="V2537" t="str">
            <v>PV FRVDVG 8kg</v>
          </cell>
          <cell r="W2537" t="str">
            <v>Ajuste</v>
          </cell>
          <cell r="X2537">
            <v>12</v>
          </cell>
          <cell r="Y2537">
            <v>96</v>
          </cell>
        </row>
        <row r="2538">
          <cell r="U2538" t="str">
            <v>L105346</v>
          </cell>
          <cell r="V2538" t="str">
            <v>PV FRVDVG 8kg</v>
          </cell>
          <cell r="W2538" t="str">
            <v>Ajuste</v>
          </cell>
          <cell r="X2538">
            <v>20</v>
          </cell>
          <cell r="Y2538">
            <v>160</v>
          </cell>
        </row>
        <row r="2539">
          <cell r="U2539" t="str">
            <v>L105355</v>
          </cell>
          <cell r="V2539" t="str">
            <v>PV FRVDVG 8kg</v>
          </cell>
          <cell r="W2539" t="str">
            <v>Ajuste</v>
          </cell>
          <cell r="X2539">
            <v>2</v>
          </cell>
          <cell r="Y2539">
            <v>16</v>
          </cell>
        </row>
        <row r="2540">
          <cell r="U2540" t="str">
            <v>L105413</v>
          </cell>
          <cell r="V2540" t="str">
            <v>PV FRVDVG 8kg</v>
          </cell>
          <cell r="W2540" t="str">
            <v>Ajuste</v>
          </cell>
          <cell r="X2540">
            <v>28</v>
          </cell>
          <cell r="Y2540">
            <v>224</v>
          </cell>
        </row>
        <row r="2541">
          <cell r="U2541" t="str">
            <v>L105418</v>
          </cell>
          <cell r="V2541" t="str">
            <v>PV FRVDVG 8kg</v>
          </cell>
          <cell r="W2541" t="str">
            <v>Ajuste</v>
          </cell>
          <cell r="X2541">
            <v>12</v>
          </cell>
          <cell r="Y2541">
            <v>96</v>
          </cell>
        </row>
        <row r="2542">
          <cell r="U2542" t="str">
            <v>L105470</v>
          </cell>
          <cell r="V2542" t="str">
            <v>PV FRVDVG 8kg</v>
          </cell>
          <cell r="W2542" t="str">
            <v>Ajuste</v>
          </cell>
          <cell r="X2542">
            <v>18</v>
          </cell>
          <cell r="Y2542">
            <v>144</v>
          </cell>
        </row>
        <row r="2543">
          <cell r="U2543" t="str">
            <v>L105476</v>
          </cell>
          <cell r="V2543" t="str">
            <v>PV FRVDVG 8kg</v>
          </cell>
          <cell r="W2543" t="str">
            <v>Ajuste</v>
          </cell>
          <cell r="X2543">
            <v>14</v>
          </cell>
          <cell r="Y2543">
            <v>112</v>
          </cell>
        </row>
        <row r="2544">
          <cell r="U2544" t="str">
            <v>L105692</v>
          </cell>
          <cell r="V2544" t="str">
            <v>PV FRVDVG 8kg</v>
          </cell>
          <cell r="W2544" t="str">
            <v>Ajuste</v>
          </cell>
          <cell r="X2544">
            <v>26</v>
          </cell>
          <cell r="Y2544">
            <v>208</v>
          </cell>
        </row>
        <row r="2545">
          <cell r="U2545" t="str">
            <v>L105709</v>
          </cell>
          <cell r="V2545" t="str">
            <v>PV FRVDVG 8kg</v>
          </cell>
          <cell r="W2545" t="str">
            <v>Ajuste</v>
          </cell>
          <cell r="X2545">
            <v>14</v>
          </cell>
          <cell r="Y2545">
            <v>112</v>
          </cell>
        </row>
        <row r="2546">
          <cell r="U2546" t="str">
            <v>L105760</v>
          </cell>
          <cell r="V2546" t="str">
            <v>PV FRVDVG 8kg</v>
          </cell>
          <cell r="W2546" t="str">
            <v>Ajuste</v>
          </cell>
          <cell r="X2546">
            <v>14</v>
          </cell>
          <cell r="Y2546">
            <v>112</v>
          </cell>
        </row>
        <row r="2547">
          <cell r="U2547" t="str">
            <v>L105768</v>
          </cell>
          <cell r="V2547" t="str">
            <v>PV FRVDVG 8kg</v>
          </cell>
          <cell r="W2547" t="str">
            <v>Ajuste</v>
          </cell>
          <cell r="X2547">
            <v>16</v>
          </cell>
          <cell r="Y2547">
            <v>128</v>
          </cell>
        </row>
        <row r="2548">
          <cell r="U2548" t="str">
            <v>L105816</v>
          </cell>
          <cell r="V2548" t="str">
            <v>PV FRVDVG 8kg</v>
          </cell>
          <cell r="W2548" t="str">
            <v>Ajuste</v>
          </cell>
          <cell r="X2548">
            <v>6</v>
          </cell>
          <cell r="Y2548">
            <v>48</v>
          </cell>
        </row>
        <row r="2549">
          <cell r="U2549" t="str">
            <v>L105821</v>
          </cell>
          <cell r="V2549" t="str">
            <v>PV FRVDVG 8kg</v>
          </cell>
          <cell r="W2549" t="str">
            <v>Ajuste</v>
          </cell>
          <cell r="X2549">
            <v>12</v>
          </cell>
          <cell r="Y2549">
            <v>96</v>
          </cell>
        </row>
        <row r="2550">
          <cell r="U2550" t="str">
            <v>L105835</v>
          </cell>
          <cell r="V2550" t="str">
            <v>PV FRVDVG 8kg</v>
          </cell>
          <cell r="W2550" t="str">
            <v>Ajuste</v>
          </cell>
          <cell r="X2550">
            <v>36</v>
          </cell>
          <cell r="Y2550">
            <v>288</v>
          </cell>
        </row>
        <row r="2551">
          <cell r="U2551" t="str">
            <v>L105903</v>
          </cell>
          <cell r="V2551" t="str">
            <v>PV FRVDVG 8kg</v>
          </cell>
          <cell r="W2551" t="str">
            <v>Ajuste</v>
          </cell>
          <cell r="X2551">
            <v>16</v>
          </cell>
          <cell r="Y2551">
            <v>128</v>
          </cell>
        </row>
        <row r="2552">
          <cell r="U2552" t="str">
            <v>L105771</v>
          </cell>
          <cell r="V2552" t="str">
            <v>PV GLV 11Kg</v>
          </cell>
          <cell r="W2552" t="str">
            <v>Ajuste</v>
          </cell>
          <cell r="X2552">
            <v>30</v>
          </cell>
          <cell r="Y2552">
            <v>330</v>
          </cell>
        </row>
        <row r="2553">
          <cell r="U2553" t="str">
            <v>L105789</v>
          </cell>
          <cell r="V2553" t="str">
            <v>PV GLV 7kg</v>
          </cell>
          <cell r="W2553" t="str">
            <v>Ajuste</v>
          </cell>
          <cell r="X2553">
            <v>4</v>
          </cell>
          <cell r="Y2553">
            <v>28</v>
          </cell>
        </row>
        <row r="2554">
          <cell r="U2554" t="str">
            <v>L105555</v>
          </cell>
          <cell r="V2554" t="str">
            <v>PV GTA 1kg</v>
          </cell>
          <cell r="W2554" t="str">
            <v>Ajuste</v>
          </cell>
          <cell r="X2554">
            <v>4</v>
          </cell>
          <cell r="Y2554">
            <v>4</v>
          </cell>
        </row>
        <row r="2555">
          <cell r="U2555" t="str">
            <v>L105556</v>
          </cell>
          <cell r="V2555" t="str">
            <v>PV GTA 1kg</v>
          </cell>
          <cell r="W2555" t="str">
            <v>Ajuste</v>
          </cell>
          <cell r="X2555">
            <v>4</v>
          </cell>
          <cell r="Y2555">
            <v>4</v>
          </cell>
        </row>
        <row r="2556">
          <cell r="U2556" t="str">
            <v>L105557</v>
          </cell>
          <cell r="V2556" t="str">
            <v>PV GTA 1kg</v>
          </cell>
          <cell r="W2556" t="str">
            <v>Ajuste</v>
          </cell>
          <cell r="X2556">
            <v>2</v>
          </cell>
          <cell r="Y2556">
            <v>2</v>
          </cell>
        </row>
        <row r="2557">
          <cell r="U2557" t="str">
            <v>L105559</v>
          </cell>
          <cell r="V2557" t="str">
            <v>PV GTA 1kg</v>
          </cell>
          <cell r="W2557" t="str">
            <v>Ajuste</v>
          </cell>
          <cell r="X2557">
            <v>6</v>
          </cell>
          <cell r="Y2557">
            <v>6</v>
          </cell>
        </row>
        <row r="2558">
          <cell r="U2558" t="str">
            <v>L105552</v>
          </cell>
          <cell r="V2558" t="str">
            <v>PV MYN 3kg</v>
          </cell>
          <cell r="W2558" t="str">
            <v>Ajuste</v>
          </cell>
          <cell r="X2558">
            <v>436</v>
          </cell>
          <cell r="Y2558">
            <v>1308</v>
          </cell>
        </row>
        <row r="2559">
          <cell r="U2559" t="str">
            <v>L105553</v>
          </cell>
          <cell r="V2559" t="str">
            <v>PV MYN 3kg</v>
          </cell>
          <cell r="W2559" t="str">
            <v>Ajuste</v>
          </cell>
          <cell r="X2559">
            <v>4</v>
          </cell>
          <cell r="Y2559">
            <v>12</v>
          </cell>
        </row>
        <row r="2560">
          <cell r="U2560" t="str">
            <v>L105763</v>
          </cell>
          <cell r="V2560" t="str">
            <v>PV MYN 3kg</v>
          </cell>
          <cell r="W2560" t="str">
            <v>Ajuste</v>
          </cell>
          <cell r="X2560">
            <v>420</v>
          </cell>
          <cell r="Y2560">
            <v>1260</v>
          </cell>
        </row>
        <row r="2561">
          <cell r="U2561" t="str">
            <v>L105420</v>
          </cell>
          <cell r="V2561" t="str">
            <v>PV PAN 2kg</v>
          </cell>
          <cell r="W2561" t="str">
            <v>Ajuste</v>
          </cell>
          <cell r="X2561">
            <v>48</v>
          </cell>
          <cell r="Y2561">
            <v>96</v>
          </cell>
        </row>
        <row r="2562">
          <cell r="U2562" t="str">
            <v>L105480</v>
          </cell>
          <cell r="V2562" t="str">
            <v>PV PAN 2kg</v>
          </cell>
          <cell r="W2562" t="str">
            <v>Ajuste</v>
          </cell>
          <cell r="X2562">
            <v>66</v>
          </cell>
          <cell r="Y2562">
            <v>132</v>
          </cell>
        </row>
        <row r="2563">
          <cell r="U2563" t="str">
            <v>L105481</v>
          </cell>
          <cell r="V2563" t="str">
            <v>PV PAN 2kg</v>
          </cell>
          <cell r="W2563" t="str">
            <v>Ajuste</v>
          </cell>
          <cell r="X2563">
            <v>34</v>
          </cell>
          <cell r="Y2563">
            <v>68</v>
          </cell>
        </row>
        <row r="2564">
          <cell r="U2564" t="str">
            <v>L104939</v>
          </cell>
          <cell r="V2564" t="str">
            <v>PV PAN 2kg</v>
          </cell>
          <cell r="W2564" t="str">
            <v>Ajuste</v>
          </cell>
          <cell r="X2564">
            <v>16</v>
          </cell>
          <cell r="Y2564">
            <v>32</v>
          </cell>
        </row>
        <row r="2565">
          <cell r="U2565" t="str">
            <v>L104949</v>
          </cell>
          <cell r="V2565" t="str">
            <v>PV PAN 2kg</v>
          </cell>
          <cell r="W2565" t="str">
            <v>Ajuste</v>
          </cell>
          <cell r="X2565">
            <v>2</v>
          </cell>
          <cell r="Y2565">
            <v>4</v>
          </cell>
        </row>
        <row r="2566">
          <cell r="U2566" t="str">
            <v>L104999</v>
          </cell>
          <cell r="V2566" t="str">
            <v>PV PAN 2kg</v>
          </cell>
          <cell r="W2566" t="str">
            <v>Ajuste</v>
          </cell>
          <cell r="X2566">
            <v>4</v>
          </cell>
          <cell r="Y2566">
            <v>8</v>
          </cell>
        </row>
        <row r="2567">
          <cell r="U2567" t="str">
            <v>L105070</v>
          </cell>
          <cell r="V2567" t="str">
            <v>PV PAN 2kg</v>
          </cell>
          <cell r="W2567" t="str">
            <v>Ajuste</v>
          </cell>
          <cell r="X2567">
            <v>6</v>
          </cell>
          <cell r="Y2567">
            <v>12</v>
          </cell>
        </row>
        <row r="2568">
          <cell r="U2568" t="str">
            <v>L105076</v>
          </cell>
          <cell r="V2568" t="str">
            <v>PV PAN 2kg</v>
          </cell>
          <cell r="W2568" t="str">
            <v>Ajuste</v>
          </cell>
          <cell r="X2568">
            <v>4</v>
          </cell>
          <cell r="Y2568">
            <v>8</v>
          </cell>
        </row>
        <row r="2569">
          <cell r="U2569" t="str">
            <v>L105093</v>
          </cell>
          <cell r="V2569" t="str">
            <v>PV PAN 2kg</v>
          </cell>
          <cell r="W2569" t="str">
            <v>Ajuste</v>
          </cell>
          <cell r="X2569">
            <v>4</v>
          </cell>
          <cell r="Y2569">
            <v>8</v>
          </cell>
        </row>
        <row r="2570">
          <cell r="U2570" t="str">
            <v>L105113</v>
          </cell>
          <cell r="V2570" t="str">
            <v>PV PAN 2kg</v>
          </cell>
          <cell r="W2570" t="str">
            <v>Ajuste</v>
          </cell>
          <cell r="X2570">
            <v>24</v>
          </cell>
          <cell r="Y2570">
            <v>48</v>
          </cell>
        </row>
        <row r="2571">
          <cell r="U2571" t="str">
            <v>L105178</v>
          </cell>
          <cell r="V2571" t="str">
            <v>PV PAN 2kg</v>
          </cell>
          <cell r="W2571" t="str">
            <v>Ajuste</v>
          </cell>
          <cell r="X2571">
            <v>18</v>
          </cell>
          <cell r="Y2571">
            <v>36</v>
          </cell>
        </row>
        <row r="2572">
          <cell r="U2572" t="str">
            <v>L105197</v>
          </cell>
          <cell r="V2572" t="str">
            <v>PV PAN 2kg</v>
          </cell>
          <cell r="W2572" t="str">
            <v>Ajuste</v>
          </cell>
          <cell r="X2572">
            <v>8</v>
          </cell>
          <cell r="Y2572">
            <v>16</v>
          </cell>
        </row>
        <row r="2573">
          <cell r="U2573" t="str">
            <v>L105282</v>
          </cell>
          <cell r="V2573" t="str">
            <v>PV PAN 2kg</v>
          </cell>
          <cell r="W2573" t="str">
            <v>Ajuste</v>
          </cell>
          <cell r="X2573">
            <v>4</v>
          </cell>
          <cell r="Y2573">
            <v>8</v>
          </cell>
        </row>
        <row r="2574">
          <cell r="U2574" t="str">
            <v>L105285</v>
          </cell>
          <cell r="V2574" t="str">
            <v>PV PAN 2kg</v>
          </cell>
          <cell r="W2574" t="str">
            <v>Ajuste</v>
          </cell>
          <cell r="X2574">
            <v>6</v>
          </cell>
          <cell r="Y2574">
            <v>12</v>
          </cell>
        </row>
        <row r="2575">
          <cell r="U2575" t="str">
            <v>L105293</v>
          </cell>
          <cell r="V2575" t="str">
            <v>PV PAN 2kg</v>
          </cell>
          <cell r="W2575" t="str">
            <v>Ajuste</v>
          </cell>
          <cell r="X2575">
            <v>12</v>
          </cell>
          <cell r="Y2575">
            <v>24</v>
          </cell>
        </row>
        <row r="2576">
          <cell r="U2576" t="str">
            <v>L105296</v>
          </cell>
          <cell r="V2576" t="str">
            <v>PV PAN 2kg</v>
          </cell>
          <cell r="W2576" t="str">
            <v>Ajuste</v>
          </cell>
          <cell r="X2576">
            <v>40</v>
          </cell>
          <cell r="Y2576">
            <v>80</v>
          </cell>
        </row>
        <row r="2577">
          <cell r="U2577" t="str">
            <v>L105326</v>
          </cell>
          <cell r="V2577" t="str">
            <v>PV PAN 2kg</v>
          </cell>
          <cell r="W2577" t="str">
            <v>Ajuste</v>
          </cell>
          <cell r="X2577">
            <v>24</v>
          </cell>
          <cell r="Y2577">
            <v>48</v>
          </cell>
        </row>
        <row r="2578">
          <cell r="U2578" t="str">
            <v>L105354</v>
          </cell>
          <cell r="V2578" t="str">
            <v>PV PAN 2kg</v>
          </cell>
          <cell r="W2578" t="str">
            <v>Ajuste</v>
          </cell>
          <cell r="X2578">
            <v>8</v>
          </cell>
          <cell r="Y2578">
            <v>16</v>
          </cell>
        </row>
        <row r="2579">
          <cell r="U2579" t="str">
            <v>L105356</v>
          </cell>
          <cell r="V2579" t="str">
            <v>PV PAN 2kg</v>
          </cell>
          <cell r="W2579" t="str">
            <v>Ajuste</v>
          </cell>
          <cell r="X2579">
            <v>26</v>
          </cell>
          <cell r="Y2579">
            <v>52</v>
          </cell>
        </row>
        <row r="2580">
          <cell r="U2580" t="str">
            <v>L105357</v>
          </cell>
          <cell r="V2580" t="str">
            <v>PV PAN 2kg</v>
          </cell>
          <cell r="W2580" t="str">
            <v>Ajuste</v>
          </cell>
          <cell r="X2580">
            <v>4</v>
          </cell>
          <cell r="Y2580">
            <v>8</v>
          </cell>
        </row>
        <row r="2581">
          <cell r="U2581" t="str">
            <v>L105358</v>
          </cell>
          <cell r="V2581" t="str">
            <v>PV PAN 2kg</v>
          </cell>
          <cell r="W2581" t="str">
            <v>Ajuste</v>
          </cell>
          <cell r="X2581">
            <v>12</v>
          </cell>
          <cell r="Y2581">
            <v>24</v>
          </cell>
        </row>
        <row r="2582">
          <cell r="U2582" t="str">
            <v>L105359</v>
          </cell>
          <cell r="V2582" t="str">
            <v>PV PAN 2kg</v>
          </cell>
          <cell r="W2582" t="str">
            <v>Ajuste</v>
          </cell>
          <cell r="X2582">
            <v>8</v>
          </cell>
          <cell r="Y2582">
            <v>16</v>
          </cell>
        </row>
        <row r="2583">
          <cell r="U2583" t="str">
            <v>L105367</v>
          </cell>
          <cell r="V2583" t="str">
            <v>PV PAN 2kg</v>
          </cell>
          <cell r="W2583" t="str">
            <v>Ajuste</v>
          </cell>
          <cell r="X2583">
            <v>6</v>
          </cell>
          <cell r="Y2583">
            <v>12</v>
          </cell>
        </row>
        <row r="2584">
          <cell r="U2584" t="str">
            <v>L105408</v>
          </cell>
          <cell r="V2584" t="str">
            <v>PV PAN 2kg</v>
          </cell>
          <cell r="W2584" t="str">
            <v>Ajuste</v>
          </cell>
          <cell r="X2584">
            <v>44</v>
          </cell>
          <cell r="Y2584">
            <v>88</v>
          </cell>
        </row>
        <row r="2585">
          <cell r="U2585" t="str">
            <v>L105417</v>
          </cell>
          <cell r="V2585" t="str">
            <v>PV PAN 2kg</v>
          </cell>
          <cell r="W2585" t="str">
            <v>Ajuste</v>
          </cell>
          <cell r="X2585">
            <v>2</v>
          </cell>
          <cell r="Y2585">
            <v>4</v>
          </cell>
        </row>
        <row r="2586">
          <cell r="U2586" t="str">
            <v>L105468</v>
          </cell>
          <cell r="V2586" t="str">
            <v>PV PAN 2kg</v>
          </cell>
          <cell r="W2586" t="str">
            <v>Ajuste</v>
          </cell>
          <cell r="X2586">
            <v>6</v>
          </cell>
          <cell r="Y2586">
            <v>12</v>
          </cell>
        </row>
        <row r="2587">
          <cell r="U2587" t="str">
            <v>L105479</v>
          </cell>
          <cell r="V2587" t="str">
            <v>PV PAN 2kg</v>
          </cell>
          <cell r="W2587" t="str">
            <v>Ajuste</v>
          </cell>
          <cell r="X2587">
            <v>68</v>
          </cell>
          <cell r="Y2587">
            <v>136</v>
          </cell>
        </row>
        <row r="2588">
          <cell r="U2588" t="str">
            <v>L105595</v>
          </cell>
          <cell r="V2588" t="str">
            <v>PV PAN 2kg</v>
          </cell>
          <cell r="W2588" t="str">
            <v>Ajuste</v>
          </cell>
          <cell r="X2588">
            <v>58</v>
          </cell>
          <cell r="Y2588">
            <v>116</v>
          </cell>
        </row>
        <row r="2589">
          <cell r="U2589" t="str">
            <v>L105597</v>
          </cell>
          <cell r="V2589" t="str">
            <v>PV PAN 2kg</v>
          </cell>
          <cell r="W2589" t="str">
            <v>Ajuste</v>
          </cell>
          <cell r="X2589">
            <v>10</v>
          </cell>
          <cell r="Y2589">
            <v>20</v>
          </cell>
        </row>
        <row r="2590">
          <cell r="U2590" t="str">
            <v>L105598</v>
          </cell>
          <cell r="V2590" t="str">
            <v>PV PAN 2kg</v>
          </cell>
          <cell r="W2590" t="str">
            <v>Ajuste</v>
          </cell>
          <cell r="X2590">
            <v>2</v>
          </cell>
          <cell r="Y2590">
            <v>4</v>
          </cell>
        </row>
        <row r="2591">
          <cell r="U2591" t="str">
            <v>L105694</v>
          </cell>
          <cell r="V2591" t="str">
            <v>PV PAN 2kg</v>
          </cell>
          <cell r="W2591" t="str">
            <v>Ajuste</v>
          </cell>
          <cell r="X2591">
            <v>12</v>
          </cell>
          <cell r="Y2591">
            <v>24</v>
          </cell>
        </row>
        <row r="2592">
          <cell r="U2592" t="str">
            <v>L105699</v>
          </cell>
          <cell r="V2592" t="str">
            <v>PV PAN 2kg</v>
          </cell>
          <cell r="W2592" t="str">
            <v>Ajuste</v>
          </cell>
          <cell r="X2592">
            <v>8</v>
          </cell>
          <cell r="Y2592">
            <v>16</v>
          </cell>
        </row>
        <row r="2593">
          <cell r="U2593" t="str">
            <v>L105767</v>
          </cell>
          <cell r="V2593" t="str">
            <v>PV PAN 2kg</v>
          </cell>
          <cell r="W2593" t="str">
            <v>Ajuste</v>
          </cell>
          <cell r="X2593">
            <v>6</v>
          </cell>
          <cell r="Y2593">
            <v>12</v>
          </cell>
        </row>
        <row r="2594">
          <cell r="U2594" t="str">
            <v>L105825</v>
          </cell>
          <cell r="V2594" t="str">
            <v>PV PAN 2kg</v>
          </cell>
          <cell r="W2594" t="str">
            <v>Ajuste</v>
          </cell>
          <cell r="X2594">
            <v>34</v>
          </cell>
          <cell r="Y2594">
            <v>68</v>
          </cell>
        </row>
        <row r="2595">
          <cell r="U2595" t="str">
            <v>L105834</v>
          </cell>
          <cell r="V2595" t="str">
            <v>PV PAN 2kg</v>
          </cell>
          <cell r="W2595" t="str">
            <v>Ajuste</v>
          </cell>
          <cell r="X2595">
            <v>6</v>
          </cell>
          <cell r="Y2595">
            <v>12</v>
          </cell>
        </row>
        <row r="2596">
          <cell r="U2596" t="str">
            <v>L105899</v>
          </cell>
          <cell r="V2596" t="str">
            <v>PV PAN 2kg</v>
          </cell>
          <cell r="W2596" t="str">
            <v>Ajuste</v>
          </cell>
          <cell r="X2596">
            <v>4</v>
          </cell>
          <cell r="Y2596">
            <v>8</v>
          </cell>
        </row>
        <row r="2597">
          <cell r="U2597" t="str">
            <v>L105626</v>
          </cell>
          <cell r="V2597" t="str">
            <v>PV PAN 2kg</v>
          </cell>
          <cell r="W2597" t="str">
            <v>Ajuste</v>
          </cell>
          <cell r="X2597">
            <v>4</v>
          </cell>
          <cell r="Y2597">
            <v>8</v>
          </cell>
        </row>
        <row r="2598">
          <cell r="U2598" t="str">
            <v>L105627</v>
          </cell>
          <cell r="V2598" t="str">
            <v>PV PAN 2kg</v>
          </cell>
          <cell r="W2598" t="str">
            <v>Ajuste</v>
          </cell>
          <cell r="X2598">
            <v>5</v>
          </cell>
          <cell r="Y2598">
            <v>10</v>
          </cell>
        </row>
        <row r="2599">
          <cell r="U2599" t="str">
            <v>L105960</v>
          </cell>
          <cell r="V2599" t="str">
            <v>PV PAN 2kg</v>
          </cell>
          <cell r="W2599" t="str">
            <v>Ajuste</v>
          </cell>
          <cell r="X2599">
            <v>6</v>
          </cell>
          <cell r="Y2599">
            <v>12</v>
          </cell>
        </row>
        <row r="2600">
          <cell r="U2600" t="str">
            <v>L104938</v>
          </cell>
          <cell r="V2600" t="str">
            <v>PV PAN 3kg-CAJA</v>
          </cell>
          <cell r="W2600" t="str">
            <v>Ajuste</v>
          </cell>
          <cell r="X2600">
            <v>2</v>
          </cell>
          <cell r="Y2600">
            <v>6</v>
          </cell>
        </row>
        <row r="2601">
          <cell r="U2601" t="str">
            <v>L105475</v>
          </cell>
          <cell r="V2601" t="str">
            <v>PV PAN 3kg-CAJA</v>
          </cell>
          <cell r="W2601" t="str">
            <v>Ajuste</v>
          </cell>
          <cell r="X2601">
            <v>2</v>
          </cell>
          <cell r="Y2601">
            <v>6</v>
          </cell>
        </row>
        <row r="2602">
          <cell r="U2602" t="str">
            <v>L104948</v>
          </cell>
          <cell r="V2602" t="str">
            <v>PV PASTV 2kg</v>
          </cell>
          <cell r="W2602" t="str">
            <v>Ajuste</v>
          </cell>
          <cell r="X2602">
            <v>12</v>
          </cell>
          <cell r="Y2602">
            <v>24</v>
          </cell>
        </row>
        <row r="2603">
          <cell r="U2603" t="str">
            <v>L104960</v>
          </cell>
          <cell r="V2603" t="str">
            <v>PV PASTV 2kg</v>
          </cell>
          <cell r="W2603" t="str">
            <v>Ajuste</v>
          </cell>
          <cell r="X2603">
            <v>4</v>
          </cell>
          <cell r="Y2603">
            <v>8</v>
          </cell>
        </row>
        <row r="2604">
          <cell r="U2604" t="str">
            <v>L104987</v>
          </cell>
          <cell r="V2604" t="str">
            <v>PV PASTV 2kg</v>
          </cell>
          <cell r="W2604" t="str">
            <v>Ajuste</v>
          </cell>
          <cell r="X2604">
            <v>28</v>
          </cell>
          <cell r="Y2604">
            <v>56</v>
          </cell>
        </row>
        <row r="2605">
          <cell r="U2605" t="str">
            <v>L104998</v>
          </cell>
          <cell r="V2605" t="str">
            <v>PV PASTV 2kg</v>
          </cell>
          <cell r="W2605" t="str">
            <v>Ajuste</v>
          </cell>
          <cell r="X2605">
            <v>36</v>
          </cell>
          <cell r="Y2605">
            <v>72</v>
          </cell>
        </row>
        <row r="2606">
          <cell r="U2606" t="str">
            <v>L105024</v>
          </cell>
          <cell r="V2606" t="str">
            <v>PV PASTV 2kg</v>
          </cell>
          <cell r="W2606" t="str">
            <v>Ajuste</v>
          </cell>
          <cell r="X2606">
            <v>4</v>
          </cell>
          <cell r="Y2606">
            <v>8</v>
          </cell>
        </row>
        <row r="2607">
          <cell r="U2607" t="str">
            <v>L105069</v>
          </cell>
          <cell r="V2607" t="str">
            <v>PV PASTV 2kg</v>
          </cell>
          <cell r="W2607" t="str">
            <v>Ajuste</v>
          </cell>
          <cell r="X2607">
            <v>26</v>
          </cell>
          <cell r="Y2607">
            <v>52</v>
          </cell>
        </row>
        <row r="2608">
          <cell r="U2608" t="str">
            <v>L105075</v>
          </cell>
          <cell r="V2608" t="str">
            <v>PV PASTV 2kg</v>
          </cell>
          <cell r="W2608" t="str">
            <v>Ajuste</v>
          </cell>
          <cell r="X2608">
            <v>28</v>
          </cell>
          <cell r="Y2608">
            <v>56</v>
          </cell>
        </row>
        <row r="2609">
          <cell r="U2609" t="str">
            <v>L105091</v>
          </cell>
          <cell r="V2609" t="str">
            <v>PV PASTV 2kg</v>
          </cell>
          <cell r="W2609" t="str">
            <v>Ajuste</v>
          </cell>
          <cell r="X2609">
            <v>28</v>
          </cell>
          <cell r="Y2609">
            <v>56</v>
          </cell>
        </row>
        <row r="2610">
          <cell r="U2610" t="str">
            <v>L105177</v>
          </cell>
          <cell r="V2610" t="str">
            <v>PV PASTV 2kg</v>
          </cell>
          <cell r="W2610" t="str">
            <v>Ajuste</v>
          </cell>
          <cell r="X2610">
            <v>24</v>
          </cell>
          <cell r="Y2610">
            <v>48</v>
          </cell>
        </row>
        <row r="2611">
          <cell r="U2611" t="str">
            <v>L105196</v>
          </cell>
          <cell r="V2611" t="str">
            <v>PV PASTV 2kg</v>
          </cell>
          <cell r="W2611" t="str">
            <v>Ajuste</v>
          </cell>
          <cell r="X2611">
            <v>62</v>
          </cell>
          <cell r="Y2611">
            <v>124</v>
          </cell>
        </row>
        <row r="2612">
          <cell r="U2612" t="str">
            <v>L105281</v>
          </cell>
          <cell r="V2612" t="str">
            <v>PV PASTV 2kg</v>
          </cell>
          <cell r="W2612" t="str">
            <v>Ajuste</v>
          </cell>
          <cell r="X2612">
            <v>16</v>
          </cell>
          <cell r="Y2612">
            <v>32</v>
          </cell>
        </row>
        <row r="2613">
          <cell r="U2613" t="str">
            <v>L105284</v>
          </cell>
          <cell r="V2613" t="str">
            <v>PV PASTV 2kg</v>
          </cell>
          <cell r="W2613" t="str">
            <v>Ajuste</v>
          </cell>
          <cell r="X2613">
            <v>24</v>
          </cell>
          <cell r="Y2613">
            <v>48</v>
          </cell>
        </row>
        <row r="2614">
          <cell r="U2614" t="str">
            <v>L105291</v>
          </cell>
          <cell r="V2614" t="str">
            <v>PV PASTV 2kg</v>
          </cell>
          <cell r="W2614" t="str">
            <v>Ajuste</v>
          </cell>
          <cell r="X2614">
            <v>28</v>
          </cell>
          <cell r="Y2614">
            <v>56</v>
          </cell>
        </row>
        <row r="2615">
          <cell r="U2615" t="str">
            <v>L105345</v>
          </cell>
          <cell r="V2615" t="str">
            <v>PV PASTV 2kg</v>
          </cell>
          <cell r="W2615" t="str">
            <v>Ajuste</v>
          </cell>
          <cell r="X2615">
            <v>12</v>
          </cell>
          <cell r="Y2615">
            <v>24</v>
          </cell>
        </row>
        <row r="2616">
          <cell r="U2616" t="str">
            <v>L105353</v>
          </cell>
          <cell r="V2616" t="str">
            <v>PV PASTV 2kg</v>
          </cell>
          <cell r="W2616" t="str">
            <v>Ajuste</v>
          </cell>
          <cell r="X2616">
            <v>16</v>
          </cell>
          <cell r="Y2616">
            <v>32</v>
          </cell>
        </row>
        <row r="2617">
          <cell r="U2617" t="str">
            <v>L105405</v>
          </cell>
          <cell r="V2617" t="str">
            <v>PV PASTV 2kg</v>
          </cell>
          <cell r="W2617" t="str">
            <v>Ajuste</v>
          </cell>
          <cell r="X2617">
            <v>22</v>
          </cell>
          <cell r="Y2617">
            <v>44</v>
          </cell>
        </row>
        <row r="2618">
          <cell r="U2618" t="str">
            <v>L105407</v>
          </cell>
          <cell r="V2618" t="str">
            <v>PV PASTV 2kg</v>
          </cell>
          <cell r="W2618" t="str">
            <v>Ajuste</v>
          </cell>
          <cell r="X2618">
            <v>8</v>
          </cell>
          <cell r="Y2618">
            <v>16</v>
          </cell>
        </row>
        <row r="2619">
          <cell r="U2619" t="str">
            <v>L105416</v>
          </cell>
          <cell r="V2619" t="str">
            <v>PV PASTV 2kg</v>
          </cell>
          <cell r="W2619" t="str">
            <v>Ajuste</v>
          </cell>
          <cell r="X2619">
            <v>42</v>
          </cell>
          <cell r="Y2619">
            <v>84</v>
          </cell>
        </row>
        <row r="2620">
          <cell r="U2620" t="str">
            <v>L105467</v>
          </cell>
          <cell r="V2620" t="str">
            <v>PV PASTV 2kg</v>
          </cell>
          <cell r="W2620" t="str">
            <v>Ajuste</v>
          </cell>
          <cell r="X2620">
            <v>10</v>
          </cell>
          <cell r="Y2620">
            <v>20</v>
          </cell>
        </row>
        <row r="2621">
          <cell r="U2621" t="str">
            <v>L105473</v>
          </cell>
          <cell r="V2621" t="str">
            <v>PV PASTV 2kg</v>
          </cell>
          <cell r="W2621" t="str">
            <v>Ajuste</v>
          </cell>
          <cell r="X2621">
            <v>6</v>
          </cell>
          <cell r="Y2621">
            <v>12</v>
          </cell>
        </row>
        <row r="2622">
          <cell r="U2622" t="str">
            <v>L105695</v>
          </cell>
          <cell r="V2622" t="str">
            <v>PV PASTV 2kg</v>
          </cell>
          <cell r="W2622" t="str">
            <v>Ajuste</v>
          </cell>
          <cell r="X2622">
            <v>28</v>
          </cell>
          <cell r="Y2622">
            <v>56</v>
          </cell>
        </row>
        <row r="2623">
          <cell r="U2623" t="str">
            <v>L105698</v>
          </cell>
          <cell r="V2623" t="str">
            <v>PV PASTV 2kg</v>
          </cell>
          <cell r="W2623" t="str">
            <v>Ajuste</v>
          </cell>
          <cell r="X2623">
            <v>20</v>
          </cell>
          <cell r="Y2623">
            <v>40</v>
          </cell>
        </row>
        <row r="2624">
          <cell r="U2624" t="str">
            <v>L105759</v>
          </cell>
          <cell r="V2624" t="str">
            <v>PV PASTV 2kg</v>
          </cell>
          <cell r="W2624" t="str">
            <v>Ajuste</v>
          </cell>
          <cell r="X2624">
            <v>26</v>
          </cell>
          <cell r="Y2624">
            <v>52</v>
          </cell>
        </row>
        <row r="2625">
          <cell r="U2625" t="str">
            <v>L105766</v>
          </cell>
          <cell r="V2625" t="str">
            <v>PV PASTV 2kg</v>
          </cell>
          <cell r="W2625" t="str">
            <v>Ajuste</v>
          </cell>
          <cell r="X2625">
            <v>24</v>
          </cell>
          <cell r="Y2625">
            <v>48</v>
          </cell>
        </row>
        <row r="2626">
          <cell r="U2626" t="str">
            <v>L105824</v>
          </cell>
          <cell r="V2626" t="str">
            <v>PV PASTV 2kg</v>
          </cell>
          <cell r="W2626" t="str">
            <v>Ajuste</v>
          </cell>
          <cell r="X2626">
            <v>15</v>
          </cell>
          <cell r="Y2626">
            <v>30</v>
          </cell>
        </row>
        <row r="2627">
          <cell r="U2627" t="str">
            <v>L105824</v>
          </cell>
          <cell r="V2627" t="str">
            <v>PV PASTV 2kg</v>
          </cell>
          <cell r="W2627" t="str">
            <v>Uso del BAP</v>
          </cell>
          <cell r="X2627">
            <v>1</v>
          </cell>
          <cell r="Y2627">
            <v>2</v>
          </cell>
        </row>
        <row r="2628">
          <cell r="U2628" t="str">
            <v>L105833</v>
          </cell>
          <cell r="V2628" t="str">
            <v>PV PASTV 2kg</v>
          </cell>
          <cell r="W2628" t="str">
            <v>Ajuste</v>
          </cell>
          <cell r="X2628">
            <v>28</v>
          </cell>
          <cell r="Y2628">
            <v>56</v>
          </cell>
        </row>
        <row r="2629">
          <cell r="U2629" t="str">
            <v>L105897</v>
          </cell>
          <cell r="V2629" t="str">
            <v>PV PASTV 2kg</v>
          </cell>
          <cell r="W2629" t="str">
            <v>Ajuste</v>
          </cell>
          <cell r="X2629">
            <v>26</v>
          </cell>
          <cell r="Y2629">
            <v>52</v>
          </cell>
        </row>
        <row r="2630">
          <cell r="U2630" t="str">
            <v>L105973</v>
          </cell>
          <cell r="V2630" t="str">
            <v>PV PASTV 2kg</v>
          </cell>
          <cell r="W2630" t="str">
            <v>Ajuste</v>
          </cell>
          <cell r="X2630">
            <v>6</v>
          </cell>
          <cell r="Y2630">
            <v>12</v>
          </cell>
        </row>
        <row r="2631">
          <cell r="U2631" t="str">
            <v>L104947</v>
          </cell>
          <cell r="V2631" t="str">
            <v>PV PASTV 3kg</v>
          </cell>
          <cell r="W2631" t="str">
            <v>Ajuste</v>
          </cell>
          <cell r="X2631">
            <v>4</v>
          </cell>
          <cell r="Y2631">
            <v>12</v>
          </cell>
        </row>
        <row r="2632">
          <cell r="U2632" t="str">
            <v>L104959</v>
          </cell>
          <cell r="V2632" t="str">
            <v>PV PASTV 3kg</v>
          </cell>
          <cell r="W2632" t="str">
            <v>Ajuste</v>
          </cell>
          <cell r="X2632">
            <v>16</v>
          </cell>
          <cell r="Y2632">
            <v>48</v>
          </cell>
        </row>
        <row r="2633">
          <cell r="U2633" t="str">
            <v>L104968</v>
          </cell>
          <cell r="V2633" t="str">
            <v>PV PASTV 3kg</v>
          </cell>
          <cell r="W2633" t="str">
            <v>Ajuste</v>
          </cell>
          <cell r="X2633">
            <v>2</v>
          </cell>
          <cell r="Y2633">
            <v>6</v>
          </cell>
        </row>
        <row r="2634">
          <cell r="U2634" t="str">
            <v>L104986</v>
          </cell>
          <cell r="V2634" t="str">
            <v>PV PASTV 3kg</v>
          </cell>
          <cell r="W2634" t="str">
            <v>Ajuste</v>
          </cell>
          <cell r="X2634">
            <v>14</v>
          </cell>
          <cell r="Y2634">
            <v>42</v>
          </cell>
        </row>
        <row r="2635">
          <cell r="U2635" t="str">
            <v>L104997</v>
          </cell>
          <cell r="V2635" t="str">
            <v>PV PASTV 3kg</v>
          </cell>
          <cell r="W2635" t="str">
            <v>Ajuste</v>
          </cell>
          <cell r="X2635">
            <v>40</v>
          </cell>
          <cell r="Y2635">
            <v>120</v>
          </cell>
        </row>
        <row r="2636">
          <cell r="U2636" t="str">
            <v>L105068</v>
          </cell>
          <cell r="V2636" t="str">
            <v>PV PASTV 3kg</v>
          </cell>
          <cell r="W2636" t="str">
            <v>Ajuste</v>
          </cell>
          <cell r="X2636">
            <v>28</v>
          </cell>
          <cell r="Y2636">
            <v>84</v>
          </cell>
        </row>
        <row r="2637">
          <cell r="U2637" t="str">
            <v>L105074</v>
          </cell>
          <cell r="V2637" t="str">
            <v>PV PASTV 3kg</v>
          </cell>
          <cell r="W2637" t="str">
            <v>Ajuste</v>
          </cell>
          <cell r="X2637">
            <v>42</v>
          </cell>
          <cell r="Y2637">
            <v>126</v>
          </cell>
        </row>
        <row r="2638">
          <cell r="U2638" t="str">
            <v>L105176</v>
          </cell>
          <cell r="V2638" t="str">
            <v>PV PASTV 3kg</v>
          </cell>
          <cell r="W2638" t="str">
            <v>Ajuste</v>
          </cell>
          <cell r="X2638">
            <v>26</v>
          </cell>
          <cell r="Y2638">
            <v>78</v>
          </cell>
        </row>
        <row r="2639">
          <cell r="U2639" t="str">
            <v>L105194</v>
          </cell>
          <cell r="V2639" t="str">
            <v>PV PASTV 3kg</v>
          </cell>
          <cell r="W2639" t="str">
            <v>Ajuste</v>
          </cell>
          <cell r="X2639">
            <v>22</v>
          </cell>
          <cell r="Y2639">
            <v>66</v>
          </cell>
        </row>
        <row r="2640">
          <cell r="U2640" t="str">
            <v>L105280</v>
          </cell>
          <cell r="V2640" t="str">
            <v>PV PASTV 3kg</v>
          </cell>
          <cell r="W2640" t="str">
            <v>Ajuste</v>
          </cell>
          <cell r="X2640">
            <v>22</v>
          </cell>
          <cell r="Y2640">
            <v>66</v>
          </cell>
        </row>
        <row r="2641">
          <cell r="U2641" t="str">
            <v>L105283</v>
          </cell>
          <cell r="V2641" t="str">
            <v>PV PASTV 3kg</v>
          </cell>
          <cell r="W2641" t="str">
            <v>Ajuste</v>
          </cell>
          <cell r="X2641">
            <v>10</v>
          </cell>
          <cell r="Y2641">
            <v>30</v>
          </cell>
        </row>
        <row r="2642">
          <cell r="U2642" t="str">
            <v>L105292</v>
          </cell>
          <cell r="V2642" t="str">
            <v>PV PASTV 3kg</v>
          </cell>
          <cell r="W2642" t="str">
            <v>Ajuste</v>
          </cell>
          <cell r="X2642">
            <v>2</v>
          </cell>
          <cell r="Y2642">
            <v>6</v>
          </cell>
        </row>
        <row r="2643">
          <cell r="U2643" t="str">
            <v>L105344</v>
          </cell>
          <cell r="V2643" t="str">
            <v>PV PASTV 3kg</v>
          </cell>
          <cell r="W2643" t="str">
            <v>Ajuste</v>
          </cell>
          <cell r="X2643">
            <v>26</v>
          </cell>
          <cell r="Y2643">
            <v>78</v>
          </cell>
        </row>
        <row r="2644">
          <cell r="U2644" t="str">
            <v>L105351</v>
          </cell>
          <cell r="V2644" t="str">
            <v>PV PASTV 3kg</v>
          </cell>
          <cell r="W2644" t="str">
            <v>Ajuste</v>
          </cell>
          <cell r="X2644">
            <v>12</v>
          </cell>
          <cell r="Y2644">
            <v>36</v>
          </cell>
        </row>
        <row r="2645">
          <cell r="U2645" t="str">
            <v>L105404</v>
          </cell>
          <cell r="V2645" t="str">
            <v>PV PASTV 3kg</v>
          </cell>
          <cell r="W2645" t="str">
            <v>Ajuste</v>
          </cell>
          <cell r="X2645">
            <v>12</v>
          </cell>
          <cell r="Y2645">
            <v>36</v>
          </cell>
        </row>
        <row r="2646">
          <cell r="U2646" t="str">
            <v>L105406</v>
          </cell>
          <cell r="V2646" t="str">
            <v>PV PASTV 3kg</v>
          </cell>
          <cell r="W2646" t="str">
            <v>Ajuste</v>
          </cell>
          <cell r="X2646">
            <v>12</v>
          </cell>
          <cell r="Y2646">
            <v>36</v>
          </cell>
        </row>
        <row r="2647">
          <cell r="U2647" t="str">
            <v>L105474</v>
          </cell>
          <cell r="V2647" t="str">
            <v>PV PASTV 3kg</v>
          </cell>
          <cell r="W2647" t="str">
            <v>Ajuste</v>
          </cell>
          <cell r="X2647">
            <v>10</v>
          </cell>
          <cell r="Y2647">
            <v>30</v>
          </cell>
        </row>
        <row r="2648">
          <cell r="U2648" t="str">
            <v>L105696</v>
          </cell>
          <cell r="V2648" t="str">
            <v>PV PASTV 3kg</v>
          </cell>
          <cell r="W2648" t="str">
            <v>Ajuste</v>
          </cell>
          <cell r="X2648">
            <v>38</v>
          </cell>
          <cell r="Y2648">
            <v>114</v>
          </cell>
        </row>
        <row r="2649">
          <cell r="U2649" t="str">
            <v>L105697</v>
          </cell>
          <cell r="V2649" t="str">
            <v>PV PASTV 3kg</v>
          </cell>
          <cell r="W2649" t="str">
            <v>Ajuste</v>
          </cell>
          <cell r="X2649">
            <v>8</v>
          </cell>
          <cell r="Y2649">
            <v>24</v>
          </cell>
        </row>
        <row r="2650">
          <cell r="U2650" t="str">
            <v>L105757</v>
          </cell>
          <cell r="V2650" t="str">
            <v>PV PASTV 3kg</v>
          </cell>
          <cell r="W2650" t="str">
            <v>Ajuste</v>
          </cell>
          <cell r="X2650">
            <v>28</v>
          </cell>
          <cell r="Y2650">
            <v>84</v>
          </cell>
        </row>
        <row r="2651">
          <cell r="U2651" t="str">
            <v>L105765</v>
          </cell>
          <cell r="V2651" t="str">
            <v>PV PASTV 3kg</v>
          </cell>
          <cell r="W2651" t="str">
            <v>Ajuste</v>
          </cell>
          <cell r="X2651">
            <v>12</v>
          </cell>
          <cell r="Y2651">
            <v>36</v>
          </cell>
        </row>
        <row r="2652">
          <cell r="U2652" t="str">
            <v>L105823</v>
          </cell>
          <cell r="V2652" t="str">
            <v>PV PASTV 3kg</v>
          </cell>
          <cell r="W2652" t="str">
            <v>Ajuste</v>
          </cell>
          <cell r="X2652">
            <v>24</v>
          </cell>
          <cell r="Y2652">
            <v>72</v>
          </cell>
        </row>
        <row r="2653">
          <cell r="U2653" t="str">
            <v>L105832</v>
          </cell>
          <cell r="V2653" t="str">
            <v>PV PASTV 3kg</v>
          </cell>
          <cell r="W2653" t="str">
            <v>Ajuste</v>
          </cell>
          <cell r="X2653">
            <v>4</v>
          </cell>
          <cell r="Y2653">
            <v>12</v>
          </cell>
        </row>
        <row r="2654">
          <cell r="U2654" t="str">
            <v>L105898</v>
          </cell>
          <cell r="V2654" t="str">
            <v>PV PASTV 3kg</v>
          </cell>
          <cell r="W2654" t="str">
            <v>Ajuste</v>
          </cell>
          <cell r="X2654">
            <v>8</v>
          </cell>
          <cell r="Y2654">
            <v>24</v>
          </cell>
        </row>
        <row r="2655">
          <cell r="U2655" t="str">
            <v>L105961</v>
          </cell>
          <cell r="V2655" t="str">
            <v>PV PASTV 3kg</v>
          </cell>
          <cell r="W2655" t="str">
            <v>Ajuste</v>
          </cell>
          <cell r="X2655">
            <v>3</v>
          </cell>
          <cell r="Y2655">
            <v>9</v>
          </cell>
        </row>
        <row r="2656">
          <cell r="U2656" t="str">
            <v>L104980</v>
          </cell>
          <cell r="V2656" t="str">
            <v>PV PASTV 4kg</v>
          </cell>
          <cell r="W2656" t="str">
            <v>Ajuste</v>
          </cell>
          <cell r="X2656">
            <v>2</v>
          </cell>
          <cell r="Y2656">
            <v>8</v>
          </cell>
        </row>
        <row r="2657">
          <cell r="U2657" t="str">
            <v>L104993</v>
          </cell>
          <cell r="V2657" t="str">
            <v>PV PASTV 4kg</v>
          </cell>
          <cell r="W2657" t="str">
            <v>Ajuste</v>
          </cell>
          <cell r="X2657">
            <v>8</v>
          </cell>
          <cell r="Y2657">
            <v>32</v>
          </cell>
        </row>
        <row r="2658">
          <cell r="U2658" t="str">
            <v>L105067</v>
          </cell>
          <cell r="V2658" t="str">
            <v>PV PASTV 4kg</v>
          </cell>
          <cell r="W2658" t="str">
            <v>Ajuste</v>
          </cell>
          <cell r="X2658">
            <v>8</v>
          </cell>
          <cell r="Y2658">
            <v>32</v>
          </cell>
        </row>
        <row r="2659">
          <cell r="U2659" t="str">
            <v>L105073</v>
          </cell>
          <cell r="V2659" t="str">
            <v>PV PASTV 4kg</v>
          </cell>
          <cell r="W2659" t="str">
            <v>Ajuste</v>
          </cell>
          <cell r="X2659">
            <v>2</v>
          </cell>
          <cell r="Y2659">
            <v>8</v>
          </cell>
        </row>
        <row r="2660">
          <cell r="U2660" t="str">
            <v>L105089</v>
          </cell>
          <cell r="V2660" t="str">
            <v>PV PASTV 4kg</v>
          </cell>
          <cell r="W2660" t="str">
            <v>Ajuste</v>
          </cell>
          <cell r="X2660">
            <v>2</v>
          </cell>
          <cell r="Y2660">
            <v>8</v>
          </cell>
        </row>
        <row r="2661">
          <cell r="U2661" t="str">
            <v>L105195</v>
          </cell>
          <cell r="V2661" t="str">
            <v>PV PASTV 4kg</v>
          </cell>
          <cell r="W2661" t="str">
            <v>Ajuste</v>
          </cell>
          <cell r="X2661">
            <v>4</v>
          </cell>
          <cell r="Y2661">
            <v>16</v>
          </cell>
        </row>
        <row r="2662">
          <cell r="U2662" t="str">
            <v>L105279</v>
          </cell>
          <cell r="V2662" t="str">
            <v>PV PASTV 4kg</v>
          </cell>
          <cell r="W2662" t="str">
            <v>Ajuste</v>
          </cell>
          <cell r="X2662">
            <v>6</v>
          </cell>
          <cell r="Y2662">
            <v>24</v>
          </cell>
        </row>
        <row r="2663">
          <cell r="U2663" t="str">
            <v>L105758</v>
          </cell>
          <cell r="V2663" t="str">
            <v>PV PASTV 4kg</v>
          </cell>
          <cell r="W2663" t="str">
            <v>Ajuste</v>
          </cell>
          <cell r="X2663">
            <v>4</v>
          </cell>
          <cell r="Y2663">
            <v>16</v>
          </cell>
        </row>
        <row r="2664">
          <cell r="U2664" t="str">
            <v>L105175</v>
          </cell>
          <cell r="V2664" t="str">
            <v>PV PRTZ UND</v>
          </cell>
          <cell r="W2664" t="str">
            <v>Ajuste</v>
          </cell>
          <cell r="X2664">
            <v>18</v>
          </cell>
          <cell r="Y2664">
            <v>18</v>
          </cell>
        </row>
        <row r="2665">
          <cell r="U2665" t="str">
            <v>L105181</v>
          </cell>
          <cell r="V2665" t="str">
            <v>PV PRTZ UND</v>
          </cell>
          <cell r="W2665" t="str">
            <v>Ajuste</v>
          </cell>
          <cell r="X2665">
            <v>20</v>
          </cell>
          <cell r="Y2665">
            <v>20</v>
          </cell>
        </row>
        <row r="2666">
          <cell r="U2666" t="str">
            <v>L105325</v>
          </cell>
          <cell r="V2666" t="str">
            <v>PV PRTZ UND</v>
          </cell>
          <cell r="W2666" t="str">
            <v>Ajuste</v>
          </cell>
          <cell r="X2666">
            <v>16</v>
          </cell>
          <cell r="Y2666">
            <v>16</v>
          </cell>
        </row>
        <row r="2667">
          <cell r="U2667" t="str">
            <v>L105684</v>
          </cell>
          <cell r="V2667" t="str">
            <v>PV PRTZ UND</v>
          </cell>
          <cell r="W2667" t="str">
            <v>Ajuste</v>
          </cell>
          <cell r="X2667">
            <v>24</v>
          </cell>
          <cell r="Y2667">
            <v>24</v>
          </cell>
        </row>
        <row r="2668">
          <cell r="U2668" t="str">
            <v>L105755</v>
          </cell>
          <cell r="V2668" t="str">
            <v>PV PRTZ UND</v>
          </cell>
          <cell r="W2668" t="str">
            <v>Ajuste</v>
          </cell>
          <cell r="X2668">
            <v>10</v>
          </cell>
          <cell r="Y2668">
            <v>10</v>
          </cell>
        </row>
        <row r="2669">
          <cell r="U2669" t="str">
            <v>L105802</v>
          </cell>
          <cell r="V2669" t="str">
            <v>PV PRTZ UND</v>
          </cell>
          <cell r="W2669" t="str">
            <v>Ajuste</v>
          </cell>
          <cell r="X2669">
            <v>30</v>
          </cell>
          <cell r="Y2669">
            <v>30</v>
          </cell>
        </row>
        <row r="2670">
          <cell r="U2670" t="str">
            <v>L105811</v>
          </cell>
          <cell r="V2670" t="str">
            <v>PV PRTZ UND</v>
          </cell>
          <cell r="W2670" t="str">
            <v>Ajuste</v>
          </cell>
          <cell r="X2670">
            <v>20</v>
          </cell>
          <cell r="Y2670">
            <v>20</v>
          </cell>
        </row>
        <row r="2671">
          <cell r="U2671" t="str">
            <v>L105815</v>
          </cell>
          <cell r="V2671" t="str">
            <v>PV PRTZ UND</v>
          </cell>
          <cell r="W2671" t="str">
            <v>Ajuste</v>
          </cell>
          <cell r="X2671">
            <v>32</v>
          </cell>
          <cell r="Y2671">
            <v>32</v>
          </cell>
        </row>
        <row r="2672">
          <cell r="U2672" t="str">
            <v>L105895</v>
          </cell>
          <cell r="V2672" t="str">
            <v>PV PRTZ UND</v>
          </cell>
          <cell r="W2672" t="str">
            <v>Ajuste</v>
          </cell>
          <cell r="X2672">
            <v>44</v>
          </cell>
          <cell r="Y2672">
            <v>44</v>
          </cell>
        </row>
        <row r="2673">
          <cell r="U2673" t="str">
            <v>L105938</v>
          </cell>
          <cell r="V2673" t="str">
            <v>PV PTD 2 kg</v>
          </cell>
          <cell r="W2673" t="str">
            <v>Ajuste</v>
          </cell>
          <cell r="X2673">
            <v>2</v>
          </cell>
          <cell r="Y2673">
            <v>4</v>
          </cell>
        </row>
        <row r="2674">
          <cell r="U2674" t="str">
            <v>L105985</v>
          </cell>
          <cell r="V2674" t="str">
            <v>PV PTM 5kg-CAJA</v>
          </cell>
          <cell r="W2674" t="str">
            <v>Ajuste</v>
          </cell>
          <cell r="X2674">
            <v>258</v>
          </cell>
          <cell r="Y2674">
            <v>1290</v>
          </cell>
        </row>
        <row r="2675">
          <cell r="U2675" t="str">
            <v>L105922</v>
          </cell>
          <cell r="V2675" t="str">
            <v>PV SBC 2kg</v>
          </cell>
          <cell r="W2675" t="str">
            <v>Ajuste</v>
          </cell>
          <cell r="X2675">
            <v>1</v>
          </cell>
          <cell r="Y2675">
            <v>2</v>
          </cell>
        </row>
        <row r="2676">
          <cell r="U2676" t="str">
            <v>L105838</v>
          </cell>
          <cell r="V2676" t="str">
            <v>SNK 1.5kg-CAJA</v>
          </cell>
          <cell r="W2676" t="str">
            <v>Ajuste</v>
          </cell>
          <cell r="X2676">
            <v>1</v>
          </cell>
          <cell r="Y2676">
            <v>1.5</v>
          </cell>
        </row>
        <row r="2677">
          <cell r="U2677" t="str">
            <v>L105838</v>
          </cell>
          <cell r="V2677" t="str">
            <v>PV SNK 1.5kg</v>
          </cell>
          <cell r="W2677" t="str">
            <v>Ajuste</v>
          </cell>
          <cell r="X2677">
            <v>2</v>
          </cell>
          <cell r="Y2677">
            <v>3</v>
          </cell>
        </row>
        <row r="2678">
          <cell r="U2678" t="str">
            <v>L105570</v>
          </cell>
          <cell r="V2678" t="str">
            <v>PV SNK 1Kg</v>
          </cell>
          <cell r="W2678" t="str">
            <v>Ajuste</v>
          </cell>
          <cell r="X2678">
            <v>4</v>
          </cell>
          <cell r="Y2678">
            <v>4</v>
          </cell>
        </row>
        <row r="2679">
          <cell r="U2679" t="str">
            <v>L105571</v>
          </cell>
          <cell r="V2679" t="str">
            <v>PV SNK 1Kg</v>
          </cell>
          <cell r="W2679" t="str">
            <v>Ajuste</v>
          </cell>
          <cell r="X2679">
            <v>6</v>
          </cell>
          <cell r="Y2679">
            <v>6</v>
          </cell>
        </row>
        <row r="2680">
          <cell r="U2680" t="str">
            <v>L105572</v>
          </cell>
          <cell r="V2680" t="str">
            <v>PV SNK 1Kg</v>
          </cell>
          <cell r="W2680" t="str">
            <v>Ajuste</v>
          </cell>
          <cell r="X2680">
            <v>6</v>
          </cell>
          <cell r="Y2680">
            <v>6</v>
          </cell>
        </row>
        <row r="2681">
          <cell r="U2681" t="str">
            <v>L105573</v>
          </cell>
          <cell r="V2681" t="str">
            <v>PV SNK 1Kg</v>
          </cell>
          <cell r="W2681" t="str">
            <v>Ajuste</v>
          </cell>
          <cell r="X2681">
            <v>2</v>
          </cell>
          <cell r="Y2681">
            <v>2</v>
          </cell>
        </row>
        <row r="2682">
          <cell r="U2682" t="str">
            <v>L105574</v>
          </cell>
          <cell r="V2682" t="str">
            <v>PV SNK 1Kg</v>
          </cell>
          <cell r="W2682" t="str">
            <v>Ajuste</v>
          </cell>
          <cell r="X2682">
            <v>4</v>
          </cell>
          <cell r="Y2682">
            <v>4</v>
          </cell>
        </row>
        <row r="2683">
          <cell r="U2683" t="str">
            <v>L105562</v>
          </cell>
          <cell r="V2683" t="str">
            <v>PV SNK 2kg</v>
          </cell>
          <cell r="W2683" t="str">
            <v>Ajuste</v>
          </cell>
          <cell r="X2683">
            <v>11</v>
          </cell>
          <cell r="Y2683">
            <v>22</v>
          </cell>
        </row>
        <row r="2684">
          <cell r="U2684" t="str">
            <v>L105562</v>
          </cell>
          <cell r="V2684" t="str">
            <v>PV SNK 2kg</v>
          </cell>
          <cell r="W2684" t="str">
            <v>Uso del BAP</v>
          </cell>
          <cell r="X2684">
            <v>1</v>
          </cell>
          <cell r="Y2684">
            <v>2</v>
          </cell>
        </row>
        <row r="2685">
          <cell r="U2685" t="str">
            <v>L105563</v>
          </cell>
          <cell r="V2685" t="str">
            <v>PV SNK 2kg</v>
          </cell>
          <cell r="W2685" t="str">
            <v>Ajuste</v>
          </cell>
          <cell r="X2685">
            <v>6</v>
          </cell>
          <cell r="Y2685">
            <v>12</v>
          </cell>
        </row>
        <row r="2686">
          <cell r="U2686" t="str">
            <v>L105564</v>
          </cell>
          <cell r="V2686" t="str">
            <v>PV SNK 2kg</v>
          </cell>
          <cell r="W2686" t="str">
            <v>Ajuste</v>
          </cell>
          <cell r="X2686">
            <v>8</v>
          </cell>
          <cell r="Y2686">
            <v>16</v>
          </cell>
        </row>
        <row r="2687">
          <cell r="U2687" t="str">
            <v>L105565</v>
          </cell>
          <cell r="V2687" t="str">
            <v>PV SNK 2kg</v>
          </cell>
          <cell r="W2687" t="str">
            <v>Ajuste</v>
          </cell>
          <cell r="X2687">
            <v>4</v>
          </cell>
          <cell r="Y2687">
            <v>8</v>
          </cell>
        </row>
        <row r="2688">
          <cell r="U2688" t="str">
            <v>L105566</v>
          </cell>
          <cell r="V2688" t="str">
            <v>PV SNK 2kg</v>
          </cell>
          <cell r="W2688" t="str">
            <v>Ajuste</v>
          </cell>
          <cell r="X2688">
            <v>2</v>
          </cell>
          <cell r="Y2688">
            <v>4</v>
          </cell>
        </row>
        <row r="2689">
          <cell r="U2689" t="str">
            <v>L105937</v>
          </cell>
          <cell r="V2689" t="str">
            <v>PV SZD 5kg</v>
          </cell>
          <cell r="W2689" t="str">
            <v>Ajuste</v>
          </cell>
          <cell r="X2689">
            <v>4</v>
          </cell>
          <cell r="Y2689">
            <v>20</v>
          </cell>
        </row>
        <row r="2690">
          <cell r="U2690" t="str">
            <v>L105770</v>
          </cell>
          <cell r="V2690" t="str">
            <v>PV TMCH 5kg</v>
          </cell>
          <cell r="W2690" t="str">
            <v>Ajuste</v>
          </cell>
          <cell r="X2690">
            <v>284</v>
          </cell>
          <cell r="Y2690">
            <v>1420</v>
          </cell>
        </row>
        <row r="2691">
          <cell r="U2691" t="str">
            <v>L105244</v>
          </cell>
          <cell r="V2691" t="str">
            <v>SAL 1kg-PAQUETE</v>
          </cell>
          <cell r="W2691" t="str">
            <v>Ajuste</v>
          </cell>
          <cell r="X2691">
            <v>159</v>
          </cell>
          <cell r="Y2691">
            <v>159</v>
          </cell>
        </row>
        <row r="2692">
          <cell r="U2692" t="str">
            <v>L105529</v>
          </cell>
          <cell r="V2692" t="str">
            <v>SAL 1kg-PAQUETE</v>
          </cell>
          <cell r="W2692" t="str">
            <v>Ajuste</v>
          </cell>
          <cell r="X2692">
            <v>48</v>
          </cell>
          <cell r="Y2692">
            <v>48</v>
          </cell>
        </row>
        <row r="2693">
          <cell r="U2693" t="str">
            <v>l105398</v>
          </cell>
          <cell r="V2693" t="str">
            <v>SAL 2kg-PAQUETE</v>
          </cell>
          <cell r="W2693" t="str">
            <v>Ajuste</v>
          </cell>
          <cell r="X2693">
            <v>10</v>
          </cell>
          <cell r="Y2693">
            <v>20</v>
          </cell>
        </row>
        <row r="2694">
          <cell r="U2694" t="str">
            <v>L105064</v>
          </cell>
          <cell r="V2694" t="str">
            <v>SAL 2kg-PAQUETE</v>
          </cell>
          <cell r="W2694" t="str">
            <v>Ajuste</v>
          </cell>
          <cell r="X2694">
            <v>12</v>
          </cell>
          <cell r="Y2694">
            <v>24</v>
          </cell>
        </row>
        <row r="2695">
          <cell r="U2695" t="str">
            <v>L105150</v>
          </cell>
          <cell r="V2695" t="str">
            <v>SAL 2kg-PAQUETE</v>
          </cell>
          <cell r="W2695" t="str">
            <v>Ajuste</v>
          </cell>
          <cell r="X2695">
            <v>2</v>
          </cell>
          <cell r="Y2695">
            <v>4</v>
          </cell>
        </row>
        <row r="2696">
          <cell r="U2696" t="str">
            <v>L105319</v>
          </cell>
          <cell r="V2696" t="str">
            <v>SAL 2kg-PAQUETE</v>
          </cell>
          <cell r="W2696" t="str">
            <v>Ajuste</v>
          </cell>
          <cell r="X2696">
            <v>2</v>
          </cell>
          <cell r="Y2696">
            <v>4</v>
          </cell>
        </row>
        <row r="2697">
          <cell r="U2697" t="str">
            <v>L105942</v>
          </cell>
          <cell r="V2697" t="str">
            <v>Salsa de Tomate kg</v>
          </cell>
          <cell r="W2697" t="str">
            <v>Ajuste</v>
          </cell>
          <cell r="X2697">
            <v>33.200000000000003</v>
          </cell>
          <cell r="Y2697">
            <v>33.200000000000003</v>
          </cell>
        </row>
        <row r="2698">
          <cell r="U2698" t="str">
            <v>L105944</v>
          </cell>
          <cell r="V2698" t="str">
            <v>Salsa variada kg</v>
          </cell>
          <cell r="W2698" t="str">
            <v>Ajuste</v>
          </cell>
          <cell r="X2698">
            <v>13</v>
          </cell>
          <cell r="Y2698">
            <v>13</v>
          </cell>
        </row>
        <row r="2699">
          <cell r="U2699" t="str">
            <v>L105943</v>
          </cell>
          <cell r="V2699" t="str">
            <v>Sardina kg</v>
          </cell>
          <cell r="W2699" t="str">
            <v>Ajuste</v>
          </cell>
          <cell r="X2699">
            <v>3</v>
          </cell>
          <cell r="Y2699">
            <v>3</v>
          </cell>
        </row>
        <row r="2700">
          <cell r="U2700" t="str">
            <v>L105525</v>
          </cell>
          <cell r="V2700" t="str">
            <v>SAV 2kg-CAJA</v>
          </cell>
          <cell r="W2700" t="str">
            <v>Ajuste</v>
          </cell>
          <cell r="X2700">
            <v>2</v>
          </cell>
          <cell r="Y2700">
            <v>4</v>
          </cell>
        </row>
        <row r="2701">
          <cell r="U2701" t="str">
            <v>L105732</v>
          </cell>
          <cell r="V2701" t="str">
            <v>SAV 2kg-CAJA</v>
          </cell>
          <cell r="W2701" t="str">
            <v>Ajuste</v>
          </cell>
          <cell r="X2701">
            <v>36</v>
          </cell>
          <cell r="Y2701">
            <v>72</v>
          </cell>
        </row>
        <row r="2702">
          <cell r="U2702" t="str">
            <v>L105733</v>
          </cell>
          <cell r="V2702" t="str">
            <v>SAV 2kg-CAJA</v>
          </cell>
          <cell r="W2702" t="str">
            <v>Ajuste</v>
          </cell>
          <cell r="X2702">
            <v>48</v>
          </cell>
          <cell r="Y2702">
            <v>96</v>
          </cell>
        </row>
        <row r="2703">
          <cell r="U2703" t="str">
            <v>L105734</v>
          </cell>
          <cell r="V2703" t="str">
            <v>SAV 2kg-CAJA</v>
          </cell>
          <cell r="W2703" t="str">
            <v>Ajuste</v>
          </cell>
          <cell r="X2703">
            <v>2</v>
          </cell>
          <cell r="Y2703">
            <v>4</v>
          </cell>
        </row>
        <row r="2704">
          <cell r="U2704" t="str">
            <v>L105735</v>
          </cell>
          <cell r="V2704" t="str">
            <v>SAV 2kg-CAJA</v>
          </cell>
          <cell r="W2704" t="str">
            <v>Ajuste</v>
          </cell>
          <cell r="X2704">
            <v>2</v>
          </cell>
          <cell r="Y2704">
            <v>4</v>
          </cell>
        </row>
        <row r="2705">
          <cell r="U2705" t="str">
            <v>L105756</v>
          </cell>
          <cell r="V2705" t="str">
            <v>SAV 2kg-CAJA</v>
          </cell>
          <cell r="W2705" t="str">
            <v>Ajuste</v>
          </cell>
          <cell r="X2705">
            <v>4</v>
          </cell>
          <cell r="Y2705">
            <v>8</v>
          </cell>
        </row>
        <row r="2706">
          <cell r="U2706" t="str">
            <v>L105862</v>
          </cell>
          <cell r="V2706" t="str">
            <v>SAV 2kg-CAJA</v>
          </cell>
          <cell r="W2706" t="str">
            <v>Ajuste</v>
          </cell>
          <cell r="X2706">
            <v>14</v>
          </cell>
          <cell r="Y2706">
            <v>28</v>
          </cell>
        </row>
        <row r="2707">
          <cell r="U2707" t="str">
            <v>L105864</v>
          </cell>
          <cell r="V2707" t="str">
            <v>SAV 2kg-CAJA</v>
          </cell>
          <cell r="W2707" t="str">
            <v>Ajuste</v>
          </cell>
          <cell r="X2707">
            <v>24</v>
          </cell>
          <cell r="Y2707">
            <v>48</v>
          </cell>
        </row>
        <row r="2708">
          <cell r="U2708" t="str">
            <v>L105865</v>
          </cell>
          <cell r="V2708" t="str">
            <v>SAV 2kg-CAJA</v>
          </cell>
          <cell r="W2708" t="str">
            <v>Ajuste</v>
          </cell>
          <cell r="X2708">
            <v>10</v>
          </cell>
          <cell r="Y2708">
            <v>20</v>
          </cell>
        </row>
        <row r="2709">
          <cell r="U2709" t="str">
            <v>L105896</v>
          </cell>
          <cell r="V2709" t="str">
            <v>SAV 2kg-CAJA</v>
          </cell>
          <cell r="W2709" t="str">
            <v>Ajuste</v>
          </cell>
          <cell r="X2709">
            <v>2</v>
          </cell>
          <cell r="Y2709">
            <v>4</v>
          </cell>
        </row>
        <row r="2710">
          <cell r="U2710" t="str">
            <v>L105496</v>
          </cell>
          <cell r="V2710" t="str">
            <v>Sazonador kg</v>
          </cell>
          <cell r="W2710" t="str">
            <v>Ajuste</v>
          </cell>
          <cell r="X2710">
            <v>38</v>
          </cell>
          <cell r="Y2710">
            <v>38</v>
          </cell>
        </row>
        <row r="2711">
          <cell r="U2711" t="str">
            <v>L105397</v>
          </cell>
          <cell r="V2711" t="str">
            <v>SBC 2kg</v>
          </cell>
          <cell r="W2711" t="str">
            <v>Ajuste</v>
          </cell>
          <cell r="X2711">
            <v>4</v>
          </cell>
          <cell r="Y2711">
            <v>8</v>
          </cell>
        </row>
        <row r="2712">
          <cell r="U2712" t="str">
            <v>L105878</v>
          </cell>
          <cell r="V2712" t="str">
            <v>SBC 2kg</v>
          </cell>
          <cell r="W2712" t="str">
            <v>Ajuste</v>
          </cell>
          <cell r="X2712">
            <v>2</v>
          </cell>
          <cell r="Y2712">
            <v>4</v>
          </cell>
        </row>
        <row r="2713">
          <cell r="U2713" t="str">
            <v>L105879</v>
          </cell>
          <cell r="V2713" t="str">
            <v>SBC 2kg</v>
          </cell>
          <cell r="W2713" t="str">
            <v>Ajuste</v>
          </cell>
          <cell r="X2713">
            <v>2</v>
          </cell>
          <cell r="Y2713">
            <v>4</v>
          </cell>
        </row>
        <row r="2714">
          <cell r="U2714" t="str">
            <v>L105800</v>
          </cell>
          <cell r="V2714" t="str">
            <v>SCL 2kg-CAJA</v>
          </cell>
          <cell r="W2714" t="str">
            <v>Ajuste</v>
          </cell>
          <cell r="X2714">
            <v>2</v>
          </cell>
          <cell r="Y2714">
            <v>4</v>
          </cell>
        </row>
        <row r="2715">
          <cell r="U2715" t="str">
            <v>L105801</v>
          </cell>
          <cell r="V2715" t="str">
            <v>SCL 2kg-CAJA</v>
          </cell>
          <cell r="W2715" t="str">
            <v>Ajuste</v>
          </cell>
          <cell r="X2715">
            <v>4</v>
          </cell>
          <cell r="Y2715">
            <v>8</v>
          </cell>
        </row>
        <row r="2716">
          <cell r="U2716" t="str">
            <v>L105863</v>
          </cell>
          <cell r="V2716" t="str">
            <v>SDO 2kg-CAJA</v>
          </cell>
          <cell r="W2716" t="str">
            <v>Ajuste</v>
          </cell>
          <cell r="X2716">
            <v>14</v>
          </cell>
          <cell r="Y2716">
            <v>28</v>
          </cell>
        </row>
        <row r="2717">
          <cell r="U2717" t="str">
            <v>L105866</v>
          </cell>
          <cell r="V2717" t="str">
            <v>SDO 2kg-CAJA</v>
          </cell>
          <cell r="W2717" t="str">
            <v>Ajuste</v>
          </cell>
          <cell r="X2717">
            <v>2</v>
          </cell>
          <cell r="Y2717">
            <v>4</v>
          </cell>
        </row>
        <row r="2718">
          <cell r="U2718" t="str">
            <v>L105871</v>
          </cell>
          <cell r="V2718" t="str">
            <v>SDO 2kg-CAJA</v>
          </cell>
          <cell r="W2718" t="str">
            <v>Ajuste</v>
          </cell>
          <cell r="X2718">
            <v>4</v>
          </cell>
          <cell r="Y2718">
            <v>8</v>
          </cell>
        </row>
        <row r="2719">
          <cell r="U2719" t="str">
            <v>L105061</v>
          </cell>
          <cell r="V2719" t="str">
            <v>SDR 2Kg-UNIDAD</v>
          </cell>
          <cell r="W2719" t="str">
            <v>Ajuste</v>
          </cell>
          <cell r="X2719">
            <v>6</v>
          </cell>
          <cell r="Y2719">
            <v>12</v>
          </cell>
        </row>
        <row r="2720">
          <cell r="U2720" t="str">
            <v>L105666</v>
          </cell>
          <cell r="V2720" t="str">
            <v>SDR 2Kg-UNIDAD</v>
          </cell>
          <cell r="W2720" t="str">
            <v>Ajuste</v>
          </cell>
          <cell r="X2720">
            <v>2</v>
          </cell>
          <cell r="Y2720">
            <v>4</v>
          </cell>
        </row>
        <row r="2721">
          <cell r="U2721" t="str">
            <v>L105062</v>
          </cell>
          <cell r="V2721" t="str">
            <v>SDR 8kg</v>
          </cell>
          <cell r="W2721" t="str">
            <v>Ajuste</v>
          </cell>
          <cell r="X2721">
            <v>2</v>
          </cell>
          <cell r="Y2721">
            <v>16</v>
          </cell>
        </row>
        <row r="2722">
          <cell r="U2722" t="str">
            <v>L105379</v>
          </cell>
          <cell r="V2722" t="str">
            <v>SDR 9kg-CAJA</v>
          </cell>
          <cell r="W2722" t="str">
            <v>Ajuste</v>
          </cell>
          <cell r="X2722">
            <v>2</v>
          </cell>
          <cell r="Y2722">
            <v>18</v>
          </cell>
        </row>
        <row r="2723">
          <cell r="U2723" t="str">
            <v>L105065</v>
          </cell>
          <cell r="V2723" t="str">
            <v>SHMP 1kg Caja</v>
          </cell>
          <cell r="W2723" t="str">
            <v>Ajuste</v>
          </cell>
          <cell r="X2723">
            <v>6</v>
          </cell>
          <cell r="Y2723">
            <v>6</v>
          </cell>
        </row>
        <row r="2724">
          <cell r="U2724" t="str">
            <v>L105929</v>
          </cell>
          <cell r="V2724" t="str">
            <v>SNK 1.5kg-CAJA</v>
          </cell>
          <cell r="W2724" t="str">
            <v>Ajuste</v>
          </cell>
          <cell r="X2724">
            <v>1</v>
          </cell>
          <cell r="Y2724">
            <v>1.5</v>
          </cell>
        </row>
        <row r="2725">
          <cell r="U2725" t="str">
            <v>L105567</v>
          </cell>
          <cell r="V2725" t="str">
            <v>SNK 2.5kg</v>
          </cell>
          <cell r="W2725" t="str">
            <v>Ajuste</v>
          </cell>
          <cell r="X2725">
            <v>2</v>
          </cell>
          <cell r="Y2725">
            <v>5</v>
          </cell>
        </row>
        <row r="2726">
          <cell r="U2726" t="str">
            <v>L105568</v>
          </cell>
          <cell r="V2726" t="str">
            <v>SNK 2.5kg</v>
          </cell>
          <cell r="W2726" t="str">
            <v>Ajuste</v>
          </cell>
          <cell r="X2726">
            <v>2</v>
          </cell>
          <cell r="Y2726">
            <v>5</v>
          </cell>
        </row>
        <row r="2727">
          <cell r="U2727" t="str">
            <v>L105560</v>
          </cell>
          <cell r="V2727" t="str">
            <v>SNK 3.5kg-CAJA</v>
          </cell>
          <cell r="W2727" t="str">
            <v>Ajuste</v>
          </cell>
          <cell r="X2727">
            <v>2</v>
          </cell>
          <cell r="Y2727">
            <v>7</v>
          </cell>
        </row>
        <row r="2728">
          <cell r="U2728" t="str">
            <v>L105561</v>
          </cell>
          <cell r="V2728" t="str">
            <v>SNK 3.5kg-CAJA</v>
          </cell>
          <cell r="W2728" t="str">
            <v>Ajuste</v>
          </cell>
          <cell r="X2728">
            <v>4</v>
          </cell>
          <cell r="Y2728">
            <v>14</v>
          </cell>
        </row>
        <row r="2729">
          <cell r="U2729" t="str">
            <v>L105141</v>
          </cell>
          <cell r="V2729" t="str">
            <v>SNK 3kg-CAJA</v>
          </cell>
          <cell r="W2729" t="str">
            <v>Ajuste</v>
          </cell>
          <cell r="X2729">
            <v>14</v>
          </cell>
          <cell r="Y2729">
            <v>42</v>
          </cell>
        </row>
        <row r="2730">
          <cell r="U2730" t="str">
            <v>L105569</v>
          </cell>
          <cell r="V2730" t="str">
            <v>SNK 3kg-CAJA</v>
          </cell>
          <cell r="W2730" t="str">
            <v>Ajuste</v>
          </cell>
          <cell r="X2730">
            <v>1</v>
          </cell>
          <cell r="Y2730">
            <v>3</v>
          </cell>
        </row>
        <row r="2731">
          <cell r="U2731" t="str">
            <v>L105569</v>
          </cell>
          <cell r="V2731" t="str">
            <v>SNK 3kg-CAJA</v>
          </cell>
          <cell r="W2731" t="str">
            <v>Uso del BAP</v>
          </cell>
          <cell r="X2731">
            <v>1</v>
          </cell>
          <cell r="Y2731">
            <v>3</v>
          </cell>
        </row>
        <row r="2732">
          <cell r="U2732" t="str">
            <v>L105166</v>
          </cell>
          <cell r="V2732" t="str">
            <v>SPAV 1kg-CAJA</v>
          </cell>
          <cell r="W2732" t="str">
            <v>Ajuste</v>
          </cell>
          <cell r="X2732">
            <v>6</v>
          </cell>
          <cell r="Y2732">
            <v>6</v>
          </cell>
        </row>
        <row r="2733">
          <cell r="U2733" t="str">
            <v>L105753</v>
          </cell>
          <cell r="V2733" t="str">
            <v>SPAV 1kg-CAJA</v>
          </cell>
          <cell r="W2733" t="str">
            <v>Ajuste</v>
          </cell>
          <cell r="X2733">
            <v>2</v>
          </cell>
          <cell r="Y2733">
            <v>2</v>
          </cell>
        </row>
        <row r="2734">
          <cell r="U2734" t="str">
            <v>L105494</v>
          </cell>
          <cell r="V2734" t="str">
            <v>SPAV 3kg-CAJA</v>
          </cell>
          <cell r="W2734" t="str">
            <v>Ajuste</v>
          </cell>
          <cell r="X2734">
            <v>46</v>
          </cell>
          <cell r="Y2734">
            <v>138</v>
          </cell>
        </row>
        <row r="2735">
          <cell r="U2735" t="str">
            <v>L105498</v>
          </cell>
          <cell r="V2735" t="str">
            <v>SPAV 3kg-CAJA</v>
          </cell>
          <cell r="W2735" t="str">
            <v>Ajuste</v>
          </cell>
          <cell r="X2735">
            <v>6</v>
          </cell>
          <cell r="Y2735">
            <v>18</v>
          </cell>
        </row>
        <row r="2736">
          <cell r="U2736" t="str">
            <v>L105499</v>
          </cell>
          <cell r="V2736" t="str">
            <v>SPAV 3kg-CAJA</v>
          </cell>
          <cell r="W2736" t="str">
            <v>Ajuste</v>
          </cell>
          <cell r="X2736">
            <v>2</v>
          </cell>
          <cell r="Y2736">
            <v>6</v>
          </cell>
        </row>
        <row r="2737">
          <cell r="U2737" t="str">
            <v>L105731</v>
          </cell>
          <cell r="V2737" t="str">
            <v>SPT 2kg-CAJA</v>
          </cell>
          <cell r="W2737" t="str">
            <v>Ajuste</v>
          </cell>
          <cell r="X2737">
            <v>22</v>
          </cell>
          <cell r="Y2737">
            <v>44</v>
          </cell>
        </row>
        <row r="2738">
          <cell r="U2738" t="str">
            <v>L105867</v>
          </cell>
          <cell r="V2738" t="str">
            <v>SPT 2kg-CAJA</v>
          </cell>
          <cell r="W2738" t="str">
            <v>Ajuste</v>
          </cell>
          <cell r="X2738">
            <v>3</v>
          </cell>
          <cell r="Y2738">
            <v>6</v>
          </cell>
        </row>
        <row r="2739">
          <cell r="U2739" t="str">
            <v>L105033</v>
          </cell>
          <cell r="V2739" t="str">
            <v>SRD 1kg-CAJA</v>
          </cell>
          <cell r="W2739" t="str">
            <v>Ajuste</v>
          </cell>
          <cell r="X2739">
            <v>8</v>
          </cell>
          <cell r="Y2739">
            <v>8</v>
          </cell>
        </row>
        <row r="2740">
          <cell r="U2740" t="str">
            <v>L105167</v>
          </cell>
          <cell r="V2740" t="str">
            <v>SRD 1kg-CAJA</v>
          </cell>
          <cell r="W2740" t="str">
            <v>Ajuste</v>
          </cell>
          <cell r="X2740">
            <v>2</v>
          </cell>
          <cell r="Y2740">
            <v>2</v>
          </cell>
        </row>
        <row r="2741">
          <cell r="U2741" t="str">
            <v>L105384</v>
          </cell>
          <cell r="V2741" t="str">
            <v>SRD 1kg-CAJA</v>
          </cell>
          <cell r="W2741" t="str">
            <v>Ajuste</v>
          </cell>
          <cell r="X2741">
            <v>2</v>
          </cell>
          <cell r="Y2741">
            <v>2</v>
          </cell>
        </row>
        <row r="2742">
          <cell r="U2742" t="str">
            <v>L105851</v>
          </cell>
          <cell r="V2742" t="str">
            <v>SRD 1kg-CAJA</v>
          </cell>
          <cell r="W2742" t="str">
            <v>Ajuste</v>
          </cell>
          <cell r="X2742">
            <v>14</v>
          </cell>
          <cell r="Y2742">
            <v>14</v>
          </cell>
        </row>
        <row r="2743">
          <cell r="U2743" t="str">
            <v>L105034</v>
          </cell>
          <cell r="V2743" t="str">
            <v>SRDP 2kg-CAJA</v>
          </cell>
          <cell r="W2743" t="str">
            <v>Ajuste</v>
          </cell>
          <cell r="X2743">
            <v>4</v>
          </cell>
          <cell r="Y2743">
            <v>8</v>
          </cell>
        </row>
        <row r="2744">
          <cell r="U2744" t="str">
            <v>L105168</v>
          </cell>
          <cell r="V2744" t="str">
            <v>SRDP 2kg-CAJA</v>
          </cell>
          <cell r="W2744" t="str">
            <v>Ajuste</v>
          </cell>
          <cell r="X2744">
            <v>2</v>
          </cell>
          <cell r="Y2744">
            <v>4</v>
          </cell>
        </row>
        <row r="2745">
          <cell r="U2745" t="str">
            <v>L105852</v>
          </cell>
          <cell r="V2745" t="str">
            <v>SRDP 2kg-CAJA</v>
          </cell>
          <cell r="W2745" t="str">
            <v>Ajuste</v>
          </cell>
          <cell r="X2745">
            <v>2</v>
          </cell>
          <cell r="Y2745">
            <v>4</v>
          </cell>
        </row>
        <row r="2746">
          <cell r="U2746" t="str">
            <v>L105751</v>
          </cell>
          <cell r="V2746" t="str">
            <v>srp 1.5kg - caja</v>
          </cell>
          <cell r="W2746" t="str">
            <v>Ajuste</v>
          </cell>
          <cell r="X2746">
            <v>2</v>
          </cell>
          <cell r="Y2746">
            <v>3</v>
          </cell>
        </row>
        <row r="2747">
          <cell r="U2747" t="str">
            <v>L105870</v>
          </cell>
          <cell r="V2747" t="str">
            <v>SSY 2kg-CAJA</v>
          </cell>
          <cell r="W2747" t="str">
            <v>Ajuste</v>
          </cell>
          <cell r="X2747">
            <v>6</v>
          </cell>
          <cell r="Y2747">
            <v>12</v>
          </cell>
        </row>
        <row r="2748">
          <cell r="U2748" t="str">
            <v>L105880</v>
          </cell>
          <cell r="V2748" t="str">
            <v>STM 3kg-CAJA</v>
          </cell>
          <cell r="W2748" t="str">
            <v>Ajuste</v>
          </cell>
          <cell r="X2748">
            <v>17</v>
          </cell>
          <cell r="Y2748">
            <v>51</v>
          </cell>
        </row>
        <row r="2749">
          <cell r="U2749" t="str">
            <v>L105914</v>
          </cell>
          <cell r="V2749" t="str">
            <v>STM 3kg-CAJA</v>
          </cell>
          <cell r="W2749" t="str">
            <v>Ajuste</v>
          </cell>
          <cell r="X2749">
            <v>6</v>
          </cell>
          <cell r="Y2749">
            <v>18</v>
          </cell>
        </row>
        <row r="2750">
          <cell r="U2750" t="str">
            <v>L105940</v>
          </cell>
          <cell r="V2750" t="str">
            <v>STM 3kg-CAJA</v>
          </cell>
          <cell r="W2750" t="str">
            <v>Ajuste</v>
          </cell>
          <cell r="X2750">
            <v>2</v>
          </cell>
          <cell r="Y2750">
            <v>6</v>
          </cell>
        </row>
        <row r="2751">
          <cell r="U2751" t="str">
            <v>L105453</v>
          </cell>
          <cell r="V2751" t="str">
            <v>STM 3kg-CAJA</v>
          </cell>
          <cell r="W2751" t="str">
            <v>Ajuste</v>
          </cell>
          <cell r="X2751">
            <v>4</v>
          </cell>
          <cell r="Y2751">
            <v>12</v>
          </cell>
        </row>
        <row r="2752">
          <cell r="U2752" t="str">
            <v>L105453</v>
          </cell>
          <cell r="V2752" t="str">
            <v>STM 5kg-CAJA</v>
          </cell>
          <cell r="W2752" t="str">
            <v>Ajuste</v>
          </cell>
          <cell r="X2752">
            <v>1742</v>
          </cell>
          <cell r="Y2752">
            <v>8710</v>
          </cell>
        </row>
        <row r="2753">
          <cell r="U2753" t="str">
            <v>L105255</v>
          </cell>
          <cell r="V2753" t="str">
            <v>SZD 2kg-Caja</v>
          </cell>
          <cell r="W2753" t="str">
            <v>Ajuste</v>
          </cell>
          <cell r="X2753">
            <v>15</v>
          </cell>
          <cell r="Y2753">
            <v>30</v>
          </cell>
        </row>
        <row r="2754">
          <cell r="U2754" t="str">
            <v>L105256</v>
          </cell>
          <cell r="V2754" t="str">
            <v>SZD 2kg-Caja</v>
          </cell>
          <cell r="W2754" t="str">
            <v>Ajuste</v>
          </cell>
          <cell r="X2754">
            <v>12</v>
          </cell>
          <cell r="Y2754">
            <v>24</v>
          </cell>
        </row>
        <row r="2755">
          <cell r="U2755" t="str">
            <v>L105257</v>
          </cell>
          <cell r="V2755" t="str">
            <v>SZD 2kg-Caja</v>
          </cell>
          <cell r="W2755" t="str">
            <v>Ajuste</v>
          </cell>
          <cell r="X2755">
            <v>2</v>
          </cell>
          <cell r="Y2755">
            <v>4</v>
          </cell>
        </row>
        <row r="2756">
          <cell r="U2756" t="str">
            <v>L105258</v>
          </cell>
          <cell r="V2756" t="str">
            <v>SZD 2kg-Caja</v>
          </cell>
          <cell r="W2756" t="str">
            <v>Ajuste</v>
          </cell>
          <cell r="X2756">
            <v>4</v>
          </cell>
          <cell r="Y2756">
            <v>8</v>
          </cell>
        </row>
        <row r="2757">
          <cell r="U2757" t="str">
            <v>L105259</v>
          </cell>
          <cell r="V2757" t="str">
            <v>SZD 2kg-Caja</v>
          </cell>
          <cell r="W2757" t="str">
            <v>Ajuste</v>
          </cell>
          <cell r="X2757">
            <v>10</v>
          </cell>
          <cell r="Y2757">
            <v>20</v>
          </cell>
        </row>
        <row r="2758">
          <cell r="U2758" t="str">
            <v>L105274</v>
          </cell>
          <cell r="V2758" t="str">
            <v>SZD 2kg-Caja</v>
          </cell>
          <cell r="W2758" t="str">
            <v>Ajuste</v>
          </cell>
          <cell r="X2758">
            <v>2</v>
          </cell>
          <cell r="Y2758">
            <v>4</v>
          </cell>
        </row>
        <row r="2759">
          <cell r="U2759" t="str">
            <v>L105275</v>
          </cell>
          <cell r="V2759" t="str">
            <v>SZD 2kg-Caja</v>
          </cell>
          <cell r="W2759" t="str">
            <v>Ajuste</v>
          </cell>
          <cell r="X2759">
            <v>12</v>
          </cell>
          <cell r="Y2759">
            <v>24</v>
          </cell>
        </row>
        <row r="2760">
          <cell r="U2760" t="str">
            <v>L105520</v>
          </cell>
          <cell r="V2760" t="str">
            <v>SZD 2kg-Caja</v>
          </cell>
          <cell r="W2760" t="str">
            <v>Ajuste</v>
          </cell>
          <cell r="X2760">
            <v>6</v>
          </cell>
          <cell r="Y2760">
            <v>12</v>
          </cell>
        </row>
        <row r="2761">
          <cell r="U2761" t="str">
            <v>L105894</v>
          </cell>
          <cell r="V2761" t="str">
            <v>SZD 2kg-Caja</v>
          </cell>
          <cell r="W2761" t="str">
            <v>Ajuste</v>
          </cell>
          <cell r="X2761">
            <v>14</v>
          </cell>
          <cell r="Y2761">
            <v>28</v>
          </cell>
        </row>
        <row r="2762">
          <cell r="U2762" t="str">
            <v>L105431</v>
          </cell>
          <cell r="V2762" t="str">
            <v>SZD 3kg-Caja</v>
          </cell>
          <cell r="W2762" t="str">
            <v>Ajuste</v>
          </cell>
          <cell r="X2762">
            <v>456</v>
          </cell>
          <cell r="Y2762">
            <v>1368</v>
          </cell>
        </row>
        <row r="2763">
          <cell r="U2763" t="str">
            <v>L105466</v>
          </cell>
          <cell r="V2763" t="str">
            <v>SZD 3kg-Caja</v>
          </cell>
          <cell r="W2763" t="str">
            <v>Ajuste</v>
          </cell>
          <cell r="X2763">
            <v>96</v>
          </cell>
          <cell r="Y2763">
            <v>288</v>
          </cell>
        </row>
        <row r="2764">
          <cell r="U2764" t="str">
            <v>L105495</v>
          </cell>
          <cell r="V2764" t="str">
            <v>SZD 3kg-Caja</v>
          </cell>
          <cell r="W2764" t="str">
            <v>Ajuste</v>
          </cell>
          <cell r="X2764">
            <v>140</v>
          </cell>
          <cell r="Y2764">
            <v>420</v>
          </cell>
        </row>
        <row r="2765">
          <cell r="U2765" t="str">
            <v>L105464</v>
          </cell>
          <cell r="V2765" t="str">
            <v>SZD 5kg-Caja</v>
          </cell>
          <cell r="W2765" t="str">
            <v>Ajuste</v>
          </cell>
          <cell r="X2765">
            <v>598</v>
          </cell>
          <cell r="Y2765">
            <v>2990</v>
          </cell>
        </row>
        <row r="2766">
          <cell r="U2766" t="str">
            <v>L105152</v>
          </cell>
          <cell r="V2766" t="str">
            <v>TE 1kg-CAJA</v>
          </cell>
          <cell r="W2766" t="str">
            <v>Ajuste</v>
          </cell>
          <cell r="X2766">
            <v>2</v>
          </cell>
          <cell r="Y2766">
            <v>2</v>
          </cell>
        </row>
        <row r="2767">
          <cell r="U2767" t="str">
            <v>L105545</v>
          </cell>
          <cell r="V2767" t="str">
            <v>TE 1kg-CAJA</v>
          </cell>
          <cell r="W2767" t="str">
            <v>Ajuste</v>
          </cell>
          <cell r="X2767">
            <v>2</v>
          </cell>
          <cell r="Y2767">
            <v>2</v>
          </cell>
        </row>
        <row r="2768">
          <cell r="U2768" t="str">
            <v>L105169</v>
          </cell>
          <cell r="V2768" t="str">
            <v>TFP 4kg-CAJA</v>
          </cell>
          <cell r="W2768" t="str">
            <v>Ajuste</v>
          </cell>
          <cell r="X2768">
            <v>6</v>
          </cell>
          <cell r="Y2768">
            <v>24</v>
          </cell>
        </row>
        <row r="2769">
          <cell r="U2769" t="str">
            <v>L105140</v>
          </cell>
          <cell r="V2769" t="str">
            <v>TMT 3kg-CAJA</v>
          </cell>
          <cell r="W2769" t="str">
            <v>Ajuste</v>
          </cell>
          <cell r="X2769">
            <v>57</v>
          </cell>
          <cell r="Y2769">
            <v>171</v>
          </cell>
        </row>
        <row r="2770">
          <cell r="U2770" t="str">
            <v>L105911</v>
          </cell>
          <cell r="V2770" t="str">
            <v>TMT 3kg-CAJA</v>
          </cell>
          <cell r="W2770" t="str">
            <v>Ajuste</v>
          </cell>
          <cell r="X2770">
            <v>3</v>
          </cell>
          <cell r="Y2770">
            <v>9</v>
          </cell>
        </row>
        <row r="2771">
          <cell r="U2771" t="str">
            <v>L105668</v>
          </cell>
          <cell r="V2771" t="str">
            <v>TPC 3kg-CAJA</v>
          </cell>
          <cell r="W2771" t="str">
            <v>Ajuste</v>
          </cell>
          <cell r="X2771">
            <v>1</v>
          </cell>
          <cell r="Y2771">
            <v>3</v>
          </cell>
        </row>
        <row r="2772">
          <cell r="U2772" t="str">
            <v>L105918</v>
          </cell>
          <cell r="V2772" t="str">
            <v>TRZPCDP 18kg</v>
          </cell>
          <cell r="W2772" t="str">
            <v>Ajuste</v>
          </cell>
          <cell r="X2772">
            <v>160</v>
          </cell>
          <cell r="Y2772">
            <v>2880</v>
          </cell>
        </row>
        <row r="2773">
          <cell r="U2773" t="str">
            <v>L105172</v>
          </cell>
          <cell r="V2773" t="str">
            <v>TUR 1Kg</v>
          </cell>
          <cell r="W2773" t="str">
            <v>Ajuste</v>
          </cell>
          <cell r="X2773">
            <v>7</v>
          </cell>
          <cell r="Y2773">
            <v>7</v>
          </cell>
        </row>
        <row r="2774">
          <cell r="U2774" t="str">
            <v>L105730</v>
          </cell>
          <cell r="V2774" t="str">
            <v>Vinagre kg</v>
          </cell>
          <cell r="W2774" t="str">
            <v>Ajuste</v>
          </cell>
          <cell r="X2774">
            <v>1.86</v>
          </cell>
          <cell r="Y2774">
            <v>1.86</v>
          </cell>
        </row>
        <row r="2775">
          <cell r="U2775" t="str">
            <v>L105530</v>
          </cell>
          <cell r="V2775" t="str">
            <v>VM 3kg-CAJA</v>
          </cell>
          <cell r="W2775" t="str">
            <v>Ajuste</v>
          </cell>
          <cell r="X2775">
            <v>14</v>
          </cell>
          <cell r="Y2775">
            <v>42</v>
          </cell>
        </row>
        <row r="2776">
          <cell r="U2776" t="str">
            <v>L105645</v>
          </cell>
          <cell r="V2776" t="str">
            <v>VM 3kg-CAJA</v>
          </cell>
          <cell r="W2776" t="str">
            <v>Ajuste</v>
          </cell>
          <cell r="X2776">
            <v>8</v>
          </cell>
          <cell r="Y2776">
            <v>24</v>
          </cell>
        </row>
        <row r="2777">
          <cell r="U2777" t="str">
            <v>L105842</v>
          </cell>
          <cell r="V2777" t="str">
            <v>VM 3kg-CAJA</v>
          </cell>
          <cell r="W2777" t="str">
            <v>Ajuste</v>
          </cell>
          <cell r="X2777">
            <v>10</v>
          </cell>
          <cell r="Y2777">
            <v>30</v>
          </cell>
        </row>
        <row r="2778">
          <cell r="U2778" t="str">
            <v>L105038</v>
          </cell>
          <cell r="V2778" t="str">
            <v>VM 5kg-CAJA</v>
          </cell>
          <cell r="W2778" t="str">
            <v>Ajuste</v>
          </cell>
          <cell r="X2778">
            <v>5</v>
          </cell>
          <cell r="Y2778">
            <v>25</v>
          </cell>
        </row>
        <row r="2779">
          <cell r="U2779" t="str">
            <v>L105395</v>
          </cell>
          <cell r="V2779" t="str">
            <v>VM 5kg-CAJA</v>
          </cell>
          <cell r="W2779" t="str">
            <v>Ajuste</v>
          </cell>
          <cell r="X2779">
            <v>6</v>
          </cell>
          <cell r="Y2779">
            <v>30</v>
          </cell>
        </row>
        <row r="2780">
          <cell r="U2780" t="str">
            <v>L105912</v>
          </cell>
          <cell r="V2780" t="str">
            <v>VM 5kg-CAJA</v>
          </cell>
          <cell r="W2780" t="str">
            <v>Ajuste</v>
          </cell>
          <cell r="X2780">
            <v>4</v>
          </cell>
          <cell r="Y2780">
            <v>20</v>
          </cell>
        </row>
        <row r="2781">
          <cell r="U2781" t="str">
            <v>L105884</v>
          </cell>
          <cell r="V2781" t="str">
            <v>VNG 3KG</v>
          </cell>
          <cell r="W2781" t="str">
            <v>Ajuste</v>
          </cell>
          <cell r="X2781">
            <v>16</v>
          </cell>
          <cell r="Y2781">
            <v>48</v>
          </cell>
        </row>
        <row r="2782">
          <cell r="U2782" t="str">
            <v>L105315</v>
          </cell>
          <cell r="V2782" t="str">
            <v>WDP 2kg</v>
          </cell>
          <cell r="W2782" t="str">
            <v>Ajuste</v>
          </cell>
          <cell r="X2782">
            <v>112</v>
          </cell>
          <cell r="Y2782">
            <v>224</v>
          </cell>
        </row>
        <row r="2783">
          <cell r="U2783" t="str">
            <v>L105648</v>
          </cell>
          <cell r="V2783" t="str">
            <v>WDP 2kg</v>
          </cell>
          <cell r="W2783" t="str">
            <v>Ajuste</v>
          </cell>
          <cell r="X2783">
            <v>10</v>
          </cell>
          <cell r="Y2783">
            <v>20</v>
          </cell>
        </row>
        <row r="2784">
          <cell r="U2784" t="str">
            <v>L105650</v>
          </cell>
          <cell r="V2784" t="str">
            <v>WDP 3kg</v>
          </cell>
          <cell r="W2784" t="str">
            <v>Ajuste</v>
          </cell>
          <cell r="X2784">
            <v>2</v>
          </cell>
          <cell r="Y2784">
            <v>6</v>
          </cell>
        </row>
        <row r="2785">
          <cell r="U2785" t="str">
            <v>L105905</v>
          </cell>
          <cell r="V2785" t="str">
            <v>WPV 3kg</v>
          </cell>
          <cell r="W2785" t="str">
            <v>Ajuste</v>
          </cell>
          <cell r="X2785">
            <v>22</v>
          </cell>
          <cell r="Y2785">
            <v>66</v>
          </cell>
        </row>
        <row r="2786">
          <cell r="U2786" t="str">
            <v>L105409</v>
          </cell>
          <cell r="V2786" t="str">
            <v>YGT 2kg-CAJA</v>
          </cell>
          <cell r="W2786" t="str">
            <v>Ajuste</v>
          </cell>
          <cell r="X2786">
            <v>10</v>
          </cell>
          <cell r="Y2786">
            <v>20</v>
          </cell>
        </row>
        <row r="2787">
          <cell r="U2787" t="str">
            <v>L105410</v>
          </cell>
          <cell r="V2787" t="str">
            <v>YGT 2kg-CAJA</v>
          </cell>
          <cell r="W2787" t="str">
            <v>Ajuste</v>
          </cell>
          <cell r="X2787">
            <v>40</v>
          </cell>
          <cell r="Y2787">
            <v>80</v>
          </cell>
        </row>
        <row r="2788">
          <cell r="U2788" t="str">
            <v>L106313</v>
          </cell>
          <cell r="V2788" t="str">
            <v>ACECC 3kg</v>
          </cell>
          <cell r="W2788" t="str">
            <v>Ajuste</v>
          </cell>
          <cell r="X2788">
            <v>4</v>
          </cell>
          <cell r="Y2788">
            <v>12</v>
          </cell>
        </row>
        <row r="2789">
          <cell r="U2789" t="str">
            <v>L107072</v>
          </cell>
          <cell r="V2789" t="str">
            <v>ACT 2kg</v>
          </cell>
          <cell r="W2789" t="str">
            <v>Ajuste</v>
          </cell>
          <cell r="X2789">
            <v>2</v>
          </cell>
          <cell r="Y2789">
            <v>4.1399999999999997</v>
          </cell>
        </row>
        <row r="2790">
          <cell r="U2790" t="str">
            <v>L106386</v>
          </cell>
          <cell r="V2790" t="str">
            <v>ACT 5kg</v>
          </cell>
          <cell r="W2790" t="str">
            <v>Ajuste</v>
          </cell>
          <cell r="X2790">
            <v>1</v>
          </cell>
          <cell r="Y2790">
            <v>5</v>
          </cell>
        </row>
        <row r="2791">
          <cell r="U2791" t="str">
            <v>L100465</v>
          </cell>
          <cell r="V2791" t="str">
            <v>ACT 5kg</v>
          </cell>
          <cell r="W2791" t="str">
            <v>Ajuste</v>
          </cell>
          <cell r="X2791">
            <v>1</v>
          </cell>
          <cell r="Y2791">
            <v>5</v>
          </cell>
        </row>
        <row r="2792">
          <cell r="U2792" t="str">
            <v>L106246</v>
          </cell>
          <cell r="V2792" t="str">
            <v>Aderezo de pavo kg</v>
          </cell>
          <cell r="W2792" t="str">
            <v>Ajuste</v>
          </cell>
          <cell r="X2792">
            <v>1.51</v>
          </cell>
          <cell r="Y2792">
            <v>1.51</v>
          </cell>
        </row>
        <row r="2793">
          <cell r="U2793" t="str">
            <v>L107402</v>
          </cell>
          <cell r="V2793" t="str">
            <v>Aderezo kg</v>
          </cell>
          <cell r="W2793" t="str">
            <v>Ajuste</v>
          </cell>
          <cell r="X2793">
            <v>1.2</v>
          </cell>
          <cell r="Y2793">
            <v>1.2</v>
          </cell>
        </row>
        <row r="2794">
          <cell r="U2794" t="str">
            <v>L106235</v>
          </cell>
          <cell r="V2794" t="str">
            <v>ADP 1kg</v>
          </cell>
          <cell r="W2794" t="str">
            <v>Ajuste</v>
          </cell>
          <cell r="X2794">
            <v>1</v>
          </cell>
          <cell r="Y2794">
            <v>1</v>
          </cell>
        </row>
        <row r="2795">
          <cell r="U2795" t="str">
            <v>L106236</v>
          </cell>
          <cell r="V2795" t="str">
            <v>ADP 1kg</v>
          </cell>
          <cell r="W2795" t="str">
            <v>Ajuste</v>
          </cell>
          <cell r="X2795">
            <v>1</v>
          </cell>
          <cell r="Y2795">
            <v>1</v>
          </cell>
        </row>
        <row r="2796">
          <cell r="U2796" t="str">
            <v>L106237</v>
          </cell>
          <cell r="V2796" t="str">
            <v>ADP 1kg</v>
          </cell>
          <cell r="W2796" t="str">
            <v>Ajuste</v>
          </cell>
          <cell r="X2796">
            <v>7</v>
          </cell>
          <cell r="Y2796">
            <v>7</v>
          </cell>
        </row>
        <row r="2797">
          <cell r="U2797" t="str">
            <v>L106555</v>
          </cell>
          <cell r="V2797" t="str">
            <v>ADP 2Kg</v>
          </cell>
          <cell r="W2797" t="str">
            <v>Ajuste</v>
          </cell>
          <cell r="X2797">
            <v>4</v>
          </cell>
          <cell r="Y2797">
            <v>8</v>
          </cell>
        </row>
        <row r="2798">
          <cell r="U2798" t="str">
            <v>L106962</v>
          </cell>
          <cell r="V2798" t="str">
            <v>ADP 2Kg</v>
          </cell>
          <cell r="W2798" t="str">
            <v>Ajuste</v>
          </cell>
          <cell r="X2798">
            <v>1</v>
          </cell>
          <cell r="Y2798">
            <v>2</v>
          </cell>
        </row>
        <row r="2799">
          <cell r="U2799" t="str">
            <v>L107377</v>
          </cell>
          <cell r="V2799" t="str">
            <v>ADP 2Kg</v>
          </cell>
          <cell r="W2799" t="str">
            <v>Ajuste</v>
          </cell>
          <cell r="X2799">
            <v>1</v>
          </cell>
          <cell r="Y2799">
            <v>2</v>
          </cell>
        </row>
        <row r="2800">
          <cell r="U2800" t="str">
            <v>L107376</v>
          </cell>
          <cell r="V2800" t="str">
            <v>ADR 2kg</v>
          </cell>
          <cell r="W2800" t="str">
            <v>Ajuste</v>
          </cell>
          <cell r="X2800">
            <v>7</v>
          </cell>
          <cell r="Y2800">
            <v>14</v>
          </cell>
        </row>
        <row r="2801">
          <cell r="U2801" t="str">
            <v>L106863</v>
          </cell>
          <cell r="V2801" t="str">
            <v>ADR 3kg</v>
          </cell>
          <cell r="W2801" t="str">
            <v>Ajuste</v>
          </cell>
          <cell r="X2801">
            <v>120</v>
          </cell>
          <cell r="Y2801">
            <v>360</v>
          </cell>
        </row>
        <row r="2802">
          <cell r="U2802" t="str">
            <v>L106777</v>
          </cell>
          <cell r="V2802" t="str">
            <v>AGA 12x1.5L-CAJA</v>
          </cell>
          <cell r="W2802" t="str">
            <v>Ajuste</v>
          </cell>
          <cell r="X2802">
            <v>4</v>
          </cell>
          <cell r="Y2802">
            <v>72</v>
          </cell>
        </row>
        <row r="2803">
          <cell r="U2803" t="str">
            <v>L106779</v>
          </cell>
          <cell r="V2803" t="str">
            <v>AGU 12X355ml - CAJA</v>
          </cell>
          <cell r="W2803" t="str">
            <v>Ajuste</v>
          </cell>
          <cell r="X2803">
            <v>14</v>
          </cell>
          <cell r="Y2803">
            <v>59.639999999999993</v>
          </cell>
        </row>
        <row r="2804">
          <cell r="U2804" t="str">
            <v>L106776</v>
          </cell>
          <cell r="V2804" t="str">
            <v>AGU 15x1L-CAJA</v>
          </cell>
          <cell r="W2804" t="str">
            <v>Ajuste</v>
          </cell>
          <cell r="X2804">
            <v>26</v>
          </cell>
          <cell r="Y2804">
            <v>390</v>
          </cell>
        </row>
        <row r="2805">
          <cell r="U2805" t="str">
            <v>L106775</v>
          </cell>
          <cell r="V2805" t="str">
            <v>AGU 4x1gal-CAJA</v>
          </cell>
          <cell r="W2805" t="str">
            <v>Ajuste</v>
          </cell>
          <cell r="X2805">
            <v>61</v>
          </cell>
          <cell r="Y2805">
            <v>923.54000000000008</v>
          </cell>
        </row>
        <row r="2806">
          <cell r="U2806" t="str">
            <v>L106774</v>
          </cell>
          <cell r="V2806" t="str">
            <v>AGU 4X5L-CAJA</v>
          </cell>
          <cell r="W2806" t="str">
            <v>Ajuste</v>
          </cell>
          <cell r="X2806">
            <v>51</v>
          </cell>
          <cell r="Y2806">
            <v>1020</v>
          </cell>
        </row>
        <row r="2807">
          <cell r="U2807" t="str">
            <v>L106778</v>
          </cell>
          <cell r="V2807" t="str">
            <v>AGU 6X2L-CAJA</v>
          </cell>
          <cell r="W2807" t="str">
            <v>Ajuste</v>
          </cell>
          <cell r="X2807">
            <v>5</v>
          </cell>
          <cell r="Y2807">
            <v>60</v>
          </cell>
        </row>
        <row r="2808">
          <cell r="U2808" t="str">
            <v>L106383</v>
          </cell>
          <cell r="V2808" t="str">
            <v>AJP 1.5kg</v>
          </cell>
          <cell r="W2808" t="str">
            <v>Ajuste</v>
          </cell>
          <cell r="X2808">
            <v>40</v>
          </cell>
          <cell r="Y2808">
            <v>60</v>
          </cell>
        </row>
        <row r="2809">
          <cell r="U2809" t="str">
            <v>L102763</v>
          </cell>
          <cell r="V2809" t="str">
            <v>ALCHF 3Kg</v>
          </cell>
          <cell r="W2809" t="str">
            <v>Ajuste</v>
          </cell>
          <cell r="X2809">
            <v>2</v>
          </cell>
          <cell r="Y2809">
            <v>6</v>
          </cell>
        </row>
        <row r="2810">
          <cell r="U2810" t="str">
            <v>L106607</v>
          </cell>
          <cell r="V2810" t="str">
            <v>AMI 12x500ml - CAJA</v>
          </cell>
          <cell r="W2810" t="str">
            <v>Ajuste</v>
          </cell>
          <cell r="X2810">
            <v>4</v>
          </cell>
          <cell r="Y2810">
            <v>41.2</v>
          </cell>
        </row>
        <row r="2811">
          <cell r="U2811" t="str">
            <v>L106937</v>
          </cell>
          <cell r="V2811" t="str">
            <v>APP 2Kg</v>
          </cell>
          <cell r="W2811" t="str">
            <v>Ajuste</v>
          </cell>
          <cell r="X2811">
            <v>2</v>
          </cell>
          <cell r="Y2811">
            <v>4</v>
          </cell>
        </row>
        <row r="2812">
          <cell r="U2812" t="str">
            <v>L106937</v>
          </cell>
          <cell r="V2812" t="str">
            <v>DSF 1kg</v>
          </cell>
          <cell r="W2812" t="str">
            <v>Ajuste</v>
          </cell>
          <cell r="X2812">
            <v>28</v>
          </cell>
          <cell r="Y2812">
            <v>28</v>
          </cell>
        </row>
        <row r="2813">
          <cell r="U2813" t="str">
            <v>L106938</v>
          </cell>
          <cell r="V2813" t="str">
            <v>APP 2Kg</v>
          </cell>
          <cell r="W2813" t="str">
            <v>Ajuste</v>
          </cell>
          <cell r="X2813">
            <v>357</v>
          </cell>
          <cell r="Y2813">
            <v>714</v>
          </cell>
        </row>
        <row r="2814">
          <cell r="U2814" t="str">
            <v>L106363</v>
          </cell>
          <cell r="V2814" t="str">
            <v>ARPG 6Kg</v>
          </cell>
          <cell r="W2814" t="str">
            <v>Ajuste</v>
          </cell>
          <cell r="X2814">
            <v>6</v>
          </cell>
          <cell r="Y2814">
            <v>36</v>
          </cell>
        </row>
        <row r="2815">
          <cell r="U2815" t="str">
            <v>L106364</v>
          </cell>
          <cell r="V2815" t="str">
            <v>ARPG 9Kg</v>
          </cell>
          <cell r="W2815" t="str">
            <v>Ajuste</v>
          </cell>
          <cell r="X2815">
            <v>2</v>
          </cell>
          <cell r="Y2815">
            <v>18</v>
          </cell>
        </row>
        <row r="2816">
          <cell r="U2816" t="str">
            <v>L106890</v>
          </cell>
          <cell r="V2816" t="str">
            <v>Arroz kg</v>
          </cell>
          <cell r="W2816" t="str">
            <v>Ajuste</v>
          </cell>
          <cell r="X2816">
            <v>11</v>
          </cell>
          <cell r="Y2816">
            <v>11</v>
          </cell>
        </row>
        <row r="2817">
          <cell r="U2817" t="str">
            <v>L107393</v>
          </cell>
          <cell r="V2817" t="str">
            <v>Arroz kg</v>
          </cell>
          <cell r="W2817" t="str">
            <v>Ajuste</v>
          </cell>
          <cell r="X2817">
            <v>121.29</v>
          </cell>
          <cell r="Y2817">
            <v>121.29</v>
          </cell>
        </row>
        <row r="2818">
          <cell r="U2818" t="str">
            <v>L106923</v>
          </cell>
          <cell r="V2818" t="str">
            <v>ARZ 2 kg-Unidad</v>
          </cell>
          <cell r="W2818" t="str">
            <v>Ajuste</v>
          </cell>
          <cell r="X2818">
            <v>32</v>
          </cell>
          <cell r="Y2818">
            <v>64</v>
          </cell>
        </row>
        <row r="2819">
          <cell r="U2819" t="str">
            <v>L106924</v>
          </cell>
          <cell r="V2819" t="str">
            <v>ARZ 6kg-UNIDAD</v>
          </cell>
          <cell r="W2819" t="str">
            <v>Ajuste</v>
          </cell>
          <cell r="X2819">
            <v>2</v>
          </cell>
          <cell r="Y2819">
            <v>12</v>
          </cell>
        </row>
        <row r="2820">
          <cell r="U2820" t="str">
            <v>L10667</v>
          </cell>
          <cell r="V2820" t="str">
            <v>ARZ AY 5Kg</v>
          </cell>
          <cell r="W2820" t="str">
            <v>Ajuste</v>
          </cell>
          <cell r="X2820">
            <v>10</v>
          </cell>
          <cell r="Y2820">
            <v>50</v>
          </cell>
        </row>
        <row r="2821">
          <cell r="U2821" t="str">
            <v>....</v>
          </cell>
          <cell r="V2821" t="str">
            <v>ARZ AY 5Kg</v>
          </cell>
          <cell r="W2821" t="str">
            <v>Ajuste</v>
          </cell>
          <cell r="X2821">
            <v>2</v>
          </cell>
          <cell r="Y2821">
            <v>10</v>
          </cell>
        </row>
        <row r="2822">
          <cell r="U2822" t="str">
            <v>L106075</v>
          </cell>
          <cell r="V2822" t="str">
            <v>ARZ AY 5Kg</v>
          </cell>
          <cell r="W2822" t="str">
            <v>Ajuste</v>
          </cell>
          <cell r="X2822">
            <v>62</v>
          </cell>
          <cell r="Y2822">
            <v>310</v>
          </cell>
        </row>
        <row r="2823">
          <cell r="U2823" t="str">
            <v>L106076</v>
          </cell>
          <cell r="V2823" t="str">
            <v>ARZEPA 14kg (CAJA)</v>
          </cell>
          <cell r="W2823" t="str">
            <v>Ajuste</v>
          </cell>
          <cell r="X2823">
            <v>108</v>
          </cell>
          <cell r="Y2823">
            <v>1512</v>
          </cell>
        </row>
        <row r="2824">
          <cell r="U2824" t="str">
            <v>L107035</v>
          </cell>
          <cell r="V2824" t="str">
            <v>ARZEPA 14kg (CAJA)</v>
          </cell>
          <cell r="W2824" t="str">
            <v>Ajuste</v>
          </cell>
          <cell r="X2824">
            <v>180</v>
          </cell>
          <cell r="Y2824">
            <v>2520</v>
          </cell>
        </row>
        <row r="2825">
          <cell r="U2825" t="str">
            <v>L106762</v>
          </cell>
          <cell r="V2825" t="str">
            <v>ARZEPF 5kg (CAJA)</v>
          </cell>
          <cell r="W2825" t="str">
            <v>Ajuste</v>
          </cell>
          <cell r="X2825">
            <v>208</v>
          </cell>
          <cell r="Y2825">
            <v>1040</v>
          </cell>
        </row>
        <row r="2826">
          <cell r="U2826" t="str">
            <v>L106514</v>
          </cell>
          <cell r="V2826" t="str">
            <v>ARZEPF14kg (CAJA)</v>
          </cell>
          <cell r="W2826" t="str">
            <v>Ajuste</v>
          </cell>
          <cell r="X2826">
            <v>144</v>
          </cell>
          <cell r="Y2826">
            <v>2016</v>
          </cell>
        </row>
        <row r="2827">
          <cell r="U2827" t="str">
            <v>L106514</v>
          </cell>
          <cell r="V2827" t="str">
            <v>DIV ARZEPF14kg</v>
          </cell>
          <cell r="W2827" t="str">
            <v>Ajuste</v>
          </cell>
          <cell r="X2827">
            <v>72</v>
          </cell>
          <cell r="Y2827">
            <v>1008</v>
          </cell>
        </row>
        <row r="2828">
          <cell r="U2828" t="str">
            <v>L106761</v>
          </cell>
          <cell r="V2828" t="str">
            <v>ARZEPF14kg (CAJA)</v>
          </cell>
          <cell r="W2828" t="str">
            <v>Ajuste</v>
          </cell>
          <cell r="X2828">
            <v>180</v>
          </cell>
          <cell r="Y2828">
            <v>2520</v>
          </cell>
        </row>
        <row r="2829">
          <cell r="U2829" t="str">
            <v>L106761</v>
          </cell>
          <cell r="V2829" t="str">
            <v>DIV ARZEPF14kg</v>
          </cell>
          <cell r="W2829" t="str">
            <v>Ajuste</v>
          </cell>
          <cell r="X2829">
            <v>71</v>
          </cell>
          <cell r="Y2829">
            <v>994</v>
          </cell>
        </row>
        <row r="2830">
          <cell r="U2830" t="str">
            <v>L106312</v>
          </cell>
          <cell r="V2830" t="str">
            <v>ATN 1kg-CAJA</v>
          </cell>
          <cell r="W2830" t="str">
            <v>Ajuste</v>
          </cell>
          <cell r="X2830">
            <v>12</v>
          </cell>
          <cell r="Y2830">
            <v>12</v>
          </cell>
        </row>
        <row r="2831">
          <cell r="U2831" t="str">
            <v>L107236</v>
          </cell>
          <cell r="V2831" t="str">
            <v>ATN 1kg-CAJA</v>
          </cell>
          <cell r="W2831" t="str">
            <v>Ajuste</v>
          </cell>
          <cell r="X2831">
            <v>5</v>
          </cell>
          <cell r="Y2831">
            <v>5</v>
          </cell>
        </row>
        <row r="2832">
          <cell r="U2832" t="str">
            <v>L107400</v>
          </cell>
          <cell r="V2832" t="str">
            <v>Atun kg</v>
          </cell>
          <cell r="W2832" t="str">
            <v>Ajuste</v>
          </cell>
          <cell r="X2832">
            <v>3.64</v>
          </cell>
          <cell r="Y2832">
            <v>3.64</v>
          </cell>
        </row>
        <row r="2833">
          <cell r="U2833" t="str">
            <v>L106106</v>
          </cell>
          <cell r="V2833" t="str">
            <v>AZC 1kg-PAQUETE</v>
          </cell>
          <cell r="W2833" t="str">
            <v>Ajuste</v>
          </cell>
          <cell r="X2833">
            <v>2</v>
          </cell>
          <cell r="Y2833">
            <v>2</v>
          </cell>
        </row>
        <row r="2834">
          <cell r="U2834" t="str">
            <v>L106259</v>
          </cell>
          <cell r="V2834" t="str">
            <v>AZC 1kg-PAQUETE</v>
          </cell>
          <cell r="W2834" t="str">
            <v>Ajuste</v>
          </cell>
          <cell r="X2834">
            <v>2</v>
          </cell>
          <cell r="Y2834">
            <v>2</v>
          </cell>
        </row>
        <row r="2835">
          <cell r="U2835" t="str">
            <v>L106745</v>
          </cell>
          <cell r="V2835" t="str">
            <v>AZC 1kg-PAQUETE</v>
          </cell>
          <cell r="W2835" t="str">
            <v>Ajuste</v>
          </cell>
          <cell r="X2835">
            <v>2</v>
          </cell>
          <cell r="Y2835">
            <v>2</v>
          </cell>
        </row>
        <row r="2836">
          <cell r="U2836" t="str">
            <v>L106105</v>
          </cell>
          <cell r="V2836" t="str">
            <v>AZC 2kg-PAQUETE</v>
          </cell>
          <cell r="W2836" t="str">
            <v>Ajuste</v>
          </cell>
          <cell r="X2836">
            <v>124</v>
          </cell>
          <cell r="Y2836">
            <v>248</v>
          </cell>
        </row>
        <row r="2837">
          <cell r="U2837" t="str">
            <v>L106248</v>
          </cell>
          <cell r="V2837" t="str">
            <v>AZC 2kg-PAQUETE</v>
          </cell>
          <cell r="W2837" t="str">
            <v>Ajuste</v>
          </cell>
          <cell r="X2837">
            <v>158</v>
          </cell>
          <cell r="Y2837">
            <v>316</v>
          </cell>
        </row>
        <row r="2838">
          <cell r="U2838" t="str">
            <v>L106743</v>
          </cell>
          <cell r="V2838" t="str">
            <v>AZC 2kg-PAQUETE</v>
          </cell>
          <cell r="W2838" t="str">
            <v>Ajuste</v>
          </cell>
          <cell r="X2838">
            <v>60</v>
          </cell>
          <cell r="Y2838">
            <v>120</v>
          </cell>
        </row>
        <row r="2839">
          <cell r="U2839" t="str">
            <v>L107246</v>
          </cell>
          <cell r="V2839" t="str">
            <v>AZC 2kg-PAQUETE</v>
          </cell>
          <cell r="W2839" t="str">
            <v>Ajuste</v>
          </cell>
          <cell r="X2839">
            <v>30</v>
          </cell>
          <cell r="Y2839">
            <v>60</v>
          </cell>
        </row>
        <row r="2840">
          <cell r="U2840" t="str">
            <v>L107157</v>
          </cell>
          <cell r="V2840" t="str">
            <v>BASP 1kg</v>
          </cell>
          <cell r="W2840" t="str">
            <v>Ajuste</v>
          </cell>
          <cell r="X2840">
            <v>299</v>
          </cell>
          <cell r="Y2840">
            <v>299</v>
          </cell>
        </row>
        <row r="2841">
          <cell r="U2841" t="str">
            <v>L105810</v>
          </cell>
          <cell r="V2841" t="str">
            <v>BASPAY 5kg</v>
          </cell>
          <cell r="W2841" t="str">
            <v>Ajuste</v>
          </cell>
          <cell r="X2841">
            <v>99</v>
          </cell>
          <cell r="Y2841">
            <v>495</v>
          </cell>
        </row>
        <row r="2842">
          <cell r="U2842" t="str">
            <v>L106362</v>
          </cell>
          <cell r="V2842" t="str">
            <v>BCD 1kg</v>
          </cell>
          <cell r="W2842" t="str">
            <v>Ajuste</v>
          </cell>
          <cell r="X2842">
            <v>24</v>
          </cell>
          <cell r="Y2842">
            <v>24</v>
          </cell>
        </row>
        <row r="2843">
          <cell r="U2843" t="str">
            <v>L106413</v>
          </cell>
          <cell r="V2843" t="str">
            <v>BCLC 2.5kg</v>
          </cell>
          <cell r="W2843" t="str">
            <v>Ajuste</v>
          </cell>
          <cell r="X2843">
            <v>325</v>
          </cell>
          <cell r="Y2843">
            <v>812.5</v>
          </cell>
        </row>
        <row r="2844">
          <cell r="U2844" t="str">
            <v>L107079</v>
          </cell>
          <cell r="V2844" t="str">
            <v>BEALOE 2kg</v>
          </cell>
          <cell r="W2844" t="str">
            <v>Ajuste</v>
          </cell>
          <cell r="X2844">
            <v>1</v>
          </cell>
          <cell r="Y2844">
            <v>2</v>
          </cell>
        </row>
        <row r="2845">
          <cell r="U2845" t="str">
            <v>L106361</v>
          </cell>
          <cell r="V2845" t="str">
            <v>BMU 1kg-CAJA</v>
          </cell>
          <cell r="W2845" t="str">
            <v>Ajuste</v>
          </cell>
          <cell r="X2845">
            <v>8</v>
          </cell>
          <cell r="Y2845">
            <v>8</v>
          </cell>
        </row>
        <row r="2846">
          <cell r="U2846" t="str">
            <v>L106249</v>
          </cell>
          <cell r="V2846" t="str">
            <v>BPB 1Kg-UNIDAD</v>
          </cell>
          <cell r="W2846" t="str">
            <v>Ajuste</v>
          </cell>
          <cell r="X2846">
            <v>30</v>
          </cell>
          <cell r="Y2846">
            <v>30</v>
          </cell>
        </row>
        <row r="2847">
          <cell r="U2847" t="str">
            <v>L106366</v>
          </cell>
          <cell r="V2847" t="str">
            <v>BPB 1Kg-UNIDAD</v>
          </cell>
          <cell r="W2847" t="str">
            <v>Ajuste</v>
          </cell>
          <cell r="X2847">
            <v>42</v>
          </cell>
          <cell r="Y2847">
            <v>42</v>
          </cell>
        </row>
        <row r="2848">
          <cell r="U2848" t="str">
            <v>L106244</v>
          </cell>
          <cell r="V2848" t="str">
            <v>BPV 5kg</v>
          </cell>
          <cell r="W2848" t="str">
            <v>Ajuste</v>
          </cell>
          <cell r="X2848">
            <v>6</v>
          </cell>
          <cell r="Y2848">
            <v>30</v>
          </cell>
        </row>
        <row r="2849">
          <cell r="U2849" t="str">
            <v>L106337</v>
          </cell>
          <cell r="V2849" t="str">
            <v>BPV 5kg</v>
          </cell>
          <cell r="W2849" t="str">
            <v>Ajuste</v>
          </cell>
          <cell r="X2849">
            <v>29</v>
          </cell>
          <cell r="Y2849">
            <v>145</v>
          </cell>
        </row>
        <row r="2850">
          <cell r="U2850" t="str">
            <v>L106376</v>
          </cell>
          <cell r="V2850" t="str">
            <v>BPV 5kg</v>
          </cell>
          <cell r="W2850" t="str">
            <v>Ajuste</v>
          </cell>
          <cell r="X2850">
            <v>4</v>
          </cell>
          <cell r="Y2850">
            <v>20</v>
          </cell>
        </row>
        <row r="2851">
          <cell r="U2851" t="str">
            <v>L106648</v>
          </cell>
          <cell r="V2851" t="str">
            <v>BPV 5kg</v>
          </cell>
          <cell r="W2851" t="str">
            <v>Ajuste</v>
          </cell>
          <cell r="X2851">
            <v>14</v>
          </cell>
          <cell r="Y2851">
            <v>70</v>
          </cell>
        </row>
        <row r="2852">
          <cell r="U2852" t="str">
            <v>L106731</v>
          </cell>
          <cell r="V2852" t="str">
            <v>BPV 5kg</v>
          </cell>
          <cell r="W2852" t="str">
            <v>Ajuste</v>
          </cell>
          <cell r="X2852">
            <v>2</v>
          </cell>
          <cell r="Y2852">
            <v>10</v>
          </cell>
        </row>
        <row r="2853">
          <cell r="U2853" t="str">
            <v>L106732</v>
          </cell>
          <cell r="V2853" t="str">
            <v>BPV 5kg</v>
          </cell>
          <cell r="W2853" t="str">
            <v>Ajuste</v>
          </cell>
          <cell r="X2853">
            <v>2</v>
          </cell>
          <cell r="Y2853">
            <v>10</v>
          </cell>
        </row>
        <row r="2854">
          <cell r="U2854" t="str">
            <v>L106733</v>
          </cell>
          <cell r="V2854" t="str">
            <v>BPV 5kg</v>
          </cell>
          <cell r="W2854" t="str">
            <v>Ajuste</v>
          </cell>
          <cell r="X2854">
            <v>2</v>
          </cell>
          <cell r="Y2854">
            <v>10</v>
          </cell>
        </row>
        <row r="2855">
          <cell r="U2855" t="str">
            <v>L106734</v>
          </cell>
          <cell r="V2855" t="str">
            <v>BPV 5kg</v>
          </cell>
          <cell r="W2855" t="str">
            <v>Ajuste</v>
          </cell>
          <cell r="X2855">
            <v>2</v>
          </cell>
          <cell r="Y2855">
            <v>10</v>
          </cell>
        </row>
        <row r="2856">
          <cell r="U2856" t="str">
            <v>L106735</v>
          </cell>
          <cell r="V2856" t="str">
            <v>BPV 5kg</v>
          </cell>
          <cell r="W2856" t="str">
            <v>Ajuste</v>
          </cell>
          <cell r="X2856">
            <v>2</v>
          </cell>
          <cell r="Y2856">
            <v>10</v>
          </cell>
        </row>
        <row r="2857">
          <cell r="U2857" t="str">
            <v>L106736</v>
          </cell>
          <cell r="V2857" t="str">
            <v>BPV 5kg</v>
          </cell>
          <cell r="W2857" t="str">
            <v>Ajuste</v>
          </cell>
          <cell r="X2857">
            <v>2</v>
          </cell>
          <cell r="Y2857">
            <v>10</v>
          </cell>
        </row>
        <row r="2858">
          <cell r="U2858" t="str">
            <v>L106974</v>
          </cell>
          <cell r="V2858" t="str">
            <v>BPV 5kg</v>
          </cell>
          <cell r="W2858" t="str">
            <v>Ajuste</v>
          </cell>
          <cell r="X2858">
            <v>2</v>
          </cell>
          <cell r="Y2858">
            <v>10</v>
          </cell>
        </row>
        <row r="2859">
          <cell r="U2859" t="str">
            <v>L107083</v>
          </cell>
          <cell r="V2859" t="str">
            <v>BPV 5kg</v>
          </cell>
          <cell r="W2859" t="str">
            <v>Ajuste</v>
          </cell>
          <cell r="X2859">
            <v>4</v>
          </cell>
          <cell r="Y2859">
            <v>20</v>
          </cell>
        </row>
        <row r="2860">
          <cell r="U2860" t="str">
            <v>L107244</v>
          </cell>
          <cell r="V2860" t="str">
            <v>BPV 5kg</v>
          </cell>
          <cell r="W2860" t="str">
            <v>Ajuste</v>
          </cell>
          <cell r="X2860">
            <v>2</v>
          </cell>
          <cell r="Y2860">
            <v>10</v>
          </cell>
        </row>
        <row r="2861">
          <cell r="U2861" t="str">
            <v>L105612</v>
          </cell>
          <cell r="V2861" t="str">
            <v>BPVAY 10kg</v>
          </cell>
          <cell r="W2861" t="str">
            <v>Ajuste</v>
          </cell>
          <cell r="X2861">
            <v>2</v>
          </cell>
          <cell r="Y2861">
            <v>20</v>
          </cell>
        </row>
        <row r="2862">
          <cell r="U2862" t="str">
            <v>L105809</v>
          </cell>
          <cell r="V2862" t="str">
            <v>BPVAY 10kg</v>
          </cell>
          <cell r="W2862" t="str">
            <v>Ajuste</v>
          </cell>
          <cell r="X2862">
            <v>100</v>
          </cell>
          <cell r="Y2862">
            <v>1000</v>
          </cell>
        </row>
        <row r="2863">
          <cell r="U2863" t="str">
            <v>.......</v>
          </cell>
          <cell r="V2863" t="str">
            <v>BPVAY 5kg</v>
          </cell>
          <cell r="W2863" t="str">
            <v>Ajuste</v>
          </cell>
          <cell r="X2863">
            <v>2</v>
          </cell>
          <cell r="Y2863">
            <v>10</v>
          </cell>
        </row>
        <row r="2864">
          <cell r="U2864" t="str">
            <v>L106780</v>
          </cell>
          <cell r="V2864" t="str">
            <v>CAF 1kg</v>
          </cell>
          <cell r="W2864" t="str">
            <v>Ajuste</v>
          </cell>
          <cell r="X2864">
            <v>24</v>
          </cell>
          <cell r="Y2864">
            <v>24</v>
          </cell>
        </row>
        <row r="2865">
          <cell r="U2865" t="str">
            <v>L106781</v>
          </cell>
          <cell r="V2865" t="str">
            <v>CAF 1kg</v>
          </cell>
          <cell r="W2865" t="str">
            <v>Ajuste</v>
          </cell>
          <cell r="X2865">
            <v>8</v>
          </cell>
          <cell r="Y2865">
            <v>8</v>
          </cell>
        </row>
        <row r="2866">
          <cell r="U2866" t="str">
            <v>L106782</v>
          </cell>
          <cell r="V2866" t="str">
            <v>CAF 1kg</v>
          </cell>
          <cell r="W2866" t="str">
            <v>Ajuste</v>
          </cell>
          <cell r="X2866">
            <v>2</v>
          </cell>
          <cell r="Y2866">
            <v>2</v>
          </cell>
        </row>
        <row r="2867">
          <cell r="U2867" t="str">
            <v>L107310</v>
          </cell>
          <cell r="V2867" t="str">
            <v>CAF 1kg</v>
          </cell>
          <cell r="W2867" t="str">
            <v>Ajuste</v>
          </cell>
          <cell r="X2867">
            <v>6</v>
          </cell>
          <cell r="Y2867">
            <v>6</v>
          </cell>
        </row>
        <row r="2868">
          <cell r="U2868" t="str">
            <v>L107311</v>
          </cell>
          <cell r="V2868" t="str">
            <v>CAF 1kg</v>
          </cell>
          <cell r="W2868" t="str">
            <v>Ajuste</v>
          </cell>
          <cell r="X2868">
            <v>3</v>
          </cell>
          <cell r="Y2868">
            <v>3</v>
          </cell>
        </row>
        <row r="2869">
          <cell r="U2869" t="str">
            <v>L107312</v>
          </cell>
          <cell r="V2869" t="str">
            <v>CAF 1kg</v>
          </cell>
          <cell r="W2869" t="str">
            <v>Ajuste</v>
          </cell>
          <cell r="X2869">
            <v>1</v>
          </cell>
          <cell r="Y2869">
            <v>1</v>
          </cell>
        </row>
        <row r="2870">
          <cell r="U2870" t="str">
            <v>L107313</v>
          </cell>
          <cell r="V2870" t="str">
            <v>CAF 1kg</v>
          </cell>
          <cell r="W2870" t="str">
            <v>Ajuste</v>
          </cell>
          <cell r="X2870">
            <v>7</v>
          </cell>
          <cell r="Y2870">
            <v>7</v>
          </cell>
        </row>
        <row r="2871">
          <cell r="U2871" t="str">
            <v>L107309</v>
          </cell>
          <cell r="V2871" t="str">
            <v>CAF 2kg</v>
          </cell>
          <cell r="W2871" t="str">
            <v>Ajuste</v>
          </cell>
          <cell r="X2871">
            <v>4</v>
          </cell>
          <cell r="Y2871">
            <v>8</v>
          </cell>
        </row>
        <row r="2872">
          <cell r="U2872" t="str">
            <v>L107331</v>
          </cell>
          <cell r="V2872" t="str">
            <v>CAFG 2kg</v>
          </cell>
          <cell r="W2872" t="str">
            <v>Ajuste</v>
          </cell>
          <cell r="X2872">
            <v>44</v>
          </cell>
          <cell r="Y2872">
            <v>88</v>
          </cell>
        </row>
        <row r="2873">
          <cell r="U2873" t="str">
            <v>L107336</v>
          </cell>
          <cell r="V2873" t="str">
            <v>Carretilla</v>
          </cell>
          <cell r="W2873" t="str">
            <v>Ajuste</v>
          </cell>
          <cell r="X2873">
            <v>1</v>
          </cell>
          <cell r="Y2873">
            <v>10</v>
          </cell>
        </row>
        <row r="2874">
          <cell r="U2874" t="str">
            <v>L107337</v>
          </cell>
          <cell r="V2874" t="str">
            <v>CarretillaH</v>
          </cell>
          <cell r="W2874" t="str">
            <v>Ajuste</v>
          </cell>
          <cell r="X2874">
            <v>1</v>
          </cell>
          <cell r="Y2874">
            <v>70</v>
          </cell>
        </row>
        <row r="2875">
          <cell r="U2875" t="str">
            <v>L107047</v>
          </cell>
          <cell r="V2875" t="str">
            <v>CBCJ 1.5kg</v>
          </cell>
          <cell r="W2875" t="str">
            <v>Ajuste</v>
          </cell>
          <cell r="X2875">
            <v>75</v>
          </cell>
          <cell r="Y2875">
            <v>112.5</v>
          </cell>
        </row>
        <row r="2876">
          <cell r="U2876" t="str">
            <v>L107046</v>
          </cell>
          <cell r="V2876" t="str">
            <v>CDP 1kg-CAJA</v>
          </cell>
          <cell r="W2876" t="str">
            <v>Ajuste</v>
          </cell>
          <cell r="X2876">
            <v>33</v>
          </cell>
          <cell r="Y2876">
            <v>33</v>
          </cell>
        </row>
        <row r="2877">
          <cell r="U2877" t="str">
            <v>L107392</v>
          </cell>
          <cell r="V2877" t="str">
            <v>CHANC 1 X T41 - UNIDAD</v>
          </cell>
          <cell r="W2877" t="str">
            <v>Ajuste</v>
          </cell>
          <cell r="X2877">
            <v>1</v>
          </cell>
          <cell r="Y2877">
            <v>0.4</v>
          </cell>
        </row>
        <row r="2878">
          <cell r="U2878" t="str">
            <v>L107391</v>
          </cell>
          <cell r="V2878" t="str">
            <v>CHANI 1 X T37 - UNIDAD</v>
          </cell>
          <cell r="W2878" t="str">
            <v>Ajuste</v>
          </cell>
          <cell r="X2878">
            <v>3</v>
          </cell>
          <cell r="Y2878">
            <v>1.2000000000000002</v>
          </cell>
        </row>
        <row r="2879">
          <cell r="U2879" t="str">
            <v>L106550</v>
          </cell>
          <cell r="V2879" t="str">
            <v>CHCHM 2kg</v>
          </cell>
          <cell r="W2879" t="str">
            <v>Ajuste</v>
          </cell>
          <cell r="X2879">
            <v>2</v>
          </cell>
          <cell r="Y2879">
            <v>4</v>
          </cell>
        </row>
        <row r="2880">
          <cell r="U2880" t="str">
            <v>L106551</v>
          </cell>
          <cell r="V2880" t="str">
            <v>CHCHM 2kg</v>
          </cell>
          <cell r="W2880" t="str">
            <v>Ajuste</v>
          </cell>
          <cell r="X2880">
            <v>4</v>
          </cell>
          <cell r="Y2880">
            <v>8</v>
          </cell>
        </row>
        <row r="2881">
          <cell r="U2881" t="str">
            <v>L106558</v>
          </cell>
          <cell r="V2881" t="str">
            <v>CHWM 2kg</v>
          </cell>
          <cell r="W2881" t="str">
            <v>Ajuste</v>
          </cell>
          <cell r="X2881">
            <v>10</v>
          </cell>
          <cell r="Y2881">
            <v>20</v>
          </cell>
        </row>
        <row r="2882">
          <cell r="U2882" t="str">
            <v>L106559</v>
          </cell>
          <cell r="V2882" t="str">
            <v>CHWM 2kg</v>
          </cell>
          <cell r="W2882" t="str">
            <v>Ajuste</v>
          </cell>
          <cell r="X2882">
            <v>4</v>
          </cell>
          <cell r="Y2882">
            <v>8</v>
          </cell>
        </row>
        <row r="2883">
          <cell r="U2883" t="str">
            <v>L106251</v>
          </cell>
          <cell r="V2883" t="str">
            <v>CLX 2kg</v>
          </cell>
          <cell r="W2883" t="str">
            <v>Ajuste</v>
          </cell>
          <cell r="X2883">
            <v>30</v>
          </cell>
          <cell r="Y2883">
            <v>60</v>
          </cell>
        </row>
        <row r="2884">
          <cell r="U2884" t="str">
            <v>L106254</v>
          </cell>
          <cell r="V2884" t="str">
            <v>CLX 4kg</v>
          </cell>
          <cell r="W2884" t="str">
            <v>Ajuste</v>
          </cell>
          <cell r="X2884">
            <v>12</v>
          </cell>
          <cell r="Y2884">
            <v>48</v>
          </cell>
        </row>
        <row r="2885">
          <cell r="U2885" t="str">
            <v>L106833</v>
          </cell>
          <cell r="V2885" t="str">
            <v>CLX 4kg</v>
          </cell>
          <cell r="W2885" t="str">
            <v>Ajuste</v>
          </cell>
          <cell r="X2885">
            <v>28</v>
          </cell>
          <cell r="Y2885">
            <v>112</v>
          </cell>
        </row>
        <row r="2886">
          <cell r="U2886" t="str">
            <v>L107128</v>
          </cell>
          <cell r="V2886" t="str">
            <v>CLX 4kg</v>
          </cell>
          <cell r="W2886" t="str">
            <v>Ajuste</v>
          </cell>
          <cell r="X2886">
            <v>2</v>
          </cell>
          <cell r="Y2886">
            <v>8</v>
          </cell>
        </row>
        <row r="2887">
          <cell r="U2887" t="str">
            <v>L102384</v>
          </cell>
          <cell r="V2887" t="str">
            <v>CMPD 40x454g</v>
          </cell>
          <cell r="W2887" t="str">
            <v>Ajuste</v>
          </cell>
          <cell r="X2887">
            <v>5</v>
          </cell>
          <cell r="Y2887">
            <v>0</v>
          </cell>
        </row>
        <row r="2888">
          <cell r="U2888" t="str">
            <v>L107403</v>
          </cell>
          <cell r="V2888" t="str">
            <v>CMPP - UNIDAD</v>
          </cell>
          <cell r="W2888" t="str">
            <v>Ajuste</v>
          </cell>
          <cell r="X2888">
            <v>5</v>
          </cell>
          <cell r="Y2888">
            <v>5</v>
          </cell>
        </row>
        <row r="2889">
          <cell r="U2889" t="str">
            <v>L106277</v>
          </cell>
          <cell r="V2889" t="str">
            <v>CMSL 1kg - UNIDAD</v>
          </cell>
          <cell r="W2889" t="str">
            <v>Ajuste</v>
          </cell>
          <cell r="X2889">
            <v>38</v>
          </cell>
          <cell r="Y2889">
            <v>38</v>
          </cell>
        </row>
        <row r="2890">
          <cell r="U2890" t="str">
            <v>L106316</v>
          </cell>
          <cell r="V2890" t="str">
            <v>Coctel de frutas kg</v>
          </cell>
          <cell r="W2890" t="str">
            <v>Ajuste</v>
          </cell>
          <cell r="X2890">
            <v>14.5</v>
          </cell>
          <cell r="Y2890">
            <v>14.5</v>
          </cell>
        </row>
        <row r="2891">
          <cell r="U2891" t="str">
            <v>L106392</v>
          </cell>
          <cell r="V2891" t="str">
            <v>Coctel de frutas kg</v>
          </cell>
          <cell r="W2891" t="str">
            <v>Ajuste</v>
          </cell>
          <cell r="X2891">
            <v>3.36</v>
          </cell>
          <cell r="Y2891">
            <v>3.36</v>
          </cell>
        </row>
        <row r="2892">
          <cell r="U2892" t="str">
            <v>L106894</v>
          </cell>
          <cell r="V2892" t="str">
            <v>Coctel de frutas kg</v>
          </cell>
          <cell r="W2892" t="str">
            <v>Ajuste</v>
          </cell>
          <cell r="X2892">
            <v>6.5</v>
          </cell>
          <cell r="Y2892">
            <v>6.5</v>
          </cell>
        </row>
        <row r="2893">
          <cell r="U2893" t="str">
            <v>L106443</v>
          </cell>
          <cell r="V2893" t="str">
            <v>COSDC 3KG</v>
          </cell>
          <cell r="W2893" t="str">
            <v>Ajuste</v>
          </cell>
          <cell r="X2893">
            <v>464</v>
          </cell>
          <cell r="Y2893">
            <v>1392</v>
          </cell>
        </row>
        <row r="2894">
          <cell r="U2894" t="str">
            <v>L107023</v>
          </cell>
          <cell r="V2894" t="str">
            <v>COSDC 3KG</v>
          </cell>
          <cell r="W2894" t="str">
            <v>Ajuste</v>
          </cell>
          <cell r="X2894">
            <v>448</v>
          </cell>
          <cell r="Y2894">
            <v>1344</v>
          </cell>
        </row>
        <row r="2895">
          <cell r="U2895" t="str">
            <v>L106470</v>
          </cell>
          <cell r="V2895" t="str">
            <v>COSDC 5KG</v>
          </cell>
          <cell r="W2895" t="str">
            <v>Ajuste</v>
          </cell>
          <cell r="X2895">
            <v>2</v>
          </cell>
          <cell r="Y2895">
            <v>10</v>
          </cell>
        </row>
        <row r="2896">
          <cell r="U2896" t="str">
            <v>L107013</v>
          </cell>
          <cell r="V2896" t="str">
            <v>COSDCAY 3KG</v>
          </cell>
          <cell r="W2896" t="str">
            <v>Ajuste</v>
          </cell>
          <cell r="X2896">
            <v>150</v>
          </cell>
          <cell r="Y2896">
            <v>450</v>
          </cell>
        </row>
        <row r="2897">
          <cell r="U2897" t="str">
            <v>L102385</v>
          </cell>
          <cell r="V2897" t="str">
            <v>CPTNPD 40x320g</v>
          </cell>
          <cell r="W2897" t="str">
            <v>Ajuste</v>
          </cell>
          <cell r="X2897">
            <v>3</v>
          </cell>
          <cell r="Y2897">
            <v>0</v>
          </cell>
        </row>
        <row r="2898">
          <cell r="U2898" t="str">
            <v>L107082</v>
          </cell>
          <cell r="V2898" t="str">
            <v>CRAV 1KG</v>
          </cell>
          <cell r="W2898" t="str">
            <v>Ajuste</v>
          </cell>
          <cell r="X2898">
            <v>1</v>
          </cell>
          <cell r="Y2898">
            <v>1</v>
          </cell>
        </row>
        <row r="2899">
          <cell r="U2899" t="str">
            <v>L106388</v>
          </cell>
          <cell r="V2899" t="str">
            <v>CRC 1kg</v>
          </cell>
          <cell r="W2899" t="str">
            <v>Ajuste</v>
          </cell>
          <cell r="X2899">
            <v>10</v>
          </cell>
          <cell r="Y2899">
            <v>10</v>
          </cell>
        </row>
        <row r="2900">
          <cell r="U2900" t="str">
            <v>L107103</v>
          </cell>
          <cell r="V2900" t="str">
            <v>Crema chocolate kg</v>
          </cell>
          <cell r="W2900" t="str">
            <v>Ajuste</v>
          </cell>
          <cell r="X2900">
            <v>1.8</v>
          </cell>
          <cell r="Y2900">
            <v>1.8</v>
          </cell>
        </row>
        <row r="2901">
          <cell r="U2901" t="str">
            <v>L102386</v>
          </cell>
          <cell r="V2901" t="str">
            <v>CRM 10kg-CAJA</v>
          </cell>
          <cell r="W2901" t="str">
            <v>Ajuste</v>
          </cell>
          <cell r="X2901">
            <v>4</v>
          </cell>
          <cell r="Y2901">
            <v>0</v>
          </cell>
        </row>
        <row r="2902">
          <cell r="U2902" t="str">
            <v>L106552</v>
          </cell>
          <cell r="V2902" t="str">
            <v>CRM 2kg</v>
          </cell>
          <cell r="W2902" t="str">
            <v>Ajuste</v>
          </cell>
          <cell r="X2902">
            <v>2</v>
          </cell>
          <cell r="Y2902">
            <v>4</v>
          </cell>
        </row>
        <row r="2903">
          <cell r="U2903" t="str">
            <v>L106553</v>
          </cell>
          <cell r="V2903" t="str">
            <v>CRM 2kg</v>
          </cell>
          <cell r="W2903" t="str">
            <v>Ajuste</v>
          </cell>
          <cell r="X2903">
            <v>2</v>
          </cell>
          <cell r="Y2903">
            <v>4</v>
          </cell>
        </row>
        <row r="2904">
          <cell r="U2904" t="str">
            <v>L107273</v>
          </cell>
          <cell r="V2904" t="str">
            <v>CRV 1.5kg</v>
          </cell>
          <cell r="W2904" t="str">
            <v>Ajuste</v>
          </cell>
          <cell r="X2904">
            <v>1</v>
          </cell>
          <cell r="Y2904">
            <v>1.5</v>
          </cell>
        </row>
        <row r="2905">
          <cell r="U2905" t="str">
            <v>L106490</v>
          </cell>
          <cell r="V2905" t="str">
            <v>CRV 1kg</v>
          </cell>
          <cell r="W2905" t="str">
            <v>Ajuste</v>
          </cell>
          <cell r="X2905">
            <v>2016</v>
          </cell>
          <cell r="Y2905">
            <v>2016</v>
          </cell>
        </row>
        <row r="2906">
          <cell r="U2906" t="str">
            <v>L106490</v>
          </cell>
          <cell r="V2906" t="str">
            <v>DIV CRV 1kg</v>
          </cell>
          <cell r="W2906" t="str">
            <v>Ajuste</v>
          </cell>
          <cell r="X2906">
            <v>367</v>
          </cell>
          <cell r="Y2906">
            <v>367</v>
          </cell>
        </row>
        <row r="2907">
          <cell r="U2907" t="str">
            <v>L106489</v>
          </cell>
          <cell r="V2907" t="str">
            <v>CRV 1kg</v>
          </cell>
          <cell r="W2907" t="str">
            <v>Ajuste</v>
          </cell>
          <cell r="X2907">
            <v>2750</v>
          </cell>
          <cell r="Y2907">
            <v>2750</v>
          </cell>
        </row>
        <row r="2908">
          <cell r="U2908" t="str">
            <v>L106506</v>
          </cell>
          <cell r="V2908" t="str">
            <v>CRV 1kg</v>
          </cell>
          <cell r="W2908" t="str">
            <v>Ajuste</v>
          </cell>
          <cell r="X2908">
            <v>384</v>
          </cell>
          <cell r="Y2908">
            <v>384</v>
          </cell>
        </row>
        <row r="2909">
          <cell r="U2909" t="str">
            <v>L106853</v>
          </cell>
          <cell r="V2909" t="str">
            <v>CRV 1kg</v>
          </cell>
          <cell r="W2909" t="str">
            <v>Ajuste</v>
          </cell>
          <cell r="X2909">
            <v>1</v>
          </cell>
          <cell r="Y2909">
            <v>1</v>
          </cell>
        </row>
        <row r="2910">
          <cell r="U2910" t="str">
            <v>L107271</v>
          </cell>
          <cell r="V2910" t="str">
            <v>CRV 1kg</v>
          </cell>
          <cell r="W2910" t="str">
            <v>Ajuste</v>
          </cell>
          <cell r="X2910">
            <v>8</v>
          </cell>
          <cell r="Y2910">
            <v>8</v>
          </cell>
        </row>
        <row r="2911">
          <cell r="U2911" t="str">
            <v>L107272</v>
          </cell>
          <cell r="V2911" t="str">
            <v>CRV 1kg</v>
          </cell>
          <cell r="W2911" t="str">
            <v>Ajuste</v>
          </cell>
          <cell r="X2911">
            <v>2</v>
          </cell>
          <cell r="Y2911">
            <v>2</v>
          </cell>
        </row>
        <row r="2912">
          <cell r="U2912" t="str">
            <v>L106650</v>
          </cell>
          <cell r="V2912" t="str">
            <v>CRV 2.5kg-CAJA</v>
          </cell>
          <cell r="W2912" t="str">
            <v>Ajuste</v>
          </cell>
          <cell r="X2912">
            <v>143</v>
          </cell>
          <cell r="Y2912">
            <v>357.5</v>
          </cell>
        </row>
        <row r="2913">
          <cell r="U2913" t="str">
            <v>L106280</v>
          </cell>
          <cell r="V2913" t="str">
            <v>CSTD L - UNIDAD</v>
          </cell>
          <cell r="W2913" t="str">
            <v>Ajuste</v>
          </cell>
          <cell r="X2913">
            <v>82</v>
          </cell>
          <cell r="Y2913">
            <v>20.5</v>
          </cell>
        </row>
        <row r="2914">
          <cell r="U2914" t="str">
            <v>L106279</v>
          </cell>
          <cell r="V2914" t="str">
            <v>CSTD M - UNIDAD</v>
          </cell>
          <cell r="W2914" t="str">
            <v>Ajuste</v>
          </cell>
          <cell r="X2914">
            <v>64</v>
          </cell>
          <cell r="Y2914">
            <v>16</v>
          </cell>
        </row>
        <row r="2915">
          <cell r="U2915" t="str">
            <v>L106278</v>
          </cell>
          <cell r="V2915" t="str">
            <v>CSTD S - UNIDAD</v>
          </cell>
          <cell r="W2915" t="str">
            <v>Ajuste</v>
          </cell>
          <cell r="X2915">
            <v>40</v>
          </cell>
          <cell r="Y2915">
            <v>10</v>
          </cell>
        </row>
        <row r="2916">
          <cell r="U2916" t="str">
            <v>L106281</v>
          </cell>
          <cell r="V2916" t="str">
            <v>CSTD XL - UNIDAD</v>
          </cell>
          <cell r="W2916" t="str">
            <v>Ajuste</v>
          </cell>
          <cell r="X2916">
            <v>56</v>
          </cell>
          <cell r="Y2916">
            <v>14</v>
          </cell>
        </row>
        <row r="2917">
          <cell r="U2917" t="str">
            <v>L106367</v>
          </cell>
          <cell r="V2917" t="str">
            <v>CTF 2Kg-CAJA</v>
          </cell>
          <cell r="W2917" t="str">
            <v>Ajuste</v>
          </cell>
          <cell r="X2917">
            <v>16</v>
          </cell>
          <cell r="Y2917">
            <v>32</v>
          </cell>
        </row>
        <row r="2918">
          <cell r="U2918" t="str">
            <v>L106369</v>
          </cell>
          <cell r="V2918" t="str">
            <v>CTF 2Kg-CAJA</v>
          </cell>
          <cell r="W2918" t="str">
            <v>Ajuste</v>
          </cell>
          <cell r="X2918">
            <v>4</v>
          </cell>
          <cell r="Y2918">
            <v>8</v>
          </cell>
        </row>
        <row r="2919">
          <cell r="U2919" t="str">
            <v>L106370</v>
          </cell>
          <cell r="V2919" t="str">
            <v>CTF 2Kg-CAJA</v>
          </cell>
          <cell r="W2919" t="str">
            <v>Ajuste</v>
          </cell>
          <cell r="X2919">
            <v>4</v>
          </cell>
          <cell r="Y2919">
            <v>8</v>
          </cell>
        </row>
        <row r="2920">
          <cell r="U2920" t="str">
            <v>L106302</v>
          </cell>
          <cell r="V2920" t="str">
            <v>CTF 3Kg-CAJA</v>
          </cell>
          <cell r="W2920" t="str">
            <v>Ajuste</v>
          </cell>
          <cell r="X2920">
            <v>4</v>
          </cell>
          <cell r="Y2920">
            <v>12</v>
          </cell>
        </row>
        <row r="2921">
          <cell r="U2921" t="str">
            <v>L107321</v>
          </cell>
          <cell r="V2921" t="str">
            <v>Desinfectante kg</v>
          </cell>
          <cell r="W2921" t="str">
            <v>Ajuste</v>
          </cell>
          <cell r="X2921">
            <v>1.8</v>
          </cell>
          <cell r="Y2921">
            <v>1.8</v>
          </cell>
        </row>
        <row r="2922">
          <cell r="U2922" t="str">
            <v>L106686</v>
          </cell>
          <cell r="V2922" t="str">
            <v>DIV ADR 2kg</v>
          </cell>
          <cell r="W2922" t="str">
            <v>Ajuste</v>
          </cell>
          <cell r="X2922">
            <v>2</v>
          </cell>
          <cell r="Y2922">
            <v>4</v>
          </cell>
        </row>
        <row r="2923">
          <cell r="U2923" t="str">
            <v>L106849</v>
          </cell>
          <cell r="V2923" t="str">
            <v>DIV AGU 1 GLN</v>
          </cell>
          <cell r="W2923" t="str">
            <v>Ajuste</v>
          </cell>
          <cell r="X2923">
            <v>313</v>
          </cell>
          <cell r="Y2923">
            <v>1183.1400000000001</v>
          </cell>
        </row>
        <row r="2924">
          <cell r="U2924" t="str">
            <v>L107038</v>
          </cell>
          <cell r="V2924" t="str">
            <v>DIV AGU 1 GLN</v>
          </cell>
          <cell r="W2924" t="str">
            <v>Ajuste</v>
          </cell>
          <cell r="X2924">
            <v>328</v>
          </cell>
          <cell r="Y2924">
            <v>1239.8399999999999</v>
          </cell>
        </row>
        <row r="2925">
          <cell r="U2925" t="str">
            <v>L106770</v>
          </cell>
          <cell r="V2925" t="str">
            <v>DIV ALP 5kg</v>
          </cell>
          <cell r="W2925" t="str">
            <v>Ajuste</v>
          </cell>
          <cell r="X2925">
            <v>4</v>
          </cell>
          <cell r="Y2925">
            <v>20</v>
          </cell>
        </row>
        <row r="2926">
          <cell r="U2926" t="str">
            <v>L106983</v>
          </cell>
          <cell r="V2926" t="str">
            <v>DIV ALP 7kg</v>
          </cell>
          <cell r="W2926" t="str">
            <v>Ajuste</v>
          </cell>
          <cell r="X2926">
            <v>4</v>
          </cell>
          <cell r="Y2926">
            <v>28</v>
          </cell>
        </row>
        <row r="2927">
          <cell r="U2927" t="str">
            <v>L107370</v>
          </cell>
          <cell r="V2927" t="str">
            <v>DIV ALP 7kg</v>
          </cell>
          <cell r="W2927" t="str">
            <v>Ajuste</v>
          </cell>
          <cell r="X2927">
            <v>4</v>
          </cell>
          <cell r="Y2927">
            <v>28</v>
          </cell>
        </row>
        <row r="2928">
          <cell r="U2928" t="str">
            <v>L106083</v>
          </cell>
          <cell r="V2928" t="str">
            <v>DIV AZC 2kg</v>
          </cell>
          <cell r="W2928" t="str">
            <v>Ajuste</v>
          </cell>
          <cell r="X2928">
            <v>66</v>
          </cell>
          <cell r="Y2928">
            <v>132</v>
          </cell>
        </row>
        <row r="2929">
          <cell r="U2929" t="str">
            <v>L106107</v>
          </cell>
          <cell r="V2929" t="str">
            <v>DIV BAVHLR 1kg</v>
          </cell>
          <cell r="W2929" t="str">
            <v>Ajuste</v>
          </cell>
          <cell r="X2929">
            <v>2</v>
          </cell>
          <cell r="Y2929">
            <v>2</v>
          </cell>
        </row>
        <row r="2930">
          <cell r="U2930" t="str">
            <v>L106688</v>
          </cell>
          <cell r="V2930" t="str">
            <v>DIV BPV 5kg</v>
          </cell>
          <cell r="W2930" t="str">
            <v>Ajuste</v>
          </cell>
          <cell r="X2930">
            <v>6</v>
          </cell>
          <cell r="Y2930">
            <v>30</v>
          </cell>
        </row>
        <row r="2931">
          <cell r="U2931" t="str">
            <v>L106691</v>
          </cell>
          <cell r="V2931" t="str">
            <v>DIV BPV 5kg</v>
          </cell>
          <cell r="W2931" t="str">
            <v>Ajuste</v>
          </cell>
          <cell r="X2931">
            <v>6</v>
          </cell>
          <cell r="Y2931">
            <v>30</v>
          </cell>
        </row>
        <row r="2932">
          <cell r="U2932" t="str">
            <v>L107274</v>
          </cell>
          <cell r="V2932" t="str">
            <v>DIV BPV 5kg</v>
          </cell>
          <cell r="W2932" t="str">
            <v>Ajuste</v>
          </cell>
          <cell r="X2932">
            <v>16</v>
          </cell>
          <cell r="Y2932">
            <v>80</v>
          </cell>
        </row>
        <row r="2933">
          <cell r="U2933" t="str">
            <v>L106693</v>
          </cell>
          <cell r="V2933" t="str">
            <v>DIV CHWM 2kg</v>
          </cell>
          <cell r="W2933" t="str">
            <v>Ajuste</v>
          </cell>
          <cell r="X2933">
            <v>2</v>
          </cell>
          <cell r="Y2933">
            <v>4</v>
          </cell>
        </row>
        <row r="2934">
          <cell r="U2934" t="str">
            <v>L106084</v>
          </cell>
          <cell r="V2934" t="str">
            <v>DIV CLZCAB T8</v>
          </cell>
          <cell r="W2934" t="str">
            <v>Ajuste</v>
          </cell>
          <cell r="X2934">
            <v>2</v>
          </cell>
          <cell r="Y2934">
            <v>1.4</v>
          </cell>
        </row>
        <row r="2935">
          <cell r="U2935" t="str">
            <v>L106085</v>
          </cell>
          <cell r="V2935" t="str">
            <v>DIV CLZCAB T9</v>
          </cell>
          <cell r="W2935" t="str">
            <v>Ajuste</v>
          </cell>
          <cell r="X2935">
            <v>2</v>
          </cell>
          <cell r="Y2935">
            <v>1.4</v>
          </cell>
        </row>
        <row r="2936">
          <cell r="U2936" t="str">
            <v>L106086</v>
          </cell>
          <cell r="V2936" t="str">
            <v>DIV CLZDAM T37</v>
          </cell>
          <cell r="W2936" t="str">
            <v>Ajuste</v>
          </cell>
          <cell r="X2936">
            <v>2</v>
          </cell>
          <cell r="Y2936">
            <v>1.2</v>
          </cell>
        </row>
        <row r="2937">
          <cell r="U2937" t="str">
            <v>L106285</v>
          </cell>
          <cell r="V2937" t="str">
            <v>DIV CNPH 4.5kg</v>
          </cell>
          <cell r="W2937" t="str">
            <v>Ajuste</v>
          </cell>
          <cell r="X2937">
            <v>200</v>
          </cell>
          <cell r="Y2937">
            <v>900</v>
          </cell>
        </row>
        <row r="2938">
          <cell r="U2938" t="str">
            <v>L106986</v>
          </cell>
          <cell r="V2938" t="str">
            <v>DIV CNPH 4.5kg</v>
          </cell>
          <cell r="W2938" t="str">
            <v>Ajuste</v>
          </cell>
          <cell r="X2938">
            <v>3</v>
          </cell>
          <cell r="Y2938">
            <v>13.5</v>
          </cell>
        </row>
        <row r="2939">
          <cell r="U2939" t="str">
            <v>L106228</v>
          </cell>
          <cell r="V2939" t="str">
            <v>DIV COSDC 14KG</v>
          </cell>
          <cell r="W2939" t="str">
            <v>Ajuste</v>
          </cell>
          <cell r="X2939">
            <v>50</v>
          </cell>
          <cell r="Y2939">
            <v>700</v>
          </cell>
        </row>
        <row r="2940">
          <cell r="U2940" t="str">
            <v>L106284</v>
          </cell>
          <cell r="V2940" t="str">
            <v>DIV COSDC 14KG</v>
          </cell>
          <cell r="W2940" t="str">
            <v>Ajuste</v>
          </cell>
          <cell r="X2940">
            <v>100</v>
          </cell>
          <cell r="Y2940">
            <v>1400</v>
          </cell>
        </row>
        <row r="2941">
          <cell r="U2941" t="str">
            <v>L106917</v>
          </cell>
          <cell r="V2941" t="str">
            <v>DIV COSDC 14KG</v>
          </cell>
          <cell r="W2941" t="str">
            <v>Ajuste</v>
          </cell>
          <cell r="X2941">
            <v>50</v>
          </cell>
          <cell r="Y2941">
            <v>700</v>
          </cell>
        </row>
        <row r="2942">
          <cell r="U2942" t="str">
            <v>L107162</v>
          </cell>
          <cell r="V2942" t="str">
            <v>DIV COSDC 14KG</v>
          </cell>
          <cell r="W2942" t="str">
            <v>Ajuste</v>
          </cell>
          <cell r="X2942">
            <v>48</v>
          </cell>
          <cell r="Y2942">
            <v>672</v>
          </cell>
        </row>
        <row r="2943">
          <cell r="U2943" t="str">
            <v>L106682</v>
          </cell>
          <cell r="V2943" t="str">
            <v>DIV CRM 2kg</v>
          </cell>
          <cell r="W2943" t="str">
            <v>Ajuste</v>
          </cell>
          <cell r="X2943">
            <v>12</v>
          </cell>
          <cell r="Y2943">
            <v>24</v>
          </cell>
        </row>
        <row r="2944">
          <cell r="U2944" t="str">
            <v>L106690</v>
          </cell>
          <cell r="V2944" t="str">
            <v>DIV CRM 2kg</v>
          </cell>
          <cell r="W2944" t="str">
            <v>Ajuste</v>
          </cell>
          <cell r="X2944">
            <v>10</v>
          </cell>
          <cell r="Y2944">
            <v>20</v>
          </cell>
        </row>
        <row r="2945">
          <cell r="U2945" t="str">
            <v>L107205</v>
          </cell>
          <cell r="V2945" t="str">
            <v>DIV CRM 2kg</v>
          </cell>
          <cell r="W2945" t="str">
            <v>Ajuste</v>
          </cell>
          <cell r="X2945">
            <v>2</v>
          </cell>
          <cell r="Y2945">
            <v>4</v>
          </cell>
        </row>
        <row r="2946">
          <cell r="U2946" t="str">
            <v>L106540</v>
          </cell>
          <cell r="V2946" t="str">
            <v>DIV CRV 2kg</v>
          </cell>
          <cell r="W2946" t="str">
            <v>Ajuste</v>
          </cell>
          <cell r="X2946">
            <v>272</v>
          </cell>
          <cell r="Y2946">
            <v>544</v>
          </cell>
        </row>
        <row r="2947">
          <cell r="U2947" t="str">
            <v>L106539</v>
          </cell>
          <cell r="V2947" t="str">
            <v>DIV CRV 6kg</v>
          </cell>
          <cell r="W2947" t="str">
            <v>Ajuste</v>
          </cell>
          <cell r="X2947">
            <v>69</v>
          </cell>
          <cell r="Y2947">
            <v>414</v>
          </cell>
        </row>
        <row r="2948">
          <cell r="U2948" t="str">
            <v>L106201</v>
          </cell>
          <cell r="V2948" t="str">
            <v>DIV ECDP 7kg</v>
          </cell>
          <cell r="W2948" t="str">
            <v>Ajuste</v>
          </cell>
          <cell r="X2948">
            <v>4</v>
          </cell>
          <cell r="Y2948">
            <v>28</v>
          </cell>
        </row>
        <row r="2949">
          <cell r="U2949" t="str">
            <v>L106994</v>
          </cell>
          <cell r="V2949" t="str">
            <v>DIV ECTO - UNIDAD</v>
          </cell>
          <cell r="W2949" t="str">
            <v>Ajuste</v>
          </cell>
          <cell r="X2949">
            <v>24</v>
          </cell>
          <cell r="Y2949">
            <v>1200</v>
          </cell>
        </row>
        <row r="2950">
          <cell r="U2950" t="str">
            <v>L106919</v>
          </cell>
          <cell r="V2950" t="str">
            <v>DIV EMBV 2kg</v>
          </cell>
          <cell r="W2950" t="str">
            <v>Ajuste</v>
          </cell>
          <cell r="X2950">
            <v>12</v>
          </cell>
          <cell r="Y2950">
            <v>24</v>
          </cell>
        </row>
        <row r="2951">
          <cell r="U2951" t="str">
            <v>L107122</v>
          </cell>
          <cell r="V2951" t="str">
            <v>DIV EMP 1kg</v>
          </cell>
          <cell r="W2951" t="str">
            <v>Ajuste</v>
          </cell>
          <cell r="X2951">
            <v>12</v>
          </cell>
          <cell r="Y2951">
            <v>12</v>
          </cell>
        </row>
        <row r="2952">
          <cell r="U2952" t="str">
            <v>L107207</v>
          </cell>
          <cell r="V2952" t="str">
            <v>DIV EMP 1kg</v>
          </cell>
          <cell r="W2952" t="str">
            <v>Ajuste</v>
          </cell>
          <cell r="X2952">
            <v>1</v>
          </cell>
          <cell r="Y2952">
            <v>1</v>
          </cell>
        </row>
        <row r="2953">
          <cell r="U2953" t="str">
            <v>L106712</v>
          </cell>
          <cell r="V2953" t="str">
            <v>DIV EMP 2kg</v>
          </cell>
          <cell r="W2953" t="str">
            <v>Ajuste</v>
          </cell>
          <cell r="X2953">
            <v>4</v>
          </cell>
          <cell r="Y2953">
            <v>8</v>
          </cell>
        </row>
        <row r="2954">
          <cell r="U2954" t="str">
            <v>L106417</v>
          </cell>
          <cell r="V2954" t="str">
            <v>ESQPCD 8kg</v>
          </cell>
          <cell r="W2954" t="str">
            <v>Ajuste</v>
          </cell>
          <cell r="X2954">
            <v>88</v>
          </cell>
          <cell r="Y2954">
            <v>704</v>
          </cell>
        </row>
        <row r="2955">
          <cell r="U2955" t="str">
            <v>L106417</v>
          </cell>
          <cell r="V2955" t="str">
            <v>DIV ESQPCD 8kg</v>
          </cell>
          <cell r="W2955" t="str">
            <v>Ajuste</v>
          </cell>
          <cell r="X2955">
            <v>240</v>
          </cell>
          <cell r="Y2955">
            <v>1920</v>
          </cell>
        </row>
        <row r="2956">
          <cell r="U2956" t="str">
            <v>L106915</v>
          </cell>
          <cell r="V2956" t="str">
            <v>DIV ESQPCD 8kg</v>
          </cell>
          <cell r="W2956" t="str">
            <v>Ajuste</v>
          </cell>
          <cell r="X2956">
            <v>5</v>
          </cell>
          <cell r="Y2956">
            <v>40</v>
          </cell>
        </row>
        <row r="2957">
          <cell r="U2957" t="str">
            <v>L106692</v>
          </cell>
          <cell r="V2957" t="str">
            <v>DIV ESV 2kg</v>
          </cell>
          <cell r="W2957" t="str">
            <v>Ajuste</v>
          </cell>
          <cell r="X2957">
            <v>4</v>
          </cell>
          <cell r="Y2957">
            <v>8</v>
          </cell>
        </row>
        <row r="2958">
          <cell r="U2958" t="str">
            <v>L107211</v>
          </cell>
          <cell r="V2958" t="str">
            <v>DIV ESV 2kg</v>
          </cell>
          <cell r="W2958" t="str">
            <v>Ajuste</v>
          </cell>
          <cell r="X2958">
            <v>1</v>
          </cell>
          <cell r="Y2958">
            <v>2</v>
          </cell>
        </row>
        <row r="2959">
          <cell r="U2959" t="str">
            <v>L106396</v>
          </cell>
          <cell r="V2959" t="str">
            <v>DIV FDE 3KG</v>
          </cell>
          <cell r="W2959" t="str">
            <v>Ajuste</v>
          </cell>
          <cell r="X2959">
            <v>70</v>
          </cell>
          <cell r="Y2959">
            <v>210</v>
          </cell>
        </row>
        <row r="2960">
          <cell r="U2960" t="str">
            <v>L106088</v>
          </cell>
          <cell r="V2960" t="str">
            <v>DIV FRCONG 2kg</v>
          </cell>
          <cell r="W2960" t="str">
            <v>Ajuste</v>
          </cell>
          <cell r="X2960">
            <v>2</v>
          </cell>
          <cell r="Y2960">
            <v>4</v>
          </cell>
        </row>
        <row r="2961">
          <cell r="U2961" t="str">
            <v>L106091</v>
          </cell>
          <cell r="V2961" t="str">
            <v>DIV FRUVER 10kg</v>
          </cell>
          <cell r="W2961" t="str">
            <v>Ajuste</v>
          </cell>
          <cell r="X2961">
            <v>10</v>
          </cell>
          <cell r="Y2961">
            <v>100</v>
          </cell>
        </row>
        <row r="2962">
          <cell r="U2962" t="str">
            <v>L106111</v>
          </cell>
          <cell r="V2962" t="str">
            <v>DIV FRUVER 10kg</v>
          </cell>
          <cell r="W2962" t="str">
            <v>Ajuste</v>
          </cell>
          <cell r="X2962">
            <v>30</v>
          </cell>
          <cell r="Y2962">
            <v>300</v>
          </cell>
        </row>
        <row r="2963">
          <cell r="U2963" t="str">
            <v>L106113</v>
          </cell>
          <cell r="V2963" t="str">
            <v>DIV FRUVER 10kg</v>
          </cell>
          <cell r="W2963" t="str">
            <v>Ajuste</v>
          </cell>
          <cell r="X2963">
            <v>10</v>
          </cell>
          <cell r="Y2963">
            <v>100</v>
          </cell>
        </row>
        <row r="2964">
          <cell r="U2964" t="str">
            <v>L106115</v>
          </cell>
          <cell r="V2964" t="str">
            <v>DIV FRUVER 10kg</v>
          </cell>
          <cell r="W2964" t="str">
            <v>Ajuste</v>
          </cell>
          <cell r="X2964">
            <v>18</v>
          </cell>
          <cell r="Y2964">
            <v>180</v>
          </cell>
        </row>
        <row r="2965">
          <cell r="U2965" t="str">
            <v>L106220</v>
          </cell>
          <cell r="V2965" t="str">
            <v>DIV FRUVER 10kg</v>
          </cell>
          <cell r="W2965" t="str">
            <v>Ajuste</v>
          </cell>
          <cell r="X2965">
            <v>10</v>
          </cell>
          <cell r="Y2965">
            <v>100</v>
          </cell>
        </row>
        <row r="2966">
          <cell r="U2966" t="str">
            <v>L106222</v>
          </cell>
          <cell r="V2966" t="str">
            <v>DIV FRUVER 10kg</v>
          </cell>
          <cell r="W2966" t="str">
            <v>Ajuste</v>
          </cell>
          <cell r="X2966">
            <v>10</v>
          </cell>
          <cell r="Y2966">
            <v>100</v>
          </cell>
        </row>
        <row r="2967">
          <cell r="U2967" t="str">
            <v>L106224</v>
          </cell>
          <cell r="V2967" t="str">
            <v>DIV FRUVER 10kg</v>
          </cell>
          <cell r="W2967" t="str">
            <v>Ajuste</v>
          </cell>
          <cell r="X2967">
            <v>16</v>
          </cell>
          <cell r="Y2967">
            <v>160</v>
          </cell>
        </row>
        <row r="2968">
          <cell r="U2968" t="str">
            <v>L106226</v>
          </cell>
          <cell r="V2968" t="str">
            <v>DIV FRUVER 10kg</v>
          </cell>
          <cell r="W2968" t="str">
            <v>Ajuste</v>
          </cell>
          <cell r="X2968">
            <v>10</v>
          </cell>
          <cell r="Y2968">
            <v>100</v>
          </cell>
        </row>
        <row r="2969">
          <cell r="U2969" t="str">
            <v>L106287</v>
          </cell>
          <cell r="V2969" t="str">
            <v>DIV FRUVER 10kg</v>
          </cell>
          <cell r="W2969" t="str">
            <v>Ajuste</v>
          </cell>
          <cell r="X2969">
            <v>10</v>
          </cell>
          <cell r="Y2969">
            <v>100</v>
          </cell>
        </row>
        <row r="2970">
          <cell r="U2970" t="str">
            <v>L106289</v>
          </cell>
          <cell r="V2970" t="str">
            <v>DIV FRUVER 10kg</v>
          </cell>
          <cell r="W2970" t="str">
            <v>Ajuste</v>
          </cell>
          <cell r="X2970">
            <v>8</v>
          </cell>
          <cell r="Y2970">
            <v>80</v>
          </cell>
        </row>
        <row r="2971">
          <cell r="U2971" t="str">
            <v>L106291</v>
          </cell>
          <cell r="V2971" t="str">
            <v>DIV FRUVER 10kg</v>
          </cell>
          <cell r="W2971" t="str">
            <v>Ajuste</v>
          </cell>
          <cell r="X2971">
            <v>26</v>
          </cell>
          <cell r="Y2971">
            <v>260</v>
          </cell>
        </row>
        <row r="2972">
          <cell r="U2972" t="str">
            <v>L106293</v>
          </cell>
          <cell r="V2972" t="str">
            <v>DIV FRUVER 10kg</v>
          </cell>
          <cell r="W2972" t="str">
            <v>Ajuste</v>
          </cell>
          <cell r="X2972">
            <v>8</v>
          </cell>
          <cell r="Y2972">
            <v>80</v>
          </cell>
        </row>
        <row r="2973">
          <cell r="U2973" t="str">
            <v>L106332</v>
          </cell>
          <cell r="V2973" t="str">
            <v>DIV FRUVER 10kg</v>
          </cell>
          <cell r="W2973" t="str">
            <v>Ajuste</v>
          </cell>
          <cell r="X2973">
            <v>16</v>
          </cell>
          <cell r="Y2973">
            <v>160</v>
          </cell>
        </row>
        <row r="2974">
          <cell r="U2974" t="str">
            <v>L106405</v>
          </cell>
          <cell r="V2974" t="str">
            <v>DIV FRUVER 10kg</v>
          </cell>
          <cell r="W2974" t="str">
            <v>Ajuste</v>
          </cell>
          <cell r="X2974">
            <v>26</v>
          </cell>
          <cell r="Y2974">
            <v>260</v>
          </cell>
        </row>
        <row r="2975">
          <cell r="U2975" t="str">
            <v>L106407</v>
          </cell>
          <cell r="V2975" t="str">
            <v>DIV FRUVER 10kg</v>
          </cell>
          <cell r="W2975" t="str">
            <v>Ajuste</v>
          </cell>
          <cell r="X2975">
            <v>14</v>
          </cell>
          <cell r="Y2975">
            <v>140</v>
          </cell>
        </row>
        <row r="2976">
          <cell r="U2976" t="str">
            <v>L106409</v>
          </cell>
          <cell r="V2976" t="str">
            <v>DIV FRUVER 10kg</v>
          </cell>
          <cell r="W2976" t="str">
            <v>Ajuste</v>
          </cell>
          <cell r="X2976">
            <v>4</v>
          </cell>
          <cell r="Y2976">
            <v>40</v>
          </cell>
        </row>
        <row r="2977">
          <cell r="U2977" t="str">
            <v>L106441</v>
          </cell>
          <cell r="V2977" t="str">
            <v>DIV FRUVER 10kg</v>
          </cell>
          <cell r="W2977" t="str">
            <v>Ajuste</v>
          </cell>
          <cell r="X2977">
            <v>12</v>
          </cell>
          <cell r="Y2977">
            <v>120</v>
          </cell>
        </row>
        <row r="2978">
          <cell r="U2978" t="str">
            <v>L106444</v>
          </cell>
          <cell r="V2978" t="str">
            <v>DIV FRUVER 10kg</v>
          </cell>
          <cell r="W2978" t="str">
            <v>Ajuste</v>
          </cell>
          <cell r="X2978">
            <v>14</v>
          </cell>
          <cell r="Y2978">
            <v>140</v>
          </cell>
        </row>
        <row r="2979">
          <cell r="U2979" t="str">
            <v>L106492</v>
          </cell>
          <cell r="V2979" t="str">
            <v>DIV FRUVER 10kg</v>
          </cell>
          <cell r="W2979" t="str">
            <v>Ajuste</v>
          </cell>
          <cell r="X2979">
            <v>6</v>
          </cell>
          <cell r="Y2979">
            <v>60</v>
          </cell>
        </row>
        <row r="2980">
          <cell r="U2980" t="str">
            <v>L106520</v>
          </cell>
          <cell r="V2980" t="str">
            <v>DIV FRUVER 10kg</v>
          </cell>
          <cell r="W2980" t="str">
            <v>Ajuste</v>
          </cell>
          <cell r="X2980">
            <v>4</v>
          </cell>
          <cell r="Y2980">
            <v>40</v>
          </cell>
        </row>
        <row r="2981">
          <cell r="U2981" t="str">
            <v>L106522</v>
          </cell>
          <cell r="V2981" t="str">
            <v>DIV FRUVER 10kg</v>
          </cell>
          <cell r="W2981" t="str">
            <v>Ajuste</v>
          </cell>
          <cell r="X2981">
            <v>10</v>
          </cell>
          <cell r="Y2981">
            <v>100</v>
          </cell>
        </row>
        <row r="2982">
          <cell r="U2982" t="str">
            <v>L106526</v>
          </cell>
          <cell r="V2982" t="str">
            <v>DIV FRUVER 10kg</v>
          </cell>
          <cell r="W2982" t="str">
            <v>Ajuste</v>
          </cell>
          <cell r="X2982">
            <v>14</v>
          </cell>
          <cell r="Y2982">
            <v>140</v>
          </cell>
        </row>
        <row r="2983">
          <cell r="U2983" t="str">
            <v>L106528</v>
          </cell>
          <cell r="V2983" t="str">
            <v>DIV FRUVER 10kg</v>
          </cell>
          <cell r="W2983" t="str">
            <v>Ajuste</v>
          </cell>
          <cell r="X2983">
            <v>12</v>
          </cell>
          <cell r="Y2983">
            <v>120</v>
          </cell>
        </row>
        <row r="2984">
          <cell r="U2984" t="str">
            <v>L106655</v>
          </cell>
          <cell r="V2984" t="str">
            <v>DIV FRUVER 10kg</v>
          </cell>
          <cell r="W2984" t="str">
            <v>Ajuste</v>
          </cell>
          <cell r="X2984">
            <v>44</v>
          </cell>
          <cell r="Y2984">
            <v>440</v>
          </cell>
        </row>
        <row r="2985">
          <cell r="U2985" t="str">
            <v>L106700</v>
          </cell>
          <cell r="V2985" t="str">
            <v>DIV FRUVER 10kg</v>
          </cell>
          <cell r="W2985" t="str">
            <v>Ajuste</v>
          </cell>
          <cell r="X2985">
            <v>4</v>
          </cell>
          <cell r="Y2985">
            <v>40</v>
          </cell>
        </row>
        <row r="2986">
          <cell r="U2986" t="str">
            <v>L106704</v>
          </cell>
          <cell r="V2986" t="str">
            <v>DIV FRUVER 10kg</v>
          </cell>
          <cell r="W2986" t="str">
            <v>Ajuste</v>
          </cell>
          <cell r="X2986">
            <v>18</v>
          </cell>
          <cell r="Y2986">
            <v>180</v>
          </cell>
        </row>
        <row r="2987">
          <cell r="U2987" t="str">
            <v>L106706</v>
          </cell>
          <cell r="V2987" t="str">
            <v>DIV FRUVER 10kg</v>
          </cell>
          <cell r="W2987" t="str">
            <v>Ajuste</v>
          </cell>
          <cell r="X2987">
            <v>6</v>
          </cell>
          <cell r="Y2987">
            <v>60</v>
          </cell>
        </row>
        <row r="2988">
          <cell r="U2988" t="str">
            <v>L106708</v>
          </cell>
          <cell r="V2988" t="str">
            <v>DIV FRUVER 10kg</v>
          </cell>
          <cell r="W2988" t="str">
            <v>Ajuste</v>
          </cell>
          <cell r="X2988">
            <v>24</v>
          </cell>
          <cell r="Y2988">
            <v>240</v>
          </cell>
        </row>
        <row r="2989">
          <cell r="U2989" t="str">
            <v>L106758</v>
          </cell>
          <cell r="V2989" t="str">
            <v>DIV FRUVER 10kg</v>
          </cell>
          <cell r="W2989" t="str">
            <v>Ajuste</v>
          </cell>
          <cell r="X2989">
            <v>8</v>
          </cell>
          <cell r="Y2989">
            <v>80</v>
          </cell>
        </row>
        <row r="2990">
          <cell r="U2990" t="str">
            <v>L106763</v>
          </cell>
          <cell r="V2990" t="str">
            <v>DIV FRUVER 10kg</v>
          </cell>
          <cell r="W2990" t="str">
            <v>Ajuste</v>
          </cell>
          <cell r="X2990">
            <v>12</v>
          </cell>
          <cell r="Y2990">
            <v>120</v>
          </cell>
        </row>
        <row r="2991">
          <cell r="U2991" t="str">
            <v>L106766</v>
          </cell>
          <cell r="V2991" t="str">
            <v>DIV FRUVER 10kg</v>
          </cell>
          <cell r="W2991" t="str">
            <v>Ajuste</v>
          </cell>
          <cell r="X2991">
            <v>6</v>
          </cell>
          <cell r="Y2991">
            <v>60</v>
          </cell>
        </row>
        <row r="2992">
          <cell r="U2992" t="str">
            <v>L106867</v>
          </cell>
          <cell r="V2992" t="str">
            <v>DIV FRUVER 10kg</v>
          </cell>
          <cell r="W2992" t="str">
            <v>Ajuste</v>
          </cell>
          <cell r="X2992">
            <v>16</v>
          </cell>
          <cell r="Y2992">
            <v>160</v>
          </cell>
        </row>
        <row r="2993">
          <cell r="U2993" t="str">
            <v>L106903</v>
          </cell>
          <cell r="V2993" t="str">
            <v>DIV FRUVER 10kg</v>
          </cell>
          <cell r="W2993" t="str">
            <v>Ajuste</v>
          </cell>
          <cell r="X2993">
            <v>12</v>
          </cell>
          <cell r="Y2993">
            <v>120</v>
          </cell>
        </row>
        <row r="2994">
          <cell r="U2994" t="str">
            <v>L106906</v>
          </cell>
          <cell r="V2994" t="str">
            <v>DIV FRUVER 10kg</v>
          </cell>
          <cell r="W2994" t="str">
            <v>Ajuste</v>
          </cell>
          <cell r="X2994">
            <v>12</v>
          </cell>
          <cell r="Y2994">
            <v>120</v>
          </cell>
        </row>
        <row r="2995">
          <cell r="U2995" t="str">
            <v>L106910</v>
          </cell>
          <cell r="V2995" t="str">
            <v>DIV FRUVER 10kg</v>
          </cell>
          <cell r="W2995" t="str">
            <v>Ajuste</v>
          </cell>
          <cell r="X2995">
            <v>28</v>
          </cell>
          <cell r="Y2995">
            <v>280</v>
          </cell>
        </row>
        <row r="2996">
          <cell r="U2996" t="str">
            <v>L106912</v>
          </cell>
          <cell r="V2996" t="str">
            <v>DIV FRUVER 10kg</v>
          </cell>
          <cell r="W2996" t="str">
            <v>Ajuste</v>
          </cell>
          <cell r="X2996">
            <v>12</v>
          </cell>
          <cell r="Y2996">
            <v>120</v>
          </cell>
        </row>
        <row r="2997">
          <cell r="U2997" t="str">
            <v>L107039</v>
          </cell>
          <cell r="V2997" t="str">
            <v>DIV FRUVER 10kg</v>
          </cell>
          <cell r="W2997" t="str">
            <v>Ajuste</v>
          </cell>
          <cell r="X2997">
            <v>12</v>
          </cell>
          <cell r="Y2997">
            <v>120</v>
          </cell>
        </row>
        <row r="2998">
          <cell r="U2998" t="str">
            <v>L107108</v>
          </cell>
          <cell r="V2998" t="str">
            <v>DIV FRUVER 10kg</v>
          </cell>
          <cell r="W2998" t="str">
            <v>Ajuste</v>
          </cell>
          <cell r="X2998">
            <v>42</v>
          </cell>
          <cell r="Y2998">
            <v>420</v>
          </cell>
        </row>
        <row r="2999">
          <cell r="U2999" t="str">
            <v>L107110</v>
          </cell>
          <cell r="V2999" t="str">
            <v>DIV FRUVER 10kg</v>
          </cell>
          <cell r="W2999" t="str">
            <v>Ajuste</v>
          </cell>
          <cell r="X2999">
            <v>10</v>
          </cell>
          <cell r="Y2999">
            <v>100</v>
          </cell>
        </row>
        <row r="3000">
          <cell r="U3000" t="str">
            <v>L107112</v>
          </cell>
          <cell r="V3000" t="str">
            <v>DIV FRUVER 10kg</v>
          </cell>
          <cell r="W3000" t="str">
            <v>Ajuste</v>
          </cell>
          <cell r="X3000">
            <v>8</v>
          </cell>
          <cell r="Y3000">
            <v>80</v>
          </cell>
        </row>
        <row r="3001">
          <cell r="U3001" t="str">
            <v>L107114</v>
          </cell>
          <cell r="V3001" t="str">
            <v>DIV FRUVER 10kg</v>
          </cell>
          <cell r="W3001" t="str">
            <v>Ajuste</v>
          </cell>
          <cell r="X3001">
            <v>12</v>
          </cell>
          <cell r="Y3001">
            <v>120</v>
          </cell>
        </row>
        <row r="3002">
          <cell r="U3002" t="str">
            <v>L107116</v>
          </cell>
          <cell r="V3002" t="str">
            <v>DIV FRUVER 10kg</v>
          </cell>
          <cell r="W3002" t="str">
            <v>Ajuste</v>
          </cell>
          <cell r="X3002">
            <v>6</v>
          </cell>
          <cell r="Y3002">
            <v>60</v>
          </cell>
        </row>
        <row r="3003">
          <cell r="U3003" t="str">
            <v>L107152</v>
          </cell>
          <cell r="V3003" t="str">
            <v>DIV FRUVER 10kg</v>
          </cell>
          <cell r="W3003" t="str">
            <v>Ajuste</v>
          </cell>
          <cell r="X3003">
            <v>14</v>
          </cell>
          <cell r="Y3003">
            <v>140</v>
          </cell>
        </row>
        <row r="3004">
          <cell r="U3004" t="str">
            <v>L107154</v>
          </cell>
          <cell r="V3004" t="str">
            <v>DIV FRUVER 10kg</v>
          </cell>
          <cell r="W3004" t="str">
            <v>Ajuste</v>
          </cell>
          <cell r="X3004">
            <v>4</v>
          </cell>
          <cell r="Y3004">
            <v>40</v>
          </cell>
        </row>
        <row r="3005">
          <cell r="U3005" t="str">
            <v>L107196</v>
          </cell>
          <cell r="V3005" t="str">
            <v>DIV FRUVER 10kg</v>
          </cell>
          <cell r="W3005" t="str">
            <v>Ajuste</v>
          </cell>
          <cell r="X3005">
            <v>22</v>
          </cell>
          <cell r="Y3005">
            <v>220</v>
          </cell>
        </row>
        <row r="3006">
          <cell r="U3006" t="str">
            <v>L107198</v>
          </cell>
          <cell r="V3006" t="str">
            <v>DIV FRUVER 10kg</v>
          </cell>
          <cell r="W3006" t="str">
            <v>Ajuste</v>
          </cell>
          <cell r="X3006">
            <v>20</v>
          </cell>
          <cell r="Y3006">
            <v>200</v>
          </cell>
        </row>
        <row r="3007">
          <cell r="U3007" t="str">
            <v>L107200</v>
          </cell>
          <cell r="V3007" t="str">
            <v>DIV FRUVER 10kg</v>
          </cell>
          <cell r="W3007" t="str">
            <v>Ajuste</v>
          </cell>
          <cell r="X3007">
            <v>4</v>
          </cell>
          <cell r="Y3007">
            <v>40</v>
          </cell>
        </row>
        <row r="3008">
          <cell r="U3008" t="str">
            <v>L107202</v>
          </cell>
          <cell r="V3008" t="str">
            <v>DIV FRUVER 10kg</v>
          </cell>
          <cell r="W3008" t="str">
            <v>Ajuste</v>
          </cell>
          <cell r="X3008">
            <v>12</v>
          </cell>
          <cell r="Y3008">
            <v>120</v>
          </cell>
        </row>
        <row r="3009">
          <cell r="U3009" t="str">
            <v>L107212</v>
          </cell>
          <cell r="V3009" t="str">
            <v>DIV FRUVER 10kg</v>
          </cell>
          <cell r="W3009" t="str">
            <v>Ajuste</v>
          </cell>
          <cell r="X3009">
            <v>2</v>
          </cell>
          <cell r="Y3009">
            <v>20</v>
          </cell>
        </row>
        <row r="3010">
          <cell r="U3010" t="str">
            <v>L107339</v>
          </cell>
          <cell r="V3010" t="str">
            <v>DIV FRUVER 10kg</v>
          </cell>
          <cell r="W3010" t="str">
            <v>Ajuste</v>
          </cell>
          <cell r="X3010">
            <v>4</v>
          </cell>
          <cell r="Y3010">
            <v>40</v>
          </cell>
        </row>
        <row r="3011">
          <cell r="U3011" t="str">
            <v>L107341</v>
          </cell>
          <cell r="V3011" t="str">
            <v>DIV FRUVER 10kg</v>
          </cell>
          <cell r="W3011" t="str">
            <v>Ajuste</v>
          </cell>
          <cell r="X3011">
            <v>4</v>
          </cell>
          <cell r="Y3011">
            <v>40</v>
          </cell>
        </row>
        <row r="3012">
          <cell r="U3012" t="str">
            <v>L107343</v>
          </cell>
          <cell r="V3012" t="str">
            <v>DIV FRUVER 10kg</v>
          </cell>
          <cell r="W3012" t="str">
            <v>Ajuste</v>
          </cell>
          <cell r="X3012">
            <v>4</v>
          </cell>
          <cell r="Y3012">
            <v>40</v>
          </cell>
        </row>
        <row r="3013">
          <cell r="U3013" t="str">
            <v>L106548</v>
          </cell>
          <cell r="V3013" t="str">
            <v>DIV FRUVER 10kg</v>
          </cell>
          <cell r="W3013" t="str">
            <v>Ajuste</v>
          </cell>
          <cell r="X3013">
            <v>1</v>
          </cell>
          <cell r="Y3013">
            <v>10</v>
          </cell>
        </row>
        <row r="3014">
          <cell r="U3014" t="str">
            <v>L106880</v>
          </cell>
          <cell r="V3014" t="str">
            <v>FRUVER 5kg</v>
          </cell>
          <cell r="W3014" t="str">
            <v>Ajuste</v>
          </cell>
          <cell r="X3014">
            <v>146</v>
          </cell>
          <cell r="Y3014">
            <v>730</v>
          </cell>
        </row>
        <row r="3015">
          <cell r="U3015" t="str">
            <v>L106880</v>
          </cell>
          <cell r="V3015" t="str">
            <v>DIV FRUVER 5kg</v>
          </cell>
          <cell r="W3015" t="str">
            <v>Ajuste</v>
          </cell>
          <cell r="X3015">
            <v>321</v>
          </cell>
          <cell r="Y3015">
            <v>1605</v>
          </cell>
        </row>
        <row r="3016">
          <cell r="U3016" t="str">
            <v>L106880</v>
          </cell>
          <cell r="V3016" t="str">
            <v>DIV FRUVER 5kg</v>
          </cell>
          <cell r="W3016" t="str">
            <v>Dañado</v>
          </cell>
          <cell r="X3016">
            <v>1</v>
          </cell>
          <cell r="Y3016">
            <v>5</v>
          </cell>
        </row>
        <row r="3017">
          <cell r="U3017" t="str">
            <v>L106109</v>
          </cell>
          <cell r="V3017" t="str">
            <v>DIV FRUVER 5kg</v>
          </cell>
          <cell r="W3017" t="str">
            <v>Ajuste</v>
          </cell>
          <cell r="X3017">
            <v>2</v>
          </cell>
          <cell r="Y3017">
            <v>10</v>
          </cell>
        </row>
        <row r="3018">
          <cell r="U3018" t="str">
            <v>L106523</v>
          </cell>
          <cell r="V3018" t="str">
            <v>DIV FRUVER 5kg</v>
          </cell>
          <cell r="W3018" t="str">
            <v>Ajuste</v>
          </cell>
          <cell r="X3018">
            <v>4</v>
          </cell>
          <cell r="Y3018">
            <v>20</v>
          </cell>
        </row>
        <row r="3019">
          <cell r="U3019" t="str">
            <v>L106713</v>
          </cell>
          <cell r="V3019" t="str">
            <v>DIV FRUVER 5kg</v>
          </cell>
          <cell r="W3019" t="str">
            <v>Ajuste</v>
          </cell>
          <cell r="X3019">
            <v>34</v>
          </cell>
          <cell r="Y3019">
            <v>170</v>
          </cell>
        </row>
        <row r="3020">
          <cell r="U3020" t="str">
            <v>L107029</v>
          </cell>
          <cell r="V3020" t="str">
            <v>DIV FRUVER 5kg</v>
          </cell>
          <cell r="W3020" t="str">
            <v>Ajuste</v>
          </cell>
          <cell r="X3020">
            <v>10</v>
          </cell>
          <cell r="Y3020">
            <v>50</v>
          </cell>
        </row>
        <row r="3021">
          <cell r="U3021" t="str">
            <v>L107141</v>
          </cell>
          <cell r="V3021" t="str">
            <v>DIV FRUVER 5kg</v>
          </cell>
          <cell r="W3021" t="str">
            <v>Ajuste</v>
          </cell>
          <cell r="X3021">
            <v>164</v>
          </cell>
          <cell r="Y3021">
            <v>820</v>
          </cell>
        </row>
        <row r="3022">
          <cell r="U3022" t="str">
            <v>L107213</v>
          </cell>
          <cell r="V3022" t="str">
            <v>DIV FRUVER 5kg</v>
          </cell>
          <cell r="W3022" t="str">
            <v>Ajuste</v>
          </cell>
          <cell r="X3022">
            <v>2</v>
          </cell>
          <cell r="Y3022">
            <v>10</v>
          </cell>
        </row>
        <row r="3023">
          <cell r="U3023" t="str">
            <v>L107219</v>
          </cell>
          <cell r="V3023" t="str">
            <v>DIV FRUVER 5kg</v>
          </cell>
          <cell r="W3023" t="str">
            <v>Ajuste</v>
          </cell>
          <cell r="X3023">
            <v>320</v>
          </cell>
          <cell r="Y3023">
            <v>1600</v>
          </cell>
        </row>
        <row r="3024">
          <cell r="U3024" t="str">
            <v>L107344</v>
          </cell>
          <cell r="V3024" t="str">
            <v>DIV FRUVER 5kg</v>
          </cell>
          <cell r="W3024" t="str">
            <v>Ajuste</v>
          </cell>
          <cell r="X3024">
            <v>2</v>
          </cell>
          <cell r="Y3024">
            <v>10</v>
          </cell>
        </row>
        <row r="3025">
          <cell r="U3025" t="str">
            <v>L106997</v>
          </cell>
          <cell r="V3025" t="str">
            <v>DIV GAREO - UNIDAD</v>
          </cell>
          <cell r="W3025" t="str">
            <v>Ajuste</v>
          </cell>
          <cell r="X3025">
            <v>26</v>
          </cell>
          <cell r="Y3025">
            <v>468</v>
          </cell>
        </row>
        <row r="3026">
          <cell r="U3026" t="str">
            <v>L106996</v>
          </cell>
          <cell r="V3026" t="str">
            <v>DIV GD2G - UNIDAD</v>
          </cell>
          <cell r="W3026" t="str">
            <v>Ajuste</v>
          </cell>
          <cell r="X3026">
            <v>2</v>
          </cell>
          <cell r="Y3026">
            <v>45</v>
          </cell>
        </row>
        <row r="3027">
          <cell r="U3027" t="str">
            <v>L106995</v>
          </cell>
          <cell r="V3027" t="str">
            <v>DIV GD4G - UNIDAD</v>
          </cell>
          <cell r="W3027" t="str">
            <v>Ajuste</v>
          </cell>
          <cell r="X3027">
            <v>2</v>
          </cell>
          <cell r="Y3027">
            <v>70</v>
          </cell>
        </row>
        <row r="3028">
          <cell r="U3028" t="str">
            <v>L106699</v>
          </cell>
          <cell r="V3028" t="str">
            <v>DIV GLDV 5kg</v>
          </cell>
          <cell r="W3028" t="str">
            <v>Ajuste</v>
          </cell>
          <cell r="X3028">
            <v>4</v>
          </cell>
          <cell r="Y3028">
            <v>20</v>
          </cell>
        </row>
        <row r="3029">
          <cell r="U3029" t="str">
            <v>L107209</v>
          </cell>
          <cell r="V3029" t="str">
            <v>DIV GLT 2kg</v>
          </cell>
          <cell r="W3029" t="str">
            <v>Ajuste</v>
          </cell>
          <cell r="X3029">
            <v>2</v>
          </cell>
          <cell r="Y3029">
            <v>4</v>
          </cell>
        </row>
        <row r="3030">
          <cell r="U3030" t="str">
            <v>L106335</v>
          </cell>
          <cell r="V3030" t="str">
            <v>DIV GLV 4kg</v>
          </cell>
          <cell r="W3030" t="str">
            <v>Ajuste</v>
          </cell>
          <cell r="X3030">
            <v>10</v>
          </cell>
          <cell r="Y3030">
            <v>40</v>
          </cell>
        </row>
        <row r="3031">
          <cell r="U3031" t="str">
            <v>L106681</v>
          </cell>
          <cell r="V3031" t="str">
            <v>DIV GRV 5kg</v>
          </cell>
          <cell r="W3031" t="str">
            <v>Ajuste</v>
          </cell>
          <cell r="X3031">
            <v>7</v>
          </cell>
          <cell r="Y3031">
            <v>35</v>
          </cell>
        </row>
        <row r="3032">
          <cell r="U3032" t="str">
            <v>L106404</v>
          </cell>
          <cell r="V3032" t="str">
            <v>GTA 2kg-CAJA</v>
          </cell>
          <cell r="W3032" t="str">
            <v>Ajuste</v>
          </cell>
          <cell r="X3032">
            <v>2380</v>
          </cell>
          <cell r="Y3032">
            <v>4760</v>
          </cell>
        </row>
        <row r="3033">
          <cell r="U3033" t="str">
            <v>L106404</v>
          </cell>
          <cell r="V3033" t="str">
            <v>DIV GTA 2kg</v>
          </cell>
          <cell r="W3033" t="str">
            <v>Ajuste</v>
          </cell>
          <cell r="X3033">
            <v>300</v>
          </cell>
          <cell r="Y3033">
            <v>600</v>
          </cell>
        </row>
        <row r="3034">
          <cell r="U3034" t="str">
            <v>L106039</v>
          </cell>
          <cell r="V3034" t="str">
            <v>DIV HDG 30UNI</v>
          </cell>
          <cell r="W3034" t="str">
            <v>Ajuste</v>
          </cell>
          <cell r="X3034">
            <v>58</v>
          </cell>
          <cell r="Y3034">
            <v>116</v>
          </cell>
        </row>
        <row r="3035">
          <cell r="U3035" t="str">
            <v>L106061</v>
          </cell>
          <cell r="V3035" t="str">
            <v>DIV HDG 30UNI</v>
          </cell>
          <cell r="W3035" t="str">
            <v>Ajuste</v>
          </cell>
          <cell r="X3035">
            <v>12</v>
          </cell>
          <cell r="Y3035">
            <v>24</v>
          </cell>
        </row>
        <row r="3036">
          <cell r="U3036" t="str">
            <v>L106531</v>
          </cell>
          <cell r="V3036" t="str">
            <v>DIV HDG 30UNI</v>
          </cell>
          <cell r="W3036" t="str">
            <v>Ajuste</v>
          </cell>
          <cell r="X3036">
            <v>36</v>
          </cell>
          <cell r="Y3036">
            <v>72</v>
          </cell>
        </row>
        <row r="3037">
          <cell r="U3037" t="str">
            <v>L106660</v>
          </cell>
          <cell r="V3037" t="str">
            <v>DIV HDG 30UNI</v>
          </cell>
          <cell r="W3037" t="str">
            <v>Ajuste</v>
          </cell>
          <cell r="X3037">
            <v>10</v>
          </cell>
          <cell r="Y3037">
            <v>20</v>
          </cell>
        </row>
        <row r="3038">
          <cell r="U3038" t="str">
            <v>L106771</v>
          </cell>
          <cell r="V3038" t="str">
            <v>DIV HDG 30UNI</v>
          </cell>
          <cell r="W3038" t="str">
            <v>Ajuste</v>
          </cell>
          <cell r="X3038">
            <v>16</v>
          </cell>
          <cell r="Y3038">
            <v>32</v>
          </cell>
        </row>
        <row r="3039">
          <cell r="U3039" t="str">
            <v>L106920</v>
          </cell>
          <cell r="V3039" t="str">
            <v>DIV HDG 30UNI</v>
          </cell>
          <cell r="W3039" t="str">
            <v>Ajuste</v>
          </cell>
          <cell r="X3039">
            <v>54</v>
          </cell>
          <cell r="Y3039">
            <v>108</v>
          </cell>
        </row>
        <row r="3040">
          <cell r="U3040" t="str">
            <v>L106982</v>
          </cell>
          <cell r="V3040" t="str">
            <v>DIV HDG 30UNI</v>
          </cell>
          <cell r="W3040" t="str">
            <v>Ajuste</v>
          </cell>
          <cell r="X3040">
            <v>12</v>
          </cell>
          <cell r="Y3040">
            <v>24</v>
          </cell>
        </row>
        <row r="3041">
          <cell r="U3041" t="str">
            <v>L107323</v>
          </cell>
          <cell r="V3041" t="str">
            <v>DIV HDG 30UNI</v>
          </cell>
          <cell r="W3041" t="str">
            <v>Ajuste</v>
          </cell>
          <cell r="X3041">
            <v>4</v>
          </cell>
          <cell r="Y3041">
            <v>8</v>
          </cell>
        </row>
        <row r="3042">
          <cell r="U3042" t="str">
            <v>L106697</v>
          </cell>
          <cell r="V3042" t="str">
            <v>DIV HNG 3kg</v>
          </cell>
          <cell r="W3042" t="str">
            <v>Ajuste</v>
          </cell>
          <cell r="X3042">
            <v>10</v>
          </cell>
          <cell r="Y3042">
            <v>30</v>
          </cell>
        </row>
        <row r="3043">
          <cell r="U3043" t="str">
            <v>L106040</v>
          </cell>
          <cell r="V3043" t="str">
            <v>DIV HVG 25kg</v>
          </cell>
          <cell r="W3043" t="str">
            <v>Ajuste</v>
          </cell>
          <cell r="X3043">
            <v>26</v>
          </cell>
          <cell r="Y3043">
            <v>650</v>
          </cell>
        </row>
        <row r="3044">
          <cell r="U3044" t="str">
            <v>L106381</v>
          </cell>
          <cell r="V3044" t="str">
            <v>DIV HVG 25kg</v>
          </cell>
          <cell r="W3044" t="str">
            <v>Ajuste</v>
          </cell>
          <cell r="X3044">
            <v>12</v>
          </cell>
          <cell r="Y3044">
            <v>300</v>
          </cell>
        </row>
        <row r="3045">
          <cell r="U3045" t="str">
            <v>L107105</v>
          </cell>
          <cell r="V3045" t="str">
            <v>DIV HVG 25kg</v>
          </cell>
          <cell r="W3045" t="str">
            <v>Ajuste</v>
          </cell>
          <cell r="X3045">
            <v>8</v>
          </cell>
          <cell r="Y3045">
            <v>200</v>
          </cell>
        </row>
        <row r="3046">
          <cell r="U3046" t="str">
            <v>L106321</v>
          </cell>
          <cell r="V3046" t="str">
            <v>KTP 2kg</v>
          </cell>
          <cell r="W3046" t="str">
            <v>Ajuste</v>
          </cell>
          <cell r="X3046">
            <v>1925</v>
          </cell>
          <cell r="Y3046">
            <v>3850</v>
          </cell>
        </row>
        <row r="3047">
          <cell r="U3047" t="str">
            <v>L106321</v>
          </cell>
          <cell r="V3047" t="str">
            <v>DIV KTP 2kg</v>
          </cell>
          <cell r="W3047" t="str">
            <v>Ajuste</v>
          </cell>
          <cell r="X3047">
            <v>357</v>
          </cell>
          <cell r="Y3047">
            <v>714</v>
          </cell>
        </row>
        <row r="3048">
          <cell r="U3048" t="str">
            <v>L107210</v>
          </cell>
          <cell r="V3048" t="str">
            <v>DIV KTP 2kg</v>
          </cell>
          <cell r="W3048" t="str">
            <v>Ajuste</v>
          </cell>
          <cell r="X3048">
            <v>2</v>
          </cell>
          <cell r="Y3048">
            <v>4</v>
          </cell>
        </row>
        <row r="3049">
          <cell r="U3049" t="str">
            <v>L106878</v>
          </cell>
          <cell r="V3049" t="str">
            <v>DIV LCH 96X167g</v>
          </cell>
          <cell r="W3049" t="str">
            <v>Ajuste</v>
          </cell>
          <cell r="X3049">
            <v>776</v>
          </cell>
          <cell r="Y3049">
            <v>14744</v>
          </cell>
        </row>
        <row r="3050">
          <cell r="U3050" t="str">
            <v>L106922</v>
          </cell>
          <cell r="V3050" t="str">
            <v>DIV LSN 7kg-CAJA</v>
          </cell>
          <cell r="W3050" t="str">
            <v>Ajuste</v>
          </cell>
          <cell r="X3050">
            <v>175</v>
          </cell>
          <cell r="Y3050">
            <v>1225</v>
          </cell>
        </row>
        <row r="3051">
          <cell r="U3051" t="str">
            <v>L106491</v>
          </cell>
          <cell r="V3051" t="str">
            <v>DIV MCN 2.5kg-CAJA</v>
          </cell>
          <cell r="W3051" t="str">
            <v>Ajuste</v>
          </cell>
          <cell r="X3051">
            <v>66</v>
          </cell>
          <cell r="Y3051">
            <v>165</v>
          </cell>
        </row>
        <row r="3052">
          <cell r="U3052" t="str">
            <v>L106491</v>
          </cell>
          <cell r="V3052" t="str">
            <v>MCN 2.5kg-CAJA</v>
          </cell>
          <cell r="W3052" t="str">
            <v>Ajuste</v>
          </cell>
          <cell r="X3052">
            <v>749</v>
          </cell>
          <cell r="Y3052">
            <v>1872.5</v>
          </cell>
        </row>
        <row r="3053">
          <cell r="U3053" t="str">
            <v>L106877</v>
          </cell>
          <cell r="V3053" t="str">
            <v>DIV MDP 5kg</v>
          </cell>
          <cell r="W3053" t="str">
            <v>Ajuste</v>
          </cell>
          <cell r="X3053">
            <v>6</v>
          </cell>
          <cell r="Y3053">
            <v>30</v>
          </cell>
        </row>
        <row r="3054">
          <cell r="U3054" t="str">
            <v>L106080</v>
          </cell>
          <cell r="V3054" t="str">
            <v>DIV MDP 5kg</v>
          </cell>
          <cell r="W3054" t="str">
            <v>Ajuste</v>
          </cell>
          <cell r="X3054">
            <v>5</v>
          </cell>
          <cell r="Y3054">
            <v>25</v>
          </cell>
        </row>
        <row r="3055">
          <cell r="U3055" t="str">
            <v>L107233</v>
          </cell>
          <cell r="V3055" t="str">
            <v>DIV Menestra kg</v>
          </cell>
          <cell r="W3055" t="str">
            <v>Ajuste</v>
          </cell>
          <cell r="X3055">
            <v>340</v>
          </cell>
          <cell r="Y3055">
            <v>340</v>
          </cell>
        </row>
        <row r="3056">
          <cell r="U3056" t="str">
            <v>L106092</v>
          </cell>
          <cell r="V3056" t="str">
            <v>DIV MERMA DE FRUVER 1kg</v>
          </cell>
          <cell r="W3056" t="str">
            <v>Ajuste</v>
          </cell>
          <cell r="X3056">
            <v>42</v>
          </cell>
          <cell r="Y3056">
            <v>42</v>
          </cell>
        </row>
        <row r="3057">
          <cell r="U3057" t="str">
            <v>L106110</v>
          </cell>
          <cell r="V3057" t="str">
            <v>DIV MERMA DE FRUVER 1kg</v>
          </cell>
          <cell r="W3057" t="str">
            <v>Ajuste</v>
          </cell>
          <cell r="X3057">
            <v>36</v>
          </cell>
          <cell r="Y3057">
            <v>36</v>
          </cell>
        </row>
        <row r="3058">
          <cell r="U3058" t="str">
            <v>L106112</v>
          </cell>
          <cell r="V3058" t="str">
            <v>DIV MERMA DE FRUVER 1kg</v>
          </cell>
          <cell r="W3058" t="str">
            <v>Ajuste</v>
          </cell>
          <cell r="X3058">
            <v>46</v>
          </cell>
          <cell r="Y3058">
            <v>46</v>
          </cell>
        </row>
        <row r="3059">
          <cell r="U3059" t="str">
            <v>L106114</v>
          </cell>
          <cell r="V3059" t="str">
            <v>DIV MERMA DE FRUVER 1kg</v>
          </cell>
          <cell r="W3059" t="str">
            <v>Ajuste</v>
          </cell>
          <cell r="X3059">
            <v>60</v>
          </cell>
          <cell r="Y3059">
            <v>60</v>
          </cell>
        </row>
        <row r="3060">
          <cell r="U3060" t="str">
            <v>L106116</v>
          </cell>
          <cell r="V3060" t="str">
            <v>DIV MERMA DE FRUVER 1kg</v>
          </cell>
          <cell r="W3060" t="str">
            <v>Ajuste</v>
          </cell>
          <cell r="X3060">
            <v>132</v>
          </cell>
          <cell r="Y3060">
            <v>132</v>
          </cell>
        </row>
        <row r="3061">
          <cell r="U3061" t="str">
            <v>L106160</v>
          </cell>
          <cell r="V3061" t="str">
            <v>DIV MERMA DE FRUVER 1kg</v>
          </cell>
          <cell r="W3061" t="str">
            <v>Ajuste</v>
          </cell>
          <cell r="X3061">
            <v>50</v>
          </cell>
          <cell r="Y3061">
            <v>50</v>
          </cell>
        </row>
        <row r="3062">
          <cell r="U3062" t="str">
            <v>L106221</v>
          </cell>
          <cell r="V3062" t="str">
            <v>DIV MERMA DE FRUVER 1kg</v>
          </cell>
          <cell r="W3062" t="str">
            <v>Ajuste</v>
          </cell>
          <cell r="X3062">
            <v>24</v>
          </cell>
          <cell r="Y3062">
            <v>24</v>
          </cell>
        </row>
        <row r="3063">
          <cell r="U3063" t="str">
            <v>L106223</v>
          </cell>
          <cell r="V3063" t="str">
            <v>DIV MERMA DE FRUVER 1kg</v>
          </cell>
          <cell r="W3063" t="str">
            <v>Ajuste</v>
          </cell>
          <cell r="X3063">
            <v>20</v>
          </cell>
          <cell r="Y3063">
            <v>20</v>
          </cell>
        </row>
        <row r="3064">
          <cell r="U3064" t="str">
            <v>L106225</v>
          </cell>
          <cell r="V3064" t="str">
            <v>DIV MERMA DE FRUVER 1kg</v>
          </cell>
          <cell r="W3064" t="str">
            <v>Ajuste</v>
          </cell>
          <cell r="X3064">
            <v>140</v>
          </cell>
          <cell r="Y3064">
            <v>140</v>
          </cell>
        </row>
        <row r="3065">
          <cell r="U3065" t="str">
            <v>L106227</v>
          </cell>
          <cell r="V3065" t="str">
            <v>DIV MERMA DE FRUVER 1kg</v>
          </cell>
          <cell r="W3065" t="str">
            <v>Ajuste</v>
          </cell>
          <cell r="X3065">
            <v>20</v>
          </cell>
          <cell r="Y3065">
            <v>20</v>
          </cell>
        </row>
        <row r="3066">
          <cell r="U3066" t="str">
            <v>L106283</v>
          </cell>
          <cell r="V3066" t="str">
            <v>DIV MERMA DE FRUVER 1kg</v>
          </cell>
          <cell r="W3066" t="str">
            <v>Ajuste</v>
          </cell>
          <cell r="X3066">
            <v>12</v>
          </cell>
          <cell r="Y3066">
            <v>12</v>
          </cell>
        </row>
        <row r="3067">
          <cell r="U3067" t="str">
            <v>L106288</v>
          </cell>
          <cell r="V3067" t="str">
            <v>DIV MERMA DE FRUVER 1kg</v>
          </cell>
          <cell r="W3067" t="str">
            <v>Ajuste</v>
          </cell>
          <cell r="X3067">
            <v>28</v>
          </cell>
          <cell r="Y3067">
            <v>28</v>
          </cell>
        </row>
        <row r="3068">
          <cell r="U3068" t="str">
            <v>L106290</v>
          </cell>
          <cell r="V3068" t="str">
            <v>DIV MERMA DE FRUVER 1kg</v>
          </cell>
          <cell r="W3068" t="str">
            <v>Ajuste</v>
          </cell>
          <cell r="X3068">
            <v>24</v>
          </cell>
          <cell r="Y3068">
            <v>24</v>
          </cell>
        </row>
        <row r="3069">
          <cell r="U3069" t="str">
            <v>L106292</v>
          </cell>
          <cell r="V3069" t="str">
            <v>DIV MERMA DE FRUVER 1kg</v>
          </cell>
          <cell r="W3069" t="str">
            <v>Ajuste</v>
          </cell>
          <cell r="X3069">
            <v>60</v>
          </cell>
          <cell r="Y3069">
            <v>60</v>
          </cell>
        </row>
        <row r="3070">
          <cell r="U3070" t="str">
            <v>L106294</v>
          </cell>
          <cell r="V3070" t="str">
            <v>DIV MERMA DE FRUVER 1kg</v>
          </cell>
          <cell r="W3070" t="str">
            <v>Ajuste</v>
          </cell>
          <cell r="X3070">
            <v>16</v>
          </cell>
          <cell r="Y3070">
            <v>16</v>
          </cell>
        </row>
        <row r="3071">
          <cell r="U3071" t="str">
            <v>L106334</v>
          </cell>
          <cell r="V3071" t="str">
            <v>DIV MERMA DE FRUVER 1kg</v>
          </cell>
          <cell r="W3071" t="str">
            <v>Ajuste</v>
          </cell>
          <cell r="X3071">
            <v>14</v>
          </cell>
          <cell r="Y3071">
            <v>14</v>
          </cell>
        </row>
        <row r="3072">
          <cell r="U3072" t="str">
            <v>L106406</v>
          </cell>
          <cell r="V3072" t="str">
            <v>DIV MERMA DE FRUVER 1kg</v>
          </cell>
          <cell r="W3072" t="str">
            <v>Ajuste</v>
          </cell>
          <cell r="X3072">
            <v>28</v>
          </cell>
          <cell r="Y3072">
            <v>28</v>
          </cell>
        </row>
        <row r="3073">
          <cell r="U3073" t="str">
            <v>L106408</v>
          </cell>
          <cell r="V3073" t="str">
            <v>DIV MERMA DE FRUVER 1kg</v>
          </cell>
          <cell r="W3073" t="str">
            <v>Ajuste</v>
          </cell>
          <cell r="X3073">
            <v>13</v>
          </cell>
          <cell r="Y3073">
            <v>13</v>
          </cell>
        </row>
        <row r="3074">
          <cell r="U3074" t="str">
            <v>L106410</v>
          </cell>
          <cell r="V3074" t="str">
            <v>DIV MERMA DE FRUVER 1kg</v>
          </cell>
          <cell r="W3074" t="str">
            <v>Ajuste</v>
          </cell>
          <cell r="X3074">
            <v>8</v>
          </cell>
          <cell r="Y3074">
            <v>8</v>
          </cell>
        </row>
        <row r="3075">
          <cell r="U3075" t="str">
            <v>L106442</v>
          </cell>
          <cell r="V3075" t="str">
            <v>DIV MERMA DE FRUVER 1kg</v>
          </cell>
          <cell r="W3075" t="str">
            <v>Ajuste</v>
          </cell>
          <cell r="X3075">
            <v>56</v>
          </cell>
          <cell r="Y3075">
            <v>56</v>
          </cell>
        </row>
        <row r="3076">
          <cell r="U3076" t="str">
            <v>L106447</v>
          </cell>
          <cell r="V3076" t="str">
            <v>DIV MERMA DE FRUVER 1kg</v>
          </cell>
          <cell r="W3076" t="str">
            <v>Ajuste</v>
          </cell>
          <cell r="X3076">
            <v>26</v>
          </cell>
          <cell r="Y3076">
            <v>26</v>
          </cell>
        </row>
        <row r="3077">
          <cell r="U3077" t="str">
            <v>L106493</v>
          </cell>
          <cell r="V3077" t="str">
            <v>DIV MERMA DE FRUVER 1kg</v>
          </cell>
          <cell r="W3077" t="str">
            <v>Ajuste</v>
          </cell>
          <cell r="X3077">
            <v>36</v>
          </cell>
          <cell r="Y3077">
            <v>36</v>
          </cell>
        </row>
        <row r="3078">
          <cell r="U3078" t="str">
            <v>L106521</v>
          </cell>
          <cell r="V3078" t="str">
            <v>DIV MERMA DE FRUVER 1kg</v>
          </cell>
          <cell r="W3078" t="str">
            <v>Ajuste</v>
          </cell>
          <cell r="X3078">
            <v>24</v>
          </cell>
          <cell r="Y3078">
            <v>24</v>
          </cell>
        </row>
        <row r="3079">
          <cell r="U3079" t="str">
            <v>L106524</v>
          </cell>
          <cell r="V3079" t="str">
            <v>DIV MERMA DE FRUVER 1kg</v>
          </cell>
          <cell r="W3079" t="str">
            <v>Ajuste</v>
          </cell>
          <cell r="X3079">
            <v>4</v>
          </cell>
          <cell r="Y3079">
            <v>4</v>
          </cell>
        </row>
        <row r="3080">
          <cell r="U3080" t="str">
            <v>L106527</v>
          </cell>
          <cell r="V3080" t="str">
            <v>DIV MERMA DE FRUVER 1kg</v>
          </cell>
          <cell r="W3080" t="str">
            <v>Ajuste</v>
          </cell>
          <cell r="X3080">
            <v>80</v>
          </cell>
          <cell r="Y3080">
            <v>80</v>
          </cell>
        </row>
        <row r="3081">
          <cell r="U3081" t="str">
            <v>L106529</v>
          </cell>
          <cell r="V3081" t="str">
            <v>DIV MERMA DE FRUVER 1kg</v>
          </cell>
          <cell r="W3081" t="str">
            <v>Ajuste</v>
          </cell>
          <cell r="X3081">
            <v>186</v>
          </cell>
          <cell r="Y3081">
            <v>186</v>
          </cell>
        </row>
        <row r="3082">
          <cell r="U3082" t="str">
            <v>L106658</v>
          </cell>
          <cell r="V3082" t="str">
            <v>DIV MERMA DE FRUVER 1kg</v>
          </cell>
          <cell r="W3082" t="str">
            <v>Ajuste</v>
          </cell>
          <cell r="X3082">
            <v>60</v>
          </cell>
          <cell r="Y3082">
            <v>60</v>
          </cell>
        </row>
        <row r="3083">
          <cell r="U3083" t="str">
            <v>L106701</v>
          </cell>
          <cell r="V3083" t="str">
            <v>DIV MERMA DE FRUVER 1kg</v>
          </cell>
          <cell r="W3083" t="str">
            <v>Ajuste</v>
          </cell>
          <cell r="X3083">
            <v>16</v>
          </cell>
          <cell r="Y3083">
            <v>16</v>
          </cell>
        </row>
        <row r="3084">
          <cell r="U3084" t="str">
            <v>L106705</v>
          </cell>
          <cell r="V3084" t="str">
            <v>DIV MERMA DE FRUVER 1kg</v>
          </cell>
          <cell r="W3084" t="str">
            <v>Ajuste</v>
          </cell>
          <cell r="X3084">
            <v>20</v>
          </cell>
          <cell r="Y3084">
            <v>20</v>
          </cell>
        </row>
        <row r="3085">
          <cell r="U3085" t="str">
            <v>L106707</v>
          </cell>
          <cell r="V3085" t="str">
            <v>DIV MERMA DE FRUVER 1kg</v>
          </cell>
          <cell r="W3085" t="str">
            <v>Ajuste</v>
          </cell>
          <cell r="X3085">
            <v>14</v>
          </cell>
          <cell r="Y3085">
            <v>14</v>
          </cell>
        </row>
        <row r="3086">
          <cell r="U3086" t="str">
            <v>L106709</v>
          </cell>
          <cell r="V3086" t="str">
            <v>DIV MERMA DE FRUVER 1kg</v>
          </cell>
          <cell r="W3086" t="str">
            <v>Ajuste</v>
          </cell>
          <cell r="X3086">
            <v>32</v>
          </cell>
          <cell r="Y3086">
            <v>32</v>
          </cell>
        </row>
        <row r="3087">
          <cell r="U3087" t="str">
            <v>L106759</v>
          </cell>
          <cell r="V3087" t="str">
            <v>DIV MERMA DE FRUVER 1kg</v>
          </cell>
          <cell r="W3087" t="str">
            <v>Ajuste</v>
          </cell>
          <cell r="X3087">
            <v>12</v>
          </cell>
          <cell r="Y3087">
            <v>12</v>
          </cell>
        </row>
        <row r="3088">
          <cell r="U3088" t="str">
            <v>L106765</v>
          </cell>
          <cell r="V3088" t="str">
            <v>DIV MERMA DE FRUVER 1kg</v>
          </cell>
          <cell r="W3088" t="str">
            <v>Ajuste</v>
          </cell>
          <cell r="X3088">
            <v>12</v>
          </cell>
          <cell r="Y3088">
            <v>12</v>
          </cell>
        </row>
        <row r="3089">
          <cell r="U3089" t="str">
            <v>L106767</v>
          </cell>
          <cell r="V3089" t="str">
            <v>DIV MERMA DE FRUVER 1kg</v>
          </cell>
          <cell r="W3089" t="str">
            <v>Ajuste</v>
          </cell>
          <cell r="X3089">
            <v>8</v>
          </cell>
          <cell r="Y3089">
            <v>8</v>
          </cell>
        </row>
        <row r="3090">
          <cell r="U3090" t="str">
            <v>L106868</v>
          </cell>
          <cell r="V3090" t="str">
            <v>DIV MERMA DE FRUVER 1kg</v>
          </cell>
          <cell r="W3090" t="str">
            <v>Ajuste</v>
          </cell>
          <cell r="X3090">
            <v>12</v>
          </cell>
          <cell r="Y3090">
            <v>12</v>
          </cell>
        </row>
        <row r="3091">
          <cell r="U3091" t="str">
            <v>L106904</v>
          </cell>
          <cell r="V3091" t="str">
            <v>DIV MERMA DE FRUVER 1kg</v>
          </cell>
          <cell r="W3091" t="str">
            <v>Ajuste</v>
          </cell>
          <cell r="X3091">
            <v>36</v>
          </cell>
          <cell r="Y3091">
            <v>36</v>
          </cell>
        </row>
        <row r="3092">
          <cell r="U3092" t="str">
            <v>L106908</v>
          </cell>
          <cell r="V3092" t="str">
            <v>DIV MERMA DE FRUVER 1kg</v>
          </cell>
          <cell r="W3092" t="str">
            <v>Ajuste</v>
          </cell>
          <cell r="X3092">
            <v>30</v>
          </cell>
          <cell r="Y3092">
            <v>30</v>
          </cell>
        </row>
        <row r="3093">
          <cell r="U3093" t="str">
            <v>L106911</v>
          </cell>
          <cell r="V3093" t="str">
            <v>DIV MERMA DE FRUVER 1kg</v>
          </cell>
          <cell r="W3093" t="str">
            <v>Ajuste</v>
          </cell>
          <cell r="X3093">
            <v>160</v>
          </cell>
          <cell r="Y3093">
            <v>160</v>
          </cell>
        </row>
        <row r="3094">
          <cell r="U3094" t="str">
            <v>L106913</v>
          </cell>
          <cell r="V3094" t="str">
            <v>DIV MERMA DE FRUVER 1kg</v>
          </cell>
          <cell r="W3094" t="str">
            <v>Ajuste</v>
          </cell>
          <cell r="X3094">
            <v>50</v>
          </cell>
          <cell r="Y3094">
            <v>50</v>
          </cell>
        </row>
        <row r="3095">
          <cell r="U3095" t="str">
            <v>L107032</v>
          </cell>
          <cell r="V3095" t="str">
            <v>DIV MERMA DE FRUVER 1kg</v>
          </cell>
          <cell r="W3095" t="str">
            <v>Ajuste</v>
          </cell>
          <cell r="X3095">
            <v>12</v>
          </cell>
          <cell r="Y3095">
            <v>12</v>
          </cell>
        </row>
        <row r="3096">
          <cell r="U3096" t="str">
            <v>L107040</v>
          </cell>
          <cell r="V3096" t="str">
            <v>DIV MERMA DE FRUVER 1kg</v>
          </cell>
          <cell r="W3096" t="str">
            <v>Ajuste</v>
          </cell>
          <cell r="X3096">
            <v>36</v>
          </cell>
          <cell r="Y3096">
            <v>36</v>
          </cell>
        </row>
        <row r="3097">
          <cell r="U3097" t="str">
            <v>L107109</v>
          </cell>
          <cell r="V3097" t="str">
            <v>DIV MERMA DE FRUVER 1kg</v>
          </cell>
          <cell r="W3097" t="str">
            <v>Ajuste</v>
          </cell>
          <cell r="X3097">
            <v>40</v>
          </cell>
          <cell r="Y3097">
            <v>40</v>
          </cell>
        </row>
        <row r="3098">
          <cell r="U3098" t="str">
            <v>L107111</v>
          </cell>
          <cell r="V3098" t="str">
            <v>DIV MERMA DE FRUVER 1kg</v>
          </cell>
          <cell r="W3098" t="str">
            <v>Ajuste</v>
          </cell>
          <cell r="X3098">
            <v>20</v>
          </cell>
          <cell r="Y3098">
            <v>20</v>
          </cell>
        </row>
        <row r="3099">
          <cell r="U3099" t="str">
            <v>L107113</v>
          </cell>
          <cell r="V3099" t="str">
            <v>DIV MERMA DE FRUVER 1kg</v>
          </cell>
          <cell r="W3099" t="str">
            <v>Ajuste</v>
          </cell>
          <cell r="X3099">
            <v>30</v>
          </cell>
          <cell r="Y3099">
            <v>30</v>
          </cell>
        </row>
        <row r="3100">
          <cell r="U3100" t="str">
            <v>L107115</v>
          </cell>
          <cell r="V3100" t="str">
            <v>DIV MERMA DE FRUVER 1kg</v>
          </cell>
          <cell r="W3100" t="str">
            <v>Ajuste</v>
          </cell>
          <cell r="X3100">
            <v>24</v>
          </cell>
          <cell r="Y3100">
            <v>24</v>
          </cell>
        </row>
        <row r="3101">
          <cell r="U3101" t="str">
            <v>L107117</v>
          </cell>
          <cell r="V3101" t="str">
            <v>DIV MERMA DE FRUVER 1kg</v>
          </cell>
          <cell r="W3101" t="str">
            <v>Ajuste</v>
          </cell>
          <cell r="X3101">
            <v>16</v>
          </cell>
          <cell r="Y3101">
            <v>16</v>
          </cell>
        </row>
        <row r="3102">
          <cell r="U3102" t="str">
            <v>L107153</v>
          </cell>
          <cell r="V3102" t="str">
            <v>DIV MERMA DE FRUVER 1kg</v>
          </cell>
          <cell r="W3102" t="str">
            <v>Ajuste</v>
          </cell>
          <cell r="X3102">
            <v>16</v>
          </cell>
          <cell r="Y3102">
            <v>16</v>
          </cell>
        </row>
        <row r="3103">
          <cell r="U3103" t="str">
            <v>L107155</v>
          </cell>
          <cell r="V3103" t="str">
            <v>DIV MERMA DE FRUVER 1kg</v>
          </cell>
          <cell r="W3103" t="str">
            <v>Ajuste</v>
          </cell>
          <cell r="X3103">
            <v>12</v>
          </cell>
          <cell r="Y3103">
            <v>12</v>
          </cell>
        </row>
        <row r="3104">
          <cell r="U3104" t="str">
            <v>L107197</v>
          </cell>
          <cell r="V3104" t="str">
            <v>DIV MERMA DE FRUVER 1kg</v>
          </cell>
          <cell r="W3104" t="str">
            <v>Ajuste</v>
          </cell>
          <cell r="X3104">
            <v>56</v>
          </cell>
          <cell r="Y3104">
            <v>56</v>
          </cell>
        </row>
        <row r="3105">
          <cell r="U3105" t="str">
            <v>L107199</v>
          </cell>
          <cell r="V3105" t="str">
            <v>DIV MERMA DE FRUVER 1kg</v>
          </cell>
          <cell r="W3105" t="str">
            <v>Ajuste</v>
          </cell>
          <cell r="X3105">
            <v>10</v>
          </cell>
          <cell r="Y3105">
            <v>10</v>
          </cell>
        </row>
        <row r="3106">
          <cell r="U3106" t="str">
            <v>L107201</v>
          </cell>
          <cell r="V3106" t="str">
            <v>DIV MERMA DE FRUVER 1kg</v>
          </cell>
          <cell r="W3106" t="str">
            <v>Ajuste</v>
          </cell>
          <cell r="X3106">
            <v>10</v>
          </cell>
          <cell r="Y3106">
            <v>10</v>
          </cell>
        </row>
        <row r="3107">
          <cell r="U3107" t="str">
            <v>L107203</v>
          </cell>
          <cell r="V3107" t="str">
            <v>DIV MERMA DE FRUVER 1kg</v>
          </cell>
          <cell r="W3107" t="str">
            <v>Ajuste</v>
          </cell>
          <cell r="X3107">
            <v>40</v>
          </cell>
          <cell r="Y3107">
            <v>40</v>
          </cell>
        </row>
        <row r="3108">
          <cell r="U3108" t="str">
            <v>L107214</v>
          </cell>
          <cell r="V3108" t="str">
            <v>DIV MERMA DE FRUVER 1kg</v>
          </cell>
          <cell r="W3108" t="str">
            <v>Ajuste</v>
          </cell>
          <cell r="X3108">
            <v>136</v>
          </cell>
          <cell r="Y3108">
            <v>136</v>
          </cell>
        </row>
        <row r="3109">
          <cell r="U3109" t="str">
            <v>L107340</v>
          </cell>
          <cell r="V3109" t="str">
            <v>DIV MERMA DE FRUVER 1kg</v>
          </cell>
          <cell r="W3109" t="str">
            <v>Ajuste</v>
          </cell>
          <cell r="X3109">
            <v>16</v>
          </cell>
          <cell r="Y3109">
            <v>16</v>
          </cell>
        </row>
        <row r="3110">
          <cell r="U3110" t="str">
            <v>L107342</v>
          </cell>
          <cell r="V3110" t="str">
            <v>DIV MERMA DE FRUVER 1kg</v>
          </cell>
          <cell r="W3110" t="str">
            <v>Ajuste</v>
          </cell>
          <cell r="X3110">
            <v>16</v>
          </cell>
          <cell r="Y3110">
            <v>16</v>
          </cell>
        </row>
        <row r="3111">
          <cell r="U3111" t="str">
            <v>L106108</v>
          </cell>
          <cell r="V3111" t="str">
            <v>DIV MLNVAR 45-50kg</v>
          </cell>
          <cell r="W3111" t="str">
            <v>Ajuste</v>
          </cell>
          <cell r="X3111">
            <v>140</v>
          </cell>
          <cell r="Y3111">
            <v>6720</v>
          </cell>
        </row>
        <row r="3112">
          <cell r="U3112" t="str">
            <v>L106108</v>
          </cell>
          <cell r="V3112" t="str">
            <v>DIV MLNVAR 45-50kg</v>
          </cell>
          <cell r="W3112" t="str">
            <v>Reproceso</v>
          </cell>
          <cell r="X3112">
            <v>5</v>
          </cell>
          <cell r="Y3112">
            <v>240</v>
          </cell>
        </row>
        <row r="3113">
          <cell r="U3113" t="str">
            <v>L106108</v>
          </cell>
          <cell r="V3113" t="str">
            <v>MLNVAR 10kg</v>
          </cell>
          <cell r="W3113" t="str">
            <v>Ajuste</v>
          </cell>
          <cell r="X3113">
            <v>48</v>
          </cell>
          <cell r="Y3113">
            <v>480</v>
          </cell>
        </row>
        <row r="3114">
          <cell r="U3114" t="str">
            <v>L106282</v>
          </cell>
          <cell r="V3114" t="str">
            <v>DIV MLNVAR 45-50kg</v>
          </cell>
          <cell r="W3114" t="str">
            <v>Ajuste</v>
          </cell>
          <cell r="X3114">
            <v>76</v>
          </cell>
          <cell r="Y3114">
            <v>3648</v>
          </cell>
        </row>
        <row r="3115">
          <cell r="U3115" t="str">
            <v>L106282</v>
          </cell>
          <cell r="V3115" t="str">
            <v>DIV MLNVAR 45-50kg</v>
          </cell>
          <cell r="W3115" t="str">
            <v>Dañado</v>
          </cell>
          <cell r="X3115">
            <v>2</v>
          </cell>
          <cell r="Y3115">
            <v>96</v>
          </cell>
        </row>
        <row r="3116">
          <cell r="U3116" t="str">
            <v>L106159</v>
          </cell>
          <cell r="V3116" t="str">
            <v>DIV MLNVAR 45-50kg</v>
          </cell>
          <cell r="W3116" t="str">
            <v>Ajuste</v>
          </cell>
          <cell r="X3116">
            <v>52</v>
          </cell>
          <cell r="Y3116">
            <v>2496</v>
          </cell>
        </row>
        <row r="3117">
          <cell r="U3117" t="str">
            <v>L107118</v>
          </cell>
          <cell r="V3117" t="str">
            <v>DIV MNS 10kg</v>
          </cell>
          <cell r="W3117" t="str">
            <v>Ajuste</v>
          </cell>
          <cell r="X3117">
            <v>259</v>
          </cell>
          <cell r="Y3117">
            <v>2590</v>
          </cell>
        </row>
        <row r="3118">
          <cell r="U3118" t="str">
            <v>L107118</v>
          </cell>
          <cell r="V3118" t="str">
            <v>DIV MNS 10kg</v>
          </cell>
          <cell r="W3118" t="str">
            <v>Dañado</v>
          </cell>
          <cell r="X3118">
            <v>33</v>
          </cell>
          <cell r="Y3118">
            <v>330</v>
          </cell>
        </row>
        <row r="3119">
          <cell r="U3119" t="str">
            <v>L106684</v>
          </cell>
          <cell r="V3119" t="str">
            <v>DIV MYN 2kg</v>
          </cell>
          <cell r="W3119" t="str">
            <v>Ajuste</v>
          </cell>
          <cell r="X3119">
            <v>8</v>
          </cell>
          <cell r="Y3119">
            <v>16</v>
          </cell>
        </row>
        <row r="3120">
          <cell r="U3120" t="str">
            <v>L107044</v>
          </cell>
          <cell r="V3120" t="str">
            <v>DIV MYN 3kg</v>
          </cell>
          <cell r="W3120" t="str">
            <v>Ajuste</v>
          </cell>
          <cell r="X3120">
            <v>1</v>
          </cell>
          <cell r="Y3120">
            <v>3</v>
          </cell>
        </row>
        <row r="3121">
          <cell r="U3121" t="str">
            <v>L106710</v>
          </cell>
          <cell r="V3121" t="str">
            <v>DIV MZT 4kg</v>
          </cell>
          <cell r="W3121" t="str">
            <v>Ajuste</v>
          </cell>
          <cell r="X3121">
            <v>6</v>
          </cell>
          <cell r="Y3121">
            <v>24</v>
          </cell>
        </row>
        <row r="3122">
          <cell r="U3122" t="str">
            <v>L107276</v>
          </cell>
          <cell r="V3122" t="str">
            <v>DIV MZT 4kg</v>
          </cell>
          <cell r="W3122" t="str">
            <v>Ajuste</v>
          </cell>
          <cell r="X3122">
            <v>8</v>
          </cell>
          <cell r="Y3122">
            <v>32</v>
          </cell>
        </row>
        <row r="3123">
          <cell r="U3123" t="str">
            <v>L106932</v>
          </cell>
          <cell r="V3123" t="str">
            <v>DIV PAPR 3kg</v>
          </cell>
          <cell r="W3123" t="str">
            <v>Ajuste</v>
          </cell>
          <cell r="X3123">
            <v>35</v>
          </cell>
          <cell r="Y3123">
            <v>105</v>
          </cell>
        </row>
        <row r="3124">
          <cell r="U3124" t="str">
            <v>L106090</v>
          </cell>
          <cell r="V3124" t="str">
            <v>DIV PASTV 2kg</v>
          </cell>
          <cell r="W3124" t="str">
            <v>Ajuste</v>
          </cell>
          <cell r="X3124">
            <v>12</v>
          </cell>
          <cell r="Y3124">
            <v>24</v>
          </cell>
        </row>
        <row r="3125">
          <cell r="U3125" t="str">
            <v>L106333</v>
          </cell>
          <cell r="V3125" t="str">
            <v>DIV PASTV 2kg</v>
          </cell>
          <cell r="W3125" t="str">
            <v>Ajuste</v>
          </cell>
          <cell r="X3125">
            <v>22</v>
          </cell>
          <cell r="Y3125">
            <v>44</v>
          </cell>
        </row>
        <row r="3126">
          <cell r="U3126" t="str">
            <v>L106446</v>
          </cell>
          <cell r="V3126" t="str">
            <v>DIV PASTV 2kg</v>
          </cell>
          <cell r="W3126" t="str">
            <v>Ajuste</v>
          </cell>
          <cell r="X3126">
            <v>12</v>
          </cell>
          <cell r="Y3126">
            <v>24</v>
          </cell>
        </row>
        <row r="3127">
          <cell r="U3127" t="str">
            <v>L106516</v>
          </cell>
          <cell r="V3127" t="str">
            <v>DIV PASTV 2kg</v>
          </cell>
          <cell r="W3127" t="str">
            <v>Ajuste</v>
          </cell>
          <cell r="X3127">
            <v>24</v>
          </cell>
          <cell r="Y3127">
            <v>48</v>
          </cell>
        </row>
        <row r="3128">
          <cell r="U3128" t="str">
            <v>L106656</v>
          </cell>
          <cell r="V3128" t="str">
            <v>DIV PASTV 2kg</v>
          </cell>
          <cell r="W3128" t="str">
            <v>Ajuste</v>
          </cell>
          <cell r="X3128">
            <v>16</v>
          </cell>
          <cell r="Y3128">
            <v>32</v>
          </cell>
        </row>
        <row r="3129">
          <cell r="U3129" t="str">
            <v>L106866</v>
          </cell>
          <cell r="V3129" t="str">
            <v>DIV PASTV 2kg</v>
          </cell>
          <cell r="W3129" t="str">
            <v>Ajuste</v>
          </cell>
          <cell r="X3129">
            <v>40</v>
          </cell>
          <cell r="Y3129">
            <v>80</v>
          </cell>
        </row>
        <row r="3130">
          <cell r="U3130" t="str">
            <v>L107030</v>
          </cell>
          <cell r="V3130" t="str">
            <v>DIV PASTV 2kg</v>
          </cell>
          <cell r="W3130" t="str">
            <v>Ajuste</v>
          </cell>
          <cell r="X3130">
            <v>14</v>
          </cell>
          <cell r="Y3130">
            <v>28</v>
          </cell>
        </row>
        <row r="3131">
          <cell r="U3131" t="str">
            <v>L106331</v>
          </cell>
          <cell r="V3131" t="str">
            <v>DIV PASTV 3kg</v>
          </cell>
          <cell r="W3131" t="str">
            <v>Ajuste</v>
          </cell>
          <cell r="X3131">
            <v>2</v>
          </cell>
          <cell r="Y3131">
            <v>6</v>
          </cell>
        </row>
        <row r="3132">
          <cell r="U3132" t="str">
            <v>L106515</v>
          </cell>
          <cell r="V3132" t="str">
            <v>DIV PASTV 3kg</v>
          </cell>
          <cell r="W3132" t="str">
            <v>Ajuste</v>
          </cell>
          <cell r="X3132">
            <v>2</v>
          </cell>
          <cell r="Y3132">
            <v>6</v>
          </cell>
        </row>
        <row r="3133">
          <cell r="U3133" t="str">
            <v>L107372</v>
          </cell>
          <cell r="V3133" t="str">
            <v>DIV PCDP 7kg</v>
          </cell>
          <cell r="W3133" t="str">
            <v>Ajuste</v>
          </cell>
          <cell r="X3133">
            <v>1</v>
          </cell>
          <cell r="Y3133">
            <v>7</v>
          </cell>
        </row>
        <row r="3134">
          <cell r="U3134" t="str">
            <v>L106680</v>
          </cell>
          <cell r="V3134" t="str">
            <v>DIV PCK 3kg</v>
          </cell>
          <cell r="W3134" t="str">
            <v>Ajuste</v>
          </cell>
          <cell r="X3134">
            <v>8</v>
          </cell>
          <cell r="Y3134">
            <v>24</v>
          </cell>
        </row>
        <row r="3135">
          <cell r="U3135" t="str">
            <v>L107127</v>
          </cell>
          <cell r="V3135" t="str">
            <v>DIV PEC 11kg a 13kg</v>
          </cell>
          <cell r="W3135" t="str">
            <v>Ajuste</v>
          </cell>
          <cell r="X3135">
            <v>2</v>
          </cell>
          <cell r="Y3135">
            <v>24</v>
          </cell>
        </row>
        <row r="3136">
          <cell r="U3136" t="str">
            <v>L106874</v>
          </cell>
          <cell r="V3136" t="str">
            <v>DIV PEC 8KG</v>
          </cell>
          <cell r="W3136" t="str">
            <v>Ajuste</v>
          </cell>
          <cell r="X3136">
            <v>32</v>
          </cell>
          <cell r="Y3136">
            <v>256</v>
          </cell>
        </row>
        <row r="3137">
          <cell r="U3137" t="str">
            <v>L106921</v>
          </cell>
          <cell r="V3137" t="str">
            <v>DIV PEC 8KG</v>
          </cell>
          <cell r="W3137" t="str">
            <v>Ajuste</v>
          </cell>
          <cell r="X3137">
            <v>20</v>
          </cell>
          <cell r="Y3137">
            <v>160</v>
          </cell>
        </row>
        <row r="3138">
          <cell r="U3138" t="str">
            <v>L107253</v>
          </cell>
          <cell r="V3138" t="str">
            <v>DIV PEC 8KG</v>
          </cell>
          <cell r="W3138" t="str">
            <v>Ajuste</v>
          </cell>
          <cell r="X3138">
            <v>24</v>
          </cell>
          <cell r="Y3138">
            <v>192</v>
          </cell>
        </row>
        <row r="3139">
          <cell r="U3139" t="str">
            <v>L107368</v>
          </cell>
          <cell r="V3139" t="str">
            <v>DIV PEC 8KG</v>
          </cell>
          <cell r="W3139" t="str">
            <v>Ajuste</v>
          </cell>
          <cell r="X3139">
            <v>27</v>
          </cell>
          <cell r="Y3139">
            <v>216</v>
          </cell>
        </row>
        <row r="3140">
          <cell r="U3140" t="str">
            <v>L106987</v>
          </cell>
          <cell r="V3140" t="str">
            <v>DIV PEC 8KG</v>
          </cell>
          <cell r="W3140" t="str">
            <v>Ajuste</v>
          </cell>
          <cell r="X3140">
            <v>4</v>
          </cell>
          <cell r="Y3140">
            <v>32</v>
          </cell>
        </row>
        <row r="3141">
          <cell r="U3141" t="str">
            <v>L106507</v>
          </cell>
          <cell r="V3141" t="str">
            <v>DIV PENT 6KG</v>
          </cell>
          <cell r="W3141" t="str">
            <v>Ajuste</v>
          </cell>
          <cell r="X3141">
            <v>232</v>
          </cell>
          <cell r="Y3141">
            <v>1392</v>
          </cell>
        </row>
        <row r="3142">
          <cell r="U3142" t="str">
            <v>L107322</v>
          </cell>
          <cell r="V3142" t="str">
            <v>DIV PENT 6KG</v>
          </cell>
          <cell r="W3142" t="str">
            <v>Ajuste</v>
          </cell>
          <cell r="X3142">
            <v>1</v>
          </cell>
          <cell r="Y3142">
            <v>6</v>
          </cell>
        </row>
        <row r="3143">
          <cell r="U3143" t="str">
            <v>L106380</v>
          </cell>
          <cell r="V3143" t="str">
            <v>DIV PLLMC 8kg</v>
          </cell>
          <cell r="W3143" t="str">
            <v>Ajuste</v>
          </cell>
          <cell r="X3143">
            <v>66</v>
          </cell>
          <cell r="Y3143">
            <v>528</v>
          </cell>
        </row>
        <row r="3144">
          <cell r="U3144" t="str">
            <v>L106397</v>
          </cell>
          <cell r="V3144" t="str">
            <v>DIV PLLONVD 2kg</v>
          </cell>
          <cell r="W3144" t="str">
            <v>Ajuste</v>
          </cell>
          <cell r="X3144">
            <v>42</v>
          </cell>
          <cell r="Y3144">
            <v>84</v>
          </cell>
        </row>
        <row r="3145">
          <cell r="U3145" t="str">
            <v>L106200</v>
          </cell>
          <cell r="V3145" t="str">
            <v>DIV PLLPM 5kg</v>
          </cell>
          <cell r="W3145" t="str">
            <v>Ajuste</v>
          </cell>
          <cell r="X3145">
            <v>14</v>
          </cell>
          <cell r="Y3145">
            <v>70</v>
          </cell>
        </row>
        <row r="3146">
          <cell r="U3146" t="str">
            <v>L106875</v>
          </cell>
          <cell r="V3146" t="str">
            <v>DIV PLLPM 5kg</v>
          </cell>
          <cell r="W3146" t="str">
            <v>Ajuste</v>
          </cell>
          <cell r="X3146">
            <v>4</v>
          </cell>
          <cell r="Y3146">
            <v>20</v>
          </cell>
        </row>
        <row r="3147">
          <cell r="U3147" t="str">
            <v>L106060</v>
          </cell>
          <cell r="V3147" t="str">
            <v>DIV PP 5kg</v>
          </cell>
          <cell r="W3147" t="str">
            <v>Ajuste</v>
          </cell>
          <cell r="X3147">
            <v>4</v>
          </cell>
          <cell r="Y3147">
            <v>20</v>
          </cell>
        </row>
        <row r="3148">
          <cell r="U3148" t="str">
            <v>L106299</v>
          </cell>
          <cell r="V3148" t="str">
            <v>DIV PP 5kg</v>
          </cell>
          <cell r="W3148" t="str">
            <v>Ajuste</v>
          </cell>
          <cell r="X3148">
            <v>50</v>
          </cell>
          <cell r="Y3148">
            <v>250</v>
          </cell>
        </row>
        <row r="3149">
          <cell r="U3149" t="str">
            <v>L106382</v>
          </cell>
          <cell r="V3149" t="str">
            <v>DIV PP 5kg</v>
          </cell>
          <cell r="W3149" t="str">
            <v>Ajuste</v>
          </cell>
          <cell r="X3149">
            <v>56</v>
          </cell>
          <cell r="Y3149">
            <v>280</v>
          </cell>
        </row>
        <row r="3150">
          <cell r="U3150" t="str">
            <v>L106398</v>
          </cell>
          <cell r="V3150" t="str">
            <v>DIV PP 5kg</v>
          </cell>
          <cell r="W3150" t="str">
            <v>Ajuste</v>
          </cell>
          <cell r="X3150">
            <v>4</v>
          </cell>
          <cell r="Y3150">
            <v>20</v>
          </cell>
        </row>
        <row r="3151">
          <cell r="U3151" t="str">
            <v>L106659</v>
          </cell>
          <cell r="V3151" t="str">
            <v>DIV PP 5kg</v>
          </cell>
          <cell r="W3151" t="str">
            <v>Ajuste</v>
          </cell>
          <cell r="X3151">
            <v>4</v>
          </cell>
          <cell r="Y3151">
            <v>20</v>
          </cell>
        </row>
        <row r="3152">
          <cell r="U3152" t="str">
            <v>L107125</v>
          </cell>
          <cell r="V3152" t="str">
            <v>DIV PP 5kg</v>
          </cell>
          <cell r="W3152" t="str">
            <v>Ajuste</v>
          </cell>
          <cell r="X3152">
            <v>52</v>
          </cell>
          <cell r="Y3152">
            <v>260</v>
          </cell>
        </row>
        <row r="3153">
          <cell r="U3153" t="str">
            <v>L107252</v>
          </cell>
          <cell r="V3153" t="str">
            <v>DIV PP 5kg</v>
          </cell>
          <cell r="W3153" t="str">
            <v>Ajuste</v>
          </cell>
          <cell r="X3153">
            <v>102</v>
          </cell>
          <cell r="Y3153">
            <v>510</v>
          </cell>
        </row>
        <row r="3154">
          <cell r="U3154" t="str">
            <v>L106081</v>
          </cell>
          <cell r="V3154" t="str">
            <v>DIV PP 5kg</v>
          </cell>
          <cell r="W3154" t="str">
            <v>Ajuste</v>
          </cell>
          <cell r="X3154">
            <v>4</v>
          </cell>
          <cell r="Y3154">
            <v>20</v>
          </cell>
        </row>
        <row r="3155">
          <cell r="U3155" t="str">
            <v>L106089</v>
          </cell>
          <cell r="V3155" t="str">
            <v>DIV PPF 2kg</v>
          </cell>
          <cell r="W3155" t="str">
            <v>Ajuste</v>
          </cell>
          <cell r="X3155">
            <v>2</v>
          </cell>
          <cell r="Y3155">
            <v>4</v>
          </cell>
        </row>
        <row r="3156">
          <cell r="U3156" t="str">
            <v>L106286</v>
          </cell>
          <cell r="V3156" t="str">
            <v>DIV PPF 3kg</v>
          </cell>
          <cell r="W3156" t="str">
            <v>Ajuste</v>
          </cell>
          <cell r="X3156">
            <v>60</v>
          </cell>
          <cell r="Y3156">
            <v>180</v>
          </cell>
        </row>
        <row r="3157">
          <cell r="U3157" t="str">
            <v>L106918</v>
          </cell>
          <cell r="V3157" t="str">
            <v>DIV PPF 3kg</v>
          </cell>
          <cell r="W3157" t="str">
            <v>Ajuste</v>
          </cell>
          <cell r="X3157">
            <v>240</v>
          </cell>
          <cell r="Y3157">
            <v>720</v>
          </cell>
        </row>
        <row r="3158">
          <cell r="U3158" t="str">
            <v>L106330</v>
          </cell>
          <cell r="V3158" t="str">
            <v>DIV PRTZ UND</v>
          </cell>
          <cell r="W3158" t="str">
            <v>Ajuste</v>
          </cell>
          <cell r="X3158">
            <v>20</v>
          </cell>
          <cell r="Y3158">
            <v>20</v>
          </cell>
        </row>
        <row r="3159">
          <cell r="U3159" t="str">
            <v>L106445</v>
          </cell>
          <cell r="V3159" t="str">
            <v>DIV PRTZ UND</v>
          </cell>
          <cell r="W3159" t="str">
            <v>Ajuste</v>
          </cell>
          <cell r="X3159">
            <v>22</v>
          </cell>
          <cell r="Y3159">
            <v>22</v>
          </cell>
        </row>
        <row r="3160">
          <cell r="U3160" t="str">
            <v>L106657</v>
          </cell>
          <cell r="V3160" t="str">
            <v>DIV PRTZ UND</v>
          </cell>
          <cell r="W3160" t="str">
            <v>Ajuste</v>
          </cell>
          <cell r="X3160">
            <v>18</v>
          </cell>
          <cell r="Y3160">
            <v>18</v>
          </cell>
        </row>
        <row r="3161">
          <cell r="U3161" t="str">
            <v>L106378</v>
          </cell>
          <cell r="V3161" t="str">
            <v>DIV PTM 5kg</v>
          </cell>
          <cell r="W3161" t="str">
            <v>Ajuste</v>
          </cell>
          <cell r="X3161">
            <v>519</v>
          </cell>
          <cell r="Y3161">
            <v>2595</v>
          </cell>
        </row>
        <row r="3162">
          <cell r="U3162" t="str">
            <v>L106377</v>
          </cell>
          <cell r="V3162" t="str">
            <v>DIV PTM 5kg</v>
          </cell>
          <cell r="W3162" t="str">
            <v>Ajuste</v>
          </cell>
          <cell r="X3162">
            <v>399</v>
          </cell>
          <cell r="Y3162">
            <v>1995</v>
          </cell>
        </row>
        <row r="3163">
          <cell r="U3163" t="str">
            <v>L106474</v>
          </cell>
          <cell r="V3163" t="str">
            <v>PTV 16 a 22kg</v>
          </cell>
          <cell r="W3163" t="str">
            <v>Ajuste</v>
          </cell>
          <cell r="X3163">
            <v>281</v>
          </cell>
          <cell r="Y3163">
            <v>5339</v>
          </cell>
        </row>
        <row r="3164">
          <cell r="U3164" t="str">
            <v>L106474</v>
          </cell>
          <cell r="V3164" t="str">
            <v>DIV PTV 16 a 22kg</v>
          </cell>
          <cell r="W3164" t="str">
            <v>Ajuste</v>
          </cell>
          <cell r="X3164">
            <v>37</v>
          </cell>
          <cell r="Y3164">
            <v>703</v>
          </cell>
        </row>
        <row r="3165">
          <cell r="U3165" t="str">
            <v>L106082</v>
          </cell>
          <cell r="V3165" t="str">
            <v>DIV QSO 5kg</v>
          </cell>
          <cell r="W3165" t="str">
            <v>Ajuste</v>
          </cell>
          <cell r="X3165">
            <v>16</v>
          </cell>
          <cell r="Y3165">
            <v>80</v>
          </cell>
        </row>
        <row r="3166">
          <cell r="U3166" t="str">
            <v>L106297</v>
          </cell>
          <cell r="V3166" t="str">
            <v>DIV QSO 5kg</v>
          </cell>
          <cell r="W3166" t="str">
            <v>Ajuste</v>
          </cell>
          <cell r="X3166">
            <v>12</v>
          </cell>
          <cell r="Y3166">
            <v>60</v>
          </cell>
        </row>
        <row r="3167">
          <cell r="U3167" t="str">
            <v>L106401</v>
          </cell>
          <cell r="V3167" t="str">
            <v>DIV QSO 5kg</v>
          </cell>
          <cell r="W3167" t="str">
            <v>Ajuste</v>
          </cell>
          <cell r="X3167">
            <v>12</v>
          </cell>
          <cell r="Y3167">
            <v>60</v>
          </cell>
        </row>
        <row r="3168">
          <cell r="U3168" t="str">
            <v>L106517</v>
          </cell>
          <cell r="V3168" t="str">
            <v>DIV QSO 5kg</v>
          </cell>
          <cell r="W3168" t="str">
            <v>Ajuste</v>
          </cell>
          <cell r="X3168">
            <v>14</v>
          </cell>
          <cell r="Y3168">
            <v>70</v>
          </cell>
        </row>
        <row r="3169">
          <cell r="U3169" t="str">
            <v>L106703</v>
          </cell>
          <cell r="V3169" t="str">
            <v>DIV QSO 5kg</v>
          </cell>
          <cell r="W3169" t="str">
            <v>Ajuste</v>
          </cell>
          <cell r="X3169">
            <v>20</v>
          </cell>
          <cell r="Y3169">
            <v>100</v>
          </cell>
        </row>
        <row r="3170">
          <cell r="U3170" t="str">
            <v>L106869</v>
          </cell>
          <cell r="V3170" t="str">
            <v>DIV QSO 5kg</v>
          </cell>
          <cell r="W3170" t="str">
            <v>Ajuste</v>
          </cell>
          <cell r="X3170">
            <v>14</v>
          </cell>
          <cell r="Y3170">
            <v>70</v>
          </cell>
        </row>
        <row r="3171">
          <cell r="U3171" t="str">
            <v>L107041</v>
          </cell>
          <cell r="V3171" t="str">
            <v>DIV QSO 5kg</v>
          </cell>
          <cell r="W3171" t="str">
            <v>Ajuste</v>
          </cell>
          <cell r="X3171">
            <v>14</v>
          </cell>
          <cell r="Y3171">
            <v>70</v>
          </cell>
        </row>
        <row r="3172">
          <cell r="U3172" t="str">
            <v>L107295</v>
          </cell>
          <cell r="V3172" t="str">
            <v>DIV QSO 5kg</v>
          </cell>
          <cell r="W3172" t="str">
            <v>Ajuste</v>
          </cell>
          <cell r="X3172">
            <v>8</v>
          </cell>
          <cell r="Y3172">
            <v>40</v>
          </cell>
        </row>
        <row r="3173">
          <cell r="U3173" t="str">
            <v>L107345</v>
          </cell>
          <cell r="V3173" t="str">
            <v>DIV QSO 5kg</v>
          </cell>
          <cell r="W3173" t="str">
            <v>Ajuste</v>
          </cell>
          <cell r="X3173">
            <v>11</v>
          </cell>
          <cell r="Y3173">
            <v>55</v>
          </cell>
        </row>
        <row r="3174">
          <cell r="U3174" t="str">
            <v>L106702</v>
          </cell>
          <cell r="V3174" t="str">
            <v>DIV QSV 1kg</v>
          </cell>
          <cell r="W3174" t="str">
            <v>Ajuste</v>
          </cell>
          <cell r="X3174">
            <v>1</v>
          </cell>
          <cell r="Y3174">
            <v>1</v>
          </cell>
        </row>
        <row r="3175">
          <cell r="U3175" t="str">
            <v>L107042</v>
          </cell>
          <cell r="V3175" t="str">
            <v>DIV QSV 2kg</v>
          </cell>
          <cell r="W3175" t="str">
            <v>Ajuste</v>
          </cell>
          <cell r="X3175">
            <v>5</v>
          </cell>
          <cell r="Y3175">
            <v>10</v>
          </cell>
        </row>
        <row r="3176">
          <cell r="U3176" t="str">
            <v>L106298</v>
          </cell>
          <cell r="V3176" t="str">
            <v>DIV QSV 3kg</v>
          </cell>
          <cell r="W3176" t="str">
            <v>Ajuste</v>
          </cell>
          <cell r="X3176">
            <v>6</v>
          </cell>
          <cell r="Y3176">
            <v>18</v>
          </cell>
        </row>
        <row r="3177">
          <cell r="U3177" t="str">
            <v>L106419</v>
          </cell>
          <cell r="V3177" t="str">
            <v>DIV RTZPCDO 5kg</v>
          </cell>
          <cell r="W3177" t="str">
            <v>Ajuste</v>
          </cell>
          <cell r="X3177">
            <v>157</v>
          </cell>
          <cell r="Y3177">
            <v>785</v>
          </cell>
        </row>
        <row r="3178">
          <cell r="U3178" t="str">
            <v>L106914</v>
          </cell>
          <cell r="V3178" t="str">
            <v>DIV RTZPCDO 5kg</v>
          </cell>
          <cell r="W3178" t="str">
            <v>Ajuste</v>
          </cell>
          <cell r="X3178">
            <v>113</v>
          </cell>
          <cell r="Y3178">
            <v>565</v>
          </cell>
        </row>
        <row r="3179">
          <cell r="U3179" t="str">
            <v>L106059</v>
          </cell>
          <cell r="V3179" t="str">
            <v>DIV SAL 14kg</v>
          </cell>
          <cell r="W3179" t="str">
            <v>Ajuste</v>
          </cell>
          <cell r="X3179">
            <v>8</v>
          </cell>
          <cell r="Y3179">
            <v>112</v>
          </cell>
        </row>
        <row r="3180">
          <cell r="U3180" t="str">
            <v>L106865</v>
          </cell>
          <cell r="V3180" t="str">
            <v>SAL 1kg-PAQUETE</v>
          </cell>
          <cell r="W3180" t="str">
            <v>Ajuste</v>
          </cell>
          <cell r="X3180">
            <v>43</v>
          </cell>
          <cell r="Y3180">
            <v>43</v>
          </cell>
        </row>
        <row r="3181">
          <cell r="U3181" t="str">
            <v>L106865</v>
          </cell>
          <cell r="V3181" t="str">
            <v>DIV SAL 3kg</v>
          </cell>
          <cell r="W3181" t="str">
            <v>Ajuste</v>
          </cell>
          <cell r="X3181">
            <v>30</v>
          </cell>
          <cell r="Y3181">
            <v>90</v>
          </cell>
        </row>
        <row r="3182">
          <cell r="U3182" t="str">
            <v>L106865</v>
          </cell>
          <cell r="V3182" t="str">
            <v>DIV SAL 3kg</v>
          </cell>
          <cell r="W3182" t="str">
            <v>Reproceso</v>
          </cell>
          <cell r="X3182">
            <v>15</v>
          </cell>
          <cell r="Y3182">
            <v>45</v>
          </cell>
        </row>
        <row r="3183">
          <cell r="U3183" t="str">
            <v>L106698</v>
          </cell>
          <cell r="V3183" t="str">
            <v>DIV SBC 2kg</v>
          </cell>
          <cell r="W3183" t="str">
            <v>Ajuste</v>
          </cell>
          <cell r="X3183">
            <v>1</v>
          </cell>
          <cell r="Y3183">
            <v>2</v>
          </cell>
        </row>
        <row r="3184">
          <cell r="U3184" t="str">
            <v>L106448</v>
          </cell>
          <cell r="V3184" t="str">
            <v>SBC 3kg</v>
          </cell>
          <cell r="W3184" t="str">
            <v>Ajuste</v>
          </cell>
          <cell r="X3184">
            <v>4217</v>
          </cell>
          <cell r="Y3184">
            <v>12651</v>
          </cell>
        </row>
        <row r="3185">
          <cell r="U3185" t="str">
            <v>L106448</v>
          </cell>
          <cell r="V3185" t="str">
            <v>DIV SBC 3kg</v>
          </cell>
          <cell r="W3185" t="str">
            <v>Ajuste</v>
          </cell>
          <cell r="X3185">
            <v>158</v>
          </cell>
          <cell r="Y3185">
            <v>474</v>
          </cell>
        </row>
        <row r="3186">
          <cell r="U3186" t="str">
            <v>L106687</v>
          </cell>
          <cell r="V3186" t="str">
            <v>DIV SCN 2kg</v>
          </cell>
          <cell r="W3186" t="str">
            <v>Ajuste</v>
          </cell>
          <cell r="X3186">
            <v>2</v>
          </cell>
          <cell r="Y3186">
            <v>4</v>
          </cell>
        </row>
        <row r="3187">
          <cell r="U3187" t="str">
            <v>L106440</v>
          </cell>
          <cell r="V3187" t="str">
            <v>DIV SNDA 8kg</v>
          </cell>
          <cell r="W3187" t="str">
            <v>Ajuste</v>
          </cell>
          <cell r="X3187">
            <v>345</v>
          </cell>
          <cell r="Y3187">
            <v>2760</v>
          </cell>
        </row>
        <row r="3188">
          <cell r="U3188" t="str">
            <v>L106440</v>
          </cell>
          <cell r="V3188" t="str">
            <v>DIV SNDA 8kg</v>
          </cell>
          <cell r="W3188" t="str">
            <v>Dañado</v>
          </cell>
          <cell r="X3188">
            <v>2</v>
          </cell>
          <cell r="Y3188">
            <v>16</v>
          </cell>
        </row>
        <row r="3189">
          <cell r="U3189" t="str">
            <v>L106440</v>
          </cell>
          <cell r="V3189" t="str">
            <v>SNDA 8kg</v>
          </cell>
          <cell r="W3189" t="str">
            <v>Ajuste</v>
          </cell>
          <cell r="X3189">
            <v>66</v>
          </cell>
          <cell r="Y3189">
            <v>528</v>
          </cell>
        </row>
        <row r="3190">
          <cell r="U3190" t="str">
            <v>L106324</v>
          </cell>
          <cell r="V3190" t="str">
            <v>SNK 2.5kg</v>
          </cell>
          <cell r="W3190" t="str">
            <v>Ajuste</v>
          </cell>
          <cell r="X3190">
            <v>2058</v>
          </cell>
          <cell r="Y3190">
            <v>5145</v>
          </cell>
        </row>
        <row r="3191">
          <cell r="U3191" t="str">
            <v>L106324</v>
          </cell>
          <cell r="V3191" t="str">
            <v>DIV SNK 2.5kg</v>
          </cell>
          <cell r="W3191" t="str">
            <v>Ajuste</v>
          </cell>
          <cell r="X3191">
            <v>252</v>
          </cell>
          <cell r="Y3191">
            <v>630</v>
          </cell>
        </row>
        <row r="3192">
          <cell r="U3192" t="str">
            <v>L106689</v>
          </cell>
          <cell r="V3192" t="str">
            <v>DIV SPAV 2kg</v>
          </cell>
          <cell r="W3192" t="str">
            <v>Ajuste</v>
          </cell>
          <cell r="X3192">
            <v>17</v>
          </cell>
          <cell r="Y3192">
            <v>34</v>
          </cell>
        </row>
        <row r="3193">
          <cell r="U3193" t="str">
            <v>L107123</v>
          </cell>
          <cell r="V3193" t="str">
            <v>DIV SPAV 2kg</v>
          </cell>
          <cell r="W3193" t="str">
            <v>Ajuste</v>
          </cell>
          <cell r="X3193">
            <v>1</v>
          </cell>
          <cell r="Y3193">
            <v>2</v>
          </cell>
        </row>
        <row r="3194">
          <cell r="U3194" t="str">
            <v>L107204</v>
          </cell>
          <cell r="V3194" t="str">
            <v>DIV SPAV 2kg</v>
          </cell>
          <cell r="W3194" t="str">
            <v>Ajuste</v>
          </cell>
          <cell r="X3194">
            <v>5</v>
          </cell>
          <cell r="Y3194">
            <v>10</v>
          </cell>
        </row>
        <row r="3195">
          <cell r="U3195" t="str">
            <v>L107121</v>
          </cell>
          <cell r="V3195" t="str">
            <v>DIV SPAV 9kg</v>
          </cell>
          <cell r="W3195" t="str">
            <v>Ajuste</v>
          </cell>
          <cell r="X3195">
            <v>359</v>
          </cell>
          <cell r="Y3195">
            <v>3231</v>
          </cell>
        </row>
        <row r="3196">
          <cell r="U3196" t="str">
            <v>L106683</v>
          </cell>
          <cell r="V3196" t="str">
            <v>DIV SRP 2kg</v>
          </cell>
          <cell r="W3196" t="str">
            <v>Ajuste</v>
          </cell>
          <cell r="X3196">
            <v>1</v>
          </cell>
          <cell r="Y3196">
            <v>2</v>
          </cell>
        </row>
        <row r="3197">
          <cell r="U3197" t="str">
            <v>L107120</v>
          </cell>
          <cell r="V3197" t="str">
            <v>DIV STM 2kg</v>
          </cell>
          <cell r="W3197" t="str">
            <v>Ajuste</v>
          </cell>
          <cell r="X3197">
            <v>63</v>
          </cell>
          <cell r="Y3197">
            <v>126</v>
          </cell>
        </row>
        <row r="3198">
          <cell r="U3198" t="str">
            <v>L107206</v>
          </cell>
          <cell r="V3198" t="str">
            <v>DIV STM 2kg</v>
          </cell>
          <cell r="W3198" t="str">
            <v>Ajuste</v>
          </cell>
          <cell r="X3198">
            <v>2</v>
          </cell>
          <cell r="Y3198">
            <v>4</v>
          </cell>
        </row>
        <row r="3199">
          <cell r="U3199" t="str">
            <v>L106685</v>
          </cell>
          <cell r="V3199" t="str">
            <v>DIV SZD 2.5kg</v>
          </cell>
          <cell r="W3199" t="str">
            <v>Ajuste</v>
          </cell>
          <cell r="X3199">
            <v>13</v>
          </cell>
          <cell r="Y3199">
            <v>32.5</v>
          </cell>
        </row>
        <row r="3200">
          <cell r="U3200" t="str">
            <v>L106696</v>
          </cell>
          <cell r="V3200" t="str">
            <v>DIV SZD 2.5kg</v>
          </cell>
          <cell r="W3200" t="str">
            <v>Ajuste</v>
          </cell>
          <cell r="X3200">
            <v>6</v>
          </cell>
          <cell r="Y3200">
            <v>15</v>
          </cell>
        </row>
        <row r="3201">
          <cell r="U3201" t="str">
            <v>L107208</v>
          </cell>
          <cell r="V3201" t="str">
            <v>DIV SZD 2.5kg</v>
          </cell>
          <cell r="W3201" t="str">
            <v>Ajuste</v>
          </cell>
          <cell r="X3201">
            <v>1</v>
          </cell>
          <cell r="Y3201">
            <v>2.5</v>
          </cell>
        </row>
        <row r="3202">
          <cell r="U3202" t="str">
            <v>L106876</v>
          </cell>
          <cell r="V3202" t="str">
            <v>DIV TRZPCDP 5kg</v>
          </cell>
          <cell r="W3202" t="str">
            <v>Ajuste</v>
          </cell>
          <cell r="X3202">
            <v>12</v>
          </cell>
          <cell r="Y3202">
            <v>60</v>
          </cell>
        </row>
        <row r="3203">
          <cell r="U3203" t="str">
            <v>L107126</v>
          </cell>
          <cell r="V3203" t="str">
            <v>DIV TRZPCDP 5kg</v>
          </cell>
          <cell r="W3203" t="str">
            <v>Ajuste</v>
          </cell>
          <cell r="X3203">
            <v>2</v>
          </cell>
          <cell r="Y3203">
            <v>10</v>
          </cell>
        </row>
        <row r="3204">
          <cell r="U3204" t="str">
            <v>L106711</v>
          </cell>
          <cell r="V3204" t="str">
            <v>DIV VNG 2kg</v>
          </cell>
          <cell r="W3204" t="str">
            <v>Ajuste</v>
          </cell>
          <cell r="X3204">
            <v>3</v>
          </cell>
          <cell r="Y3204">
            <v>6</v>
          </cell>
        </row>
        <row r="3205">
          <cell r="U3205" t="str">
            <v>L106437</v>
          </cell>
          <cell r="V3205" t="str">
            <v>VNG 4KG</v>
          </cell>
          <cell r="W3205" t="str">
            <v>Ajuste</v>
          </cell>
          <cell r="X3205">
            <v>3326</v>
          </cell>
          <cell r="Y3205">
            <v>13304</v>
          </cell>
        </row>
        <row r="3206">
          <cell r="U3206" t="str">
            <v>L106437</v>
          </cell>
          <cell r="V3206" t="str">
            <v>DIV VNG 4KG</v>
          </cell>
          <cell r="W3206" t="str">
            <v>Ajuste</v>
          </cell>
          <cell r="X3206">
            <v>202</v>
          </cell>
          <cell r="Y3206">
            <v>808</v>
          </cell>
        </row>
        <row r="3207">
          <cell r="U3207" t="str">
            <v>L106694</v>
          </cell>
          <cell r="V3207" t="str">
            <v>DIV VNG 4KG</v>
          </cell>
          <cell r="W3207" t="str">
            <v>Ajuste</v>
          </cell>
          <cell r="X3207">
            <v>2</v>
          </cell>
          <cell r="Y3207">
            <v>8</v>
          </cell>
        </row>
        <row r="3208">
          <cell r="U3208" t="str">
            <v>L106695</v>
          </cell>
          <cell r="V3208" t="str">
            <v>DIV VNG 4KG</v>
          </cell>
          <cell r="W3208" t="str">
            <v>Ajuste</v>
          </cell>
          <cell r="X3208">
            <v>2</v>
          </cell>
          <cell r="Y3208">
            <v>8</v>
          </cell>
        </row>
        <row r="3209">
          <cell r="U3209" t="str">
            <v>L106087</v>
          </cell>
          <cell r="V3209" t="str">
            <v>DIV YGT 2kg-CAJA</v>
          </cell>
          <cell r="W3209" t="str">
            <v>Ajuste</v>
          </cell>
          <cell r="X3209">
            <v>6</v>
          </cell>
          <cell r="Y3209">
            <v>12</v>
          </cell>
        </row>
        <row r="3210">
          <cell r="U3210" t="str">
            <v>L106256</v>
          </cell>
          <cell r="V3210" t="str">
            <v>DLQ 3kg</v>
          </cell>
          <cell r="W3210" t="str">
            <v>Ajuste</v>
          </cell>
          <cell r="X3210">
            <v>10</v>
          </cell>
          <cell r="Y3210">
            <v>30</v>
          </cell>
        </row>
        <row r="3211">
          <cell r="U3211" t="str">
            <v>L106301</v>
          </cell>
          <cell r="V3211" t="str">
            <v>DRNO 3kg</v>
          </cell>
          <cell r="W3211" t="str">
            <v>Ajuste</v>
          </cell>
          <cell r="X3211">
            <v>6</v>
          </cell>
          <cell r="Y3211">
            <v>18</v>
          </cell>
        </row>
        <row r="3212">
          <cell r="U3212" t="str">
            <v>L106368</v>
          </cell>
          <cell r="V3212" t="str">
            <v>DRNO 3kg</v>
          </cell>
          <cell r="W3212" t="str">
            <v>Ajuste</v>
          </cell>
          <cell r="X3212">
            <v>6</v>
          </cell>
          <cell r="Y3212">
            <v>18</v>
          </cell>
        </row>
        <row r="3213">
          <cell r="U3213" t="str">
            <v>L107254</v>
          </cell>
          <cell r="V3213" t="str">
            <v>DSF 1kg</v>
          </cell>
          <cell r="W3213" t="str">
            <v>Ajuste</v>
          </cell>
          <cell r="X3213">
            <v>48</v>
          </cell>
          <cell r="Y3213">
            <v>48</v>
          </cell>
        </row>
        <row r="3214">
          <cell r="U3214" t="str">
            <v>L106933</v>
          </cell>
          <cell r="V3214" t="str">
            <v>DSF 1kg</v>
          </cell>
          <cell r="W3214" t="str">
            <v>Ajuste</v>
          </cell>
          <cell r="X3214">
            <v>84</v>
          </cell>
          <cell r="Y3214">
            <v>84</v>
          </cell>
        </row>
        <row r="3215">
          <cell r="U3215" t="str">
            <v>L106934</v>
          </cell>
          <cell r="V3215" t="str">
            <v>DSF 1kg</v>
          </cell>
          <cell r="W3215" t="str">
            <v>Ajuste</v>
          </cell>
          <cell r="X3215">
            <v>16</v>
          </cell>
          <cell r="Y3215">
            <v>16</v>
          </cell>
        </row>
        <row r="3216">
          <cell r="U3216" t="str">
            <v>L106935</v>
          </cell>
          <cell r="V3216" t="str">
            <v>DSF 1kg</v>
          </cell>
          <cell r="W3216" t="str">
            <v>Ajuste</v>
          </cell>
          <cell r="X3216">
            <v>40</v>
          </cell>
          <cell r="Y3216">
            <v>40</v>
          </cell>
        </row>
        <row r="3217">
          <cell r="U3217" t="str">
            <v>L106936</v>
          </cell>
          <cell r="V3217" t="str">
            <v>DSF 1kg</v>
          </cell>
          <cell r="W3217" t="str">
            <v>Ajuste</v>
          </cell>
          <cell r="X3217">
            <v>11</v>
          </cell>
          <cell r="Y3217">
            <v>11</v>
          </cell>
        </row>
        <row r="3218">
          <cell r="U3218" t="str">
            <v>L107119</v>
          </cell>
          <cell r="V3218" t="str">
            <v>DSF 1kg</v>
          </cell>
          <cell r="W3218" t="str">
            <v>Ajuste</v>
          </cell>
          <cell r="X3218">
            <v>17</v>
          </cell>
          <cell r="Y3218">
            <v>17</v>
          </cell>
        </row>
        <row r="3219">
          <cell r="U3219" t="str">
            <v>L107267</v>
          </cell>
          <cell r="V3219" t="str">
            <v>DSF 1kg</v>
          </cell>
          <cell r="W3219" t="str">
            <v>Ajuste</v>
          </cell>
          <cell r="X3219">
            <v>12</v>
          </cell>
          <cell r="Y3219">
            <v>12</v>
          </cell>
        </row>
        <row r="3220">
          <cell r="U3220" t="str">
            <v>L106065</v>
          </cell>
          <cell r="V3220" t="str">
            <v>DSF 2Kg</v>
          </cell>
          <cell r="W3220" t="str">
            <v>Ajuste</v>
          </cell>
          <cell r="X3220">
            <v>22</v>
          </cell>
          <cell r="Y3220">
            <v>44</v>
          </cell>
        </row>
        <row r="3221">
          <cell r="U3221" t="str">
            <v>L106066</v>
          </cell>
          <cell r="V3221" t="str">
            <v>DSF 2Kg</v>
          </cell>
          <cell r="W3221" t="str">
            <v>Ajuste</v>
          </cell>
          <cell r="X3221">
            <v>6</v>
          </cell>
          <cell r="Y3221">
            <v>12</v>
          </cell>
        </row>
        <row r="3222">
          <cell r="U3222" t="str">
            <v>L106253</v>
          </cell>
          <cell r="V3222" t="str">
            <v>DSF 2Kg</v>
          </cell>
          <cell r="W3222" t="str">
            <v>Ajuste</v>
          </cell>
          <cell r="X3222">
            <v>4</v>
          </cell>
          <cell r="Y3222">
            <v>8</v>
          </cell>
        </row>
        <row r="3223">
          <cell r="U3223" t="str">
            <v>L106905</v>
          </cell>
          <cell r="V3223" t="str">
            <v>DSF 2Kg</v>
          </cell>
          <cell r="W3223" t="str">
            <v>Ajuste</v>
          </cell>
          <cell r="X3223">
            <v>4</v>
          </cell>
          <cell r="Y3223">
            <v>8</v>
          </cell>
        </row>
        <row r="3224">
          <cell r="U3224" t="str">
            <v>L106907</v>
          </cell>
          <cell r="V3224" t="str">
            <v>DSF 2Kg</v>
          </cell>
          <cell r="W3224" t="str">
            <v>Ajuste</v>
          </cell>
          <cell r="X3224">
            <v>12</v>
          </cell>
          <cell r="Y3224">
            <v>24</v>
          </cell>
        </row>
        <row r="3225">
          <cell r="U3225" t="str">
            <v>L106909</v>
          </cell>
          <cell r="V3225" t="str">
            <v>DSF 2Kg</v>
          </cell>
          <cell r="W3225" t="str">
            <v>Ajuste</v>
          </cell>
          <cell r="X3225">
            <v>30</v>
          </cell>
          <cell r="Y3225">
            <v>60</v>
          </cell>
        </row>
        <row r="3226">
          <cell r="U3226" t="str">
            <v>L106931</v>
          </cell>
          <cell r="V3226" t="str">
            <v>DSF 2Kg</v>
          </cell>
          <cell r="W3226" t="str">
            <v>Ajuste</v>
          </cell>
          <cell r="X3226">
            <v>8</v>
          </cell>
          <cell r="Y3226">
            <v>16</v>
          </cell>
        </row>
        <row r="3227">
          <cell r="U3227" t="str">
            <v>L106257</v>
          </cell>
          <cell r="V3227" t="str">
            <v>DSF 3kg-CAJA</v>
          </cell>
          <cell r="W3227" t="str">
            <v>Ajuste</v>
          </cell>
          <cell r="X3227">
            <v>8</v>
          </cell>
          <cell r="Y3227">
            <v>24</v>
          </cell>
        </row>
        <row r="3228">
          <cell r="U3228" t="str">
            <v>L106252</v>
          </cell>
          <cell r="V3228" t="str">
            <v>DSF 4kg-CAJA</v>
          </cell>
          <cell r="W3228" t="str">
            <v>Ajuste</v>
          </cell>
          <cell r="X3228">
            <v>6</v>
          </cell>
          <cell r="Y3228">
            <v>24</v>
          </cell>
        </row>
        <row r="3229">
          <cell r="U3229" t="str">
            <v>L107257</v>
          </cell>
          <cell r="V3229" t="str">
            <v>DSFEP 1Kg</v>
          </cell>
          <cell r="W3229" t="str">
            <v>Ajuste</v>
          </cell>
          <cell r="X3229">
            <v>12</v>
          </cell>
          <cell r="Y3229">
            <v>12</v>
          </cell>
        </row>
        <row r="3230">
          <cell r="U3230" t="str">
            <v>L107258</v>
          </cell>
          <cell r="V3230" t="str">
            <v>DSFEP 1Kg</v>
          </cell>
          <cell r="W3230" t="str">
            <v>Ajuste</v>
          </cell>
          <cell r="X3230">
            <v>12</v>
          </cell>
          <cell r="Y3230">
            <v>12</v>
          </cell>
        </row>
        <row r="3231">
          <cell r="U3231" t="str">
            <v>L107264</v>
          </cell>
          <cell r="V3231" t="str">
            <v>DSFEP 1Kg</v>
          </cell>
          <cell r="W3231" t="str">
            <v>Ajuste</v>
          </cell>
          <cell r="X3231">
            <v>11</v>
          </cell>
          <cell r="Y3231">
            <v>11</v>
          </cell>
        </row>
        <row r="3232">
          <cell r="U3232" t="str">
            <v>L106190</v>
          </cell>
          <cell r="V3232" t="str">
            <v>DTG Vr2kg-CAJA</v>
          </cell>
          <cell r="W3232" t="str">
            <v>Ajuste</v>
          </cell>
          <cell r="X3232">
            <v>2</v>
          </cell>
          <cell r="Y3232">
            <v>4</v>
          </cell>
        </row>
        <row r="3233">
          <cell r="U3233" t="str">
            <v>L106133</v>
          </cell>
          <cell r="V3233" t="str">
            <v>DTG Vr2kg-CAJA</v>
          </cell>
          <cell r="W3233" t="str">
            <v>Ajuste</v>
          </cell>
          <cell r="X3233">
            <v>1</v>
          </cell>
          <cell r="Y3233">
            <v>2</v>
          </cell>
        </row>
        <row r="3234">
          <cell r="U3234" t="str">
            <v>L106134</v>
          </cell>
          <cell r="V3234" t="str">
            <v>DTG Vr2kg-CAJA</v>
          </cell>
          <cell r="W3234" t="str">
            <v>Ajuste</v>
          </cell>
          <cell r="X3234">
            <v>1</v>
          </cell>
          <cell r="Y3234">
            <v>2</v>
          </cell>
        </row>
        <row r="3235">
          <cell r="U3235" t="str">
            <v>l106191</v>
          </cell>
          <cell r="V3235" t="str">
            <v>DTG Vr3kg-CAJA</v>
          </cell>
          <cell r="W3235" t="str">
            <v>Ajuste</v>
          </cell>
          <cell r="X3235">
            <v>418</v>
          </cell>
          <cell r="Y3235">
            <v>1254</v>
          </cell>
        </row>
        <row r="3236">
          <cell r="U3236" t="str">
            <v>L106916</v>
          </cell>
          <cell r="V3236" t="str">
            <v>DTG Vr3kg-CAJA</v>
          </cell>
          <cell r="W3236" t="str">
            <v>Ajuste</v>
          </cell>
          <cell r="X3236">
            <v>108</v>
          </cell>
          <cell r="Y3236">
            <v>324</v>
          </cell>
        </row>
        <row r="3237">
          <cell r="U3237" t="str">
            <v>L107194</v>
          </cell>
          <cell r="V3237" t="str">
            <v>DTG Vr3kg-CAJA</v>
          </cell>
          <cell r="W3237" t="str">
            <v>Ajuste</v>
          </cell>
          <cell r="X3237">
            <v>179</v>
          </cell>
          <cell r="Y3237">
            <v>537</v>
          </cell>
        </row>
        <row r="3238">
          <cell r="U3238" t="str">
            <v>L106864</v>
          </cell>
          <cell r="V3238" t="str">
            <v>DTGAY Vr2kg-CAJA</v>
          </cell>
          <cell r="W3238" t="str">
            <v>Ajuste</v>
          </cell>
          <cell r="X3238">
            <v>300</v>
          </cell>
          <cell r="Y3238">
            <v>600</v>
          </cell>
        </row>
        <row r="3239">
          <cell r="U3239" t="str">
            <v>L106530</v>
          </cell>
          <cell r="V3239" t="str">
            <v>ECL MTAL - UNIDAD</v>
          </cell>
          <cell r="W3239" t="str">
            <v>Ajuste</v>
          </cell>
          <cell r="X3239">
            <v>2</v>
          </cell>
          <cell r="Y3239">
            <v>24</v>
          </cell>
        </row>
        <row r="3240">
          <cell r="U3240" t="str">
            <v>L107215</v>
          </cell>
          <cell r="V3240" t="str">
            <v>ECL MTAL - UNIDAD</v>
          </cell>
          <cell r="W3240" t="str">
            <v>Ajuste</v>
          </cell>
          <cell r="X3240">
            <v>1</v>
          </cell>
          <cell r="Y3240">
            <v>12</v>
          </cell>
        </row>
        <row r="3241">
          <cell r="U3241" t="str">
            <v>L107216</v>
          </cell>
          <cell r="V3241" t="str">
            <v>ECLM - UNIDAD</v>
          </cell>
          <cell r="W3241" t="str">
            <v>Ajuste</v>
          </cell>
          <cell r="X3241">
            <v>1</v>
          </cell>
          <cell r="Y3241">
            <v>62</v>
          </cell>
        </row>
        <row r="3242">
          <cell r="U3242" t="str">
            <v>L103093</v>
          </cell>
          <cell r="V3242" t="str">
            <v>EGB 2KG Caja</v>
          </cell>
          <cell r="W3242" t="str">
            <v>Ajuste</v>
          </cell>
          <cell r="X3242">
            <v>1</v>
          </cell>
          <cell r="Y3242">
            <v>2</v>
          </cell>
        </row>
        <row r="3243">
          <cell r="U3243" t="str">
            <v>L102143</v>
          </cell>
          <cell r="V3243" t="str">
            <v>EGB 2KG Caja</v>
          </cell>
          <cell r="W3243" t="str">
            <v>Ajuste</v>
          </cell>
          <cell r="X3243">
            <v>3</v>
          </cell>
          <cell r="Y3243">
            <v>6</v>
          </cell>
        </row>
        <row r="3244">
          <cell r="U3244" t="str">
            <v>L106273</v>
          </cell>
          <cell r="V3244" t="str">
            <v>Embutido kg</v>
          </cell>
          <cell r="W3244" t="str">
            <v>Ajuste</v>
          </cell>
          <cell r="X3244">
            <v>5</v>
          </cell>
          <cell r="Y3244">
            <v>5</v>
          </cell>
        </row>
        <row r="3245">
          <cell r="U3245" t="str">
            <v>L106096</v>
          </cell>
          <cell r="V3245" t="str">
            <v>EMBV 2kg-CAJA</v>
          </cell>
          <cell r="W3245" t="str">
            <v>Ajuste</v>
          </cell>
          <cell r="X3245">
            <v>74</v>
          </cell>
          <cell r="Y3245">
            <v>148</v>
          </cell>
        </row>
        <row r="3246">
          <cell r="U3246" t="str">
            <v>L106267</v>
          </cell>
          <cell r="V3246" t="str">
            <v>EMBV 2kg-CAJA</v>
          </cell>
          <cell r="W3246" t="str">
            <v>Ajuste</v>
          </cell>
          <cell r="X3246">
            <v>78</v>
          </cell>
          <cell r="Y3246">
            <v>156</v>
          </cell>
        </row>
        <row r="3247">
          <cell r="U3247" t="str">
            <v>L106268</v>
          </cell>
          <cell r="V3247" t="str">
            <v>EMBV 2kg-CAJA</v>
          </cell>
          <cell r="W3247" t="str">
            <v>Ajuste</v>
          </cell>
          <cell r="X3247">
            <v>14</v>
          </cell>
          <cell r="Y3247">
            <v>28</v>
          </cell>
        </row>
        <row r="3248">
          <cell r="U3248" t="str">
            <v>L106269</v>
          </cell>
          <cell r="V3248" t="str">
            <v>EMBV 2kg-CAJA</v>
          </cell>
          <cell r="W3248" t="str">
            <v>Ajuste</v>
          </cell>
          <cell r="X3248">
            <v>18</v>
          </cell>
          <cell r="Y3248">
            <v>36</v>
          </cell>
        </row>
        <row r="3249">
          <cell r="U3249" t="str">
            <v>L106270</v>
          </cell>
          <cell r="V3249" t="str">
            <v>EMBV 2kg-CAJA</v>
          </cell>
          <cell r="W3249" t="str">
            <v>Ajuste</v>
          </cell>
          <cell r="X3249">
            <v>36</v>
          </cell>
          <cell r="Y3249">
            <v>72</v>
          </cell>
        </row>
        <row r="3250">
          <cell r="U3250" t="str">
            <v>L106275</v>
          </cell>
          <cell r="V3250" t="str">
            <v>EMBV 2kg-CAJA</v>
          </cell>
          <cell r="W3250" t="str">
            <v>Ajuste</v>
          </cell>
          <cell r="X3250">
            <v>8</v>
          </cell>
          <cell r="Y3250">
            <v>16</v>
          </cell>
        </row>
        <row r="3251">
          <cell r="U3251" t="str">
            <v>L106418</v>
          </cell>
          <cell r="V3251" t="str">
            <v>EMBV 2kg-CAJA</v>
          </cell>
          <cell r="W3251" t="str">
            <v>Ajuste</v>
          </cell>
          <cell r="X3251">
            <v>84</v>
          </cell>
          <cell r="Y3251">
            <v>168</v>
          </cell>
        </row>
        <row r="3252">
          <cell r="U3252" t="str">
            <v>L106454</v>
          </cell>
          <cell r="V3252" t="str">
            <v>EMBV 2kg-CAJA</v>
          </cell>
          <cell r="W3252" t="str">
            <v>Ajuste</v>
          </cell>
          <cell r="X3252">
            <v>12</v>
          </cell>
          <cell r="Y3252">
            <v>24</v>
          </cell>
        </row>
        <row r="3253">
          <cell r="U3253" t="str">
            <v>L106455</v>
          </cell>
          <cell r="V3253" t="str">
            <v>EMBV 2kg-CAJA</v>
          </cell>
          <cell r="W3253" t="str">
            <v>Ajuste</v>
          </cell>
          <cell r="X3253">
            <v>2</v>
          </cell>
          <cell r="Y3253">
            <v>4</v>
          </cell>
        </row>
        <row r="3254">
          <cell r="U3254" t="str">
            <v>L106508</v>
          </cell>
          <cell r="V3254" t="str">
            <v>EMBV 2kg-CAJA</v>
          </cell>
          <cell r="W3254" t="str">
            <v>Ajuste</v>
          </cell>
          <cell r="X3254">
            <v>132</v>
          </cell>
          <cell r="Y3254">
            <v>264</v>
          </cell>
        </row>
        <row r="3255">
          <cell r="U3255" t="str">
            <v>L106965</v>
          </cell>
          <cell r="V3255" t="str">
            <v>EMBV 2kg-CAJA</v>
          </cell>
          <cell r="W3255" t="str">
            <v>Ajuste</v>
          </cell>
          <cell r="X3255">
            <v>26</v>
          </cell>
          <cell r="Y3255">
            <v>52</v>
          </cell>
        </row>
        <row r="3256">
          <cell r="U3256" t="str">
            <v>L106966</v>
          </cell>
          <cell r="V3256" t="str">
            <v>EMBV 2kg-CAJA</v>
          </cell>
          <cell r="W3256" t="str">
            <v>Ajuste</v>
          </cell>
          <cell r="X3256">
            <v>24</v>
          </cell>
          <cell r="Y3256">
            <v>48</v>
          </cell>
        </row>
        <row r="3257">
          <cell r="U3257" t="str">
            <v>L106967</v>
          </cell>
          <cell r="V3257" t="str">
            <v>EMBV 2kg-CAJA</v>
          </cell>
          <cell r="W3257" t="str">
            <v>Ajuste</v>
          </cell>
          <cell r="X3257">
            <v>10</v>
          </cell>
          <cell r="Y3257">
            <v>20</v>
          </cell>
        </row>
        <row r="3258">
          <cell r="U3258" t="str">
            <v>L106968</v>
          </cell>
          <cell r="V3258" t="str">
            <v>EMBV 2kg-CAJA</v>
          </cell>
          <cell r="W3258" t="str">
            <v>Ajuste</v>
          </cell>
          <cell r="X3258">
            <v>8</v>
          </cell>
          <cell r="Y3258">
            <v>16</v>
          </cell>
        </row>
        <row r="3259">
          <cell r="U3259" t="str">
            <v>L106969</v>
          </cell>
          <cell r="V3259" t="str">
            <v>EMBV 2kg-CAJA</v>
          </cell>
          <cell r="W3259" t="str">
            <v>Ajuste</v>
          </cell>
          <cell r="X3259">
            <v>6</v>
          </cell>
          <cell r="Y3259">
            <v>12</v>
          </cell>
        </row>
        <row r="3260">
          <cell r="U3260" t="str">
            <v>L106984</v>
          </cell>
          <cell r="V3260" t="str">
            <v>EMBV 2kg-CAJA</v>
          </cell>
          <cell r="W3260" t="str">
            <v>Ajuste</v>
          </cell>
          <cell r="X3260">
            <v>136</v>
          </cell>
          <cell r="Y3260">
            <v>272</v>
          </cell>
        </row>
        <row r="3261">
          <cell r="U3261" t="str">
            <v>L107031</v>
          </cell>
          <cell r="V3261" t="str">
            <v>EMBV 2kg-CAJA</v>
          </cell>
          <cell r="W3261" t="str">
            <v>Ajuste</v>
          </cell>
          <cell r="X3261">
            <v>80</v>
          </cell>
          <cell r="Y3261">
            <v>160</v>
          </cell>
        </row>
        <row r="3262">
          <cell r="U3262" t="str">
            <v>L106452</v>
          </cell>
          <cell r="V3262" t="str">
            <v>EMBV 3kg</v>
          </cell>
          <cell r="W3262" t="str">
            <v>Ajuste</v>
          </cell>
          <cell r="X3262">
            <v>20</v>
          </cell>
          <cell r="Y3262">
            <v>60</v>
          </cell>
        </row>
        <row r="3263">
          <cell r="U3263" t="str">
            <v>L106453</v>
          </cell>
          <cell r="V3263" t="str">
            <v>EMBV 3kg</v>
          </cell>
          <cell r="W3263" t="str">
            <v>Ajuste</v>
          </cell>
          <cell r="X3263">
            <v>20</v>
          </cell>
          <cell r="Y3263">
            <v>60</v>
          </cell>
        </row>
        <row r="3264">
          <cell r="U3264" t="str">
            <v>L106232</v>
          </cell>
          <cell r="V3264" t="str">
            <v>EMP 2kg</v>
          </cell>
          <cell r="W3264" t="str">
            <v>Ajuste</v>
          </cell>
          <cell r="X3264">
            <v>2</v>
          </cell>
          <cell r="Y3264">
            <v>4</v>
          </cell>
        </row>
        <row r="3265">
          <cell r="U3265" t="str">
            <v>L106233</v>
          </cell>
          <cell r="V3265" t="str">
            <v>EMP 3kg</v>
          </cell>
          <cell r="W3265" t="str">
            <v>Ajuste</v>
          </cell>
          <cell r="X3265">
            <v>2</v>
          </cell>
          <cell r="Y3265">
            <v>6</v>
          </cell>
        </row>
        <row r="3266">
          <cell r="U3266" t="str">
            <v>L106163</v>
          </cell>
          <cell r="V3266" t="str">
            <v>ENV ACE 12x900ml-CAJA</v>
          </cell>
          <cell r="W3266" t="str">
            <v>Ajuste</v>
          </cell>
          <cell r="X3266">
            <v>56</v>
          </cell>
          <cell r="Y3266">
            <v>604.79999999999995</v>
          </cell>
        </row>
        <row r="3267">
          <cell r="U3267" t="str">
            <v>L106163</v>
          </cell>
          <cell r="V3267" t="str">
            <v>ENV ACE 1x900ml-UNI</v>
          </cell>
          <cell r="W3267" t="str">
            <v>Ajuste</v>
          </cell>
          <cell r="X3267">
            <v>24</v>
          </cell>
          <cell r="Y3267">
            <v>21.6</v>
          </cell>
        </row>
        <row r="3268">
          <cell r="U3268" t="str">
            <v>L106164</v>
          </cell>
          <cell r="V3268" t="str">
            <v>ENV ACE 1x900ml-UNI</v>
          </cell>
          <cell r="W3268" t="str">
            <v>Ajuste</v>
          </cell>
          <cell r="X3268">
            <v>2</v>
          </cell>
          <cell r="Y3268">
            <v>1.8</v>
          </cell>
        </row>
        <row r="3269">
          <cell r="U3269" t="str">
            <v>L106157</v>
          </cell>
          <cell r="V3269" t="str">
            <v>ENV ARZ 10x5lb-CAJA</v>
          </cell>
          <cell r="W3269" t="str">
            <v>Ajuste</v>
          </cell>
          <cell r="X3269">
            <v>568</v>
          </cell>
          <cell r="Y3269">
            <v>12876.560000000001</v>
          </cell>
        </row>
        <row r="3270">
          <cell r="U3270" t="str">
            <v>L106158</v>
          </cell>
          <cell r="V3270" t="str">
            <v>ENV ARZ 1x5lb-UNI</v>
          </cell>
          <cell r="W3270" t="str">
            <v>Ajuste</v>
          </cell>
          <cell r="X3270">
            <v>4</v>
          </cell>
          <cell r="Y3270">
            <v>9.0399999999999991</v>
          </cell>
        </row>
        <row r="3271">
          <cell r="U3271" t="str">
            <v>L106319</v>
          </cell>
          <cell r="V3271" t="str">
            <v>ENV Dif Redondeo</v>
          </cell>
          <cell r="W3271" t="str">
            <v>Ajuste</v>
          </cell>
          <cell r="X3271">
            <v>2</v>
          </cell>
          <cell r="Y3271">
            <v>0.02</v>
          </cell>
        </row>
        <row r="3272">
          <cell r="U3272" t="str">
            <v>L106172</v>
          </cell>
          <cell r="V3272" t="str">
            <v>ENV FRJ 1X1Lb-UNI</v>
          </cell>
          <cell r="W3272" t="str">
            <v>Ajuste</v>
          </cell>
          <cell r="X3272">
            <v>14</v>
          </cell>
          <cell r="Y3272">
            <v>6.3</v>
          </cell>
        </row>
        <row r="3273">
          <cell r="U3273" t="str">
            <v>L106171</v>
          </cell>
          <cell r="V3273" t="str">
            <v>ENV FRJ 25X1Lb-CAJA</v>
          </cell>
          <cell r="W3273" t="str">
            <v>Ajuste</v>
          </cell>
          <cell r="X3273">
            <v>164</v>
          </cell>
          <cell r="Y3273">
            <v>1858.12</v>
          </cell>
        </row>
        <row r="3274">
          <cell r="U3274" t="str">
            <v>L106170</v>
          </cell>
          <cell r="V3274" t="str">
            <v>ENV LTJ 1X1Lb-UNI</v>
          </cell>
          <cell r="W3274" t="str">
            <v>Ajuste</v>
          </cell>
          <cell r="X3274">
            <v>48</v>
          </cell>
          <cell r="Y3274">
            <v>21.6</v>
          </cell>
        </row>
        <row r="3275">
          <cell r="U3275" t="str">
            <v>L106169</v>
          </cell>
          <cell r="V3275" t="str">
            <v>ENV LTJ 25X1Lb-CAJA</v>
          </cell>
          <cell r="W3275" t="str">
            <v>Ajuste</v>
          </cell>
          <cell r="X3275">
            <v>240</v>
          </cell>
          <cell r="Y3275">
            <v>2719.2</v>
          </cell>
        </row>
        <row r="3276">
          <cell r="U3276" t="str">
            <v>L106204</v>
          </cell>
          <cell r="V3276" t="str">
            <v>ENV PTM 48x113g-CAJA</v>
          </cell>
          <cell r="W3276" t="str">
            <v>Ajuste</v>
          </cell>
          <cell r="X3276">
            <v>54</v>
          </cell>
          <cell r="Y3276">
            <v>292.68</v>
          </cell>
        </row>
        <row r="3277">
          <cell r="U3277" t="str">
            <v>L106204</v>
          </cell>
          <cell r="V3277" t="str">
            <v>ENV PTM 1x113g-UNIDAD</v>
          </cell>
          <cell r="W3277" t="str">
            <v>Ajuste</v>
          </cell>
          <cell r="X3277">
            <v>62</v>
          </cell>
          <cell r="Y3277">
            <v>6.82</v>
          </cell>
        </row>
        <row r="3278">
          <cell r="U3278" t="str">
            <v>l102029</v>
          </cell>
          <cell r="V3278" t="str">
            <v>ENV PTM 1x113g-UNIDAD</v>
          </cell>
          <cell r="W3278" t="str">
            <v>Ajuste</v>
          </cell>
          <cell r="X3278">
            <v>33</v>
          </cell>
          <cell r="Y3278">
            <v>3.63</v>
          </cell>
        </row>
        <row r="3279">
          <cell r="U3279" t="str">
            <v>L106035</v>
          </cell>
          <cell r="V3279" t="str">
            <v>ENV SAL 30X454g-CAJA</v>
          </cell>
          <cell r="W3279" t="str">
            <v>Ajuste</v>
          </cell>
          <cell r="X3279">
            <v>38</v>
          </cell>
          <cell r="Y3279">
            <v>517.55999999999995</v>
          </cell>
        </row>
        <row r="3280">
          <cell r="U3280" t="str">
            <v>L106035</v>
          </cell>
          <cell r="V3280" t="str">
            <v>ENV SAL 1X454g-UNI</v>
          </cell>
          <cell r="W3280" t="str">
            <v>Ajuste</v>
          </cell>
          <cell r="X3280">
            <v>54</v>
          </cell>
          <cell r="Y3280">
            <v>24.3</v>
          </cell>
        </row>
        <row r="3281">
          <cell r="U3281" t="str">
            <v>L106168</v>
          </cell>
          <cell r="V3281" t="str">
            <v>ENV SPGT 1x454G-UNI</v>
          </cell>
          <cell r="W3281" t="str">
            <v>Ajuste</v>
          </cell>
          <cell r="X3281">
            <v>22</v>
          </cell>
          <cell r="Y3281">
            <v>9.9</v>
          </cell>
        </row>
        <row r="3282">
          <cell r="U3282" t="str">
            <v>L106167</v>
          </cell>
          <cell r="V3282" t="str">
            <v>ENV SPGT 20 x 454G-CAJA</v>
          </cell>
          <cell r="W3282" t="str">
            <v>Ajuste</v>
          </cell>
          <cell r="X3282">
            <v>154</v>
          </cell>
          <cell r="Y3282">
            <v>1398.3200000000002</v>
          </cell>
        </row>
        <row r="3283">
          <cell r="U3283" t="str">
            <v>L106166</v>
          </cell>
          <cell r="V3283" t="str">
            <v>ENV SRD 1X15 OZ-UNI</v>
          </cell>
          <cell r="W3283" t="str">
            <v>Ajuste</v>
          </cell>
          <cell r="X3283">
            <v>46</v>
          </cell>
          <cell r="Y3283">
            <v>19.32</v>
          </cell>
        </row>
        <row r="3284">
          <cell r="U3284" t="str">
            <v>L106165</v>
          </cell>
          <cell r="V3284" t="str">
            <v>ENV SRD 24X15 OZ-CAJA</v>
          </cell>
          <cell r="W3284" t="str">
            <v>Ajuste</v>
          </cell>
          <cell r="X3284">
            <v>168</v>
          </cell>
          <cell r="Y3284">
            <v>1713.6</v>
          </cell>
        </row>
        <row r="3285">
          <cell r="U3285" t="str">
            <v>L106991</v>
          </cell>
          <cell r="V3285" t="str">
            <v>ESP 3kg-CAJA</v>
          </cell>
          <cell r="W3285" t="str">
            <v>Ajuste</v>
          </cell>
          <cell r="X3285">
            <v>21</v>
          </cell>
          <cell r="Y3285">
            <v>63</v>
          </cell>
        </row>
        <row r="3286">
          <cell r="U3286" t="str">
            <v>L106992</v>
          </cell>
          <cell r="V3286" t="str">
            <v>ESP 3kg-CAJA</v>
          </cell>
          <cell r="W3286" t="str">
            <v>Ajuste</v>
          </cell>
          <cell r="X3286">
            <v>18</v>
          </cell>
          <cell r="Y3286">
            <v>54</v>
          </cell>
        </row>
        <row r="3287">
          <cell r="U3287" t="str">
            <v>L106879</v>
          </cell>
          <cell r="V3287" t="str">
            <v>ESQPCD 8kg</v>
          </cell>
          <cell r="W3287" t="str">
            <v>Ajuste</v>
          </cell>
          <cell r="X3287">
            <v>100</v>
          </cell>
          <cell r="Y3287">
            <v>800</v>
          </cell>
        </row>
        <row r="3288">
          <cell r="U3288" t="str">
            <v>L106973</v>
          </cell>
          <cell r="V3288" t="str">
            <v>ESV 1kg - CAJA</v>
          </cell>
          <cell r="W3288" t="str">
            <v>Ajuste</v>
          </cell>
          <cell r="X3288">
            <v>2</v>
          </cell>
          <cell r="Y3288">
            <v>2</v>
          </cell>
        </row>
        <row r="3289">
          <cell r="U3289" t="str">
            <v>L106649</v>
          </cell>
          <cell r="V3289" t="str">
            <v>ESV 2kg - CAJA</v>
          </cell>
          <cell r="W3289" t="str">
            <v>Ajuste</v>
          </cell>
          <cell r="X3289">
            <v>26</v>
          </cell>
          <cell r="Y3289">
            <v>52</v>
          </cell>
        </row>
        <row r="3290">
          <cell r="U3290" t="str">
            <v>L106130</v>
          </cell>
          <cell r="V3290" t="str">
            <v>FRUROB kg</v>
          </cell>
          <cell r="W3290" t="str">
            <v>Ajuste</v>
          </cell>
          <cell r="X3290">
            <v>1982</v>
          </cell>
          <cell r="Y3290">
            <v>1982</v>
          </cell>
        </row>
        <row r="3291">
          <cell r="U3291" t="str">
            <v>L107335</v>
          </cell>
          <cell r="V3291" t="str">
            <v>FRUROB kg</v>
          </cell>
          <cell r="W3291" t="str">
            <v>Ajuste</v>
          </cell>
          <cell r="X3291">
            <v>664</v>
          </cell>
          <cell r="Y3291">
            <v>664</v>
          </cell>
        </row>
        <row r="3292">
          <cell r="U3292" t="str">
            <v>L106121</v>
          </cell>
          <cell r="V3292" t="str">
            <v>FRUTV 10kg - CAJA</v>
          </cell>
          <cell r="W3292" t="str">
            <v>Ajuste</v>
          </cell>
          <cell r="X3292">
            <v>150</v>
          </cell>
          <cell r="Y3292">
            <v>1500</v>
          </cell>
        </row>
        <row r="3293">
          <cell r="U3293" t="str">
            <v>L106602</v>
          </cell>
          <cell r="V3293" t="str">
            <v>FRUTV 20kg - CAJA</v>
          </cell>
          <cell r="W3293" t="str">
            <v>Ajuste</v>
          </cell>
          <cell r="X3293">
            <v>264</v>
          </cell>
          <cell r="Y3293">
            <v>5280</v>
          </cell>
        </row>
        <row r="3294">
          <cell r="U3294" t="str">
            <v>L106873</v>
          </cell>
          <cell r="V3294" t="str">
            <v>FRUTV 20kg - CAJA</v>
          </cell>
          <cell r="W3294" t="str">
            <v>Ajuste</v>
          </cell>
          <cell r="X3294">
            <v>20</v>
          </cell>
          <cell r="Y3294">
            <v>400</v>
          </cell>
        </row>
        <row r="3295">
          <cell r="U3295" t="str">
            <v>L107156</v>
          </cell>
          <cell r="V3295" t="str">
            <v>FRUTV 20kg - CAJA</v>
          </cell>
          <cell r="W3295" t="str">
            <v>Ajuste</v>
          </cell>
          <cell r="X3295">
            <v>26</v>
          </cell>
          <cell r="Y3295">
            <v>520</v>
          </cell>
        </row>
        <row r="3296">
          <cell r="U3296" t="str">
            <v>L106374</v>
          </cell>
          <cell r="V3296" t="str">
            <v>FRUVER 10kg</v>
          </cell>
          <cell r="W3296" t="str">
            <v>Ajuste</v>
          </cell>
          <cell r="X3296">
            <v>80</v>
          </cell>
          <cell r="Y3296">
            <v>800</v>
          </cell>
        </row>
        <row r="3297">
          <cell r="U3297" t="str">
            <v>L100484</v>
          </cell>
          <cell r="V3297" t="str">
            <v>FRUVER 18kg</v>
          </cell>
          <cell r="W3297" t="str">
            <v>Ajuste</v>
          </cell>
          <cell r="X3297">
            <v>1</v>
          </cell>
          <cell r="Y3297">
            <v>0</v>
          </cell>
        </row>
        <row r="3298">
          <cell r="U3298" t="str">
            <v>L106296</v>
          </cell>
          <cell r="V3298" t="str">
            <v>FRUVER 4kg</v>
          </cell>
          <cell r="W3298" t="str">
            <v>Ajuste</v>
          </cell>
          <cell r="X3298">
            <v>2</v>
          </cell>
          <cell r="Y3298">
            <v>8</v>
          </cell>
        </row>
        <row r="3299">
          <cell r="U3299" t="str">
            <v>L106716</v>
          </cell>
          <cell r="V3299" t="str">
            <v>FRUVER 5kg</v>
          </cell>
          <cell r="W3299" t="str">
            <v>Ajuste</v>
          </cell>
          <cell r="X3299">
            <v>2</v>
          </cell>
          <cell r="Y3299">
            <v>10</v>
          </cell>
        </row>
        <row r="3300">
          <cell r="U3300" t="str">
            <v>L106860</v>
          </cell>
          <cell r="V3300" t="str">
            <v>FRUVER 5kg</v>
          </cell>
          <cell r="W3300" t="str">
            <v>Ajuste</v>
          </cell>
          <cell r="X3300">
            <v>2</v>
          </cell>
          <cell r="Y3300">
            <v>10</v>
          </cell>
        </row>
        <row r="3301">
          <cell r="U3301" t="str">
            <v>L107218</v>
          </cell>
          <cell r="V3301" t="str">
            <v>FRUVER 5kg</v>
          </cell>
          <cell r="W3301" t="str">
            <v>Ajuste</v>
          </cell>
          <cell r="X3301">
            <v>7</v>
          </cell>
          <cell r="Y3301">
            <v>35</v>
          </cell>
        </row>
        <row r="3302">
          <cell r="U3302" t="str">
            <v>L106295</v>
          </cell>
          <cell r="V3302" t="str">
            <v>FRUVER 8kg</v>
          </cell>
          <cell r="W3302" t="str">
            <v>Ajuste</v>
          </cell>
          <cell r="X3302">
            <v>20</v>
          </cell>
          <cell r="Y3302">
            <v>160</v>
          </cell>
        </row>
        <row r="3303">
          <cell r="U3303" t="str">
            <v>L106717</v>
          </cell>
          <cell r="V3303" t="str">
            <v>FRUVER 8kg</v>
          </cell>
          <cell r="W3303" t="str">
            <v>Ajuste</v>
          </cell>
          <cell r="X3303">
            <v>2</v>
          </cell>
          <cell r="Y3303">
            <v>16</v>
          </cell>
        </row>
        <row r="3304">
          <cell r="U3304" t="str">
            <v>L106487</v>
          </cell>
          <cell r="V3304" t="str">
            <v>Galleta kg</v>
          </cell>
          <cell r="W3304" t="str">
            <v>Ajuste</v>
          </cell>
          <cell r="X3304">
            <v>31</v>
          </cell>
          <cell r="Y3304">
            <v>31</v>
          </cell>
        </row>
        <row r="3305">
          <cell r="U3305" t="str">
            <v>L106488</v>
          </cell>
          <cell r="V3305" t="str">
            <v>Galleta kg</v>
          </cell>
          <cell r="W3305" t="str">
            <v>Ajuste</v>
          </cell>
          <cell r="X3305">
            <v>12</v>
          </cell>
          <cell r="Y3305">
            <v>12</v>
          </cell>
        </row>
        <row r="3306">
          <cell r="U3306" t="str">
            <v>L107011</v>
          </cell>
          <cell r="V3306" t="str">
            <v>Galleta kg</v>
          </cell>
          <cell r="W3306" t="str">
            <v>Ajuste</v>
          </cell>
          <cell r="X3306">
            <v>0.5</v>
          </cell>
          <cell r="Y3306">
            <v>0.5</v>
          </cell>
        </row>
        <row r="3307">
          <cell r="U3307" t="str">
            <v>L106549</v>
          </cell>
          <cell r="V3307" t="str">
            <v>GAREO - UNIDAD</v>
          </cell>
          <cell r="W3307" t="str">
            <v>Ajuste</v>
          </cell>
          <cell r="X3307">
            <v>2</v>
          </cell>
          <cell r="Y3307">
            <v>36</v>
          </cell>
        </row>
        <row r="3308">
          <cell r="U3308" t="str">
            <v>L106427</v>
          </cell>
          <cell r="V3308" t="str">
            <v>GD2G - UNIDAD</v>
          </cell>
          <cell r="W3308" t="str">
            <v>Ajuste</v>
          </cell>
          <cell r="X3308">
            <v>87</v>
          </cell>
          <cell r="Y3308">
            <v>1957.5</v>
          </cell>
        </row>
        <row r="3309">
          <cell r="U3309" t="str">
            <v>L106427</v>
          </cell>
          <cell r="V3309" t="str">
            <v>GD2G - UNIDAD</v>
          </cell>
          <cell r="W3309" t="str">
            <v>Uso del BAP</v>
          </cell>
          <cell r="X3309">
            <v>2</v>
          </cell>
          <cell r="Y3309">
            <v>45</v>
          </cell>
        </row>
        <row r="3310">
          <cell r="U3310" t="str">
            <v>L106547</v>
          </cell>
          <cell r="V3310" t="str">
            <v>GD5G - UNIDAD</v>
          </cell>
          <cell r="W3310" t="str">
            <v>Ajuste</v>
          </cell>
          <cell r="X3310">
            <v>2</v>
          </cell>
          <cell r="Y3310">
            <v>76</v>
          </cell>
        </row>
        <row r="3311">
          <cell r="U3311" t="str">
            <v>L106433</v>
          </cell>
          <cell r="V3311" t="str">
            <v>GERB 2Kg</v>
          </cell>
          <cell r="W3311" t="str">
            <v>Ajuste</v>
          </cell>
          <cell r="X3311">
            <v>32</v>
          </cell>
          <cell r="Y3311">
            <v>64</v>
          </cell>
        </row>
        <row r="3312">
          <cell r="U3312" t="str">
            <v>L106961</v>
          </cell>
          <cell r="V3312" t="str">
            <v>GLDJ 1kg</v>
          </cell>
          <cell r="W3312" t="str">
            <v>Ajuste</v>
          </cell>
          <cell r="X3312">
            <v>7</v>
          </cell>
          <cell r="Y3312">
            <v>7</v>
          </cell>
        </row>
        <row r="3313">
          <cell r="U3313" t="str">
            <v>L106556</v>
          </cell>
          <cell r="V3313" t="str">
            <v>GLDJ 3Kg Caja</v>
          </cell>
          <cell r="W3313" t="str">
            <v>Ajuste</v>
          </cell>
          <cell r="X3313">
            <v>1</v>
          </cell>
          <cell r="Y3313">
            <v>3</v>
          </cell>
        </row>
        <row r="3314">
          <cell r="U3314" t="str">
            <v>L106557</v>
          </cell>
          <cell r="V3314" t="str">
            <v>GLDJ 3Kg Caja</v>
          </cell>
          <cell r="W3314" t="str">
            <v>Ajuste</v>
          </cell>
          <cell r="X3314">
            <v>2</v>
          </cell>
          <cell r="Y3314">
            <v>6</v>
          </cell>
        </row>
        <row r="3315">
          <cell r="U3315" t="str">
            <v>L106616</v>
          </cell>
          <cell r="V3315" t="str">
            <v>GLT 2kg</v>
          </cell>
          <cell r="W3315" t="str">
            <v>Ajuste</v>
          </cell>
          <cell r="X3315">
            <v>4</v>
          </cell>
          <cell r="Y3315">
            <v>8</v>
          </cell>
        </row>
        <row r="3316">
          <cell r="U3316" t="str">
            <v>L106788</v>
          </cell>
          <cell r="V3316" t="str">
            <v>GLV 1kg</v>
          </cell>
          <cell r="W3316" t="str">
            <v>Ajuste</v>
          </cell>
          <cell r="X3316">
            <v>2</v>
          </cell>
          <cell r="Y3316">
            <v>2</v>
          </cell>
        </row>
        <row r="3317">
          <cell r="U3317" t="str">
            <v>L106789</v>
          </cell>
          <cell r="V3317" t="str">
            <v>GLV 1kg</v>
          </cell>
          <cell r="W3317" t="str">
            <v>Ajuste</v>
          </cell>
          <cell r="X3317">
            <v>2</v>
          </cell>
          <cell r="Y3317">
            <v>2</v>
          </cell>
        </row>
        <row r="3318">
          <cell r="U3318" t="str">
            <v>L106790</v>
          </cell>
          <cell r="V3318" t="str">
            <v>GLV 1kg</v>
          </cell>
          <cell r="W3318" t="str">
            <v>Ajuste</v>
          </cell>
          <cell r="X3318">
            <v>4</v>
          </cell>
          <cell r="Y3318">
            <v>4</v>
          </cell>
        </row>
        <row r="3319">
          <cell r="U3319" t="str">
            <v>L106609</v>
          </cell>
          <cell r="V3319" t="str">
            <v>GLV 2kg</v>
          </cell>
          <cell r="W3319" t="str">
            <v>Ajuste</v>
          </cell>
          <cell r="X3319">
            <v>97</v>
          </cell>
          <cell r="Y3319">
            <v>194</v>
          </cell>
        </row>
        <row r="3320">
          <cell r="U3320" t="str">
            <v>L107301</v>
          </cell>
          <cell r="V3320" t="str">
            <v>GLV 2kg</v>
          </cell>
          <cell r="W3320" t="str">
            <v>Ajuste</v>
          </cell>
          <cell r="X3320">
            <v>5</v>
          </cell>
          <cell r="Y3320">
            <v>10</v>
          </cell>
        </row>
        <row r="3321">
          <cell r="U3321" t="str">
            <v>L107302</v>
          </cell>
          <cell r="V3321" t="str">
            <v>GLV 2kg</v>
          </cell>
          <cell r="W3321" t="str">
            <v>Ajuste</v>
          </cell>
          <cell r="X3321">
            <v>4</v>
          </cell>
          <cell r="Y3321">
            <v>8</v>
          </cell>
        </row>
        <row r="3322">
          <cell r="U3322" t="str">
            <v>L107303</v>
          </cell>
          <cell r="V3322" t="str">
            <v>GLV 2kg</v>
          </cell>
          <cell r="W3322" t="str">
            <v>Ajuste</v>
          </cell>
          <cell r="X3322">
            <v>4</v>
          </cell>
          <cell r="Y3322">
            <v>8</v>
          </cell>
        </row>
        <row r="3323">
          <cell r="U3323" t="str">
            <v>L107304</v>
          </cell>
          <cell r="V3323" t="str">
            <v>GLV 2kg</v>
          </cell>
          <cell r="W3323" t="str">
            <v>Ajuste</v>
          </cell>
          <cell r="X3323">
            <v>2</v>
          </cell>
          <cell r="Y3323">
            <v>4</v>
          </cell>
        </row>
        <row r="3324">
          <cell r="U3324" t="str">
            <v>L107305</v>
          </cell>
          <cell r="V3324" t="str">
            <v>GLV 2kg</v>
          </cell>
          <cell r="W3324" t="str">
            <v>Ajuste</v>
          </cell>
          <cell r="X3324">
            <v>3</v>
          </cell>
          <cell r="Y3324">
            <v>6</v>
          </cell>
        </row>
        <row r="3325">
          <cell r="U3325" t="str">
            <v>L107306</v>
          </cell>
          <cell r="V3325" t="str">
            <v>GLV 2kg</v>
          </cell>
          <cell r="W3325" t="str">
            <v>Ajuste</v>
          </cell>
          <cell r="X3325">
            <v>3</v>
          </cell>
          <cell r="Y3325">
            <v>6</v>
          </cell>
        </row>
        <row r="3326">
          <cell r="U3326" t="str">
            <v>L107307</v>
          </cell>
          <cell r="V3326" t="str">
            <v>GLV 2kg</v>
          </cell>
          <cell r="W3326" t="str">
            <v>Ajuste</v>
          </cell>
          <cell r="X3326">
            <v>1</v>
          </cell>
          <cell r="Y3326">
            <v>2</v>
          </cell>
        </row>
        <row r="3327">
          <cell r="U3327" t="str">
            <v>L106862</v>
          </cell>
          <cell r="V3327" t="str">
            <v>GRA</v>
          </cell>
          <cell r="W3327" t="str">
            <v>Ajuste</v>
          </cell>
          <cell r="X3327">
            <v>2</v>
          </cell>
          <cell r="Y3327">
            <v>0.02</v>
          </cell>
        </row>
        <row r="3328">
          <cell r="U3328" t="str">
            <v>L106870</v>
          </cell>
          <cell r="V3328" t="str">
            <v>GRA</v>
          </cell>
          <cell r="W3328" t="str">
            <v>Ajuste</v>
          </cell>
          <cell r="X3328">
            <v>2</v>
          </cell>
          <cell r="Y3328">
            <v>0.02</v>
          </cell>
        </row>
        <row r="3329">
          <cell r="U3329" t="str">
            <v>L106871</v>
          </cell>
          <cell r="V3329" t="str">
            <v>GRA</v>
          </cell>
          <cell r="W3329" t="str">
            <v>Ajuste</v>
          </cell>
          <cell r="X3329">
            <v>2</v>
          </cell>
          <cell r="Y3329">
            <v>0.02</v>
          </cell>
        </row>
        <row r="3330">
          <cell r="U3330" t="str">
            <v>L106872</v>
          </cell>
          <cell r="V3330" t="str">
            <v>GRA</v>
          </cell>
          <cell r="W3330" t="str">
            <v>Ajuste</v>
          </cell>
          <cell r="X3330">
            <v>2</v>
          </cell>
          <cell r="Y3330">
            <v>0.02</v>
          </cell>
        </row>
        <row r="3331">
          <cell r="U3331" t="str">
            <v>L106951</v>
          </cell>
          <cell r="V3331" t="str">
            <v>GRA</v>
          </cell>
          <cell r="W3331" t="str">
            <v>Ajuste</v>
          </cell>
          <cell r="X3331">
            <v>2</v>
          </cell>
          <cell r="Y3331">
            <v>0.02</v>
          </cell>
        </row>
        <row r="3332">
          <cell r="U3332" t="str">
            <v>L107362</v>
          </cell>
          <cell r="V3332" t="str">
            <v>GRA</v>
          </cell>
          <cell r="W3332" t="str">
            <v>Ajuste</v>
          </cell>
          <cell r="X3332">
            <v>1</v>
          </cell>
          <cell r="Y3332">
            <v>0.01</v>
          </cell>
        </row>
        <row r="3333">
          <cell r="U3333" t="str">
            <v>L106304</v>
          </cell>
          <cell r="V3333" t="str">
            <v>GST 3kg</v>
          </cell>
          <cell r="W3333" t="str">
            <v>Ajuste</v>
          </cell>
          <cell r="X3333">
            <v>6</v>
          </cell>
          <cell r="Y3333">
            <v>18</v>
          </cell>
        </row>
        <row r="3334">
          <cell r="U3334" t="str">
            <v>L106449</v>
          </cell>
          <cell r="V3334" t="str">
            <v>GTA 1.5kg-CAJA</v>
          </cell>
          <cell r="W3334" t="str">
            <v>Ajuste</v>
          </cell>
          <cell r="X3334">
            <v>2</v>
          </cell>
          <cell r="Y3334">
            <v>3</v>
          </cell>
        </row>
        <row r="3335">
          <cell r="U3335" t="str">
            <v>L106795</v>
          </cell>
          <cell r="V3335" t="str">
            <v>GTA 1kg-CAJA</v>
          </cell>
          <cell r="W3335" t="str">
            <v>Ajuste</v>
          </cell>
          <cell r="X3335">
            <v>4</v>
          </cell>
          <cell r="Y3335">
            <v>4</v>
          </cell>
        </row>
        <row r="3336">
          <cell r="U3336" t="str">
            <v>L106791</v>
          </cell>
          <cell r="V3336" t="str">
            <v>GTA 1kg-CAJA</v>
          </cell>
          <cell r="W3336" t="str">
            <v>Ajuste</v>
          </cell>
          <cell r="X3336">
            <v>31</v>
          </cell>
          <cell r="Y3336">
            <v>31</v>
          </cell>
        </row>
        <row r="3337">
          <cell r="U3337" t="str">
            <v>L106748</v>
          </cell>
          <cell r="V3337" t="str">
            <v>GTA 1kg-CAJA</v>
          </cell>
          <cell r="W3337" t="str">
            <v>Ajuste</v>
          </cell>
          <cell r="X3337">
            <v>39</v>
          </cell>
          <cell r="Y3337">
            <v>39</v>
          </cell>
        </row>
        <row r="3338">
          <cell r="U3338" t="str">
            <v>L106749</v>
          </cell>
          <cell r="V3338" t="str">
            <v>GTA 1kg-CAJA</v>
          </cell>
          <cell r="W3338" t="str">
            <v>Ajuste</v>
          </cell>
          <cell r="X3338">
            <v>4</v>
          </cell>
          <cell r="Y3338">
            <v>4</v>
          </cell>
        </row>
        <row r="3339">
          <cell r="U3339" t="str">
            <v>L106755</v>
          </cell>
          <cell r="V3339" t="str">
            <v>GTA 1kg-CAJA</v>
          </cell>
          <cell r="W3339" t="str">
            <v>Ajuste</v>
          </cell>
          <cell r="X3339">
            <v>6</v>
          </cell>
          <cell r="Y3339">
            <v>6</v>
          </cell>
        </row>
        <row r="3340">
          <cell r="U3340" t="str">
            <v>L106792</v>
          </cell>
          <cell r="V3340" t="str">
            <v>GTA 1kg-CAJA</v>
          </cell>
          <cell r="W3340" t="str">
            <v>Ajuste</v>
          </cell>
          <cell r="X3340">
            <v>4</v>
          </cell>
          <cell r="Y3340">
            <v>4</v>
          </cell>
        </row>
        <row r="3341">
          <cell r="U3341" t="str">
            <v>L106793</v>
          </cell>
          <cell r="V3341" t="str">
            <v>GTA 1kg-CAJA</v>
          </cell>
          <cell r="W3341" t="str">
            <v>Ajuste</v>
          </cell>
          <cell r="X3341">
            <v>8</v>
          </cell>
          <cell r="Y3341">
            <v>8</v>
          </cell>
        </row>
        <row r="3342">
          <cell r="U3342" t="str">
            <v>L106794</v>
          </cell>
          <cell r="V3342" t="str">
            <v>GTA 1kg-CAJA</v>
          </cell>
          <cell r="W3342" t="str">
            <v>Ajuste</v>
          </cell>
          <cell r="X3342">
            <v>2</v>
          </cell>
          <cell r="Y3342">
            <v>2</v>
          </cell>
        </row>
        <row r="3343">
          <cell r="U3343" t="str">
            <v>L106806</v>
          </cell>
          <cell r="V3343" t="str">
            <v>GTA 1kg-CAJA</v>
          </cell>
          <cell r="W3343" t="str">
            <v>Ajuste</v>
          </cell>
          <cell r="X3343">
            <v>18</v>
          </cell>
          <cell r="Y3343">
            <v>18</v>
          </cell>
        </row>
        <row r="3344">
          <cell r="U3344" t="str">
            <v>L106807</v>
          </cell>
          <cell r="V3344" t="str">
            <v>GTA 1kg-CAJA</v>
          </cell>
          <cell r="W3344" t="str">
            <v>Ajuste</v>
          </cell>
          <cell r="X3344">
            <v>2</v>
          </cell>
          <cell r="Y3344">
            <v>2</v>
          </cell>
        </row>
        <row r="3345">
          <cell r="U3345" t="str">
            <v>L106808</v>
          </cell>
          <cell r="V3345" t="str">
            <v>GTA 1kg-CAJA</v>
          </cell>
          <cell r="W3345" t="str">
            <v>Ajuste</v>
          </cell>
          <cell r="X3345">
            <v>2</v>
          </cell>
          <cell r="Y3345">
            <v>2</v>
          </cell>
        </row>
        <row r="3346">
          <cell r="U3346" t="str">
            <v>L106809</v>
          </cell>
          <cell r="V3346" t="str">
            <v>GTA 1kg-CAJA</v>
          </cell>
          <cell r="W3346" t="str">
            <v>Ajuste</v>
          </cell>
          <cell r="X3346">
            <v>2</v>
          </cell>
          <cell r="Y3346">
            <v>2</v>
          </cell>
        </row>
        <row r="3347">
          <cell r="U3347" t="str">
            <v>L106810</v>
          </cell>
          <cell r="V3347" t="str">
            <v>GTA 1kg-CAJA</v>
          </cell>
          <cell r="W3347" t="str">
            <v>Ajuste</v>
          </cell>
          <cell r="X3347">
            <v>2</v>
          </cell>
          <cell r="Y3347">
            <v>2</v>
          </cell>
        </row>
        <row r="3348">
          <cell r="U3348" t="str">
            <v>L106811</v>
          </cell>
          <cell r="V3348" t="str">
            <v>GTA 1kg-CAJA</v>
          </cell>
          <cell r="W3348" t="str">
            <v>Ajuste</v>
          </cell>
          <cell r="X3348">
            <v>2</v>
          </cell>
          <cell r="Y3348">
            <v>2</v>
          </cell>
        </row>
        <row r="3349">
          <cell r="U3349" t="str">
            <v>L106812</v>
          </cell>
          <cell r="V3349" t="str">
            <v>GTA 1kg-CAJA</v>
          </cell>
          <cell r="W3349" t="str">
            <v>Ajuste</v>
          </cell>
          <cell r="X3349">
            <v>2</v>
          </cell>
          <cell r="Y3349">
            <v>2</v>
          </cell>
        </row>
        <row r="3350">
          <cell r="U3350" t="str">
            <v>L106813</v>
          </cell>
          <cell r="V3350" t="str">
            <v>GTA 1kg-CAJA</v>
          </cell>
          <cell r="W3350" t="str">
            <v>Ajuste</v>
          </cell>
          <cell r="X3350">
            <v>2</v>
          </cell>
          <cell r="Y3350">
            <v>2</v>
          </cell>
        </row>
        <row r="3351">
          <cell r="U3351" t="str">
            <v>L107000</v>
          </cell>
          <cell r="V3351" t="str">
            <v>GTA 1kg-CAJA</v>
          </cell>
          <cell r="W3351" t="str">
            <v>Ajuste</v>
          </cell>
          <cell r="X3351">
            <v>5</v>
          </cell>
          <cell r="Y3351">
            <v>5</v>
          </cell>
        </row>
        <row r="3352">
          <cell r="U3352" t="str">
            <v>L107004</v>
          </cell>
          <cell r="V3352" t="str">
            <v>GTA 1kg-CAJA</v>
          </cell>
          <cell r="W3352" t="str">
            <v>Ajuste</v>
          </cell>
          <cell r="X3352">
            <v>4</v>
          </cell>
          <cell r="Y3352">
            <v>4</v>
          </cell>
        </row>
        <row r="3353">
          <cell r="U3353" t="str">
            <v>L107133</v>
          </cell>
          <cell r="V3353" t="str">
            <v>GTA 1kg-CAJA</v>
          </cell>
          <cell r="W3353" t="str">
            <v>Ajuste</v>
          </cell>
          <cell r="X3353">
            <v>343</v>
          </cell>
          <cell r="Y3353">
            <v>343</v>
          </cell>
        </row>
        <row r="3354">
          <cell r="U3354" t="str">
            <v>L107277</v>
          </cell>
          <cell r="V3354" t="str">
            <v>GTA 1kg-CAJA</v>
          </cell>
          <cell r="W3354" t="str">
            <v>Ajuste</v>
          </cell>
          <cell r="X3354">
            <v>4</v>
          </cell>
          <cell r="Y3354">
            <v>4</v>
          </cell>
        </row>
        <row r="3355">
          <cell r="U3355" t="str">
            <v>L107359</v>
          </cell>
          <cell r="V3355" t="str">
            <v>GTA 1kg-CAJA</v>
          </cell>
          <cell r="W3355" t="str">
            <v>Ajuste</v>
          </cell>
          <cell r="X3355">
            <v>2</v>
          </cell>
          <cell r="Y3355">
            <v>2</v>
          </cell>
        </row>
        <row r="3356">
          <cell r="U3356" t="str">
            <v>L107360</v>
          </cell>
          <cell r="V3356" t="str">
            <v>GTA 1kg-CAJA</v>
          </cell>
          <cell r="W3356" t="str">
            <v>Ajuste</v>
          </cell>
          <cell r="X3356">
            <v>1</v>
          </cell>
          <cell r="Y3356">
            <v>1</v>
          </cell>
        </row>
        <row r="3357">
          <cell r="U3357" t="str">
            <v>L107361</v>
          </cell>
          <cell r="V3357" t="str">
            <v>GTA 1kg-CAJA</v>
          </cell>
          <cell r="W3357" t="str">
            <v>Ajuste</v>
          </cell>
          <cell r="X3357">
            <v>2</v>
          </cell>
          <cell r="Y3357">
            <v>2</v>
          </cell>
        </row>
        <row r="3358">
          <cell r="U3358" t="str">
            <v>L106307</v>
          </cell>
          <cell r="V3358" t="str">
            <v>GTA 2kg-CAJA</v>
          </cell>
          <cell r="W3358" t="str">
            <v>Ajuste</v>
          </cell>
          <cell r="X3358">
            <v>5</v>
          </cell>
          <cell r="Y3358">
            <v>10</v>
          </cell>
        </row>
        <row r="3359">
          <cell r="U3359" t="str">
            <v>L107355</v>
          </cell>
          <cell r="V3359" t="str">
            <v>GTA 2kg-CAJA</v>
          </cell>
          <cell r="W3359" t="str">
            <v>Ajuste</v>
          </cell>
          <cell r="X3359">
            <v>2</v>
          </cell>
          <cell r="Y3359">
            <v>4</v>
          </cell>
        </row>
        <row r="3360">
          <cell r="U3360" t="str">
            <v>L107007</v>
          </cell>
          <cell r="V3360" t="str">
            <v>GTA 2kg-CAJA</v>
          </cell>
          <cell r="W3360" t="str">
            <v>Ajuste</v>
          </cell>
          <cell r="X3360">
            <v>3</v>
          </cell>
          <cell r="Y3360">
            <v>6</v>
          </cell>
        </row>
        <row r="3361">
          <cell r="U3361" t="str">
            <v>L106750</v>
          </cell>
          <cell r="V3361" t="str">
            <v>GTA 2kg-CAJA</v>
          </cell>
          <cell r="W3361" t="str">
            <v>Ajuste</v>
          </cell>
          <cell r="X3361">
            <v>8</v>
          </cell>
          <cell r="Y3361">
            <v>16</v>
          </cell>
        </row>
        <row r="3362">
          <cell r="U3362" t="str">
            <v>L106768</v>
          </cell>
          <cell r="V3362" t="str">
            <v>GTA 2kg-CAJA</v>
          </cell>
          <cell r="W3362" t="str">
            <v>Ajuste</v>
          </cell>
          <cell r="X3362">
            <v>30</v>
          </cell>
          <cell r="Y3362">
            <v>60</v>
          </cell>
        </row>
        <row r="3363">
          <cell r="U3363" t="str">
            <v>L106769</v>
          </cell>
          <cell r="V3363" t="str">
            <v>GTA 2kg-CAJA</v>
          </cell>
          <cell r="W3363" t="str">
            <v>Ajuste</v>
          </cell>
          <cell r="X3363">
            <v>50</v>
          </cell>
          <cell r="Y3363">
            <v>100</v>
          </cell>
        </row>
        <row r="3364">
          <cell r="U3364" t="str">
            <v>L107001</v>
          </cell>
          <cell r="V3364" t="str">
            <v>GTA 2kg-CAJA</v>
          </cell>
          <cell r="W3364" t="str">
            <v>Ajuste</v>
          </cell>
          <cell r="X3364">
            <v>2</v>
          </cell>
          <cell r="Y3364">
            <v>4</v>
          </cell>
        </row>
        <row r="3365">
          <cell r="U3365" t="str">
            <v>L107356</v>
          </cell>
          <cell r="V3365" t="str">
            <v>GTA 2kg-CAJA</v>
          </cell>
          <cell r="W3365" t="str">
            <v>Ajuste</v>
          </cell>
          <cell r="X3365">
            <v>1</v>
          </cell>
          <cell r="Y3365">
            <v>2</v>
          </cell>
        </row>
        <row r="3366">
          <cell r="U3366" t="str">
            <v>L107134</v>
          </cell>
          <cell r="V3366" t="str">
            <v>GTA 3.5kg-CAJA</v>
          </cell>
          <cell r="W3366" t="str">
            <v>Ajuste</v>
          </cell>
          <cell r="X3366">
            <v>78</v>
          </cell>
          <cell r="Y3366">
            <v>273</v>
          </cell>
        </row>
        <row r="3367">
          <cell r="U3367" t="str">
            <v>L106503</v>
          </cell>
          <cell r="V3367" t="str">
            <v>GTA 3kg-CAJA</v>
          </cell>
          <cell r="W3367" t="str">
            <v>Ajuste</v>
          </cell>
          <cell r="X3367">
            <v>2</v>
          </cell>
          <cell r="Y3367">
            <v>6</v>
          </cell>
        </row>
        <row r="3368">
          <cell r="U3368" t="str">
            <v>L106499</v>
          </cell>
          <cell r="V3368" t="str">
            <v>GTA 4kg-CAJA</v>
          </cell>
          <cell r="W3368" t="str">
            <v>Ajuste</v>
          </cell>
          <cell r="X3368">
            <v>161</v>
          </cell>
          <cell r="Y3368">
            <v>644</v>
          </cell>
        </row>
        <row r="3369">
          <cell r="U3369" t="str">
            <v>L106502</v>
          </cell>
          <cell r="V3369" t="str">
            <v>GTA 4kg-CAJA</v>
          </cell>
          <cell r="W3369" t="str">
            <v>Ajuste</v>
          </cell>
          <cell r="X3369">
            <v>100</v>
          </cell>
          <cell r="Y3369">
            <v>400</v>
          </cell>
        </row>
        <row r="3370">
          <cell r="U3370" t="str">
            <v>L106895</v>
          </cell>
          <cell r="V3370" t="str">
            <v>Guandu kg</v>
          </cell>
          <cell r="W3370" t="str">
            <v>Ajuste</v>
          </cell>
          <cell r="X3370">
            <v>8</v>
          </cell>
          <cell r="Y3370">
            <v>8</v>
          </cell>
        </row>
        <row r="3371">
          <cell r="U3371" t="str">
            <v>L107397</v>
          </cell>
          <cell r="V3371" t="str">
            <v>Guandu kg</v>
          </cell>
          <cell r="W3371" t="str">
            <v>Ajuste</v>
          </cell>
          <cell r="X3371">
            <v>2.95</v>
          </cell>
          <cell r="Y3371">
            <v>2.95</v>
          </cell>
        </row>
        <row r="3372">
          <cell r="U3372" t="str">
            <v>L106071</v>
          </cell>
          <cell r="V3372" t="str">
            <v>GUD 3kg</v>
          </cell>
          <cell r="W3372" t="str">
            <v>Ajuste</v>
          </cell>
          <cell r="X3372">
            <v>2</v>
          </cell>
          <cell r="Y3372">
            <v>6</v>
          </cell>
        </row>
        <row r="3373">
          <cell r="U3373" t="str">
            <v>L106120</v>
          </cell>
          <cell r="V3373" t="str">
            <v>GUD 3kg</v>
          </cell>
          <cell r="W3373" t="str">
            <v>Ajuste</v>
          </cell>
          <cell r="X3373">
            <v>4</v>
          </cell>
          <cell r="Y3373">
            <v>12</v>
          </cell>
        </row>
        <row r="3374">
          <cell r="U3374" t="str">
            <v>L106730</v>
          </cell>
          <cell r="V3374" t="str">
            <v>GUD 3kg</v>
          </cell>
          <cell r="W3374" t="str">
            <v>Ajuste</v>
          </cell>
          <cell r="X3374">
            <v>2</v>
          </cell>
          <cell r="Y3374">
            <v>6</v>
          </cell>
        </row>
        <row r="3375">
          <cell r="U3375" t="str">
            <v>L107240</v>
          </cell>
          <cell r="V3375" t="str">
            <v>GUD 3kg</v>
          </cell>
          <cell r="W3375" t="str">
            <v>Ajuste</v>
          </cell>
          <cell r="X3375">
            <v>1</v>
          </cell>
          <cell r="Y3375">
            <v>3</v>
          </cell>
        </row>
        <row r="3376">
          <cell r="U3376" t="str">
            <v>L107102</v>
          </cell>
          <cell r="V3376" t="str">
            <v>Guisante kg</v>
          </cell>
          <cell r="W3376" t="str">
            <v>Ajuste</v>
          </cell>
          <cell r="X3376">
            <v>3.2</v>
          </cell>
          <cell r="Y3376">
            <v>3.2</v>
          </cell>
        </row>
        <row r="3377">
          <cell r="U3377" t="str">
            <v>L107399</v>
          </cell>
          <cell r="V3377" t="str">
            <v>Guisante kg</v>
          </cell>
          <cell r="W3377" t="str">
            <v>Ajuste</v>
          </cell>
          <cell r="X3377">
            <v>3.46</v>
          </cell>
          <cell r="Y3377">
            <v>3.46</v>
          </cell>
        </row>
        <row r="3378">
          <cell r="U3378" t="str">
            <v>L106560</v>
          </cell>
          <cell r="V3378" t="str">
            <v>HAV 2kg</v>
          </cell>
          <cell r="W3378" t="str">
            <v>Ajuste</v>
          </cell>
          <cell r="X3378">
            <v>2</v>
          </cell>
          <cell r="Y3378">
            <v>4</v>
          </cell>
        </row>
        <row r="3379">
          <cell r="U3379" t="str">
            <v>L106561</v>
          </cell>
          <cell r="V3379" t="str">
            <v>HAV 2kg</v>
          </cell>
          <cell r="W3379" t="str">
            <v>Ajuste</v>
          </cell>
          <cell r="X3379">
            <v>2</v>
          </cell>
          <cell r="Y3379">
            <v>4</v>
          </cell>
        </row>
        <row r="3380">
          <cell r="U3380" t="str">
            <v>L106562</v>
          </cell>
          <cell r="V3380" t="str">
            <v>HAV 2kg</v>
          </cell>
          <cell r="W3380" t="str">
            <v>Ajuste</v>
          </cell>
          <cell r="X3380">
            <v>2</v>
          </cell>
          <cell r="Y3380">
            <v>4</v>
          </cell>
        </row>
        <row r="3381">
          <cell r="U3381" t="str">
            <v>L106563</v>
          </cell>
          <cell r="V3381" t="str">
            <v>HAV 2kg</v>
          </cell>
          <cell r="W3381" t="str">
            <v>Ajuste</v>
          </cell>
          <cell r="X3381">
            <v>2</v>
          </cell>
          <cell r="Y3381">
            <v>4</v>
          </cell>
        </row>
        <row r="3382">
          <cell r="U3382" t="str">
            <v>L106564</v>
          </cell>
          <cell r="V3382" t="str">
            <v>HAV 2kg</v>
          </cell>
          <cell r="W3382" t="str">
            <v>Ajuste</v>
          </cell>
          <cell r="X3382">
            <v>4</v>
          </cell>
          <cell r="Y3382">
            <v>8</v>
          </cell>
        </row>
        <row r="3383">
          <cell r="U3383" t="str">
            <v>L106565</v>
          </cell>
          <cell r="V3383" t="str">
            <v>HAV 2kg</v>
          </cell>
          <cell r="W3383" t="str">
            <v>Ajuste</v>
          </cell>
          <cell r="X3383">
            <v>2</v>
          </cell>
          <cell r="Y3383">
            <v>4</v>
          </cell>
        </row>
        <row r="3384">
          <cell r="U3384" t="str">
            <v>L106231</v>
          </cell>
          <cell r="V3384" t="str">
            <v>HAV 3kg</v>
          </cell>
          <cell r="W3384" t="str">
            <v>Ajuste</v>
          </cell>
          <cell r="X3384">
            <v>18</v>
          </cell>
          <cell r="Y3384">
            <v>54</v>
          </cell>
        </row>
        <row r="3385">
          <cell r="U3385" t="str">
            <v>L106272</v>
          </cell>
          <cell r="V3385" t="str">
            <v>HAV 5kg-CAJA</v>
          </cell>
          <cell r="W3385" t="str">
            <v>Ajuste</v>
          </cell>
          <cell r="X3385">
            <v>119</v>
          </cell>
          <cell r="Y3385">
            <v>595</v>
          </cell>
        </row>
        <row r="3386">
          <cell r="U3386" t="str">
            <v>L107380</v>
          </cell>
          <cell r="V3386" t="str">
            <v>HAV PD 25kg-Unidad</v>
          </cell>
          <cell r="W3386" t="str">
            <v>Ajuste</v>
          </cell>
          <cell r="X3386">
            <v>60</v>
          </cell>
          <cell r="Y3386">
            <v>1500</v>
          </cell>
        </row>
        <row r="3387">
          <cell r="U3387" t="str">
            <v>L107158</v>
          </cell>
          <cell r="V3387" t="str">
            <v>HAV PD 25kg-Unidad</v>
          </cell>
          <cell r="W3387" t="str">
            <v>Ajuste</v>
          </cell>
          <cell r="X3387">
            <v>8</v>
          </cell>
          <cell r="Y3387">
            <v>200</v>
          </cell>
        </row>
        <row r="3388">
          <cell r="U3388" t="str">
            <v>L106247</v>
          </cell>
          <cell r="V3388" t="str">
            <v>HDG 2flt x 30uds</v>
          </cell>
          <cell r="W3388" t="str">
            <v>Ajuste</v>
          </cell>
          <cell r="X3388">
            <v>100</v>
          </cell>
          <cell r="Y3388">
            <v>500</v>
          </cell>
        </row>
        <row r="3389">
          <cell r="U3389" t="str">
            <v>L106263</v>
          </cell>
          <cell r="V3389" t="str">
            <v>HGC 30 DOC</v>
          </cell>
          <cell r="W3389" t="str">
            <v>Ajuste</v>
          </cell>
          <cell r="X3389">
            <v>2</v>
          </cell>
          <cell r="Y3389">
            <v>48</v>
          </cell>
        </row>
        <row r="3390">
          <cell r="U3390" t="str">
            <v>L106970</v>
          </cell>
          <cell r="V3390" t="str">
            <v>HGC 30 DOC</v>
          </cell>
          <cell r="W3390" t="str">
            <v>Ajuste</v>
          </cell>
          <cell r="X3390">
            <v>30</v>
          </cell>
          <cell r="Y3390">
            <v>720</v>
          </cell>
        </row>
        <row r="3391">
          <cell r="U3391" t="str">
            <v>L107292</v>
          </cell>
          <cell r="V3391" t="str">
            <v>HGC 30 DOC</v>
          </cell>
          <cell r="W3391" t="str">
            <v>Ajuste</v>
          </cell>
          <cell r="X3391">
            <v>4</v>
          </cell>
          <cell r="Y3391">
            <v>96</v>
          </cell>
        </row>
        <row r="3392">
          <cell r="U3392" t="str">
            <v>L106950</v>
          </cell>
          <cell r="V3392" t="str">
            <v>HIDP 7KG</v>
          </cell>
          <cell r="W3392" t="str">
            <v>Ajuste</v>
          </cell>
          <cell r="X3392">
            <v>60</v>
          </cell>
          <cell r="Y3392">
            <v>420</v>
          </cell>
        </row>
        <row r="3393">
          <cell r="U3393" t="str">
            <v>L106605</v>
          </cell>
          <cell r="V3393" t="str">
            <v>HMBP 12kg</v>
          </cell>
          <cell r="W3393" t="str">
            <v>Ajuste</v>
          </cell>
          <cell r="X3393">
            <v>154</v>
          </cell>
          <cell r="Y3393">
            <v>1848</v>
          </cell>
        </row>
        <row r="3394">
          <cell r="U3394" t="str">
            <v>L106305</v>
          </cell>
          <cell r="V3394" t="str">
            <v>HNG 3kg-CAJA</v>
          </cell>
          <cell r="W3394" t="str">
            <v>Ajuste</v>
          </cell>
          <cell r="X3394">
            <v>8</v>
          </cell>
          <cell r="Y3394">
            <v>24</v>
          </cell>
        </row>
        <row r="3395">
          <cell r="U3395" t="str">
            <v>L106727</v>
          </cell>
          <cell r="V3395" t="str">
            <v>HNG 3kg-CAJA</v>
          </cell>
          <cell r="W3395" t="str">
            <v>Ajuste</v>
          </cell>
          <cell r="X3395">
            <v>2</v>
          </cell>
          <cell r="Y3395">
            <v>6</v>
          </cell>
        </row>
        <row r="3396">
          <cell r="U3396" t="str">
            <v>L107076</v>
          </cell>
          <cell r="V3396" t="str">
            <v>HNG 3kg-CAJA</v>
          </cell>
          <cell r="W3396" t="str">
            <v>Ajuste</v>
          </cell>
          <cell r="X3396">
            <v>2</v>
          </cell>
          <cell r="Y3396">
            <v>6</v>
          </cell>
        </row>
        <row r="3397">
          <cell r="U3397" t="str">
            <v>L107077</v>
          </cell>
          <cell r="V3397" t="str">
            <v>HNG 3kg-CAJA</v>
          </cell>
          <cell r="W3397" t="str">
            <v>Ajuste</v>
          </cell>
          <cell r="X3397">
            <v>1</v>
          </cell>
          <cell r="Y3397">
            <v>3</v>
          </cell>
        </row>
        <row r="3398">
          <cell r="U3398" t="str">
            <v>L107078</v>
          </cell>
          <cell r="V3398" t="str">
            <v>HNG 3kg-CAJA</v>
          </cell>
          <cell r="W3398" t="str">
            <v>Ajuste</v>
          </cell>
          <cell r="X3398">
            <v>1</v>
          </cell>
          <cell r="Y3398">
            <v>3</v>
          </cell>
        </row>
        <row r="3399">
          <cell r="U3399" t="str">
            <v>L107237</v>
          </cell>
          <cell r="V3399" t="str">
            <v>HNG 3kg-CAJA</v>
          </cell>
          <cell r="W3399" t="str">
            <v>Ajuste</v>
          </cell>
          <cell r="X3399">
            <v>4</v>
          </cell>
          <cell r="Y3399">
            <v>12</v>
          </cell>
        </row>
        <row r="3400">
          <cell r="U3400" t="str">
            <v>L107098</v>
          </cell>
          <cell r="V3400" t="str">
            <v>Hongo kg</v>
          </cell>
          <cell r="W3400" t="str">
            <v>Ajuste</v>
          </cell>
          <cell r="X3400">
            <v>3</v>
          </cell>
          <cell r="Y3400">
            <v>3</v>
          </cell>
        </row>
        <row r="3401">
          <cell r="U3401" t="str">
            <v>L107396</v>
          </cell>
          <cell r="V3401" t="str">
            <v>Hongo kg</v>
          </cell>
          <cell r="W3401" t="str">
            <v>Ajuste</v>
          </cell>
          <cell r="X3401">
            <v>2.79</v>
          </cell>
          <cell r="Y3401">
            <v>2.79</v>
          </cell>
        </row>
        <row r="3402">
          <cell r="U3402" t="str">
            <v>L107318</v>
          </cell>
          <cell r="V3402" t="str">
            <v>Jabon lava platos kg</v>
          </cell>
          <cell r="W3402" t="str">
            <v>Ajuste</v>
          </cell>
          <cell r="X3402">
            <v>6.35</v>
          </cell>
          <cell r="Y3402">
            <v>6.35</v>
          </cell>
        </row>
        <row r="3403">
          <cell r="U3403" t="str">
            <v>L107320</v>
          </cell>
          <cell r="V3403" t="str">
            <v>Jabon lava platos kg</v>
          </cell>
          <cell r="W3403" t="str">
            <v>Ajuste</v>
          </cell>
          <cell r="X3403">
            <v>2.5</v>
          </cell>
          <cell r="Y3403">
            <v>2.5</v>
          </cell>
        </row>
        <row r="3404">
          <cell r="U3404" t="str">
            <v>L106893</v>
          </cell>
          <cell r="V3404" t="str">
            <v>Jamonilla kg</v>
          </cell>
          <cell r="W3404" t="str">
            <v>Ajuste</v>
          </cell>
          <cell r="X3404">
            <v>1.6</v>
          </cell>
          <cell r="Y3404">
            <v>1.6</v>
          </cell>
        </row>
        <row r="3405">
          <cell r="U3405" t="str">
            <v>L107101</v>
          </cell>
          <cell r="V3405" t="str">
            <v>Jamonilla kg</v>
          </cell>
          <cell r="W3405" t="str">
            <v>Ajuste</v>
          </cell>
          <cell r="X3405">
            <v>2.5</v>
          </cell>
          <cell r="Y3405">
            <v>2.5</v>
          </cell>
        </row>
        <row r="3406">
          <cell r="U3406" t="str">
            <v>L107195</v>
          </cell>
          <cell r="V3406" t="str">
            <v>JB 1kg</v>
          </cell>
          <cell r="W3406" t="str">
            <v>Ajuste</v>
          </cell>
          <cell r="X3406">
            <v>881</v>
          </cell>
          <cell r="Y3406">
            <v>881</v>
          </cell>
        </row>
        <row r="3407">
          <cell r="U3407" t="str">
            <v>L106899</v>
          </cell>
          <cell r="V3407" t="str">
            <v>JB 1kg</v>
          </cell>
          <cell r="W3407" t="str">
            <v>Ajuste</v>
          </cell>
          <cell r="X3407">
            <v>60</v>
          </cell>
          <cell r="Y3407">
            <v>60</v>
          </cell>
        </row>
        <row r="3408">
          <cell r="U3408" t="str">
            <v>L106900</v>
          </cell>
          <cell r="V3408" t="str">
            <v>JB 1kg</v>
          </cell>
          <cell r="W3408" t="str">
            <v>Ajuste</v>
          </cell>
          <cell r="X3408">
            <v>20</v>
          </cell>
          <cell r="Y3408">
            <v>20</v>
          </cell>
        </row>
        <row r="3409">
          <cell r="U3409" t="str">
            <v>L106901</v>
          </cell>
          <cell r="V3409" t="str">
            <v>JB 1kg</v>
          </cell>
          <cell r="W3409" t="str">
            <v>Ajuste</v>
          </cell>
          <cell r="X3409">
            <v>20</v>
          </cell>
          <cell r="Y3409">
            <v>20</v>
          </cell>
        </row>
        <row r="3410">
          <cell r="U3410" t="str">
            <v>L106902</v>
          </cell>
          <cell r="V3410" t="str">
            <v>JB 1kg</v>
          </cell>
          <cell r="W3410" t="str">
            <v>Ajuste</v>
          </cell>
          <cell r="X3410">
            <v>2</v>
          </cell>
          <cell r="Y3410">
            <v>2</v>
          </cell>
        </row>
        <row r="3411">
          <cell r="U3411" t="str">
            <v>L106930</v>
          </cell>
          <cell r="V3411" t="str">
            <v>JB 1kg</v>
          </cell>
          <cell r="W3411" t="str">
            <v>Ajuste</v>
          </cell>
          <cell r="X3411">
            <v>8</v>
          </cell>
          <cell r="Y3411">
            <v>8</v>
          </cell>
        </row>
        <row r="3412">
          <cell r="U3412" t="str">
            <v>L107080</v>
          </cell>
          <cell r="V3412" t="str">
            <v>JB 1kg</v>
          </cell>
          <cell r="W3412" t="str">
            <v>Ajuste</v>
          </cell>
          <cell r="X3412">
            <v>5</v>
          </cell>
          <cell r="Y3412">
            <v>5</v>
          </cell>
        </row>
        <row r="3413">
          <cell r="U3413" t="str">
            <v>L107314</v>
          </cell>
          <cell r="V3413" t="str">
            <v>JB 1kg</v>
          </cell>
          <cell r="W3413" t="str">
            <v>Ajuste</v>
          </cell>
          <cell r="X3413">
            <v>1</v>
          </cell>
          <cell r="Y3413">
            <v>1</v>
          </cell>
        </row>
        <row r="3414">
          <cell r="U3414" t="str">
            <v>L107325</v>
          </cell>
          <cell r="V3414" t="str">
            <v>JB 1kg</v>
          </cell>
          <cell r="W3414" t="str">
            <v>Ajuste</v>
          </cell>
          <cell r="X3414">
            <v>1</v>
          </cell>
          <cell r="Y3414">
            <v>1</v>
          </cell>
        </row>
        <row r="3415">
          <cell r="U3415" t="str">
            <v>L107326</v>
          </cell>
          <cell r="V3415" t="str">
            <v>JB 1kg</v>
          </cell>
          <cell r="W3415" t="str">
            <v>Ajuste</v>
          </cell>
          <cell r="X3415">
            <v>3</v>
          </cell>
          <cell r="Y3415">
            <v>3</v>
          </cell>
        </row>
        <row r="3416">
          <cell r="U3416" t="str">
            <v>L107327</v>
          </cell>
          <cell r="V3416" t="str">
            <v>JB 1kg</v>
          </cell>
          <cell r="W3416" t="str">
            <v>Ajuste</v>
          </cell>
          <cell r="X3416">
            <v>3</v>
          </cell>
          <cell r="Y3416">
            <v>3</v>
          </cell>
        </row>
        <row r="3417">
          <cell r="U3417" t="str">
            <v>L107351</v>
          </cell>
          <cell r="V3417" t="str">
            <v>JGNA</v>
          </cell>
          <cell r="W3417" t="str">
            <v>Ajuste</v>
          </cell>
          <cell r="X3417">
            <v>15</v>
          </cell>
          <cell r="Y3417">
            <v>15</v>
          </cell>
        </row>
        <row r="3418">
          <cell r="U3418" t="str">
            <v>L107349</v>
          </cell>
          <cell r="V3418" t="str">
            <v>JGNO</v>
          </cell>
          <cell r="W3418" t="str">
            <v>Ajuste</v>
          </cell>
          <cell r="X3418">
            <v>10</v>
          </cell>
          <cell r="Y3418">
            <v>10</v>
          </cell>
        </row>
        <row r="3419">
          <cell r="U3419" t="str">
            <v>L106753</v>
          </cell>
          <cell r="V3419" t="str">
            <v>JGO 1kg</v>
          </cell>
          <cell r="W3419" t="str">
            <v>Ajuste</v>
          </cell>
          <cell r="X3419">
            <v>22</v>
          </cell>
          <cell r="Y3419">
            <v>22</v>
          </cell>
        </row>
        <row r="3420">
          <cell r="U3420" t="str">
            <v>L106754</v>
          </cell>
          <cell r="V3420" t="str">
            <v>JGO 1kg</v>
          </cell>
          <cell r="W3420" t="str">
            <v>Ajuste</v>
          </cell>
          <cell r="X3420">
            <v>24</v>
          </cell>
          <cell r="Y3420">
            <v>24</v>
          </cell>
        </row>
        <row r="3421">
          <cell r="U3421" t="str">
            <v>L107081</v>
          </cell>
          <cell r="V3421" t="str">
            <v>JGO 2kg</v>
          </cell>
          <cell r="W3421" t="str">
            <v>Ajuste</v>
          </cell>
          <cell r="X3421">
            <v>1</v>
          </cell>
          <cell r="Y3421">
            <v>2</v>
          </cell>
        </row>
        <row r="3422">
          <cell r="U3422" t="str">
            <v>L106344</v>
          </cell>
          <cell r="V3422" t="str">
            <v>JGO 3kg-CAJA</v>
          </cell>
          <cell r="W3422" t="str">
            <v>Ajuste</v>
          </cell>
          <cell r="X3422">
            <v>12</v>
          </cell>
          <cell r="Y3422">
            <v>36</v>
          </cell>
        </row>
        <row r="3423">
          <cell r="U3423" t="str">
            <v>L106927</v>
          </cell>
          <cell r="V3423" t="str">
            <v>JLP 1kg - Caja</v>
          </cell>
          <cell r="W3423" t="str">
            <v>Ajuste</v>
          </cell>
          <cell r="X3423">
            <v>24</v>
          </cell>
          <cell r="Y3423">
            <v>24</v>
          </cell>
        </row>
        <row r="3424">
          <cell r="U3424" t="str">
            <v>L106928</v>
          </cell>
          <cell r="V3424" t="str">
            <v>JLP 1kg - Caja</v>
          </cell>
          <cell r="W3424" t="str">
            <v>Ajuste</v>
          </cell>
          <cell r="X3424">
            <v>22</v>
          </cell>
          <cell r="Y3424">
            <v>22</v>
          </cell>
        </row>
        <row r="3425">
          <cell r="U3425" t="str">
            <v>L106929</v>
          </cell>
          <cell r="V3425" t="str">
            <v>JLP 1kg - Caja</v>
          </cell>
          <cell r="W3425" t="str">
            <v>Ajuste</v>
          </cell>
          <cell r="X3425">
            <v>64</v>
          </cell>
          <cell r="Y3425">
            <v>64</v>
          </cell>
        </row>
        <row r="3426">
          <cell r="U3426" t="str">
            <v>L106255</v>
          </cell>
          <cell r="V3426" t="str">
            <v>JLP 2kg Caja</v>
          </cell>
          <cell r="W3426" t="str">
            <v>Ajuste</v>
          </cell>
          <cell r="X3426">
            <v>46</v>
          </cell>
          <cell r="Y3426">
            <v>92</v>
          </cell>
        </row>
        <row r="3427">
          <cell r="U3427" t="str">
            <v>L106756</v>
          </cell>
          <cell r="V3427" t="str">
            <v>JLP 2kg Caja</v>
          </cell>
          <cell r="W3427" t="str">
            <v>Ajuste</v>
          </cell>
          <cell r="X3427">
            <v>38</v>
          </cell>
          <cell r="Y3427">
            <v>76</v>
          </cell>
        </row>
        <row r="3428">
          <cell r="U3428" t="str">
            <v>L106834</v>
          </cell>
          <cell r="V3428" t="str">
            <v>JLP 2kg Caja</v>
          </cell>
          <cell r="W3428" t="str">
            <v>Ajuste</v>
          </cell>
          <cell r="X3428">
            <v>58</v>
          </cell>
          <cell r="Y3428">
            <v>116</v>
          </cell>
        </row>
        <row r="3429">
          <cell r="U3429" t="str">
            <v>L107324</v>
          </cell>
          <cell r="V3429" t="str">
            <v>JLP 2kg Caja</v>
          </cell>
          <cell r="W3429" t="str">
            <v>Ajuste</v>
          </cell>
          <cell r="X3429">
            <v>23</v>
          </cell>
          <cell r="Y3429">
            <v>46</v>
          </cell>
        </row>
        <row r="3430">
          <cell r="U3430" t="str">
            <v>L107315</v>
          </cell>
          <cell r="V3430" t="str">
            <v>JLPL 1.5kg - UNIDAD</v>
          </cell>
          <cell r="W3430" t="str">
            <v>Ajuste</v>
          </cell>
          <cell r="X3430">
            <v>4</v>
          </cell>
          <cell r="Y3430">
            <v>6</v>
          </cell>
        </row>
        <row r="3431">
          <cell r="U3431" t="str">
            <v>L107256</v>
          </cell>
          <cell r="V3431" t="str">
            <v>JLPL 1kg UNIDAD</v>
          </cell>
          <cell r="W3431" t="str">
            <v>Ajuste</v>
          </cell>
          <cell r="X3431">
            <v>48</v>
          </cell>
          <cell r="Y3431">
            <v>48</v>
          </cell>
        </row>
        <row r="3432">
          <cell r="U3432" t="str">
            <v>L107262</v>
          </cell>
          <cell r="V3432" t="str">
            <v>JLPL 1kg UNIDAD</v>
          </cell>
          <cell r="W3432" t="str">
            <v>Ajuste</v>
          </cell>
          <cell r="X3432">
            <v>44</v>
          </cell>
          <cell r="Y3432">
            <v>44</v>
          </cell>
        </row>
        <row r="3433">
          <cell r="U3433" t="str">
            <v>L106925</v>
          </cell>
          <cell r="V3433" t="str">
            <v>JLPL 1kg UNIDAD</v>
          </cell>
          <cell r="W3433" t="str">
            <v>Ajuste</v>
          </cell>
          <cell r="X3433">
            <v>30</v>
          </cell>
          <cell r="Y3433">
            <v>30</v>
          </cell>
        </row>
        <row r="3434">
          <cell r="U3434" t="str">
            <v>L106926</v>
          </cell>
          <cell r="V3434" t="str">
            <v>JLPL 1kg UNIDAD</v>
          </cell>
          <cell r="W3434" t="str">
            <v>Ajuste</v>
          </cell>
          <cell r="X3434">
            <v>26</v>
          </cell>
          <cell r="Y3434">
            <v>26</v>
          </cell>
        </row>
        <row r="3435">
          <cell r="U3435" t="str">
            <v>L107259</v>
          </cell>
          <cell r="V3435" t="str">
            <v>JLPL 1kg UNIDAD</v>
          </cell>
          <cell r="W3435" t="str">
            <v>Ajuste</v>
          </cell>
          <cell r="X3435">
            <v>11</v>
          </cell>
          <cell r="Y3435">
            <v>11</v>
          </cell>
        </row>
        <row r="3436">
          <cell r="U3436" t="str">
            <v>L107261</v>
          </cell>
          <cell r="V3436" t="str">
            <v>JLPL 1kg UNIDAD</v>
          </cell>
          <cell r="W3436" t="str">
            <v>Ajuste</v>
          </cell>
          <cell r="X3436">
            <v>5</v>
          </cell>
          <cell r="Y3436">
            <v>5</v>
          </cell>
        </row>
        <row r="3437">
          <cell r="U3437" t="str">
            <v>L106258</v>
          </cell>
          <cell r="V3437" t="str">
            <v>JLPL 3kg UNIDAD</v>
          </cell>
          <cell r="W3437" t="str">
            <v>Ajuste</v>
          </cell>
          <cell r="X3437">
            <v>2</v>
          </cell>
          <cell r="Y3437">
            <v>6</v>
          </cell>
        </row>
        <row r="3438">
          <cell r="U3438" t="str">
            <v>L106845</v>
          </cell>
          <cell r="V3438" t="str">
            <v>JLPM UNI</v>
          </cell>
          <cell r="W3438" t="str">
            <v>Ajuste</v>
          </cell>
          <cell r="X3438">
            <v>24</v>
          </cell>
          <cell r="Y3438">
            <v>6.7200000000000033</v>
          </cell>
        </row>
        <row r="3439">
          <cell r="U3439" t="str">
            <v>L107328</v>
          </cell>
          <cell r="V3439" t="str">
            <v>JLPM UNI</v>
          </cell>
          <cell r="W3439" t="str">
            <v>Ajuste</v>
          </cell>
          <cell r="X3439">
            <v>8</v>
          </cell>
          <cell r="Y3439">
            <v>2.2400000000000002</v>
          </cell>
        </row>
        <row r="3440">
          <cell r="U3440" t="str">
            <v>L107353</v>
          </cell>
          <cell r="V3440" t="str">
            <v>JLPM UNI</v>
          </cell>
          <cell r="W3440" t="str">
            <v>Ajuste</v>
          </cell>
          <cell r="X3440">
            <v>24</v>
          </cell>
          <cell r="Y3440">
            <v>6.7200000000000006</v>
          </cell>
        </row>
        <row r="3441">
          <cell r="U3441" t="str">
            <v>L107354</v>
          </cell>
          <cell r="V3441" t="str">
            <v>JLQL 1L</v>
          </cell>
          <cell r="W3441" t="str">
            <v>Ajuste</v>
          </cell>
          <cell r="X3441">
            <v>2</v>
          </cell>
          <cell r="Y3441">
            <v>2</v>
          </cell>
        </row>
        <row r="3442">
          <cell r="U3442" t="str">
            <v>L103596</v>
          </cell>
          <cell r="V3442" t="str">
            <v>JMAH 4 kg</v>
          </cell>
          <cell r="W3442" t="str">
            <v>Ajuste</v>
          </cell>
          <cell r="X3442">
            <v>10</v>
          </cell>
          <cell r="Y3442">
            <v>0</v>
          </cell>
        </row>
        <row r="3443">
          <cell r="U3443" t="str">
            <v>L103661</v>
          </cell>
          <cell r="V3443" t="str">
            <v>JMAH 7 kg</v>
          </cell>
          <cell r="W3443" t="str">
            <v>Ajuste</v>
          </cell>
          <cell r="X3443">
            <v>12</v>
          </cell>
          <cell r="Y3443">
            <v>0</v>
          </cell>
        </row>
        <row r="3444">
          <cell r="U3444" t="str">
            <v>L106310</v>
          </cell>
          <cell r="V3444" t="str">
            <v>JML 1 kg-CAJA</v>
          </cell>
          <cell r="W3444" t="str">
            <v>Ajuste</v>
          </cell>
          <cell r="X3444">
            <v>4</v>
          </cell>
          <cell r="Y3444">
            <v>4</v>
          </cell>
        </row>
        <row r="3445">
          <cell r="U3445" t="str">
            <v>L106737</v>
          </cell>
          <cell r="V3445" t="str">
            <v>JML 1 kg-CAJA</v>
          </cell>
          <cell r="W3445" t="str">
            <v>Ajuste</v>
          </cell>
          <cell r="X3445">
            <v>6</v>
          </cell>
          <cell r="Y3445">
            <v>6</v>
          </cell>
        </row>
        <row r="3446">
          <cell r="U3446" t="str">
            <v>L107069</v>
          </cell>
          <cell r="V3446" t="str">
            <v>JML 1 kg-CAJA</v>
          </cell>
          <cell r="W3446" t="str">
            <v>Ajuste</v>
          </cell>
          <cell r="X3446">
            <v>4</v>
          </cell>
          <cell r="Y3446">
            <v>4</v>
          </cell>
        </row>
        <row r="3447">
          <cell r="U3447" t="str">
            <v>L107070</v>
          </cell>
          <cell r="V3447" t="str">
            <v>JML 1 kg-CAJA</v>
          </cell>
          <cell r="W3447" t="str">
            <v>Ajuste</v>
          </cell>
          <cell r="X3447">
            <v>2</v>
          </cell>
          <cell r="Y3447">
            <v>2</v>
          </cell>
        </row>
        <row r="3448">
          <cell r="U3448" t="str">
            <v>L107099</v>
          </cell>
          <cell r="V3448" t="str">
            <v>Jugo kg</v>
          </cell>
          <cell r="W3448" t="str">
            <v>Ajuste</v>
          </cell>
          <cell r="X3448">
            <v>4.2</v>
          </cell>
          <cell r="Y3448">
            <v>4.2</v>
          </cell>
        </row>
        <row r="3449">
          <cell r="U3449" t="str">
            <v>L107317</v>
          </cell>
          <cell r="V3449" t="str">
            <v>KDA - UNIDAD</v>
          </cell>
          <cell r="W3449" t="str">
            <v>Ajuste</v>
          </cell>
          <cell r="X3449">
            <v>26</v>
          </cell>
          <cell r="Y3449">
            <v>6.5</v>
          </cell>
        </row>
        <row r="3450">
          <cell r="U3450" t="str">
            <v>L107390</v>
          </cell>
          <cell r="V3450" t="str">
            <v>KDP - UNIDAD</v>
          </cell>
          <cell r="W3450" t="str">
            <v>Ajuste</v>
          </cell>
          <cell r="X3450">
            <v>11</v>
          </cell>
          <cell r="Y3450">
            <v>11</v>
          </cell>
        </row>
        <row r="3451">
          <cell r="U3451" t="str">
            <v>L106323</v>
          </cell>
          <cell r="V3451" t="str">
            <v>Ketchup kg</v>
          </cell>
          <cell r="W3451" t="str">
            <v>Ajuste</v>
          </cell>
          <cell r="X3451">
            <v>1</v>
          </cell>
          <cell r="Y3451">
            <v>1</v>
          </cell>
        </row>
        <row r="3452">
          <cell r="U3452" t="str">
            <v>L106322</v>
          </cell>
          <cell r="V3452" t="str">
            <v>KTP 1kg</v>
          </cell>
          <cell r="W3452" t="str">
            <v>Ajuste</v>
          </cell>
          <cell r="X3452">
            <v>2</v>
          </cell>
          <cell r="Y3452">
            <v>2</v>
          </cell>
        </row>
        <row r="3453">
          <cell r="U3453" t="str">
            <v>L106623</v>
          </cell>
          <cell r="V3453" t="str">
            <v>KTP 2kg</v>
          </cell>
          <cell r="W3453" t="str">
            <v>Ajuste</v>
          </cell>
          <cell r="X3453">
            <v>6</v>
          </cell>
          <cell r="Y3453">
            <v>12</v>
          </cell>
        </row>
        <row r="3454">
          <cell r="U3454" t="str">
            <v>L106624</v>
          </cell>
          <cell r="V3454" t="str">
            <v>KTP 2kg</v>
          </cell>
          <cell r="W3454" t="str">
            <v>Ajuste</v>
          </cell>
          <cell r="X3454">
            <v>2</v>
          </cell>
          <cell r="Y3454">
            <v>4</v>
          </cell>
        </row>
        <row r="3455">
          <cell r="U3455" t="str">
            <v>L106625</v>
          </cell>
          <cell r="V3455" t="str">
            <v>KTP 2kg</v>
          </cell>
          <cell r="W3455" t="str">
            <v>Ajuste</v>
          </cell>
          <cell r="X3455">
            <v>4</v>
          </cell>
          <cell r="Y3455">
            <v>8</v>
          </cell>
        </row>
        <row r="3456">
          <cell r="U3456" t="str">
            <v>L106626</v>
          </cell>
          <cell r="V3456" t="str">
            <v>KTP 2kg</v>
          </cell>
          <cell r="W3456" t="str">
            <v>Ajuste</v>
          </cell>
          <cell r="X3456">
            <v>6</v>
          </cell>
          <cell r="Y3456">
            <v>12</v>
          </cell>
        </row>
        <row r="3457">
          <cell r="U3457" t="str">
            <v>L107364</v>
          </cell>
          <cell r="V3457" t="str">
            <v>KTP 2kg</v>
          </cell>
          <cell r="W3457" t="str">
            <v>Ajuste</v>
          </cell>
          <cell r="X3457">
            <v>123</v>
          </cell>
          <cell r="Y3457">
            <v>246</v>
          </cell>
        </row>
        <row r="3458">
          <cell r="U3458" t="str">
            <v>L106617</v>
          </cell>
          <cell r="V3458" t="str">
            <v>KTP 4kg</v>
          </cell>
          <cell r="W3458" t="str">
            <v>Ajuste</v>
          </cell>
          <cell r="X3458">
            <v>4</v>
          </cell>
          <cell r="Y3458">
            <v>16</v>
          </cell>
        </row>
        <row r="3459">
          <cell r="U3459" t="str">
            <v>L106618</v>
          </cell>
          <cell r="V3459" t="str">
            <v>KTP 4kg</v>
          </cell>
          <cell r="W3459" t="str">
            <v>Ajuste</v>
          </cell>
          <cell r="X3459">
            <v>2</v>
          </cell>
          <cell r="Y3459">
            <v>8</v>
          </cell>
        </row>
        <row r="3460">
          <cell r="U3460" t="str">
            <v>L106619</v>
          </cell>
          <cell r="V3460" t="str">
            <v>KTP 4kg</v>
          </cell>
          <cell r="W3460" t="str">
            <v>Ajuste</v>
          </cell>
          <cell r="X3460">
            <v>4</v>
          </cell>
          <cell r="Y3460">
            <v>16</v>
          </cell>
        </row>
        <row r="3461">
          <cell r="U3461" t="str">
            <v>L106620</v>
          </cell>
          <cell r="V3461" t="str">
            <v>KTP 4kg</v>
          </cell>
          <cell r="W3461" t="str">
            <v>Ajuste</v>
          </cell>
          <cell r="X3461">
            <v>6</v>
          </cell>
          <cell r="Y3461">
            <v>24</v>
          </cell>
        </row>
        <row r="3462">
          <cell r="U3462" t="str">
            <v>L106621</v>
          </cell>
          <cell r="V3462" t="str">
            <v>KTP 4kg</v>
          </cell>
          <cell r="W3462" t="str">
            <v>Ajuste</v>
          </cell>
          <cell r="X3462">
            <v>4</v>
          </cell>
          <cell r="Y3462">
            <v>16</v>
          </cell>
        </row>
        <row r="3463">
          <cell r="U3463" t="str">
            <v>L106622</v>
          </cell>
          <cell r="V3463" t="str">
            <v>KTP 4kg</v>
          </cell>
          <cell r="W3463" t="str">
            <v>Ajuste</v>
          </cell>
          <cell r="X3463">
            <v>9</v>
          </cell>
          <cell r="Y3463">
            <v>36</v>
          </cell>
        </row>
        <row r="3464">
          <cell r="U3464" t="str">
            <v>L106953</v>
          </cell>
          <cell r="V3464" t="str">
            <v>KTP 4kg</v>
          </cell>
          <cell r="W3464" t="str">
            <v>Ajuste</v>
          </cell>
          <cell r="X3464">
            <v>2</v>
          </cell>
          <cell r="Y3464">
            <v>8</v>
          </cell>
        </row>
        <row r="3465">
          <cell r="U3465" t="str">
            <v>L106314</v>
          </cell>
          <cell r="V3465" t="str">
            <v>LCC 3kg-(CAJA)</v>
          </cell>
          <cell r="W3465" t="str">
            <v>Ajuste</v>
          </cell>
          <cell r="X3465">
            <v>4</v>
          </cell>
          <cell r="Y3465">
            <v>12</v>
          </cell>
        </row>
        <row r="3466">
          <cell r="U3466" t="str">
            <v>L107381</v>
          </cell>
          <cell r="V3466" t="str">
            <v>LCH 12x946mL-CAJA</v>
          </cell>
          <cell r="W3466" t="str">
            <v>Ajuste</v>
          </cell>
          <cell r="X3466">
            <v>20</v>
          </cell>
          <cell r="Y3466">
            <v>227</v>
          </cell>
        </row>
        <row r="3467">
          <cell r="U3467" t="str">
            <v>L106345</v>
          </cell>
          <cell r="V3467" t="str">
            <v>LCH 2kg-caja</v>
          </cell>
          <cell r="W3467" t="str">
            <v>Ajuste</v>
          </cell>
          <cell r="X3467">
            <v>84</v>
          </cell>
          <cell r="Y3467">
            <v>168</v>
          </cell>
        </row>
        <row r="3468">
          <cell r="U3468" t="str">
            <v>L106676</v>
          </cell>
          <cell r="V3468" t="str">
            <v>LCH 2kg-caja</v>
          </cell>
          <cell r="W3468" t="str">
            <v>Ajuste</v>
          </cell>
          <cell r="X3468">
            <v>2</v>
          </cell>
          <cell r="Y3468">
            <v>4</v>
          </cell>
        </row>
        <row r="3469">
          <cell r="U3469" t="str">
            <v>L106677</v>
          </cell>
          <cell r="V3469" t="str">
            <v>LCH 2kg-caja</v>
          </cell>
          <cell r="W3469" t="str">
            <v>Ajuste</v>
          </cell>
          <cell r="X3469">
            <v>2</v>
          </cell>
          <cell r="Y3469">
            <v>4</v>
          </cell>
        </row>
        <row r="3470">
          <cell r="U3470" t="str">
            <v>L106678</v>
          </cell>
          <cell r="V3470" t="str">
            <v>LCH 2kg-caja</v>
          </cell>
          <cell r="W3470" t="str">
            <v>Ajuste</v>
          </cell>
          <cell r="X3470">
            <v>2</v>
          </cell>
          <cell r="Y3470">
            <v>4</v>
          </cell>
        </row>
        <row r="3471">
          <cell r="U3471" t="str">
            <v>L106679</v>
          </cell>
          <cell r="V3471" t="str">
            <v>LCH 2kg-caja</v>
          </cell>
          <cell r="W3471" t="str">
            <v>Ajuste</v>
          </cell>
          <cell r="X3471">
            <v>2</v>
          </cell>
          <cell r="Y3471">
            <v>4</v>
          </cell>
        </row>
        <row r="3472">
          <cell r="U3472" t="str">
            <v>L106796</v>
          </cell>
          <cell r="V3472" t="str">
            <v>LCH 2kg-caja</v>
          </cell>
          <cell r="W3472" t="str">
            <v>Ajuste</v>
          </cell>
          <cell r="X3472">
            <v>12</v>
          </cell>
          <cell r="Y3472">
            <v>24</v>
          </cell>
        </row>
        <row r="3473">
          <cell r="U3473" t="str">
            <v>L106673</v>
          </cell>
          <cell r="V3473" t="str">
            <v>LCH 3kg</v>
          </cell>
          <cell r="W3473" t="str">
            <v>Ajuste</v>
          </cell>
          <cell r="X3473">
            <v>2</v>
          </cell>
          <cell r="Y3473">
            <v>6</v>
          </cell>
        </row>
        <row r="3474">
          <cell r="U3474" t="str">
            <v>L106674</v>
          </cell>
          <cell r="V3474" t="str">
            <v>LCH 3kg</v>
          </cell>
          <cell r="W3474" t="str">
            <v>Ajuste</v>
          </cell>
          <cell r="X3474">
            <v>2</v>
          </cell>
          <cell r="Y3474">
            <v>6</v>
          </cell>
        </row>
        <row r="3475">
          <cell r="U3475" t="str">
            <v>L106675</v>
          </cell>
          <cell r="V3475" t="str">
            <v>LCH 3kg</v>
          </cell>
          <cell r="W3475" t="str">
            <v>Ajuste</v>
          </cell>
          <cell r="X3475">
            <v>2</v>
          </cell>
          <cell r="Y3475">
            <v>6</v>
          </cell>
        </row>
        <row r="3476">
          <cell r="U3476" t="str">
            <v>L100155</v>
          </cell>
          <cell r="V3476" t="str">
            <v>LCHAY 4kg</v>
          </cell>
          <cell r="W3476" t="str">
            <v>Ajuste</v>
          </cell>
          <cell r="X3476">
            <v>2</v>
          </cell>
          <cell r="Y3476">
            <v>8</v>
          </cell>
        </row>
        <row r="3477">
          <cell r="U3477" t="str">
            <v>L100155</v>
          </cell>
          <cell r="V3477" t="str">
            <v>LCH 4kg</v>
          </cell>
          <cell r="W3477" t="str">
            <v>Ajuste</v>
          </cell>
          <cell r="X3477">
            <v>26</v>
          </cell>
          <cell r="Y3477">
            <v>104</v>
          </cell>
        </row>
        <row r="3478">
          <cell r="U3478" t="str">
            <v>L106661</v>
          </cell>
          <cell r="V3478" t="str">
            <v>LCH 4kg</v>
          </cell>
          <cell r="W3478" t="str">
            <v>Ajuste</v>
          </cell>
          <cell r="X3478">
            <v>6</v>
          </cell>
          <cell r="Y3478">
            <v>24</v>
          </cell>
        </row>
        <row r="3479">
          <cell r="U3479" t="str">
            <v>L106662</v>
          </cell>
          <cell r="V3479" t="str">
            <v>LCH 4kg</v>
          </cell>
          <cell r="W3479" t="str">
            <v>Ajuste</v>
          </cell>
          <cell r="X3479">
            <v>2</v>
          </cell>
          <cell r="Y3479">
            <v>8</v>
          </cell>
        </row>
        <row r="3480">
          <cell r="U3480" t="str">
            <v>L106663</v>
          </cell>
          <cell r="V3480" t="str">
            <v>LCH 4kg</v>
          </cell>
          <cell r="W3480" t="str">
            <v>Ajuste</v>
          </cell>
          <cell r="X3480">
            <v>6</v>
          </cell>
          <cell r="Y3480">
            <v>24</v>
          </cell>
        </row>
        <row r="3481">
          <cell r="U3481" t="str">
            <v>L106664</v>
          </cell>
          <cell r="V3481" t="str">
            <v>LCH 4kg</v>
          </cell>
          <cell r="W3481" t="str">
            <v>Ajuste</v>
          </cell>
          <cell r="X3481">
            <v>4</v>
          </cell>
          <cell r="Y3481">
            <v>16</v>
          </cell>
        </row>
        <row r="3482">
          <cell r="U3482" t="str">
            <v>L106665</v>
          </cell>
          <cell r="V3482" t="str">
            <v>LCH 4kg</v>
          </cell>
          <cell r="W3482" t="str">
            <v>Ajuste</v>
          </cell>
          <cell r="X3482">
            <v>4</v>
          </cell>
          <cell r="Y3482">
            <v>16</v>
          </cell>
        </row>
        <row r="3483">
          <cell r="U3483" t="str">
            <v>L106666</v>
          </cell>
          <cell r="V3483" t="str">
            <v>LCH 4kg</v>
          </cell>
          <cell r="W3483" t="str">
            <v>Ajuste</v>
          </cell>
          <cell r="X3483">
            <v>6</v>
          </cell>
          <cell r="Y3483">
            <v>24</v>
          </cell>
        </row>
        <row r="3484">
          <cell r="U3484" t="str">
            <v>L106667</v>
          </cell>
          <cell r="V3484" t="str">
            <v>LCH 4kg</v>
          </cell>
          <cell r="W3484" t="str">
            <v>Ajuste</v>
          </cell>
          <cell r="X3484">
            <v>14</v>
          </cell>
          <cell r="Y3484">
            <v>56</v>
          </cell>
        </row>
        <row r="3485">
          <cell r="U3485" t="str">
            <v>L106668</v>
          </cell>
          <cell r="V3485" t="str">
            <v>LCH 4kg</v>
          </cell>
          <cell r="W3485" t="str">
            <v>Ajuste</v>
          </cell>
          <cell r="X3485">
            <v>6</v>
          </cell>
          <cell r="Y3485">
            <v>24</v>
          </cell>
        </row>
        <row r="3486">
          <cell r="U3486" t="str">
            <v>L106669</v>
          </cell>
          <cell r="V3486" t="str">
            <v>LCH 4kg</v>
          </cell>
          <cell r="W3486" t="str">
            <v>Ajuste</v>
          </cell>
          <cell r="X3486">
            <v>4</v>
          </cell>
          <cell r="Y3486">
            <v>16</v>
          </cell>
        </row>
        <row r="3487">
          <cell r="U3487" t="str">
            <v>L106670</v>
          </cell>
          <cell r="V3487" t="str">
            <v>LCH 4kg</v>
          </cell>
          <cell r="W3487" t="str">
            <v>Ajuste</v>
          </cell>
          <cell r="X3487">
            <v>6</v>
          </cell>
          <cell r="Y3487">
            <v>24</v>
          </cell>
        </row>
        <row r="3488">
          <cell r="U3488" t="str">
            <v>L106671</v>
          </cell>
          <cell r="V3488" t="str">
            <v>LCH 4kg</v>
          </cell>
          <cell r="W3488" t="str">
            <v>Ajuste</v>
          </cell>
          <cell r="X3488">
            <v>10</v>
          </cell>
          <cell r="Y3488">
            <v>40</v>
          </cell>
        </row>
        <row r="3489">
          <cell r="U3489" t="str">
            <v>L106672</v>
          </cell>
          <cell r="V3489" t="str">
            <v>LCH 4kg</v>
          </cell>
          <cell r="W3489" t="str">
            <v>Ajuste</v>
          </cell>
          <cell r="X3489">
            <v>4</v>
          </cell>
          <cell r="Y3489">
            <v>16</v>
          </cell>
        </row>
        <row r="3490">
          <cell r="U3490" t="str">
            <v>L107388</v>
          </cell>
          <cell r="V3490" t="str">
            <v>LCH 4kg</v>
          </cell>
          <cell r="W3490" t="str">
            <v>Ajuste</v>
          </cell>
          <cell r="X3490">
            <v>28</v>
          </cell>
          <cell r="Y3490">
            <v>112</v>
          </cell>
        </row>
        <row r="3491">
          <cell r="U3491" t="str">
            <v>L106728</v>
          </cell>
          <cell r="V3491" t="str">
            <v>LCH EV 3kg</v>
          </cell>
          <cell r="W3491" t="str">
            <v>Ajuste</v>
          </cell>
          <cell r="X3491">
            <v>2</v>
          </cell>
          <cell r="Y3491">
            <v>6</v>
          </cell>
        </row>
        <row r="3492">
          <cell r="U3492" t="str">
            <v>L107234</v>
          </cell>
          <cell r="V3492" t="str">
            <v>LCH EV 3kg</v>
          </cell>
          <cell r="W3492" t="str">
            <v>Ajuste</v>
          </cell>
          <cell r="X3492">
            <v>1</v>
          </cell>
          <cell r="Y3492">
            <v>3</v>
          </cell>
        </row>
        <row r="3493">
          <cell r="U3493" t="str">
            <v>L107382</v>
          </cell>
          <cell r="V3493" t="str">
            <v>LCHAY 4kg</v>
          </cell>
          <cell r="W3493" t="str">
            <v>Ajuste</v>
          </cell>
          <cell r="X3493">
            <v>2</v>
          </cell>
          <cell r="Y3493">
            <v>8</v>
          </cell>
        </row>
        <row r="3494">
          <cell r="U3494" t="str">
            <v>L107383</v>
          </cell>
          <cell r="V3494" t="str">
            <v>LCHAY 4kg</v>
          </cell>
          <cell r="W3494" t="str">
            <v>Ajuste</v>
          </cell>
          <cell r="X3494">
            <v>7</v>
          </cell>
          <cell r="Y3494">
            <v>28</v>
          </cell>
        </row>
        <row r="3495">
          <cell r="U3495" t="str">
            <v>L107384</v>
          </cell>
          <cell r="V3495" t="str">
            <v>LCHAY 4kg</v>
          </cell>
          <cell r="W3495" t="str">
            <v>Ajuste</v>
          </cell>
          <cell r="X3495">
            <v>28</v>
          </cell>
          <cell r="Y3495">
            <v>112</v>
          </cell>
        </row>
        <row r="3496">
          <cell r="U3496" t="str">
            <v>L107385</v>
          </cell>
          <cell r="V3496" t="str">
            <v>LCHAY 4kg</v>
          </cell>
          <cell r="W3496" t="str">
            <v>Ajuste</v>
          </cell>
          <cell r="X3496">
            <v>3</v>
          </cell>
          <cell r="Y3496">
            <v>12</v>
          </cell>
        </row>
        <row r="3497">
          <cell r="U3497" t="str">
            <v>L107386</v>
          </cell>
          <cell r="V3497" t="str">
            <v>LCHAY 4kg</v>
          </cell>
          <cell r="W3497" t="str">
            <v>Ajuste</v>
          </cell>
          <cell r="X3497">
            <v>11</v>
          </cell>
          <cell r="Y3497">
            <v>44</v>
          </cell>
        </row>
        <row r="3498">
          <cell r="U3498" t="str">
            <v>L107387</v>
          </cell>
          <cell r="V3498" t="str">
            <v>LCHAY 4kg</v>
          </cell>
          <cell r="W3498" t="str">
            <v>Ajuste</v>
          </cell>
          <cell r="X3498">
            <v>30</v>
          </cell>
          <cell r="Y3498">
            <v>120</v>
          </cell>
        </row>
        <row r="3499">
          <cell r="U3499" t="str">
            <v>L103646</v>
          </cell>
          <cell r="V3499" t="str">
            <v>LCHAY 4kg</v>
          </cell>
          <cell r="W3499" t="str">
            <v>Ajuste</v>
          </cell>
          <cell r="X3499">
            <v>126</v>
          </cell>
          <cell r="Y3499">
            <v>504</v>
          </cell>
        </row>
        <row r="3500">
          <cell r="U3500" t="str">
            <v>L102922</v>
          </cell>
          <cell r="V3500" t="str">
            <v>LCHAY 4kg</v>
          </cell>
          <cell r="W3500" t="str">
            <v>Ajuste</v>
          </cell>
          <cell r="X3500">
            <v>9</v>
          </cell>
          <cell r="Y3500">
            <v>36</v>
          </cell>
        </row>
        <row r="3501">
          <cell r="U3501" t="str">
            <v>L103647</v>
          </cell>
          <cell r="V3501" t="str">
            <v>LCHAY 4kg</v>
          </cell>
          <cell r="W3501" t="str">
            <v>Ajuste</v>
          </cell>
          <cell r="X3501">
            <v>39</v>
          </cell>
          <cell r="Y3501">
            <v>156</v>
          </cell>
        </row>
        <row r="3502">
          <cell r="U3502" t="str">
            <v>L103091</v>
          </cell>
          <cell r="V3502" t="str">
            <v>LCHAY 4kg</v>
          </cell>
          <cell r="W3502" t="str">
            <v>Ajuste</v>
          </cell>
          <cell r="X3502">
            <v>3</v>
          </cell>
          <cell r="Y3502">
            <v>12</v>
          </cell>
        </row>
        <row r="3503">
          <cell r="U3503" t="str">
            <v>L102404</v>
          </cell>
          <cell r="V3503" t="str">
            <v>LCHAY 4kg</v>
          </cell>
          <cell r="W3503" t="str">
            <v>Ajuste</v>
          </cell>
          <cell r="X3503">
            <v>7</v>
          </cell>
          <cell r="Y3503">
            <v>28</v>
          </cell>
        </row>
        <row r="3504">
          <cell r="U3504" t="str">
            <v>L102679</v>
          </cell>
          <cell r="V3504" t="str">
            <v>LCHAY 4kg</v>
          </cell>
          <cell r="W3504" t="str">
            <v>Ajuste</v>
          </cell>
          <cell r="X3504">
            <v>6</v>
          </cell>
          <cell r="Y3504">
            <v>24</v>
          </cell>
        </row>
        <row r="3505">
          <cell r="U3505" t="str">
            <v>L102924</v>
          </cell>
          <cell r="V3505" t="str">
            <v>LCHAY 4kg</v>
          </cell>
          <cell r="W3505" t="str">
            <v>Ajuste</v>
          </cell>
          <cell r="X3505">
            <v>3</v>
          </cell>
          <cell r="Y3505">
            <v>12</v>
          </cell>
        </row>
        <row r="3506">
          <cell r="U3506" t="str">
            <v>L102405</v>
          </cell>
          <cell r="V3506" t="str">
            <v>LCHAY 4kg</v>
          </cell>
          <cell r="W3506" t="str">
            <v>Ajuste</v>
          </cell>
          <cell r="X3506">
            <v>2</v>
          </cell>
          <cell r="Y3506">
            <v>8</v>
          </cell>
        </row>
        <row r="3507">
          <cell r="U3507" t="str">
            <v>L102923</v>
          </cell>
          <cell r="V3507" t="str">
            <v>LCHAY 4kg</v>
          </cell>
          <cell r="W3507" t="str">
            <v>Ajuste</v>
          </cell>
          <cell r="X3507">
            <v>1</v>
          </cell>
          <cell r="Y3507">
            <v>4</v>
          </cell>
        </row>
        <row r="3508">
          <cell r="U3508" t="str">
            <v>L106897</v>
          </cell>
          <cell r="V3508" t="str">
            <v>Leche evaporada kg</v>
          </cell>
          <cell r="W3508" t="str">
            <v>Ajuste</v>
          </cell>
          <cell r="X3508">
            <v>3.8</v>
          </cell>
          <cell r="Y3508">
            <v>3.8</v>
          </cell>
        </row>
        <row r="3509">
          <cell r="U3509" t="str">
            <v>L106315</v>
          </cell>
          <cell r="V3509" t="str">
            <v>LEP 2kg</v>
          </cell>
          <cell r="W3509" t="str">
            <v>Ajuste</v>
          </cell>
          <cell r="X3509">
            <v>9</v>
          </cell>
          <cell r="Y3509">
            <v>18</v>
          </cell>
        </row>
        <row r="3510">
          <cell r="U3510" t="str">
            <v>L107151</v>
          </cell>
          <cell r="V3510" t="str">
            <v>MAG 1kg</v>
          </cell>
          <cell r="W3510" t="str">
            <v>Ajuste</v>
          </cell>
          <cell r="X3510">
            <v>814</v>
          </cell>
          <cell r="Y3510">
            <v>814</v>
          </cell>
        </row>
        <row r="3511">
          <cell r="U3511" t="str">
            <v>L106317</v>
          </cell>
          <cell r="V3511" t="str">
            <v>Maiz kg</v>
          </cell>
          <cell r="W3511" t="str">
            <v>Ajuste</v>
          </cell>
          <cell r="X3511">
            <v>8</v>
          </cell>
          <cell r="Y3511">
            <v>8</v>
          </cell>
        </row>
        <row r="3512">
          <cell r="U3512" t="str">
            <v>L106891</v>
          </cell>
          <cell r="V3512" t="str">
            <v>Maiz kg</v>
          </cell>
          <cell r="W3512" t="str">
            <v>Ajuste</v>
          </cell>
          <cell r="X3512">
            <v>9.8000000000000007</v>
          </cell>
          <cell r="Y3512">
            <v>9.8000000000000007</v>
          </cell>
        </row>
        <row r="3513">
          <cell r="U3513" t="str">
            <v>L107395</v>
          </cell>
          <cell r="V3513" t="str">
            <v>Maiz kg</v>
          </cell>
          <cell r="W3513" t="str">
            <v>Ajuste</v>
          </cell>
          <cell r="X3513">
            <v>2.4500000000000002</v>
          </cell>
          <cell r="Y3513">
            <v>2.4500000000000002</v>
          </cell>
        </row>
        <row r="3514">
          <cell r="U3514" t="str">
            <v>L106784</v>
          </cell>
          <cell r="V3514" t="str">
            <v>MAN 2Kg-CAJA</v>
          </cell>
          <cell r="W3514" t="str">
            <v>Ajuste</v>
          </cell>
          <cell r="X3514">
            <v>6</v>
          </cell>
          <cell r="Y3514">
            <v>12</v>
          </cell>
        </row>
        <row r="3515">
          <cell r="U3515" t="str">
            <v>L106785</v>
          </cell>
          <cell r="V3515" t="str">
            <v>MAN 2Kg-CAJA</v>
          </cell>
          <cell r="W3515" t="str">
            <v>Ajuste</v>
          </cell>
          <cell r="X3515">
            <v>6</v>
          </cell>
          <cell r="Y3515">
            <v>12</v>
          </cell>
        </row>
        <row r="3516">
          <cell r="U3516" t="str">
            <v>L106786</v>
          </cell>
          <cell r="V3516" t="str">
            <v>MAN 2Kg-CAJA</v>
          </cell>
          <cell r="W3516" t="str">
            <v>Ajuste</v>
          </cell>
          <cell r="X3516">
            <v>2</v>
          </cell>
          <cell r="Y3516">
            <v>4</v>
          </cell>
        </row>
        <row r="3517">
          <cell r="U3517" t="str">
            <v>L106787</v>
          </cell>
          <cell r="V3517" t="str">
            <v>MAN 2Kg-CAJA</v>
          </cell>
          <cell r="W3517" t="str">
            <v>Ajuste</v>
          </cell>
          <cell r="X3517">
            <v>2</v>
          </cell>
          <cell r="Y3517">
            <v>4</v>
          </cell>
        </row>
        <row r="3518">
          <cell r="U3518" t="str">
            <v>L106229</v>
          </cell>
          <cell r="V3518" t="str">
            <v>Manejo NV</v>
          </cell>
          <cell r="W3518" t="str">
            <v>Ajuste</v>
          </cell>
          <cell r="X3518">
            <v>74</v>
          </cell>
          <cell r="Y3518">
            <v>0.74000000000000044</v>
          </cell>
        </row>
        <row r="3519">
          <cell r="U3519" t="str">
            <v>L107010</v>
          </cell>
          <cell r="V3519" t="str">
            <v>Mani kg</v>
          </cell>
          <cell r="W3519" t="str">
            <v>Ajuste</v>
          </cell>
          <cell r="X3519">
            <v>3.8</v>
          </cell>
          <cell r="Y3519">
            <v>3.8</v>
          </cell>
        </row>
        <row r="3520">
          <cell r="U3520" t="str">
            <v>L107124</v>
          </cell>
          <cell r="V3520" t="str">
            <v>MANP 1Kg-CAJA</v>
          </cell>
          <cell r="W3520" t="str">
            <v>Ajuste</v>
          </cell>
          <cell r="X3520">
            <v>23</v>
          </cell>
          <cell r="Y3520">
            <v>23</v>
          </cell>
        </row>
        <row r="3521">
          <cell r="U3521" t="str">
            <v>L107012</v>
          </cell>
          <cell r="V3521" t="str">
            <v>MANP 1Kg-CAJA</v>
          </cell>
          <cell r="W3521" t="str">
            <v>Ajuste</v>
          </cell>
          <cell r="X3521">
            <v>56</v>
          </cell>
          <cell r="Y3521">
            <v>56</v>
          </cell>
        </row>
        <row r="3522">
          <cell r="U3522" t="str">
            <v>L107163</v>
          </cell>
          <cell r="V3522" t="str">
            <v>Margarina kg</v>
          </cell>
          <cell r="W3522" t="str">
            <v>Ajuste</v>
          </cell>
          <cell r="X3522">
            <v>18</v>
          </cell>
          <cell r="Y3522">
            <v>18</v>
          </cell>
        </row>
        <row r="3523">
          <cell r="U3523" t="str">
            <v>L106805</v>
          </cell>
          <cell r="V3523" t="str">
            <v>Mayonesa kg</v>
          </cell>
          <cell r="W3523" t="str">
            <v>Ajuste</v>
          </cell>
          <cell r="X3523">
            <v>0.2</v>
          </cell>
          <cell r="Y3523">
            <v>0.2</v>
          </cell>
        </row>
        <row r="3524">
          <cell r="U3524" t="str">
            <v>L106274</v>
          </cell>
          <cell r="V3524" t="str">
            <v>MCR 2kg-CAJA</v>
          </cell>
          <cell r="W3524" t="str">
            <v>Ajuste</v>
          </cell>
          <cell r="X3524">
            <v>1034</v>
          </cell>
          <cell r="Y3524">
            <v>2068</v>
          </cell>
        </row>
        <row r="3525">
          <cell r="U3525" t="str">
            <v>L106747</v>
          </cell>
          <cell r="V3525" t="str">
            <v>MCRQ 1kg-CAJA</v>
          </cell>
          <cell r="W3525" t="str">
            <v>Ajuste</v>
          </cell>
          <cell r="X3525">
            <v>8</v>
          </cell>
          <cell r="Y3525">
            <v>8</v>
          </cell>
        </row>
        <row r="3526">
          <cell r="U3526" t="str">
            <v>L107330</v>
          </cell>
          <cell r="V3526" t="str">
            <v>MCRQ 1kg-CAJA</v>
          </cell>
          <cell r="W3526" t="str">
            <v>Ajuste</v>
          </cell>
          <cell r="X3526">
            <v>6</v>
          </cell>
          <cell r="Y3526">
            <v>6</v>
          </cell>
        </row>
        <row r="3527">
          <cell r="U3527" t="str">
            <v>L106309</v>
          </cell>
          <cell r="V3527" t="str">
            <v>MDM 3kg-CAJA</v>
          </cell>
          <cell r="W3527" t="str">
            <v>Ajuste</v>
          </cell>
          <cell r="X3527">
            <v>2</v>
          </cell>
          <cell r="Y3527">
            <v>6</v>
          </cell>
        </row>
        <row r="3528">
          <cell r="U3528" t="str">
            <v>L106058</v>
          </cell>
          <cell r="V3528" t="str">
            <v>MDPAY 5kg</v>
          </cell>
          <cell r="W3528" t="str">
            <v>Ajuste</v>
          </cell>
          <cell r="X3528">
            <v>336</v>
          </cell>
          <cell r="Y3528">
            <v>1680</v>
          </cell>
        </row>
        <row r="3529">
          <cell r="U3529" t="str">
            <v>L106486</v>
          </cell>
          <cell r="V3529" t="str">
            <v>Menestra kg</v>
          </cell>
          <cell r="W3529" t="str">
            <v>Ajuste</v>
          </cell>
          <cell r="X3529">
            <v>5675.07</v>
          </cell>
          <cell r="Y3529">
            <v>5675.07</v>
          </cell>
        </row>
        <row r="3530">
          <cell r="U3530" t="str">
            <v>L106857</v>
          </cell>
          <cell r="V3530" t="str">
            <v>Menestra kg</v>
          </cell>
          <cell r="W3530" t="str">
            <v>Ajuste</v>
          </cell>
          <cell r="X3530">
            <v>2000</v>
          </cell>
          <cell r="Y3530">
            <v>2000</v>
          </cell>
        </row>
        <row r="3531">
          <cell r="U3531" t="str">
            <v>L106047</v>
          </cell>
          <cell r="V3531" t="str">
            <v>MERMA DE FRUVER 1 kg</v>
          </cell>
          <cell r="W3531" t="str">
            <v>Ajuste</v>
          </cell>
          <cell r="X3531">
            <v>4.7300000000000004</v>
          </cell>
          <cell r="Y3531">
            <v>4.7300000000000004</v>
          </cell>
        </row>
        <row r="3532">
          <cell r="U3532" t="str">
            <v>L106050</v>
          </cell>
          <cell r="V3532" t="str">
            <v>MERMA DE FRUVER 1 kg</v>
          </cell>
          <cell r="W3532" t="str">
            <v>Ajuste</v>
          </cell>
          <cell r="X3532">
            <v>29.12</v>
          </cell>
          <cell r="Y3532">
            <v>29.12</v>
          </cell>
        </row>
        <row r="3533">
          <cell r="U3533" t="str">
            <v>L106054</v>
          </cell>
          <cell r="V3533" t="str">
            <v>MERMA DE FRUVER 1 kg</v>
          </cell>
          <cell r="W3533" t="str">
            <v>Ajuste</v>
          </cell>
          <cell r="X3533">
            <v>400</v>
          </cell>
          <cell r="Y3533">
            <v>400</v>
          </cell>
        </row>
        <row r="3534">
          <cell r="U3534" t="str">
            <v>L106079</v>
          </cell>
          <cell r="V3534" t="str">
            <v>MERMA DE FRUVER 1 kg</v>
          </cell>
          <cell r="W3534" t="str">
            <v>Ajuste</v>
          </cell>
          <cell r="X3534">
            <v>8.6</v>
          </cell>
          <cell r="Y3534">
            <v>8.6</v>
          </cell>
        </row>
        <row r="3535">
          <cell r="U3535" t="str">
            <v>L106100</v>
          </cell>
          <cell r="V3535" t="str">
            <v>MERMA DE FRUVER 1 kg</v>
          </cell>
          <cell r="W3535" t="str">
            <v>Ajuste</v>
          </cell>
          <cell r="X3535">
            <v>40</v>
          </cell>
          <cell r="Y3535">
            <v>40</v>
          </cell>
        </row>
        <row r="3536">
          <cell r="U3536" t="str">
            <v>L106103</v>
          </cell>
          <cell r="V3536" t="str">
            <v>MERMA DE FRUVER 1 kg</v>
          </cell>
          <cell r="W3536" t="str">
            <v>Ajuste</v>
          </cell>
          <cell r="X3536">
            <v>23.6</v>
          </cell>
          <cell r="Y3536">
            <v>23.6</v>
          </cell>
        </row>
        <row r="3537">
          <cell r="U3537" t="str">
            <v>L106129</v>
          </cell>
          <cell r="V3537" t="str">
            <v>MERMA DE FRUVER 1 kg</v>
          </cell>
          <cell r="W3537" t="str">
            <v>Ajuste</v>
          </cell>
          <cell r="X3537">
            <v>6.5</v>
          </cell>
          <cell r="Y3537">
            <v>6.5</v>
          </cell>
        </row>
        <row r="3538">
          <cell r="U3538" t="str">
            <v>L106141</v>
          </cell>
          <cell r="V3538" t="str">
            <v>MERMA DE FRUVER 1 kg</v>
          </cell>
          <cell r="W3538" t="str">
            <v>Ajuste</v>
          </cell>
          <cell r="X3538">
            <v>21.12</v>
          </cell>
          <cell r="Y3538">
            <v>21.12</v>
          </cell>
        </row>
        <row r="3539">
          <cell r="U3539" t="str">
            <v>L106148</v>
          </cell>
          <cell r="V3539" t="str">
            <v>MERMA DE FRUVER 1 kg</v>
          </cell>
          <cell r="W3539" t="str">
            <v>Ajuste</v>
          </cell>
          <cell r="X3539">
            <v>6.3</v>
          </cell>
          <cell r="Y3539">
            <v>6.3</v>
          </cell>
        </row>
        <row r="3540">
          <cell r="U3540" t="str">
            <v>L106154</v>
          </cell>
          <cell r="V3540" t="str">
            <v>MERMA DE FRUVER 1 kg</v>
          </cell>
          <cell r="W3540" t="str">
            <v>Ajuste</v>
          </cell>
          <cell r="X3540">
            <v>40</v>
          </cell>
          <cell r="Y3540">
            <v>40</v>
          </cell>
        </row>
        <row r="3541">
          <cell r="U3541" t="str">
            <v>L106196</v>
          </cell>
          <cell r="V3541" t="str">
            <v>MERMA DE FRUVER 1 kg</v>
          </cell>
          <cell r="W3541" t="str">
            <v>Ajuste</v>
          </cell>
          <cell r="X3541">
            <v>52.14</v>
          </cell>
          <cell r="Y3541">
            <v>52.14</v>
          </cell>
        </row>
        <row r="3542">
          <cell r="U3542" t="str">
            <v>L106203</v>
          </cell>
          <cell r="V3542" t="str">
            <v>MERMA DE FRUVER 1 kg</v>
          </cell>
          <cell r="W3542" t="str">
            <v>Ajuste</v>
          </cell>
          <cell r="X3542">
            <v>170</v>
          </cell>
          <cell r="Y3542">
            <v>170</v>
          </cell>
        </row>
        <row r="3543">
          <cell r="U3543" t="str">
            <v>L106266</v>
          </cell>
          <cell r="V3543" t="str">
            <v>MERMA DE FRUVER 1 kg</v>
          </cell>
          <cell r="W3543" t="str">
            <v>Ajuste</v>
          </cell>
          <cell r="X3543">
            <v>56.5</v>
          </cell>
          <cell r="Y3543">
            <v>56.5</v>
          </cell>
        </row>
        <row r="3544">
          <cell r="U3544" t="str">
            <v>L106354</v>
          </cell>
          <cell r="V3544" t="str">
            <v>MERMA DE FRUVER 1 kg</v>
          </cell>
          <cell r="W3544" t="str">
            <v>Ajuste</v>
          </cell>
          <cell r="X3544">
            <v>8.33</v>
          </cell>
          <cell r="Y3544">
            <v>8.33</v>
          </cell>
        </row>
        <row r="3545">
          <cell r="U3545" t="str">
            <v>L106356</v>
          </cell>
          <cell r="V3545" t="str">
            <v>MERMA DE FRUVER 1 kg</v>
          </cell>
          <cell r="W3545" t="str">
            <v>Ajuste</v>
          </cell>
          <cell r="X3545">
            <v>9.2799999999999994</v>
          </cell>
          <cell r="Y3545">
            <v>9.2799999999999994</v>
          </cell>
        </row>
        <row r="3546">
          <cell r="U3546" t="str">
            <v>L106375</v>
          </cell>
          <cell r="V3546" t="str">
            <v>MERMA DE FRUVER 1 kg</v>
          </cell>
          <cell r="W3546" t="str">
            <v>Ajuste</v>
          </cell>
          <cell r="X3546">
            <v>41</v>
          </cell>
          <cell r="Y3546">
            <v>41</v>
          </cell>
        </row>
        <row r="3547">
          <cell r="U3547" t="str">
            <v>L106426</v>
          </cell>
          <cell r="V3547" t="str">
            <v>MERMA DE FRUVER 1 kg</v>
          </cell>
          <cell r="W3547" t="str">
            <v>Ajuste</v>
          </cell>
          <cell r="X3547">
            <v>11.86</v>
          </cell>
          <cell r="Y3547">
            <v>11.86</v>
          </cell>
        </row>
        <row r="3548">
          <cell r="U3548" t="str">
            <v>L106436</v>
          </cell>
          <cell r="V3548" t="str">
            <v>MERMA DE FRUVER 1 kg</v>
          </cell>
          <cell r="W3548" t="str">
            <v>Ajuste</v>
          </cell>
          <cell r="X3548">
            <v>41</v>
          </cell>
          <cell r="Y3548">
            <v>41</v>
          </cell>
        </row>
        <row r="3549">
          <cell r="U3549" t="str">
            <v>L106463</v>
          </cell>
          <cell r="V3549" t="str">
            <v>MERMA DE FRUVER 1 kg</v>
          </cell>
          <cell r="W3549" t="str">
            <v>Ajuste</v>
          </cell>
          <cell r="X3549">
            <v>122</v>
          </cell>
          <cell r="Y3549">
            <v>122</v>
          </cell>
        </row>
        <row r="3550">
          <cell r="U3550" t="str">
            <v>L106465</v>
          </cell>
          <cell r="V3550" t="str">
            <v>MERMA DE FRUVER 1 kg</v>
          </cell>
          <cell r="W3550" t="str">
            <v>Ajuste</v>
          </cell>
          <cell r="X3550">
            <v>13.4</v>
          </cell>
          <cell r="Y3550">
            <v>13.4</v>
          </cell>
        </row>
        <row r="3551">
          <cell r="U3551" t="str">
            <v>L106467</v>
          </cell>
          <cell r="V3551" t="str">
            <v>MERMA DE FRUVER 1 kg</v>
          </cell>
          <cell r="W3551" t="str">
            <v>Ajuste</v>
          </cell>
          <cell r="X3551">
            <v>32.1</v>
          </cell>
          <cell r="Y3551">
            <v>32.1</v>
          </cell>
        </row>
        <row r="3552">
          <cell r="U3552" t="str">
            <v>L106472</v>
          </cell>
          <cell r="V3552" t="str">
            <v>MERMA DE FRUVER 1 kg</v>
          </cell>
          <cell r="W3552" t="str">
            <v>Ajuste</v>
          </cell>
          <cell r="X3552">
            <v>14</v>
          </cell>
          <cell r="Y3552">
            <v>14</v>
          </cell>
        </row>
        <row r="3553">
          <cell r="U3553" t="str">
            <v>L106501</v>
          </cell>
          <cell r="V3553" t="str">
            <v>MERMA DE FRUVER 1 kg</v>
          </cell>
          <cell r="W3553" t="str">
            <v>Ajuste</v>
          </cell>
          <cell r="X3553">
            <v>20</v>
          </cell>
          <cell r="Y3553">
            <v>20</v>
          </cell>
        </row>
        <row r="3554">
          <cell r="U3554" t="str">
            <v>L106569</v>
          </cell>
          <cell r="V3554" t="str">
            <v>MERMA DE FRUVER 1 kg</v>
          </cell>
          <cell r="W3554" t="str">
            <v>Ajuste</v>
          </cell>
          <cell r="X3554">
            <v>15.6</v>
          </cell>
          <cell r="Y3554">
            <v>15.6</v>
          </cell>
        </row>
        <row r="3555">
          <cell r="U3555" t="str">
            <v>L106593</v>
          </cell>
          <cell r="V3555" t="str">
            <v>MERMA DE FRUVER 1 kg</v>
          </cell>
          <cell r="W3555" t="str">
            <v>Ajuste</v>
          </cell>
          <cell r="X3555">
            <v>21.64</v>
          </cell>
          <cell r="Y3555">
            <v>21.64</v>
          </cell>
        </row>
        <row r="3556">
          <cell r="U3556" t="str">
            <v>L106597</v>
          </cell>
          <cell r="V3556" t="str">
            <v>MERMA DE FRUVER 1 kg</v>
          </cell>
          <cell r="W3556" t="str">
            <v>Ajuste</v>
          </cell>
          <cell r="X3556">
            <v>3.63</v>
          </cell>
          <cell r="Y3556">
            <v>3.63</v>
          </cell>
        </row>
        <row r="3557">
          <cell r="U3557" t="str">
            <v>L106599</v>
          </cell>
          <cell r="V3557" t="str">
            <v>MERMA DE FRUVER 1 kg</v>
          </cell>
          <cell r="W3557" t="str">
            <v>Ajuste</v>
          </cell>
          <cell r="X3557">
            <v>100</v>
          </cell>
          <cell r="Y3557">
            <v>100</v>
          </cell>
        </row>
        <row r="3558">
          <cell r="U3558" t="str">
            <v>L106654</v>
          </cell>
          <cell r="V3558" t="str">
            <v>MERMA DE FRUVER 1 kg</v>
          </cell>
          <cell r="W3558" t="str">
            <v>Ajuste</v>
          </cell>
          <cell r="X3558">
            <v>60</v>
          </cell>
          <cell r="Y3558">
            <v>60</v>
          </cell>
        </row>
        <row r="3559">
          <cell r="U3559" t="str">
            <v>L106720</v>
          </cell>
          <cell r="V3559" t="str">
            <v>MERMA DE FRUVER 1 kg</v>
          </cell>
          <cell r="W3559" t="str">
            <v>Ajuste</v>
          </cell>
          <cell r="X3559">
            <v>18.43</v>
          </cell>
          <cell r="Y3559">
            <v>18.43</v>
          </cell>
        </row>
        <row r="3560">
          <cell r="U3560" t="str">
            <v>L106723</v>
          </cell>
          <cell r="V3560" t="str">
            <v>MERMA DE FRUVER 1 kg</v>
          </cell>
          <cell r="W3560" t="str">
            <v>Ajuste</v>
          </cell>
          <cell r="X3560">
            <v>5.2</v>
          </cell>
          <cell r="Y3560">
            <v>5.2</v>
          </cell>
        </row>
        <row r="3561">
          <cell r="U3561" t="str">
            <v>L106742</v>
          </cell>
          <cell r="V3561" t="str">
            <v>MERMA DE FRUVER 1 kg</v>
          </cell>
          <cell r="W3561" t="str">
            <v>Ajuste</v>
          </cell>
          <cell r="X3561">
            <v>5.45</v>
          </cell>
          <cell r="Y3561">
            <v>5.45</v>
          </cell>
        </row>
        <row r="3562">
          <cell r="U3562" t="str">
            <v>L106817</v>
          </cell>
          <cell r="V3562" t="str">
            <v>MERMA DE FRUVER 1 kg</v>
          </cell>
          <cell r="W3562" t="str">
            <v>Ajuste</v>
          </cell>
          <cell r="X3562">
            <v>9.42</v>
          </cell>
          <cell r="Y3562">
            <v>9.42</v>
          </cell>
        </row>
        <row r="3563">
          <cell r="U3563" t="str">
            <v>L106823</v>
          </cell>
          <cell r="V3563" t="str">
            <v>MERMA DE FRUVER 1 kg</v>
          </cell>
          <cell r="W3563" t="str">
            <v>Ajuste</v>
          </cell>
          <cell r="X3563">
            <v>4.6900000000000004</v>
          </cell>
          <cell r="Y3563">
            <v>4.6900000000000004</v>
          </cell>
        </row>
        <row r="3564">
          <cell r="U3564" t="str">
            <v>L106825</v>
          </cell>
          <cell r="V3564" t="str">
            <v>MERMA DE FRUVER 1 kg</v>
          </cell>
          <cell r="W3564" t="str">
            <v>Ajuste</v>
          </cell>
          <cell r="X3564">
            <v>8.14</v>
          </cell>
          <cell r="Y3564">
            <v>8.14</v>
          </cell>
        </row>
        <row r="3565">
          <cell r="U3565" t="str">
            <v>L106827</v>
          </cell>
          <cell r="V3565" t="str">
            <v>MERMA DE FRUVER 1 kg</v>
          </cell>
          <cell r="W3565" t="str">
            <v>Ajuste</v>
          </cell>
          <cell r="X3565">
            <v>66</v>
          </cell>
          <cell r="Y3565">
            <v>66</v>
          </cell>
        </row>
        <row r="3566">
          <cell r="U3566" t="str">
            <v>L106946</v>
          </cell>
          <cell r="V3566" t="str">
            <v>MERMA DE FRUVER 1 kg</v>
          </cell>
          <cell r="W3566" t="str">
            <v>Ajuste</v>
          </cell>
          <cell r="X3566">
            <v>20.12</v>
          </cell>
          <cell r="Y3566">
            <v>20.12</v>
          </cell>
        </row>
        <row r="3567">
          <cell r="U3567" t="str">
            <v>L106972</v>
          </cell>
          <cell r="V3567" t="str">
            <v>MERMA DE FRUVER 1 kg</v>
          </cell>
          <cell r="W3567" t="str">
            <v>Ajuste</v>
          </cell>
          <cell r="X3567">
            <v>80</v>
          </cell>
          <cell r="Y3567">
            <v>80</v>
          </cell>
        </row>
        <row r="3568">
          <cell r="U3568" t="str">
            <v>L106999</v>
          </cell>
          <cell r="V3568" t="str">
            <v>MERMA DE FRUVER 1 kg</v>
          </cell>
          <cell r="W3568" t="str">
            <v>Ajuste</v>
          </cell>
          <cell r="X3568">
            <v>63.59</v>
          </cell>
          <cell r="Y3568">
            <v>63.59</v>
          </cell>
        </row>
        <row r="3569">
          <cell r="U3569" t="str">
            <v>L107019</v>
          </cell>
          <cell r="V3569" t="str">
            <v>MERMA DE FRUVER 1 kg</v>
          </cell>
          <cell r="W3569" t="str">
            <v>Ajuste</v>
          </cell>
          <cell r="X3569">
            <v>21.5</v>
          </cell>
          <cell r="Y3569">
            <v>21.5</v>
          </cell>
        </row>
        <row r="3570">
          <cell r="U3570" t="str">
            <v>L107025</v>
          </cell>
          <cell r="V3570" t="str">
            <v>MERMA DE FRUVER 1 kg</v>
          </cell>
          <cell r="W3570" t="str">
            <v>Ajuste</v>
          </cell>
          <cell r="X3570">
            <v>4.75</v>
          </cell>
          <cell r="Y3570">
            <v>4.75</v>
          </cell>
        </row>
        <row r="3571">
          <cell r="U3571" t="str">
            <v>L107028</v>
          </cell>
          <cell r="V3571" t="str">
            <v>MERMA DE FRUVER 1 kg</v>
          </cell>
          <cell r="W3571" t="str">
            <v>Ajuste</v>
          </cell>
          <cell r="X3571">
            <v>9.77</v>
          </cell>
          <cell r="Y3571">
            <v>9.77</v>
          </cell>
        </row>
        <row r="3572">
          <cell r="U3572" t="str">
            <v>L107034</v>
          </cell>
          <cell r="V3572" t="str">
            <v>MERMA DE FRUVER 1 kg</v>
          </cell>
          <cell r="W3572" t="str">
            <v>Ajuste</v>
          </cell>
          <cell r="X3572">
            <v>85</v>
          </cell>
          <cell r="Y3572">
            <v>85</v>
          </cell>
        </row>
        <row r="3573">
          <cell r="U3573" t="str">
            <v>L107054</v>
          </cell>
          <cell r="V3573" t="str">
            <v>MERMA DE FRUVER 1 kg</v>
          </cell>
          <cell r="W3573" t="str">
            <v>Ajuste</v>
          </cell>
          <cell r="X3573">
            <v>44</v>
          </cell>
          <cell r="Y3573">
            <v>44</v>
          </cell>
        </row>
        <row r="3574">
          <cell r="U3574" t="str">
            <v>L107062</v>
          </cell>
          <cell r="V3574" t="str">
            <v>MERMA DE FRUVER 1 kg</v>
          </cell>
          <cell r="W3574" t="str">
            <v>Ajuste</v>
          </cell>
          <cell r="X3574">
            <v>7.05</v>
          </cell>
          <cell r="Y3574">
            <v>7.05</v>
          </cell>
        </row>
        <row r="3575">
          <cell r="U3575" t="str">
            <v>L107063</v>
          </cell>
          <cell r="V3575" t="str">
            <v>MERMA DE FRUVER 1 kg</v>
          </cell>
          <cell r="W3575" t="str">
            <v>Ajuste</v>
          </cell>
          <cell r="X3575">
            <v>5.71</v>
          </cell>
          <cell r="Y3575">
            <v>5.71</v>
          </cell>
        </row>
        <row r="3576">
          <cell r="U3576" t="str">
            <v>L107066</v>
          </cell>
          <cell r="V3576" t="str">
            <v>MERMA DE FRUVER 1 kg</v>
          </cell>
          <cell r="W3576" t="str">
            <v>Ajuste</v>
          </cell>
          <cell r="X3576">
            <v>81</v>
          </cell>
          <cell r="Y3576">
            <v>81</v>
          </cell>
        </row>
        <row r="3577">
          <cell r="U3577" t="str">
            <v>L107140</v>
          </cell>
          <cell r="V3577" t="str">
            <v>MERMA DE FRUVER 1 kg</v>
          </cell>
          <cell r="W3577" t="str">
            <v>Ajuste</v>
          </cell>
          <cell r="X3577">
            <v>10.72</v>
          </cell>
          <cell r="Y3577">
            <v>10.72</v>
          </cell>
        </row>
        <row r="3578">
          <cell r="U3578" t="str">
            <v>L107147</v>
          </cell>
          <cell r="V3578" t="str">
            <v>MERMA DE FRUVER 1 kg</v>
          </cell>
          <cell r="W3578" t="str">
            <v>Ajuste</v>
          </cell>
          <cell r="X3578">
            <v>17.84</v>
          </cell>
          <cell r="Y3578">
            <v>17.84</v>
          </cell>
        </row>
        <row r="3579">
          <cell r="U3579" t="str">
            <v>L107149</v>
          </cell>
          <cell r="V3579" t="str">
            <v>MERMA DE FRUVER 1 kg</v>
          </cell>
          <cell r="W3579" t="str">
            <v>Ajuste</v>
          </cell>
          <cell r="X3579">
            <v>320</v>
          </cell>
          <cell r="Y3579">
            <v>320</v>
          </cell>
        </row>
        <row r="3580">
          <cell r="U3580" t="str">
            <v>L107250</v>
          </cell>
          <cell r="V3580" t="str">
            <v>MERMA DE FRUVER 1 kg</v>
          </cell>
          <cell r="W3580" t="str">
            <v>Ajuste</v>
          </cell>
          <cell r="X3580">
            <v>5.17</v>
          </cell>
          <cell r="Y3580">
            <v>5.17</v>
          </cell>
        </row>
        <row r="3581">
          <cell r="U3581" t="str">
            <v>L107269</v>
          </cell>
          <cell r="V3581" t="str">
            <v>MERMA DE FRUVER 1 kg</v>
          </cell>
          <cell r="W3581" t="str">
            <v>Ajuste</v>
          </cell>
          <cell r="X3581">
            <v>12.22</v>
          </cell>
          <cell r="Y3581">
            <v>12.22</v>
          </cell>
        </row>
        <row r="3582">
          <cell r="U3582" t="str">
            <v>L107289</v>
          </cell>
          <cell r="V3582" t="str">
            <v>MERMA DE FRUVER 1 kg</v>
          </cell>
          <cell r="W3582" t="str">
            <v>Ajuste</v>
          </cell>
          <cell r="X3582">
            <v>33.43</v>
          </cell>
          <cell r="Y3582">
            <v>33.43</v>
          </cell>
        </row>
        <row r="3583">
          <cell r="U3583" t="str">
            <v>L107294</v>
          </cell>
          <cell r="V3583" t="str">
            <v>MERMA DE FRUVER 1 kg</v>
          </cell>
          <cell r="W3583" t="str">
            <v>Ajuste</v>
          </cell>
          <cell r="X3583">
            <v>60</v>
          </cell>
          <cell r="Y3583">
            <v>60</v>
          </cell>
        </row>
        <row r="3584">
          <cell r="U3584" t="str">
            <v>L103258</v>
          </cell>
          <cell r="V3584" t="str">
            <v>MERMA DE FRUVER 1 kg</v>
          </cell>
          <cell r="W3584" t="str">
            <v>Ajuste</v>
          </cell>
          <cell r="X3584">
            <v>23.95</v>
          </cell>
          <cell r="Y3584">
            <v>23.95</v>
          </cell>
        </row>
        <row r="3585">
          <cell r="U3585" t="str">
            <v>L103250</v>
          </cell>
          <cell r="V3585" t="str">
            <v>MERMA DE FRUVER 1 kg</v>
          </cell>
          <cell r="W3585" t="str">
            <v>Ajuste</v>
          </cell>
          <cell r="X3585">
            <v>30</v>
          </cell>
          <cell r="Y3585">
            <v>30</v>
          </cell>
        </row>
        <row r="3586">
          <cell r="U3586" t="str">
            <v>L103241</v>
          </cell>
          <cell r="V3586" t="str">
            <v>MERMA DE FRUVER 1 kg</v>
          </cell>
          <cell r="W3586" t="str">
            <v>Ajuste</v>
          </cell>
          <cell r="X3586">
            <v>66.819999999999993</v>
          </cell>
          <cell r="Y3586">
            <v>66.819999999999993</v>
          </cell>
        </row>
        <row r="3587">
          <cell r="U3587" t="str">
            <v>L103236</v>
          </cell>
          <cell r="V3587" t="str">
            <v>MERMA DE FRUVER 1 kg</v>
          </cell>
          <cell r="W3587" t="str">
            <v>Ajuste</v>
          </cell>
          <cell r="X3587">
            <v>35.08</v>
          </cell>
          <cell r="Y3587">
            <v>35.08</v>
          </cell>
        </row>
        <row r="3588">
          <cell r="U3588" t="str">
            <v>L103235</v>
          </cell>
          <cell r="V3588" t="str">
            <v>MERMA DE FRUVER 1 kg</v>
          </cell>
          <cell r="W3588" t="str">
            <v>Ajuste</v>
          </cell>
          <cell r="X3588">
            <v>35.08</v>
          </cell>
          <cell r="Y3588">
            <v>35.08</v>
          </cell>
        </row>
        <row r="3589">
          <cell r="U3589" t="str">
            <v>L103229</v>
          </cell>
          <cell r="V3589" t="str">
            <v>MERMA DE FRUVER 1 kg</v>
          </cell>
          <cell r="W3589" t="str">
            <v>Ajuste</v>
          </cell>
          <cell r="X3589">
            <v>41.84</v>
          </cell>
          <cell r="Y3589">
            <v>41.84</v>
          </cell>
        </row>
        <row r="3590">
          <cell r="U3590" t="str">
            <v>L103220</v>
          </cell>
          <cell r="V3590" t="str">
            <v>MERMA DE FRUVER 1 kg</v>
          </cell>
          <cell r="W3590" t="str">
            <v>Ajuste</v>
          </cell>
          <cell r="X3590">
            <v>18.2</v>
          </cell>
          <cell r="Y3590">
            <v>18.2</v>
          </cell>
        </row>
        <row r="3591">
          <cell r="U3591" t="str">
            <v>L103178</v>
          </cell>
          <cell r="V3591" t="str">
            <v>MERMA DE FRUVER 1 kg</v>
          </cell>
          <cell r="W3591" t="str">
            <v>Ajuste</v>
          </cell>
          <cell r="X3591">
            <v>18.45</v>
          </cell>
          <cell r="Y3591">
            <v>18.45</v>
          </cell>
        </row>
        <row r="3592">
          <cell r="U3592" t="str">
            <v>L103130</v>
          </cell>
          <cell r="V3592" t="str">
            <v>MERMA DE FRUVER 1 kg</v>
          </cell>
          <cell r="W3592" t="str">
            <v>Ajuste</v>
          </cell>
          <cell r="X3592">
            <v>50.15</v>
          </cell>
          <cell r="Y3592">
            <v>50.15</v>
          </cell>
        </row>
        <row r="3593">
          <cell r="U3593" t="str">
            <v>L103127</v>
          </cell>
          <cell r="V3593" t="str">
            <v>MERMA DE FRUVER 1 kg</v>
          </cell>
          <cell r="W3593" t="str">
            <v>Ajuste</v>
          </cell>
          <cell r="X3593">
            <v>20.079999999999998</v>
          </cell>
          <cell r="Y3593">
            <v>20.079999999999998</v>
          </cell>
        </row>
        <row r="3594">
          <cell r="U3594" t="str">
            <v>L107398</v>
          </cell>
          <cell r="V3594" t="str">
            <v>Merma KG</v>
          </cell>
          <cell r="W3594" t="str">
            <v>Ajuste</v>
          </cell>
          <cell r="X3594">
            <v>12.6</v>
          </cell>
          <cell r="Y3594">
            <v>12.6</v>
          </cell>
        </row>
        <row r="3595">
          <cell r="U3595" t="str">
            <v>L107371</v>
          </cell>
          <cell r="V3595" t="str">
            <v>MIL 2kg</v>
          </cell>
          <cell r="W3595" t="str">
            <v>Ajuste</v>
          </cell>
          <cell r="X3595">
            <v>2</v>
          </cell>
          <cell r="Y3595">
            <v>4</v>
          </cell>
        </row>
        <row r="3596">
          <cell r="U3596" t="str">
            <v>L107243</v>
          </cell>
          <cell r="V3596" t="str">
            <v>MLCT 3Kg</v>
          </cell>
          <cell r="W3596" t="str">
            <v>Ajuste</v>
          </cell>
          <cell r="X3596">
            <v>1</v>
          </cell>
          <cell r="Y3596">
            <v>3</v>
          </cell>
        </row>
        <row r="3597">
          <cell r="U3597" t="str">
            <v>L106265</v>
          </cell>
          <cell r="V3597" t="str">
            <v>MLNVAR 10kg</v>
          </cell>
          <cell r="W3597" t="str">
            <v>Ajuste</v>
          </cell>
          <cell r="X3597">
            <v>122</v>
          </cell>
          <cell r="Y3597">
            <v>1220</v>
          </cell>
        </row>
        <row r="3598">
          <cell r="U3598" t="str">
            <v>L106510</v>
          </cell>
          <cell r="V3598" t="str">
            <v>MLNVAR 10kg</v>
          </cell>
          <cell r="W3598" t="str">
            <v>Ajuste</v>
          </cell>
          <cell r="X3598">
            <v>310</v>
          </cell>
          <cell r="Y3598">
            <v>3100</v>
          </cell>
        </row>
        <row r="3599">
          <cell r="U3599" t="str">
            <v>L106505</v>
          </cell>
          <cell r="V3599" t="str">
            <v>MLT 12x330mL-CAJA</v>
          </cell>
          <cell r="W3599" t="str">
            <v>Ajuste</v>
          </cell>
          <cell r="X3599">
            <v>14</v>
          </cell>
          <cell r="Y3599">
            <v>55.44</v>
          </cell>
        </row>
        <row r="3600">
          <cell r="U3600" t="str">
            <v>L106856</v>
          </cell>
          <cell r="V3600" t="str">
            <v>MNS 10Kg-PAQUETE</v>
          </cell>
          <cell r="W3600" t="str">
            <v>Ajuste</v>
          </cell>
          <cell r="X3600">
            <v>200</v>
          </cell>
          <cell r="Y3600">
            <v>2000</v>
          </cell>
        </row>
        <row r="3601">
          <cell r="U3601" t="str">
            <v>L106882</v>
          </cell>
          <cell r="V3601" t="str">
            <v>MNS 10Kg-PAQUETE</v>
          </cell>
          <cell r="W3601" t="str">
            <v>Ajuste</v>
          </cell>
          <cell r="X3601">
            <v>740</v>
          </cell>
          <cell r="Y3601">
            <v>7400</v>
          </cell>
        </row>
        <row r="3602">
          <cell r="U3602" t="str">
            <v>L107144</v>
          </cell>
          <cell r="V3602" t="str">
            <v>MNS 10Kg-PAQUETE</v>
          </cell>
          <cell r="W3602" t="str">
            <v>Ajuste</v>
          </cell>
          <cell r="X3602">
            <v>624</v>
          </cell>
          <cell r="Y3602">
            <v>6240</v>
          </cell>
        </row>
        <row r="3603">
          <cell r="U3603" t="str">
            <v>L107334</v>
          </cell>
          <cell r="V3603" t="str">
            <v>MNS 10Kg-PAQUETE</v>
          </cell>
          <cell r="W3603" t="str">
            <v>Ajuste</v>
          </cell>
          <cell r="X3603">
            <v>520</v>
          </cell>
          <cell r="Y3603">
            <v>5200</v>
          </cell>
        </row>
        <row r="3604">
          <cell r="U3604" t="str">
            <v>L106751</v>
          </cell>
          <cell r="V3604" t="str">
            <v>MNS 2kg-PAQUETE</v>
          </cell>
          <cell r="W3604" t="str">
            <v>Ajuste</v>
          </cell>
          <cell r="X3604">
            <v>44</v>
          </cell>
          <cell r="Y3604">
            <v>88</v>
          </cell>
        </row>
        <row r="3605">
          <cell r="U3605" t="str">
            <v>L106752</v>
          </cell>
          <cell r="V3605" t="str">
            <v>MNS 2kg-PAQUETE</v>
          </cell>
          <cell r="W3605" t="str">
            <v>Ajuste</v>
          </cell>
          <cell r="X3605">
            <v>2</v>
          </cell>
          <cell r="Y3605">
            <v>4</v>
          </cell>
        </row>
        <row r="3606">
          <cell r="U3606" t="str">
            <v>L106851</v>
          </cell>
          <cell r="V3606" t="str">
            <v>MNS 2kg-PAQUETE</v>
          </cell>
          <cell r="W3606" t="str">
            <v>Ajuste</v>
          </cell>
          <cell r="X3606">
            <v>8</v>
          </cell>
          <cell r="Y3606">
            <v>16</v>
          </cell>
        </row>
        <row r="3607">
          <cell r="U3607" t="str">
            <v>L106854</v>
          </cell>
          <cell r="V3607" t="str">
            <v>MNS 2kg-PAQUETE</v>
          </cell>
          <cell r="W3607" t="str">
            <v>Ajuste</v>
          </cell>
          <cell r="X3607">
            <v>8</v>
          </cell>
          <cell r="Y3607">
            <v>16</v>
          </cell>
        </row>
        <row r="3608">
          <cell r="U3608" t="str">
            <v>L106525</v>
          </cell>
          <cell r="V3608" t="str">
            <v>MPF 1 UNIDAD</v>
          </cell>
          <cell r="W3608" t="str">
            <v>Ajuste</v>
          </cell>
          <cell r="X3608">
            <v>17</v>
          </cell>
          <cell r="Y3608">
            <v>17</v>
          </cell>
        </row>
        <row r="3609">
          <cell r="U3609" t="str">
            <v>L107009</v>
          </cell>
          <cell r="V3609" t="str">
            <v>MRL 2kg</v>
          </cell>
          <cell r="W3609" t="str">
            <v>Ajuste</v>
          </cell>
          <cell r="X3609">
            <v>8</v>
          </cell>
          <cell r="Y3609">
            <v>16</v>
          </cell>
        </row>
        <row r="3610">
          <cell r="U3610" t="str">
            <v>L106131</v>
          </cell>
          <cell r="V3610" t="str">
            <v>MTC 10KG-CAJA</v>
          </cell>
          <cell r="W3610" t="str">
            <v>Ajuste</v>
          </cell>
          <cell r="X3610">
            <v>336</v>
          </cell>
          <cell r="Y3610">
            <v>3360</v>
          </cell>
        </row>
        <row r="3611">
          <cell r="U3611" t="str">
            <v>L106571</v>
          </cell>
          <cell r="V3611" t="str">
            <v>MYN 2kg - Caja</v>
          </cell>
          <cell r="W3611" t="str">
            <v>Ajuste</v>
          </cell>
          <cell r="X3611">
            <v>12</v>
          </cell>
          <cell r="Y3611">
            <v>24</v>
          </cell>
        </row>
        <row r="3612">
          <cell r="U3612" t="str">
            <v>L106572</v>
          </cell>
          <cell r="V3612" t="str">
            <v>MYN 2kg - Caja</v>
          </cell>
          <cell r="W3612" t="str">
            <v>Ajuste</v>
          </cell>
          <cell r="X3612">
            <v>6</v>
          </cell>
          <cell r="Y3612">
            <v>12</v>
          </cell>
        </row>
        <row r="3613">
          <cell r="U3613" t="str">
            <v>L106573</v>
          </cell>
          <cell r="V3613" t="str">
            <v>MYN 2kg - Caja</v>
          </cell>
          <cell r="W3613" t="str">
            <v>Ajuste</v>
          </cell>
          <cell r="X3613">
            <v>10</v>
          </cell>
          <cell r="Y3613">
            <v>20</v>
          </cell>
        </row>
        <row r="3614">
          <cell r="U3614" t="str">
            <v>L106574</v>
          </cell>
          <cell r="V3614" t="str">
            <v>MYN 2kg - Caja</v>
          </cell>
          <cell r="W3614" t="str">
            <v>Ajuste</v>
          </cell>
          <cell r="X3614">
            <v>8</v>
          </cell>
          <cell r="Y3614">
            <v>16</v>
          </cell>
        </row>
        <row r="3615">
          <cell r="U3615" t="str">
            <v>L106575</v>
          </cell>
          <cell r="V3615" t="str">
            <v>MYN 2kg - Caja</v>
          </cell>
          <cell r="W3615" t="str">
            <v>Ajuste</v>
          </cell>
          <cell r="X3615">
            <v>4</v>
          </cell>
          <cell r="Y3615">
            <v>8</v>
          </cell>
        </row>
        <row r="3616">
          <cell r="U3616" t="str">
            <v>L106577</v>
          </cell>
          <cell r="V3616" t="str">
            <v>MYN 2kg - Caja</v>
          </cell>
          <cell r="W3616" t="str">
            <v>Ajuste</v>
          </cell>
          <cell r="X3616">
            <v>2</v>
          </cell>
          <cell r="Y3616">
            <v>4</v>
          </cell>
        </row>
        <row r="3617">
          <cell r="U3617" t="str">
            <v>L106578</v>
          </cell>
          <cell r="V3617" t="str">
            <v>MYN 2kg - Caja</v>
          </cell>
          <cell r="W3617" t="str">
            <v>Ajuste</v>
          </cell>
          <cell r="X3617">
            <v>7</v>
          </cell>
          <cell r="Y3617">
            <v>14</v>
          </cell>
        </row>
        <row r="3618">
          <cell r="U3618" t="str">
            <v>L106580</v>
          </cell>
          <cell r="V3618" t="str">
            <v>MYN 2kg - Caja</v>
          </cell>
          <cell r="W3618" t="str">
            <v>Ajuste</v>
          </cell>
          <cell r="X3618">
            <v>2</v>
          </cell>
          <cell r="Y3618">
            <v>4</v>
          </cell>
        </row>
        <row r="3619">
          <cell r="U3619" t="str">
            <v>L106243</v>
          </cell>
          <cell r="V3619" t="str">
            <v>MYN 3kg - Caja</v>
          </cell>
          <cell r="W3619" t="str">
            <v>Ajuste</v>
          </cell>
          <cell r="X3619">
            <v>2</v>
          </cell>
          <cell r="Y3619">
            <v>6</v>
          </cell>
        </row>
        <row r="3620">
          <cell r="U3620" t="str">
            <v>L106957</v>
          </cell>
          <cell r="V3620" t="str">
            <v>MYN 3kg - Caja</v>
          </cell>
          <cell r="W3620" t="str">
            <v>Ajuste</v>
          </cell>
          <cell r="X3620">
            <v>27</v>
          </cell>
          <cell r="Y3620">
            <v>81</v>
          </cell>
        </row>
        <row r="3621">
          <cell r="U3621" t="str">
            <v>L106306</v>
          </cell>
          <cell r="V3621" t="str">
            <v>MZL 3kg</v>
          </cell>
          <cell r="W3621" t="str">
            <v>Ajuste</v>
          </cell>
          <cell r="X3621">
            <v>32</v>
          </cell>
          <cell r="Y3621">
            <v>96</v>
          </cell>
        </row>
        <row r="3622">
          <cell r="U3622" t="str">
            <v>L106724</v>
          </cell>
          <cell r="V3622" t="str">
            <v>MZL 3kg</v>
          </cell>
          <cell r="W3622" t="str">
            <v>Ajuste</v>
          </cell>
          <cell r="X3622">
            <v>36</v>
          </cell>
          <cell r="Y3622">
            <v>108</v>
          </cell>
        </row>
        <row r="3623">
          <cell r="U3623" t="str">
            <v>L107238</v>
          </cell>
          <cell r="V3623" t="str">
            <v>MZL 3kg</v>
          </cell>
          <cell r="W3623" t="str">
            <v>Ajuste</v>
          </cell>
          <cell r="X3623">
            <v>2</v>
          </cell>
          <cell r="Y3623">
            <v>6</v>
          </cell>
        </row>
        <row r="3624">
          <cell r="U3624" t="str">
            <v>L106179</v>
          </cell>
          <cell r="V3624" t="str">
            <v>NV ACE 12x900ml-CAJA</v>
          </cell>
          <cell r="W3624" t="str">
            <v>Ajuste</v>
          </cell>
          <cell r="X3624">
            <v>712</v>
          </cell>
          <cell r="Y3624">
            <v>7689.6</v>
          </cell>
        </row>
        <row r="3625">
          <cell r="U3625" t="str">
            <v>L106179</v>
          </cell>
          <cell r="V3625" t="str">
            <v>NV ACE 1x900ml-UNI</v>
          </cell>
          <cell r="W3625" t="str">
            <v>Ajuste</v>
          </cell>
          <cell r="X3625">
            <v>734</v>
          </cell>
          <cell r="Y3625">
            <v>660.60000000000059</v>
          </cell>
        </row>
        <row r="3626">
          <cell r="U3626" t="str">
            <v>L106180</v>
          </cell>
          <cell r="V3626" t="str">
            <v>NV ACE 1x900ml-UNI</v>
          </cell>
          <cell r="W3626" t="str">
            <v>Ajuste</v>
          </cell>
          <cell r="X3626">
            <v>20</v>
          </cell>
          <cell r="Y3626">
            <v>18</v>
          </cell>
        </row>
        <row r="3627">
          <cell r="U3627" t="str">
            <v>L106188</v>
          </cell>
          <cell r="V3627" t="str">
            <v>NV ARJ 1X1LB-UNI</v>
          </cell>
          <cell r="W3627" t="str">
            <v>Ajuste</v>
          </cell>
          <cell r="X3627">
            <v>1077</v>
          </cell>
          <cell r="Y3627">
            <v>452.34</v>
          </cell>
        </row>
        <row r="3628">
          <cell r="U3628" t="str">
            <v>L106187</v>
          </cell>
          <cell r="V3628" t="str">
            <v>NV ARJ 25X1LB-CAJA</v>
          </cell>
          <cell r="W3628" t="str">
            <v>Ajuste</v>
          </cell>
          <cell r="X3628">
            <v>170</v>
          </cell>
          <cell r="Y3628">
            <v>1926.1000000000006</v>
          </cell>
        </row>
        <row r="3629">
          <cell r="U3629" t="str">
            <v>L106161</v>
          </cell>
          <cell r="V3629" t="str">
            <v>NV ARZ 10x5lb-CAJA</v>
          </cell>
          <cell r="W3629" t="str">
            <v>Ajuste</v>
          </cell>
          <cell r="X3629">
            <v>858</v>
          </cell>
          <cell r="Y3629">
            <v>19450.860000000004</v>
          </cell>
        </row>
        <row r="3630">
          <cell r="U3630" t="str">
            <v>L106161</v>
          </cell>
          <cell r="V3630" t="str">
            <v>NV ARZ 1x5lb-UNI</v>
          </cell>
          <cell r="W3630" t="str">
            <v>Ajuste</v>
          </cell>
          <cell r="X3630">
            <v>219</v>
          </cell>
          <cell r="Y3630">
            <v>494.93999999999988</v>
          </cell>
        </row>
        <row r="3631">
          <cell r="U3631" t="str">
            <v>L106181</v>
          </cell>
          <cell r="V3631" t="str">
            <v>NV ATN 1x170g-UNIDAD</v>
          </cell>
          <cell r="W3631" t="str">
            <v>Ajuste</v>
          </cell>
          <cell r="X3631">
            <v>2294</v>
          </cell>
          <cell r="Y3631">
            <v>389.98000000000013</v>
          </cell>
        </row>
        <row r="3632">
          <cell r="U3632" t="str">
            <v>L106181</v>
          </cell>
          <cell r="V3632" t="str">
            <v>NV ATN 48x170g-CAJA</v>
          </cell>
          <cell r="W3632" t="str">
            <v>Ajuste</v>
          </cell>
          <cell r="X3632">
            <v>178</v>
          </cell>
          <cell r="Y3632">
            <v>1452.4800000000007</v>
          </cell>
        </row>
        <row r="3633">
          <cell r="U3633" t="str">
            <v>L106182</v>
          </cell>
          <cell r="V3633" t="str">
            <v>NV ATN 1x170g-UNIDAD</v>
          </cell>
          <cell r="W3633" t="str">
            <v>Ajuste</v>
          </cell>
          <cell r="X3633">
            <v>20</v>
          </cell>
          <cell r="Y3633">
            <v>3.4000000000000004</v>
          </cell>
        </row>
        <row r="3634">
          <cell r="U3634" t="str">
            <v>L106320</v>
          </cell>
          <cell r="V3634" t="str">
            <v>NV AZC 25 x 800g-CAJA</v>
          </cell>
          <cell r="W3634" t="str">
            <v>Ajuste</v>
          </cell>
          <cell r="X3634">
            <v>172</v>
          </cell>
          <cell r="Y3634">
            <v>3440</v>
          </cell>
        </row>
        <row r="3635">
          <cell r="U3635" t="str">
            <v>L106346</v>
          </cell>
          <cell r="V3635" t="str">
            <v>NV BPA - UNI</v>
          </cell>
          <cell r="W3635" t="str">
            <v>Ajuste</v>
          </cell>
          <cell r="X3635">
            <v>8365</v>
          </cell>
          <cell r="Y3635">
            <v>83.650000000000034</v>
          </cell>
        </row>
        <row r="3636">
          <cell r="U3636" t="str">
            <v>L106036</v>
          </cell>
          <cell r="V3636" t="str">
            <v>NV CRAVE 24X320g-CAJA</v>
          </cell>
          <cell r="W3636" t="str">
            <v>Ajuste</v>
          </cell>
          <cell r="X3636">
            <v>180</v>
          </cell>
          <cell r="Y3636">
            <v>1382.4</v>
          </cell>
        </row>
        <row r="3637">
          <cell r="U3637" t="str">
            <v>L106036</v>
          </cell>
          <cell r="V3637" t="str">
            <v>NV CRAVE 1X320g-UNI</v>
          </cell>
          <cell r="W3637" t="str">
            <v>Ajuste</v>
          </cell>
          <cell r="X3637">
            <v>1166</v>
          </cell>
          <cell r="Y3637">
            <v>373.11999999999972</v>
          </cell>
        </row>
        <row r="3638">
          <cell r="U3638" t="str">
            <v>L106038</v>
          </cell>
          <cell r="V3638" t="str">
            <v>NV CRAVE 1X320g-UNI</v>
          </cell>
          <cell r="W3638" t="str">
            <v>Ajuste</v>
          </cell>
          <cell r="X3638">
            <v>4</v>
          </cell>
          <cell r="Y3638">
            <v>1.28</v>
          </cell>
        </row>
        <row r="3639">
          <cell r="U3639" t="str">
            <v>L106038</v>
          </cell>
          <cell r="V3639" t="str">
            <v>NV CRAVE 1X320g-UNI</v>
          </cell>
          <cell r="W3639" t="str">
            <v>Mal Ingreso</v>
          </cell>
          <cell r="X3639">
            <v>4</v>
          </cell>
          <cell r="Y3639">
            <v>1.28</v>
          </cell>
        </row>
        <row r="3640">
          <cell r="U3640" t="str">
            <v>L106037</v>
          </cell>
          <cell r="V3640" t="str">
            <v>NV CRMAIZ 24X320g-CAJA</v>
          </cell>
          <cell r="W3640" t="str">
            <v>Ajuste</v>
          </cell>
          <cell r="X3640">
            <v>180</v>
          </cell>
          <cell r="Y3640">
            <v>1382.4</v>
          </cell>
        </row>
        <row r="3641">
          <cell r="U3641" t="str">
            <v>L106037</v>
          </cell>
          <cell r="V3641" t="str">
            <v>NV CRMAIZ 1X320g-UNI</v>
          </cell>
          <cell r="W3641" t="str">
            <v>Ajuste</v>
          </cell>
          <cell r="X3641">
            <v>1166</v>
          </cell>
          <cell r="Y3641">
            <v>373.11999999999972</v>
          </cell>
        </row>
        <row r="3642">
          <cell r="U3642" t="str">
            <v>L106156</v>
          </cell>
          <cell r="V3642" t="str">
            <v>NV HAR 24 x 454g-CAJA</v>
          </cell>
          <cell r="W3642" t="str">
            <v>Ajuste</v>
          </cell>
          <cell r="X3642">
            <v>358</v>
          </cell>
          <cell r="Y3642">
            <v>3898.619999999999</v>
          </cell>
        </row>
        <row r="3643">
          <cell r="U3643" t="str">
            <v>L106156</v>
          </cell>
          <cell r="V3643" t="str">
            <v>NV HAR 1 x 454g-UNI</v>
          </cell>
          <cell r="W3643" t="str">
            <v>Ajuste</v>
          </cell>
          <cell r="X3643">
            <v>1368</v>
          </cell>
          <cell r="Y3643">
            <v>615.6</v>
          </cell>
        </row>
        <row r="3644">
          <cell r="U3644" t="str">
            <v>L106173</v>
          </cell>
          <cell r="V3644" t="str">
            <v>NV LCH 24X400g-CAJA</v>
          </cell>
          <cell r="W3644" t="str">
            <v>Ajuste</v>
          </cell>
          <cell r="X3644">
            <v>178</v>
          </cell>
          <cell r="Y3644">
            <v>1708.8000000000002</v>
          </cell>
        </row>
        <row r="3645">
          <cell r="U3645" t="str">
            <v>L106173</v>
          </cell>
          <cell r="V3645" t="str">
            <v>NV LCH 1X400g-UNI</v>
          </cell>
          <cell r="W3645" t="str">
            <v>Ajuste</v>
          </cell>
          <cell r="X3645">
            <v>1147</v>
          </cell>
          <cell r="Y3645">
            <v>458.7999999999999</v>
          </cell>
        </row>
        <row r="3646">
          <cell r="U3646" t="str">
            <v>L106174</v>
          </cell>
          <cell r="V3646" t="str">
            <v>NV LCH 1X400g-UNI</v>
          </cell>
          <cell r="W3646" t="str">
            <v>Ajuste</v>
          </cell>
          <cell r="X3646">
            <v>10</v>
          </cell>
          <cell r="Y3646">
            <v>4</v>
          </cell>
        </row>
        <row r="3647">
          <cell r="U3647" t="str">
            <v>L106185</v>
          </cell>
          <cell r="V3647" t="str">
            <v>NV LTJ 25X1Lb-CAJA</v>
          </cell>
          <cell r="W3647" t="str">
            <v>Ajuste</v>
          </cell>
          <cell r="X3647">
            <v>342</v>
          </cell>
          <cell r="Y3647">
            <v>3874.8599999999997</v>
          </cell>
        </row>
        <row r="3648">
          <cell r="U3648" t="str">
            <v>L106185</v>
          </cell>
          <cell r="V3648" t="str">
            <v>NV LTJ 1X1Lb-UNI</v>
          </cell>
          <cell r="W3648" t="str">
            <v>Ajuste</v>
          </cell>
          <cell r="X3648">
            <v>1287</v>
          </cell>
          <cell r="Y3648">
            <v>579.14999999999975</v>
          </cell>
        </row>
        <row r="3649">
          <cell r="U3649" t="str">
            <v>L106186</v>
          </cell>
          <cell r="V3649" t="str">
            <v>NV LTJ 1X1Lb-UNI</v>
          </cell>
          <cell r="W3649" t="str">
            <v>Ajuste</v>
          </cell>
          <cell r="X3649">
            <v>14</v>
          </cell>
          <cell r="Y3649">
            <v>6.3000000000000007</v>
          </cell>
        </row>
        <row r="3650">
          <cell r="U3650" t="str">
            <v>L106034</v>
          </cell>
          <cell r="V3650" t="str">
            <v>NV SAL 1X454g-UNI</v>
          </cell>
          <cell r="W3650" t="str">
            <v>Ajuste</v>
          </cell>
          <cell r="X3650">
            <v>1396</v>
          </cell>
          <cell r="Y3650">
            <v>628.20000000000005</v>
          </cell>
        </row>
        <row r="3651">
          <cell r="U3651" t="str">
            <v>L106034</v>
          </cell>
          <cell r="V3651" t="str">
            <v>NV SAL 30X454g-CAJA</v>
          </cell>
          <cell r="W3651" t="str">
            <v>Ajuste</v>
          </cell>
          <cell r="X3651">
            <v>144</v>
          </cell>
          <cell r="Y3651">
            <v>1961.2799999999984</v>
          </cell>
        </row>
        <row r="3652">
          <cell r="U3652" t="str">
            <v>L106183</v>
          </cell>
          <cell r="V3652" t="str">
            <v>NV SPAGUETTIS 1 x 454G-UNI</v>
          </cell>
          <cell r="W3652" t="str">
            <v>Ajuste</v>
          </cell>
          <cell r="X3652">
            <v>420</v>
          </cell>
          <cell r="Y3652">
            <v>189.00000000000003</v>
          </cell>
        </row>
        <row r="3653">
          <cell r="U3653" t="str">
            <v>L106183</v>
          </cell>
          <cell r="V3653" t="str">
            <v>NV SPAGUETTIS 20 x 454G-CAJA</v>
          </cell>
          <cell r="W3653" t="str">
            <v>Ajuste</v>
          </cell>
          <cell r="X3653">
            <v>856</v>
          </cell>
          <cell r="Y3653">
            <v>7772.4799999999977</v>
          </cell>
        </row>
        <row r="3654">
          <cell r="U3654" t="str">
            <v>L106184</v>
          </cell>
          <cell r="V3654" t="str">
            <v>NV SPAGUETTIS 1 x 454G-UNI</v>
          </cell>
          <cell r="W3654" t="str">
            <v>Ajuste</v>
          </cell>
          <cell r="X3654">
            <v>8</v>
          </cell>
          <cell r="Y3654">
            <v>3.6</v>
          </cell>
        </row>
        <row r="3655">
          <cell r="U3655" t="str">
            <v>L106178</v>
          </cell>
          <cell r="V3655" t="str">
            <v>NV SRD 1X15 OZ-UNI</v>
          </cell>
          <cell r="W3655" t="str">
            <v>Ajuste</v>
          </cell>
          <cell r="X3655">
            <v>10</v>
          </cell>
          <cell r="Y3655">
            <v>4.2</v>
          </cell>
        </row>
        <row r="3656">
          <cell r="U3656" t="str">
            <v>L106178</v>
          </cell>
          <cell r="V3656" t="str">
            <v>SRD 1X15 OZ-UNI</v>
          </cell>
          <cell r="W3656" t="str">
            <v>Ajuste</v>
          </cell>
          <cell r="X3656">
            <v>5</v>
          </cell>
          <cell r="Y3656">
            <v>2.1</v>
          </cell>
        </row>
        <row r="3657">
          <cell r="U3657" t="str">
            <v>L106178</v>
          </cell>
          <cell r="V3657" t="str">
            <v>SRD 1X15 OZ-UNI</v>
          </cell>
          <cell r="W3657" t="str">
            <v>Mal Ingreso</v>
          </cell>
          <cell r="X3657">
            <v>5</v>
          </cell>
          <cell r="Y3657">
            <v>2.1</v>
          </cell>
        </row>
        <row r="3658">
          <cell r="U3658" t="str">
            <v>L106177</v>
          </cell>
          <cell r="V3658" t="str">
            <v>NV SRD 24X15 OZ-CAJA</v>
          </cell>
          <cell r="W3658" t="str">
            <v>Ajuste</v>
          </cell>
          <cell r="X3658">
            <v>178</v>
          </cell>
          <cell r="Y3658">
            <v>1815.600000000001</v>
          </cell>
        </row>
        <row r="3659">
          <cell r="U3659" t="str">
            <v>L106177</v>
          </cell>
          <cell r="V3659" t="str">
            <v>NV SRD 1X15 OZ-UNI</v>
          </cell>
          <cell r="W3659" t="str">
            <v>Ajuste</v>
          </cell>
          <cell r="X3659">
            <v>1147</v>
          </cell>
          <cell r="Y3659">
            <v>481.7399999999999</v>
          </cell>
        </row>
        <row r="3660">
          <cell r="U3660" t="str">
            <v>L106175</v>
          </cell>
          <cell r="V3660" t="str">
            <v>NV SRD 1X5.5 ONZ-UNI</v>
          </cell>
          <cell r="W3660" t="str">
            <v>Ajuste</v>
          </cell>
          <cell r="X3660">
            <v>2090</v>
          </cell>
          <cell r="Y3660">
            <v>313.50000000000017</v>
          </cell>
        </row>
        <row r="3661">
          <cell r="U3661" t="str">
            <v>L106175</v>
          </cell>
          <cell r="V3661" t="str">
            <v>NV SRD 50X5.5 ONZ-CAJA</v>
          </cell>
          <cell r="W3661" t="str">
            <v>Ajuste</v>
          </cell>
          <cell r="X3661">
            <v>170</v>
          </cell>
          <cell r="Y3661">
            <v>1324.3000000000002</v>
          </cell>
        </row>
        <row r="3662">
          <cell r="U3662" t="str">
            <v>L106176</v>
          </cell>
          <cell r="V3662" t="str">
            <v>NV SRD 1X5.5 ONZ-UNI</v>
          </cell>
          <cell r="W3662" t="str">
            <v>Ajuste</v>
          </cell>
          <cell r="X3662">
            <v>64</v>
          </cell>
          <cell r="Y3662">
            <v>9.6</v>
          </cell>
        </row>
        <row r="3663">
          <cell r="U3663" t="str">
            <v>L107338</v>
          </cell>
          <cell r="V3663" t="str">
            <v>PAL 6kg-Caja</v>
          </cell>
          <cell r="W3663" t="str">
            <v>Ajuste</v>
          </cell>
          <cell r="X3663">
            <v>1</v>
          </cell>
          <cell r="Y3663">
            <v>6</v>
          </cell>
        </row>
        <row r="3664">
          <cell r="U3664" t="str">
            <v>L106098</v>
          </cell>
          <cell r="V3664" t="str">
            <v>Pan kg</v>
          </cell>
          <cell r="W3664" t="str">
            <v>Ajuste</v>
          </cell>
          <cell r="X3664">
            <v>29.2</v>
          </cell>
          <cell r="Y3664">
            <v>29.2</v>
          </cell>
        </row>
        <row r="3665">
          <cell r="U3665" t="str">
            <v>L106137</v>
          </cell>
          <cell r="V3665" t="str">
            <v>Pan kg</v>
          </cell>
          <cell r="W3665" t="str">
            <v>Ajuste</v>
          </cell>
          <cell r="X3665">
            <v>3.25</v>
          </cell>
          <cell r="Y3665">
            <v>3.25</v>
          </cell>
        </row>
        <row r="3666">
          <cell r="U3666" t="str">
            <v>L106151</v>
          </cell>
          <cell r="V3666" t="str">
            <v>Pan kg</v>
          </cell>
          <cell r="W3666" t="str">
            <v>Ajuste</v>
          </cell>
          <cell r="X3666">
            <v>0.95</v>
          </cell>
          <cell r="Y3666">
            <v>0.95</v>
          </cell>
        </row>
        <row r="3667">
          <cell r="U3667" t="str">
            <v>L106432</v>
          </cell>
          <cell r="V3667" t="str">
            <v>Pan kg</v>
          </cell>
          <cell r="W3667" t="str">
            <v>Ajuste</v>
          </cell>
          <cell r="X3667">
            <v>2.3199999999999998</v>
          </cell>
          <cell r="Y3667">
            <v>2.3199999999999998</v>
          </cell>
        </row>
        <row r="3668">
          <cell r="U3668" t="str">
            <v>L107150</v>
          </cell>
          <cell r="V3668" t="str">
            <v>Pan kg</v>
          </cell>
          <cell r="W3668" t="str">
            <v>Ajuste</v>
          </cell>
          <cell r="X3668">
            <v>5.2</v>
          </cell>
          <cell r="Y3668">
            <v>5.2</v>
          </cell>
        </row>
        <row r="3669">
          <cell r="U3669" t="str">
            <v>L107285</v>
          </cell>
          <cell r="V3669" t="str">
            <v>Pan kg</v>
          </cell>
          <cell r="W3669" t="str">
            <v>Ajuste</v>
          </cell>
          <cell r="X3669">
            <v>2</v>
          </cell>
          <cell r="Y3669">
            <v>2</v>
          </cell>
        </row>
        <row r="3670">
          <cell r="U3670" t="str">
            <v>L106245</v>
          </cell>
          <cell r="V3670" t="str">
            <v>Pancake kg</v>
          </cell>
          <cell r="W3670" t="str">
            <v>Ajuste</v>
          </cell>
          <cell r="X3670">
            <v>3.47</v>
          </cell>
          <cell r="Y3670">
            <v>3.47</v>
          </cell>
        </row>
        <row r="3671">
          <cell r="U3671" t="str">
            <v>L106802</v>
          </cell>
          <cell r="V3671" t="str">
            <v>Pancake kg</v>
          </cell>
          <cell r="W3671" t="str">
            <v>Ajuste</v>
          </cell>
          <cell r="X3671">
            <v>6.41</v>
          </cell>
          <cell r="Y3671">
            <v>6.41</v>
          </cell>
        </row>
        <row r="3672">
          <cell r="U3672" t="str">
            <v>L106128</v>
          </cell>
          <cell r="V3672" t="str">
            <v>Pasta de tomate kg</v>
          </cell>
          <cell r="W3672" t="str">
            <v>Ajuste</v>
          </cell>
          <cell r="X3672">
            <v>165</v>
          </cell>
          <cell r="Y3672">
            <v>165</v>
          </cell>
        </row>
        <row r="3673">
          <cell r="U3673" t="str">
            <v>L106981</v>
          </cell>
          <cell r="V3673" t="str">
            <v>Pasta de tomate kg</v>
          </cell>
          <cell r="W3673" t="str">
            <v>Ajuste</v>
          </cell>
          <cell r="X3673">
            <v>450</v>
          </cell>
          <cell r="Y3673">
            <v>450</v>
          </cell>
        </row>
        <row r="3674">
          <cell r="U3674" t="str">
            <v>L107104</v>
          </cell>
          <cell r="V3674" t="str">
            <v>Pasta de tomate kg</v>
          </cell>
          <cell r="W3674" t="str">
            <v>Ajuste</v>
          </cell>
          <cell r="X3674">
            <v>1</v>
          </cell>
          <cell r="Y3674">
            <v>1</v>
          </cell>
        </row>
        <row r="3675">
          <cell r="U3675" t="str">
            <v>L107022</v>
          </cell>
          <cell r="V3675" t="str">
            <v>PASTV 6kg</v>
          </cell>
          <cell r="W3675" t="str">
            <v>Ajuste</v>
          </cell>
          <cell r="X3675">
            <v>2</v>
          </cell>
          <cell r="Y3675">
            <v>12</v>
          </cell>
        </row>
        <row r="3676">
          <cell r="U3676" t="str">
            <v>L106149</v>
          </cell>
          <cell r="V3676" t="str">
            <v>PASTVGT 2kg</v>
          </cell>
          <cell r="W3676" t="str">
            <v>Ajuste</v>
          </cell>
          <cell r="X3676">
            <v>4</v>
          </cell>
          <cell r="Y3676">
            <v>8</v>
          </cell>
        </row>
        <row r="3677">
          <cell r="U3677" t="str">
            <v>L106468</v>
          </cell>
          <cell r="V3677" t="str">
            <v>PASTVGT 2kg</v>
          </cell>
          <cell r="W3677" t="str">
            <v>Ajuste</v>
          </cell>
          <cell r="X3677">
            <v>2</v>
          </cell>
          <cell r="Y3677">
            <v>4</v>
          </cell>
        </row>
        <row r="3678">
          <cell r="U3678" t="str">
            <v>L106714</v>
          </cell>
          <cell r="V3678" t="str">
            <v>PASTVGT 3kg</v>
          </cell>
          <cell r="W3678" t="str">
            <v>Ajuste</v>
          </cell>
          <cell r="X3678">
            <v>6</v>
          </cell>
          <cell r="Y3678">
            <v>18</v>
          </cell>
        </row>
        <row r="3679">
          <cell r="U3679" t="str">
            <v>L107363</v>
          </cell>
          <cell r="V3679" t="str">
            <v>PCK 1kg - CAJA</v>
          </cell>
          <cell r="W3679" t="str">
            <v>Ajuste</v>
          </cell>
          <cell r="X3679">
            <v>25</v>
          </cell>
          <cell r="Y3679">
            <v>25</v>
          </cell>
        </row>
        <row r="3680">
          <cell r="U3680" t="str">
            <v>L106238</v>
          </cell>
          <cell r="V3680" t="str">
            <v>PCK 2kg - CAJA</v>
          </cell>
          <cell r="W3680" t="str">
            <v>Ajuste</v>
          </cell>
          <cell r="X3680">
            <v>4</v>
          </cell>
          <cell r="Y3680">
            <v>8</v>
          </cell>
        </row>
        <row r="3681">
          <cell r="U3681" t="str">
            <v>L106239</v>
          </cell>
          <cell r="V3681" t="str">
            <v>PCK 2kg - CAJA</v>
          </cell>
          <cell r="W3681" t="str">
            <v>Ajuste</v>
          </cell>
          <cell r="X3681">
            <v>4</v>
          </cell>
          <cell r="Y3681">
            <v>8</v>
          </cell>
        </row>
        <row r="3682">
          <cell r="U3682" t="str">
            <v>L106240</v>
          </cell>
          <cell r="V3682" t="str">
            <v>PCK 2kg - CAJA</v>
          </cell>
          <cell r="W3682" t="str">
            <v>Ajuste</v>
          </cell>
          <cell r="X3682">
            <v>6</v>
          </cell>
          <cell r="Y3682">
            <v>12</v>
          </cell>
        </row>
        <row r="3683">
          <cell r="U3683" t="str">
            <v>L106554</v>
          </cell>
          <cell r="V3683" t="str">
            <v>PCK 2kg - CAJA</v>
          </cell>
          <cell r="W3683" t="str">
            <v>Ajuste</v>
          </cell>
          <cell r="X3683">
            <v>2</v>
          </cell>
          <cell r="Y3683">
            <v>4</v>
          </cell>
        </row>
        <row r="3684">
          <cell r="U3684" t="str">
            <v>L106954</v>
          </cell>
          <cell r="V3684" t="str">
            <v>PCK 2kg - CAJA</v>
          </cell>
          <cell r="W3684" t="str">
            <v>Ajuste</v>
          </cell>
          <cell r="X3684">
            <v>12</v>
          </cell>
          <cell r="Y3684">
            <v>24</v>
          </cell>
        </row>
        <row r="3685">
          <cell r="U3685" t="str">
            <v>L107300</v>
          </cell>
          <cell r="V3685" t="str">
            <v>PCK 2kg - CAJA</v>
          </cell>
          <cell r="W3685" t="str">
            <v>Ajuste</v>
          </cell>
          <cell r="X3685">
            <v>3</v>
          </cell>
          <cell r="Y3685">
            <v>6</v>
          </cell>
        </row>
        <row r="3686">
          <cell r="U3686" t="str">
            <v>L106439</v>
          </cell>
          <cell r="V3686" t="str">
            <v>PDPI 1.5kg</v>
          </cell>
          <cell r="W3686" t="str">
            <v>Ajuste</v>
          </cell>
          <cell r="X3686">
            <v>62</v>
          </cell>
          <cell r="Y3686">
            <v>93</v>
          </cell>
        </row>
        <row r="3687">
          <cell r="U3687" t="str">
            <v>L106051</v>
          </cell>
          <cell r="V3687" t="str">
            <v>PFC 2KG - BOLSA</v>
          </cell>
          <cell r="W3687" t="str">
            <v>Ajuste</v>
          </cell>
          <cell r="X3687">
            <v>62</v>
          </cell>
          <cell r="Y3687">
            <v>124</v>
          </cell>
        </row>
        <row r="3688">
          <cell r="U3688" t="str">
            <v>L106142</v>
          </cell>
          <cell r="V3688" t="str">
            <v>PFC 2KG - BOLSA</v>
          </cell>
          <cell r="W3688" t="str">
            <v>Ajuste</v>
          </cell>
          <cell r="X3688">
            <v>20</v>
          </cell>
          <cell r="Y3688">
            <v>40</v>
          </cell>
        </row>
        <row r="3689">
          <cell r="U3689" t="str">
            <v>L106360</v>
          </cell>
          <cell r="V3689" t="str">
            <v>PFC 2KG - BOLSA</v>
          </cell>
          <cell r="W3689" t="str">
            <v>Ajuste</v>
          </cell>
          <cell r="X3689">
            <v>74</v>
          </cell>
          <cell r="Y3689">
            <v>148</v>
          </cell>
        </row>
        <row r="3690">
          <cell r="U3690" t="str">
            <v>L106587</v>
          </cell>
          <cell r="V3690" t="str">
            <v>PFC 2KG - BOLSA</v>
          </cell>
          <cell r="W3690" t="str">
            <v>Ajuste</v>
          </cell>
          <cell r="X3690">
            <v>116</v>
          </cell>
          <cell r="Y3690">
            <v>232</v>
          </cell>
        </row>
        <row r="3691">
          <cell r="U3691" t="str">
            <v>L106948</v>
          </cell>
          <cell r="V3691" t="str">
            <v>PFC 2KG - BOLSA</v>
          </cell>
          <cell r="W3691" t="str">
            <v>Ajuste</v>
          </cell>
          <cell r="X3691">
            <v>74</v>
          </cell>
          <cell r="Y3691">
            <v>148</v>
          </cell>
        </row>
        <row r="3692">
          <cell r="U3692" t="str">
            <v>L107280</v>
          </cell>
          <cell r="V3692" t="str">
            <v>PFC 2KG - BOLSA</v>
          </cell>
          <cell r="W3692" t="str">
            <v>Ajuste</v>
          </cell>
          <cell r="X3692">
            <v>43</v>
          </cell>
          <cell r="Y3692">
            <v>86</v>
          </cell>
        </row>
        <row r="3693">
          <cell r="U3693" t="str">
            <v>L106939</v>
          </cell>
          <cell r="V3693" t="str">
            <v>PFC 2KG - BOLSA</v>
          </cell>
          <cell r="W3693" t="str">
            <v>Ajuste</v>
          </cell>
          <cell r="X3693">
            <v>2</v>
          </cell>
          <cell r="Y3693">
            <v>4</v>
          </cell>
        </row>
        <row r="3694">
          <cell r="U3694" t="str">
            <v>L106052</v>
          </cell>
          <cell r="V3694" t="str">
            <v>PFC 3KG - CAJA</v>
          </cell>
          <cell r="W3694" t="str">
            <v>Ajuste</v>
          </cell>
          <cell r="X3694">
            <v>2</v>
          </cell>
          <cell r="Y3694">
            <v>6</v>
          </cell>
        </row>
        <row r="3695">
          <cell r="U3695" t="str">
            <v>L106949</v>
          </cell>
          <cell r="V3695" t="str">
            <v>PFC 3KG - CAJA</v>
          </cell>
          <cell r="W3695" t="str">
            <v>Ajuste</v>
          </cell>
          <cell r="X3695">
            <v>2</v>
          </cell>
          <cell r="Y3695">
            <v>6</v>
          </cell>
        </row>
        <row r="3696">
          <cell r="U3696" t="str">
            <v>L107281</v>
          </cell>
          <cell r="V3696" t="str">
            <v>PFC 3KG - CAJA</v>
          </cell>
          <cell r="W3696" t="str">
            <v>Ajuste</v>
          </cell>
          <cell r="X3696">
            <v>2</v>
          </cell>
          <cell r="Y3696">
            <v>6</v>
          </cell>
        </row>
        <row r="3697">
          <cell r="U3697" t="str">
            <v>L106260</v>
          </cell>
          <cell r="V3697" t="str">
            <v>PH 1kg</v>
          </cell>
          <cell r="W3697" t="str">
            <v>Ajuste</v>
          </cell>
          <cell r="X3697">
            <v>12</v>
          </cell>
          <cell r="Y3697">
            <v>12</v>
          </cell>
        </row>
        <row r="3698">
          <cell r="U3698" t="str">
            <v>L106832</v>
          </cell>
          <cell r="V3698" t="str">
            <v>PH 1kg</v>
          </cell>
          <cell r="W3698" t="str">
            <v>Ajuste</v>
          </cell>
          <cell r="X3698">
            <v>7</v>
          </cell>
          <cell r="Y3698">
            <v>7</v>
          </cell>
        </row>
        <row r="3699">
          <cell r="U3699" t="str">
            <v>L106832</v>
          </cell>
          <cell r="V3699" t="str">
            <v>PH 1kg</v>
          </cell>
          <cell r="W3699" t="str">
            <v>Uso del BAP</v>
          </cell>
          <cell r="X3699">
            <v>1</v>
          </cell>
          <cell r="Y3699">
            <v>1</v>
          </cell>
        </row>
        <row r="3700">
          <cell r="U3700" t="str">
            <v>L107346</v>
          </cell>
          <cell r="V3700" t="str">
            <v>PH 1kg</v>
          </cell>
          <cell r="W3700" t="str">
            <v>Ajuste</v>
          </cell>
          <cell r="X3700">
            <v>15</v>
          </cell>
          <cell r="Y3700">
            <v>15</v>
          </cell>
        </row>
        <row r="3701">
          <cell r="U3701" t="str">
            <v>L107389</v>
          </cell>
          <cell r="V3701" t="str">
            <v>PHC 1kg - UNIDAD</v>
          </cell>
          <cell r="W3701" t="str">
            <v>Ajuste</v>
          </cell>
          <cell r="X3701">
            <v>30</v>
          </cell>
          <cell r="Y3701">
            <v>30</v>
          </cell>
        </row>
        <row r="3702">
          <cell r="U3702" t="str">
            <v>L106855</v>
          </cell>
          <cell r="V3702" t="str">
            <v>PIEVR 4kg</v>
          </cell>
          <cell r="W3702" t="str">
            <v>Ajuste</v>
          </cell>
          <cell r="X3702">
            <v>158</v>
          </cell>
          <cell r="Y3702">
            <v>632</v>
          </cell>
        </row>
        <row r="3703">
          <cell r="U3703" t="str">
            <v>L106412</v>
          </cell>
          <cell r="V3703" t="str">
            <v>PLA 1.3kg - UNIDAD</v>
          </cell>
          <cell r="W3703" t="str">
            <v>Ajuste</v>
          </cell>
          <cell r="X3703">
            <v>682</v>
          </cell>
          <cell r="Y3703">
            <v>886.599999999999</v>
          </cell>
        </row>
        <row r="3704">
          <cell r="U3704" t="str">
            <v>L106387</v>
          </cell>
          <cell r="V3704" t="str">
            <v>PLM 1kg-CAJA</v>
          </cell>
          <cell r="W3704" t="str">
            <v>Ajuste</v>
          </cell>
          <cell r="X3704">
            <v>4</v>
          </cell>
          <cell r="Y3704">
            <v>4</v>
          </cell>
        </row>
        <row r="3705">
          <cell r="U3705" t="str">
            <v>L106303</v>
          </cell>
          <cell r="V3705" t="str">
            <v>PLMTO 3kg</v>
          </cell>
          <cell r="W3705" t="str">
            <v>Ajuste</v>
          </cell>
          <cell r="X3705">
            <v>6</v>
          </cell>
          <cell r="Y3705">
            <v>18</v>
          </cell>
        </row>
        <row r="3706">
          <cell r="U3706" t="str">
            <v>L106250</v>
          </cell>
          <cell r="V3706" t="str">
            <v>PMP 1kg-CAJA</v>
          </cell>
          <cell r="W3706" t="str">
            <v>Ajuste</v>
          </cell>
          <cell r="X3706">
            <v>24</v>
          </cell>
          <cell r="Y3706">
            <v>24</v>
          </cell>
        </row>
        <row r="3707">
          <cell r="U3707" t="str">
            <v>L106830</v>
          </cell>
          <cell r="V3707" t="str">
            <v>PMP 1kg-CAJA</v>
          </cell>
          <cell r="W3707" t="str">
            <v>Ajuste</v>
          </cell>
          <cell r="X3707">
            <v>20</v>
          </cell>
          <cell r="Y3707">
            <v>20</v>
          </cell>
        </row>
        <row r="3708">
          <cell r="U3708" t="str">
            <v>L107347</v>
          </cell>
          <cell r="V3708" t="str">
            <v>PMP 1kg-CAJA</v>
          </cell>
          <cell r="W3708" t="str">
            <v>Ajuste</v>
          </cell>
          <cell r="X3708">
            <v>6</v>
          </cell>
          <cell r="Y3708">
            <v>6</v>
          </cell>
        </row>
        <row r="3709">
          <cell r="U3709" t="str">
            <v>L107379</v>
          </cell>
          <cell r="V3709" t="str">
            <v>PMT 2kg-CAJA</v>
          </cell>
          <cell r="W3709" t="str">
            <v>Ajuste</v>
          </cell>
          <cell r="X3709">
            <v>2</v>
          </cell>
          <cell r="Y3709">
            <v>4</v>
          </cell>
        </row>
        <row r="3710">
          <cell r="U3710" t="str">
            <v>L106831</v>
          </cell>
          <cell r="V3710" t="str">
            <v>PNA 1kg-CAJA</v>
          </cell>
          <cell r="W3710" t="str">
            <v>Ajuste</v>
          </cell>
          <cell r="X3710">
            <v>14</v>
          </cell>
          <cell r="Y3710">
            <v>14</v>
          </cell>
        </row>
        <row r="3711">
          <cell r="U3711" t="str">
            <v>L107348</v>
          </cell>
          <cell r="V3711" t="str">
            <v>PNA 1kg-CAJA</v>
          </cell>
          <cell r="W3711" t="str">
            <v>Ajuste</v>
          </cell>
          <cell r="X3711">
            <v>5</v>
          </cell>
          <cell r="Y3711">
            <v>5</v>
          </cell>
        </row>
        <row r="3712">
          <cell r="U3712" t="str">
            <v>L106069</v>
          </cell>
          <cell r="V3712" t="str">
            <v>PNALT 3kg</v>
          </cell>
          <cell r="W3712" t="str">
            <v>Ajuste</v>
          </cell>
          <cell r="X3712">
            <v>16</v>
          </cell>
          <cell r="Y3712">
            <v>48</v>
          </cell>
        </row>
        <row r="3713">
          <cell r="U3713" t="str">
            <v>L106070</v>
          </cell>
          <cell r="V3713" t="str">
            <v>PNALT 3kg</v>
          </cell>
          <cell r="W3713" t="str">
            <v>Ajuste</v>
          </cell>
          <cell r="X3713">
            <v>25</v>
          </cell>
          <cell r="Y3713">
            <v>75</v>
          </cell>
        </row>
        <row r="3714">
          <cell r="U3714" t="str">
            <v>L106072</v>
          </cell>
          <cell r="V3714" t="str">
            <v>PNALT 3kg</v>
          </cell>
          <cell r="W3714" t="str">
            <v>Ajuste</v>
          </cell>
          <cell r="X3714">
            <v>10</v>
          </cell>
          <cell r="Y3714">
            <v>30</v>
          </cell>
        </row>
        <row r="3715">
          <cell r="U3715" t="str">
            <v>L106117</v>
          </cell>
          <cell r="V3715" t="str">
            <v>PNALT 3kg</v>
          </cell>
          <cell r="W3715" t="str">
            <v>Ajuste</v>
          </cell>
          <cell r="X3715">
            <v>4</v>
          </cell>
          <cell r="Y3715">
            <v>12</v>
          </cell>
        </row>
        <row r="3716">
          <cell r="U3716" t="str">
            <v>L106118</v>
          </cell>
          <cell r="V3716" t="str">
            <v>PNALT 3kg</v>
          </cell>
          <cell r="W3716" t="str">
            <v>Ajuste</v>
          </cell>
          <cell r="X3716">
            <v>4</v>
          </cell>
          <cell r="Y3716">
            <v>12</v>
          </cell>
        </row>
        <row r="3717">
          <cell r="U3717" t="str">
            <v>L106119</v>
          </cell>
          <cell r="V3717" t="str">
            <v>PNALT 3kg</v>
          </cell>
          <cell r="W3717" t="str">
            <v>Ajuste</v>
          </cell>
          <cell r="X3717">
            <v>8</v>
          </cell>
          <cell r="Y3717">
            <v>24</v>
          </cell>
        </row>
        <row r="3718">
          <cell r="U3718" t="str">
            <v>L106135</v>
          </cell>
          <cell r="V3718" t="str">
            <v>PNALT 3kg</v>
          </cell>
          <cell r="W3718" t="str">
            <v>Ajuste</v>
          </cell>
          <cell r="X3718">
            <v>8</v>
          </cell>
          <cell r="Y3718">
            <v>24</v>
          </cell>
        </row>
        <row r="3719">
          <cell r="U3719" t="str">
            <v>L106308</v>
          </cell>
          <cell r="V3719" t="str">
            <v>PNALT 3kg</v>
          </cell>
          <cell r="W3719" t="str">
            <v>Ajuste</v>
          </cell>
          <cell r="X3719">
            <v>3</v>
          </cell>
          <cell r="Y3719">
            <v>9</v>
          </cell>
        </row>
        <row r="3720">
          <cell r="U3720" t="str">
            <v>L107333</v>
          </cell>
          <cell r="V3720" t="str">
            <v>PNALT 3kg</v>
          </cell>
          <cell r="W3720" t="str">
            <v>Ajuste</v>
          </cell>
          <cell r="X3720">
            <v>3</v>
          </cell>
          <cell r="Y3720">
            <v>9</v>
          </cell>
        </row>
        <row r="3721">
          <cell r="U3721" t="str">
            <v>L106403</v>
          </cell>
          <cell r="V3721" t="str">
            <v>PPC 20kg-BOLSA</v>
          </cell>
          <cell r="W3721" t="str">
            <v>Ajuste</v>
          </cell>
          <cell r="X3721">
            <v>70</v>
          </cell>
          <cell r="Y3721">
            <v>1400</v>
          </cell>
        </row>
        <row r="3722">
          <cell r="U3722" t="str">
            <v>L107014</v>
          </cell>
          <cell r="V3722" t="str">
            <v>PPC 20kg-BOLSA</v>
          </cell>
          <cell r="W3722" t="str">
            <v>Ajuste</v>
          </cell>
          <cell r="X3722">
            <v>114</v>
          </cell>
          <cell r="Y3722">
            <v>2280</v>
          </cell>
        </row>
        <row r="3723">
          <cell r="U3723" t="str">
            <v>L106400</v>
          </cell>
          <cell r="V3723" t="str">
            <v>PPF 2kg-CAJA</v>
          </cell>
          <cell r="W3723" t="str">
            <v>Ajuste</v>
          </cell>
          <cell r="X3723">
            <v>24</v>
          </cell>
          <cell r="Y3723">
            <v>48</v>
          </cell>
        </row>
        <row r="3724">
          <cell r="U3724" t="str">
            <v>L106399</v>
          </cell>
          <cell r="V3724" t="str">
            <v>PPF 3kg-CAJA</v>
          </cell>
          <cell r="W3724" t="str">
            <v>Ajuste</v>
          </cell>
          <cell r="X3724">
            <v>420</v>
          </cell>
          <cell r="Y3724">
            <v>1260</v>
          </cell>
        </row>
        <row r="3725">
          <cell r="U3725" t="str">
            <v>L106861</v>
          </cell>
          <cell r="V3725" t="str">
            <v>PPF 3kg-CAJA</v>
          </cell>
          <cell r="W3725" t="str">
            <v>Ajuste</v>
          </cell>
          <cell r="X3725">
            <v>204</v>
          </cell>
          <cell r="Y3725">
            <v>612</v>
          </cell>
        </row>
        <row r="3726">
          <cell r="U3726" t="str">
            <v>L106884</v>
          </cell>
          <cell r="V3726" t="str">
            <v>PTD 1 kg</v>
          </cell>
          <cell r="W3726" t="str">
            <v>Ajuste</v>
          </cell>
          <cell r="X3726">
            <v>80</v>
          </cell>
          <cell r="Y3726">
            <v>80</v>
          </cell>
        </row>
        <row r="3727">
          <cell r="U3727" t="str">
            <v>L106978</v>
          </cell>
          <cell r="V3727" t="str">
            <v>PTD 1 kg</v>
          </cell>
          <cell r="W3727" t="str">
            <v>Ajuste</v>
          </cell>
          <cell r="X3727">
            <v>29</v>
          </cell>
          <cell r="Y3727">
            <v>29</v>
          </cell>
        </row>
        <row r="3728">
          <cell r="U3728" t="str">
            <v>L106889</v>
          </cell>
          <cell r="V3728" t="str">
            <v>PTD 1 kg</v>
          </cell>
          <cell r="W3728" t="str">
            <v>Ajuste</v>
          </cell>
          <cell r="X3728">
            <v>100</v>
          </cell>
          <cell r="Y3728">
            <v>100</v>
          </cell>
        </row>
        <row r="3729">
          <cell r="U3729" t="str">
            <v>L107224</v>
          </cell>
          <cell r="V3729" t="str">
            <v>PTD 1 kg</v>
          </cell>
          <cell r="W3729" t="str">
            <v>Ajuste</v>
          </cell>
          <cell r="X3729">
            <v>42</v>
          </cell>
          <cell r="Y3729">
            <v>42</v>
          </cell>
        </row>
        <row r="3730">
          <cell r="U3730" t="str">
            <v>L107225</v>
          </cell>
          <cell r="V3730" t="str">
            <v>PTD 1 kg</v>
          </cell>
          <cell r="W3730" t="str">
            <v>Ajuste</v>
          </cell>
          <cell r="X3730">
            <v>72</v>
          </cell>
          <cell r="Y3730">
            <v>72</v>
          </cell>
        </row>
        <row r="3731">
          <cell r="U3731" t="str">
            <v>L106883</v>
          </cell>
          <cell r="V3731" t="str">
            <v>PTD 1 kg</v>
          </cell>
          <cell r="W3731" t="str">
            <v>Ajuste</v>
          </cell>
          <cell r="X3731">
            <v>48</v>
          </cell>
          <cell r="Y3731">
            <v>48</v>
          </cell>
        </row>
        <row r="3732">
          <cell r="U3732" t="str">
            <v>L106885</v>
          </cell>
          <cell r="V3732" t="str">
            <v>PTD 1 kg</v>
          </cell>
          <cell r="W3732" t="str">
            <v>Ajuste</v>
          </cell>
          <cell r="X3732">
            <v>84</v>
          </cell>
          <cell r="Y3732">
            <v>84</v>
          </cell>
        </row>
        <row r="3733">
          <cell r="U3733" t="str">
            <v>L106886</v>
          </cell>
          <cell r="V3733" t="str">
            <v>PTD 1 kg</v>
          </cell>
          <cell r="W3733" t="str">
            <v>Ajuste</v>
          </cell>
          <cell r="X3733">
            <v>24</v>
          </cell>
          <cell r="Y3733">
            <v>24</v>
          </cell>
        </row>
        <row r="3734">
          <cell r="U3734" t="str">
            <v>L106887</v>
          </cell>
          <cell r="V3734" t="str">
            <v>PTD 1 kg</v>
          </cell>
          <cell r="W3734" t="str">
            <v>Ajuste</v>
          </cell>
          <cell r="X3734">
            <v>89</v>
          </cell>
          <cell r="Y3734">
            <v>89</v>
          </cell>
        </row>
        <row r="3735">
          <cell r="U3735" t="str">
            <v>L106888</v>
          </cell>
          <cell r="V3735" t="str">
            <v>PTD 1 kg</v>
          </cell>
          <cell r="W3735" t="str">
            <v>Ajuste</v>
          </cell>
          <cell r="X3735">
            <v>64</v>
          </cell>
          <cell r="Y3735">
            <v>64</v>
          </cell>
        </row>
        <row r="3736">
          <cell r="U3736" t="str">
            <v>L106898</v>
          </cell>
          <cell r="V3736" t="str">
            <v>PTD 1 kg</v>
          </cell>
          <cell r="W3736" t="str">
            <v>Ajuste</v>
          </cell>
          <cell r="X3736">
            <v>79</v>
          </cell>
          <cell r="Y3736">
            <v>79</v>
          </cell>
        </row>
        <row r="3737">
          <cell r="U3737" t="str">
            <v>L106977</v>
          </cell>
          <cell r="V3737" t="str">
            <v>PTD 1 kg</v>
          </cell>
          <cell r="W3737" t="str">
            <v>Ajuste</v>
          </cell>
          <cell r="X3737">
            <v>11</v>
          </cell>
          <cell r="Y3737">
            <v>11</v>
          </cell>
        </row>
        <row r="3738">
          <cell r="U3738" t="str">
            <v>L106979</v>
          </cell>
          <cell r="V3738" t="str">
            <v>PTD 1 kg</v>
          </cell>
          <cell r="W3738" t="str">
            <v>Ajuste</v>
          </cell>
          <cell r="X3738">
            <v>12</v>
          </cell>
          <cell r="Y3738">
            <v>12</v>
          </cell>
        </row>
        <row r="3739">
          <cell r="U3739" t="str">
            <v>L107220</v>
          </cell>
          <cell r="V3739" t="str">
            <v>PTD 1 kg</v>
          </cell>
          <cell r="W3739" t="str">
            <v>Ajuste</v>
          </cell>
          <cell r="X3739">
            <v>5</v>
          </cell>
          <cell r="Y3739">
            <v>5</v>
          </cell>
        </row>
        <row r="3740">
          <cell r="U3740" t="str">
            <v>L107221</v>
          </cell>
          <cell r="V3740" t="str">
            <v>PTD 1 kg</v>
          </cell>
          <cell r="W3740" t="str">
            <v>Ajuste</v>
          </cell>
          <cell r="X3740">
            <v>14</v>
          </cell>
          <cell r="Y3740">
            <v>14</v>
          </cell>
        </row>
        <row r="3741">
          <cell r="U3741" t="str">
            <v>L107222</v>
          </cell>
          <cell r="V3741" t="str">
            <v>PTD 1 kg</v>
          </cell>
          <cell r="W3741" t="str">
            <v>Ajuste</v>
          </cell>
          <cell r="X3741">
            <v>18</v>
          </cell>
          <cell r="Y3741">
            <v>18</v>
          </cell>
        </row>
        <row r="3742">
          <cell r="U3742" t="str">
            <v>L107223</v>
          </cell>
          <cell r="V3742" t="str">
            <v>PTD 1 kg</v>
          </cell>
          <cell r="W3742" t="str">
            <v>Ajuste</v>
          </cell>
          <cell r="X3742">
            <v>10</v>
          </cell>
          <cell r="Y3742">
            <v>10</v>
          </cell>
        </row>
        <row r="3743">
          <cell r="U3743" t="str">
            <v>L107226</v>
          </cell>
          <cell r="V3743" t="str">
            <v>PTD 1 kg</v>
          </cell>
          <cell r="W3743" t="str">
            <v>Ajuste</v>
          </cell>
          <cell r="X3743">
            <v>14</v>
          </cell>
          <cell r="Y3743">
            <v>14</v>
          </cell>
        </row>
        <row r="3744">
          <cell r="U3744" t="str">
            <v>L107227</v>
          </cell>
          <cell r="V3744" t="str">
            <v>PTD 1 kg</v>
          </cell>
          <cell r="W3744" t="str">
            <v>Ajuste</v>
          </cell>
          <cell r="X3744">
            <v>5</v>
          </cell>
          <cell r="Y3744">
            <v>5</v>
          </cell>
        </row>
        <row r="3745">
          <cell r="U3745" t="str">
            <v>L107228</v>
          </cell>
          <cell r="V3745" t="str">
            <v>PTD 1 kg</v>
          </cell>
          <cell r="W3745" t="str">
            <v>Ajuste</v>
          </cell>
          <cell r="X3745">
            <v>14</v>
          </cell>
          <cell r="Y3745">
            <v>14</v>
          </cell>
        </row>
        <row r="3746">
          <cell r="U3746" t="str">
            <v>L107229</v>
          </cell>
          <cell r="V3746" t="str">
            <v>PTD 1 kg</v>
          </cell>
          <cell r="W3746" t="str">
            <v>Ajuste</v>
          </cell>
          <cell r="X3746">
            <v>6</v>
          </cell>
          <cell r="Y3746">
            <v>6</v>
          </cell>
        </row>
        <row r="3747">
          <cell r="U3747" t="str">
            <v>L107230</v>
          </cell>
          <cell r="V3747" t="str">
            <v>PTD 1 kg</v>
          </cell>
          <cell r="W3747" t="str">
            <v>Ajuste</v>
          </cell>
          <cell r="X3747">
            <v>5</v>
          </cell>
          <cell r="Y3747">
            <v>5</v>
          </cell>
        </row>
        <row r="3748">
          <cell r="U3748" t="str">
            <v>L107231</v>
          </cell>
          <cell r="V3748" t="str">
            <v>PTD 1 kg</v>
          </cell>
          <cell r="W3748" t="str">
            <v>Ajuste</v>
          </cell>
          <cell r="X3748">
            <v>1</v>
          </cell>
          <cell r="Y3748">
            <v>1</v>
          </cell>
        </row>
        <row r="3749">
          <cell r="U3749" t="str">
            <v>L107232</v>
          </cell>
          <cell r="V3749" t="str">
            <v>PTD 1 kg</v>
          </cell>
          <cell r="W3749" t="str">
            <v>Ajuste</v>
          </cell>
          <cell r="X3749">
            <v>12</v>
          </cell>
          <cell r="Y3749">
            <v>12</v>
          </cell>
        </row>
        <row r="3750">
          <cell r="U3750" t="str">
            <v>L107263</v>
          </cell>
          <cell r="V3750" t="str">
            <v>PTD 1 kg</v>
          </cell>
          <cell r="W3750" t="str">
            <v>Ajuste</v>
          </cell>
          <cell r="X3750">
            <v>3</v>
          </cell>
          <cell r="Y3750">
            <v>3</v>
          </cell>
        </row>
        <row r="3751">
          <cell r="U3751" t="str">
            <v>L102833</v>
          </cell>
          <cell r="V3751" t="str">
            <v>PTD 2 kg</v>
          </cell>
          <cell r="W3751" t="str">
            <v>Ajuste</v>
          </cell>
          <cell r="X3751">
            <v>4</v>
          </cell>
          <cell r="Y3751">
            <v>8</v>
          </cell>
        </row>
        <row r="3752">
          <cell r="U3752" t="str">
            <v>L106612</v>
          </cell>
          <cell r="V3752" t="str">
            <v>PTM -2kg- Caja</v>
          </cell>
          <cell r="W3752" t="str">
            <v>Ajuste</v>
          </cell>
          <cell r="X3752">
            <v>8</v>
          </cell>
          <cell r="Y3752">
            <v>16</v>
          </cell>
        </row>
        <row r="3753">
          <cell r="U3753" t="str">
            <v>L106613</v>
          </cell>
          <cell r="V3753" t="str">
            <v>PTM -2kg- Caja</v>
          </cell>
          <cell r="W3753" t="str">
            <v>Ajuste</v>
          </cell>
          <cell r="X3753">
            <v>2</v>
          </cell>
          <cell r="Y3753">
            <v>4</v>
          </cell>
        </row>
        <row r="3754">
          <cell r="U3754" t="str">
            <v>L106614</v>
          </cell>
          <cell r="V3754" t="str">
            <v>PTM -2kg- Caja</v>
          </cell>
          <cell r="W3754" t="str">
            <v>Ajuste</v>
          </cell>
          <cell r="X3754">
            <v>2</v>
          </cell>
          <cell r="Y3754">
            <v>4</v>
          </cell>
        </row>
        <row r="3755">
          <cell r="U3755" t="str">
            <v>L106611</v>
          </cell>
          <cell r="V3755" t="str">
            <v>PTM -3kg- Caja</v>
          </cell>
          <cell r="W3755" t="str">
            <v>Ajuste</v>
          </cell>
          <cell r="X3755">
            <v>2</v>
          </cell>
          <cell r="Y3755">
            <v>6</v>
          </cell>
        </row>
        <row r="3756">
          <cell r="U3756" t="str">
            <v>L106838</v>
          </cell>
          <cell r="V3756" t="str">
            <v>PTM 5kg-CAJA</v>
          </cell>
          <cell r="W3756" t="str">
            <v>Ajuste</v>
          </cell>
          <cell r="X3756">
            <v>120</v>
          </cell>
          <cell r="Y3756">
            <v>600</v>
          </cell>
        </row>
        <row r="3757">
          <cell r="U3757" t="str">
            <v>L106837</v>
          </cell>
          <cell r="V3757" t="str">
            <v>PTM 5kg-CAJA</v>
          </cell>
          <cell r="W3757" t="str">
            <v>Ajuste</v>
          </cell>
          <cell r="X3757">
            <v>108</v>
          </cell>
          <cell r="Y3757">
            <v>540</v>
          </cell>
        </row>
        <row r="3758">
          <cell r="U3758" t="str">
            <v>L106836</v>
          </cell>
          <cell r="V3758" t="str">
            <v>PTM 5kg-CAJA</v>
          </cell>
          <cell r="W3758" t="str">
            <v>Ajuste</v>
          </cell>
          <cell r="X3758">
            <v>107</v>
          </cell>
          <cell r="Y3758">
            <v>535</v>
          </cell>
        </row>
        <row r="3759">
          <cell r="U3759" t="str">
            <v>L106835</v>
          </cell>
          <cell r="V3759" t="str">
            <v>PTM 5kg-CAJA</v>
          </cell>
          <cell r="W3759" t="str">
            <v>Ajuste</v>
          </cell>
          <cell r="X3759">
            <v>161</v>
          </cell>
          <cell r="Y3759">
            <v>805</v>
          </cell>
        </row>
        <row r="3760">
          <cell r="U3760" t="str">
            <v>L106976</v>
          </cell>
          <cell r="V3760" t="str">
            <v>PTM 5kg-CAJA</v>
          </cell>
          <cell r="W3760" t="str">
            <v>Ajuste</v>
          </cell>
          <cell r="X3760">
            <v>222</v>
          </cell>
          <cell r="Y3760">
            <v>1110</v>
          </cell>
        </row>
        <row r="3761">
          <cell r="U3761" t="str">
            <v>L106123</v>
          </cell>
          <cell r="V3761" t="str">
            <v>PTM 5kg-CAJA</v>
          </cell>
          <cell r="W3761" t="str">
            <v>Ajuste</v>
          </cell>
          <cell r="X3761">
            <v>154</v>
          </cell>
          <cell r="Y3761">
            <v>770</v>
          </cell>
        </row>
        <row r="3762">
          <cell r="U3762" t="str">
            <v>L106124</v>
          </cell>
          <cell r="V3762" t="str">
            <v>PTM 5kg-CAJA</v>
          </cell>
          <cell r="W3762" t="str">
            <v>Ajuste</v>
          </cell>
          <cell r="X3762">
            <v>38</v>
          </cell>
          <cell r="Y3762">
            <v>190</v>
          </cell>
        </row>
        <row r="3763">
          <cell r="U3763" t="str">
            <v>L106125</v>
          </cell>
          <cell r="V3763" t="str">
            <v>PTM 5kg-CAJA</v>
          </cell>
          <cell r="W3763" t="str">
            <v>Ajuste</v>
          </cell>
          <cell r="X3763">
            <v>176</v>
          </cell>
          <cell r="Y3763">
            <v>880</v>
          </cell>
        </row>
        <row r="3764">
          <cell r="U3764" t="str">
            <v>L106126</v>
          </cell>
          <cell r="V3764" t="str">
            <v>PTM 5kg-CAJA</v>
          </cell>
          <cell r="W3764" t="str">
            <v>Ajuste</v>
          </cell>
          <cell r="X3764">
            <v>142</v>
          </cell>
          <cell r="Y3764">
            <v>710</v>
          </cell>
        </row>
        <row r="3765">
          <cell r="U3765" t="str">
            <v>L106127</v>
          </cell>
          <cell r="V3765" t="str">
            <v>PTM 5kg-CAJA</v>
          </cell>
          <cell r="W3765" t="str">
            <v>Ajuste</v>
          </cell>
          <cell r="X3765">
            <v>58</v>
          </cell>
          <cell r="Y3765">
            <v>290</v>
          </cell>
        </row>
        <row r="3766">
          <cell r="U3766" t="str">
            <v>L106980</v>
          </cell>
          <cell r="V3766" t="str">
            <v>PTM 5kg-CAJA</v>
          </cell>
          <cell r="W3766" t="str">
            <v>Ajuste</v>
          </cell>
          <cell r="X3766">
            <v>77</v>
          </cell>
          <cell r="Y3766">
            <v>385</v>
          </cell>
        </row>
        <row r="3767">
          <cell r="U3767" t="str">
            <v>L107052</v>
          </cell>
          <cell r="V3767" t="str">
            <v>PTN 1kg-CAJA</v>
          </cell>
          <cell r="W3767" t="str">
            <v>Ajuste</v>
          </cell>
          <cell r="X3767">
            <v>16</v>
          </cell>
          <cell r="Y3767">
            <v>16</v>
          </cell>
        </row>
        <row r="3768">
          <cell r="U3768" t="str">
            <v>L106325</v>
          </cell>
          <cell r="V3768" t="str">
            <v>PTV 5kg</v>
          </cell>
          <cell r="W3768" t="str">
            <v>Ajuste</v>
          </cell>
          <cell r="X3768">
            <v>120</v>
          </cell>
          <cell r="Y3768">
            <v>600</v>
          </cell>
        </row>
        <row r="3769">
          <cell r="U3769" t="str">
            <v>L106104</v>
          </cell>
          <cell r="V3769" t="str">
            <v>PV ADR 3kg</v>
          </cell>
          <cell r="W3769" t="str">
            <v>Ajuste</v>
          </cell>
          <cell r="X3769">
            <v>96</v>
          </cell>
          <cell r="Y3769">
            <v>288</v>
          </cell>
        </row>
        <row r="3770">
          <cell r="U3770" t="str">
            <v>L106772</v>
          </cell>
          <cell r="V3770" t="str">
            <v>PV ARZ 5Kg</v>
          </cell>
          <cell r="W3770" t="str">
            <v>Ajuste</v>
          </cell>
          <cell r="X3770">
            <v>204</v>
          </cell>
          <cell r="Y3770">
            <v>1020</v>
          </cell>
        </row>
        <row r="3771">
          <cell r="U3771" t="str">
            <v>L106162</v>
          </cell>
          <cell r="V3771" t="str">
            <v>PV ARZ 5Kg</v>
          </cell>
          <cell r="W3771" t="str">
            <v>Ajuste</v>
          </cell>
          <cell r="X3771">
            <v>74</v>
          </cell>
          <cell r="Y3771">
            <v>370</v>
          </cell>
        </row>
        <row r="3772">
          <cell r="U3772" t="str">
            <v>L107245</v>
          </cell>
          <cell r="V3772" t="str">
            <v>PV ARZ 5Kg</v>
          </cell>
          <cell r="W3772" t="str">
            <v>Ajuste</v>
          </cell>
          <cell r="X3772">
            <v>56</v>
          </cell>
          <cell r="Y3772">
            <v>280</v>
          </cell>
        </row>
        <row r="3773">
          <cell r="U3773" t="str">
            <v>L106829</v>
          </cell>
          <cell r="V3773" t="str">
            <v>PV CHT 2KG</v>
          </cell>
          <cell r="W3773" t="str">
            <v>Ajuste</v>
          </cell>
          <cell r="X3773">
            <v>20</v>
          </cell>
          <cell r="Y3773">
            <v>40</v>
          </cell>
        </row>
        <row r="3774">
          <cell r="U3774" t="str">
            <v>L106852</v>
          </cell>
          <cell r="V3774" t="str">
            <v>PV CRV 2kg</v>
          </cell>
          <cell r="W3774" t="str">
            <v>Ajuste</v>
          </cell>
          <cell r="X3774">
            <v>4</v>
          </cell>
          <cell r="Y3774">
            <v>8</v>
          </cell>
        </row>
        <row r="3775">
          <cell r="U3775" t="str">
            <v>L106512</v>
          </cell>
          <cell r="V3775" t="str">
            <v>PV EMBV 2kg</v>
          </cell>
          <cell r="W3775" t="str">
            <v>Ajuste</v>
          </cell>
          <cell r="X3775">
            <v>36</v>
          </cell>
          <cell r="Y3775">
            <v>72</v>
          </cell>
        </row>
        <row r="3776">
          <cell r="U3776" t="str">
            <v>L106473</v>
          </cell>
          <cell r="V3776" t="str">
            <v>PV EMBV 2kg</v>
          </cell>
          <cell r="W3776" t="str">
            <v>Ajuste</v>
          </cell>
          <cell r="X3776">
            <v>108</v>
          </cell>
          <cell r="Y3776">
            <v>216</v>
          </cell>
        </row>
        <row r="3777">
          <cell r="U3777" t="str">
            <v>L106511</v>
          </cell>
          <cell r="V3777" t="str">
            <v>PV EMBV 2kg</v>
          </cell>
          <cell r="W3777" t="str">
            <v>Ajuste</v>
          </cell>
          <cell r="X3777">
            <v>12</v>
          </cell>
          <cell r="Y3777">
            <v>24</v>
          </cell>
        </row>
        <row r="3778">
          <cell r="U3778" t="str">
            <v>L106964</v>
          </cell>
          <cell r="V3778" t="str">
            <v>PV EMBV 2kg</v>
          </cell>
          <cell r="W3778" t="str">
            <v>Ajuste</v>
          </cell>
          <cell r="X3778">
            <v>2</v>
          </cell>
          <cell r="Y3778">
            <v>4</v>
          </cell>
        </row>
        <row r="3779">
          <cell r="U3779" t="str">
            <v>L106450</v>
          </cell>
          <cell r="V3779" t="str">
            <v>PV EMBV 3kg</v>
          </cell>
          <cell r="W3779" t="str">
            <v>Ajuste</v>
          </cell>
          <cell r="X3779">
            <v>24</v>
          </cell>
          <cell r="Y3779">
            <v>72</v>
          </cell>
        </row>
        <row r="3780">
          <cell r="U3780" t="str">
            <v>L106451</v>
          </cell>
          <cell r="V3780" t="str">
            <v>PV EMBV 3kg</v>
          </cell>
          <cell r="W3780" t="str">
            <v>Ajuste</v>
          </cell>
          <cell r="X3780">
            <v>12</v>
          </cell>
          <cell r="Y3780">
            <v>36</v>
          </cell>
        </row>
        <row r="3781">
          <cell r="U3781" t="str">
            <v>L106513</v>
          </cell>
          <cell r="V3781" t="str">
            <v>PV EMBV 3kg</v>
          </cell>
          <cell r="W3781" t="str">
            <v>Ajuste</v>
          </cell>
          <cell r="X3781">
            <v>2</v>
          </cell>
          <cell r="Y3781">
            <v>6</v>
          </cell>
        </row>
        <row r="3782">
          <cell r="U3782" t="str">
            <v>L106053</v>
          </cell>
          <cell r="V3782" t="str">
            <v>PV FRUVER 10kg</v>
          </cell>
          <cell r="W3782" t="str">
            <v>Ajuste</v>
          </cell>
          <cell r="X3782">
            <v>104</v>
          </cell>
          <cell r="Y3782">
            <v>1040</v>
          </cell>
        </row>
        <row r="3783">
          <cell r="U3783" t="str">
            <v>L106099</v>
          </cell>
          <cell r="V3783" t="str">
            <v>PV FRUVER 10kg</v>
          </cell>
          <cell r="W3783" t="str">
            <v>Ajuste</v>
          </cell>
          <cell r="X3783">
            <v>78</v>
          </cell>
          <cell r="Y3783">
            <v>780</v>
          </cell>
        </row>
        <row r="3784">
          <cell r="U3784" t="str">
            <v>L106153</v>
          </cell>
          <cell r="V3784" t="str">
            <v>PV FRUVER 10kg</v>
          </cell>
          <cell r="W3784" t="str">
            <v>Ajuste</v>
          </cell>
          <cell r="X3784">
            <v>128</v>
          </cell>
          <cell r="Y3784">
            <v>1280</v>
          </cell>
        </row>
        <row r="3785">
          <cell r="U3785" t="str">
            <v>L106202</v>
          </cell>
          <cell r="V3785" t="str">
            <v>PV FRUVER 10kg</v>
          </cell>
          <cell r="W3785" t="str">
            <v>Ajuste</v>
          </cell>
          <cell r="X3785">
            <v>180</v>
          </cell>
          <cell r="Y3785">
            <v>1800</v>
          </cell>
        </row>
        <row r="3786">
          <cell r="U3786" t="str">
            <v>L106435</v>
          </cell>
          <cell r="V3786" t="str">
            <v>PV FRUVER 10kg</v>
          </cell>
          <cell r="W3786" t="str">
            <v>Ajuste</v>
          </cell>
          <cell r="X3786">
            <v>142</v>
          </cell>
          <cell r="Y3786">
            <v>1420</v>
          </cell>
        </row>
        <row r="3787">
          <cell r="U3787" t="str">
            <v>L106462</v>
          </cell>
          <cell r="V3787" t="str">
            <v>PV FRUVER 10kg</v>
          </cell>
          <cell r="W3787" t="str">
            <v>Ajuste</v>
          </cell>
          <cell r="X3787">
            <v>140</v>
          </cell>
          <cell r="Y3787">
            <v>1400</v>
          </cell>
        </row>
        <row r="3788">
          <cell r="U3788" t="str">
            <v>L106500</v>
          </cell>
          <cell r="V3788" t="str">
            <v>PV FRUVER 10kg</v>
          </cell>
          <cell r="W3788" t="str">
            <v>Ajuste</v>
          </cell>
          <cell r="X3788">
            <v>92</v>
          </cell>
          <cell r="Y3788">
            <v>920</v>
          </cell>
        </row>
        <row r="3789">
          <cell r="U3789" t="str">
            <v>L106598</v>
          </cell>
          <cell r="V3789" t="str">
            <v>PV FRUVER 10kg</v>
          </cell>
          <cell r="W3789" t="str">
            <v>Ajuste</v>
          </cell>
          <cell r="X3789">
            <v>126</v>
          </cell>
          <cell r="Y3789">
            <v>1260</v>
          </cell>
        </row>
        <row r="3790">
          <cell r="U3790" t="str">
            <v>L106653</v>
          </cell>
          <cell r="V3790" t="str">
            <v>PV FRUVER 10kg</v>
          </cell>
          <cell r="W3790" t="str">
            <v>Ajuste</v>
          </cell>
          <cell r="X3790">
            <v>210</v>
          </cell>
          <cell r="Y3790">
            <v>2100</v>
          </cell>
        </row>
        <row r="3791">
          <cell r="U3791" t="str">
            <v>L106826</v>
          </cell>
          <cell r="V3791" t="str">
            <v>PV FRUVER 10kg</v>
          </cell>
          <cell r="W3791" t="str">
            <v>Ajuste</v>
          </cell>
          <cell r="X3791">
            <v>150</v>
          </cell>
          <cell r="Y3791">
            <v>1500</v>
          </cell>
        </row>
        <row r="3792">
          <cell r="U3792" t="str">
            <v>L106971</v>
          </cell>
          <cell r="V3792" t="str">
            <v>PV FRUVER 10kg</v>
          </cell>
          <cell r="W3792" t="str">
            <v>Ajuste</v>
          </cell>
          <cell r="X3792">
            <v>120</v>
          </cell>
          <cell r="Y3792">
            <v>1200</v>
          </cell>
        </row>
        <row r="3793">
          <cell r="U3793" t="str">
            <v>L107033</v>
          </cell>
          <cell r="V3793" t="str">
            <v>PV FRUVER 10kg</v>
          </cell>
          <cell r="W3793" t="str">
            <v>Ajuste</v>
          </cell>
          <cell r="X3793">
            <v>104</v>
          </cell>
          <cell r="Y3793">
            <v>1040</v>
          </cell>
        </row>
        <row r="3794">
          <cell r="U3794" t="str">
            <v>L107065</v>
          </cell>
          <cell r="V3794" t="str">
            <v>PV FRUVER 10kg</v>
          </cell>
          <cell r="W3794" t="str">
            <v>Ajuste</v>
          </cell>
          <cell r="X3794">
            <v>104</v>
          </cell>
          <cell r="Y3794">
            <v>1040</v>
          </cell>
        </row>
        <row r="3795">
          <cell r="U3795" t="str">
            <v>L107148</v>
          </cell>
          <cell r="V3795" t="str">
            <v>PV FRUVER 10kg</v>
          </cell>
          <cell r="W3795" t="str">
            <v>Ajuste</v>
          </cell>
          <cell r="X3795">
            <v>120</v>
          </cell>
          <cell r="Y3795">
            <v>1200</v>
          </cell>
        </row>
        <row r="3796">
          <cell r="U3796" t="str">
            <v>L107293</v>
          </cell>
          <cell r="V3796" t="str">
            <v>PV FRUVER 10kg</v>
          </cell>
          <cell r="W3796" t="str">
            <v>Ajuste</v>
          </cell>
          <cell r="X3796">
            <v>148</v>
          </cell>
          <cell r="Y3796">
            <v>1480</v>
          </cell>
        </row>
        <row r="3797">
          <cell r="U3797" t="str">
            <v>L106046</v>
          </cell>
          <cell r="V3797" t="str">
            <v>PV FRVDVG 5kg</v>
          </cell>
          <cell r="W3797" t="str">
            <v>Ajuste</v>
          </cell>
          <cell r="X3797">
            <v>2</v>
          </cell>
          <cell r="Y3797">
            <v>10</v>
          </cell>
        </row>
        <row r="3798">
          <cell r="U3798" t="str">
            <v>L106049</v>
          </cell>
          <cell r="V3798" t="str">
            <v>PV FRVDVG 5kg</v>
          </cell>
          <cell r="W3798" t="str">
            <v>Ajuste</v>
          </cell>
          <cell r="X3798">
            <v>2</v>
          </cell>
          <cell r="Y3798">
            <v>10</v>
          </cell>
        </row>
        <row r="3799">
          <cell r="U3799" t="str">
            <v>L106102</v>
          </cell>
          <cell r="V3799" t="str">
            <v>PV FRVDVG 5kg</v>
          </cell>
          <cell r="W3799" t="str">
            <v>Ajuste</v>
          </cell>
          <cell r="X3799">
            <v>2</v>
          </cell>
          <cell r="Y3799">
            <v>10</v>
          </cell>
        </row>
        <row r="3800">
          <cell r="U3800" t="str">
            <v>L106592</v>
          </cell>
          <cell r="V3800" t="str">
            <v>PV FRVDVG 5kg</v>
          </cell>
          <cell r="W3800" t="str">
            <v>Ajuste</v>
          </cell>
          <cell r="X3800">
            <v>2</v>
          </cell>
          <cell r="Y3800">
            <v>10</v>
          </cell>
        </row>
        <row r="3801">
          <cell r="U3801" t="str">
            <v>L106719</v>
          </cell>
          <cell r="V3801" t="str">
            <v>PV FRVDVG 5kg</v>
          </cell>
          <cell r="W3801" t="str">
            <v>Ajuste</v>
          </cell>
          <cell r="X3801">
            <v>2</v>
          </cell>
          <cell r="Y3801">
            <v>10</v>
          </cell>
        </row>
        <row r="3802">
          <cell r="U3802" t="str">
            <v>L107027</v>
          </cell>
          <cell r="V3802" t="str">
            <v>PV FRVDVG 5kg</v>
          </cell>
          <cell r="W3802" t="str">
            <v>Ajuste</v>
          </cell>
          <cell r="X3802">
            <v>2</v>
          </cell>
          <cell r="Y3802">
            <v>10</v>
          </cell>
        </row>
        <row r="3803">
          <cell r="U3803" t="str">
            <v>L107249</v>
          </cell>
          <cell r="V3803" t="str">
            <v>PV FRVDVG 5kg</v>
          </cell>
          <cell r="W3803" t="str">
            <v>Ajuste</v>
          </cell>
          <cell r="X3803">
            <v>2</v>
          </cell>
          <cell r="Y3803">
            <v>10</v>
          </cell>
        </row>
        <row r="3804">
          <cell r="U3804" t="str">
            <v>L106045</v>
          </cell>
          <cell r="V3804" t="str">
            <v>PV FRVDVG 8kg</v>
          </cell>
          <cell r="W3804" t="str">
            <v>Ajuste</v>
          </cell>
          <cell r="X3804">
            <v>8</v>
          </cell>
          <cell r="Y3804">
            <v>64</v>
          </cell>
        </row>
        <row r="3805">
          <cell r="U3805" t="str">
            <v>L106048</v>
          </cell>
          <cell r="V3805" t="str">
            <v>PV FRVDVG 8kg</v>
          </cell>
          <cell r="W3805" t="str">
            <v>Ajuste</v>
          </cell>
          <cell r="X3805">
            <v>14</v>
          </cell>
          <cell r="Y3805">
            <v>112</v>
          </cell>
        </row>
        <row r="3806">
          <cell r="U3806" t="str">
            <v>L106101</v>
          </cell>
          <cell r="V3806" t="str">
            <v>PV FRVDVG 8kg</v>
          </cell>
          <cell r="W3806" t="str">
            <v>Ajuste</v>
          </cell>
          <cell r="X3806">
            <v>12</v>
          </cell>
          <cell r="Y3806">
            <v>96</v>
          </cell>
        </row>
        <row r="3807">
          <cell r="U3807" t="str">
            <v>L106140</v>
          </cell>
          <cell r="V3807" t="str">
            <v>PV FRVDVG 8kg</v>
          </cell>
          <cell r="W3807" t="str">
            <v>Ajuste</v>
          </cell>
          <cell r="X3807">
            <v>8</v>
          </cell>
          <cell r="Y3807">
            <v>64</v>
          </cell>
        </row>
        <row r="3808">
          <cell r="U3808" t="str">
            <v>L106146</v>
          </cell>
          <cell r="V3808" t="str">
            <v>PV FRVDVG 8kg</v>
          </cell>
          <cell r="W3808" t="str">
            <v>Ajuste</v>
          </cell>
          <cell r="X3808">
            <v>18</v>
          </cell>
          <cell r="Y3808">
            <v>144</v>
          </cell>
        </row>
        <row r="3809">
          <cell r="U3809" t="str">
            <v>L106195</v>
          </cell>
          <cell r="V3809" t="str">
            <v>PV FRVDVG 8kg</v>
          </cell>
          <cell r="W3809" t="str">
            <v>Ajuste</v>
          </cell>
          <cell r="X3809">
            <v>14</v>
          </cell>
          <cell r="Y3809">
            <v>112</v>
          </cell>
        </row>
        <row r="3810">
          <cell r="U3810" t="str">
            <v>L106353</v>
          </cell>
          <cell r="V3810" t="str">
            <v>PV FRVDVG 8kg</v>
          </cell>
          <cell r="W3810" t="str">
            <v>Ajuste</v>
          </cell>
          <cell r="X3810">
            <v>26</v>
          </cell>
          <cell r="Y3810">
            <v>208</v>
          </cell>
        </row>
        <row r="3811">
          <cell r="U3811" t="str">
            <v>L106355</v>
          </cell>
          <cell r="V3811" t="str">
            <v>PV FRVDVG 8kg</v>
          </cell>
          <cell r="W3811" t="str">
            <v>Ajuste</v>
          </cell>
          <cell r="X3811">
            <v>20</v>
          </cell>
          <cell r="Y3811">
            <v>160</v>
          </cell>
        </row>
        <row r="3812">
          <cell r="U3812" t="str">
            <v>L106424</v>
          </cell>
          <cell r="V3812" t="str">
            <v>PV FRVDVG 8kg</v>
          </cell>
          <cell r="W3812" t="str">
            <v>Ajuste</v>
          </cell>
          <cell r="X3812">
            <v>22</v>
          </cell>
          <cell r="Y3812">
            <v>176</v>
          </cell>
        </row>
        <row r="3813">
          <cell r="U3813" t="str">
            <v>L106464</v>
          </cell>
          <cell r="V3813" t="str">
            <v>PV FRVDVG 8kg</v>
          </cell>
          <cell r="W3813" t="str">
            <v>Ajuste</v>
          </cell>
          <cell r="X3813">
            <v>20</v>
          </cell>
          <cell r="Y3813">
            <v>160</v>
          </cell>
        </row>
        <row r="3814">
          <cell r="U3814" t="str">
            <v>L106466</v>
          </cell>
          <cell r="V3814" t="str">
            <v>PV FRVDVG 8kg</v>
          </cell>
          <cell r="W3814" t="str">
            <v>Ajuste</v>
          </cell>
          <cell r="X3814">
            <v>40</v>
          </cell>
          <cell r="Y3814">
            <v>320</v>
          </cell>
        </row>
        <row r="3815">
          <cell r="U3815" t="str">
            <v>L106471</v>
          </cell>
          <cell r="V3815" t="str">
            <v>PV FRVDVG 8kg</v>
          </cell>
          <cell r="W3815" t="str">
            <v>Ajuste</v>
          </cell>
          <cell r="X3815">
            <v>30</v>
          </cell>
          <cell r="Y3815">
            <v>240</v>
          </cell>
        </row>
        <row r="3816">
          <cell r="U3816" t="str">
            <v>L106568</v>
          </cell>
          <cell r="V3816" t="str">
            <v>PV FRVDVG 8kg</v>
          </cell>
          <cell r="W3816" t="str">
            <v>Ajuste</v>
          </cell>
          <cell r="X3816">
            <v>20</v>
          </cell>
          <cell r="Y3816">
            <v>160</v>
          </cell>
        </row>
        <row r="3817">
          <cell r="U3817" t="str">
            <v>L106591</v>
          </cell>
          <cell r="V3817" t="str">
            <v>PV FRVDVG 8kg</v>
          </cell>
          <cell r="W3817" t="str">
            <v>Ajuste</v>
          </cell>
          <cell r="X3817">
            <v>30</v>
          </cell>
          <cell r="Y3817">
            <v>240</v>
          </cell>
        </row>
        <row r="3818">
          <cell r="U3818" t="str">
            <v>L106596</v>
          </cell>
          <cell r="V3818" t="str">
            <v>PV FRVDVG 8kg</v>
          </cell>
          <cell r="W3818" t="str">
            <v>Ajuste</v>
          </cell>
          <cell r="X3818">
            <v>8</v>
          </cell>
          <cell r="Y3818">
            <v>64</v>
          </cell>
        </row>
        <row r="3819">
          <cell r="U3819" t="str">
            <v>L106718</v>
          </cell>
          <cell r="V3819" t="str">
            <v>PV FRVDVG 8kg</v>
          </cell>
          <cell r="W3819" t="str">
            <v>Ajuste</v>
          </cell>
          <cell r="X3819">
            <v>28</v>
          </cell>
          <cell r="Y3819">
            <v>224</v>
          </cell>
        </row>
        <row r="3820">
          <cell r="U3820" t="str">
            <v>L106722</v>
          </cell>
          <cell r="V3820" t="str">
            <v>PV FRVDVG 8kg</v>
          </cell>
          <cell r="W3820" t="str">
            <v>Ajuste</v>
          </cell>
          <cell r="X3820">
            <v>16</v>
          </cell>
          <cell r="Y3820">
            <v>128</v>
          </cell>
        </row>
        <row r="3821">
          <cell r="U3821" t="str">
            <v>L106741</v>
          </cell>
          <cell r="V3821" t="str">
            <v>PV FRVDVG 8kg</v>
          </cell>
          <cell r="W3821" t="str">
            <v>Ajuste</v>
          </cell>
          <cell r="X3821">
            <v>14</v>
          </cell>
          <cell r="Y3821">
            <v>112</v>
          </cell>
        </row>
        <row r="3822">
          <cell r="U3822" t="str">
            <v>L106816</v>
          </cell>
          <cell r="V3822" t="str">
            <v>PV FRVDVG 8kg</v>
          </cell>
          <cell r="W3822" t="str">
            <v>Ajuste</v>
          </cell>
          <cell r="X3822">
            <v>34</v>
          </cell>
          <cell r="Y3822">
            <v>272</v>
          </cell>
        </row>
        <row r="3823">
          <cell r="U3823" t="str">
            <v>L106822</v>
          </cell>
          <cell r="V3823" t="str">
            <v>PV FRVDVG 8kg</v>
          </cell>
          <cell r="W3823" t="str">
            <v>Ajuste</v>
          </cell>
          <cell r="X3823">
            <v>14</v>
          </cell>
          <cell r="Y3823">
            <v>112</v>
          </cell>
        </row>
        <row r="3824">
          <cell r="U3824" t="str">
            <v>L106824</v>
          </cell>
          <cell r="V3824" t="str">
            <v>PV FRVDVG 8kg</v>
          </cell>
          <cell r="W3824" t="str">
            <v>Ajuste</v>
          </cell>
          <cell r="X3824">
            <v>22</v>
          </cell>
          <cell r="Y3824">
            <v>176</v>
          </cell>
        </row>
        <row r="3825">
          <cell r="U3825" t="str">
            <v>L106945</v>
          </cell>
          <cell r="V3825" t="str">
            <v>PV FRVDVG 8kg</v>
          </cell>
          <cell r="W3825" t="str">
            <v>Ajuste</v>
          </cell>
          <cell r="X3825">
            <v>42</v>
          </cell>
          <cell r="Y3825">
            <v>336</v>
          </cell>
        </row>
        <row r="3826">
          <cell r="U3826" t="str">
            <v>L106998</v>
          </cell>
          <cell r="V3826" t="str">
            <v>PV FRVDVG 8kg</v>
          </cell>
          <cell r="W3826" t="str">
            <v>Ajuste</v>
          </cell>
          <cell r="X3826">
            <v>62</v>
          </cell>
          <cell r="Y3826">
            <v>496</v>
          </cell>
        </row>
        <row r="3827">
          <cell r="U3827" t="str">
            <v>L107018</v>
          </cell>
          <cell r="V3827" t="str">
            <v>PV FRVDVG 8kg</v>
          </cell>
          <cell r="W3827" t="str">
            <v>Ajuste</v>
          </cell>
          <cell r="X3827">
            <v>52</v>
          </cell>
          <cell r="Y3827">
            <v>416</v>
          </cell>
        </row>
        <row r="3828">
          <cell r="U3828" t="str">
            <v>L107024</v>
          </cell>
          <cell r="V3828" t="str">
            <v>PV FRVDVG 8kg</v>
          </cell>
          <cell r="W3828" t="str">
            <v>Ajuste</v>
          </cell>
          <cell r="X3828">
            <v>10</v>
          </cell>
          <cell r="Y3828">
            <v>80</v>
          </cell>
        </row>
        <row r="3829">
          <cell r="U3829" t="str">
            <v>L107026</v>
          </cell>
          <cell r="V3829" t="str">
            <v>PV FRVDVG 8kg</v>
          </cell>
          <cell r="W3829" t="str">
            <v>Ajuste</v>
          </cell>
          <cell r="X3829">
            <v>18</v>
          </cell>
          <cell r="Y3829">
            <v>144</v>
          </cell>
        </row>
        <row r="3830">
          <cell r="U3830" t="str">
            <v>L107053</v>
          </cell>
          <cell r="V3830" t="str">
            <v>PV FRVDVG 8kg</v>
          </cell>
          <cell r="W3830" t="str">
            <v>Ajuste</v>
          </cell>
          <cell r="X3830">
            <v>42</v>
          </cell>
          <cell r="Y3830">
            <v>336</v>
          </cell>
        </row>
        <row r="3831">
          <cell r="U3831" t="str">
            <v>L107059</v>
          </cell>
          <cell r="V3831" t="str">
            <v>PV FRVDVG 8kg</v>
          </cell>
          <cell r="W3831" t="str">
            <v>Ajuste</v>
          </cell>
          <cell r="X3831">
            <v>12</v>
          </cell>
          <cell r="Y3831">
            <v>96</v>
          </cell>
        </row>
        <row r="3832">
          <cell r="U3832" t="str">
            <v>L107061</v>
          </cell>
          <cell r="V3832" t="str">
            <v>PV FRVDVG 8kg</v>
          </cell>
          <cell r="W3832" t="str">
            <v>Ajuste</v>
          </cell>
          <cell r="X3832">
            <v>18</v>
          </cell>
          <cell r="Y3832">
            <v>144</v>
          </cell>
        </row>
        <row r="3833">
          <cell r="U3833" t="str">
            <v>L107132</v>
          </cell>
          <cell r="V3833" t="str">
            <v>PV FRVDVG 8kg</v>
          </cell>
          <cell r="W3833" t="str">
            <v>Ajuste</v>
          </cell>
          <cell r="X3833">
            <v>10</v>
          </cell>
          <cell r="Y3833">
            <v>80</v>
          </cell>
        </row>
        <row r="3834">
          <cell r="U3834" t="str">
            <v>L107139</v>
          </cell>
          <cell r="V3834" t="str">
            <v>PV FRVDVG 8kg</v>
          </cell>
          <cell r="W3834" t="str">
            <v>Ajuste</v>
          </cell>
          <cell r="X3834">
            <v>14</v>
          </cell>
          <cell r="Y3834">
            <v>112</v>
          </cell>
        </row>
        <row r="3835">
          <cell r="U3835" t="str">
            <v>L107146</v>
          </cell>
          <cell r="V3835" t="str">
            <v>PV FRVDVG 8kg</v>
          </cell>
          <cell r="W3835" t="str">
            <v>Ajuste</v>
          </cell>
          <cell r="X3835">
            <v>26</v>
          </cell>
          <cell r="Y3835">
            <v>208</v>
          </cell>
        </row>
        <row r="3836">
          <cell r="U3836" t="str">
            <v>L107248</v>
          </cell>
          <cell r="V3836" t="str">
            <v>PV FRVDVG 8kg</v>
          </cell>
          <cell r="W3836" t="str">
            <v>Ajuste</v>
          </cell>
          <cell r="X3836">
            <v>16</v>
          </cell>
          <cell r="Y3836">
            <v>128</v>
          </cell>
        </row>
        <row r="3837">
          <cell r="U3837" t="str">
            <v>L107268</v>
          </cell>
          <cell r="V3837" t="str">
            <v>PV FRVDVG 8kg</v>
          </cell>
          <cell r="W3837" t="str">
            <v>Ajuste</v>
          </cell>
          <cell r="X3837">
            <v>18</v>
          </cell>
          <cell r="Y3837">
            <v>144</v>
          </cell>
        </row>
        <row r="3838">
          <cell r="U3838" t="str">
            <v>L107288</v>
          </cell>
          <cell r="V3838" t="str">
            <v>PV FRVDVG 8kg</v>
          </cell>
          <cell r="W3838" t="str">
            <v>Ajuste</v>
          </cell>
          <cell r="X3838">
            <v>42</v>
          </cell>
          <cell r="Y3838">
            <v>336</v>
          </cell>
        </row>
        <row r="3839">
          <cell r="U3839" t="str">
            <v>L106434</v>
          </cell>
          <cell r="V3839" t="str">
            <v>PV GERB 2Kg</v>
          </cell>
          <cell r="W3839" t="str">
            <v>Ajuste</v>
          </cell>
          <cell r="X3839">
            <v>32</v>
          </cell>
          <cell r="Y3839">
            <v>64</v>
          </cell>
        </row>
        <row r="3840">
          <cell r="U3840" t="str">
            <v>L107308</v>
          </cell>
          <cell r="V3840" t="str">
            <v>PV GLV 2kg</v>
          </cell>
          <cell r="W3840" t="str">
            <v>Ajuste</v>
          </cell>
          <cell r="X3840">
            <v>12</v>
          </cell>
          <cell r="Y3840">
            <v>24</v>
          </cell>
        </row>
        <row r="3841">
          <cell r="U3841" t="str">
            <v>L106610</v>
          </cell>
          <cell r="V3841" t="str">
            <v>PV GLV 4kg</v>
          </cell>
          <cell r="W3841" t="str">
            <v>Ajuste</v>
          </cell>
          <cell r="X3841">
            <v>174</v>
          </cell>
          <cell r="Y3841">
            <v>696</v>
          </cell>
        </row>
        <row r="3842">
          <cell r="U3842" t="str">
            <v>L106797</v>
          </cell>
          <cell r="V3842" t="str">
            <v>PV GTA 1kg</v>
          </cell>
          <cell r="W3842" t="str">
            <v>Ajuste</v>
          </cell>
          <cell r="X3842">
            <v>10</v>
          </cell>
          <cell r="Y3842">
            <v>10</v>
          </cell>
        </row>
        <row r="3843">
          <cell r="U3843" t="str">
            <v>L106798</v>
          </cell>
          <cell r="V3843" t="str">
            <v>PV GTA 1kg</v>
          </cell>
          <cell r="W3843" t="str">
            <v>Ajuste</v>
          </cell>
          <cell r="X3843">
            <v>2</v>
          </cell>
          <cell r="Y3843">
            <v>2</v>
          </cell>
        </row>
        <row r="3844">
          <cell r="U3844" t="str">
            <v>L106814</v>
          </cell>
          <cell r="V3844" t="str">
            <v>PV GTA 1kg</v>
          </cell>
          <cell r="W3844" t="str">
            <v>Ajuste</v>
          </cell>
          <cell r="X3844">
            <v>2</v>
          </cell>
          <cell r="Y3844">
            <v>2</v>
          </cell>
        </row>
        <row r="3845">
          <cell r="U3845" t="str">
            <v>L106815</v>
          </cell>
          <cell r="V3845" t="str">
            <v>PV GTA 1kg</v>
          </cell>
          <cell r="W3845" t="str">
            <v>Ajuste</v>
          </cell>
          <cell r="X3845">
            <v>6</v>
          </cell>
          <cell r="Y3845">
            <v>6</v>
          </cell>
        </row>
        <row r="3846">
          <cell r="U3846" t="str">
            <v>L107006</v>
          </cell>
          <cell r="V3846" t="str">
            <v>PV GTA 1kg</v>
          </cell>
          <cell r="W3846" t="str">
            <v>Ajuste</v>
          </cell>
          <cell r="X3846">
            <v>32</v>
          </cell>
          <cell r="Y3846">
            <v>32</v>
          </cell>
        </row>
        <row r="3847">
          <cell r="U3847" t="str">
            <v>L107266</v>
          </cell>
          <cell r="V3847" t="str">
            <v>PV GTA 1kg</v>
          </cell>
          <cell r="W3847" t="str">
            <v>Ajuste</v>
          </cell>
          <cell r="X3847">
            <v>2</v>
          </cell>
          <cell r="Y3847">
            <v>2</v>
          </cell>
        </row>
        <row r="3848">
          <cell r="U3848" t="str">
            <v>L107265</v>
          </cell>
          <cell r="V3848" t="str">
            <v>PV GTA 2kg-CAJA</v>
          </cell>
          <cell r="W3848" t="str">
            <v>Ajuste</v>
          </cell>
          <cell r="X3848">
            <v>14</v>
          </cell>
          <cell r="Y3848">
            <v>28</v>
          </cell>
        </row>
        <row r="3849">
          <cell r="U3849" t="str">
            <v>L107278</v>
          </cell>
          <cell r="V3849" t="str">
            <v>PV GTA 2kg-CAJA</v>
          </cell>
          <cell r="W3849" t="str">
            <v>Ajuste</v>
          </cell>
          <cell r="X3849">
            <v>2</v>
          </cell>
          <cell r="Y3849">
            <v>4</v>
          </cell>
        </row>
        <row r="3850">
          <cell r="U3850" t="str">
            <v>L107279</v>
          </cell>
          <cell r="V3850" t="str">
            <v>PV GTA 2kg-CAJA</v>
          </cell>
          <cell r="W3850" t="str">
            <v>Ajuste</v>
          </cell>
          <cell r="X3850">
            <v>6</v>
          </cell>
          <cell r="Y3850">
            <v>12</v>
          </cell>
        </row>
        <row r="3851">
          <cell r="U3851" t="str">
            <v>L106475</v>
          </cell>
          <cell r="V3851" t="str">
            <v>PV GTA 5kg-CAJA</v>
          </cell>
          <cell r="W3851" t="str">
            <v>Ajuste</v>
          </cell>
          <cell r="X3851">
            <v>2</v>
          </cell>
          <cell r="Y3851">
            <v>10</v>
          </cell>
        </row>
        <row r="3852">
          <cell r="U3852" t="str">
            <v>L106476</v>
          </cell>
          <cell r="V3852" t="str">
            <v>PV GTA 5kg-CAJA</v>
          </cell>
          <cell r="W3852" t="str">
            <v>Ajuste</v>
          </cell>
          <cell r="X3852">
            <v>4</v>
          </cell>
          <cell r="Y3852">
            <v>20</v>
          </cell>
        </row>
        <row r="3853">
          <cell r="U3853" t="str">
            <v>L106477</v>
          </cell>
          <cell r="V3853" t="str">
            <v>PV GTA 5kg-CAJA</v>
          </cell>
          <cell r="W3853" t="str">
            <v>Ajuste</v>
          </cell>
          <cell r="X3853">
            <v>10</v>
          </cell>
          <cell r="Y3853">
            <v>50</v>
          </cell>
        </row>
        <row r="3854">
          <cell r="U3854" t="str">
            <v>L106478</v>
          </cell>
          <cell r="V3854" t="str">
            <v>PV GTA 5kg-CAJA</v>
          </cell>
          <cell r="W3854" t="str">
            <v>Ajuste</v>
          </cell>
          <cell r="X3854">
            <v>4</v>
          </cell>
          <cell r="Y3854">
            <v>20</v>
          </cell>
        </row>
        <row r="3855">
          <cell r="U3855" t="str">
            <v>L106479</v>
          </cell>
          <cell r="V3855" t="str">
            <v>PV GTA 5kg-CAJA</v>
          </cell>
          <cell r="W3855" t="str">
            <v>Ajuste</v>
          </cell>
          <cell r="X3855">
            <v>4</v>
          </cell>
          <cell r="Y3855">
            <v>20</v>
          </cell>
        </row>
        <row r="3856">
          <cell r="U3856" t="str">
            <v>L106480</v>
          </cell>
          <cell r="V3856" t="str">
            <v>PV GTA 5kg-CAJA</v>
          </cell>
          <cell r="W3856" t="str">
            <v>Ajuste</v>
          </cell>
          <cell r="X3856">
            <v>2</v>
          </cell>
          <cell r="Y3856">
            <v>10</v>
          </cell>
        </row>
        <row r="3857">
          <cell r="U3857" t="str">
            <v>L106481</v>
          </cell>
          <cell r="V3857" t="str">
            <v>PV GTA 5kg-CAJA</v>
          </cell>
          <cell r="W3857" t="str">
            <v>Ajuste</v>
          </cell>
          <cell r="X3857">
            <v>2</v>
          </cell>
          <cell r="Y3857">
            <v>10</v>
          </cell>
        </row>
        <row r="3858">
          <cell r="U3858" t="str">
            <v>L106482</v>
          </cell>
          <cell r="V3858" t="str">
            <v>PV GTA 5kg-CAJA</v>
          </cell>
          <cell r="W3858" t="str">
            <v>Ajuste</v>
          </cell>
          <cell r="X3858">
            <v>2</v>
          </cell>
          <cell r="Y3858">
            <v>10</v>
          </cell>
        </row>
        <row r="3859">
          <cell r="U3859" t="str">
            <v>L106483</v>
          </cell>
          <cell r="V3859" t="str">
            <v>PV GTA 5kg-CAJA</v>
          </cell>
          <cell r="W3859" t="str">
            <v>Ajuste</v>
          </cell>
          <cell r="X3859">
            <v>2</v>
          </cell>
          <cell r="Y3859">
            <v>10</v>
          </cell>
        </row>
        <row r="3860">
          <cell r="U3860" t="str">
            <v>L106484</v>
          </cell>
          <cell r="V3860" t="str">
            <v>PV GTA 5kg-CAJA</v>
          </cell>
          <cell r="W3860" t="str">
            <v>Ajuste</v>
          </cell>
          <cell r="X3860">
            <v>2</v>
          </cell>
          <cell r="Y3860">
            <v>10</v>
          </cell>
        </row>
        <row r="3861">
          <cell r="U3861" t="str">
            <v>L106348</v>
          </cell>
          <cell r="V3861" t="str">
            <v>PV HRPHE 2kg</v>
          </cell>
          <cell r="W3861" t="str">
            <v>Ajuste</v>
          </cell>
          <cell r="X3861">
            <v>458</v>
          </cell>
          <cell r="Y3861">
            <v>916</v>
          </cell>
        </row>
        <row r="3862">
          <cell r="U3862" t="str">
            <v>L106438</v>
          </cell>
          <cell r="V3862" t="str">
            <v>PV JGO 2kg</v>
          </cell>
          <cell r="W3862" t="str">
            <v>Ajuste</v>
          </cell>
          <cell r="X3862">
            <v>908</v>
          </cell>
          <cell r="Y3862">
            <v>1816</v>
          </cell>
        </row>
        <row r="3863">
          <cell r="U3863" t="str">
            <v>L106300</v>
          </cell>
          <cell r="V3863" t="str">
            <v>PV JGO 3kg</v>
          </cell>
          <cell r="W3863" t="str">
            <v>Ajuste</v>
          </cell>
          <cell r="X3863">
            <v>10</v>
          </cell>
          <cell r="Y3863">
            <v>30</v>
          </cell>
        </row>
        <row r="3864">
          <cell r="U3864" t="str">
            <v>L106990</v>
          </cell>
          <cell r="V3864" t="str">
            <v>PV MAN 1Kg</v>
          </cell>
          <cell r="W3864" t="str">
            <v>Ajuste</v>
          </cell>
          <cell r="X3864">
            <v>12</v>
          </cell>
          <cell r="Y3864">
            <v>12</v>
          </cell>
        </row>
        <row r="3865">
          <cell r="U3865" t="str">
            <v>L106993</v>
          </cell>
          <cell r="V3865" t="str">
            <v>PV MAN 1Kg</v>
          </cell>
          <cell r="W3865" t="str">
            <v>Ajuste</v>
          </cell>
          <cell r="X3865">
            <v>32</v>
          </cell>
          <cell r="Y3865">
            <v>32</v>
          </cell>
        </row>
        <row r="3866">
          <cell r="U3866" t="str">
            <v>L107002</v>
          </cell>
          <cell r="V3866" t="str">
            <v>PV MAN 1Kg</v>
          </cell>
          <cell r="W3866" t="str">
            <v>Ajuste</v>
          </cell>
          <cell r="X3866">
            <v>8</v>
          </cell>
          <cell r="Y3866">
            <v>8</v>
          </cell>
        </row>
        <row r="3867">
          <cell r="U3867" t="str">
            <v>L107003</v>
          </cell>
          <cell r="V3867" t="str">
            <v>PV MAN 1Kg</v>
          </cell>
          <cell r="W3867" t="str">
            <v>Ajuste</v>
          </cell>
          <cell r="X3867">
            <v>4</v>
          </cell>
          <cell r="Y3867">
            <v>4</v>
          </cell>
        </row>
        <row r="3868">
          <cell r="U3868" t="str">
            <v>L107005</v>
          </cell>
          <cell r="V3868" t="str">
            <v>PV MAN 1Kg</v>
          </cell>
          <cell r="W3868" t="str">
            <v>Ajuste</v>
          </cell>
          <cell r="X3868">
            <v>4</v>
          </cell>
          <cell r="Y3868">
            <v>4</v>
          </cell>
        </row>
        <row r="3869">
          <cell r="U3869" t="str">
            <v>L106485</v>
          </cell>
          <cell r="V3869" t="str">
            <v>PV MNS 10Kg-PAQUETE</v>
          </cell>
          <cell r="W3869" t="str">
            <v>Ajuste</v>
          </cell>
          <cell r="X3869">
            <v>200</v>
          </cell>
          <cell r="Y3869">
            <v>2000</v>
          </cell>
        </row>
        <row r="3870">
          <cell r="U3870" t="str">
            <v>L106764</v>
          </cell>
          <cell r="V3870" t="str">
            <v>PV MNS 10Kg-PAQUETE</v>
          </cell>
          <cell r="W3870" t="str">
            <v>Ajuste</v>
          </cell>
          <cell r="X3870">
            <v>776</v>
          </cell>
          <cell r="Y3870">
            <v>7760</v>
          </cell>
        </row>
        <row r="3871">
          <cell r="U3871" t="str">
            <v>L106819</v>
          </cell>
          <cell r="V3871" t="str">
            <v>PV PAN 2kg</v>
          </cell>
          <cell r="W3871" t="str">
            <v>Ajuste</v>
          </cell>
          <cell r="X3871">
            <v>14</v>
          </cell>
          <cell r="Y3871">
            <v>28</v>
          </cell>
        </row>
        <row r="3872">
          <cell r="U3872" t="str">
            <v>L106095</v>
          </cell>
          <cell r="V3872" t="str">
            <v>PV PAN 2kg</v>
          </cell>
          <cell r="W3872" t="str">
            <v>Ajuste</v>
          </cell>
          <cell r="X3872">
            <v>14</v>
          </cell>
          <cell r="Y3872">
            <v>28</v>
          </cell>
        </row>
        <row r="3873">
          <cell r="U3873" t="str">
            <v>L106097</v>
          </cell>
          <cell r="V3873" t="str">
            <v>PV PAN 2kg</v>
          </cell>
          <cell r="W3873" t="str">
            <v>Ajuste</v>
          </cell>
          <cell r="X3873">
            <v>18</v>
          </cell>
          <cell r="Y3873">
            <v>36</v>
          </cell>
        </row>
        <row r="3874">
          <cell r="U3874" t="str">
            <v>L106138</v>
          </cell>
          <cell r="V3874" t="str">
            <v>PV PAN 2kg</v>
          </cell>
          <cell r="W3874" t="str">
            <v>Ajuste</v>
          </cell>
          <cell r="X3874">
            <v>14</v>
          </cell>
          <cell r="Y3874">
            <v>28</v>
          </cell>
        </row>
        <row r="3875">
          <cell r="U3875" t="str">
            <v>L106145</v>
          </cell>
          <cell r="V3875" t="str">
            <v>PV PAN 2kg</v>
          </cell>
          <cell r="W3875" t="str">
            <v>Ajuste</v>
          </cell>
          <cell r="X3875">
            <v>6</v>
          </cell>
          <cell r="Y3875">
            <v>12</v>
          </cell>
        </row>
        <row r="3876">
          <cell r="U3876" t="str">
            <v>L106150</v>
          </cell>
          <cell r="V3876" t="str">
            <v>PV PAN 2kg</v>
          </cell>
          <cell r="W3876" t="str">
            <v>Ajuste</v>
          </cell>
          <cell r="X3876">
            <v>20</v>
          </cell>
          <cell r="Y3876">
            <v>40</v>
          </cell>
        </row>
        <row r="3877">
          <cell r="U3877" t="str">
            <v>L106194</v>
          </cell>
          <cell r="V3877" t="str">
            <v>PV PAN 2kg</v>
          </cell>
          <cell r="W3877" t="str">
            <v>Ajuste</v>
          </cell>
          <cell r="X3877">
            <v>8</v>
          </cell>
          <cell r="Y3877">
            <v>16</v>
          </cell>
        </row>
        <row r="3878">
          <cell r="U3878" t="str">
            <v>L106198</v>
          </cell>
          <cell r="V3878" t="str">
            <v>PV PAN 2kg</v>
          </cell>
          <cell r="W3878" t="str">
            <v>Ajuste</v>
          </cell>
          <cell r="X3878">
            <v>134</v>
          </cell>
          <cell r="Y3878">
            <v>268</v>
          </cell>
        </row>
        <row r="3879">
          <cell r="U3879" t="str">
            <v>L106359</v>
          </cell>
          <cell r="V3879" t="str">
            <v>PV PAN 2kg</v>
          </cell>
          <cell r="W3879" t="str">
            <v>Ajuste</v>
          </cell>
          <cell r="X3879">
            <v>10</v>
          </cell>
          <cell r="Y3879">
            <v>20</v>
          </cell>
        </row>
        <row r="3880">
          <cell r="U3880" t="str">
            <v>L106416</v>
          </cell>
          <cell r="V3880" t="str">
            <v>PV PAN 2kg</v>
          </cell>
          <cell r="W3880" t="str">
            <v>Ajuste</v>
          </cell>
          <cell r="X3880">
            <v>2</v>
          </cell>
          <cell r="Y3880">
            <v>4</v>
          </cell>
        </row>
        <row r="3881">
          <cell r="U3881" t="str">
            <v>L106423</v>
          </cell>
          <cell r="V3881" t="str">
            <v>PV PAN 2kg</v>
          </cell>
          <cell r="W3881" t="str">
            <v>Ajuste</v>
          </cell>
          <cell r="X3881">
            <v>8</v>
          </cell>
          <cell r="Y3881">
            <v>16</v>
          </cell>
        </row>
        <row r="3882">
          <cell r="U3882" t="str">
            <v>L106428</v>
          </cell>
          <cell r="V3882" t="str">
            <v>PV PAN 2kg</v>
          </cell>
          <cell r="W3882" t="str">
            <v>Ajuste</v>
          </cell>
          <cell r="X3882">
            <v>16</v>
          </cell>
          <cell r="Y3882">
            <v>32</v>
          </cell>
        </row>
        <row r="3883">
          <cell r="U3883" t="str">
            <v>L106429</v>
          </cell>
          <cell r="V3883" t="str">
            <v>PV PAN 2kg</v>
          </cell>
          <cell r="W3883" t="str">
            <v>Ajuste</v>
          </cell>
          <cell r="X3883">
            <v>12</v>
          </cell>
          <cell r="Y3883">
            <v>24</v>
          </cell>
        </row>
        <row r="3884">
          <cell r="U3884" t="str">
            <v>L106431</v>
          </cell>
          <cell r="V3884" t="str">
            <v>PV PAN 2kg</v>
          </cell>
          <cell r="W3884" t="str">
            <v>Ajuste</v>
          </cell>
          <cell r="X3884">
            <v>10</v>
          </cell>
          <cell r="Y3884">
            <v>20</v>
          </cell>
        </row>
        <row r="3885">
          <cell r="U3885" t="str">
            <v>L106459</v>
          </cell>
          <cell r="V3885" t="str">
            <v>PV PAN 2kg</v>
          </cell>
          <cell r="W3885" t="str">
            <v>Ajuste</v>
          </cell>
          <cell r="X3885">
            <v>8</v>
          </cell>
          <cell r="Y3885">
            <v>16</v>
          </cell>
        </row>
        <row r="3886">
          <cell r="U3886" t="str">
            <v>L106496</v>
          </cell>
          <cell r="V3886" t="str">
            <v>PV PAN 2kg</v>
          </cell>
          <cell r="W3886" t="str">
            <v>Ajuste</v>
          </cell>
          <cell r="X3886">
            <v>12</v>
          </cell>
          <cell r="Y3886">
            <v>24</v>
          </cell>
        </row>
        <row r="3887">
          <cell r="U3887" t="str">
            <v>L106586</v>
          </cell>
          <cell r="V3887" t="str">
            <v>PV PAN 2kg</v>
          </cell>
          <cell r="W3887" t="str">
            <v>Ajuste</v>
          </cell>
          <cell r="X3887">
            <v>8</v>
          </cell>
          <cell r="Y3887">
            <v>16</v>
          </cell>
        </row>
        <row r="3888">
          <cell r="U3888" t="str">
            <v>L106590</v>
          </cell>
          <cell r="V3888" t="str">
            <v>PV PAN 2kg</v>
          </cell>
          <cell r="W3888" t="str">
            <v>Ajuste</v>
          </cell>
          <cell r="X3888">
            <v>2</v>
          </cell>
          <cell r="Y3888">
            <v>4</v>
          </cell>
        </row>
        <row r="3889">
          <cell r="U3889" t="str">
            <v>L106595</v>
          </cell>
          <cell r="V3889" t="str">
            <v>PV PAN 2kg</v>
          </cell>
          <cell r="W3889" t="str">
            <v>Ajuste</v>
          </cell>
          <cell r="X3889">
            <v>2</v>
          </cell>
          <cell r="Y3889">
            <v>4</v>
          </cell>
        </row>
        <row r="3890">
          <cell r="U3890" t="str">
            <v>L106715</v>
          </cell>
          <cell r="V3890" t="str">
            <v>PV PAN 2kg</v>
          </cell>
          <cell r="W3890" t="str">
            <v>Ajuste</v>
          </cell>
          <cell r="X3890">
            <v>16</v>
          </cell>
          <cell r="Y3890">
            <v>32</v>
          </cell>
        </row>
        <row r="3891">
          <cell r="U3891" t="str">
            <v>L106738</v>
          </cell>
          <cell r="V3891" t="str">
            <v>PV PAN 2kg</v>
          </cell>
          <cell r="W3891" t="str">
            <v>Ajuste</v>
          </cell>
          <cell r="X3891">
            <v>70</v>
          </cell>
          <cell r="Y3891">
            <v>140</v>
          </cell>
        </row>
        <row r="3892">
          <cell r="U3892" t="str">
            <v>L106740</v>
          </cell>
          <cell r="V3892" t="str">
            <v>PV PAN 2kg</v>
          </cell>
          <cell r="W3892" t="str">
            <v>Ajuste</v>
          </cell>
          <cell r="X3892">
            <v>10</v>
          </cell>
          <cell r="Y3892">
            <v>20</v>
          </cell>
        </row>
        <row r="3893">
          <cell r="U3893" t="str">
            <v>L106859</v>
          </cell>
          <cell r="V3893" t="str">
            <v>PV PAN 2kg</v>
          </cell>
          <cell r="W3893" t="str">
            <v>Ajuste</v>
          </cell>
          <cell r="X3893">
            <v>24</v>
          </cell>
          <cell r="Y3893">
            <v>48</v>
          </cell>
        </row>
        <row r="3894">
          <cell r="U3894" t="str">
            <v>L107016</v>
          </cell>
          <cell r="V3894" t="str">
            <v>PV PAN 2kg</v>
          </cell>
          <cell r="W3894" t="str">
            <v>Ajuste</v>
          </cell>
          <cell r="X3894">
            <v>10</v>
          </cell>
          <cell r="Y3894">
            <v>20</v>
          </cell>
        </row>
        <row r="3895">
          <cell r="U3895" t="str">
            <v>L107020</v>
          </cell>
          <cell r="V3895" t="str">
            <v>PV PAN 2kg</v>
          </cell>
          <cell r="W3895" t="str">
            <v>Ajuste</v>
          </cell>
          <cell r="X3895">
            <v>10</v>
          </cell>
          <cell r="Y3895">
            <v>20</v>
          </cell>
        </row>
        <row r="3896">
          <cell r="U3896" t="str">
            <v>L107050</v>
          </cell>
          <cell r="V3896" t="str">
            <v>PV PAN 2kg</v>
          </cell>
          <cell r="W3896" t="str">
            <v>Ajuste</v>
          </cell>
          <cell r="X3896">
            <v>6</v>
          </cell>
          <cell r="Y3896">
            <v>12</v>
          </cell>
        </row>
        <row r="3897">
          <cell r="U3897" t="str">
            <v>L107051</v>
          </cell>
          <cell r="V3897" t="str">
            <v>PV PAN 2kg</v>
          </cell>
          <cell r="W3897" t="str">
            <v>Ajuste</v>
          </cell>
          <cell r="X3897">
            <v>30</v>
          </cell>
          <cell r="Y3897">
            <v>60</v>
          </cell>
        </row>
        <row r="3898">
          <cell r="U3898" t="str">
            <v>L107058</v>
          </cell>
          <cell r="V3898" t="str">
            <v>PV PAN 2kg</v>
          </cell>
          <cell r="W3898" t="str">
            <v>Ajuste</v>
          </cell>
          <cell r="X3898">
            <v>12</v>
          </cell>
          <cell r="Y3898">
            <v>24</v>
          </cell>
        </row>
        <row r="3899">
          <cell r="U3899" t="str">
            <v>L107131</v>
          </cell>
          <cell r="V3899" t="str">
            <v>PV PAN 2kg</v>
          </cell>
          <cell r="W3899" t="str">
            <v>Ajuste</v>
          </cell>
          <cell r="X3899">
            <v>4</v>
          </cell>
          <cell r="Y3899">
            <v>8</v>
          </cell>
        </row>
        <row r="3900">
          <cell r="U3900" t="str">
            <v>L107137</v>
          </cell>
          <cell r="V3900" t="str">
            <v>PV PAN 2kg</v>
          </cell>
          <cell r="W3900" t="str">
            <v>Ajuste</v>
          </cell>
          <cell r="X3900">
            <v>20</v>
          </cell>
          <cell r="Y3900">
            <v>40</v>
          </cell>
        </row>
        <row r="3901">
          <cell r="U3901" t="str">
            <v>L107143</v>
          </cell>
          <cell r="V3901" t="str">
            <v>PV PAN 2kg</v>
          </cell>
          <cell r="W3901" t="str">
            <v>Ajuste</v>
          </cell>
          <cell r="X3901">
            <v>10</v>
          </cell>
          <cell r="Y3901">
            <v>20</v>
          </cell>
        </row>
        <row r="3902">
          <cell r="U3902" t="str">
            <v>L107283</v>
          </cell>
          <cell r="V3902" t="str">
            <v>PV PAN 2kg</v>
          </cell>
          <cell r="W3902" t="str">
            <v>Ajuste</v>
          </cell>
          <cell r="X3902">
            <v>4</v>
          </cell>
          <cell r="Y3902">
            <v>8</v>
          </cell>
        </row>
        <row r="3903">
          <cell r="U3903" t="str">
            <v>L107284</v>
          </cell>
          <cell r="V3903" t="str">
            <v>PV PAN 2kg</v>
          </cell>
          <cell r="W3903" t="str">
            <v>Ajuste</v>
          </cell>
          <cell r="X3903">
            <v>8</v>
          </cell>
          <cell r="Y3903">
            <v>16</v>
          </cell>
        </row>
        <row r="3904">
          <cell r="U3904" t="str">
            <v>L107290</v>
          </cell>
          <cell r="V3904" t="str">
            <v>PV PAN 2kg</v>
          </cell>
          <cell r="W3904" t="str">
            <v>Ajuste</v>
          </cell>
          <cell r="X3904">
            <v>2</v>
          </cell>
          <cell r="Y3904">
            <v>4</v>
          </cell>
        </row>
        <row r="3905">
          <cell r="U3905" t="str">
            <v>L107291</v>
          </cell>
          <cell r="V3905" t="str">
            <v>PV PAN 2kg</v>
          </cell>
          <cell r="W3905" t="str">
            <v>Ajuste</v>
          </cell>
          <cell r="X3905">
            <v>2</v>
          </cell>
          <cell r="Y3905">
            <v>4</v>
          </cell>
        </row>
        <row r="3906">
          <cell r="U3906" t="str">
            <v>L106147</v>
          </cell>
          <cell r="V3906" t="str">
            <v>PV PAN 3kg-CAJA</v>
          </cell>
          <cell r="W3906" t="str">
            <v>Ajuste</v>
          </cell>
          <cell r="X3906">
            <v>2</v>
          </cell>
          <cell r="Y3906">
            <v>6</v>
          </cell>
        </row>
        <row r="3907">
          <cell r="U3907" t="str">
            <v>L106430</v>
          </cell>
          <cell r="V3907" t="str">
            <v>PV PAN 3kg-CAJA</v>
          </cell>
          <cell r="W3907" t="str">
            <v>Ajuste</v>
          </cell>
          <cell r="X3907">
            <v>2</v>
          </cell>
          <cell r="Y3907">
            <v>6</v>
          </cell>
        </row>
        <row r="3908">
          <cell r="U3908" t="str">
            <v>L107282</v>
          </cell>
          <cell r="V3908" t="str">
            <v>PV PAN 3kg-CAJA</v>
          </cell>
          <cell r="W3908" t="str">
            <v>Ajuste</v>
          </cell>
          <cell r="X3908">
            <v>2</v>
          </cell>
          <cell r="Y3908">
            <v>6</v>
          </cell>
        </row>
        <row r="3909">
          <cell r="U3909" t="str">
            <v>L106094</v>
          </cell>
          <cell r="V3909" t="str">
            <v>PV PASTV 2kg</v>
          </cell>
          <cell r="W3909" t="str">
            <v>Ajuste</v>
          </cell>
          <cell r="X3909">
            <v>22</v>
          </cell>
          <cell r="Y3909">
            <v>44</v>
          </cell>
        </row>
        <row r="3910">
          <cell r="U3910" t="str">
            <v>L106139</v>
          </cell>
          <cell r="V3910" t="str">
            <v>PV PASTV 2kg</v>
          </cell>
          <cell r="W3910" t="str">
            <v>Ajuste</v>
          </cell>
          <cell r="X3910">
            <v>14</v>
          </cell>
          <cell r="Y3910">
            <v>28</v>
          </cell>
        </row>
        <row r="3911">
          <cell r="U3911" t="str">
            <v>L106143</v>
          </cell>
          <cell r="V3911" t="str">
            <v>PV PASTV 2kg</v>
          </cell>
          <cell r="W3911" t="str">
            <v>Ajuste</v>
          </cell>
          <cell r="X3911">
            <v>24</v>
          </cell>
          <cell r="Y3911">
            <v>48</v>
          </cell>
        </row>
        <row r="3912">
          <cell r="U3912" t="str">
            <v>L106192</v>
          </cell>
          <cell r="V3912" t="str">
            <v>PV PASTV 2kg</v>
          </cell>
          <cell r="W3912" t="str">
            <v>Ajuste</v>
          </cell>
          <cell r="X3912">
            <v>30</v>
          </cell>
          <cell r="Y3912">
            <v>60</v>
          </cell>
        </row>
        <row r="3913">
          <cell r="U3913" t="str">
            <v>L106199</v>
          </cell>
          <cell r="V3913" t="str">
            <v>PV PASTV 2kg</v>
          </cell>
          <cell r="W3913" t="str">
            <v>Ajuste</v>
          </cell>
          <cell r="X3913">
            <v>2</v>
          </cell>
          <cell r="Y3913">
            <v>4</v>
          </cell>
        </row>
        <row r="3914">
          <cell r="U3914" t="str">
            <v>L106352</v>
          </cell>
          <cell r="V3914" t="str">
            <v>PV PASTV 2kg</v>
          </cell>
          <cell r="W3914" t="str">
            <v>Ajuste</v>
          </cell>
          <cell r="X3914">
            <v>38</v>
          </cell>
          <cell r="Y3914">
            <v>76</v>
          </cell>
        </row>
        <row r="3915">
          <cell r="U3915" t="str">
            <v>L106358</v>
          </cell>
          <cell r="V3915" t="str">
            <v>PV PASTV 2kg</v>
          </cell>
          <cell r="W3915" t="str">
            <v>Ajuste</v>
          </cell>
          <cell r="X3915">
            <v>22</v>
          </cell>
          <cell r="Y3915">
            <v>44</v>
          </cell>
        </row>
        <row r="3916">
          <cell r="U3916" t="str">
            <v>L106415</v>
          </cell>
          <cell r="V3916" t="str">
            <v>PV PASTV 2kg</v>
          </cell>
          <cell r="W3916" t="str">
            <v>Ajuste</v>
          </cell>
          <cell r="X3916">
            <v>26</v>
          </cell>
          <cell r="Y3916">
            <v>52</v>
          </cell>
        </row>
        <row r="3917">
          <cell r="U3917" t="str">
            <v>L106422</v>
          </cell>
          <cell r="V3917" t="str">
            <v>PV PASTV 2kg</v>
          </cell>
          <cell r="W3917" t="str">
            <v>Ajuste</v>
          </cell>
          <cell r="X3917">
            <v>20</v>
          </cell>
          <cell r="Y3917">
            <v>40</v>
          </cell>
        </row>
        <row r="3918">
          <cell r="U3918" t="str">
            <v>L106458</v>
          </cell>
          <cell r="V3918" t="str">
            <v>PV PASTV 2kg</v>
          </cell>
          <cell r="W3918" t="str">
            <v>Ajuste</v>
          </cell>
          <cell r="X3918">
            <v>38</v>
          </cell>
          <cell r="Y3918">
            <v>76</v>
          </cell>
        </row>
        <row r="3919">
          <cell r="U3919" t="str">
            <v>L106461</v>
          </cell>
          <cell r="V3919" t="str">
            <v>PV PASTV 2kg</v>
          </cell>
          <cell r="W3919" t="str">
            <v>Ajuste</v>
          </cell>
          <cell r="X3919">
            <v>26</v>
          </cell>
          <cell r="Y3919">
            <v>52</v>
          </cell>
        </row>
        <row r="3920">
          <cell r="U3920" t="str">
            <v>L106495</v>
          </cell>
          <cell r="V3920" t="str">
            <v>PV PASTV 2kg</v>
          </cell>
          <cell r="W3920" t="str">
            <v>Ajuste</v>
          </cell>
          <cell r="X3920">
            <v>40</v>
          </cell>
          <cell r="Y3920">
            <v>80</v>
          </cell>
        </row>
        <row r="3921">
          <cell r="U3921" t="str">
            <v>L106498</v>
          </cell>
          <cell r="V3921" t="str">
            <v>PV PASTV 2kg</v>
          </cell>
          <cell r="W3921" t="str">
            <v>Ajuste</v>
          </cell>
          <cell r="X3921">
            <v>18</v>
          </cell>
          <cell r="Y3921">
            <v>36</v>
          </cell>
        </row>
        <row r="3922">
          <cell r="U3922" t="str">
            <v>L106589</v>
          </cell>
          <cell r="V3922" t="str">
            <v>PV PASTV 2kg</v>
          </cell>
          <cell r="W3922" t="str">
            <v>Ajuste</v>
          </cell>
          <cell r="X3922">
            <v>20</v>
          </cell>
          <cell r="Y3922">
            <v>40</v>
          </cell>
        </row>
        <row r="3923">
          <cell r="U3923" t="str">
            <v>L106739</v>
          </cell>
          <cell r="V3923" t="str">
            <v>PV PASTV 2kg</v>
          </cell>
          <cell r="W3923" t="str">
            <v>Ajuste</v>
          </cell>
          <cell r="X3923">
            <v>32</v>
          </cell>
          <cell r="Y3923">
            <v>64</v>
          </cell>
        </row>
        <row r="3924">
          <cell r="U3924" t="str">
            <v>L106820</v>
          </cell>
          <cell r="V3924" t="str">
            <v>PV PASTV 2kg</v>
          </cell>
          <cell r="W3924" t="str">
            <v>Ajuste</v>
          </cell>
          <cell r="X3924">
            <v>2</v>
          </cell>
          <cell r="Y3924">
            <v>4</v>
          </cell>
        </row>
        <row r="3925">
          <cell r="U3925" t="str">
            <v>L106947</v>
          </cell>
          <cell r="V3925" t="str">
            <v>PV PASTV 2kg</v>
          </cell>
          <cell r="W3925" t="str">
            <v>Ajuste</v>
          </cell>
          <cell r="X3925">
            <v>36</v>
          </cell>
          <cell r="Y3925">
            <v>72</v>
          </cell>
        </row>
        <row r="3926">
          <cell r="U3926" t="str">
            <v>L107017</v>
          </cell>
          <cell r="V3926" t="str">
            <v>PV PASTV 2kg</v>
          </cell>
          <cell r="W3926" t="str">
            <v>Ajuste</v>
          </cell>
          <cell r="X3926">
            <v>16</v>
          </cell>
          <cell r="Y3926">
            <v>32</v>
          </cell>
        </row>
        <row r="3927">
          <cell r="U3927" t="str">
            <v>L107021</v>
          </cell>
          <cell r="V3927" t="str">
            <v>PV PASTV 2kg</v>
          </cell>
          <cell r="W3927" t="str">
            <v>Ajuste</v>
          </cell>
          <cell r="X3927">
            <v>4</v>
          </cell>
          <cell r="Y3927">
            <v>8</v>
          </cell>
        </row>
        <row r="3928">
          <cell r="U3928" t="str">
            <v>L107049</v>
          </cell>
          <cell r="V3928" t="str">
            <v>PV PASTV 2kg</v>
          </cell>
          <cell r="W3928" t="str">
            <v>Ajuste</v>
          </cell>
          <cell r="X3928">
            <v>12</v>
          </cell>
          <cell r="Y3928">
            <v>24</v>
          </cell>
        </row>
        <row r="3929">
          <cell r="U3929" t="str">
            <v>L107057</v>
          </cell>
          <cell r="V3929" t="str">
            <v>PV PASTV 2kg</v>
          </cell>
          <cell r="W3929" t="str">
            <v>Ajuste</v>
          </cell>
          <cell r="X3929">
            <v>24</v>
          </cell>
          <cell r="Y3929">
            <v>48</v>
          </cell>
        </row>
        <row r="3930">
          <cell r="U3930" t="str">
            <v>L107130</v>
          </cell>
          <cell r="V3930" t="str">
            <v>PV PASTV 2kg</v>
          </cell>
          <cell r="W3930" t="str">
            <v>Ajuste</v>
          </cell>
          <cell r="X3930">
            <v>18</v>
          </cell>
          <cell r="Y3930">
            <v>36</v>
          </cell>
        </row>
        <row r="3931">
          <cell r="U3931" t="str">
            <v>L107136</v>
          </cell>
          <cell r="V3931" t="str">
            <v>PV PASTV 2kg</v>
          </cell>
          <cell r="W3931" t="str">
            <v>Ajuste</v>
          </cell>
          <cell r="X3931">
            <v>10</v>
          </cell>
          <cell r="Y3931">
            <v>20</v>
          </cell>
        </row>
        <row r="3932">
          <cell r="U3932" t="str">
            <v>L106093</v>
          </cell>
          <cell r="V3932" t="str">
            <v>PV PASTV 3kg</v>
          </cell>
          <cell r="W3932" t="str">
            <v>Ajuste</v>
          </cell>
          <cell r="X3932">
            <v>14</v>
          </cell>
          <cell r="Y3932">
            <v>42</v>
          </cell>
        </row>
        <row r="3933">
          <cell r="U3933" t="str">
            <v>L106144</v>
          </cell>
          <cell r="V3933" t="str">
            <v>PV PASTV 3kg</v>
          </cell>
          <cell r="W3933" t="str">
            <v>Ajuste</v>
          </cell>
          <cell r="X3933">
            <v>32</v>
          </cell>
          <cell r="Y3933">
            <v>96</v>
          </cell>
        </row>
        <row r="3934">
          <cell r="U3934" t="str">
            <v>L106197</v>
          </cell>
          <cell r="V3934" t="str">
            <v>PV PASTV 3kg</v>
          </cell>
          <cell r="W3934" t="str">
            <v>Ajuste</v>
          </cell>
          <cell r="X3934">
            <v>8</v>
          </cell>
          <cell r="Y3934">
            <v>24</v>
          </cell>
        </row>
        <row r="3935">
          <cell r="U3935" t="str">
            <v>L106351</v>
          </cell>
          <cell r="V3935" t="str">
            <v>PV PASTV 3kg</v>
          </cell>
          <cell r="W3935" t="str">
            <v>Ajuste</v>
          </cell>
          <cell r="X3935">
            <v>16</v>
          </cell>
          <cell r="Y3935">
            <v>48</v>
          </cell>
        </row>
        <row r="3936">
          <cell r="U3936" t="str">
            <v>L106357</v>
          </cell>
          <cell r="V3936" t="str">
            <v>PV PASTV 3kg</v>
          </cell>
          <cell r="W3936" t="str">
            <v>Ajuste</v>
          </cell>
          <cell r="X3936">
            <v>24</v>
          </cell>
          <cell r="Y3936">
            <v>72</v>
          </cell>
        </row>
        <row r="3937">
          <cell r="U3937" t="str">
            <v>L106414</v>
          </cell>
          <cell r="V3937" t="str">
            <v>PV PASTV 3kg</v>
          </cell>
          <cell r="W3937" t="str">
            <v>Ajuste</v>
          </cell>
          <cell r="X3937">
            <v>12</v>
          </cell>
          <cell r="Y3937">
            <v>36</v>
          </cell>
        </row>
        <row r="3938">
          <cell r="U3938" t="str">
            <v>L106421</v>
          </cell>
          <cell r="V3938" t="str">
            <v>PV PASTV 3kg</v>
          </cell>
          <cell r="W3938" t="str">
            <v>Ajuste</v>
          </cell>
          <cell r="X3938">
            <v>10</v>
          </cell>
          <cell r="Y3938">
            <v>30</v>
          </cell>
        </row>
        <row r="3939">
          <cell r="U3939" t="str">
            <v>L106457</v>
          </cell>
          <cell r="V3939" t="str">
            <v>PV PASTV 3kg</v>
          </cell>
          <cell r="W3939" t="str">
            <v>Ajuste</v>
          </cell>
          <cell r="X3939">
            <v>18</v>
          </cell>
          <cell r="Y3939">
            <v>54</v>
          </cell>
        </row>
        <row r="3940">
          <cell r="U3940" t="str">
            <v>L106497</v>
          </cell>
          <cell r="V3940" t="str">
            <v>PV PASTV 3kg</v>
          </cell>
          <cell r="W3940" t="str">
            <v>Ajuste</v>
          </cell>
          <cell r="X3940">
            <v>20</v>
          </cell>
          <cell r="Y3940">
            <v>60</v>
          </cell>
        </row>
        <row r="3941">
          <cell r="U3941" t="str">
            <v>L106821</v>
          </cell>
          <cell r="V3941" t="str">
            <v>PV PASTV 3kg</v>
          </cell>
          <cell r="W3941" t="str">
            <v>Ajuste</v>
          </cell>
          <cell r="X3941">
            <v>2</v>
          </cell>
          <cell r="Y3941">
            <v>6</v>
          </cell>
        </row>
        <row r="3942">
          <cell r="U3942" t="str">
            <v>L106943</v>
          </cell>
          <cell r="V3942" t="str">
            <v>PV PASTV 3kg</v>
          </cell>
          <cell r="W3942" t="str">
            <v>Ajuste</v>
          </cell>
          <cell r="X3942">
            <v>8</v>
          </cell>
          <cell r="Y3942">
            <v>24</v>
          </cell>
        </row>
        <row r="3943">
          <cell r="U3943" t="str">
            <v>L107015</v>
          </cell>
          <cell r="V3943" t="str">
            <v>PV PASTV 3kg</v>
          </cell>
          <cell r="W3943" t="str">
            <v>Ajuste</v>
          </cell>
          <cell r="X3943">
            <v>6</v>
          </cell>
          <cell r="Y3943">
            <v>18</v>
          </cell>
        </row>
        <row r="3944">
          <cell r="U3944" t="str">
            <v>L107048</v>
          </cell>
          <cell r="V3944" t="str">
            <v>PV PASTV 3kg</v>
          </cell>
          <cell r="W3944" t="str">
            <v>Ajuste</v>
          </cell>
          <cell r="X3944">
            <v>18</v>
          </cell>
          <cell r="Y3944">
            <v>54</v>
          </cell>
        </row>
        <row r="3945">
          <cell r="U3945" t="str">
            <v>L107129</v>
          </cell>
          <cell r="V3945" t="str">
            <v>PV PASTV 3kg</v>
          </cell>
          <cell r="W3945" t="str">
            <v>Ajuste</v>
          </cell>
          <cell r="X3945">
            <v>12</v>
          </cell>
          <cell r="Y3945">
            <v>36</v>
          </cell>
        </row>
        <row r="3946">
          <cell r="U3946" t="str">
            <v>L107135</v>
          </cell>
          <cell r="V3946" t="str">
            <v>PV PASTV 3kg</v>
          </cell>
          <cell r="W3946" t="str">
            <v>Ajuste</v>
          </cell>
          <cell r="X3946">
            <v>18</v>
          </cell>
          <cell r="Y3946">
            <v>54</v>
          </cell>
        </row>
        <row r="3947">
          <cell r="U3947" t="str">
            <v>L107142</v>
          </cell>
          <cell r="V3947" t="str">
            <v>PV PASTV 3kg</v>
          </cell>
          <cell r="W3947" t="str">
            <v>Ajuste</v>
          </cell>
          <cell r="X3947">
            <v>2</v>
          </cell>
          <cell r="Y3947">
            <v>6</v>
          </cell>
        </row>
        <row r="3948">
          <cell r="U3948" t="str">
            <v>L106193</v>
          </cell>
          <cell r="V3948" t="str">
            <v>PV PASTV 4kg</v>
          </cell>
          <cell r="W3948" t="str">
            <v>Ajuste</v>
          </cell>
          <cell r="X3948">
            <v>10</v>
          </cell>
          <cell r="Y3948">
            <v>40</v>
          </cell>
        </row>
        <row r="3949">
          <cell r="U3949" t="str">
            <v>L106350</v>
          </cell>
          <cell r="V3949" t="str">
            <v>PV PASTV 4kg</v>
          </cell>
          <cell r="W3949" t="str">
            <v>Ajuste</v>
          </cell>
          <cell r="X3949">
            <v>4</v>
          </cell>
          <cell r="Y3949">
            <v>16</v>
          </cell>
        </row>
        <row r="3950">
          <cell r="U3950" t="str">
            <v>L106942</v>
          </cell>
          <cell r="V3950" t="str">
            <v>PV PASTV 4kg</v>
          </cell>
          <cell r="W3950" t="str">
            <v>Ajuste</v>
          </cell>
          <cell r="X3950">
            <v>2</v>
          </cell>
          <cell r="Y3950">
            <v>8</v>
          </cell>
        </row>
        <row r="3951">
          <cell r="U3951" t="str">
            <v>L107056</v>
          </cell>
          <cell r="V3951" t="str">
            <v>PV PASTV 4kg</v>
          </cell>
          <cell r="W3951" t="str">
            <v>Ajuste</v>
          </cell>
          <cell r="X3951">
            <v>6</v>
          </cell>
          <cell r="Y3951">
            <v>24</v>
          </cell>
        </row>
        <row r="3952">
          <cell r="U3952" t="str">
            <v>L107138</v>
          </cell>
          <cell r="V3952" t="str">
            <v>PV PRTZ UND</v>
          </cell>
          <cell r="W3952" t="str">
            <v>Ajuste</v>
          </cell>
          <cell r="X3952">
            <v>26</v>
          </cell>
          <cell r="Y3952">
            <v>26</v>
          </cell>
        </row>
        <row r="3953">
          <cell r="U3953" t="str">
            <v>L106044</v>
          </cell>
          <cell r="V3953" t="str">
            <v>PV PRTZ UND</v>
          </cell>
          <cell r="W3953" t="str">
            <v>Ajuste</v>
          </cell>
          <cell r="X3953">
            <v>16</v>
          </cell>
          <cell r="Y3953">
            <v>16</v>
          </cell>
        </row>
        <row r="3954">
          <cell r="U3954" t="str">
            <v>L106132</v>
          </cell>
          <cell r="V3954" t="str">
            <v>PV PRTZ UND</v>
          </cell>
          <cell r="W3954" t="str">
            <v>Ajuste</v>
          </cell>
          <cell r="X3954">
            <v>18</v>
          </cell>
          <cell r="Y3954">
            <v>18</v>
          </cell>
        </row>
        <row r="3955">
          <cell r="U3955" t="str">
            <v>L106152</v>
          </cell>
          <cell r="V3955" t="str">
            <v>PV PRTZ UND</v>
          </cell>
          <cell r="W3955" t="str">
            <v>Ajuste</v>
          </cell>
          <cell r="X3955">
            <v>32</v>
          </cell>
          <cell r="Y3955">
            <v>32</v>
          </cell>
        </row>
        <row r="3956">
          <cell r="U3956" t="str">
            <v>L106411</v>
          </cell>
          <cell r="V3956" t="str">
            <v>PV PRTZ UND</v>
          </cell>
          <cell r="W3956" t="str">
            <v>Ajuste</v>
          </cell>
          <cell r="X3956">
            <v>32</v>
          </cell>
          <cell r="Y3956">
            <v>32</v>
          </cell>
        </row>
        <row r="3957">
          <cell r="U3957" t="str">
            <v>L106420</v>
          </cell>
          <cell r="V3957" t="str">
            <v>PV PRTZ UND</v>
          </cell>
          <cell r="W3957" t="str">
            <v>Ajuste</v>
          </cell>
          <cell r="X3957">
            <v>20</v>
          </cell>
          <cell r="Y3957">
            <v>20</v>
          </cell>
        </row>
        <row r="3958">
          <cell r="U3958" t="str">
            <v>L106460</v>
          </cell>
          <cell r="V3958" t="str">
            <v>PV PRTZ UND</v>
          </cell>
          <cell r="W3958" t="str">
            <v>Ajuste</v>
          </cell>
          <cell r="X3958">
            <v>10</v>
          </cell>
          <cell r="Y3958">
            <v>10</v>
          </cell>
        </row>
        <row r="3959">
          <cell r="U3959" t="str">
            <v>L106469</v>
          </cell>
          <cell r="V3959" t="str">
            <v>PV PRTZ UND</v>
          </cell>
          <cell r="W3959" t="str">
            <v>Ajuste</v>
          </cell>
          <cell r="X3959">
            <v>32</v>
          </cell>
          <cell r="Y3959">
            <v>32</v>
          </cell>
        </row>
        <row r="3960">
          <cell r="U3960" t="str">
            <v>L106494</v>
          </cell>
          <cell r="V3960" t="str">
            <v>PV PRTZ UND</v>
          </cell>
          <cell r="W3960" t="str">
            <v>Ajuste</v>
          </cell>
          <cell r="X3960">
            <v>34</v>
          </cell>
          <cell r="Y3960">
            <v>34</v>
          </cell>
        </row>
        <row r="3961">
          <cell r="U3961" t="str">
            <v>L106608</v>
          </cell>
          <cell r="V3961" t="str">
            <v>PV PRTZ UND</v>
          </cell>
          <cell r="W3961" t="str">
            <v>Ajuste</v>
          </cell>
          <cell r="X3961">
            <v>8</v>
          </cell>
          <cell r="Y3961">
            <v>8</v>
          </cell>
        </row>
        <row r="3962">
          <cell r="U3962" t="str">
            <v>L106721</v>
          </cell>
          <cell r="V3962" t="str">
            <v>PV PRTZ UND</v>
          </cell>
          <cell r="W3962" t="str">
            <v>Ajuste</v>
          </cell>
          <cell r="X3962">
            <v>24</v>
          </cell>
          <cell r="Y3962">
            <v>24</v>
          </cell>
        </row>
        <row r="3963">
          <cell r="U3963" t="str">
            <v>L106818</v>
          </cell>
          <cell r="V3963" t="str">
            <v>PV PRTZ UND</v>
          </cell>
          <cell r="W3963" t="str">
            <v>Ajuste</v>
          </cell>
          <cell r="X3963">
            <v>6</v>
          </cell>
          <cell r="Y3963">
            <v>6</v>
          </cell>
        </row>
        <row r="3964">
          <cell r="U3964" t="str">
            <v>L106941</v>
          </cell>
          <cell r="V3964" t="str">
            <v>PV PRTZ UND</v>
          </cell>
          <cell r="W3964" t="str">
            <v>Ajuste</v>
          </cell>
          <cell r="X3964">
            <v>4</v>
          </cell>
          <cell r="Y3964">
            <v>4</v>
          </cell>
        </row>
        <row r="3965">
          <cell r="U3965" t="str">
            <v>L107055</v>
          </cell>
          <cell r="V3965" t="str">
            <v>PV PRTZ UND</v>
          </cell>
          <cell r="W3965" t="str">
            <v>Ajuste</v>
          </cell>
          <cell r="X3965">
            <v>30</v>
          </cell>
          <cell r="Y3965">
            <v>30</v>
          </cell>
        </row>
        <row r="3966">
          <cell r="U3966" t="str">
            <v>L107060</v>
          </cell>
          <cell r="V3966" t="str">
            <v>PV PRTZ UND</v>
          </cell>
          <cell r="W3966" t="str">
            <v>Ajuste</v>
          </cell>
          <cell r="X3966">
            <v>18</v>
          </cell>
          <cell r="Y3966">
            <v>18</v>
          </cell>
        </row>
        <row r="3967">
          <cell r="U3967" t="str">
            <v>L107145</v>
          </cell>
          <cell r="V3967" t="str">
            <v>PV PRTZ UND</v>
          </cell>
          <cell r="W3967" t="str">
            <v>Ajuste</v>
          </cell>
          <cell r="X3967">
            <v>20</v>
          </cell>
          <cell r="Y3967">
            <v>20</v>
          </cell>
        </row>
        <row r="3968">
          <cell r="U3968" t="str">
            <v>L106122</v>
          </cell>
          <cell r="V3968" t="str">
            <v>PV PTM 5kg-CAJA</v>
          </cell>
          <cell r="W3968" t="str">
            <v>Ajuste</v>
          </cell>
          <cell r="X3968">
            <v>86</v>
          </cell>
          <cell r="Y3968">
            <v>430</v>
          </cell>
        </row>
        <row r="3969">
          <cell r="U3969" t="str">
            <v>L106828</v>
          </cell>
          <cell r="V3969" t="str">
            <v>PV PTM 5kg-CAJA</v>
          </cell>
          <cell r="W3969" t="str">
            <v>Ajuste</v>
          </cell>
          <cell r="X3969">
            <v>80</v>
          </cell>
          <cell r="Y3969">
            <v>400</v>
          </cell>
        </row>
        <row r="3970">
          <cell r="U3970" t="str">
            <v>L106839</v>
          </cell>
          <cell r="V3970" t="str">
            <v>PV PTM 5kg-CAJA</v>
          </cell>
          <cell r="W3970" t="str">
            <v>Ajuste</v>
          </cell>
          <cell r="X3970">
            <v>66</v>
          </cell>
          <cell r="Y3970">
            <v>330</v>
          </cell>
        </row>
        <row r="3971">
          <cell r="U3971" t="str">
            <v>L106975</v>
          </cell>
          <cell r="V3971" t="str">
            <v>PV PTM 5kg-CAJA</v>
          </cell>
          <cell r="W3971" t="str">
            <v>Ajuste</v>
          </cell>
          <cell r="X3971">
            <v>34</v>
          </cell>
          <cell r="Y3971">
            <v>170</v>
          </cell>
        </row>
        <row r="3972">
          <cell r="U3972" t="str">
            <v>L106603</v>
          </cell>
          <cell r="V3972" t="str">
            <v>PV SDA 12x355ml</v>
          </cell>
          <cell r="W3972" t="str">
            <v>Ajuste</v>
          </cell>
          <cell r="X3972">
            <v>268</v>
          </cell>
          <cell r="Y3972">
            <v>1141.6799999999996</v>
          </cell>
        </row>
        <row r="3973">
          <cell r="U3973" t="str">
            <v>L106725</v>
          </cell>
          <cell r="V3973" t="str">
            <v>PV SDA 12x355ml</v>
          </cell>
          <cell r="W3973" t="str">
            <v>Ajuste</v>
          </cell>
          <cell r="X3973">
            <v>2</v>
          </cell>
          <cell r="Y3973">
            <v>8.52</v>
          </cell>
        </row>
        <row r="3974">
          <cell r="U3974" t="str">
            <v>L106606</v>
          </cell>
          <cell r="V3974" t="str">
            <v>PV SNK 1Kg</v>
          </cell>
          <cell r="W3974" t="str">
            <v>Ajuste</v>
          </cell>
          <cell r="X3974">
            <v>72</v>
          </cell>
          <cell r="Y3974">
            <v>72</v>
          </cell>
        </row>
        <row r="3975">
          <cell r="U3975" t="str">
            <v>L106773</v>
          </cell>
          <cell r="V3975" t="str">
            <v>PV SNK 1Kg</v>
          </cell>
          <cell r="W3975" t="str">
            <v>Ajuste</v>
          </cell>
          <cell r="X3975">
            <v>300</v>
          </cell>
          <cell r="Y3975">
            <v>300</v>
          </cell>
        </row>
        <row r="3976">
          <cell r="U3976" t="str">
            <v>L107180</v>
          </cell>
          <cell r="V3976" t="str">
            <v>PV SNK 1Kg</v>
          </cell>
          <cell r="W3976" t="str">
            <v>Ajuste</v>
          </cell>
          <cell r="X3976">
            <v>4</v>
          </cell>
          <cell r="Y3976">
            <v>4</v>
          </cell>
        </row>
        <row r="3977">
          <cell r="U3977" t="str">
            <v>L107181</v>
          </cell>
          <cell r="V3977" t="str">
            <v>PV SNK 1Kg</v>
          </cell>
          <cell r="W3977" t="str">
            <v>Ajuste</v>
          </cell>
          <cell r="X3977">
            <v>2</v>
          </cell>
          <cell r="Y3977">
            <v>2</v>
          </cell>
        </row>
        <row r="3978">
          <cell r="U3978" t="str">
            <v>L107357</v>
          </cell>
          <cell r="V3978" t="str">
            <v>PV SNK 1Kg</v>
          </cell>
          <cell r="W3978" t="str">
            <v>Ajuste</v>
          </cell>
          <cell r="X3978">
            <v>3</v>
          </cell>
          <cell r="Y3978">
            <v>3</v>
          </cell>
        </row>
        <row r="3979">
          <cell r="U3979" t="str">
            <v>L107191</v>
          </cell>
          <cell r="V3979" t="str">
            <v>PV SNK 2kg</v>
          </cell>
          <cell r="W3979" t="str">
            <v>Ajuste</v>
          </cell>
          <cell r="X3979">
            <v>2</v>
          </cell>
          <cell r="Y3979">
            <v>4</v>
          </cell>
        </row>
        <row r="3980">
          <cell r="U3980" t="str">
            <v>L107192</v>
          </cell>
          <cell r="V3980" t="str">
            <v>PV SNK 2kg</v>
          </cell>
          <cell r="W3980" t="str">
            <v>Ajuste</v>
          </cell>
          <cell r="X3980">
            <v>4</v>
          </cell>
          <cell r="Y3980">
            <v>8</v>
          </cell>
        </row>
        <row r="3981">
          <cell r="U3981" t="str">
            <v>L107193</v>
          </cell>
          <cell r="V3981" t="str">
            <v>PV SNK 2kg</v>
          </cell>
          <cell r="W3981" t="str">
            <v>Ajuste</v>
          </cell>
          <cell r="X3981">
            <v>6</v>
          </cell>
          <cell r="Y3981">
            <v>12</v>
          </cell>
        </row>
        <row r="3982">
          <cell r="U3982" t="str">
            <v>L106604</v>
          </cell>
          <cell r="V3982" t="str">
            <v>PV SNK 2kg-CAJA</v>
          </cell>
          <cell r="W3982" t="str">
            <v>Ajuste</v>
          </cell>
          <cell r="X3982">
            <v>64</v>
          </cell>
          <cell r="Y3982">
            <v>128</v>
          </cell>
        </row>
        <row r="3983">
          <cell r="U3983" t="str">
            <v>L103660</v>
          </cell>
          <cell r="V3983" t="str">
            <v>PVO 6Kg</v>
          </cell>
          <cell r="W3983" t="str">
            <v>Ajuste</v>
          </cell>
          <cell r="X3983">
            <v>3</v>
          </cell>
          <cell r="Y3983">
            <v>0</v>
          </cell>
        </row>
        <row r="3984">
          <cell r="U3984" t="str">
            <v>L106456</v>
          </cell>
          <cell r="V3984" t="str">
            <v>PVPF 2kg - UNIDAD</v>
          </cell>
          <cell r="W3984" t="str">
            <v>Ajuste</v>
          </cell>
          <cell r="X3984">
            <v>72</v>
          </cell>
          <cell r="Y3984">
            <v>144</v>
          </cell>
        </row>
        <row r="3985">
          <cell r="U3985" t="str">
            <v>L106588</v>
          </cell>
          <cell r="V3985" t="str">
            <v>SAF 2kg</v>
          </cell>
          <cell r="W3985" t="str">
            <v>Ajuste</v>
          </cell>
          <cell r="X3985">
            <v>563</v>
          </cell>
          <cell r="Y3985">
            <v>1126</v>
          </cell>
        </row>
        <row r="3986">
          <cell r="U3986" t="str">
            <v>L106347</v>
          </cell>
          <cell r="V3986" t="str">
            <v>SAL 1kg-PAQUETE</v>
          </cell>
          <cell r="W3986" t="str">
            <v>Ajuste</v>
          </cell>
          <cell r="X3986">
            <v>70</v>
          </cell>
          <cell r="Y3986">
            <v>70</v>
          </cell>
        </row>
        <row r="3987">
          <cell r="U3987" t="str">
            <v>L106746</v>
          </cell>
          <cell r="V3987" t="str">
            <v>SAL 1kg-PAQUETE</v>
          </cell>
          <cell r="W3987" t="str">
            <v>Ajuste</v>
          </cell>
          <cell r="X3987">
            <v>2</v>
          </cell>
          <cell r="Y3987">
            <v>2</v>
          </cell>
        </row>
        <row r="3988">
          <cell r="U3988" t="str">
            <v>L106338</v>
          </cell>
          <cell r="V3988" t="str">
            <v>SAL 2kg-PAQUETE</v>
          </cell>
          <cell r="W3988" t="str">
            <v>Ajuste</v>
          </cell>
          <cell r="X3988">
            <v>40</v>
          </cell>
          <cell r="Y3988">
            <v>80</v>
          </cell>
        </row>
        <row r="3989">
          <cell r="U3989" t="str">
            <v>L106744</v>
          </cell>
          <cell r="V3989" t="str">
            <v>SAL 2kg-PAQUETE</v>
          </cell>
          <cell r="W3989" t="str">
            <v>Ajuste</v>
          </cell>
          <cell r="X3989">
            <v>8</v>
          </cell>
          <cell r="Y3989">
            <v>16</v>
          </cell>
        </row>
        <row r="3990">
          <cell r="U3990" t="str">
            <v>L107247</v>
          </cell>
          <cell r="V3990" t="str">
            <v>SAL 2kg-PAQUETE</v>
          </cell>
          <cell r="W3990" t="str">
            <v>Ajuste</v>
          </cell>
          <cell r="X3990">
            <v>10</v>
          </cell>
          <cell r="Y3990">
            <v>20</v>
          </cell>
        </row>
        <row r="3991">
          <cell r="U3991" t="str">
            <v>L106896</v>
          </cell>
          <cell r="V3991" t="str">
            <v>Salchicha en lata Kg</v>
          </cell>
          <cell r="W3991" t="str">
            <v>Ajuste</v>
          </cell>
          <cell r="X3991">
            <v>2.2999999999999998</v>
          </cell>
          <cell r="Y3991">
            <v>2.2999999999999998</v>
          </cell>
        </row>
        <row r="3992">
          <cell r="U3992" t="str">
            <v>L107329</v>
          </cell>
          <cell r="V3992" t="str">
            <v>SALRO 1kg - UNIDAD</v>
          </cell>
          <cell r="W3992" t="str">
            <v>Ajuste</v>
          </cell>
          <cell r="X3992">
            <v>12</v>
          </cell>
          <cell r="Y3992">
            <v>12</v>
          </cell>
        </row>
        <row r="3993">
          <cell r="U3993" t="str">
            <v>L106600</v>
          </cell>
          <cell r="V3993" t="str">
            <v>Salsa alfredo Kg</v>
          </cell>
          <cell r="W3993" t="str">
            <v>Ajuste</v>
          </cell>
          <cell r="X3993">
            <v>4</v>
          </cell>
          <cell r="Y3993">
            <v>4</v>
          </cell>
        </row>
        <row r="3994">
          <cell r="U3994" t="str">
            <v>L106804</v>
          </cell>
          <cell r="V3994" t="str">
            <v>Salsa variada kg</v>
          </cell>
          <cell r="W3994" t="str">
            <v>Ajuste</v>
          </cell>
          <cell r="X3994">
            <v>0.78</v>
          </cell>
          <cell r="Y3994">
            <v>0.78</v>
          </cell>
        </row>
        <row r="3995">
          <cell r="U3995" t="str">
            <v>L107097</v>
          </cell>
          <cell r="V3995" t="str">
            <v>Salsa variada kg</v>
          </cell>
          <cell r="W3995" t="str">
            <v>Ajuste</v>
          </cell>
          <cell r="X3995">
            <v>2</v>
          </cell>
          <cell r="Y3995">
            <v>2</v>
          </cell>
        </row>
        <row r="3996">
          <cell r="U3996" t="str">
            <v>L107096</v>
          </cell>
          <cell r="V3996" t="str">
            <v>Sardina kg</v>
          </cell>
          <cell r="W3996" t="str">
            <v>Ajuste</v>
          </cell>
          <cell r="X3996">
            <v>3.5</v>
          </cell>
          <cell r="Y3996">
            <v>3.5</v>
          </cell>
        </row>
        <row r="3997">
          <cell r="U3997" t="str">
            <v>L107401</v>
          </cell>
          <cell r="V3997" t="str">
            <v>Sardina kg</v>
          </cell>
          <cell r="W3997" t="str">
            <v>Ajuste</v>
          </cell>
          <cell r="X3997">
            <v>1.45</v>
          </cell>
          <cell r="Y3997">
            <v>1.45</v>
          </cell>
        </row>
        <row r="3998">
          <cell r="U3998" t="str">
            <v>L102805</v>
          </cell>
          <cell r="V3998" t="str">
            <v>SAV 2kg-CAJA</v>
          </cell>
          <cell r="W3998" t="str">
            <v>Ajuste</v>
          </cell>
          <cell r="X3998">
            <v>4</v>
          </cell>
          <cell r="Y3998">
            <v>8</v>
          </cell>
        </row>
        <row r="3999">
          <cell r="U3999" t="str">
            <v>L106636</v>
          </cell>
          <cell r="V3999" t="str">
            <v>SAV 2kg-CAJA</v>
          </cell>
          <cell r="W3999" t="str">
            <v>Ajuste</v>
          </cell>
          <cell r="X3999">
            <v>6</v>
          </cell>
          <cell r="Y3999">
            <v>12</v>
          </cell>
        </row>
        <row r="4000">
          <cell r="U4000" t="str">
            <v>L106637</v>
          </cell>
          <cell r="V4000" t="str">
            <v>SAV 2kg-CAJA</v>
          </cell>
          <cell r="W4000" t="str">
            <v>Ajuste</v>
          </cell>
          <cell r="X4000">
            <v>2</v>
          </cell>
          <cell r="Y4000">
            <v>4</v>
          </cell>
        </row>
        <row r="4001">
          <cell r="U4001" t="str">
            <v>L106638</v>
          </cell>
          <cell r="V4001" t="str">
            <v>SAV 2kg-CAJA</v>
          </cell>
          <cell r="W4001" t="str">
            <v>Ajuste</v>
          </cell>
          <cell r="X4001">
            <v>2</v>
          </cell>
          <cell r="Y4001">
            <v>4</v>
          </cell>
        </row>
        <row r="4002">
          <cell r="U4002" t="str">
            <v>L106801</v>
          </cell>
          <cell r="V4002" t="str">
            <v>SAV 2kg-CAJA</v>
          </cell>
          <cell r="W4002" t="str">
            <v>Ajuste</v>
          </cell>
          <cell r="X4002">
            <v>2</v>
          </cell>
          <cell r="Y4002">
            <v>4</v>
          </cell>
        </row>
        <row r="4003">
          <cell r="U4003" t="str">
            <v>L107067</v>
          </cell>
          <cell r="V4003" t="str">
            <v>SAV 2kg-CAJA</v>
          </cell>
          <cell r="W4003" t="str">
            <v>Ajuste</v>
          </cell>
          <cell r="X4003">
            <v>6</v>
          </cell>
          <cell r="Y4003">
            <v>12</v>
          </cell>
        </row>
        <row r="4004">
          <cell r="U4004" t="str">
            <v>L107068</v>
          </cell>
          <cell r="V4004" t="str">
            <v>SAV 2kg-CAJA</v>
          </cell>
          <cell r="W4004" t="str">
            <v>Ajuste</v>
          </cell>
          <cell r="X4004">
            <v>1</v>
          </cell>
          <cell r="Y4004">
            <v>2</v>
          </cell>
        </row>
        <row r="4005">
          <cell r="U4005" t="str">
            <v>L107369</v>
          </cell>
          <cell r="V4005" t="str">
            <v>SAV 2kg-CAJA</v>
          </cell>
          <cell r="W4005" t="str">
            <v>Ajuste</v>
          </cell>
          <cell r="X4005">
            <v>5</v>
          </cell>
          <cell r="Y4005">
            <v>10</v>
          </cell>
        </row>
        <row r="4006">
          <cell r="U4006" t="str">
            <v>L106803</v>
          </cell>
          <cell r="V4006" t="str">
            <v>Sazonador kg</v>
          </cell>
          <cell r="W4006" t="str">
            <v>Ajuste</v>
          </cell>
          <cell r="X4006">
            <v>1.47</v>
          </cell>
          <cell r="Y4006">
            <v>1.47</v>
          </cell>
        </row>
        <row r="4007">
          <cell r="U4007" t="str">
            <v>L106566</v>
          </cell>
          <cell r="V4007" t="str">
            <v>SBC 2kg</v>
          </cell>
          <cell r="W4007" t="str">
            <v>Ajuste</v>
          </cell>
          <cell r="X4007">
            <v>5</v>
          </cell>
          <cell r="Y4007">
            <v>10</v>
          </cell>
        </row>
        <row r="4008">
          <cell r="U4008" t="str">
            <v>L106799</v>
          </cell>
          <cell r="V4008" t="str">
            <v>SBC 2kg</v>
          </cell>
          <cell r="W4008" t="str">
            <v>Ajuste</v>
          </cell>
          <cell r="X4008">
            <v>4</v>
          </cell>
          <cell r="Y4008">
            <v>8</v>
          </cell>
        </row>
        <row r="4009">
          <cell r="U4009" t="str">
            <v>L106800</v>
          </cell>
          <cell r="V4009" t="str">
            <v>SBC 2kg</v>
          </cell>
          <cell r="W4009" t="str">
            <v>Ajuste</v>
          </cell>
          <cell r="X4009">
            <v>4</v>
          </cell>
          <cell r="Y4009">
            <v>8</v>
          </cell>
        </row>
        <row r="4010">
          <cell r="U4010" t="str">
            <v>L106952</v>
          </cell>
          <cell r="V4010" t="str">
            <v>SBC 2kg</v>
          </cell>
          <cell r="W4010" t="str">
            <v>Ajuste</v>
          </cell>
          <cell r="X4010">
            <v>10</v>
          </cell>
          <cell r="Y4010">
            <v>20</v>
          </cell>
        </row>
        <row r="4011">
          <cell r="U4011" t="str">
            <v>L107365</v>
          </cell>
          <cell r="V4011" t="str">
            <v>SBC 2kg</v>
          </cell>
          <cell r="W4011" t="str">
            <v>Ajuste</v>
          </cell>
          <cell r="X4011">
            <v>2</v>
          </cell>
          <cell r="Y4011">
            <v>4</v>
          </cell>
        </row>
        <row r="4012">
          <cell r="U4012" t="str">
            <v>L107366</v>
          </cell>
          <cell r="V4012" t="str">
            <v>SBC 2kg</v>
          </cell>
          <cell r="W4012" t="str">
            <v>Ajuste</v>
          </cell>
          <cell r="X4012">
            <v>1</v>
          </cell>
          <cell r="Y4012">
            <v>2</v>
          </cell>
        </row>
        <row r="4013">
          <cell r="U4013" t="str">
            <v>L107367</v>
          </cell>
          <cell r="V4013" t="str">
            <v>SBC 2kg</v>
          </cell>
          <cell r="W4013" t="str">
            <v>Ajuste</v>
          </cell>
          <cell r="X4013">
            <v>3</v>
          </cell>
          <cell r="Y4013">
            <v>6</v>
          </cell>
        </row>
        <row r="4014">
          <cell r="U4014" t="str">
            <v>L106729</v>
          </cell>
          <cell r="V4014" t="str">
            <v>SCL 2kg-CAJA</v>
          </cell>
          <cell r="W4014" t="str">
            <v>Ajuste</v>
          </cell>
          <cell r="X4014">
            <v>2</v>
          </cell>
          <cell r="Y4014">
            <v>4</v>
          </cell>
        </row>
        <row r="4015">
          <cell r="U4015" t="str">
            <v>L107084</v>
          </cell>
          <cell r="V4015" t="str">
            <v>SCL 2kg-CAJA</v>
          </cell>
          <cell r="W4015" t="str">
            <v>Ajuste</v>
          </cell>
          <cell r="X4015">
            <v>2</v>
          </cell>
          <cell r="Y4015">
            <v>4</v>
          </cell>
        </row>
        <row r="4016">
          <cell r="U4016" t="str">
            <v>L106509</v>
          </cell>
          <cell r="V4016" t="str">
            <v>SDO</v>
          </cell>
          <cell r="W4016" t="str">
            <v>Ajuste</v>
          </cell>
          <cell r="X4016">
            <v>38</v>
          </cell>
          <cell r="Y4016">
            <v>152</v>
          </cell>
        </row>
        <row r="4017">
          <cell r="U4017" t="str">
            <v>L107087</v>
          </cell>
          <cell r="V4017" t="str">
            <v>SDR 1kg-UNIDAD</v>
          </cell>
          <cell r="W4017" t="str">
            <v>Ajuste</v>
          </cell>
          <cell r="X4017">
            <v>124</v>
          </cell>
          <cell r="Y4017">
            <v>124</v>
          </cell>
        </row>
        <row r="4018">
          <cell r="U4018" t="str">
            <v>L107088</v>
          </cell>
          <cell r="V4018" t="str">
            <v>SDR 1kg-UNIDAD</v>
          </cell>
          <cell r="W4018" t="str">
            <v>Ajuste</v>
          </cell>
          <cell r="X4018">
            <v>61</v>
          </cell>
          <cell r="Y4018">
            <v>61</v>
          </cell>
        </row>
        <row r="4019">
          <cell r="U4019" t="str">
            <v>L107089</v>
          </cell>
          <cell r="V4019" t="str">
            <v>SDR 1kg-UNIDAD</v>
          </cell>
          <cell r="W4019" t="str">
            <v>Ajuste</v>
          </cell>
          <cell r="X4019">
            <v>40</v>
          </cell>
          <cell r="Y4019">
            <v>40</v>
          </cell>
        </row>
        <row r="4020">
          <cell r="U4020" t="str">
            <v>L107090</v>
          </cell>
          <cell r="V4020" t="str">
            <v>SDR 1kg-UNIDAD</v>
          </cell>
          <cell r="W4020" t="str">
            <v>Ajuste</v>
          </cell>
          <cell r="X4020">
            <v>51</v>
          </cell>
          <cell r="Y4020">
            <v>51</v>
          </cell>
        </row>
        <row r="4021">
          <cell r="U4021" t="str">
            <v>L107091</v>
          </cell>
          <cell r="V4021" t="str">
            <v>SDR 1kg-UNIDAD</v>
          </cell>
          <cell r="W4021" t="str">
            <v>Ajuste</v>
          </cell>
          <cell r="X4021">
            <v>18</v>
          </cell>
          <cell r="Y4021">
            <v>18</v>
          </cell>
        </row>
        <row r="4022">
          <cell r="U4022" t="str">
            <v>L107092</v>
          </cell>
          <cell r="V4022" t="str">
            <v>SDR 1kg-UNIDAD</v>
          </cell>
          <cell r="W4022" t="str">
            <v>Ajuste</v>
          </cell>
          <cell r="X4022">
            <v>9</v>
          </cell>
          <cell r="Y4022">
            <v>9</v>
          </cell>
        </row>
        <row r="4023">
          <cell r="U4023" t="str">
            <v>L107094</v>
          </cell>
          <cell r="V4023" t="str">
            <v>SDR 1kg-UNIDAD</v>
          </cell>
          <cell r="W4023" t="str">
            <v>Ajuste</v>
          </cell>
          <cell r="X4023">
            <v>1</v>
          </cell>
          <cell r="Y4023">
            <v>1</v>
          </cell>
        </row>
        <row r="4024">
          <cell r="U4024" t="str">
            <v>L107316</v>
          </cell>
          <cell r="V4024" t="str">
            <v>SDR 1kg-UNIDAD</v>
          </cell>
          <cell r="W4024" t="str">
            <v>Ajuste</v>
          </cell>
          <cell r="X4024">
            <v>5</v>
          </cell>
          <cell r="Y4024">
            <v>5</v>
          </cell>
        </row>
        <row r="4025">
          <cell r="U4025" t="str">
            <v>l106858</v>
          </cell>
          <cell r="V4025" t="str">
            <v>SDR 2Kg-UNIDAD</v>
          </cell>
          <cell r="W4025" t="str">
            <v>Ajuste</v>
          </cell>
          <cell r="X4025">
            <v>442</v>
          </cell>
          <cell r="Y4025">
            <v>884</v>
          </cell>
        </row>
        <row r="4026">
          <cell r="U4026" t="str">
            <v>l106858</v>
          </cell>
          <cell r="V4026" t="str">
            <v>SRD 2kg-CAJA</v>
          </cell>
          <cell r="W4026" t="str">
            <v>Ajuste</v>
          </cell>
          <cell r="X4026">
            <v>144</v>
          </cell>
          <cell r="Y4026">
            <v>0</v>
          </cell>
        </row>
        <row r="4027">
          <cell r="U4027" t="str">
            <v>L106842</v>
          </cell>
          <cell r="V4027" t="str">
            <v>SDR 2Kg-UNIDAD</v>
          </cell>
          <cell r="W4027" t="str">
            <v>Ajuste</v>
          </cell>
          <cell r="X4027">
            <v>14</v>
          </cell>
          <cell r="Y4027">
            <v>28</v>
          </cell>
        </row>
        <row r="4028">
          <cell r="U4028" t="str">
            <v>L107085</v>
          </cell>
          <cell r="V4028" t="str">
            <v>SDR 2Kg-UNIDAD</v>
          </cell>
          <cell r="W4028" t="str">
            <v>Ajuste</v>
          </cell>
          <cell r="X4028">
            <v>63</v>
          </cell>
          <cell r="Y4028">
            <v>126</v>
          </cell>
        </row>
        <row r="4029">
          <cell r="U4029" t="str">
            <v>L107086</v>
          </cell>
          <cell r="V4029" t="str">
            <v>SDR 2Kg-UNIDAD</v>
          </cell>
          <cell r="W4029" t="str">
            <v>Ajuste</v>
          </cell>
          <cell r="X4029">
            <v>18</v>
          </cell>
          <cell r="Y4029">
            <v>36</v>
          </cell>
        </row>
        <row r="4030">
          <cell r="U4030" t="str">
            <v>L107255</v>
          </cell>
          <cell r="V4030" t="str">
            <v>SDR 2Kg-UNIDAD</v>
          </cell>
          <cell r="W4030" t="str">
            <v>Ajuste</v>
          </cell>
          <cell r="X4030">
            <v>8</v>
          </cell>
          <cell r="Y4030">
            <v>16</v>
          </cell>
        </row>
        <row r="4031">
          <cell r="U4031" t="str">
            <v>L107260</v>
          </cell>
          <cell r="V4031" t="str">
            <v>SDR 2Kg-UNIDAD</v>
          </cell>
          <cell r="W4031" t="str">
            <v>Ajuste</v>
          </cell>
          <cell r="X4031">
            <v>11</v>
          </cell>
          <cell r="Y4031">
            <v>22</v>
          </cell>
        </row>
        <row r="4032">
          <cell r="U4032" t="str">
            <v>L106646</v>
          </cell>
          <cell r="V4032" t="str">
            <v>SDS 2kg</v>
          </cell>
          <cell r="W4032" t="str">
            <v>Ajuste</v>
          </cell>
          <cell r="X4032">
            <v>2</v>
          </cell>
          <cell r="Y4032">
            <v>4</v>
          </cell>
        </row>
        <row r="4033">
          <cell r="U4033" t="str">
            <v>L107270</v>
          </cell>
          <cell r="V4033" t="str">
            <v>Semola kg</v>
          </cell>
          <cell r="W4033" t="str">
            <v>Ajuste</v>
          </cell>
          <cell r="X4033">
            <v>63</v>
          </cell>
          <cell r="Y4033">
            <v>63</v>
          </cell>
        </row>
        <row r="4034">
          <cell r="U4034" t="str">
            <v>L107352</v>
          </cell>
          <cell r="V4034" t="str">
            <v>SHMP 1kg Caja</v>
          </cell>
          <cell r="W4034" t="str">
            <v>Ajuste</v>
          </cell>
          <cell r="X4034">
            <v>10</v>
          </cell>
          <cell r="Y4034">
            <v>10</v>
          </cell>
        </row>
        <row r="4035">
          <cell r="U4035" t="str">
            <v>L106985</v>
          </cell>
          <cell r="V4035" t="str">
            <v>SML 2kg</v>
          </cell>
          <cell r="W4035" t="str">
            <v>Ajuste</v>
          </cell>
          <cell r="X4035">
            <v>2077</v>
          </cell>
          <cell r="Y4035">
            <v>4154</v>
          </cell>
        </row>
        <row r="4036">
          <cell r="U4036" t="str">
            <v>L106391</v>
          </cell>
          <cell r="V4036" t="str">
            <v>Snack kg</v>
          </cell>
          <cell r="W4036" t="str">
            <v>Ajuste</v>
          </cell>
          <cell r="X4036">
            <v>99</v>
          </cell>
          <cell r="Y4036">
            <v>99</v>
          </cell>
        </row>
        <row r="4037">
          <cell r="U4037" t="str">
            <v>L106601</v>
          </cell>
          <cell r="V4037" t="str">
            <v>SNDA 8kg</v>
          </cell>
          <cell r="W4037" t="str">
            <v>Ajuste</v>
          </cell>
          <cell r="X4037">
            <v>2</v>
          </cell>
          <cell r="Y4037">
            <v>16</v>
          </cell>
        </row>
        <row r="4038">
          <cell r="U4038" t="str">
            <v>L106264</v>
          </cell>
          <cell r="V4038" t="str">
            <v>SNK 1.5kg-CAJA</v>
          </cell>
          <cell r="W4038" t="str">
            <v>Ajuste</v>
          </cell>
          <cell r="X4038">
            <v>60</v>
          </cell>
          <cell r="Y4038">
            <v>90</v>
          </cell>
        </row>
        <row r="4039">
          <cell r="U4039" t="str">
            <v>L106327</v>
          </cell>
          <cell r="V4039" t="str">
            <v>SNK 1.5kg-CAJA</v>
          </cell>
          <cell r="W4039" t="str">
            <v>Ajuste</v>
          </cell>
          <cell r="X4039">
            <v>6</v>
          </cell>
          <cell r="Y4039">
            <v>9</v>
          </cell>
        </row>
        <row r="4040">
          <cell r="U4040" t="str">
            <v>L106336</v>
          </cell>
          <cell r="V4040" t="str">
            <v>SNK 1.5kg-CAJA</v>
          </cell>
          <cell r="W4040" t="str">
            <v>Ajuste</v>
          </cell>
          <cell r="X4040">
            <v>100</v>
          </cell>
          <cell r="Y4040">
            <v>150</v>
          </cell>
        </row>
        <row r="4041">
          <cell r="U4041" t="str">
            <v>L107165</v>
          </cell>
          <cell r="V4041" t="str">
            <v>SNK 1.5kg-CAJA</v>
          </cell>
          <cell r="W4041" t="str">
            <v>Ajuste</v>
          </cell>
          <cell r="X4041">
            <v>2</v>
          </cell>
          <cell r="Y4041">
            <v>3</v>
          </cell>
        </row>
        <row r="4042">
          <cell r="U4042" t="str">
            <v>L107166</v>
          </cell>
          <cell r="V4042" t="str">
            <v>SNK 1.5kg-CAJA</v>
          </cell>
          <cell r="W4042" t="str">
            <v>Ajuste</v>
          </cell>
          <cell r="X4042">
            <v>2</v>
          </cell>
          <cell r="Y4042">
            <v>3</v>
          </cell>
        </row>
        <row r="4043">
          <cell r="U4043" t="str">
            <v>L107167</v>
          </cell>
          <cell r="V4043" t="str">
            <v>SNK 1.5kg-CAJA</v>
          </cell>
          <cell r="W4043" t="str">
            <v>Ajuste</v>
          </cell>
          <cell r="X4043">
            <v>2</v>
          </cell>
          <cell r="Y4043">
            <v>3</v>
          </cell>
        </row>
        <row r="4044">
          <cell r="U4044" t="str">
            <v>L107168</v>
          </cell>
          <cell r="V4044" t="str">
            <v>SNK 1.5kg-CAJA</v>
          </cell>
          <cell r="W4044" t="str">
            <v>Ajuste</v>
          </cell>
          <cell r="X4044">
            <v>2</v>
          </cell>
          <cell r="Y4044">
            <v>3</v>
          </cell>
        </row>
        <row r="4045">
          <cell r="U4045" t="str">
            <v>L107171</v>
          </cell>
          <cell r="V4045" t="str">
            <v>SNK 1Kg-CAJA</v>
          </cell>
          <cell r="W4045" t="str">
            <v>Ajuste</v>
          </cell>
          <cell r="X4045">
            <v>5</v>
          </cell>
          <cell r="Y4045">
            <v>5</v>
          </cell>
        </row>
        <row r="4046">
          <cell r="U4046" t="str">
            <v>L107172</v>
          </cell>
          <cell r="V4046" t="str">
            <v>SNK 1Kg-CAJA</v>
          </cell>
          <cell r="W4046" t="str">
            <v>Ajuste</v>
          </cell>
          <cell r="X4046">
            <v>2</v>
          </cell>
          <cell r="Y4046">
            <v>2</v>
          </cell>
        </row>
        <row r="4047">
          <cell r="U4047" t="str">
            <v>L107173</v>
          </cell>
          <cell r="V4047" t="str">
            <v>SNK 1Kg-CAJA</v>
          </cell>
          <cell r="W4047" t="str">
            <v>Ajuste</v>
          </cell>
          <cell r="X4047">
            <v>2</v>
          </cell>
          <cell r="Y4047">
            <v>2</v>
          </cell>
        </row>
        <row r="4048">
          <cell r="U4048" t="str">
            <v>L107174</v>
          </cell>
          <cell r="V4048" t="str">
            <v>SNK 1Kg-CAJA</v>
          </cell>
          <cell r="W4048" t="str">
            <v>Ajuste</v>
          </cell>
          <cell r="X4048">
            <v>4</v>
          </cell>
          <cell r="Y4048">
            <v>4</v>
          </cell>
        </row>
        <row r="4049">
          <cell r="U4049" t="str">
            <v>L107175</v>
          </cell>
          <cell r="V4049" t="str">
            <v>SNK 1Kg-CAJA</v>
          </cell>
          <cell r="W4049" t="str">
            <v>Ajuste</v>
          </cell>
          <cell r="X4049">
            <v>4</v>
          </cell>
          <cell r="Y4049">
            <v>4</v>
          </cell>
        </row>
        <row r="4050">
          <cell r="U4050" t="str">
            <v>L107176</v>
          </cell>
          <cell r="V4050" t="str">
            <v>SNK 1Kg-CAJA</v>
          </cell>
          <cell r="W4050" t="str">
            <v>Ajuste</v>
          </cell>
          <cell r="X4050">
            <v>1</v>
          </cell>
          <cell r="Y4050">
            <v>1</v>
          </cell>
        </row>
        <row r="4051">
          <cell r="U4051" t="str">
            <v>L107177</v>
          </cell>
          <cell r="V4051" t="str">
            <v>SNK 1Kg-CAJA</v>
          </cell>
          <cell r="W4051" t="str">
            <v>Ajuste</v>
          </cell>
          <cell r="X4051">
            <v>1</v>
          </cell>
          <cell r="Y4051">
            <v>1</v>
          </cell>
        </row>
        <row r="4052">
          <cell r="U4052" t="str">
            <v>L107178</v>
          </cell>
          <cell r="V4052" t="str">
            <v>SNK 1Kg-CAJA</v>
          </cell>
          <cell r="W4052" t="str">
            <v>Ajuste</v>
          </cell>
          <cell r="X4052">
            <v>1</v>
          </cell>
          <cell r="Y4052">
            <v>1</v>
          </cell>
        </row>
        <row r="4053">
          <cell r="U4053" t="str">
            <v>L107179</v>
          </cell>
          <cell r="V4053" t="str">
            <v>SNK 1Kg-CAJA</v>
          </cell>
          <cell r="W4053" t="str">
            <v>Ajuste</v>
          </cell>
          <cell r="X4053">
            <v>1</v>
          </cell>
          <cell r="Y4053">
            <v>1</v>
          </cell>
        </row>
        <row r="4054">
          <cell r="U4054" t="str">
            <v>L107358</v>
          </cell>
          <cell r="V4054" t="str">
            <v>SNK 1Kg-CAJA</v>
          </cell>
          <cell r="W4054" t="str">
            <v>Ajuste</v>
          </cell>
          <cell r="X4054">
            <v>2</v>
          </cell>
          <cell r="Y4054">
            <v>2</v>
          </cell>
        </row>
        <row r="4055">
          <cell r="U4055" t="str">
            <v>L107164</v>
          </cell>
          <cell r="V4055" t="str">
            <v>SNK 2.5kg</v>
          </cell>
          <cell r="W4055" t="str">
            <v>Ajuste</v>
          </cell>
          <cell r="X4055">
            <v>1</v>
          </cell>
          <cell r="Y4055">
            <v>2.5</v>
          </cell>
        </row>
        <row r="4056">
          <cell r="U4056" t="str">
            <v>L106329</v>
          </cell>
          <cell r="V4056" t="str">
            <v>SNK 2kg-CAJA</v>
          </cell>
          <cell r="W4056" t="str">
            <v>Ajuste</v>
          </cell>
          <cell r="X4056">
            <v>2</v>
          </cell>
          <cell r="Y4056">
            <v>4</v>
          </cell>
        </row>
        <row r="4057">
          <cell r="U4057" t="str">
            <v>L107182</v>
          </cell>
          <cell r="V4057" t="str">
            <v>SNK 2kg-CAJA</v>
          </cell>
          <cell r="W4057" t="str">
            <v>Ajuste</v>
          </cell>
          <cell r="X4057">
            <v>2</v>
          </cell>
          <cell r="Y4057">
            <v>4</v>
          </cell>
        </row>
        <row r="4058">
          <cell r="U4058" t="str">
            <v>L107183</v>
          </cell>
          <cell r="V4058" t="str">
            <v>SNK 2kg-CAJA</v>
          </cell>
          <cell r="W4058" t="str">
            <v>Ajuste</v>
          </cell>
          <cell r="X4058">
            <v>2</v>
          </cell>
          <cell r="Y4058">
            <v>4</v>
          </cell>
        </row>
        <row r="4059">
          <cell r="U4059" t="str">
            <v>L107184</v>
          </cell>
          <cell r="V4059" t="str">
            <v>SNK 2kg-CAJA</v>
          </cell>
          <cell r="W4059" t="str">
            <v>Ajuste</v>
          </cell>
          <cell r="X4059">
            <v>2</v>
          </cell>
          <cell r="Y4059">
            <v>4</v>
          </cell>
        </row>
        <row r="4060">
          <cell r="U4060" t="str">
            <v>L107185</v>
          </cell>
          <cell r="V4060" t="str">
            <v>SNK 2kg-CAJA</v>
          </cell>
          <cell r="W4060" t="str">
            <v>Ajuste</v>
          </cell>
          <cell r="X4060">
            <v>2</v>
          </cell>
          <cell r="Y4060">
            <v>4</v>
          </cell>
        </row>
        <row r="4061">
          <cell r="U4061" t="str">
            <v>L107186</v>
          </cell>
          <cell r="V4061" t="str">
            <v>SNK 2kg-CAJA</v>
          </cell>
          <cell r="W4061" t="str">
            <v>Ajuste</v>
          </cell>
          <cell r="X4061">
            <v>1</v>
          </cell>
          <cell r="Y4061">
            <v>2</v>
          </cell>
        </row>
        <row r="4062">
          <cell r="U4062" t="str">
            <v>L107187</v>
          </cell>
          <cell r="V4062" t="str">
            <v>SNK 2kg-CAJA</v>
          </cell>
          <cell r="W4062" t="str">
            <v>Ajuste</v>
          </cell>
          <cell r="X4062">
            <v>1</v>
          </cell>
          <cell r="Y4062">
            <v>2</v>
          </cell>
        </row>
        <row r="4063">
          <cell r="U4063" t="str">
            <v>L107188</v>
          </cell>
          <cell r="V4063" t="str">
            <v>SNK 2kg-CAJA</v>
          </cell>
          <cell r="W4063" t="str">
            <v>Ajuste</v>
          </cell>
          <cell r="X4063">
            <v>1</v>
          </cell>
          <cell r="Y4063">
            <v>2</v>
          </cell>
        </row>
        <row r="4064">
          <cell r="U4064" t="str">
            <v>L107189</v>
          </cell>
          <cell r="V4064" t="str">
            <v>SNK 2kg-CAJA</v>
          </cell>
          <cell r="W4064" t="str">
            <v>Ajuste</v>
          </cell>
          <cell r="X4064">
            <v>1</v>
          </cell>
          <cell r="Y4064">
            <v>2</v>
          </cell>
        </row>
        <row r="4065">
          <cell r="U4065" t="str">
            <v>L107190</v>
          </cell>
          <cell r="V4065" t="str">
            <v>SNK 2kg-CAJA</v>
          </cell>
          <cell r="W4065" t="str">
            <v>Ajuste</v>
          </cell>
          <cell r="X4065">
            <v>1</v>
          </cell>
          <cell r="Y4065">
            <v>2</v>
          </cell>
        </row>
        <row r="4066">
          <cell r="U4066" t="str">
            <v>L107170</v>
          </cell>
          <cell r="V4066" t="str">
            <v>SNK 3.5kg-CAJA</v>
          </cell>
          <cell r="W4066" t="str">
            <v>Ajuste</v>
          </cell>
          <cell r="X4066">
            <v>2</v>
          </cell>
          <cell r="Y4066">
            <v>7</v>
          </cell>
        </row>
        <row r="4067">
          <cell r="U4067" t="str">
            <v>L107169</v>
          </cell>
          <cell r="V4067" t="str">
            <v>SNK 3kg-CAJA</v>
          </cell>
          <cell r="W4067" t="str">
            <v>Ajuste</v>
          </cell>
          <cell r="X4067">
            <v>2</v>
          </cell>
          <cell r="Y4067">
            <v>6</v>
          </cell>
        </row>
        <row r="4068">
          <cell r="U4068" t="str">
            <v>L106783</v>
          </cell>
          <cell r="V4068" t="str">
            <v>SNKP 2.5Kg</v>
          </cell>
          <cell r="W4068" t="str">
            <v>Ajuste</v>
          </cell>
          <cell r="X4068">
            <v>19</v>
          </cell>
          <cell r="Y4068">
            <v>47.5</v>
          </cell>
        </row>
        <row r="4069">
          <cell r="U4069" t="str">
            <v>L106328</v>
          </cell>
          <cell r="V4069" t="str">
            <v>SNKP 2Kg</v>
          </cell>
          <cell r="W4069" t="str">
            <v>Ajuste</v>
          </cell>
          <cell r="X4069">
            <v>2</v>
          </cell>
          <cell r="Y4069">
            <v>4</v>
          </cell>
        </row>
        <row r="4070">
          <cell r="U4070" t="str">
            <v>L106393</v>
          </cell>
          <cell r="V4070" t="str">
            <v>sopa kg</v>
          </cell>
          <cell r="W4070" t="str">
            <v>Ajuste</v>
          </cell>
          <cell r="X4070">
            <v>0.35</v>
          </cell>
          <cell r="Y4070">
            <v>0.35</v>
          </cell>
        </row>
        <row r="4071">
          <cell r="U4071" t="str">
            <v>L106230</v>
          </cell>
          <cell r="V4071" t="str">
            <v>SPAV 1kg-CAJA</v>
          </cell>
          <cell r="W4071" t="str">
            <v>Ajuste</v>
          </cell>
          <cell r="X4071">
            <v>18</v>
          </cell>
          <cell r="Y4071">
            <v>18</v>
          </cell>
        </row>
        <row r="4072">
          <cell r="U4072" t="str">
            <v>L106757</v>
          </cell>
          <cell r="V4072" t="str">
            <v>SPAV 1kg-CAJA</v>
          </cell>
          <cell r="W4072" t="str">
            <v>Ajuste</v>
          </cell>
          <cell r="X4072">
            <v>16</v>
          </cell>
          <cell r="Y4072">
            <v>16</v>
          </cell>
        </row>
        <row r="4073">
          <cell r="U4073" t="str">
            <v>L106955</v>
          </cell>
          <cell r="V4073" t="str">
            <v>SPAV 2kg-CAJA</v>
          </cell>
          <cell r="W4073" t="str">
            <v>Ajuste</v>
          </cell>
          <cell r="X4073">
            <v>4</v>
          </cell>
          <cell r="Y4073">
            <v>8</v>
          </cell>
        </row>
        <row r="4074">
          <cell r="U4074" t="str">
            <v>L106041</v>
          </cell>
          <cell r="V4074" t="str">
            <v>SPT 24x148ml</v>
          </cell>
          <cell r="W4074" t="str">
            <v>Ajuste</v>
          </cell>
          <cell r="X4074">
            <v>71</v>
          </cell>
          <cell r="Y4074">
            <v>497</v>
          </cell>
        </row>
        <row r="4075">
          <cell r="U4075" t="str">
            <v>L106055</v>
          </cell>
          <cell r="V4075" t="str">
            <v>SPT 24x50ml</v>
          </cell>
          <cell r="W4075" t="str">
            <v>Ajuste</v>
          </cell>
          <cell r="X4075">
            <v>119</v>
          </cell>
          <cell r="Y4075">
            <v>178.5</v>
          </cell>
        </row>
        <row r="4076">
          <cell r="U4076" t="str">
            <v>L106056</v>
          </cell>
          <cell r="V4076" t="str">
            <v>SPT 24x50ml</v>
          </cell>
          <cell r="W4076" t="str">
            <v>Ajuste</v>
          </cell>
          <cell r="X4076">
            <v>100</v>
          </cell>
          <cell r="Y4076">
            <v>150</v>
          </cell>
        </row>
        <row r="4077">
          <cell r="U4077" t="str">
            <v>L106057</v>
          </cell>
          <cell r="V4077" t="str">
            <v>SPT 24x50ml</v>
          </cell>
          <cell r="W4077" t="str">
            <v>Ajuste</v>
          </cell>
          <cell r="X4077">
            <v>4</v>
          </cell>
          <cell r="Y4077">
            <v>6</v>
          </cell>
        </row>
        <row r="4078">
          <cell r="U4078" t="str">
            <v>L106042</v>
          </cell>
          <cell r="V4078" t="str">
            <v>SPT 2kg-CAJA</v>
          </cell>
          <cell r="W4078" t="str">
            <v>Ajuste</v>
          </cell>
          <cell r="X4078">
            <v>2</v>
          </cell>
          <cell r="Y4078">
            <v>4</v>
          </cell>
        </row>
        <row r="4079">
          <cell r="U4079" t="str">
            <v>L106043</v>
          </cell>
          <cell r="V4079" t="str">
            <v>SPT 2kg-CAJA</v>
          </cell>
          <cell r="W4079" t="str">
            <v>Ajuste</v>
          </cell>
          <cell r="X4079">
            <v>2</v>
          </cell>
          <cell r="Y4079">
            <v>4</v>
          </cell>
        </row>
        <row r="4080">
          <cell r="U4080" t="str">
            <v>L106340</v>
          </cell>
          <cell r="V4080" t="str">
            <v>SPVL 3kg</v>
          </cell>
          <cell r="W4080" t="str">
            <v>Ajuste</v>
          </cell>
          <cell r="X4080">
            <v>42</v>
          </cell>
          <cell r="Y4080">
            <v>126</v>
          </cell>
        </row>
        <row r="4081">
          <cell r="U4081" t="str">
            <v>L106341</v>
          </cell>
          <cell r="V4081" t="str">
            <v>SPVL 3kg</v>
          </cell>
          <cell r="W4081" t="str">
            <v>Ajuste</v>
          </cell>
          <cell r="X4081">
            <v>40</v>
          </cell>
          <cell r="Y4081">
            <v>120</v>
          </cell>
        </row>
        <row r="4082">
          <cell r="U4082" t="str">
            <v>L106342</v>
          </cell>
          <cell r="V4082" t="str">
            <v>SPVL 3kg</v>
          </cell>
          <cell r="W4082" t="str">
            <v>Ajuste</v>
          </cell>
          <cell r="X4082">
            <v>13</v>
          </cell>
          <cell r="Y4082">
            <v>39</v>
          </cell>
        </row>
        <row r="4083">
          <cell r="U4083" t="str">
            <v>L106343</v>
          </cell>
          <cell r="V4083" t="str">
            <v>SPVL 3kg</v>
          </cell>
          <cell r="W4083" t="str">
            <v>Ajuste</v>
          </cell>
          <cell r="X4083">
            <v>3</v>
          </cell>
          <cell r="Y4083">
            <v>9</v>
          </cell>
        </row>
        <row r="4084">
          <cell r="U4084" t="str">
            <v>L106371</v>
          </cell>
          <cell r="V4084" t="str">
            <v>SPVL 3kg</v>
          </cell>
          <cell r="W4084" t="str">
            <v>Ajuste</v>
          </cell>
          <cell r="X4084">
            <v>26</v>
          </cell>
          <cell r="Y4084">
            <v>78</v>
          </cell>
        </row>
        <row r="4085">
          <cell r="U4085" t="str">
            <v>L106372</v>
          </cell>
          <cell r="V4085" t="str">
            <v>SPVL 3kg</v>
          </cell>
          <cell r="W4085" t="str">
            <v>Ajuste</v>
          </cell>
          <cell r="X4085">
            <v>8</v>
          </cell>
          <cell r="Y4085">
            <v>24</v>
          </cell>
        </row>
        <row r="4086">
          <cell r="U4086" t="str">
            <v>L106373</v>
          </cell>
          <cell r="V4086" t="str">
            <v>SPVL 3kg</v>
          </cell>
          <cell r="W4086" t="str">
            <v>Ajuste</v>
          </cell>
          <cell r="X4086">
            <v>3</v>
          </cell>
          <cell r="Y4086">
            <v>9</v>
          </cell>
        </row>
        <row r="4087">
          <cell r="U4087" t="str">
            <v>L106384</v>
          </cell>
          <cell r="V4087" t="str">
            <v>SPVL 3kg</v>
          </cell>
          <cell r="W4087" t="str">
            <v>Ajuste</v>
          </cell>
          <cell r="X4087">
            <v>1</v>
          </cell>
          <cell r="Y4087">
            <v>3</v>
          </cell>
        </row>
        <row r="4088">
          <cell r="U4088" t="str">
            <v>L106385</v>
          </cell>
          <cell r="V4088" t="str">
            <v>SPVL 3kg</v>
          </cell>
          <cell r="W4088" t="str">
            <v>Ajuste</v>
          </cell>
          <cell r="X4088">
            <v>2</v>
          </cell>
          <cell r="Y4088">
            <v>6</v>
          </cell>
        </row>
        <row r="4089">
          <cell r="U4089" t="str">
            <v>L106276</v>
          </cell>
          <cell r="V4089" t="str">
            <v>SRD 1kg-CAJA</v>
          </cell>
          <cell r="W4089" t="str">
            <v>Ajuste</v>
          </cell>
          <cell r="X4089">
            <v>40</v>
          </cell>
          <cell r="Y4089">
            <v>40</v>
          </cell>
        </row>
        <row r="4090">
          <cell r="U4090" t="str">
            <v>L107073</v>
          </cell>
          <cell r="V4090" t="str">
            <v>SRD 1kg-CAJA</v>
          </cell>
          <cell r="W4090" t="str">
            <v>Ajuste</v>
          </cell>
          <cell r="X4090">
            <v>2</v>
          </cell>
          <cell r="Y4090">
            <v>2</v>
          </cell>
        </row>
        <row r="4091">
          <cell r="U4091" t="str">
            <v>L107074</v>
          </cell>
          <cell r="V4091" t="str">
            <v>SRD 1kg-CAJA</v>
          </cell>
          <cell r="W4091" t="str">
            <v>Ajuste</v>
          </cell>
          <cell r="X4091">
            <v>2</v>
          </cell>
          <cell r="Y4091">
            <v>2</v>
          </cell>
        </row>
        <row r="4092">
          <cell r="U4092" t="str">
            <v>L107075</v>
          </cell>
          <cell r="V4092" t="str">
            <v>SRD 1kg-CAJA</v>
          </cell>
          <cell r="W4092" t="str">
            <v>Ajuste</v>
          </cell>
          <cell r="X4092">
            <v>1</v>
          </cell>
          <cell r="Y4092">
            <v>1</v>
          </cell>
        </row>
        <row r="4093">
          <cell r="U4093" t="str">
            <v>L107235</v>
          </cell>
          <cell r="V4093" t="str">
            <v>SRD 1kg-CAJA</v>
          </cell>
          <cell r="W4093" t="str">
            <v>Ajuste</v>
          </cell>
          <cell r="X4093">
            <v>5</v>
          </cell>
          <cell r="Y4093">
            <v>5</v>
          </cell>
        </row>
        <row r="4094">
          <cell r="U4094" t="str">
            <v>L106234</v>
          </cell>
          <cell r="V4094" t="str">
            <v>srp 1.5kg - caja</v>
          </cell>
          <cell r="W4094" t="str">
            <v>Ajuste</v>
          </cell>
          <cell r="X4094">
            <v>2</v>
          </cell>
          <cell r="Y4094">
            <v>3</v>
          </cell>
        </row>
        <row r="4095">
          <cell r="U4095" t="str">
            <v>L106628</v>
          </cell>
          <cell r="V4095" t="str">
            <v>STM 1.5KG</v>
          </cell>
          <cell r="W4095" t="str">
            <v>Ajuste</v>
          </cell>
          <cell r="X4095">
            <v>4</v>
          </cell>
          <cell r="Y4095">
            <v>6</v>
          </cell>
        </row>
        <row r="4096">
          <cell r="U4096" t="str">
            <v>L106956</v>
          </cell>
          <cell r="V4096" t="str">
            <v>STM 1.5KG</v>
          </cell>
          <cell r="W4096" t="str">
            <v>Ajuste</v>
          </cell>
          <cell r="X4096">
            <v>5</v>
          </cell>
          <cell r="Y4096">
            <v>7.5</v>
          </cell>
        </row>
        <row r="4097">
          <cell r="U4097" t="str">
            <v>L106960</v>
          </cell>
          <cell r="V4097" t="str">
            <v>STM 1.5KG</v>
          </cell>
          <cell r="W4097" t="str">
            <v>Ajuste</v>
          </cell>
          <cell r="X4097">
            <v>2</v>
          </cell>
          <cell r="Y4097">
            <v>3</v>
          </cell>
        </row>
        <row r="4098">
          <cell r="U4098" t="str">
            <v>L106585</v>
          </cell>
          <cell r="V4098" t="str">
            <v>STM 2kg</v>
          </cell>
          <cell r="W4098" t="str">
            <v>Ajuste</v>
          </cell>
          <cell r="X4098">
            <v>2</v>
          </cell>
          <cell r="Y4098">
            <v>4</v>
          </cell>
        </row>
        <row r="4099">
          <cell r="U4099" t="str">
            <v>L106615</v>
          </cell>
          <cell r="V4099" t="str">
            <v>STM 2kg</v>
          </cell>
          <cell r="W4099" t="str">
            <v>Ajuste</v>
          </cell>
          <cell r="X4099">
            <v>2</v>
          </cell>
          <cell r="Y4099">
            <v>4</v>
          </cell>
        </row>
        <row r="4100">
          <cell r="U4100" t="str">
            <v>L106959</v>
          </cell>
          <cell r="V4100" t="str">
            <v>STM 2kg</v>
          </cell>
          <cell r="W4100" t="str">
            <v>Ajuste</v>
          </cell>
          <cell r="X4100">
            <v>4</v>
          </cell>
          <cell r="Y4100">
            <v>8</v>
          </cell>
        </row>
        <row r="4101">
          <cell r="U4101" t="str">
            <v>L106579</v>
          </cell>
          <cell r="V4101" t="str">
            <v>STM 3kg-CAJA</v>
          </cell>
          <cell r="W4101" t="str">
            <v>Ajuste</v>
          </cell>
          <cell r="X4101">
            <v>3</v>
          </cell>
          <cell r="Y4101">
            <v>9</v>
          </cell>
        </row>
        <row r="4102">
          <cell r="U4102" t="str">
            <v>L106581</v>
          </cell>
          <cell r="V4102" t="str">
            <v>STM 3kg-CAJA</v>
          </cell>
          <cell r="W4102" t="str">
            <v>Ajuste</v>
          </cell>
          <cell r="X4102">
            <v>5</v>
          </cell>
          <cell r="Y4102">
            <v>15</v>
          </cell>
        </row>
        <row r="4103">
          <cell r="U4103" t="str">
            <v>L106582</v>
          </cell>
          <cell r="V4103" t="str">
            <v>STM 3kg-CAJA</v>
          </cell>
          <cell r="W4103" t="str">
            <v>Ajuste</v>
          </cell>
          <cell r="X4103">
            <v>8</v>
          </cell>
          <cell r="Y4103">
            <v>24</v>
          </cell>
        </row>
        <row r="4104">
          <cell r="U4104" t="str">
            <v>L106583</v>
          </cell>
          <cell r="V4104" t="str">
            <v>STM 3kg-CAJA</v>
          </cell>
          <cell r="W4104" t="str">
            <v>Ajuste</v>
          </cell>
          <cell r="X4104">
            <v>2</v>
          </cell>
          <cell r="Y4104">
            <v>6</v>
          </cell>
        </row>
        <row r="4105">
          <cell r="U4105" t="str">
            <v>L106584</v>
          </cell>
          <cell r="V4105" t="str">
            <v>STM 3kg-CAJA</v>
          </cell>
          <cell r="W4105" t="str">
            <v>Ajuste</v>
          </cell>
          <cell r="X4105">
            <v>4</v>
          </cell>
          <cell r="Y4105">
            <v>12</v>
          </cell>
        </row>
        <row r="4106">
          <cell r="U4106" t="str">
            <v>L107242</v>
          </cell>
          <cell r="V4106" t="str">
            <v>STM 3kg-CAJA</v>
          </cell>
          <cell r="W4106" t="str">
            <v>Ajuste</v>
          </cell>
          <cell r="X4106">
            <v>1</v>
          </cell>
          <cell r="Y4106">
            <v>3</v>
          </cell>
        </row>
        <row r="4107">
          <cell r="U4107" t="str">
            <v>L107319</v>
          </cell>
          <cell r="V4107" t="str">
            <v>Suavizante kg</v>
          </cell>
          <cell r="W4107" t="str">
            <v>Ajuste</v>
          </cell>
          <cell r="X4107">
            <v>2.5</v>
          </cell>
          <cell r="Y4107">
            <v>2.5</v>
          </cell>
        </row>
        <row r="4108">
          <cell r="U4108" t="str">
            <v>L107375</v>
          </cell>
          <cell r="V4108" t="str">
            <v>SZD 1kg-Caja</v>
          </cell>
          <cell r="W4108" t="str">
            <v>Ajuste</v>
          </cell>
          <cell r="X4108">
            <v>1</v>
          </cell>
          <cell r="Y4108">
            <v>1</v>
          </cell>
        </row>
        <row r="4109">
          <cell r="U4109" t="str">
            <v>L106389</v>
          </cell>
          <cell r="V4109" t="str">
            <v>SZD 2kg-Caja</v>
          </cell>
          <cell r="W4109" t="str">
            <v>Ajuste</v>
          </cell>
          <cell r="X4109">
            <v>75</v>
          </cell>
          <cell r="Y4109">
            <v>150</v>
          </cell>
        </row>
        <row r="4110">
          <cell r="U4110" t="str">
            <v>L106390</v>
          </cell>
          <cell r="V4110" t="str">
            <v>SZD 2kg-Caja</v>
          </cell>
          <cell r="W4110" t="str">
            <v>Ajuste</v>
          </cell>
          <cell r="X4110">
            <v>18</v>
          </cell>
          <cell r="Y4110">
            <v>36</v>
          </cell>
        </row>
        <row r="4111">
          <cell r="U4111" t="str">
            <v>L106395</v>
          </cell>
          <cell r="V4111" t="str">
            <v>SZD 2kg-Caja</v>
          </cell>
          <cell r="W4111" t="str">
            <v>Ajuste</v>
          </cell>
          <cell r="X4111">
            <v>2</v>
          </cell>
          <cell r="Y4111">
            <v>4</v>
          </cell>
        </row>
        <row r="4112">
          <cell r="U4112" t="str">
            <v>L106629</v>
          </cell>
          <cell r="V4112" t="str">
            <v>SZD 2kg-Caja</v>
          </cell>
          <cell r="W4112" t="str">
            <v>Ajuste</v>
          </cell>
          <cell r="X4112">
            <v>6</v>
          </cell>
          <cell r="Y4112">
            <v>12</v>
          </cell>
        </row>
        <row r="4113">
          <cell r="U4113" t="str">
            <v>L106630</v>
          </cell>
          <cell r="V4113" t="str">
            <v>SZD 2kg-Caja</v>
          </cell>
          <cell r="W4113" t="str">
            <v>Ajuste</v>
          </cell>
          <cell r="X4113">
            <v>2</v>
          </cell>
          <cell r="Y4113">
            <v>4</v>
          </cell>
        </row>
        <row r="4114">
          <cell r="U4114" t="str">
            <v>L106631</v>
          </cell>
          <cell r="V4114" t="str">
            <v>SZD 2kg-Caja</v>
          </cell>
          <cell r="W4114" t="str">
            <v>Ajuste</v>
          </cell>
          <cell r="X4114">
            <v>3</v>
          </cell>
          <cell r="Y4114">
            <v>6</v>
          </cell>
        </row>
        <row r="4115">
          <cell r="U4115" t="str">
            <v>L106632</v>
          </cell>
          <cell r="V4115" t="str">
            <v>SZD 2kg-Caja</v>
          </cell>
          <cell r="W4115" t="str">
            <v>Ajuste</v>
          </cell>
          <cell r="X4115">
            <v>4</v>
          </cell>
          <cell r="Y4115">
            <v>8</v>
          </cell>
        </row>
        <row r="4116">
          <cell r="U4116" t="str">
            <v>L106633</v>
          </cell>
          <cell r="V4116" t="str">
            <v>SZD 2kg-Caja</v>
          </cell>
          <cell r="W4116" t="str">
            <v>Ajuste</v>
          </cell>
          <cell r="X4116">
            <v>4</v>
          </cell>
          <cell r="Y4116">
            <v>8</v>
          </cell>
        </row>
        <row r="4117">
          <cell r="U4117" t="str">
            <v>L106634</v>
          </cell>
          <cell r="V4117" t="str">
            <v>SZD 2kg-Caja</v>
          </cell>
          <cell r="W4117" t="str">
            <v>Ajuste</v>
          </cell>
          <cell r="X4117">
            <v>4</v>
          </cell>
          <cell r="Y4117">
            <v>8</v>
          </cell>
        </row>
        <row r="4118">
          <cell r="U4118" t="str">
            <v>L106635</v>
          </cell>
          <cell r="V4118" t="str">
            <v>SZD 2kg-Caja</v>
          </cell>
          <cell r="W4118" t="str">
            <v>Ajuste</v>
          </cell>
          <cell r="X4118">
            <v>1</v>
          </cell>
          <cell r="Y4118">
            <v>2</v>
          </cell>
        </row>
        <row r="4119">
          <cell r="U4119" t="str">
            <v>L106647</v>
          </cell>
          <cell r="V4119" t="str">
            <v>SZD 2kg-Caja</v>
          </cell>
          <cell r="W4119" t="str">
            <v>Ajuste</v>
          </cell>
          <cell r="X4119">
            <v>21</v>
          </cell>
          <cell r="Y4119">
            <v>42</v>
          </cell>
        </row>
        <row r="4120">
          <cell r="U4120" t="str">
            <v>L106958</v>
          </cell>
          <cell r="V4120" t="str">
            <v>SZD 2kg-Caja</v>
          </cell>
          <cell r="W4120" t="str">
            <v>Ajuste</v>
          </cell>
          <cell r="X4120">
            <v>2</v>
          </cell>
          <cell r="Y4120">
            <v>4</v>
          </cell>
        </row>
        <row r="4121">
          <cell r="U4121" t="str">
            <v>L107373</v>
          </cell>
          <cell r="V4121" t="str">
            <v>SZD 2kg-Caja</v>
          </cell>
          <cell r="W4121" t="str">
            <v>Ajuste</v>
          </cell>
          <cell r="X4121">
            <v>2</v>
          </cell>
          <cell r="Y4121">
            <v>4</v>
          </cell>
        </row>
        <row r="4122">
          <cell r="U4122" t="str">
            <v>L107374</v>
          </cell>
          <cell r="V4122" t="str">
            <v>SZD 2kg-Caja</v>
          </cell>
          <cell r="W4122" t="str">
            <v>Ajuste</v>
          </cell>
          <cell r="X4122">
            <v>2</v>
          </cell>
          <cell r="Y4122">
            <v>4</v>
          </cell>
        </row>
        <row r="4123">
          <cell r="U4123" t="str">
            <v>L106242</v>
          </cell>
          <cell r="V4123" t="str">
            <v>SZD 3kg-Caja</v>
          </cell>
          <cell r="W4123" t="str">
            <v>Ajuste</v>
          </cell>
          <cell r="X4123">
            <v>3</v>
          </cell>
          <cell r="Y4123">
            <v>9</v>
          </cell>
        </row>
        <row r="4124">
          <cell r="U4124" t="str">
            <v>L106394</v>
          </cell>
          <cell r="V4124" t="str">
            <v>SZD 3kg-Caja</v>
          </cell>
          <cell r="W4124" t="str">
            <v>Ajuste</v>
          </cell>
          <cell r="X4124">
            <v>6</v>
          </cell>
          <cell r="Y4124">
            <v>18</v>
          </cell>
        </row>
        <row r="4125">
          <cell r="U4125" t="str">
            <v>L106339</v>
          </cell>
          <cell r="V4125" t="str">
            <v>TE 1.5kg-CAJA</v>
          </cell>
          <cell r="W4125" t="str">
            <v>Ajuste</v>
          </cell>
          <cell r="X4125">
            <v>160</v>
          </cell>
          <cell r="Y4125">
            <v>240</v>
          </cell>
        </row>
        <row r="4126">
          <cell r="U4126" t="str">
            <v>L107008</v>
          </cell>
          <cell r="V4126" t="str">
            <v>TE 1kg-CAJA</v>
          </cell>
          <cell r="W4126" t="str">
            <v>Ajuste</v>
          </cell>
          <cell r="X4126">
            <v>4</v>
          </cell>
          <cell r="Y4126">
            <v>4</v>
          </cell>
        </row>
        <row r="4127">
          <cell r="U4127" t="str">
            <v>L107296</v>
          </cell>
          <cell r="V4127" t="str">
            <v>TE 1kg-CAJA</v>
          </cell>
          <cell r="W4127" t="str">
            <v>Ajuste</v>
          </cell>
          <cell r="X4127">
            <v>5</v>
          </cell>
          <cell r="Y4127">
            <v>5</v>
          </cell>
        </row>
        <row r="4128">
          <cell r="U4128" t="str">
            <v>L107297</v>
          </cell>
          <cell r="V4128" t="str">
            <v>TE 1kg-CAJA</v>
          </cell>
          <cell r="W4128" t="str">
            <v>Ajuste</v>
          </cell>
          <cell r="X4128">
            <v>4</v>
          </cell>
          <cell r="Y4128">
            <v>4</v>
          </cell>
        </row>
        <row r="4129">
          <cell r="U4129" t="str">
            <v>L107298</v>
          </cell>
          <cell r="V4129" t="str">
            <v>TE 1kg-CAJA</v>
          </cell>
          <cell r="W4129" t="str">
            <v>Ajuste</v>
          </cell>
          <cell r="X4129">
            <v>1</v>
          </cell>
          <cell r="Y4129">
            <v>1</v>
          </cell>
        </row>
        <row r="4130">
          <cell r="U4130" t="str">
            <v>L107299</v>
          </cell>
          <cell r="V4130" t="str">
            <v>TE 1kg-CAJA</v>
          </cell>
          <cell r="W4130" t="str">
            <v>Ajuste</v>
          </cell>
          <cell r="X4130">
            <v>1</v>
          </cell>
          <cell r="Y4130">
            <v>1</v>
          </cell>
        </row>
        <row r="4131">
          <cell r="U4131" t="str">
            <v>L107332</v>
          </cell>
          <cell r="V4131" t="str">
            <v>TE 1kg-CAJA</v>
          </cell>
          <cell r="W4131" t="str">
            <v>Ajuste</v>
          </cell>
          <cell r="X4131">
            <v>1</v>
          </cell>
          <cell r="Y4131">
            <v>1</v>
          </cell>
        </row>
        <row r="4132">
          <cell r="U4132" t="str">
            <v>L107159</v>
          </cell>
          <cell r="V4132" t="str">
            <v>TEV 5kg-CAJA</v>
          </cell>
          <cell r="W4132" t="str">
            <v>Ajuste</v>
          </cell>
          <cell r="X4132">
            <v>84</v>
          </cell>
          <cell r="Y4132">
            <v>420</v>
          </cell>
        </row>
        <row r="4133">
          <cell r="U4133" t="str">
            <v>L107161</v>
          </cell>
          <cell r="V4133" t="str">
            <v>TEV 5kg-CAJA</v>
          </cell>
          <cell r="W4133" t="str">
            <v>Ajuste</v>
          </cell>
          <cell r="X4133">
            <v>62</v>
          </cell>
          <cell r="Y4133">
            <v>310</v>
          </cell>
        </row>
        <row r="4134">
          <cell r="U4134" t="str">
            <v>L106504</v>
          </cell>
          <cell r="V4134" t="str">
            <v>TFV 3kg-CAJA</v>
          </cell>
          <cell r="W4134" t="str">
            <v>Ajuste</v>
          </cell>
          <cell r="X4134">
            <v>298</v>
          </cell>
          <cell r="Y4134">
            <v>894</v>
          </cell>
        </row>
        <row r="4135">
          <cell r="U4135" t="str">
            <v>L106077</v>
          </cell>
          <cell r="V4135" t="str">
            <v>TMCH 5kg</v>
          </cell>
          <cell r="W4135" t="str">
            <v>Ajuste</v>
          </cell>
          <cell r="X4135">
            <v>186</v>
          </cell>
          <cell r="Y4135">
            <v>930</v>
          </cell>
        </row>
        <row r="4136">
          <cell r="U4136" t="str">
            <v>L106078</v>
          </cell>
          <cell r="V4136" t="str">
            <v>TMF 5kg</v>
          </cell>
          <cell r="W4136" t="str">
            <v>Ajuste</v>
          </cell>
          <cell r="X4136">
            <v>168</v>
          </cell>
          <cell r="Y4136">
            <v>840</v>
          </cell>
        </row>
        <row r="4137">
          <cell r="U4137" t="str">
            <v>L107160</v>
          </cell>
          <cell r="V4137" t="str">
            <v>TNQPL</v>
          </cell>
          <cell r="W4137" t="str">
            <v>Ajuste</v>
          </cell>
          <cell r="X4137">
            <v>2</v>
          </cell>
          <cell r="Y4137">
            <v>27</v>
          </cell>
        </row>
        <row r="4138">
          <cell r="U4138" t="str">
            <v>L107095</v>
          </cell>
          <cell r="V4138" t="str">
            <v>Tomate variado kg</v>
          </cell>
          <cell r="W4138" t="str">
            <v>Ajuste</v>
          </cell>
          <cell r="X4138">
            <v>9</v>
          </cell>
          <cell r="Y4138">
            <v>9</v>
          </cell>
        </row>
        <row r="4139">
          <cell r="U4139" t="str">
            <v>L106402</v>
          </cell>
          <cell r="V4139" t="str">
            <v>TRZPCDP 18kg</v>
          </cell>
          <cell r="W4139" t="str">
            <v>Ajuste</v>
          </cell>
          <cell r="X4139">
            <v>89</v>
          </cell>
          <cell r="Y4139">
            <v>1602</v>
          </cell>
        </row>
        <row r="4140">
          <cell r="U4140" t="str">
            <v>L106349</v>
          </cell>
          <cell r="V4140" t="str">
            <v>TSI 1kg</v>
          </cell>
          <cell r="W4140" t="str">
            <v>Ajuste</v>
          </cell>
          <cell r="X4140">
            <v>14</v>
          </cell>
          <cell r="Y4140">
            <v>14</v>
          </cell>
        </row>
        <row r="4141">
          <cell r="U4141" t="str">
            <v>L106318</v>
          </cell>
          <cell r="V4141" t="str">
            <v>Vegetales mixtos kg</v>
          </cell>
          <cell r="W4141" t="str">
            <v>Ajuste</v>
          </cell>
          <cell r="X4141">
            <v>3.7</v>
          </cell>
          <cell r="Y4141">
            <v>3.7</v>
          </cell>
        </row>
        <row r="4142">
          <cell r="U4142" t="str">
            <v>L106892</v>
          </cell>
          <cell r="V4142" t="str">
            <v>Vegetales mixtos kg</v>
          </cell>
          <cell r="W4142" t="str">
            <v>Ajuste</v>
          </cell>
          <cell r="X4142">
            <v>5.4</v>
          </cell>
          <cell r="Y4142">
            <v>5.4</v>
          </cell>
        </row>
        <row r="4143">
          <cell r="U4143" t="str">
            <v>L107100</v>
          </cell>
          <cell r="V4143" t="str">
            <v>Vegetales mixtos kg</v>
          </cell>
          <cell r="W4143" t="str">
            <v>Ajuste</v>
          </cell>
          <cell r="X4143">
            <v>7.8</v>
          </cell>
          <cell r="Y4143">
            <v>7.8</v>
          </cell>
        </row>
        <row r="4144">
          <cell r="U4144" t="str">
            <v>L107394</v>
          </cell>
          <cell r="V4144" t="str">
            <v>Vegetales mixtos kg</v>
          </cell>
          <cell r="W4144" t="str">
            <v>Ajuste</v>
          </cell>
          <cell r="X4144">
            <v>1.4</v>
          </cell>
          <cell r="Y4144">
            <v>1.4</v>
          </cell>
        </row>
        <row r="4145">
          <cell r="U4145" t="str">
            <v>L107241</v>
          </cell>
          <cell r="V4145" t="str">
            <v>VeVa 3kg</v>
          </cell>
          <cell r="W4145" t="str">
            <v>Ajuste</v>
          </cell>
          <cell r="X4145">
            <v>2</v>
          </cell>
          <cell r="Y4145">
            <v>6</v>
          </cell>
        </row>
        <row r="4146">
          <cell r="U4146" t="str">
            <v>L106365</v>
          </cell>
          <cell r="V4146" t="str">
            <v>VLV 2KG</v>
          </cell>
          <cell r="W4146" t="str">
            <v>Ajuste</v>
          </cell>
          <cell r="X4146">
            <v>48</v>
          </cell>
          <cell r="Y4146">
            <v>96</v>
          </cell>
        </row>
        <row r="4147">
          <cell r="U4147" t="str">
            <v>L106311</v>
          </cell>
          <cell r="V4147" t="str">
            <v>VM 3kg-CAJA</v>
          </cell>
          <cell r="W4147" t="str">
            <v>Ajuste</v>
          </cell>
          <cell r="X4147">
            <v>6</v>
          </cell>
          <cell r="Y4147">
            <v>18</v>
          </cell>
        </row>
        <row r="4148">
          <cell r="U4148" t="str">
            <v>L106726</v>
          </cell>
          <cell r="V4148" t="str">
            <v>VM 3kg-CAJA</v>
          </cell>
          <cell r="W4148" t="str">
            <v>Ajuste</v>
          </cell>
          <cell r="X4148">
            <v>4</v>
          </cell>
          <cell r="Y4148">
            <v>12</v>
          </cell>
        </row>
        <row r="4149">
          <cell r="U4149" t="str">
            <v>L107071</v>
          </cell>
          <cell r="V4149" t="str">
            <v>VM 3kg-CAJA</v>
          </cell>
          <cell r="W4149" t="str">
            <v>Ajuste</v>
          </cell>
          <cell r="X4149">
            <v>1</v>
          </cell>
          <cell r="Y4149">
            <v>3</v>
          </cell>
        </row>
        <row r="4150">
          <cell r="U4150" t="str">
            <v>L107239</v>
          </cell>
          <cell r="V4150" t="str">
            <v>VM 3kg-CAJA</v>
          </cell>
          <cell r="W4150" t="str">
            <v>Ajuste</v>
          </cell>
          <cell r="X4150">
            <v>2</v>
          </cell>
          <cell r="Y4150">
            <v>6</v>
          </cell>
        </row>
        <row r="4151">
          <cell r="U4151" t="str">
            <v>L106639</v>
          </cell>
          <cell r="V4151" t="str">
            <v>VNG 2KG</v>
          </cell>
          <cell r="W4151" t="str">
            <v>Ajuste</v>
          </cell>
          <cell r="X4151">
            <v>6</v>
          </cell>
          <cell r="Y4151">
            <v>12</v>
          </cell>
        </row>
        <row r="4152">
          <cell r="U4152" t="str">
            <v>L106640</v>
          </cell>
          <cell r="V4152" t="str">
            <v>VNG 2KG</v>
          </cell>
          <cell r="W4152" t="str">
            <v>Ajuste</v>
          </cell>
          <cell r="X4152">
            <v>4</v>
          </cell>
          <cell r="Y4152">
            <v>8</v>
          </cell>
        </row>
        <row r="4153">
          <cell r="U4153" t="str">
            <v>L106641</v>
          </cell>
          <cell r="V4153" t="str">
            <v>VNG 2KG</v>
          </cell>
          <cell r="W4153" t="str">
            <v>Ajuste</v>
          </cell>
          <cell r="X4153">
            <v>2</v>
          </cell>
          <cell r="Y4153">
            <v>4</v>
          </cell>
        </row>
        <row r="4154">
          <cell r="U4154" t="str">
            <v>L106642</v>
          </cell>
          <cell r="V4154" t="str">
            <v>VNG 2KG</v>
          </cell>
          <cell r="W4154" t="str">
            <v>Ajuste</v>
          </cell>
          <cell r="X4154">
            <v>1</v>
          </cell>
          <cell r="Y4154">
            <v>2</v>
          </cell>
        </row>
        <row r="4155">
          <cell r="U4155" t="str">
            <v>L106643</v>
          </cell>
          <cell r="V4155" t="str">
            <v>VNG 2KG</v>
          </cell>
          <cell r="W4155" t="str">
            <v>Ajuste</v>
          </cell>
          <cell r="X4155">
            <v>2</v>
          </cell>
          <cell r="Y4155">
            <v>4</v>
          </cell>
        </row>
        <row r="4156">
          <cell r="U4156" t="str">
            <v>L106644</v>
          </cell>
          <cell r="V4156" t="str">
            <v>VNG 2KG</v>
          </cell>
          <cell r="W4156" t="str">
            <v>Ajuste</v>
          </cell>
          <cell r="X4156">
            <v>2</v>
          </cell>
          <cell r="Y4156">
            <v>4</v>
          </cell>
        </row>
        <row r="4157">
          <cell r="U4157" t="str">
            <v>L106645</v>
          </cell>
          <cell r="V4157" t="str">
            <v>VNG 2KG</v>
          </cell>
          <cell r="W4157" t="str">
            <v>Ajuste</v>
          </cell>
          <cell r="X4157">
            <v>14</v>
          </cell>
          <cell r="Y4157">
            <v>28</v>
          </cell>
        </row>
        <row r="4158">
          <cell r="U4158" t="str">
            <v>L107378</v>
          </cell>
          <cell r="V4158" t="str">
            <v>VNG 2KG</v>
          </cell>
          <cell r="W4158" t="str">
            <v>Ajuste</v>
          </cell>
          <cell r="X4158">
            <v>2</v>
          </cell>
          <cell r="Y4158">
            <v>4</v>
          </cell>
        </row>
        <row r="4159">
          <cell r="U4159" t="str">
            <v>L106241</v>
          </cell>
          <cell r="V4159" t="str">
            <v>VNG 3KG</v>
          </cell>
          <cell r="W4159" t="str">
            <v>Ajuste</v>
          </cell>
          <cell r="X4159">
            <v>2</v>
          </cell>
          <cell r="Y4159">
            <v>6</v>
          </cell>
        </row>
        <row r="4160">
          <cell r="U4160" t="str">
            <v>L106651</v>
          </cell>
          <cell r="V4160" t="str">
            <v>VNG 4KG</v>
          </cell>
          <cell r="W4160" t="str">
            <v>Ajuste</v>
          </cell>
          <cell r="X4160">
            <v>420</v>
          </cell>
          <cell r="Y4160">
            <v>1680</v>
          </cell>
        </row>
        <row r="4161">
          <cell r="U4161" t="str">
            <v>L106652</v>
          </cell>
          <cell r="V4161" t="str">
            <v>VNG 4KG</v>
          </cell>
          <cell r="W4161" t="str">
            <v>Ajuste</v>
          </cell>
          <cell r="X4161">
            <v>749</v>
          </cell>
          <cell r="Y4161">
            <v>2996</v>
          </cell>
        </row>
        <row r="4162">
          <cell r="U4162" t="str">
            <v>L107350</v>
          </cell>
          <cell r="V4162" t="str">
            <v>VSO 1kg</v>
          </cell>
          <cell r="W4162" t="str">
            <v>Ajuste</v>
          </cell>
          <cell r="X4162">
            <v>3</v>
          </cell>
          <cell r="Y4162">
            <v>3</v>
          </cell>
        </row>
        <row r="4163">
          <cell r="U4163" t="str">
            <v>Total general</v>
          </cell>
          <cell r="X4163">
            <v>341373.4200000001</v>
          </cell>
          <cell r="Y4163">
            <v>1329259.3800000018</v>
          </cell>
        </row>
        <row r="4164">
          <cell r="V4164"/>
          <cell r="W4164"/>
          <cell r="X4164"/>
          <cell r="Y4164"/>
        </row>
        <row r="4165">
          <cell r="V4165"/>
          <cell r="W4165"/>
          <cell r="X4165"/>
          <cell r="Y4165"/>
        </row>
        <row r="4166">
          <cell r="V4166"/>
          <cell r="W4166"/>
          <cell r="X4166"/>
          <cell r="Y4166"/>
        </row>
        <row r="4167">
          <cell r="V4167"/>
          <cell r="W4167"/>
          <cell r="X4167"/>
          <cell r="Y4167"/>
        </row>
        <row r="4168">
          <cell r="V4168"/>
          <cell r="W4168"/>
          <cell r="X4168"/>
          <cell r="Y4168"/>
        </row>
        <row r="4169">
          <cell r="V4169"/>
          <cell r="W4169"/>
          <cell r="X4169"/>
          <cell r="Y4169"/>
        </row>
        <row r="4170">
          <cell r="V4170"/>
          <cell r="W4170"/>
          <cell r="X4170"/>
          <cell r="Y4170"/>
        </row>
        <row r="4171">
          <cell r="V4171"/>
          <cell r="W4171"/>
          <cell r="X4171"/>
          <cell r="Y4171"/>
        </row>
        <row r="4172">
          <cell r="V4172"/>
          <cell r="W4172"/>
          <cell r="X4172"/>
          <cell r="Y4172"/>
        </row>
        <row r="4173">
          <cell r="V4173"/>
          <cell r="W4173"/>
          <cell r="X4173"/>
          <cell r="Y4173"/>
        </row>
        <row r="4174">
          <cell r="V4174"/>
          <cell r="W4174"/>
          <cell r="X4174"/>
          <cell r="Y4174"/>
        </row>
        <row r="4175">
          <cell r="V4175"/>
          <cell r="W4175"/>
          <cell r="X4175"/>
          <cell r="Y4175"/>
        </row>
        <row r="4176">
          <cell r="V4176"/>
          <cell r="W4176"/>
          <cell r="X4176"/>
          <cell r="Y4176"/>
        </row>
        <row r="4177">
          <cell r="V4177"/>
          <cell r="W4177"/>
          <cell r="X4177"/>
          <cell r="Y4177"/>
        </row>
        <row r="4178">
          <cell r="V4178"/>
          <cell r="W4178"/>
          <cell r="X4178"/>
          <cell r="Y4178"/>
        </row>
        <row r="4179">
          <cell r="V4179"/>
          <cell r="W4179"/>
          <cell r="X4179"/>
          <cell r="Y4179"/>
        </row>
        <row r="4180">
          <cell r="V4180"/>
          <cell r="W4180"/>
          <cell r="X4180"/>
          <cell r="Y4180"/>
        </row>
        <row r="4181">
          <cell r="V4181"/>
          <cell r="W4181"/>
          <cell r="X4181"/>
          <cell r="Y4181"/>
        </row>
        <row r="4182">
          <cell r="V4182"/>
          <cell r="W4182"/>
          <cell r="X4182"/>
          <cell r="Y4182"/>
        </row>
        <row r="4183">
          <cell r="V4183"/>
          <cell r="W4183"/>
          <cell r="X4183"/>
          <cell r="Y4183"/>
        </row>
        <row r="4184">
          <cell r="V4184"/>
          <cell r="W4184"/>
          <cell r="X4184"/>
          <cell r="Y4184"/>
        </row>
        <row r="4185">
          <cell r="V4185"/>
          <cell r="W4185"/>
          <cell r="X4185"/>
          <cell r="Y4185"/>
        </row>
        <row r="4186">
          <cell r="V4186"/>
          <cell r="W4186"/>
          <cell r="X4186"/>
          <cell r="Y4186"/>
        </row>
        <row r="4187">
          <cell r="V4187"/>
          <cell r="W4187"/>
          <cell r="X4187"/>
          <cell r="Y4187"/>
        </row>
        <row r="4188">
          <cell r="V4188"/>
          <cell r="W4188"/>
          <cell r="X4188"/>
          <cell r="Y4188"/>
        </row>
        <row r="4189">
          <cell r="V4189"/>
          <cell r="W4189"/>
          <cell r="X4189"/>
          <cell r="Y4189"/>
        </row>
        <row r="4190">
          <cell r="V4190"/>
          <cell r="W4190"/>
          <cell r="X4190"/>
          <cell r="Y4190"/>
        </row>
        <row r="4191">
          <cell r="V4191"/>
          <cell r="W4191"/>
          <cell r="X4191"/>
          <cell r="Y4191"/>
        </row>
        <row r="4192">
          <cell r="V4192"/>
          <cell r="W4192"/>
          <cell r="X4192"/>
          <cell r="Y4192"/>
        </row>
        <row r="4193">
          <cell r="V4193"/>
          <cell r="W4193"/>
          <cell r="X4193"/>
          <cell r="Y4193"/>
        </row>
        <row r="4194">
          <cell r="V4194"/>
          <cell r="W4194"/>
          <cell r="X4194"/>
          <cell r="Y4194"/>
        </row>
        <row r="4195">
          <cell r="V4195"/>
          <cell r="W4195"/>
          <cell r="X4195"/>
          <cell r="Y4195"/>
        </row>
        <row r="4196">
          <cell r="V4196"/>
          <cell r="W4196"/>
          <cell r="X4196"/>
          <cell r="Y4196"/>
        </row>
        <row r="4197">
          <cell r="V4197"/>
          <cell r="W4197"/>
          <cell r="X4197"/>
          <cell r="Y4197"/>
        </row>
        <row r="4198">
          <cell r="V4198"/>
          <cell r="W4198"/>
          <cell r="X4198"/>
          <cell r="Y4198"/>
        </row>
        <row r="4199">
          <cell r="V4199"/>
          <cell r="W4199"/>
          <cell r="X4199"/>
          <cell r="Y4199"/>
        </row>
        <row r="4200">
          <cell r="V4200"/>
          <cell r="W4200"/>
          <cell r="X4200"/>
          <cell r="Y4200"/>
        </row>
        <row r="4201">
          <cell r="V4201"/>
          <cell r="W4201"/>
          <cell r="X4201"/>
          <cell r="Y4201"/>
        </row>
        <row r="4202">
          <cell r="V4202"/>
          <cell r="W4202"/>
          <cell r="X4202"/>
          <cell r="Y4202"/>
        </row>
        <row r="4203">
          <cell r="V4203"/>
          <cell r="W4203"/>
          <cell r="X4203"/>
          <cell r="Y4203"/>
        </row>
        <row r="4204">
          <cell r="V4204"/>
          <cell r="W4204"/>
          <cell r="X4204"/>
          <cell r="Y4204"/>
        </row>
        <row r="4205">
          <cell r="V4205"/>
          <cell r="W4205"/>
          <cell r="X4205"/>
          <cell r="Y4205"/>
        </row>
        <row r="4206">
          <cell r="V4206"/>
          <cell r="W4206"/>
          <cell r="X4206"/>
          <cell r="Y4206"/>
        </row>
        <row r="4207">
          <cell r="V4207"/>
          <cell r="W4207"/>
          <cell r="X4207"/>
          <cell r="Y4207"/>
        </row>
        <row r="4208">
          <cell r="V4208"/>
          <cell r="W4208"/>
          <cell r="X4208"/>
          <cell r="Y4208"/>
        </row>
        <row r="4209">
          <cell r="V4209"/>
          <cell r="W4209"/>
          <cell r="X4209"/>
          <cell r="Y4209"/>
        </row>
        <row r="4210">
          <cell r="V4210"/>
          <cell r="W4210"/>
          <cell r="X4210"/>
          <cell r="Y4210"/>
        </row>
        <row r="4211">
          <cell r="V4211"/>
          <cell r="W4211"/>
          <cell r="X4211"/>
          <cell r="Y4211"/>
        </row>
        <row r="4212">
          <cell r="V4212"/>
          <cell r="W4212"/>
          <cell r="X4212"/>
          <cell r="Y4212"/>
        </row>
        <row r="4213">
          <cell r="V4213"/>
          <cell r="W4213"/>
          <cell r="X4213"/>
          <cell r="Y4213"/>
        </row>
        <row r="4214">
          <cell r="V4214"/>
          <cell r="W4214"/>
          <cell r="X4214"/>
          <cell r="Y4214"/>
        </row>
        <row r="4215">
          <cell r="V4215"/>
          <cell r="W4215"/>
          <cell r="X4215"/>
          <cell r="Y4215"/>
        </row>
        <row r="4216">
          <cell r="V4216"/>
          <cell r="W4216"/>
          <cell r="X4216"/>
          <cell r="Y4216"/>
        </row>
        <row r="4217">
          <cell r="V4217"/>
          <cell r="W4217"/>
          <cell r="X4217"/>
          <cell r="Y4217"/>
        </row>
        <row r="4218">
          <cell r="V4218"/>
          <cell r="W4218"/>
          <cell r="X4218"/>
          <cell r="Y4218"/>
        </row>
        <row r="4219">
          <cell r="V4219"/>
          <cell r="W4219"/>
          <cell r="X4219"/>
          <cell r="Y4219"/>
        </row>
        <row r="4220">
          <cell r="V4220"/>
          <cell r="W4220"/>
          <cell r="X4220"/>
          <cell r="Y4220"/>
        </row>
        <row r="4221">
          <cell r="V4221"/>
          <cell r="W4221"/>
          <cell r="X4221"/>
          <cell r="Y4221"/>
        </row>
        <row r="4222">
          <cell r="V4222"/>
          <cell r="W4222"/>
          <cell r="X4222"/>
          <cell r="Y4222"/>
        </row>
        <row r="4223">
          <cell r="V4223"/>
          <cell r="W4223"/>
          <cell r="X4223"/>
          <cell r="Y4223"/>
        </row>
        <row r="4224">
          <cell r="V4224"/>
          <cell r="W4224"/>
          <cell r="X4224"/>
          <cell r="Y4224"/>
        </row>
        <row r="4225">
          <cell r="V4225"/>
          <cell r="W4225"/>
          <cell r="X4225"/>
          <cell r="Y4225"/>
        </row>
        <row r="4226">
          <cell r="V4226"/>
          <cell r="W4226"/>
          <cell r="X4226"/>
          <cell r="Y4226"/>
        </row>
        <row r="4227">
          <cell r="V4227"/>
          <cell r="W4227"/>
          <cell r="X4227"/>
          <cell r="Y4227"/>
        </row>
        <row r="4228">
          <cell r="V4228"/>
          <cell r="W4228"/>
          <cell r="X4228"/>
          <cell r="Y4228"/>
        </row>
        <row r="4229">
          <cell r="V4229"/>
          <cell r="W4229"/>
          <cell r="X4229"/>
          <cell r="Y4229"/>
        </row>
        <row r="4230">
          <cell r="V4230"/>
          <cell r="W4230"/>
          <cell r="X4230"/>
          <cell r="Y4230"/>
        </row>
        <row r="4231">
          <cell r="V4231"/>
          <cell r="W4231"/>
          <cell r="X4231"/>
          <cell r="Y4231"/>
        </row>
        <row r="4232">
          <cell r="V4232"/>
          <cell r="W4232"/>
          <cell r="X4232"/>
          <cell r="Y4232"/>
        </row>
        <row r="4233">
          <cell r="V4233"/>
          <cell r="W4233"/>
          <cell r="X4233"/>
          <cell r="Y4233"/>
        </row>
        <row r="4234">
          <cell r="V4234"/>
          <cell r="W4234"/>
          <cell r="X4234"/>
          <cell r="Y4234"/>
        </row>
        <row r="4235">
          <cell r="V4235"/>
          <cell r="W4235"/>
          <cell r="X4235"/>
          <cell r="Y4235"/>
        </row>
        <row r="4236">
          <cell r="V4236"/>
          <cell r="W4236"/>
          <cell r="X4236"/>
          <cell r="Y4236"/>
        </row>
        <row r="4237">
          <cell r="V4237"/>
          <cell r="W4237"/>
          <cell r="X4237"/>
          <cell r="Y4237"/>
        </row>
        <row r="4238">
          <cell r="V4238"/>
          <cell r="W4238"/>
          <cell r="X4238"/>
          <cell r="Y4238"/>
        </row>
        <row r="4239">
          <cell r="V4239"/>
          <cell r="W4239"/>
          <cell r="X4239"/>
          <cell r="Y4239"/>
        </row>
        <row r="4240">
          <cell r="V4240"/>
          <cell r="W4240"/>
          <cell r="X4240"/>
          <cell r="Y4240"/>
        </row>
        <row r="4241">
          <cell r="V4241"/>
          <cell r="W4241"/>
          <cell r="X4241"/>
          <cell r="Y4241"/>
        </row>
        <row r="4242">
          <cell r="V4242"/>
          <cell r="W4242"/>
          <cell r="X4242"/>
          <cell r="Y4242"/>
        </row>
        <row r="4243">
          <cell r="V4243"/>
          <cell r="W4243"/>
          <cell r="X4243"/>
          <cell r="Y4243"/>
        </row>
        <row r="4244">
          <cell r="V4244"/>
          <cell r="W4244"/>
          <cell r="X4244"/>
          <cell r="Y4244"/>
        </row>
        <row r="4245">
          <cell r="V4245"/>
          <cell r="W4245"/>
          <cell r="X4245"/>
          <cell r="Y4245"/>
        </row>
        <row r="4246">
          <cell r="V4246"/>
          <cell r="W4246"/>
          <cell r="X4246"/>
          <cell r="Y4246"/>
        </row>
        <row r="4247">
          <cell r="V4247"/>
          <cell r="W4247"/>
          <cell r="X4247"/>
          <cell r="Y4247"/>
        </row>
        <row r="4248">
          <cell r="V4248"/>
          <cell r="W4248"/>
          <cell r="X4248"/>
          <cell r="Y4248"/>
        </row>
        <row r="4249">
          <cell r="V4249"/>
          <cell r="W4249"/>
          <cell r="X4249"/>
          <cell r="Y4249"/>
        </row>
        <row r="4250">
          <cell r="V4250"/>
          <cell r="W4250"/>
          <cell r="X4250"/>
          <cell r="Y4250"/>
        </row>
        <row r="4251">
          <cell r="V4251"/>
          <cell r="W4251"/>
          <cell r="X4251"/>
          <cell r="Y4251"/>
        </row>
        <row r="4252">
          <cell r="V4252"/>
          <cell r="W4252"/>
          <cell r="X4252"/>
          <cell r="Y4252"/>
        </row>
        <row r="4253">
          <cell r="V4253"/>
          <cell r="W4253"/>
          <cell r="X4253"/>
          <cell r="Y4253"/>
        </row>
        <row r="4254">
          <cell r="V4254"/>
          <cell r="W4254"/>
          <cell r="X4254"/>
          <cell r="Y4254"/>
        </row>
        <row r="4255">
          <cell r="V4255"/>
          <cell r="W4255"/>
          <cell r="X4255"/>
          <cell r="Y4255"/>
        </row>
        <row r="4256">
          <cell r="V4256"/>
          <cell r="W4256"/>
          <cell r="X4256"/>
          <cell r="Y4256"/>
        </row>
        <row r="4257">
          <cell r="V4257"/>
          <cell r="W4257"/>
          <cell r="X4257"/>
          <cell r="Y4257"/>
        </row>
        <row r="4258">
          <cell r="V4258"/>
          <cell r="W4258"/>
          <cell r="X4258"/>
          <cell r="Y4258"/>
        </row>
        <row r="4259">
          <cell r="V4259"/>
          <cell r="W4259"/>
          <cell r="X4259"/>
          <cell r="Y4259"/>
        </row>
        <row r="4260">
          <cell r="V4260"/>
          <cell r="W4260"/>
          <cell r="X4260"/>
          <cell r="Y4260"/>
        </row>
        <row r="4261">
          <cell r="V4261"/>
          <cell r="W4261"/>
          <cell r="X4261"/>
          <cell r="Y4261"/>
        </row>
        <row r="4262">
          <cell r="V4262"/>
          <cell r="W4262"/>
          <cell r="X4262"/>
          <cell r="Y4262"/>
        </row>
        <row r="4263">
          <cell r="V4263"/>
          <cell r="W4263"/>
          <cell r="X4263"/>
          <cell r="Y4263"/>
        </row>
        <row r="4264">
          <cell r="V4264"/>
          <cell r="W4264"/>
          <cell r="X4264"/>
          <cell r="Y4264"/>
        </row>
        <row r="4265">
          <cell r="V4265"/>
          <cell r="W4265"/>
          <cell r="X4265"/>
          <cell r="Y4265"/>
        </row>
        <row r="4266">
          <cell r="V4266"/>
          <cell r="W4266"/>
          <cell r="X4266"/>
          <cell r="Y4266"/>
        </row>
        <row r="4267">
          <cell r="V4267"/>
          <cell r="W4267"/>
          <cell r="X4267"/>
          <cell r="Y4267"/>
        </row>
        <row r="4268">
          <cell r="V4268"/>
          <cell r="W4268"/>
          <cell r="X4268"/>
          <cell r="Y4268"/>
        </row>
        <row r="4269">
          <cell r="V4269"/>
          <cell r="W4269"/>
          <cell r="X4269"/>
          <cell r="Y4269"/>
        </row>
        <row r="4270">
          <cell r="V4270"/>
          <cell r="W4270"/>
          <cell r="X4270"/>
          <cell r="Y4270"/>
        </row>
        <row r="4271">
          <cell r="V4271"/>
          <cell r="W4271"/>
          <cell r="X4271"/>
          <cell r="Y4271"/>
        </row>
        <row r="4272">
          <cell r="V4272"/>
          <cell r="W4272"/>
          <cell r="X4272"/>
          <cell r="Y4272"/>
        </row>
        <row r="4273">
          <cell r="V4273"/>
          <cell r="W4273"/>
          <cell r="X4273"/>
          <cell r="Y4273"/>
        </row>
        <row r="4274">
          <cell r="V4274"/>
          <cell r="W4274"/>
          <cell r="X4274"/>
          <cell r="Y4274"/>
        </row>
        <row r="4275">
          <cell r="V4275"/>
          <cell r="W4275"/>
          <cell r="X4275"/>
          <cell r="Y4275"/>
        </row>
        <row r="4276">
          <cell r="V4276"/>
          <cell r="W4276"/>
          <cell r="X4276"/>
          <cell r="Y4276"/>
        </row>
        <row r="4277">
          <cell r="V4277"/>
          <cell r="W4277"/>
          <cell r="X4277"/>
          <cell r="Y4277"/>
        </row>
        <row r="4278">
          <cell r="V4278"/>
          <cell r="W4278"/>
          <cell r="X4278"/>
          <cell r="Y4278"/>
        </row>
        <row r="4279">
          <cell r="V4279"/>
          <cell r="W4279"/>
          <cell r="X4279"/>
          <cell r="Y4279"/>
        </row>
        <row r="4280">
          <cell r="V4280"/>
          <cell r="W4280"/>
          <cell r="X4280"/>
          <cell r="Y4280"/>
        </row>
        <row r="4281">
          <cell r="V4281"/>
          <cell r="W4281"/>
          <cell r="X4281"/>
          <cell r="Y4281"/>
        </row>
        <row r="4282">
          <cell r="V4282"/>
          <cell r="W4282"/>
          <cell r="X4282"/>
          <cell r="Y4282"/>
        </row>
        <row r="4283">
          <cell r="V4283"/>
          <cell r="W4283"/>
          <cell r="X4283"/>
          <cell r="Y4283"/>
        </row>
        <row r="4284">
          <cell r="V4284"/>
          <cell r="W4284"/>
          <cell r="X4284"/>
          <cell r="Y4284"/>
        </row>
        <row r="4285">
          <cell r="V4285"/>
          <cell r="W4285"/>
          <cell r="X4285"/>
          <cell r="Y4285"/>
        </row>
        <row r="4286">
          <cell r="V4286"/>
          <cell r="W4286"/>
          <cell r="X4286"/>
          <cell r="Y4286"/>
        </row>
        <row r="4287">
          <cell r="V4287"/>
          <cell r="W4287"/>
          <cell r="X4287"/>
          <cell r="Y4287"/>
        </row>
        <row r="4288">
          <cell r="V4288"/>
          <cell r="W4288"/>
          <cell r="X4288"/>
          <cell r="Y4288"/>
        </row>
        <row r="4289">
          <cell r="V4289"/>
          <cell r="W4289"/>
          <cell r="X4289"/>
          <cell r="Y4289"/>
        </row>
        <row r="4290">
          <cell r="V4290"/>
          <cell r="W4290"/>
          <cell r="X4290"/>
          <cell r="Y4290"/>
        </row>
        <row r="4291">
          <cell r="V4291"/>
          <cell r="W4291"/>
          <cell r="X4291"/>
          <cell r="Y4291"/>
        </row>
        <row r="4292">
          <cell r="V4292"/>
          <cell r="W4292"/>
          <cell r="X4292"/>
          <cell r="Y4292"/>
        </row>
        <row r="4293">
          <cell r="V4293"/>
          <cell r="W4293"/>
          <cell r="X4293"/>
          <cell r="Y4293"/>
        </row>
        <row r="4294">
          <cell r="V4294"/>
          <cell r="W4294"/>
          <cell r="X4294"/>
          <cell r="Y4294"/>
        </row>
        <row r="4295">
          <cell r="V4295"/>
          <cell r="W4295"/>
          <cell r="X4295"/>
          <cell r="Y4295"/>
        </row>
        <row r="4296">
          <cell r="V4296"/>
          <cell r="W4296"/>
          <cell r="X4296"/>
          <cell r="Y4296"/>
        </row>
        <row r="4297">
          <cell r="V4297"/>
          <cell r="W4297"/>
          <cell r="X4297"/>
          <cell r="Y4297"/>
        </row>
        <row r="4298">
          <cell r="V4298"/>
          <cell r="W4298"/>
          <cell r="X4298"/>
          <cell r="Y4298"/>
        </row>
        <row r="4299">
          <cell r="V4299"/>
          <cell r="W4299"/>
          <cell r="X4299"/>
          <cell r="Y4299"/>
        </row>
        <row r="4300">
          <cell r="V4300"/>
          <cell r="W4300"/>
          <cell r="X4300"/>
          <cell r="Y4300"/>
        </row>
        <row r="4301">
          <cell r="V4301"/>
          <cell r="W4301"/>
          <cell r="X4301"/>
          <cell r="Y4301"/>
        </row>
        <row r="4302">
          <cell r="V4302"/>
          <cell r="W4302"/>
          <cell r="X4302"/>
          <cell r="Y4302"/>
        </row>
        <row r="4303">
          <cell r="V4303"/>
          <cell r="W4303"/>
          <cell r="X4303"/>
          <cell r="Y4303"/>
        </row>
        <row r="4304">
          <cell r="V4304"/>
          <cell r="W4304"/>
          <cell r="X4304"/>
          <cell r="Y4304"/>
        </row>
        <row r="4305">
          <cell r="V4305"/>
          <cell r="W4305"/>
          <cell r="X4305"/>
          <cell r="Y4305"/>
        </row>
        <row r="4306">
          <cell r="V4306"/>
          <cell r="W4306"/>
          <cell r="X4306"/>
          <cell r="Y4306"/>
        </row>
        <row r="4307">
          <cell r="V4307"/>
          <cell r="W4307"/>
          <cell r="X4307"/>
          <cell r="Y4307"/>
        </row>
        <row r="4308">
          <cell r="V4308"/>
          <cell r="W4308"/>
          <cell r="X4308"/>
          <cell r="Y4308"/>
        </row>
        <row r="4309">
          <cell r="V4309"/>
          <cell r="W4309"/>
          <cell r="X4309"/>
          <cell r="Y4309"/>
        </row>
        <row r="4310">
          <cell r="V4310"/>
          <cell r="W4310"/>
          <cell r="X4310"/>
          <cell r="Y4310"/>
        </row>
        <row r="4311">
          <cell r="V4311"/>
          <cell r="W4311"/>
          <cell r="X4311"/>
          <cell r="Y4311"/>
        </row>
        <row r="4312">
          <cell r="V4312"/>
          <cell r="W4312"/>
          <cell r="X4312"/>
          <cell r="Y4312"/>
        </row>
        <row r="4313">
          <cell r="V4313"/>
          <cell r="W4313"/>
          <cell r="X4313"/>
          <cell r="Y4313"/>
        </row>
        <row r="4314">
          <cell r="V4314"/>
          <cell r="W4314"/>
          <cell r="X4314"/>
          <cell r="Y4314"/>
        </row>
        <row r="4315">
          <cell r="V4315"/>
          <cell r="W4315"/>
          <cell r="X4315"/>
          <cell r="Y4315"/>
        </row>
        <row r="4316">
          <cell r="V4316"/>
          <cell r="W4316"/>
          <cell r="X4316"/>
          <cell r="Y4316"/>
        </row>
        <row r="4317">
          <cell r="V4317"/>
          <cell r="W4317"/>
          <cell r="X4317"/>
          <cell r="Y4317"/>
        </row>
        <row r="4318">
          <cell r="V4318"/>
          <cell r="W4318"/>
          <cell r="X4318"/>
          <cell r="Y4318"/>
        </row>
        <row r="4319">
          <cell r="V4319"/>
          <cell r="W4319"/>
          <cell r="X4319"/>
          <cell r="Y4319"/>
        </row>
        <row r="4320">
          <cell r="V4320"/>
          <cell r="W4320"/>
          <cell r="X4320"/>
          <cell r="Y4320"/>
        </row>
        <row r="4321">
          <cell r="V4321"/>
          <cell r="W4321"/>
          <cell r="X4321"/>
          <cell r="Y4321"/>
        </row>
        <row r="4322">
          <cell r="V4322"/>
          <cell r="W4322"/>
          <cell r="X4322"/>
          <cell r="Y4322"/>
        </row>
        <row r="4323">
          <cell r="V4323"/>
          <cell r="W4323"/>
          <cell r="X4323"/>
          <cell r="Y4323"/>
        </row>
        <row r="4324">
          <cell r="V4324"/>
          <cell r="W4324"/>
          <cell r="X4324"/>
          <cell r="Y4324"/>
        </row>
        <row r="4325">
          <cell r="V4325"/>
          <cell r="W4325"/>
          <cell r="X4325"/>
          <cell r="Y4325"/>
        </row>
        <row r="4326">
          <cell r="V4326"/>
          <cell r="W4326"/>
          <cell r="X4326"/>
          <cell r="Y4326"/>
        </row>
        <row r="4327">
          <cell r="V4327"/>
          <cell r="W4327"/>
          <cell r="X4327"/>
          <cell r="Y4327"/>
        </row>
        <row r="4328">
          <cell r="V4328"/>
          <cell r="W4328"/>
          <cell r="X4328"/>
          <cell r="Y4328"/>
        </row>
        <row r="4329">
          <cell r="V4329"/>
          <cell r="W4329"/>
          <cell r="X4329"/>
          <cell r="Y4329"/>
        </row>
        <row r="4330">
          <cell r="V4330"/>
          <cell r="W4330"/>
          <cell r="X4330"/>
          <cell r="Y4330"/>
        </row>
        <row r="4331">
          <cell r="V4331"/>
          <cell r="W4331"/>
          <cell r="X4331"/>
          <cell r="Y4331"/>
        </row>
        <row r="4332">
          <cell r="V4332"/>
          <cell r="W4332"/>
          <cell r="X4332"/>
          <cell r="Y4332"/>
        </row>
        <row r="4333">
          <cell r="V4333"/>
          <cell r="W4333"/>
          <cell r="X4333"/>
          <cell r="Y4333"/>
        </row>
        <row r="4334">
          <cell r="V4334"/>
          <cell r="W4334"/>
          <cell r="X4334"/>
          <cell r="Y4334"/>
        </row>
        <row r="4335">
          <cell r="V4335"/>
          <cell r="W4335"/>
          <cell r="X4335"/>
          <cell r="Y4335"/>
        </row>
        <row r="4336">
          <cell r="V4336"/>
          <cell r="W4336"/>
          <cell r="X4336"/>
          <cell r="Y4336"/>
        </row>
        <row r="4337">
          <cell r="V4337"/>
          <cell r="W4337"/>
          <cell r="X4337"/>
          <cell r="Y4337"/>
        </row>
        <row r="4338">
          <cell r="V4338"/>
          <cell r="W4338"/>
          <cell r="X4338"/>
          <cell r="Y4338"/>
        </row>
        <row r="4339">
          <cell r="V4339"/>
          <cell r="W4339"/>
          <cell r="X4339"/>
          <cell r="Y4339"/>
        </row>
        <row r="4340">
          <cell r="V4340"/>
          <cell r="W4340"/>
          <cell r="X4340"/>
          <cell r="Y4340"/>
        </row>
        <row r="4341">
          <cell r="V4341"/>
          <cell r="W4341"/>
          <cell r="X4341"/>
          <cell r="Y4341"/>
        </row>
        <row r="4342">
          <cell r="V4342"/>
          <cell r="W4342"/>
          <cell r="X4342"/>
          <cell r="Y4342"/>
        </row>
        <row r="4343">
          <cell r="V4343"/>
          <cell r="W4343"/>
          <cell r="X4343"/>
          <cell r="Y4343"/>
        </row>
        <row r="4344">
          <cell r="V4344"/>
          <cell r="W4344"/>
          <cell r="X4344"/>
          <cell r="Y4344"/>
        </row>
        <row r="4345">
          <cell r="V4345"/>
          <cell r="W4345"/>
          <cell r="X4345"/>
          <cell r="Y4345"/>
        </row>
        <row r="4346">
          <cell r="V4346"/>
          <cell r="W4346"/>
          <cell r="X4346"/>
          <cell r="Y4346"/>
        </row>
        <row r="4347">
          <cell r="V4347"/>
          <cell r="W4347"/>
          <cell r="X4347"/>
          <cell r="Y4347"/>
        </row>
        <row r="4348">
          <cell r="V4348"/>
          <cell r="W4348"/>
          <cell r="X4348"/>
          <cell r="Y4348"/>
        </row>
        <row r="4349">
          <cell r="V4349"/>
          <cell r="W4349"/>
          <cell r="X4349"/>
          <cell r="Y4349"/>
        </row>
        <row r="4350">
          <cell r="V4350"/>
          <cell r="W4350"/>
          <cell r="X4350"/>
          <cell r="Y4350"/>
        </row>
        <row r="4351">
          <cell r="V4351"/>
          <cell r="W4351"/>
          <cell r="X4351"/>
          <cell r="Y4351"/>
        </row>
        <row r="4352">
          <cell r="V4352"/>
          <cell r="W4352"/>
          <cell r="X4352"/>
          <cell r="Y4352"/>
        </row>
        <row r="4353">
          <cell r="V4353"/>
          <cell r="W4353"/>
          <cell r="X4353"/>
          <cell r="Y4353"/>
        </row>
        <row r="4354">
          <cell r="V4354"/>
          <cell r="W4354"/>
          <cell r="X4354"/>
          <cell r="Y4354"/>
        </row>
        <row r="4355">
          <cell r="V4355"/>
          <cell r="W4355"/>
          <cell r="X4355"/>
          <cell r="Y4355"/>
        </row>
        <row r="4356">
          <cell r="V4356"/>
          <cell r="W4356"/>
          <cell r="X4356"/>
          <cell r="Y4356"/>
        </row>
        <row r="4357">
          <cell r="V4357"/>
          <cell r="W4357"/>
          <cell r="X4357"/>
          <cell r="Y4357"/>
        </row>
        <row r="4358">
          <cell r="V4358"/>
          <cell r="W4358"/>
          <cell r="X4358"/>
          <cell r="Y4358"/>
        </row>
        <row r="4359">
          <cell r="V4359"/>
          <cell r="W4359"/>
          <cell r="X4359"/>
          <cell r="Y4359"/>
        </row>
        <row r="4360">
          <cell r="V4360"/>
          <cell r="W4360"/>
          <cell r="X4360"/>
          <cell r="Y4360"/>
        </row>
        <row r="4361">
          <cell r="V4361"/>
          <cell r="W4361"/>
          <cell r="X4361"/>
          <cell r="Y4361"/>
        </row>
        <row r="4362">
          <cell r="V4362"/>
          <cell r="W4362"/>
          <cell r="X4362"/>
          <cell r="Y4362"/>
        </row>
        <row r="4363">
          <cell r="V4363"/>
          <cell r="W4363"/>
          <cell r="X4363"/>
          <cell r="Y4363"/>
        </row>
        <row r="4364">
          <cell r="V4364"/>
          <cell r="W4364"/>
          <cell r="X4364"/>
          <cell r="Y4364"/>
        </row>
        <row r="4365">
          <cell r="V4365"/>
          <cell r="W4365"/>
          <cell r="X4365"/>
          <cell r="Y4365"/>
        </row>
        <row r="4366">
          <cell r="V4366"/>
          <cell r="W4366"/>
          <cell r="X4366"/>
          <cell r="Y4366"/>
        </row>
        <row r="4367">
          <cell r="V4367"/>
          <cell r="W4367"/>
          <cell r="X4367"/>
          <cell r="Y4367"/>
        </row>
        <row r="4368">
          <cell r="V4368"/>
          <cell r="W4368"/>
          <cell r="X4368"/>
          <cell r="Y4368"/>
        </row>
        <row r="4369">
          <cell r="V4369"/>
          <cell r="W4369"/>
          <cell r="X4369"/>
          <cell r="Y4369"/>
        </row>
        <row r="4370">
          <cell r="V4370"/>
          <cell r="W4370"/>
          <cell r="X4370"/>
          <cell r="Y4370"/>
        </row>
        <row r="4371">
          <cell r="V4371"/>
          <cell r="W4371"/>
          <cell r="X4371"/>
          <cell r="Y4371"/>
        </row>
        <row r="4372">
          <cell r="V4372"/>
          <cell r="W4372"/>
          <cell r="X4372"/>
          <cell r="Y4372"/>
        </row>
        <row r="4373">
          <cell r="V4373"/>
          <cell r="W4373"/>
          <cell r="X4373"/>
          <cell r="Y4373"/>
        </row>
        <row r="4374">
          <cell r="V4374"/>
          <cell r="W4374"/>
          <cell r="X4374"/>
          <cell r="Y4374"/>
        </row>
        <row r="4375">
          <cell r="V4375"/>
          <cell r="W4375"/>
          <cell r="X4375"/>
          <cell r="Y4375"/>
        </row>
        <row r="4376">
          <cell r="V4376"/>
          <cell r="W4376"/>
          <cell r="X4376"/>
          <cell r="Y4376"/>
        </row>
        <row r="4377">
          <cell r="V4377"/>
          <cell r="W4377"/>
          <cell r="X4377"/>
          <cell r="Y4377"/>
        </row>
        <row r="4378">
          <cell r="V4378"/>
          <cell r="W4378"/>
          <cell r="X4378"/>
          <cell r="Y4378"/>
        </row>
        <row r="4379">
          <cell r="V4379"/>
          <cell r="W4379"/>
          <cell r="X4379"/>
          <cell r="Y4379"/>
        </row>
        <row r="4380">
          <cell r="V4380"/>
          <cell r="W4380"/>
          <cell r="X4380"/>
          <cell r="Y4380"/>
        </row>
        <row r="4381">
          <cell r="V4381"/>
          <cell r="W4381"/>
          <cell r="X4381"/>
          <cell r="Y4381"/>
        </row>
        <row r="4382">
          <cell r="V4382"/>
          <cell r="W4382"/>
          <cell r="X4382"/>
          <cell r="Y4382"/>
        </row>
        <row r="4383">
          <cell r="V4383"/>
          <cell r="W4383"/>
          <cell r="X4383"/>
          <cell r="Y4383"/>
        </row>
        <row r="4384">
          <cell r="V4384"/>
          <cell r="W4384"/>
          <cell r="X4384"/>
          <cell r="Y4384"/>
        </row>
        <row r="4385">
          <cell r="V4385"/>
          <cell r="W4385"/>
          <cell r="X4385"/>
          <cell r="Y4385"/>
        </row>
        <row r="4386">
          <cell r="V4386"/>
          <cell r="W4386"/>
          <cell r="X4386"/>
          <cell r="Y4386"/>
        </row>
        <row r="4387">
          <cell r="V4387"/>
          <cell r="W4387"/>
          <cell r="X4387"/>
          <cell r="Y4387"/>
        </row>
        <row r="4388">
          <cell r="V4388"/>
          <cell r="W4388"/>
          <cell r="X4388"/>
          <cell r="Y4388"/>
        </row>
        <row r="4389">
          <cell r="V4389"/>
          <cell r="W4389"/>
          <cell r="X4389"/>
          <cell r="Y4389"/>
        </row>
        <row r="4390">
          <cell r="V4390"/>
          <cell r="W4390"/>
          <cell r="X4390"/>
          <cell r="Y4390"/>
        </row>
        <row r="4391">
          <cell r="V4391"/>
          <cell r="W4391"/>
          <cell r="X4391"/>
          <cell r="Y4391"/>
        </row>
        <row r="4392">
          <cell r="V4392"/>
          <cell r="W4392"/>
          <cell r="X4392"/>
          <cell r="Y4392"/>
        </row>
        <row r="4393">
          <cell r="V4393"/>
          <cell r="W4393"/>
          <cell r="X4393"/>
          <cell r="Y4393"/>
        </row>
        <row r="4394">
          <cell r="V4394"/>
          <cell r="W4394"/>
          <cell r="X4394"/>
          <cell r="Y4394"/>
        </row>
        <row r="4395">
          <cell r="V4395"/>
          <cell r="W4395"/>
          <cell r="X4395"/>
          <cell r="Y4395"/>
        </row>
        <row r="4396">
          <cell r="V4396"/>
          <cell r="W4396"/>
          <cell r="X4396"/>
          <cell r="Y4396"/>
        </row>
        <row r="4397">
          <cell r="V4397"/>
          <cell r="W4397"/>
          <cell r="X4397"/>
          <cell r="Y4397"/>
        </row>
        <row r="4398">
          <cell r="V4398"/>
          <cell r="W4398"/>
          <cell r="X4398"/>
          <cell r="Y4398"/>
        </row>
        <row r="4399">
          <cell r="V4399"/>
          <cell r="W4399"/>
          <cell r="X4399"/>
          <cell r="Y4399"/>
        </row>
        <row r="4400">
          <cell r="V4400"/>
          <cell r="W4400"/>
          <cell r="X4400"/>
          <cell r="Y4400"/>
        </row>
        <row r="4401">
          <cell r="V4401"/>
          <cell r="W4401"/>
          <cell r="X4401"/>
          <cell r="Y4401"/>
        </row>
        <row r="4402">
          <cell r="V4402"/>
          <cell r="W4402"/>
          <cell r="X4402"/>
          <cell r="Y4402"/>
        </row>
        <row r="4403">
          <cell r="V4403"/>
          <cell r="W4403"/>
          <cell r="X4403"/>
          <cell r="Y4403"/>
        </row>
        <row r="4404">
          <cell r="V4404"/>
          <cell r="W4404"/>
          <cell r="X4404"/>
          <cell r="Y4404"/>
        </row>
        <row r="4405">
          <cell r="V4405"/>
          <cell r="W4405"/>
          <cell r="X4405"/>
          <cell r="Y4405"/>
        </row>
        <row r="4406">
          <cell r="V4406"/>
          <cell r="W4406"/>
          <cell r="X4406"/>
          <cell r="Y4406"/>
        </row>
        <row r="4407">
          <cell r="V4407"/>
          <cell r="W4407"/>
          <cell r="X4407"/>
          <cell r="Y4407"/>
        </row>
        <row r="4408">
          <cell r="V4408"/>
          <cell r="W4408"/>
          <cell r="X4408"/>
          <cell r="Y4408"/>
        </row>
        <row r="4409">
          <cell r="V4409"/>
          <cell r="W4409"/>
          <cell r="X4409"/>
          <cell r="Y4409"/>
        </row>
        <row r="4410">
          <cell r="V4410"/>
          <cell r="W4410"/>
          <cell r="X4410"/>
          <cell r="Y4410"/>
        </row>
        <row r="4411">
          <cell r="V4411"/>
          <cell r="W4411"/>
          <cell r="X4411"/>
          <cell r="Y4411"/>
        </row>
        <row r="4412">
          <cell r="V4412"/>
          <cell r="W4412"/>
          <cell r="X4412"/>
          <cell r="Y4412"/>
        </row>
        <row r="4413">
          <cell r="V4413"/>
          <cell r="W4413"/>
          <cell r="X4413"/>
          <cell r="Y4413"/>
        </row>
        <row r="4414">
          <cell r="V4414"/>
          <cell r="W4414"/>
          <cell r="X4414"/>
          <cell r="Y4414"/>
        </row>
        <row r="4415">
          <cell r="V4415"/>
          <cell r="W4415"/>
          <cell r="X4415"/>
          <cell r="Y4415"/>
        </row>
        <row r="4416">
          <cell r="V4416"/>
          <cell r="W4416"/>
          <cell r="X4416"/>
          <cell r="Y4416"/>
        </row>
        <row r="4417">
          <cell r="V4417"/>
          <cell r="W4417"/>
          <cell r="X4417"/>
          <cell r="Y4417"/>
        </row>
        <row r="4418">
          <cell r="V4418"/>
          <cell r="W4418"/>
          <cell r="X4418"/>
          <cell r="Y4418"/>
        </row>
        <row r="4419">
          <cell r="V4419"/>
          <cell r="W4419"/>
          <cell r="X4419"/>
          <cell r="Y4419"/>
        </row>
        <row r="4420">
          <cell r="V4420"/>
          <cell r="W4420"/>
          <cell r="X4420"/>
          <cell r="Y4420"/>
        </row>
        <row r="4421">
          <cell r="V4421"/>
          <cell r="W4421"/>
          <cell r="X4421"/>
          <cell r="Y4421"/>
        </row>
        <row r="4422">
          <cell r="V4422"/>
          <cell r="W4422"/>
          <cell r="X4422"/>
          <cell r="Y4422"/>
        </row>
        <row r="4423">
          <cell r="V4423"/>
          <cell r="W4423"/>
          <cell r="X4423"/>
          <cell r="Y4423"/>
        </row>
        <row r="4424">
          <cell r="V4424"/>
          <cell r="W4424"/>
          <cell r="X4424"/>
          <cell r="Y4424"/>
        </row>
        <row r="4425">
          <cell r="V4425"/>
          <cell r="W4425"/>
          <cell r="X4425"/>
          <cell r="Y4425"/>
        </row>
        <row r="4426">
          <cell r="V4426"/>
          <cell r="W4426"/>
          <cell r="X4426"/>
          <cell r="Y4426"/>
        </row>
        <row r="4427">
          <cell r="V4427"/>
          <cell r="W4427"/>
          <cell r="X4427"/>
          <cell r="Y4427"/>
        </row>
        <row r="4428">
          <cell r="V4428"/>
          <cell r="W4428"/>
          <cell r="X4428"/>
          <cell r="Y4428"/>
        </row>
        <row r="4429">
          <cell r="V4429"/>
          <cell r="W4429"/>
          <cell r="X4429"/>
          <cell r="Y4429"/>
        </row>
        <row r="4430">
          <cell r="V4430"/>
          <cell r="W4430"/>
          <cell r="X4430"/>
          <cell r="Y4430"/>
        </row>
        <row r="4431">
          <cell r="V4431"/>
          <cell r="W4431"/>
          <cell r="X4431"/>
          <cell r="Y4431"/>
        </row>
        <row r="4432">
          <cell r="V4432"/>
          <cell r="W4432"/>
          <cell r="X4432"/>
          <cell r="Y4432"/>
        </row>
        <row r="4433">
          <cell r="V4433"/>
          <cell r="W4433"/>
          <cell r="X4433"/>
          <cell r="Y4433"/>
        </row>
        <row r="4434">
          <cell r="V4434"/>
          <cell r="W4434"/>
          <cell r="X4434"/>
          <cell r="Y4434"/>
        </row>
        <row r="4435">
          <cell r="V4435"/>
          <cell r="W4435"/>
          <cell r="X4435"/>
          <cell r="Y4435"/>
        </row>
        <row r="4436">
          <cell r="V4436"/>
          <cell r="W4436"/>
          <cell r="X4436"/>
          <cell r="Y4436"/>
        </row>
        <row r="4437">
          <cell r="V4437"/>
          <cell r="W4437"/>
          <cell r="X4437"/>
          <cell r="Y4437"/>
        </row>
        <row r="4438">
          <cell r="V4438"/>
          <cell r="W4438"/>
          <cell r="X4438"/>
          <cell r="Y4438"/>
        </row>
        <row r="4439">
          <cell r="V4439"/>
          <cell r="W4439"/>
          <cell r="X4439"/>
          <cell r="Y4439"/>
        </row>
        <row r="4440">
          <cell r="V4440"/>
          <cell r="W4440"/>
          <cell r="X4440"/>
          <cell r="Y4440"/>
        </row>
        <row r="4441">
          <cell r="V4441"/>
          <cell r="W4441"/>
          <cell r="X4441"/>
          <cell r="Y4441"/>
        </row>
        <row r="4442">
          <cell r="V4442"/>
          <cell r="W4442"/>
          <cell r="X4442"/>
          <cell r="Y4442"/>
        </row>
        <row r="4443">
          <cell r="V4443"/>
          <cell r="W4443"/>
          <cell r="X4443"/>
          <cell r="Y4443"/>
        </row>
        <row r="4444">
          <cell r="V4444"/>
          <cell r="W4444"/>
          <cell r="X4444"/>
          <cell r="Y4444"/>
        </row>
        <row r="4445">
          <cell r="V4445"/>
          <cell r="W4445"/>
          <cell r="X4445"/>
          <cell r="Y4445"/>
        </row>
        <row r="4446">
          <cell r="V4446"/>
          <cell r="W4446"/>
          <cell r="X4446"/>
          <cell r="Y4446"/>
        </row>
        <row r="4447">
          <cell r="V4447"/>
          <cell r="W4447"/>
          <cell r="X4447"/>
          <cell r="Y4447"/>
        </row>
        <row r="4448">
          <cell r="V4448"/>
          <cell r="W4448"/>
          <cell r="X4448"/>
          <cell r="Y4448"/>
        </row>
        <row r="4449">
          <cell r="V4449"/>
          <cell r="W4449"/>
          <cell r="X4449"/>
          <cell r="Y4449"/>
        </row>
        <row r="4450">
          <cell r="V4450"/>
          <cell r="W4450"/>
          <cell r="X4450"/>
          <cell r="Y4450"/>
        </row>
        <row r="4451">
          <cell r="V4451"/>
          <cell r="W4451"/>
          <cell r="X4451"/>
          <cell r="Y4451"/>
        </row>
        <row r="4452">
          <cell r="V4452"/>
          <cell r="W4452"/>
          <cell r="X4452"/>
          <cell r="Y4452"/>
        </row>
        <row r="4453">
          <cell r="V4453"/>
          <cell r="W4453"/>
          <cell r="X4453"/>
          <cell r="Y4453"/>
        </row>
        <row r="4454">
          <cell r="V4454"/>
          <cell r="W4454"/>
          <cell r="X4454"/>
          <cell r="Y4454"/>
        </row>
        <row r="4455">
          <cell r="V4455"/>
          <cell r="W4455"/>
          <cell r="X4455"/>
          <cell r="Y4455"/>
        </row>
        <row r="4456">
          <cell r="V4456"/>
          <cell r="W4456"/>
          <cell r="X4456"/>
          <cell r="Y4456"/>
        </row>
        <row r="4457">
          <cell r="V4457"/>
          <cell r="W4457"/>
          <cell r="X4457"/>
          <cell r="Y4457"/>
        </row>
        <row r="4458">
          <cell r="V4458"/>
          <cell r="W4458"/>
          <cell r="X4458"/>
          <cell r="Y4458"/>
        </row>
        <row r="4459">
          <cell r="V4459"/>
          <cell r="W4459"/>
          <cell r="X4459"/>
          <cell r="Y4459"/>
        </row>
        <row r="4460">
          <cell r="V4460"/>
          <cell r="W4460"/>
          <cell r="X4460"/>
          <cell r="Y4460"/>
        </row>
        <row r="4461">
          <cell r="V4461"/>
          <cell r="W4461"/>
          <cell r="X4461"/>
          <cell r="Y4461"/>
        </row>
        <row r="4462">
          <cell r="V4462"/>
          <cell r="W4462"/>
          <cell r="X4462"/>
          <cell r="Y4462"/>
        </row>
        <row r="4463">
          <cell r="V4463"/>
          <cell r="W4463"/>
          <cell r="X4463"/>
          <cell r="Y4463"/>
        </row>
        <row r="4464">
          <cell r="V4464"/>
          <cell r="W4464"/>
          <cell r="X4464"/>
          <cell r="Y4464"/>
        </row>
        <row r="4465">
          <cell r="V4465"/>
          <cell r="W4465"/>
          <cell r="X4465"/>
          <cell r="Y4465"/>
        </row>
        <row r="4466">
          <cell r="V4466"/>
          <cell r="W4466"/>
          <cell r="X4466"/>
          <cell r="Y4466"/>
        </row>
        <row r="4467">
          <cell r="V4467"/>
          <cell r="W4467"/>
          <cell r="X4467"/>
          <cell r="Y4467"/>
        </row>
        <row r="4468">
          <cell r="V4468"/>
          <cell r="W4468"/>
          <cell r="X4468"/>
          <cell r="Y4468"/>
        </row>
        <row r="4469">
          <cell r="V4469"/>
          <cell r="W4469"/>
          <cell r="X4469"/>
          <cell r="Y4469"/>
        </row>
        <row r="4470">
          <cell r="V4470"/>
          <cell r="W4470"/>
          <cell r="X4470"/>
          <cell r="Y4470"/>
        </row>
        <row r="4471">
          <cell r="V4471"/>
          <cell r="W4471"/>
          <cell r="X4471"/>
          <cell r="Y4471"/>
        </row>
        <row r="4472">
          <cell r="V4472"/>
          <cell r="W4472"/>
          <cell r="X4472"/>
          <cell r="Y4472"/>
        </row>
        <row r="4473">
          <cell r="V4473"/>
          <cell r="W4473"/>
          <cell r="X4473"/>
          <cell r="Y4473"/>
        </row>
        <row r="4474">
          <cell r="V4474"/>
          <cell r="W4474"/>
          <cell r="X4474"/>
          <cell r="Y4474"/>
        </row>
        <row r="4475">
          <cell r="V4475"/>
          <cell r="W4475"/>
          <cell r="X4475"/>
          <cell r="Y4475"/>
        </row>
        <row r="4476">
          <cell r="V4476"/>
          <cell r="W4476"/>
          <cell r="X4476"/>
          <cell r="Y4476"/>
        </row>
        <row r="4477">
          <cell r="V4477"/>
          <cell r="W4477"/>
          <cell r="X4477"/>
          <cell r="Y4477"/>
        </row>
        <row r="4478">
          <cell r="V4478"/>
          <cell r="W4478"/>
          <cell r="X4478"/>
          <cell r="Y4478"/>
        </row>
        <row r="4479">
          <cell r="V4479"/>
          <cell r="W4479"/>
          <cell r="X4479"/>
          <cell r="Y4479"/>
        </row>
        <row r="4480">
          <cell r="V4480"/>
          <cell r="W4480"/>
          <cell r="X4480"/>
          <cell r="Y4480"/>
        </row>
        <row r="4481">
          <cell r="V4481"/>
          <cell r="W4481"/>
          <cell r="X4481"/>
          <cell r="Y4481"/>
        </row>
        <row r="4482">
          <cell r="V4482"/>
          <cell r="W4482"/>
          <cell r="X4482"/>
          <cell r="Y4482"/>
        </row>
        <row r="4483">
          <cell r="V4483"/>
          <cell r="W4483"/>
          <cell r="X4483"/>
          <cell r="Y4483"/>
        </row>
        <row r="4484">
          <cell r="V4484"/>
          <cell r="W4484"/>
          <cell r="X4484"/>
          <cell r="Y4484"/>
        </row>
        <row r="4485">
          <cell r="V4485"/>
          <cell r="W4485"/>
          <cell r="X4485"/>
          <cell r="Y4485"/>
        </row>
        <row r="4486">
          <cell r="V4486"/>
          <cell r="W4486"/>
          <cell r="X4486"/>
          <cell r="Y4486"/>
        </row>
        <row r="4487">
          <cell r="V4487"/>
          <cell r="W4487"/>
          <cell r="X4487"/>
          <cell r="Y4487"/>
        </row>
        <row r="4488">
          <cell r="V4488"/>
          <cell r="W4488"/>
          <cell r="X4488"/>
          <cell r="Y4488"/>
        </row>
        <row r="4489">
          <cell r="V4489"/>
          <cell r="W4489"/>
          <cell r="X4489"/>
          <cell r="Y4489"/>
        </row>
        <row r="4490">
          <cell r="V4490"/>
          <cell r="W4490"/>
          <cell r="X4490"/>
          <cell r="Y4490"/>
        </row>
        <row r="4491">
          <cell r="V4491"/>
          <cell r="W4491"/>
          <cell r="X4491"/>
          <cell r="Y4491"/>
        </row>
        <row r="4492">
          <cell r="V4492"/>
          <cell r="W4492"/>
          <cell r="X4492"/>
          <cell r="Y4492"/>
        </row>
        <row r="4493">
          <cell r="V4493"/>
          <cell r="W4493"/>
          <cell r="X4493"/>
          <cell r="Y4493"/>
        </row>
        <row r="4494">
          <cell r="V4494"/>
          <cell r="W4494"/>
          <cell r="X4494"/>
          <cell r="Y4494"/>
        </row>
        <row r="4495">
          <cell r="V4495"/>
          <cell r="W4495"/>
          <cell r="X4495"/>
          <cell r="Y4495"/>
        </row>
        <row r="4496">
          <cell r="V4496"/>
          <cell r="W4496"/>
          <cell r="X4496"/>
          <cell r="Y4496"/>
        </row>
        <row r="4497">
          <cell r="V4497"/>
          <cell r="W4497"/>
          <cell r="X4497"/>
          <cell r="Y4497"/>
        </row>
        <row r="4498">
          <cell r="V4498"/>
          <cell r="W4498"/>
          <cell r="X4498"/>
          <cell r="Y4498"/>
        </row>
        <row r="4499">
          <cell r="V4499"/>
          <cell r="W4499"/>
          <cell r="X4499"/>
          <cell r="Y4499"/>
        </row>
        <row r="4500">
          <cell r="V4500"/>
          <cell r="W4500"/>
          <cell r="X4500"/>
          <cell r="Y4500"/>
        </row>
        <row r="4501">
          <cell r="V4501"/>
          <cell r="W4501"/>
          <cell r="X4501"/>
          <cell r="Y4501"/>
        </row>
        <row r="4502">
          <cell r="V4502"/>
          <cell r="W4502"/>
          <cell r="X4502"/>
          <cell r="Y4502"/>
        </row>
        <row r="4503">
          <cell r="V4503"/>
          <cell r="W4503"/>
          <cell r="X4503"/>
          <cell r="Y4503"/>
        </row>
        <row r="4504">
          <cell r="V4504"/>
          <cell r="W4504"/>
          <cell r="X4504"/>
          <cell r="Y4504"/>
        </row>
        <row r="4505">
          <cell r="V4505"/>
          <cell r="W4505"/>
          <cell r="X4505"/>
          <cell r="Y4505"/>
        </row>
        <row r="4506">
          <cell r="V4506"/>
          <cell r="W4506"/>
          <cell r="X4506"/>
          <cell r="Y4506"/>
        </row>
        <row r="4507">
          <cell r="V4507"/>
          <cell r="W4507"/>
          <cell r="X4507"/>
          <cell r="Y4507"/>
        </row>
        <row r="4508">
          <cell r="V4508"/>
          <cell r="W4508"/>
          <cell r="X4508"/>
          <cell r="Y4508"/>
        </row>
        <row r="4509">
          <cell r="V4509"/>
          <cell r="W4509"/>
          <cell r="X4509"/>
          <cell r="Y4509"/>
        </row>
        <row r="4510">
          <cell r="V4510"/>
          <cell r="W4510"/>
          <cell r="X4510"/>
          <cell r="Y4510"/>
        </row>
        <row r="4511">
          <cell r="V4511"/>
          <cell r="W4511"/>
          <cell r="X4511"/>
          <cell r="Y4511"/>
        </row>
        <row r="4512">
          <cell r="V4512"/>
          <cell r="W4512"/>
          <cell r="X4512"/>
          <cell r="Y4512"/>
        </row>
        <row r="4513">
          <cell r="V4513"/>
          <cell r="W4513"/>
          <cell r="X4513"/>
          <cell r="Y4513"/>
        </row>
        <row r="4514">
          <cell r="V4514"/>
          <cell r="W4514"/>
          <cell r="X4514"/>
          <cell r="Y4514"/>
        </row>
        <row r="4515">
          <cell r="V4515"/>
          <cell r="W4515"/>
          <cell r="X4515"/>
          <cell r="Y4515"/>
        </row>
        <row r="4516">
          <cell r="V4516"/>
          <cell r="W4516"/>
          <cell r="X4516"/>
          <cell r="Y4516"/>
        </row>
        <row r="4517">
          <cell r="V4517"/>
          <cell r="W4517"/>
          <cell r="X4517"/>
          <cell r="Y4517"/>
        </row>
        <row r="4518">
          <cell r="V4518"/>
          <cell r="W4518"/>
          <cell r="X4518"/>
          <cell r="Y4518"/>
        </row>
        <row r="4519">
          <cell r="V4519"/>
          <cell r="W4519"/>
          <cell r="X4519"/>
          <cell r="Y4519"/>
        </row>
        <row r="4520">
          <cell r="V4520"/>
          <cell r="W4520"/>
          <cell r="X4520"/>
          <cell r="Y4520"/>
        </row>
        <row r="4521">
          <cell r="V4521"/>
          <cell r="W4521"/>
          <cell r="X4521"/>
          <cell r="Y4521"/>
        </row>
        <row r="4522">
          <cell r="V4522"/>
          <cell r="W4522"/>
          <cell r="X4522"/>
          <cell r="Y4522"/>
        </row>
        <row r="4523">
          <cell r="V4523"/>
          <cell r="W4523"/>
          <cell r="X4523"/>
          <cell r="Y4523"/>
        </row>
        <row r="4524">
          <cell r="V4524"/>
          <cell r="W4524"/>
          <cell r="X4524"/>
          <cell r="Y4524"/>
        </row>
        <row r="4525">
          <cell r="V4525"/>
          <cell r="W4525"/>
          <cell r="X4525"/>
          <cell r="Y4525"/>
        </row>
        <row r="4526">
          <cell r="V4526"/>
          <cell r="W4526"/>
          <cell r="X4526"/>
          <cell r="Y4526"/>
        </row>
        <row r="4527">
          <cell r="V4527"/>
          <cell r="W4527"/>
          <cell r="X4527"/>
          <cell r="Y4527"/>
        </row>
        <row r="4528">
          <cell r="V4528"/>
          <cell r="W4528"/>
          <cell r="X4528"/>
          <cell r="Y4528"/>
        </row>
        <row r="4529">
          <cell r="V4529"/>
          <cell r="W4529"/>
          <cell r="X4529"/>
          <cell r="Y4529"/>
        </row>
        <row r="4530">
          <cell r="V4530"/>
          <cell r="W4530"/>
          <cell r="X4530"/>
          <cell r="Y4530"/>
        </row>
        <row r="4531">
          <cell r="V4531"/>
          <cell r="W4531"/>
          <cell r="X4531"/>
          <cell r="Y4531"/>
        </row>
        <row r="4532">
          <cell r="V4532"/>
          <cell r="W4532"/>
          <cell r="X4532"/>
          <cell r="Y4532"/>
        </row>
        <row r="4533">
          <cell r="V4533"/>
          <cell r="W4533"/>
          <cell r="X4533"/>
          <cell r="Y4533"/>
        </row>
        <row r="4534">
          <cell r="V4534"/>
          <cell r="W4534"/>
          <cell r="X4534"/>
          <cell r="Y4534"/>
        </row>
        <row r="4535">
          <cell r="V4535"/>
          <cell r="W4535"/>
          <cell r="X4535"/>
          <cell r="Y4535"/>
        </row>
        <row r="4536">
          <cell r="V4536"/>
          <cell r="W4536"/>
          <cell r="X4536"/>
          <cell r="Y4536"/>
        </row>
        <row r="4537">
          <cell r="V4537"/>
          <cell r="W4537"/>
          <cell r="X4537"/>
          <cell r="Y4537"/>
        </row>
        <row r="4538">
          <cell r="V4538"/>
          <cell r="W4538"/>
          <cell r="X4538"/>
          <cell r="Y4538"/>
        </row>
        <row r="4539">
          <cell r="V4539"/>
          <cell r="W4539"/>
          <cell r="X4539"/>
          <cell r="Y4539"/>
        </row>
        <row r="4540">
          <cell r="V4540"/>
          <cell r="W4540"/>
          <cell r="X4540"/>
          <cell r="Y4540"/>
        </row>
        <row r="4541">
          <cell r="V4541"/>
          <cell r="W4541"/>
          <cell r="X4541"/>
          <cell r="Y4541"/>
        </row>
        <row r="4542">
          <cell r="V4542"/>
          <cell r="W4542"/>
          <cell r="X4542"/>
          <cell r="Y4542"/>
        </row>
        <row r="4543">
          <cell r="V4543"/>
          <cell r="W4543"/>
          <cell r="X4543"/>
          <cell r="Y4543"/>
        </row>
        <row r="4544">
          <cell r="V4544"/>
          <cell r="W4544"/>
          <cell r="X4544"/>
          <cell r="Y4544"/>
        </row>
        <row r="4545">
          <cell r="V4545"/>
          <cell r="W4545"/>
          <cell r="X4545"/>
          <cell r="Y4545"/>
        </row>
        <row r="4546">
          <cell r="V4546"/>
          <cell r="W4546"/>
          <cell r="X4546"/>
          <cell r="Y4546"/>
        </row>
        <row r="4547">
          <cell r="V4547"/>
          <cell r="W4547"/>
          <cell r="X4547"/>
          <cell r="Y4547"/>
        </row>
        <row r="4548">
          <cell r="V4548"/>
          <cell r="W4548"/>
          <cell r="X4548"/>
          <cell r="Y4548"/>
        </row>
        <row r="4549">
          <cell r="V4549"/>
          <cell r="W4549"/>
          <cell r="X4549"/>
          <cell r="Y4549"/>
        </row>
        <row r="4550">
          <cell r="V4550"/>
          <cell r="W4550"/>
          <cell r="X4550"/>
          <cell r="Y4550"/>
        </row>
        <row r="4551">
          <cell r="V4551"/>
          <cell r="W4551"/>
          <cell r="X4551"/>
          <cell r="Y4551"/>
        </row>
        <row r="4552">
          <cell r="V4552"/>
          <cell r="W4552"/>
          <cell r="X4552"/>
          <cell r="Y4552"/>
        </row>
        <row r="4553">
          <cell r="V4553"/>
          <cell r="W4553"/>
          <cell r="X4553"/>
          <cell r="Y4553"/>
        </row>
        <row r="4554">
          <cell r="V4554"/>
          <cell r="W4554"/>
          <cell r="X4554"/>
          <cell r="Y4554"/>
        </row>
        <row r="4555">
          <cell r="V4555"/>
          <cell r="W4555"/>
          <cell r="X4555"/>
          <cell r="Y4555"/>
        </row>
        <row r="4556">
          <cell r="V4556"/>
          <cell r="W4556"/>
          <cell r="X4556"/>
          <cell r="Y4556"/>
        </row>
        <row r="4557">
          <cell r="V4557"/>
          <cell r="W4557"/>
          <cell r="X4557"/>
          <cell r="Y4557"/>
        </row>
        <row r="4558">
          <cell r="V4558"/>
          <cell r="W4558"/>
          <cell r="X4558"/>
          <cell r="Y4558"/>
        </row>
        <row r="4559">
          <cell r="V4559"/>
          <cell r="W4559"/>
          <cell r="X4559"/>
          <cell r="Y4559"/>
        </row>
        <row r="4560">
          <cell r="V4560"/>
          <cell r="W4560"/>
          <cell r="X4560"/>
          <cell r="Y4560"/>
        </row>
        <row r="4561">
          <cell r="V4561"/>
          <cell r="W4561"/>
          <cell r="X4561"/>
          <cell r="Y4561"/>
        </row>
        <row r="4562">
          <cell r="V4562"/>
          <cell r="W4562"/>
          <cell r="X4562"/>
          <cell r="Y4562"/>
        </row>
        <row r="4563">
          <cell r="V4563"/>
          <cell r="W4563"/>
          <cell r="X4563"/>
          <cell r="Y4563"/>
        </row>
        <row r="4564">
          <cell r="V4564"/>
          <cell r="W4564"/>
          <cell r="X4564"/>
          <cell r="Y4564"/>
        </row>
        <row r="4565">
          <cell r="V4565"/>
          <cell r="W4565"/>
          <cell r="X4565"/>
          <cell r="Y4565"/>
        </row>
        <row r="4566">
          <cell r="V4566"/>
          <cell r="W4566"/>
          <cell r="X4566"/>
          <cell r="Y4566"/>
        </row>
        <row r="4567">
          <cell r="V4567"/>
          <cell r="W4567"/>
          <cell r="X4567"/>
          <cell r="Y4567"/>
        </row>
        <row r="4568">
          <cell r="V4568"/>
          <cell r="W4568"/>
          <cell r="X4568"/>
          <cell r="Y4568"/>
        </row>
        <row r="4569">
          <cell r="V4569"/>
          <cell r="W4569"/>
          <cell r="X4569"/>
          <cell r="Y4569"/>
        </row>
        <row r="4570">
          <cell r="V4570"/>
          <cell r="W4570"/>
          <cell r="X4570"/>
          <cell r="Y4570"/>
        </row>
        <row r="4571">
          <cell r="V4571"/>
          <cell r="W4571"/>
          <cell r="X4571"/>
          <cell r="Y4571"/>
        </row>
        <row r="4572">
          <cell r="V4572"/>
          <cell r="W4572"/>
          <cell r="X4572"/>
          <cell r="Y4572"/>
        </row>
        <row r="4573">
          <cell r="V4573"/>
          <cell r="W4573"/>
          <cell r="X4573"/>
          <cell r="Y4573"/>
        </row>
        <row r="4574">
          <cell r="V4574"/>
          <cell r="W4574"/>
          <cell r="X4574"/>
          <cell r="Y4574"/>
        </row>
        <row r="4575">
          <cell r="V4575"/>
          <cell r="W4575"/>
          <cell r="X4575"/>
          <cell r="Y4575"/>
        </row>
        <row r="4576">
          <cell r="V4576"/>
          <cell r="W4576"/>
          <cell r="X4576"/>
          <cell r="Y4576"/>
        </row>
        <row r="4577">
          <cell r="V4577"/>
          <cell r="W4577"/>
          <cell r="X4577"/>
          <cell r="Y4577"/>
        </row>
        <row r="4578">
          <cell r="V4578"/>
          <cell r="W4578"/>
          <cell r="X4578"/>
          <cell r="Y4578"/>
        </row>
        <row r="4579">
          <cell r="V4579"/>
          <cell r="W4579"/>
          <cell r="X4579"/>
          <cell r="Y4579"/>
        </row>
        <row r="4580">
          <cell r="V4580"/>
          <cell r="W4580"/>
          <cell r="X4580"/>
          <cell r="Y4580"/>
        </row>
        <row r="4581">
          <cell r="V4581"/>
          <cell r="W4581"/>
          <cell r="X4581"/>
          <cell r="Y4581"/>
        </row>
        <row r="4582">
          <cell r="V4582"/>
          <cell r="W4582"/>
          <cell r="X4582"/>
          <cell r="Y4582"/>
        </row>
        <row r="4583">
          <cell r="V4583"/>
          <cell r="W4583"/>
          <cell r="X4583"/>
          <cell r="Y4583"/>
        </row>
        <row r="4584">
          <cell r="V4584"/>
          <cell r="W4584"/>
          <cell r="X4584"/>
          <cell r="Y4584"/>
        </row>
        <row r="4585">
          <cell r="V4585"/>
          <cell r="W4585"/>
          <cell r="X4585"/>
          <cell r="Y4585"/>
        </row>
        <row r="4586">
          <cell r="V4586"/>
          <cell r="W4586"/>
          <cell r="X4586"/>
          <cell r="Y4586"/>
        </row>
        <row r="4587">
          <cell r="V4587"/>
          <cell r="W4587"/>
          <cell r="X4587"/>
          <cell r="Y4587"/>
        </row>
        <row r="4588">
          <cell r="V4588"/>
          <cell r="W4588"/>
          <cell r="X4588"/>
          <cell r="Y4588"/>
        </row>
        <row r="4589">
          <cell r="V4589"/>
          <cell r="W4589"/>
          <cell r="X4589"/>
          <cell r="Y4589"/>
        </row>
        <row r="4590">
          <cell r="V4590"/>
          <cell r="W4590"/>
          <cell r="X4590"/>
          <cell r="Y4590"/>
        </row>
        <row r="4591">
          <cell r="V4591"/>
          <cell r="W4591"/>
          <cell r="X4591"/>
          <cell r="Y4591"/>
        </row>
        <row r="4592">
          <cell r="V4592"/>
          <cell r="W4592"/>
          <cell r="X4592"/>
          <cell r="Y4592"/>
        </row>
        <row r="4593">
          <cell r="V4593"/>
          <cell r="W4593"/>
          <cell r="X4593"/>
          <cell r="Y4593"/>
        </row>
        <row r="4594">
          <cell r="V4594"/>
          <cell r="W4594"/>
          <cell r="X4594"/>
          <cell r="Y4594"/>
        </row>
        <row r="4595">
          <cell r="V4595"/>
          <cell r="W4595"/>
          <cell r="X4595"/>
          <cell r="Y4595"/>
        </row>
        <row r="4596">
          <cell r="V4596"/>
          <cell r="W4596"/>
          <cell r="X4596"/>
          <cell r="Y4596"/>
        </row>
        <row r="4597">
          <cell r="V4597"/>
          <cell r="W4597"/>
          <cell r="X4597"/>
          <cell r="Y4597"/>
        </row>
        <row r="4598">
          <cell r="V4598"/>
          <cell r="W4598"/>
          <cell r="X4598"/>
          <cell r="Y4598"/>
        </row>
        <row r="4599">
          <cell r="V4599"/>
          <cell r="W4599"/>
          <cell r="X4599"/>
          <cell r="Y4599"/>
        </row>
        <row r="4600">
          <cell r="V4600"/>
          <cell r="W4600"/>
          <cell r="X4600"/>
          <cell r="Y4600"/>
        </row>
        <row r="4601">
          <cell r="V4601"/>
          <cell r="W4601"/>
          <cell r="X4601"/>
          <cell r="Y4601"/>
        </row>
        <row r="4602">
          <cell r="V4602"/>
          <cell r="W4602"/>
          <cell r="X4602"/>
          <cell r="Y4602"/>
        </row>
        <row r="4603">
          <cell r="V4603"/>
          <cell r="W4603"/>
          <cell r="X4603"/>
          <cell r="Y4603"/>
        </row>
        <row r="4604">
          <cell r="V4604"/>
          <cell r="W4604"/>
          <cell r="X4604"/>
          <cell r="Y4604"/>
        </row>
        <row r="4605">
          <cell r="V4605"/>
          <cell r="W4605"/>
          <cell r="X4605"/>
          <cell r="Y4605"/>
        </row>
        <row r="4606">
          <cell r="V4606"/>
          <cell r="W4606"/>
          <cell r="X4606"/>
          <cell r="Y4606"/>
        </row>
        <row r="4607">
          <cell r="V4607"/>
          <cell r="W4607"/>
          <cell r="X4607"/>
          <cell r="Y4607"/>
        </row>
        <row r="4608">
          <cell r="V4608"/>
          <cell r="W4608"/>
          <cell r="X4608"/>
          <cell r="Y4608"/>
        </row>
        <row r="4609">
          <cell r="V4609"/>
          <cell r="W4609"/>
          <cell r="X4609"/>
          <cell r="Y4609"/>
        </row>
        <row r="4610">
          <cell r="V4610"/>
          <cell r="W4610"/>
          <cell r="X4610"/>
          <cell r="Y4610"/>
        </row>
        <row r="4611">
          <cell r="V4611"/>
          <cell r="W4611"/>
          <cell r="X4611"/>
          <cell r="Y4611"/>
        </row>
        <row r="4612">
          <cell r="V4612"/>
          <cell r="W4612"/>
          <cell r="X4612"/>
          <cell r="Y4612"/>
        </row>
        <row r="4613">
          <cell r="V4613"/>
          <cell r="W4613"/>
          <cell r="X4613"/>
          <cell r="Y4613"/>
        </row>
        <row r="4614">
          <cell r="V4614"/>
          <cell r="W4614"/>
          <cell r="X4614"/>
          <cell r="Y4614"/>
        </row>
        <row r="4615">
          <cell r="V4615"/>
          <cell r="W4615"/>
          <cell r="X4615"/>
          <cell r="Y4615"/>
        </row>
        <row r="4616">
          <cell r="V4616"/>
          <cell r="W4616"/>
          <cell r="X4616"/>
          <cell r="Y4616"/>
        </row>
        <row r="4617">
          <cell r="V4617"/>
          <cell r="W4617"/>
          <cell r="X4617"/>
          <cell r="Y4617"/>
        </row>
        <row r="4618">
          <cell r="V4618"/>
          <cell r="W4618"/>
          <cell r="X4618"/>
          <cell r="Y4618"/>
        </row>
        <row r="4619">
          <cell r="V4619"/>
          <cell r="W4619"/>
          <cell r="X4619"/>
          <cell r="Y4619"/>
        </row>
        <row r="4620">
          <cell r="V4620"/>
          <cell r="W4620"/>
          <cell r="X4620"/>
          <cell r="Y4620"/>
        </row>
        <row r="4621">
          <cell r="V4621"/>
          <cell r="W4621"/>
          <cell r="X4621"/>
          <cell r="Y4621"/>
        </row>
        <row r="4622">
          <cell r="V4622"/>
          <cell r="W4622"/>
          <cell r="X4622"/>
          <cell r="Y4622"/>
        </row>
        <row r="4623">
          <cell r="V4623"/>
          <cell r="W4623"/>
          <cell r="X4623"/>
          <cell r="Y4623"/>
        </row>
        <row r="4624">
          <cell r="V4624"/>
          <cell r="W4624"/>
          <cell r="X4624"/>
          <cell r="Y4624"/>
        </row>
        <row r="4625">
          <cell r="V4625"/>
          <cell r="W4625"/>
          <cell r="X4625"/>
          <cell r="Y4625"/>
        </row>
        <row r="4626">
          <cell r="V4626"/>
          <cell r="W4626"/>
          <cell r="X4626"/>
          <cell r="Y4626"/>
        </row>
        <row r="4627">
          <cell r="V4627"/>
          <cell r="W4627"/>
          <cell r="X4627"/>
          <cell r="Y4627"/>
        </row>
        <row r="4628">
          <cell r="V4628"/>
          <cell r="W4628"/>
          <cell r="X4628"/>
          <cell r="Y4628"/>
        </row>
        <row r="4629">
          <cell r="V4629"/>
          <cell r="W4629"/>
          <cell r="X4629"/>
          <cell r="Y4629"/>
        </row>
        <row r="4630">
          <cell r="V4630"/>
          <cell r="W4630"/>
          <cell r="X4630"/>
          <cell r="Y4630"/>
        </row>
        <row r="4631">
          <cell r="V4631"/>
          <cell r="W4631"/>
          <cell r="X4631"/>
          <cell r="Y4631"/>
        </row>
        <row r="4632">
          <cell r="V4632"/>
          <cell r="W4632"/>
          <cell r="X4632"/>
          <cell r="Y4632"/>
        </row>
        <row r="4633">
          <cell r="V4633"/>
          <cell r="W4633"/>
          <cell r="X4633"/>
          <cell r="Y4633"/>
        </row>
        <row r="4634">
          <cell r="V4634"/>
          <cell r="W4634"/>
          <cell r="X4634"/>
          <cell r="Y4634"/>
        </row>
        <row r="4635">
          <cell r="V4635"/>
          <cell r="W4635"/>
          <cell r="X4635"/>
          <cell r="Y4635"/>
        </row>
        <row r="4636">
          <cell r="V4636"/>
          <cell r="W4636"/>
          <cell r="X4636"/>
          <cell r="Y4636"/>
        </row>
        <row r="4637">
          <cell r="V4637"/>
          <cell r="W4637"/>
          <cell r="X4637"/>
          <cell r="Y4637"/>
        </row>
        <row r="4638">
          <cell r="V4638"/>
          <cell r="W4638"/>
          <cell r="X4638"/>
          <cell r="Y4638"/>
        </row>
        <row r="4639">
          <cell r="V4639"/>
          <cell r="W4639"/>
          <cell r="X4639"/>
          <cell r="Y4639"/>
        </row>
        <row r="4640">
          <cell r="V4640"/>
          <cell r="W4640"/>
          <cell r="X4640"/>
          <cell r="Y4640"/>
        </row>
        <row r="4641">
          <cell r="V4641"/>
          <cell r="W4641"/>
          <cell r="X4641"/>
          <cell r="Y4641"/>
        </row>
        <row r="4642">
          <cell r="V4642"/>
          <cell r="W4642"/>
          <cell r="X4642"/>
          <cell r="Y4642"/>
        </row>
        <row r="4643">
          <cell r="V4643"/>
          <cell r="W4643"/>
          <cell r="X4643"/>
          <cell r="Y4643"/>
        </row>
        <row r="4644">
          <cell r="V4644"/>
          <cell r="W4644"/>
          <cell r="X4644"/>
          <cell r="Y4644"/>
        </row>
        <row r="4645">
          <cell r="V4645"/>
          <cell r="W4645"/>
          <cell r="X4645"/>
          <cell r="Y4645"/>
        </row>
        <row r="4646">
          <cell r="V4646"/>
          <cell r="W4646"/>
          <cell r="X4646"/>
          <cell r="Y4646"/>
        </row>
        <row r="4647">
          <cell r="V4647"/>
          <cell r="W4647"/>
          <cell r="X4647"/>
          <cell r="Y4647"/>
        </row>
        <row r="4648">
          <cell r="V4648"/>
          <cell r="W4648"/>
          <cell r="X4648"/>
          <cell r="Y4648"/>
        </row>
        <row r="4649">
          <cell r="V4649"/>
          <cell r="W4649"/>
          <cell r="X4649"/>
          <cell r="Y4649"/>
        </row>
        <row r="4650">
          <cell r="V4650"/>
          <cell r="W4650"/>
          <cell r="X4650"/>
          <cell r="Y4650"/>
        </row>
        <row r="4651">
          <cell r="V4651"/>
          <cell r="W4651"/>
          <cell r="X4651"/>
          <cell r="Y4651"/>
        </row>
        <row r="4652">
          <cell r="V4652"/>
          <cell r="W4652"/>
          <cell r="X4652"/>
          <cell r="Y4652"/>
        </row>
        <row r="4653">
          <cell r="V4653"/>
          <cell r="W4653"/>
          <cell r="X4653"/>
          <cell r="Y4653"/>
        </row>
        <row r="4654">
          <cell r="V4654"/>
          <cell r="W4654"/>
          <cell r="X4654"/>
          <cell r="Y4654"/>
        </row>
        <row r="4655">
          <cell r="V4655"/>
          <cell r="W4655"/>
          <cell r="X4655"/>
          <cell r="Y4655"/>
        </row>
        <row r="4656">
          <cell r="V4656"/>
          <cell r="W4656"/>
          <cell r="X4656"/>
          <cell r="Y4656"/>
        </row>
        <row r="4657">
          <cell r="V4657"/>
          <cell r="W4657"/>
          <cell r="X4657"/>
          <cell r="Y4657"/>
        </row>
        <row r="4658">
          <cell r="V4658"/>
          <cell r="W4658"/>
          <cell r="X4658"/>
          <cell r="Y4658"/>
        </row>
        <row r="4659">
          <cell r="V4659"/>
          <cell r="W4659"/>
          <cell r="X4659"/>
          <cell r="Y4659"/>
        </row>
        <row r="4660">
          <cell r="V4660"/>
          <cell r="W4660"/>
          <cell r="X4660"/>
          <cell r="Y4660"/>
        </row>
        <row r="4661">
          <cell r="V4661"/>
          <cell r="W4661"/>
          <cell r="X4661"/>
          <cell r="Y4661"/>
        </row>
        <row r="4662">
          <cell r="V4662"/>
          <cell r="W4662"/>
          <cell r="X4662"/>
          <cell r="Y4662"/>
        </row>
        <row r="4663">
          <cell r="V4663"/>
          <cell r="W4663"/>
          <cell r="X4663"/>
          <cell r="Y4663"/>
        </row>
        <row r="4664">
          <cell r="V4664"/>
          <cell r="W4664"/>
          <cell r="X4664"/>
          <cell r="Y4664"/>
        </row>
        <row r="4665">
          <cell r="V4665"/>
          <cell r="W4665"/>
          <cell r="X4665"/>
          <cell r="Y4665"/>
        </row>
        <row r="4666">
          <cell r="V4666"/>
          <cell r="W4666"/>
          <cell r="X4666"/>
          <cell r="Y4666"/>
        </row>
        <row r="4667">
          <cell r="V4667"/>
          <cell r="W4667"/>
          <cell r="X4667"/>
          <cell r="Y4667"/>
        </row>
        <row r="4668">
          <cell r="V4668"/>
          <cell r="W4668"/>
          <cell r="X4668"/>
          <cell r="Y4668"/>
        </row>
        <row r="4669">
          <cell r="V4669"/>
          <cell r="W4669"/>
          <cell r="X4669"/>
          <cell r="Y4669"/>
        </row>
        <row r="4670">
          <cell r="V4670"/>
          <cell r="W4670"/>
          <cell r="X4670"/>
          <cell r="Y4670"/>
        </row>
        <row r="4671">
          <cell r="V4671"/>
          <cell r="W4671"/>
          <cell r="X4671"/>
          <cell r="Y4671"/>
        </row>
        <row r="4672">
          <cell r="V4672"/>
          <cell r="W4672"/>
          <cell r="X4672"/>
          <cell r="Y4672"/>
        </row>
        <row r="4673">
          <cell r="V4673"/>
          <cell r="W4673"/>
          <cell r="X4673"/>
          <cell r="Y4673"/>
        </row>
        <row r="4674">
          <cell r="V4674"/>
          <cell r="W4674"/>
          <cell r="X4674"/>
          <cell r="Y4674"/>
        </row>
        <row r="4675">
          <cell r="V4675"/>
          <cell r="W4675"/>
          <cell r="X4675"/>
          <cell r="Y4675"/>
        </row>
        <row r="4676">
          <cell r="V4676"/>
          <cell r="W4676"/>
          <cell r="X4676"/>
          <cell r="Y4676"/>
        </row>
        <row r="4677">
          <cell r="V4677"/>
          <cell r="W4677"/>
          <cell r="X4677"/>
          <cell r="Y4677"/>
        </row>
        <row r="4678">
          <cell r="V4678"/>
          <cell r="W4678"/>
          <cell r="X4678"/>
          <cell r="Y4678"/>
        </row>
        <row r="4679">
          <cell r="V4679"/>
          <cell r="W4679"/>
          <cell r="X4679"/>
          <cell r="Y4679"/>
        </row>
        <row r="4680">
          <cell r="V4680"/>
          <cell r="W4680"/>
          <cell r="X4680"/>
          <cell r="Y4680"/>
        </row>
        <row r="4681">
          <cell r="V4681"/>
          <cell r="W4681"/>
          <cell r="X4681"/>
          <cell r="Y4681"/>
        </row>
        <row r="4682">
          <cell r="V4682"/>
          <cell r="W4682"/>
          <cell r="X4682"/>
          <cell r="Y4682"/>
        </row>
        <row r="4683">
          <cell r="V4683"/>
          <cell r="W4683"/>
          <cell r="X4683"/>
          <cell r="Y4683"/>
        </row>
        <row r="4684">
          <cell r="V4684"/>
          <cell r="W4684"/>
          <cell r="X4684"/>
          <cell r="Y4684"/>
        </row>
        <row r="4685">
          <cell r="V4685"/>
          <cell r="W4685"/>
          <cell r="X4685"/>
          <cell r="Y4685"/>
        </row>
        <row r="4686">
          <cell r="V4686"/>
          <cell r="W4686"/>
          <cell r="X4686"/>
          <cell r="Y4686"/>
        </row>
        <row r="4687">
          <cell r="V4687"/>
          <cell r="W4687"/>
          <cell r="X4687"/>
          <cell r="Y4687"/>
        </row>
        <row r="4688">
          <cell r="V4688"/>
          <cell r="W4688"/>
          <cell r="X4688"/>
          <cell r="Y4688"/>
        </row>
        <row r="4689">
          <cell r="V4689"/>
          <cell r="W4689"/>
          <cell r="X4689"/>
          <cell r="Y4689"/>
        </row>
        <row r="4690">
          <cell r="V4690"/>
          <cell r="W4690"/>
          <cell r="X4690"/>
          <cell r="Y4690"/>
        </row>
        <row r="4691">
          <cell r="V4691"/>
          <cell r="W4691"/>
          <cell r="X4691"/>
          <cell r="Y4691"/>
        </row>
        <row r="4692">
          <cell r="V4692"/>
          <cell r="W4692"/>
          <cell r="X4692"/>
          <cell r="Y4692"/>
        </row>
        <row r="4693">
          <cell r="V4693"/>
          <cell r="W4693"/>
          <cell r="X4693"/>
          <cell r="Y4693"/>
        </row>
        <row r="4694">
          <cell r="V4694"/>
          <cell r="W4694"/>
          <cell r="X4694"/>
          <cell r="Y4694"/>
        </row>
        <row r="4695">
          <cell r="V4695"/>
          <cell r="W4695"/>
          <cell r="X4695"/>
          <cell r="Y4695"/>
        </row>
        <row r="4696">
          <cell r="V4696"/>
          <cell r="W4696"/>
          <cell r="X4696"/>
          <cell r="Y4696"/>
        </row>
        <row r="4697">
          <cell r="V4697"/>
          <cell r="W4697"/>
          <cell r="X4697"/>
          <cell r="Y4697"/>
        </row>
        <row r="4698">
          <cell r="V4698"/>
          <cell r="W4698"/>
          <cell r="X4698"/>
          <cell r="Y4698"/>
        </row>
        <row r="4699">
          <cell r="V4699"/>
          <cell r="W4699"/>
          <cell r="X4699"/>
          <cell r="Y4699"/>
        </row>
        <row r="4700">
          <cell r="V4700"/>
          <cell r="W4700"/>
          <cell r="X4700"/>
          <cell r="Y4700"/>
        </row>
        <row r="4701">
          <cell r="V4701"/>
          <cell r="W4701"/>
          <cell r="X4701"/>
          <cell r="Y4701"/>
        </row>
        <row r="4702">
          <cell r="V4702"/>
          <cell r="W4702"/>
          <cell r="X4702"/>
          <cell r="Y4702"/>
        </row>
        <row r="4703">
          <cell r="V4703"/>
          <cell r="W4703"/>
          <cell r="X4703"/>
          <cell r="Y4703"/>
        </row>
        <row r="4704">
          <cell r="V4704"/>
          <cell r="W4704"/>
          <cell r="X4704"/>
          <cell r="Y4704"/>
        </row>
        <row r="4705">
          <cell r="V4705"/>
          <cell r="W4705"/>
          <cell r="X4705"/>
          <cell r="Y4705"/>
        </row>
        <row r="4706">
          <cell r="V4706"/>
          <cell r="W4706"/>
          <cell r="X4706"/>
          <cell r="Y4706"/>
        </row>
        <row r="4707">
          <cell r="V4707"/>
          <cell r="W4707"/>
          <cell r="X4707"/>
          <cell r="Y4707"/>
        </row>
        <row r="4708">
          <cell r="V4708"/>
          <cell r="W4708"/>
          <cell r="X4708"/>
          <cell r="Y4708"/>
        </row>
        <row r="4709">
          <cell r="V4709"/>
          <cell r="W4709"/>
          <cell r="X4709"/>
          <cell r="Y4709"/>
        </row>
        <row r="4710">
          <cell r="V4710"/>
          <cell r="W4710"/>
          <cell r="X4710"/>
          <cell r="Y4710"/>
        </row>
        <row r="4711">
          <cell r="V4711"/>
          <cell r="W4711"/>
          <cell r="X4711"/>
          <cell r="Y4711"/>
        </row>
        <row r="4712">
          <cell r="V4712"/>
          <cell r="W4712"/>
          <cell r="X4712"/>
          <cell r="Y4712"/>
        </row>
        <row r="4713">
          <cell r="V4713"/>
          <cell r="W4713"/>
          <cell r="X4713"/>
          <cell r="Y4713"/>
        </row>
        <row r="4714">
          <cell r="V4714"/>
          <cell r="W4714"/>
          <cell r="X4714"/>
          <cell r="Y4714"/>
        </row>
        <row r="4715">
          <cell r="V4715"/>
          <cell r="W4715"/>
          <cell r="X4715"/>
          <cell r="Y4715"/>
        </row>
        <row r="4716">
          <cell r="V4716"/>
          <cell r="W4716"/>
          <cell r="X4716"/>
          <cell r="Y4716"/>
        </row>
        <row r="4717">
          <cell r="V4717"/>
          <cell r="W4717"/>
          <cell r="X4717"/>
          <cell r="Y4717"/>
        </row>
        <row r="4718">
          <cell r="V4718"/>
          <cell r="W4718"/>
          <cell r="X4718"/>
          <cell r="Y4718"/>
        </row>
        <row r="4719">
          <cell r="V4719"/>
          <cell r="W4719"/>
          <cell r="X4719"/>
          <cell r="Y4719"/>
        </row>
        <row r="4720">
          <cell r="V4720"/>
          <cell r="W4720"/>
          <cell r="X4720"/>
          <cell r="Y4720"/>
        </row>
        <row r="4721">
          <cell r="V4721"/>
          <cell r="W4721"/>
          <cell r="X4721"/>
          <cell r="Y4721"/>
        </row>
        <row r="4722">
          <cell r="V4722"/>
          <cell r="W4722"/>
          <cell r="X4722"/>
          <cell r="Y4722"/>
        </row>
        <row r="4723">
          <cell r="V4723"/>
          <cell r="W4723"/>
          <cell r="X4723"/>
          <cell r="Y4723"/>
        </row>
        <row r="4724">
          <cell r="V4724"/>
          <cell r="W4724"/>
          <cell r="X4724"/>
          <cell r="Y4724"/>
        </row>
        <row r="4725">
          <cell r="V4725"/>
          <cell r="W4725"/>
          <cell r="X4725"/>
          <cell r="Y4725"/>
        </row>
        <row r="4726">
          <cell r="V4726"/>
          <cell r="W4726"/>
          <cell r="X4726"/>
          <cell r="Y4726"/>
        </row>
        <row r="4727">
          <cell r="V4727"/>
          <cell r="W4727"/>
          <cell r="X4727"/>
          <cell r="Y4727"/>
        </row>
        <row r="4728">
          <cell r="V4728"/>
          <cell r="W4728"/>
          <cell r="X4728"/>
          <cell r="Y4728"/>
        </row>
        <row r="4729">
          <cell r="V4729"/>
          <cell r="W4729"/>
          <cell r="X4729"/>
          <cell r="Y4729"/>
        </row>
        <row r="4730">
          <cell r="V4730"/>
          <cell r="W4730"/>
          <cell r="X4730"/>
          <cell r="Y4730"/>
        </row>
        <row r="4731">
          <cell r="V4731"/>
          <cell r="W4731"/>
          <cell r="X4731"/>
          <cell r="Y4731"/>
        </row>
        <row r="4732">
          <cell r="V4732"/>
          <cell r="W4732"/>
          <cell r="X4732"/>
          <cell r="Y4732"/>
        </row>
        <row r="4733">
          <cell r="V4733"/>
          <cell r="W4733"/>
          <cell r="X4733"/>
          <cell r="Y4733"/>
        </row>
        <row r="4734">
          <cell r="V4734"/>
          <cell r="W4734"/>
          <cell r="X4734"/>
          <cell r="Y4734"/>
        </row>
        <row r="4735">
          <cell r="V4735"/>
          <cell r="W4735"/>
          <cell r="X4735"/>
          <cell r="Y4735"/>
        </row>
        <row r="4736">
          <cell r="V4736"/>
          <cell r="W4736"/>
          <cell r="X4736"/>
          <cell r="Y4736"/>
        </row>
        <row r="4737">
          <cell r="V4737"/>
          <cell r="W4737"/>
          <cell r="X4737"/>
          <cell r="Y4737"/>
        </row>
        <row r="4738">
          <cell r="V4738"/>
          <cell r="W4738"/>
          <cell r="X4738"/>
          <cell r="Y4738"/>
        </row>
        <row r="4739">
          <cell r="V4739"/>
          <cell r="W4739"/>
          <cell r="X4739"/>
          <cell r="Y4739"/>
        </row>
        <row r="4740">
          <cell r="V4740"/>
          <cell r="W4740"/>
          <cell r="X4740"/>
          <cell r="Y4740"/>
        </row>
        <row r="4741">
          <cell r="V4741"/>
          <cell r="W4741"/>
          <cell r="X4741"/>
          <cell r="Y4741"/>
        </row>
        <row r="4742">
          <cell r="V4742"/>
          <cell r="W4742"/>
          <cell r="X4742"/>
          <cell r="Y4742"/>
        </row>
        <row r="4743">
          <cell r="V4743"/>
          <cell r="W4743"/>
          <cell r="X4743"/>
          <cell r="Y4743"/>
        </row>
        <row r="4744">
          <cell r="V4744"/>
          <cell r="W4744"/>
          <cell r="X4744"/>
          <cell r="Y4744"/>
        </row>
        <row r="4745">
          <cell r="V4745"/>
          <cell r="W4745"/>
          <cell r="X4745"/>
          <cell r="Y4745"/>
        </row>
        <row r="4746">
          <cell r="V4746"/>
          <cell r="W4746"/>
          <cell r="X4746"/>
          <cell r="Y4746"/>
        </row>
        <row r="4747">
          <cell r="V4747"/>
          <cell r="W4747"/>
          <cell r="X4747"/>
          <cell r="Y4747"/>
        </row>
        <row r="4748">
          <cell r="V4748"/>
          <cell r="W4748"/>
          <cell r="X4748"/>
          <cell r="Y4748"/>
        </row>
        <row r="4749">
          <cell r="V4749"/>
          <cell r="W4749"/>
          <cell r="X4749"/>
          <cell r="Y4749"/>
        </row>
        <row r="4750">
          <cell r="V4750"/>
          <cell r="W4750"/>
          <cell r="X4750"/>
          <cell r="Y4750"/>
        </row>
        <row r="4751">
          <cell r="V4751"/>
          <cell r="W4751"/>
          <cell r="X4751"/>
          <cell r="Y4751"/>
        </row>
        <row r="4752">
          <cell r="V4752"/>
          <cell r="W4752"/>
          <cell r="X4752"/>
          <cell r="Y4752"/>
        </row>
        <row r="4753">
          <cell r="V4753"/>
          <cell r="W4753"/>
          <cell r="X4753"/>
          <cell r="Y4753"/>
        </row>
        <row r="4754">
          <cell r="V4754"/>
          <cell r="W4754"/>
          <cell r="X4754"/>
          <cell r="Y4754"/>
        </row>
        <row r="4755">
          <cell r="V4755"/>
          <cell r="W4755"/>
          <cell r="X4755"/>
          <cell r="Y4755"/>
        </row>
        <row r="4756">
          <cell r="V4756"/>
          <cell r="W4756"/>
          <cell r="X4756"/>
          <cell r="Y4756"/>
        </row>
        <row r="4757">
          <cell r="V4757"/>
          <cell r="W4757"/>
          <cell r="X4757"/>
          <cell r="Y4757"/>
        </row>
        <row r="4758">
          <cell r="V4758"/>
          <cell r="W4758"/>
          <cell r="X4758"/>
          <cell r="Y4758"/>
        </row>
        <row r="4759">
          <cell r="V4759"/>
          <cell r="W4759"/>
          <cell r="X4759"/>
          <cell r="Y4759"/>
        </row>
        <row r="4760">
          <cell r="V4760"/>
          <cell r="W4760"/>
          <cell r="X4760"/>
          <cell r="Y4760"/>
        </row>
        <row r="4761">
          <cell r="V4761"/>
          <cell r="W4761"/>
          <cell r="X4761"/>
          <cell r="Y4761"/>
        </row>
        <row r="4762">
          <cell r="V4762"/>
          <cell r="W4762"/>
          <cell r="X4762"/>
          <cell r="Y4762"/>
        </row>
        <row r="4763">
          <cell r="V4763"/>
          <cell r="W4763"/>
          <cell r="X4763"/>
          <cell r="Y4763"/>
        </row>
        <row r="4764">
          <cell r="V4764"/>
          <cell r="W4764"/>
          <cell r="X4764"/>
          <cell r="Y4764"/>
        </row>
        <row r="4765">
          <cell r="V4765"/>
          <cell r="W4765"/>
          <cell r="X4765"/>
          <cell r="Y4765"/>
        </row>
        <row r="4766">
          <cell r="V4766"/>
          <cell r="W4766"/>
          <cell r="X4766"/>
          <cell r="Y4766"/>
        </row>
        <row r="4767">
          <cell r="V4767"/>
          <cell r="W4767"/>
          <cell r="X4767"/>
          <cell r="Y4767"/>
        </row>
        <row r="4768">
          <cell r="V4768"/>
          <cell r="W4768"/>
          <cell r="X4768"/>
          <cell r="Y4768"/>
        </row>
        <row r="4769">
          <cell r="V4769"/>
          <cell r="W4769"/>
          <cell r="X4769"/>
          <cell r="Y4769"/>
        </row>
        <row r="4770">
          <cell r="V4770"/>
          <cell r="W4770"/>
          <cell r="X4770"/>
          <cell r="Y4770"/>
        </row>
        <row r="4771">
          <cell r="V4771"/>
          <cell r="W4771"/>
          <cell r="X4771"/>
          <cell r="Y4771"/>
        </row>
        <row r="4772">
          <cell r="V4772"/>
          <cell r="W4772"/>
          <cell r="X4772"/>
          <cell r="Y4772"/>
        </row>
        <row r="4773">
          <cell r="V4773"/>
          <cell r="W4773"/>
          <cell r="X4773"/>
          <cell r="Y4773"/>
        </row>
        <row r="4774">
          <cell r="V4774"/>
          <cell r="W4774"/>
          <cell r="X4774"/>
          <cell r="Y4774"/>
        </row>
        <row r="4775">
          <cell r="V4775"/>
          <cell r="W4775"/>
          <cell r="X4775"/>
          <cell r="Y4775"/>
        </row>
        <row r="4776">
          <cell r="V4776"/>
          <cell r="W4776"/>
          <cell r="X4776"/>
          <cell r="Y4776"/>
        </row>
        <row r="4777">
          <cell r="V4777"/>
          <cell r="W4777"/>
          <cell r="X4777"/>
          <cell r="Y4777"/>
        </row>
        <row r="4778">
          <cell r="V4778"/>
          <cell r="W4778"/>
          <cell r="X4778"/>
          <cell r="Y4778"/>
        </row>
        <row r="4779">
          <cell r="V4779"/>
          <cell r="W4779"/>
          <cell r="X4779"/>
          <cell r="Y4779"/>
        </row>
        <row r="4780">
          <cell r="V4780"/>
          <cell r="W4780"/>
          <cell r="X4780"/>
          <cell r="Y4780"/>
        </row>
        <row r="4781">
          <cell r="V4781"/>
          <cell r="W4781"/>
          <cell r="X4781"/>
          <cell r="Y4781"/>
        </row>
        <row r="4782">
          <cell r="V4782"/>
          <cell r="W4782"/>
          <cell r="X4782"/>
          <cell r="Y4782"/>
        </row>
        <row r="4783">
          <cell r="V4783"/>
          <cell r="W4783"/>
          <cell r="X4783"/>
          <cell r="Y4783"/>
        </row>
        <row r="4784">
          <cell r="V4784"/>
          <cell r="W4784"/>
          <cell r="X4784"/>
          <cell r="Y4784"/>
        </row>
        <row r="4785">
          <cell r="V4785"/>
          <cell r="W4785"/>
          <cell r="X4785"/>
          <cell r="Y4785"/>
        </row>
        <row r="4786">
          <cell r="V4786"/>
          <cell r="W4786"/>
          <cell r="X4786"/>
          <cell r="Y4786"/>
        </row>
        <row r="4787">
          <cell r="V4787"/>
          <cell r="W4787"/>
          <cell r="X4787"/>
          <cell r="Y4787"/>
        </row>
        <row r="4788">
          <cell r="V4788"/>
          <cell r="W4788"/>
          <cell r="X4788"/>
          <cell r="Y4788"/>
        </row>
        <row r="4789">
          <cell r="V4789"/>
          <cell r="W4789"/>
          <cell r="X4789"/>
          <cell r="Y4789"/>
        </row>
        <row r="4790">
          <cell r="V4790"/>
          <cell r="W4790"/>
          <cell r="X4790"/>
          <cell r="Y4790"/>
        </row>
        <row r="4791">
          <cell r="V4791"/>
          <cell r="W4791"/>
          <cell r="X4791"/>
          <cell r="Y4791"/>
        </row>
        <row r="4792">
          <cell r="V4792"/>
          <cell r="W4792"/>
          <cell r="X4792"/>
          <cell r="Y4792"/>
        </row>
        <row r="4793">
          <cell r="V4793"/>
          <cell r="W4793"/>
          <cell r="X4793"/>
          <cell r="Y4793"/>
        </row>
        <row r="4794">
          <cell r="V4794"/>
          <cell r="W4794"/>
          <cell r="X4794"/>
          <cell r="Y4794"/>
        </row>
        <row r="4795">
          <cell r="V4795"/>
          <cell r="W4795"/>
          <cell r="X4795"/>
          <cell r="Y4795"/>
        </row>
        <row r="4796">
          <cell r="V4796"/>
          <cell r="W4796"/>
          <cell r="X4796"/>
          <cell r="Y4796"/>
        </row>
        <row r="4797">
          <cell r="V4797"/>
          <cell r="W4797"/>
          <cell r="X4797"/>
          <cell r="Y4797"/>
        </row>
        <row r="4798">
          <cell r="V4798"/>
          <cell r="W4798"/>
          <cell r="X4798"/>
          <cell r="Y4798"/>
        </row>
        <row r="4799">
          <cell r="V4799"/>
          <cell r="W4799"/>
          <cell r="X4799"/>
          <cell r="Y4799"/>
        </row>
        <row r="4800">
          <cell r="V4800"/>
          <cell r="W4800"/>
          <cell r="X4800"/>
          <cell r="Y4800"/>
        </row>
        <row r="4801">
          <cell r="V4801"/>
          <cell r="W4801"/>
          <cell r="X4801"/>
          <cell r="Y4801"/>
        </row>
        <row r="4802">
          <cell r="V4802"/>
          <cell r="W4802"/>
          <cell r="X4802"/>
          <cell r="Y4802"/>
        </row>
        <row r="4803">
          <cell r="V4803"/>
          <cell r="W4803"/>
          <cell r="X4803"/>
          <cell r="Y4803"/>
        </row>
        <row r="4804">
          <cell r="V4804"/>
          <cell r="W4804"/>
          <cell r="X4804"/>
          <cell r="Y4804"/>
        </row>
        <row r="4805">
          <cell r="V4805"/>
          <cell r="W4805"/>
          <cell r="X4805"/>
          <cell r="Y4805"/>
        </row>
        <row r="4806">
          <cell r="V4806"/>
          <cell r="W4806"/>
          <cell r="X4806"/>
          <cell r="Y4806"/>
        </row>
        <row r="4807">
          <cell r="V4807"/>
          <cell r="W4807"/>
          <cell r="X4807"/>
          <cell r="Y4807"/>
        </row>
        <row r="4808">
          <cell r="V4808"/>
          <cell r="W4808"/>
          <cell r="X4808"/>
          <cell r="Y4808"/>
        </row>
        <row r="4809">
          <cell r="V4809"/>
          <cell r="W4809"/>
          <cell r="X4809"/>
          <cell r="Y4809"/>
        </row>
        <row r="4810">
          <cell r="V4810"/>
          <cell r="W4810"/>
          <cell r="X4810"/>
          <cell r="Y4810"/>
        </row>
        <row r="4811">
          <cell r="V4811"/>
          <cell r="W4811"/>
          <cell r="X4811"/>
          <cell r="Y4811"/>
        </row>
        <row r="4812">
          <cell r="V4812"/>
          <cell r="W4812"/>
          <cell r="X4812"/>
          <cell r="Y4812"/>
        </row>
        <row r="4813">
          <cell r="V4813"/>
          <cell r="W4813"/>
          <cell r="X4813"/>
          <cell r="Y4813"/>
        </row>
        <row r="4814">
          <cell r="V4814"/>
          <cell r="W4814"/>
          <cell r="X4814"/>
          <cell r="Y4814"/>
        </row>
        <row r="4815">
          <cell r="V4815"/>
          <cell r="W4815"/>
          <cell r="X4815"/>
          <cell r="Y4815"/>
        </row>
        <row r="4816">
          <cell r="V4816"/>
          <cell r="W4816"/>
          <cell r="X4816"/>
          <cell r="Y4816"/>
        </row>
        <row r="4817">
          <cell r="V4817"/>
          <cell r="W4817"/>
          <cell r="X4817"/>
          <cell r="Y4817"/>
        </row>
        <row r="4818">
          <cell r="V4818"/>
          <cell r="W4818"/>
          <cell r="X4818"/>
          <cell r="Y4818"/>
        </row>
        <row r="4819">
          <cell r="V4819"/>
          <cell r="W4819"/>
          <cell r="X4819"/>
          <cell r="Y4819"/>
        </row>
        <row r="4820">
          <cell r="V4820"/>
          <cell r="W4820"/>
          <cell r="X4820"/>
          <cell r="Y4820"/>
        </row>
        <row r="4821">
          <cell r="V4821"/>
          <cell r="W4821"/>
          <cell r="X4821"/>
          <cell r="Y4821"/>
        </row>
        <row r="4822">
          <cell r="V4822"/>
          <cell r="W4822"/>
          <cell r="X4822"/>
          <cell r="Y4822"/>
        </row>
        <row r="4823">
          <cell r="V4823"/>
          <cell r="W4823"/>
          <cell r="X4823"/>
          <cell r="Y4823"/>
        </row>
        <row r="4824">
          <cell r="V4824"/>
          <cell r="W4824"/>
          <cell r="X4824"/>
          <cell r="Y4824"/>
        </row>
        <row r="4825">
          <cell r="V4825"/>
          <cell r="W4825"/>
          <cell r="X4825"/>
          <cell r="Y4825"/>
        </row>
        <row r="4826">
          <cell r="V4826"/>
          <cell r="W4826"/>
          <cell r="X4826"/>
          <cell r="Y4826"/>
        </row>
        <row r="4827">
          <cell r="V4827"/>
          <cell r="W4827"/>
          <cell r="X4827"/>
          <cell r="Y4827"/>
        </row>
        <row r="4828">
          <cell r="V4828"/>
          <cell r="W4828"/>
          <cell r="X4828"/>
          <cell r="Y4828"/>
        </row>
        <row r="4829">
          <cell r="V4829"/>
          <cell r="W4829"/>
          <cell r="X4829"/>
          <cell r="Y4829"/>
        </row>
        <row r="4830">
          <cell r="V4830"/>
          <cell r="W4830"/>
          <cell r="X4830"/>
          <cell r="Y4830"/>
        </row>
        <row r="4831">
          <cell r="V4831"/>
          <cell r="W4831"/>
          <cell r="X4831"/>
          <cell r="Y4831"/>
        </row>
        <row r="4832">
          <cell r="V4832"/>
          <cell r="W4832"/>
          <cell r="X4832"/>
          <cell r="Y4832"/>
        </row>
        <row r="4833">
          <cell r="V4833"/>
          <cell r="W4833"/>
          <cell r="X4833"/>
          <cell r="Y4833"/>
        </row>
        <row r="4834">
          <cell r="V4834"/>
          <cell r="W4834"/>
          <cell r="X4834"/>
          <cell r="Y4834"/>
        </row>
        <row r="4835">
          <cell r="V4835"/>
          <cell r="W4835"/>
          <cell r="X4835"/>
          <cell r="Y4835"/>
        </row>
        <row r="4836">
          <cell r="V4836"/>
          <cell r="W4836"/>
          <cell r="X4836"/>
          <cell r="Y4836"/>
        </row>
        <row r="4837">
          <cell r="V4837"/>
          <cell r="W4837"/>
          <cell r="X4837"/>
          <cell r="Y4837"/>
        </row>
        <row r="4838">
          <cell r="V4838"/>
          <cell r="W4838"/>
          <cell r="X4838"/>
          <cell r="Y4838"/>
        </row>
        <row r="4839">
          <cell r="V4839"/>
          <cell r="W4839"/>
          <cell r="X4839"/>
          <cell r="Y4839"/>
        </row>
        <row r="4840">
          <cell r="V4840"/>
          <cell r="W4840"/>
          <cell r="X4840"/>
          <cell r="Y4840"/>
        </row>
        <row r="4841">
          <cell r="V4841"/>
          <cell r="W4841"/>
          <cell r="X4841"/>
          <cell r="Y4841"/>
        </row>
        <row r="4842">
          <cell r="V4842"/>
          <cell r="W4842"/>
          <cell r="X4842"/>
          <cell r="Y4842"/>
        </row>
        <row r="4843">
          <cell r="V4843"/>
          <cell r="W4843"/>
          <cell r="X4843"/>
          <cell r="Y4843"/>
        </row>
        <row r="4844">
          <cell r="V4844"/>
          <cell r="W4844"/>
          <cell r="X4844"/>
          <cell r="Y4844"/>
        </row>
        <row r="4845">
          <cell r="V4845"/>
          <cell r="W4845"/>
          <cell r="X4845"/>
          <cell r="Y4845"/>
        </row>
        <row r="4846">
          <cell r="V4846"/>
          <cell r="W4846"/>
          <cell r="X4846"/>
          <cell r="Y4846"/>
        </row>
        <row r="4847">
          <cell r="V4847"/>
          <cell r="W4847"/>
          <cell r="X4847"/>
          <cell r="Y4847"/>
        </row>
        <row r="4848">
          <cell r="V4848"/>
          <cell r="W4848"/>
          <cell r="X4848"/>
          <cell r="Y4848"/>
        </row>
        <row r="4849">
          <cell r="V4849"/>
          <cell r="W4849"/>
          <cell r="X4849"/>
          <cell r="Y4849"/>
        </row>
        <row r="4850">
          <cell r="V4850"/>
          <cell r="W4850"/>
          <cell r="X4850"/>
          <cell r="Y4850"/>
        </row>
        <row r="4851">
          <cell r="V4851"/>
          <cell r="W4851"/>
          <cell r="X4851"/>
          <cell r="Y4851"/>
        </row>
        <row r="4852">
          <cell r="V4852"/>
          <cell r="W4852"/>
          <cell r="X4852"/>
          <cell r="Y4852"/>
        </row>
        <row r="4853">
          <cell r="V4853"/>
          <cell r="W4853"/>
          <cell r="X4853"/>
          <cell r="Y4853"/>
        </row>
        <row r="4854">
          <cell r="V4854"/>
          <cell r="W4854"/>
          <cell r="X4854"/>
          <cell r="Y4854"/>
        </row>
        <row r="4855">
          <cell r="V4855"/>
          <cell r="W4855"/>
          <cell r="X4855"/>
          <cell r="Y4855"/>
        </row>
        <row r="4856">
          <cell r="V4856"/>
          <cell r="W4856"/>
          <cell r="X4856"/>
          <cell r="Y4856"/>
        </row>
        <row r="4857">
          <cell r="V4857"/>
          <cell r="W4857"/>
          <cell r="X4857"/>
          <cell r="Y4857"/>
        </row>
        <row r="4858">
          <cell r="V4858"/>
          <cell r="W4858"/>
          <cell r="X4858"/>
          <cell r="Y4858"/>
        </row>
        <row r="4859">
          <cell r="V4859"/>
          <cell r="W4859"/>
          <cell r="X4859"/>
          <cell r="Y4859"/>
        </row>
        <row r="4860">
          <cell r="V4860"/>
          <cell r="W4860"/>
          <cell r="X4860"/>
          <cell r="Y4860"/>
        </row>
        <row r="4861">
          <cell r="V4861"/>
          <cell r="W4861"/>
          <cell r="X4861"/>
          <cell r="Y4861"/>
        </row>
        <row r="4862">
          <cell r="V4862"/>
          <cell r="W4862"/>
          <cell r="X4862"/>
          <cell r="Y4862"/>
        </row>
        <row r="4863">
          <cell r="V4863"/>
          <cell r="W4863"/>
          <cell r="X4863"/>
          <cell r="Y4863"/>
        </row>
        <row r="4864">
          <cell r="V4864"/>
          <cell r="W4864"/>
          <cell r="X4864"/>
          <cell r="Y4864"/>
        </row>
        <row r="4865">
          <cell r="V4865"/>
          <cell r="W4865"/>
          <cell r="X4865"/>
          <cell r="Y4865"/>
        </row>
        <row r="4866">
          <cell r="V4866"/>
          <cell r="W4866"/>
          <cell r="X4866"/>
          <cell r="Y4866"/>
        </row>
        <row r="4867">
          <cell r="V4867"/>
          <cell r="W4867"/>
          <cell r="X4867"/>
          <cell r="Y4867"/>
        </row>
        <row r="4868">
          <cell r="V4868"/>
          <cell r="W4868"/>
          <cell r="X4868"/>
          <cell r="Y4868"/>
        </row>
        <row r="4869">
          <cell r="V4869"/>
          <cell r="W4869"/>
          <cell r="X4869"/>
          <cell r="Y4869"/>
        </row>
        <row r="4870">
          <cell r="V4870"/>
          <cell r="W4870"/>
          <cell r="X4870"/>
          <cell r="Y4870"/>
        </row>
        <row r="4871">
          <cell r="V4871"/>
          <cell r="W4871"/>
          <cell r="X4871"/>
          <cell r="Y4871"/>
        </row>
        <row r="4872">
          <cell r="V4872"/>
          <cell r="W4872"/>
          <cell r="X4872"/>
          <cell r="Y4872"/>
        </row>
        <row r="4873">
          <cell r="V4873"/>
          <cell r="W4873"/>
          <cell r="X4873"/>
          <cell r="Y4873"/>
        </row>
        <row r="4874">
          <cell r="V4874"/>
          <cell r="W4874"/>
          <cell r="X4874"/>
          <cell r="Y4874"/>
        </row>
        <row r="4875">
          <cell r="V4875"/>
          <cell r="W4875"/>
          <cell r="X4875"/>
          <cell r="Y4875"/>
        </row>
        <row r="4876">
          <cell r="V4876"/>
          <cell r="W4876"/>
          <cell r="X4876"/>
          <cell r="Y4876"/>
        </row>
        <row r="4877">
          <cell r="V4877"/>
          <cell r="W4877"/>
          <cell r="X4877"/>
          <cell r="Y4877"/>
        </row>
        <row r="4878">
          <cell r="V4878"/>
          <cell r="W4878"/>
          <cell r="X4878"/>
          <cell r="Y4878"/>
        </row>
        <row r="4879">
          <cell r="V4879"/>
          <cell r="W4879"/>
          <cell r="X4879"/>
          <cell r="Y4879"/>
        </row>
        <row r="4880">
          <cell r="V4880"/>
          <cell r="W4880"/>
          <cell r="X4880"/>
          <cell r="Y4880"/>
        </row>
        <row r="4881">
          <cell r="V4881"/>
          <cell r="W4881"/>
          <cell r="X4881"/>
          <cell r="Y4881"/>
        </row>
        <row r="4882">
          <cell r="V4882"/>
          <cell r="W4882"/>
          <cell r="X4882"/>
          <cell r="Y4882"/>
        </row>
        <row r="4883">
          <cell r="V4883"/>
          <cell r="W4883"/>
          <cell r="X4883"/>
          <cell r="Y4883"/>
        </row>
        <row r="4884">
          <cell r="V4884"/>
          <cell r="W4884"/>
          <cell r="X4884"/>
          <cell r="Y4884"/>
        </row>
        <row r="4885">
          <cell r="V4885"/>
          <cell r="W4885"/>
          <cell r="X4885"/>
          <cell r="Y4885"/>
        </row>
        <row r="4886">
          <cell r="V4886"/>
          <cell r="W4886"/>
          <cell r="X4886"/>
          <cell r="Y4886"/>
        </row>
        <row r="4887">
          <cell r="V4887"/>
          <cell r="W4887"/>
          <cell r="X4887"/>
          <cell r="Y4887"/>
        </row>
        <row r="4888">
          <cell r="V4888"/>
          <cell r="W4888"/>
          <cell r="X4888"/>
          <cell r="Y4888"/>
        </row>
        <row r="4889">
          <cell r="V4889"/>
          <cell r="W4889"/>
          <cell r="X4889"/>
          <cell r="Y4889"/>
        </row>
        <row r="4890">
          <cell r="V4890"/>
          <cell r="W4890"/>
          <cell r="X4890"/>
          <cell r="Y4890"/>
        </row>
        <row r="4891">
          <cell r="V4891"/>
          <cell r="W4891"/>
          <cell r="X4891"/>
          <cell r="Y4891"/>
        </row>
        <row r="4892">
          <cell r="V4892"/>
          <cell r="W4892"/>
          <cell r="X4892"/>
          <cell r="Y4892"/>
        </row>
        <row r="4893">
          <cell r="V4893"/>
          <cell r="W4893"/>
          <cell r="X4893"/>
          <cell r="Y4893"/>
        </row>
        <row r="4894">
          <cell r="V4894"/>
          <cell r="W4894"/>
          <cell r="X4894"/>
          <cell r="Y4894"/>
        </row>
        <row r="4895">
          <cell r="V4895"/>
          <cell r="W4895"/>
          <cell r="X4895"/>
          <cell r="Y4895"/>
        </row>
        <row r="4896">
          <cell r="V4896"/>
          <cell r="W4896"/>
          <cell r="X4896"/>
          <cell r="Y4896"/>
        </row>
        <row r="4897">
          <cell r="V4897"/>
          <cell r="W4897"/>
          <cell r="X4897"/>
          <cell r="Y4897"/>
        </row>
        <row r="4898">
          <cell r="V4898"/>
          <cell r="W4898"/>
          <cell r="X4898"/>
          <cell r="Y4898"/>
        </row>
        <row r="4899">
          <cell r="V4899"/>
          <cell r="W4899"/>
          <cell r="X4899"/>
          <cell r="Y4899"/>
        </row>
        <row r="4900">
          <cell r="V4900"/>
          <cell r="W4900"/>
          <cell r="X4900"/>
          <cell r="Y4900"/>
        </row>
        <row r="4901">
          <cell r="V4901"/>
          <cell r="W4901"/>
          <cell r="X4901"/>
          <cell r="Y4901"/>
        </row>
        <row r="4902">
          <cell r="V4902"/>
          <cell r="W4902"/>
          <cell r="X4902"/>
          <cell r="Y4902"/>
        </row>
        <row r="4903">
          <cell r="V4903"/>
          <cell r="W4903"/>
          <cell r="X4903"/>
          <cell r="Y4903"/>
        </row>
        <row r="4904">
          <cell r="V4904"/>
          <cell r="W4904"/>
          <cell r="X4904"/>
          <cell r="Y4904"/>
        </row>
        <row r="4905">
          <cell r="V4905"/>
          <cell r="W4905"/>
          <cell r="X4905"/>
          <cell r="Y4905"/>
        </row>
        <row r="4906">
          <cell r="V4906"/>
          <cell r="W4906"/>
          <cell r="X4906"/>
          <cell r="Y4906"/>
        </row>
        <row r="4907">
          <cell r="V4907"/>
          <cell r="W4907"/>
          <cell r="X4907"/>
          <cell r="Y4907"/>
        </row>
        <row r="4908">
          <cell r="V4908"/>
          <cell r="W4908"/>
          <cell r="X4908"/>
          <cell r="Y4908"/>
        </row>
        <row r="4909">
          <cell r="V4909"/>
          <cell r="W4909"/>
          <cell r="X4909"/>
          <cell r="Y4909"/>
        </row>
        <row r="4910">
          <cell r="V4910"/>
          <cell r="W4910"/>
          <cell r="X4910"/>
          <cell r="Y4910"/>
        </row>
        <row r="4911">
          <cell r="V4911"/>
          <cell r="W4911"/>
          <cell r="X4911"/>
          <cell r="Y4911"/>
        </row>
        <row r="4912">
          <cell r="V4912"/>
          <cell r="W4912"/>
          <cell r="X4912"/>
          <cell r="Y4912"/>
        </row>
        <row r="4913">
          <cell r="V4913"/>
          <cell r="W4913"/>
          <cell r="X4913"/>
          <cell r="Y4913"/>
        </row>
        <row r="4914">
          <cell r="V4914"/>
          <cell r="W4914"/>
          <cell r="X4914"/>
          <cell r="Y4914"/>
        </row>
        <row r="4915">
          <cell r="V4915"/>
          <cell r="W4915"/>
          <cell r="X4915"/>
          <cell r="Y4915"/>
        </row>
        <row r="4916">
          <cell r="V4916"/>
          <cell r="W4916"/>
          <cell r="X4916"/>
          <cell r="Y4916"/>
        </row>
        <row r="4917">
          <cell r="V4917"/>
          <cell r="W4917"/>
          <cell r="X4917"/>
          <cell r="Y4917"/>
        </row>
        <row r="4918">
          <cell r="V4918"/>
          <cell r="W4918"/>
          <cell r="X4918"/>
          <cell r="Y4918"/>
        </row>
        <row r="4919">
          <cell r="V4919"/>
          <cell r="W4919"/>
          <cell r="X4919"/>
          <cell r="Y4919"/>
        </row>
        <row r="4920">
          <cell r="V4920"/>
          <cell r="W4920"/>
          <cell r="X4920"/>
          <cell r="Y4920"/>
        </row>
        <row r="4921">
          <cell r="V4921"/>
          <cell r="W4921"/>
          <cell r="X4921"/>
          <cell r="Y4921"/>
        </row>
        <row r="4922">
          <cell r="V4922"/>
          <cell r="W4922"/>
          <cell r="X4922"/>
          <cell r="Y4922"/>
        </row>
        <row r="4923">
          <cell r="V4923"/>
          <cell r="W4923"/>
          <cell r="X4923"/>
          <cell r="Y4923"/>
        </row>
        <row r="4924">
          <cell r="V4924"/>
          <cell r="W4924"/>
          <cell r="X4924"/>
          <cell r="Y4924"/>
        </row>
        <row r="4925">
          <cell r="V4925"/>
          <cell r="W4925"/>
          <cell r="X4925"/>
          <cell r="Y4925"/>
        </row>
        <row r="4926">
          <cell r="V4926"/>
          <cell r="W4926"/>
          <cell r="X4926"/>
          <cell r="Y4926"/>
        </row>
        <row r="4927">
          <cell r="V4927"/>
          <cell r="W4927"/>
          <cell r="X4927"/>
          <cell r="Y4927"/>
        </row>
        <row r="4928">
          <cell r="V4928"/>
          <cell r="W4928"/>
          <cell r="X4928"/>
          <cell r="Y4928"/>
        </row>
        <row r="4929">
          <cell r="V4929"/>
          <cell r="W4929"/>
          <cell r="X4929"/>
          <cell r="Y4929"/>
        </row>
        <row r="4930">
          <cell r="V4930"/>
          <cell r="W4930"/>
          <cell r="X4930"/>
          <cell r="Y4930"/>
        </row>
        <row r="4931">
          <cell r="V4931"/>
          <cell r="W4931"/>
          <cell r="X4931"/>
          <cell r="Y4931"/>
        </row>
        <row r="4932">
          <cell r="V4932"/>
          <cell r="W4932"/>
          <cell r="X4932"/>
          <cell r="Y4932"/>
        </row>
        <row r="4933">
          <cell r="V4933"/>
          <cell r="W4933"/>
          <cell r="X4933"/>
          <cell r="Y4933"/>
        </row>
        <row r="4934">
          <cell r="V4934"/>
          <cell r="W4934"/>
          <cell r="X4934"/>
          <cell r="Y4934"/>
        </row>
        <row r="4935">
          <cell r="V4935"/>
          <cell r="W4935"/>
          <cell r="X4935"/>
          <cell r="Y4935"/>
        </row>
        <row r="4936">
          <cell r="V4936"/>
          <cell r="W4936"/>
          <cell r="X4936"/>
          <cell r="Y4936"/>
        </row>
        <row r="4937">
          <cell r="V4937"/>
          <cell r="W4937"/>
          <cell r="X4937"/>
          <cell r="Y4937"/>
        </row>
        <row r="4938">
          <cell r="V4938"/>
          <cell r="W4938"/>
          <cell r="X4938"/>
          <cell r="Y4938"/>
        </row>
        <row r="4939">
          <cell r="V4939"/>
          <cell r="W4939"/>
          <cell r="X4939"/>
          <cell r="Y4939"/>
        </row>
        <row r="4940">
          <cell r="V4940"/>
          <cell r="W4940"/>
          <cell r="X4940"/>
          <cell r="Y4940"/>
        </row>
        <row r="4941">
          <cell r="V4941"/>
          <cell r="W4941"/>
          <cell r="X4941"/>
          <cell r="Y4941"/>
        </row>
        <row r="4942">
          <cell r="V4942"/>
          <cell r="W4942"/>
          <cell r="X4942"/>
          <cell r="Y4942"/>
        </row>
        <row r="4943">
          <cell r="V4943"/>
          <cell r="W4943"/>
          <cell r="X4943"/>
          <cell r="Y4943"/>
        </row>
        <row r="4944">
          <cell r="V4944"/>
          <cell r="W4944"/>
          <cell r="X4944"/>
          <cell r="Y4944"/>
        </row>
        <row r="4945">
          <cell r="V4945"/>
          <cell r="W4945"/>
          <cell r="X4945"/>
          <cell r="Y4945"/>
        </row>
        <row r="4946">
          <cell r="V4946"/>
          <cell r="W4946"/>
          <cell r="X4946"/>
          <cell r="Y4946"/>
        </row>
        <row r="4947">
          <cell r="V4947"/>
          <cell r="W4947"/>
          <cell r="X4947"/>
          <cell r="Y4947"/>
        </row>
        <row r="4948">
          <cell r="V4948"/>
          <cell r="W4948"/>
          <cell r="X4948"/>
          <cell r="Y4948"/>
        </row>
        <row r="4949">
          <cell r="V4949"/>
          <cell r="W4949"/>
          <cell r="X4949"/>
          <cell r="Y4949"/>
        </row>
        <row r="4950">
          <cell r="V4950"/>
          <cell r="W4950"/>
          <cell r="X4950"/>
          <cell r="Y4950"/>
        </row>
        <row r="4951">
          <cell r="V4951"/>
          <cell r="W4951"/>
          <cell r="X4951"/>
          <cell r="Y4951"/>
        </row>
        <row r="4952">
          <cell r="V4952"/>
          <cell r="W4952"/>
          <cell r="X4952"/>
          <cell r="Y4952"/>
        </row>
        <row r="4953">
          <cell r="V4953"/>
          <cell r="W4953"/>
          <cell r="X4953"/>
          <cell r="Y4953"/>
        </row>
        <row r="4954">
          <cell r="V4954"/>
          <cell r="W4954"/>
          <cell r="X4954"/>
          <cell r="Y4954"/>
        </row>
        <row r="4955">
          <cell r="V4955"/>
          <cell r="W4955"/>
          <cell r="X4955"/>
          <cell r="Y4955"/>
        </row>
        <row r="4956">
          <cell r="V4956"/>
          <cell r="W4956"/>
          <cell r="X4956"/>
          <cell r="Y4956"/>
        </row>
        <row r="4957">
          <cell r="V4957"/>
          <cell r="W4957"/>
          <cell r="X4957"/>
          <cell r="Y4957"/>
        </row>
        <row r="4958">
          <cell r="V4958"/>
          <cell r="W4958"/>
          <cell r="X4958"/>
          <cell r="Y4958"/>
        </row>
        <row r="4959">
          <cell r="V4959"/>
          <cell r="W4959"/>
          <cell r="X4959"/>
          <cell r="Y4959"/>
        </row>
        <row r="4960">
          <cell r="V4960"/>
          <cell r="W4960"/>
          <cell r="X4960"/>
          <cell r="Y4960"/>
        </row>
        <row r="4961">
          <cell r="V4961"/>
          <cell r="W4961"/>
          <cell r="X4961"/>
          <cell r="Y4961"/>
        </row>
        <row r="4962">
          <cell r="V4962"/>
          <cell r="W4962"/>
          <cell r="X4962"/>
          <cell r="Y4962"/>
        </row>
        <row r="4963">
          <cell r="V4963"/>
          <cell r="W4963"/>
          <cell r="X4963"/>
          <cell r="Y4963"/>
        </row>
        <row r="4964">
          <cell r="V4964"/>
          <cell r="W4964"/>
          <cell r="X4964"/>
          <cell r="Y4964"/>
        </row>
        <row r="4965">
          <cell r="V4965"/>
          <cell r="W4965"/>
          <cell r="X4965"/>
          <cell r="Y4965"/>
        </row>
        <row r="4966">
          <cell r="V4966"/>
          <cell r="W4966"/>
          <cell r="X4966"/>
          <cell r="Y4966"/>
        </row>
        <row r="4967">
          <cell r="V4967"/>
          <cell r="W4967"/>
          <cell r="X4967"/>
          <cell r="Y4967"/>
        </row>
        <row r="4968">
          <cell r="V4968"/>
          <cell r="W4968"/>
          <cell r="X4968"/>
          <cell r="Y4968"/>
        </row>
        <row r="4969">
          <cell r="V4969"/>
          <cell r="W4969"/>
          <cell r="X4969"/>
          <cell r="Y4969"/>
        </row>
        <row r="4970">
          <cell r="V4970"/>
          <cell r="W4970"/>
          <cell r="X4970"/>
          <cell r="Y4970"/>
        </row>
        <row r="4971">
          <cell r="V4971"/>
          <cell r="W4971"/>
          <cell r="X4971"/>
          <cell r="Y4971"/>
        </row>
        <row r="4972">
          <cell r="V4972"/>
          <cell r="W4972"/>
          <cell r="X4972"/>
          <cell r="Y4972"/>
        </row>
        <row r="4973">
          <cell r="V4973"/>
          <cell r="W4973"/>
          <cell r="X4973"/>
          <cell r="Y4973"/>
        </row>
        <row r="4974">
          <cell r="V4974"/>
          <cell r="W4974"/>
          <cell r="X4974"/>
          <cell r="Y4974"/>
        </row>
        <row r="4975">
          <cell r="V4975"/>
          <cell r="W4975"/>
          <cell r="X4975"/>
          <cell r="Y4975"/>
        </row>
        <row r="4976">
          <cell r="V4976"/>
          <cell r="W4976"/>
          <cell r="X4976"/>
          <cell r="Y4976"/>
        </row>
        <row r="4977">
          <cell r="V4977"/>
          <cell r="W4977"/>
          <cell r="X4977"/>
          <cell r="Y4977"/>
        </row>
        <row r="4978">
          <cell r="V4978"/>
          <cell r="W4978"/>
          <cell r="X4978"/>
          <cell r="Y4978"/>
        </row>
        <row r="4979">
          <cell r="V4979"/>
          <cell r="W4979"/>
          <cell r="X4979"/>
          <cell r="Y4979"/>
        </row>
        <row r="4980">
          <cell r="V4980"/>
          <cell r="W4980"/>
          <cell r="X4980"/>
          <cell r="Y4980"/>
        </row>
        <row r="4981">
          <cell r="V4981"/>
          <cell r="W4981"/>
          <cell r="X4981"/>
          <cell r="Y4981"/>
        </row>
        <row r="4982">
          <cell r="V4982"/>
          <cell r="W4982"/>
          <cell r="X4982"/>
          <cell r="Y4982"/>
        </row>
        <row r="4983">
          <cell r="V4983"/>
          <cell r="W4983"/>
          <cell r="X4983"/>
          <cell r="Y4983"/>
        </row>
        <row r="4984">
          <cell r="V4984"/>
          <cell r="W4984"/>
          <cell r="X4984"/>
          <cell r="Y4984"/>
        </row>
        <row r="4985">
          <cell r="V4985"/>
          <cell r="W4985"/>
          <cell r="X4985"/>
          <cell r="Y4985"/>
        </row>
        <row r="4986">
          <cell r="V4986"/>
          <cell r="W4986"/>
          <cell r="X4986"/>
          <cell r="Y4986"/>
        </row>
        <row r="4987">
          <cell r="V4987"/>
          <cell r="W4987"/>
          <cell r="X4987"/>
          <cell r="Y4987"/>
        </row>
        <row r="4988">
          <cell r="V4988"/>
          <cell r="W4988"/>
          <cell r="X4988"/>
          <cell r="Y4988"/>
        </row>
        <row r="4989">
          <cell r="V4989"/>
          <cell r="W4989"/>
          <cell r="X4989"/>
          <cell r="Y4989"/>
        </row>
        <row r="4990">
          <cell r="V4990"/>
          <cell r="W4990"/>
          <cell r="X4990"/>
          <cell r="Y4990"/>
        </row>
        <row r="4991">
          <cell r="V4991"/>
          <cell r="W4991"/>
          <cell r="X4991"/>
          <cell r="Y4991"/>
        </row>
        <row r="4992">
          <cell r="V4992"/>
          <cell r="W4992"/>
          <cell r="X4992"/>
          <cell r="Y4992"/>
        </row>
        <row r="4993">
          <cell r="V4993"/>
          <cell r="W4993"/>
          <cell r="X4993"/>
          <cell r="Y4993"/>
        </row>
        <row r="4994">
          <cell r="V4994"/>
          <cell r="W4994"/>
          <cell r="X4994"/>
          <cell r="Y4994"/>
        </row>
        <row r="4995">
          <cell r="V4995"/>
          <cell r="W4995"/>
          <cell r="X4995"/>
          <cell r="Y4995"/>
        </row>
        <row r="4996">
          <cell r="V4996"/>
          <cell r="W4996"/>
          <cell r="X4996"/>
          <cell r="Y4996"/>
        </row>
        <row r="4997">
          <cell r="V4997"/>
          <cell r="W4997"/>
          <cell r="X4997"/>
          <cell r="Y4997"/>
        </row>
        <row r="4998">
          <cell r="V4998"/>
          <cell r="W4998"/>
          <cell r="X4998"/>
          <cell r="Y4998"/>
        </row>
        <row r="4999">
          <cell r="V4999"/>
          <cell r="W4999"/>
          <cell r="X4999"/>
          <cell r="Y4999"/>
        </row>
        <row r="5000">
          <cell r="V5000"/>
          <cell r="W5000"/>
          <cell r="X5000"/>
          <cell r="Y5000"/>
        </row>
        <row r="5001">
          <cell r="V5001"/>
          <cell r="W5001"/>
          <cell r="X5001"/>
          <cell r="Y5001"/>
        </row>
        <row r="5002">
          <cell r="V5002"/>
          <cell r="W5002"/>
          <cell r="X5002"/>
          <cell r="Y5002"/>
        </row>
        <row r="5003">
          <cell r="V5003"/>
          <cell r="W5003"/>
          <cell r="X5003"/>
          <cell r="Y5003"/>
        </row>
        <row r="5004">
          <cell r="V5004"/>
          <cell r="W5004"/>
          <cell r="X5004"/>
          <cell r="Y5004"/>
        </row>
        <row r="5005">
          <cell r="V5005"/>
          <cell r="W5005"/>
          <cell r="X5005"/>
          <cell r="Y5005"/>
        </row>
        <row r="5006">
          <cell r="V5006"/>
          <cell r="W5006"/>
          <cell r="X5006"/>
          <cell r="Y5006"/>
        </row>
        <row r="5007">
          <cell r="V5007"/>
          <cell r="W5007"/>
          <cell r="X5007"/>
          <cell r="Y5007"/>
        </row>
        <row r="5008">
          <cell r="V5008"/>
          <cell r="W5008"/>
          <cell r="X5008"/>
          <cell r="Y5008"/>
        </row>
        <row r="5009">
          <cell r="V5009"/>
          <cell r="W5009"/>
          <cell r="X5009"/>
          <cell r="Y5009"/>
        </row>
        <row r="5010">
          <cell r="V5010"/>
          <cell r="W5010"/>
          <cell r="X5010"/>
          <cell r="Y5010"/>
        </row>
        <row r="5011">
          <cell r="V5011"/>
          <cell r="W5011"/>
          <cell r="X5011"/>
          <cell r="Y5011"/>
        </row>
        <row r="5012">
          <cell r="V5012"/>
          <cell r="W5012"/>
          <cell r="X5012"/>
          <cell r="Y5012"/>
        </row>
        <row r="5013">
          <cell r="V5013"/>
          <cell r="W5013"/>
          <cell r="X5013"/>
          <cell r="Y5013"/>
        </row>
        <row r="5014">
          <cell r="V5014"/>
          <cell r="W5014"/>
          <cell r="X5014"/>
          <cell r="Y5014"/>
        </row>
        <row r="5015">
          <cell r="V5015"/>
          <cell r="W5015"/>
          <cell r="X5015"/>
          <cell r="Y5015"/>
        </row>
        <row r="5016">
          <cell r="V5016"/>
          <cell r="W5016"/>
          <cell r="X5016"/>
          <cell r="Y5016"/>
        </row>
        <row r="5017">
          <cell r="V5017"/>
          <cell r="W5017"/>
          <cell r="X5017"/>
          <cell r="Y5017"/>
        </row>
        <row r="5018">
          <cell r="V5018"/>
          <cell r="W5018"/>
          <cell r="X5018"/>
          <cell r="Y5018"/>
        </row>
        <row r="5019">
          <cell r="V5019"/>
          <cell r="W5019"/>
          <cell r="X5019"/>
          <cell r="Y5019"/>
        </row>
        <row r="5020">
          <cell r="V5020"/>
          <cell r="W5020"/>
          <cell r="X5020"/>
          <cell r="Y5020"/>
        </row>
        <row r="5021">
          <cell r="V5021"/>
          <cell r="W5021"/>
          <cell r="X5021"/>
          <cell r="Y5021"/>
        </row>
        <row r="5022">
          <cell r="V5022"/>
          <cell r="W5022"/>
          <cell r="X5022"/>
          <cell r="Y5022"/>
        </row>
        <row r="5023">
          <cell r="V5023"/>
          <cell r="W5023"/>
          <cell r="X5023"/>
          <cell r="Y5023"/>
        </row>
        <row r="5024">
          <cell r="V5024"/>
          <cell r="W5024"/>
          <cell r="X5024"/>
          <cell r="Y5024"/>
        </row>
        <row r="5025">
          <cell r="V5025"/>
          <cell r="W5025"/>
          <cell r="X5025"/>
          <cell r="Y5025"/>
        </row>
        <row r="5026">
          <cell r="V5026"/>
          <cell r="W5026"/>
          <cell r="X5026"/>
          <cell r="Y5026"/>
        </row>
        <row r="5027">
          <cell r="V5027"/>
          <cell r="W5027"/>
          <cell r="X5027"/>
          <cell r="Y5027"/>
        </row>
        <row r="5028">
          <cell r="V5028"/>
          <cell r="W5028"/>
          <cell r="X5028"/>
          <cell r="Y5028"/>
        </row>
        <row r="5029">
          <cell r="V5029"/>
          <cell r="W5029"/>
          <cell r="X5029"/>
          <cell r="Y5029"/>
        </row>
        <row r="5030">
          <cell r="V5030"/>
          <cell r="W5030"/>
          <cell r="X5030"/>
          <cell r="Y5030"/>
        </row>
        <row r="5031">
          <cell r="V5031"/>
          <cell r="W5031"/>
          <cell r="X5031"/>
          <cell r="Y5031"/>
        </row>
        <row r="5032">
          <cell r="V5032"/>
          <cell r="W5032"/>
          <cell r="X5032"/>
          <cell r="Y5032"/>
        </row>
        <row r="5033">
          <cell r="V5033"/>
          <cell r="W5033"/>
          <cell r="X5033"/>
          <cell r="Y5033"/>
        </row>
        <row r="5034">
          <cell r="V5034"/>
          <cell r="W5034"/>
          <cell r="X5034"/>
          <cell r="Y5034"/>
        </row>
        <row r="5035">
          <cell r="V5035"/>
          <cell r="W5035"/>
          <cell r="X5035"/>
          <cell r="Y5035"/>
        </row>
        <row r="5036">
          <cell r="V5036"/>
          <cell r="W5036"/>
          <cell r="X5036"/>
          <cell r="Y5036"/>
        </row>
        <row r="5037">
          <cell r="V5037"/>
          <cell r="W5037"/>
          <cell r="X5037"/>
          <cell r="Y5037"/>
        </row>
        <row r="5038">
          <cell r="V5038"/>
          <cell r="W5038"/>
          <cell r="X5038"/>
          <cell r="Y5038"/>
        </row>
        <row r="5039">
          <cell r="V5039"/>
          <cell r="W5039"/>
          <cell r="X5039"/>
          <cell r="Y5039"/>
        </row>
        <row r="5040">
          <cell r="V5040"/>
          <cell r="W5040"/>
          <cell r="X5040"/>
          <cell r="Y5040"/>
        </row>
        <row r="5041">
          <cell r="V5041"/>
          <cell r="W5041"/>
          <cell r="X5041"/>
          <cell r="Y5041"/>
        </row>
        <row r="5042">
          <cell r="V5042"/>
          <cell r="W5042"/>
          <cell r="X5042"/>
          <cell r="Y5042"/>
        </row>
        <row r="5043">
          <cell r="V5043"/>
          <cell r="W5043"/>
          <cell r="X5043"/>
          <cell r="Y5043"/>
        </row>
        <row r="5044">
          <cell r="V5044"/>
          <cell r="W5044"/>
          <cell r="X5044"/>
          <cell r="Y5044"/>
        </row>
        <row r="5045">
          <cell r="V5045"/>
          <cell r="W5045"/>
          <cell r="X5045"/>
          <cell r="Y5045"/>
        </row>
        <row r="5046">
          <cell r="V5046"/>
          <cell r="W5046"/>
          <cell r="X5046"/>
          <cell r="Y5046"/>
        </row>
        <row r="5047">
          <cell r="V5047"/>
          <cell r="W5047"/>
          <cell r="X5047"/>
          <cell r="Y5047"/>
        </row>
        <row r="5048">
          <cell r="V5048"/>
          <cell r="W5048"/>
          <cell r="X5048"/>
          <cell r="Y5048"/>
        </row>
        <row r="5049">
          <cell r="V5049"/>
          <cell r="W5049"/>
          <cell r="X5049"/>
          <cell r="Y5049"/>
        </row>
        <row r="5050">
          <cell r="V5050"/>
          <cell r="W5050"/>
          <cell r="X5050"/>
          <cell r="Y5050"/>
        </row>
        <row r="5051">
          <cell r="V5051"/>
          <cell r="W5051"/>
          <cell r="X5051"/>
          <cell r="Y5051"/>
        </row>
        <row r="5052">
          <cell r="V5052"/>
          <cell r="W5052"/>
          <cell r="X5052"/>
          <cell r="Y5052"/>
        </row>
        <row r="5053">
          <cell r="V5053"/>
          <cell r="W5053"/>
          <cell r="X5053"/>
          <cell r="Y5053"/>
        </row>
        <row r="5054">
          <cell r="V5054"/>
          <cell r="W5054"/>
          <cell r="X5054"/>
          <cell r="Y5054"/>
        </row>
        <row r="5055">
          <cell r="V5055"/>
          <cell r="W5055"/>
          <cell r="X5055"/>
          <cell r="Y5055"/>
        </row>
        <row r="5056">
          <cell r="V5056"/>
          <cell r="W5056"/>
          <cell r="X5056"/>
          <cell r="Y5056"/>
        </row>
        <row r="5057">
          <cell r="V5057"/>
          <cell r="W5057"/>
          <cell r="X5057"/>
          <cell r="Y5057"/>
        </row>
        <row r="5058">
          <cell r="V5058"/>
          <cell r="W5058"/>
          <cell r="X5058"/>
          <cell r="Y5058"/>
        </row>
        <row r="5059">
          <cell r="V5059"/>
          <cell r="W5059"/>
          <cell r="X5059"/>
          <cell r="Y5059"/>
        </row>
        <row r="5060">
          <cell r="V5060"/>
          <cell r="W5060"/>
          <cell r="X5060"/>
          <cell r="Y5060"/>
        </row>
        <row r="5061">
          <cell r="V5061"/>
          <cell r="W5061"/>
          <cell r="X5061"/>
          <cell r="Y5061"/>
        </row>
        <row r="5062">
          <cell r="V5062"/>
          <cell r="W5062"/>
          <cell r="X5062"/>
          <cell r="Y5062"/>
        </row>
        <row r="5063">
          <cell r="V5063"/>
          <cell r="W5063"/>
          <cell r="X5063"/>
          <cell r="Y5063"/>
        </row>
        <row r="5064">
          <cell r="V5064"/>
          <cell r="W5064"/>
          <cell r="X5064"/>
          <cell r="Y5064"/>
        </row>
        <row r="5065">
          <cell r="V5065"/>
          <cell r="W5065"/>
          <cell r="X5065"/>
          <cell r="Y5065"/>
        </row>
        <row r="5066">
          <cell r="V5066"/>
          <cell r="W5066"/>
          <cell r="X5066"/>
          <cell r="Y5066"/>
        </row>
        <row r="5067">
          <cell r="V5067"/>
          <cell r="W5067"/>
          <cell r="X5067"/>
          <cell r="Y5067"/>
        </row>
        <row r="5068">
          <cell r="V5068"/>
          <cell r="W5068"/>
          <cell r="X5068"/>
          <cell r="Y5068"/>
        </row>
        <row r="5069">
          <cell r="V5069"/>
          <cell r="W5069"/>
          <cell r="X5069"/>
          <cell r="Y5069"/>
        </row>
        <row r="5070">
          <cell r="V5070"/>
          <cell r="W5070"/>
          <cell r="X5070"/>
          <cell r="Y5070"/>
        </row>
        <row r="5071">
          <cell r="V5071"/>
          <cell r="W5071"/>
          <cell r="X5071"/>
          <cell r="Y5071"/>
        </row>
        <row r="5072">
          <cell r="V5072"/>
          <cell r="W5072"/>
          <cell r="X5072"/>
          <cell r="Y5072"/>
        </row>
        <row r="5073">
          <cell r="V5073"/>
          <cell r="W5073"/>
          <cell r="X5073"/>
          <cell r="Y5073"/>
        </row>
        <row r="5074">
          <cell r="V5074"/>
          <cell r="W5074"/>
          <cell r="X5074"/>
          <cell r="Y5074"/>
        </row>
        <row r="5075">
          <cell r="V5075"/>
          <cell r="W5075"/>
          <cell r="X5075"/>
          <cell r="Y5075"/>
        </row>
        <row r="5076">
          <cell r="V5076"/>
          <cell r="W5076"/>
          <cell r="X5076"/>
          <cell r="Y5076"/>
        </row>
        <row r="5077">
          <cell r="V5077"/>
          <cell r="W5077"/>
          <cell r="X5077"/>
          <cell r="Y5077"/>
        </row>
        <row r="5078">
          <cell r="V5078"/>
          <cell r="W5078"/>
          <cell r="X5078"/>
          <cell r="Y5078"/>
        </row>
        <row r="5079">
          <cell r="V5079"/>
          <cell r="W5079"/>
          <cell r="X5079"/>
          <cell r="Y5079"/>
        </row>
        <row r="5080">
          <cell r="V5080"/>
          <cell r="W5080"/>
          <cell r="X5080"/>
          <cell r="Y5080"/>
        </row>
        <row r="5081">
          <cell r="V5081"/>
          <cell r="W5081"/>
          <cell r="X5081"/>
          <cell r="Y5081"/>
        </row>
        <row r="5082">
          <cell r="V5082"/>
          <cell r="W5082"/>
          <cell r="X5082"/>
          <cell r="Y5082"/>
        </row>
        <row r="5083">
          <cell r="V5083"/>
          <cell r="W5083"/>
          <cell r="X5083"/>
          <cell r="Y5083"/>
        </row>
        <row r="5084">
          <cell r="V5084"/>
          <cell r="W5084"/>
          <cell r="X5084"/>
          <cell r="Y5084"/>
        </row>
        <row r="5085">
          <cell r="V5085"/>
          <cell r="W5085"/>
          <cell r="X5085"/>
          <cell r="Y5085"/>
        </row>
        <row r="5086">
          <cell r="V5086"/>
          <cell r="W5086"/>
          <cell r="X5086"/>
          <cell r="Y5086"/>
        </row>
        <row r="5087">
          <cell r="V5087"/>
          <cell r="W5087"/>
          <cell r="X5087"/>
          <cell r="Y5087"/>
        </row>
        <row r="5088">
          <cell r="V5088"/>
          <cell r="W5088"/>
          <cell r="X5088"/>
          <cell r="Y5088"/>
        </row>
        <row r="5089">
          <cell r="V5089"/>
          <cell r="W5089"/>
          <cell r="X5089"/>
          <cell r="Y5089"/>
        </row>
        <row r="5090">
          <cell r="V5090"/>
          <cell r="W5090"/>
          <cell r="X5090"/>
          <cell r="Y5090"/>
        </row>
        <row r="5091">
          <cell r="V5091"/>
          <cell r="W5091"/>
          <cell r="X5091"/>
          <cell r="Y5091"/>
        </row>
        <row r="5092">
          <cell r="V5092"/>
          <cell r="W5092"/>
          <cell r="X5092"/>
          <cell r="Y5092"/>
        </row>
        <row r="5093">
          <cell r="V5093"/>
          <cell r="W5093"/>
          <cell r="X5093"/>
          <cell r="Y5093"/>
        </row>
        <row r="5094">
          <cell r="V5094"/>
          <cell r="W5094"/>
          <cell r="X5094"/>
          <cell r="Y5094"/>
        </row>
        <row r="5095">
          <cell r="V5095"/>
          <cell r="W5095"/>
          <cell r="X5095"/>
          <cell r="Y5095"/>
        </row>
        <row r="5096">
          <cell r="V5096"/>
          <cell r="W5096"/>
          <cell r="X5096"/>
          <cell r="Y5096"/>
        </row>
        <row r="5097">
          <cell r="V5097"/>
          <cell r="W5097"/>
          <cell r="X5097"/>
          <cell r="Y5097"/>
        </row>
        <row r="5098">
          <cell r="V5098"/>
          <cell r="W5098"/>
          <cell r="X5098"/>
          <cell r="Y5098"/>
        </row>
        <row r="5099">
          <cell r="V5099"/>
          <cell r="W5099"/>
          <cell r="X5099"/>
          <cell r="Y5099"/>
        </row>
        <row r="5100">
          <cell r="V5100"/>
          <cell r="W5100"/>
          <cell r="X5100"/>
          <cell r="Y5100"/>
        </row>
        <row r="5101">
          <cell r="V5101"/>
          <cell r="W5101"/>
          <cell r="X5101"/>
          <cell r="Y5101"/>
        </row>
        <row r="5102">
          <cell r="V5102"/>
          <cell r="W5102"/>
          <cell r="X5102"/>
          <cell r="Y5102"/>
        </row>
        <row r="5103">
          <cell r="V5103"/>
          <cell r="W5103"/>
          <cell r="X5103"/>
          <cell r="Y5103"/>
        </row>
        <row r="5104">
          <cell r="V5104"/>
          <cell r="W5104"/>
          <cell r="X5104"/>
          <cell r="Y5104"/>
        </row>
        <row r="5105">
          <cell r="V5105"/>
          <cell r="W5105"/>
          <cell r="X5105"/>
          <cell r="Y5105"/>
        </row>
        <row r="5106">
          <cell r="V5106"/>
          <cell r="W5106"/>
          <cell r="X5106"/>
          <cell r="Y5106"/>
        </row>
        <row r="5107">
          <cell r="V5107"/>
          <cell r="W5107"/>
          <cell r="X5107"/>
          <cell r="Y5107"/>
        </row>
        <row r="5108">
          <cell r="V5108"/>
          <cell r="W5108"/>
          <cell r="X5108"/>
          <cell r="Y5108"/>
        </row>
        <row r="5109">
          <cell r="V5109"/>
          <cell r="W5109"/>
          <cell r="X5109"/>
          <cell r="Y5109"/>
        </row>
        <row r="5110">
          <cell r="V5110"/>
          <cell r="W5110"/>
          <cell r="X5110"/>
          <cell r="Y5110"/>
        </row>
        <row r="5111">
          <cell r="V5111"/>
          <cell r="W5111"/>
          <cell r="X5111"/>
          <cell r="Y5111"/>
        </row>
        <row r="5112">
          <cell r="V5112"/>
          <cell r="W5112"/>
          <cell r="X5112"/>
          <cell r="Y5112"/>
        </row>
        <row r="5113">
          <cell r="V5113"/>
          <cell r="W5113"/>
          <cell r="X5113"/>
          <cell r="Y5113"/>
        </row>
        <row r="5114">
          <cell r="V5114"/>
          <cell r="W5114"/>
          <cell r="X5114"/>
          <cell r="Y5114"/>
        </row>
        <row r="5115">
          <cell r="V5115"/>
          <cell r="W5115"/>
          <cell r="X5115"/>
          <cell r="Y5115"/>
        </row>
        <row r="5116">
          <cell r="V5116"/>
          <cell r="W5116"/>
          <cell r="X5116"/>
          <cell r="Y5116"/>
        </row>
        <row r="5117">
          <cell r="V5117"/>
          <cell r="W5117"/>
          <cell r="X5117"/>
          <cell r="Y5117"/>
        </row>
        <row r="5118">
          <cell r="V5118"/>
          <cell r="W5118"/>
          <cell r="X5118"/>
          <cell r="Y5118"/>
        </row>
        <row r="5119">
          <cell r="V5119"/>
          <cell r="W5119"/>
          <cell r="X5119"/>
          <cell r="Y5119"/>
        </row>
        <row r="5120">
          <cell r="V5120"/>
          <cell r="W5120"/>
          <cell r="X5120"/>
          <cell r="Y5120"/>
        </row>
        <row r="5121">
          <cell r="V5121"/>
          <cell r="W5121"/>
          <cell r="X5121"/>
          <cell r="Y5121"/>
        </row>
        <row r="5122">
          <cell r="V5122"/>
          <cell r="W5122"/>
          <cell r="X5122"/>
          <cell r="Y5122"/>
        </row>
        <row r="5123">
          <cell r="V5123"/>
          <cell r="W5123"/>
          <cell r="X5123"/>
          <cell r="Y5123"/>
        </row>
        <row r="5124">
          <cell r="V5124"/>
          <cell r="W5124"/>
          <cell r="X5124"/>
          <cell r="Y5124"/>
        </row>
        <row r="5125">
          <cell r="V5125"/>
          <cell r="W5125"/>
          <cell r="X5125"/>
          <cell r="Y5125"/>
        </row>
        <row r="5126">
          <cell r="V5126"/>
          <cell r="W5126"/>
          <cell r="X5126"/>
          <cell r="Y5126"/>
        </row>
        <row r="5127">
          <cell r="V5127"/>
          <cell r="W5127"/>
          <cell r="X5127"/>
          <cell r="Y5127"/>
        </row>
        <row r="5128">
          <cell r="V5128"/>
          <cell r="W5128"/>
          <cell r="X5128"/>
          <cell r="Y5128"/>
        </row>
        <row r="5129">
          <cell r="V5129"/>
          <cell r="W5129"/>
          <cell r="X5129"/>
          <cell r="Y5129"/>
        </row>
        <row r="5130">
          <cell r="V5130"/>
          <cell r="W5130"/>
          <cell r="X5130"/>
          <cell r="Y5130"/>
        </row>
        <row r="5131">
          <cell r="V5131"/>
          <cell r="W5131"/>
          <cell r="X5131"/>
          <cell r="Y5131"/>
        </row>
        <row r="5132">
          <cell r="V5132"/>
          <cell r="W5132"/>
          <cell r="X5132"/>
          <cell r="Y5132"/>
        </row>
        <row r="5133">
          <cell r="V5133"/>
          <cell r="W5133"/>
          <cell r="X5133"/>
          <cell r="Y5133"/>
        </row>
        <row r="5134">
          <cell r="V5134"/>
          <cell r="W5134"/>
          <cell r="X5134"/>
          <cell r="Y5134"/>
        </row>
        <row r="5135">
          <cell r="V5135"/>
          <cell r="W5135"/>
          <cell r="X5135"/>
          <cell r="Y5135"/>
        </row>
        <row r="5136">
          <cell r="V5136"/>
          <cell r="W5136"/>
          <cell r="X5136"/>
          <cell r="Y5136"/>
        </row>
        <row r="5137">
          <cell r="V5137"/>
          <cell r="W5137"/>
          <cell r="X5137"/>
          <cell r="Y5137"/>
        </row>
        <row r="5138">
          <cell r="V5138"/>
          <cell r="W5138"/>
          <cell r="X5138"/>
          <cell r="Y5138"/>
        </row>
        <row r="5139">
          <cell r="V5139"/>
          <cell r="W5139"/>
          <cell r="X5139"/>
          <cell r="Y5139"/>
        </row>
        <row r="5140">
          <cell r="V5140"/>
          <cell r="W5140"/>
          <cell r="X5140"/>
          <cell r="Y5140"/>
        </row>
        <row r="5141">
          <cell r="V5141"/>
          <cell r="W5141"/>
          <cell r="X5141"/>
          <cell r="Y5141"/>
        </row>
        <row r="5142">
          <cell r="V5142"/>
          <cell r="W5142"/>
          <cell r="X5142"/>
          <cell r="Y5142"/>
        </row>
        <row r="5143">
          <cell r="V5143"/>
          <cell r="W5143"/>
          <cell r="X5143"/>
          <cell r="Y5143"/>
        </row>
        <row r="5144">
          <cell r="V5144"/>
          <cell r="W5144"/>
          <cell r="X5144"/>
          <cell r="Y5144"/>
        </row>
        <row r="5145">
          <cell r="V5145"/>
          <cell r="W5145"/>
          <cell r="X5145"/>
          <cell r="Y5145"/>
        </row>
        <row r="5146">
          <cell r="V5146"/>
          <cell r="W5146"/>
          <cell r="X5146"/>
          <cell r="Y5146"/>
        </row>
        <row r="5147">
          <cell r="V5147"/>
          <cell r="W5147"/>
          <cell r="X5147"/>
          <cell r="Y5147"/>
        </row>
        <row r="5148">
          <cell r="V5148"/>
          <cell r="W5148"/>
          <cell r="X5148"/>
          <cell r="Y5148"/>
        </row>
        <row r="5149">
          <cell r="V5149"/>
          <cell r="W5149"/>
          <cell r="X5149"/>
          <cell r="Y5149"/>
        </row>
        <row r="5150">
          <cell r="V5150"/>
          <cell r="W5150"/>
          <cell r="X5150"/>
          <cell r="Y5150"/>
        </row>
        <row r="5151">
          <cell r="V5151"/>
          <cell r="W5151"/>
          <cell r="X5151"/>
          <cell r="Y5151"/>
        </row>
        <row r="5152">
          <cell r="V5152"/>
          <cell r="W5152"/>
          <cell r="X5152"/>
          <cell r="Y5152"/>
        </row>
        <row r="5153">
          <cell r="V5153"/>
          <cell r="W5153"/>
          <cell r="X5153"/>
          <cell r="Y5153"/>
        </row>
        <row r="5154">
          <cell r="V5154"/>
          <cell r="W5154"/>
          <cell r="X5154"/>
          <cell r="Y5154"/>
        </row>
        <row r="5155">
          <cell r="V5155"/>
          <cell r="W5155"/>
          <cell r="X5155"/>
          <cell r="Y5155"/>
        </row>
        <row r="5156">
          <cell r="V5156"/>
          <cell r="W5156"/>
          <cell r="X5156"/>
          <cell r="Y5156"/>
        </row>
        <row r="5157">
          <cell r="V5157"/>
          <cell r="W5157"/>
          <cell r="X5157"/>
          <cell r="Y5157"/>
        </row>
        <row r="5158">
          <cell r="V5158"/>
          <cell r="W5158"/>
          <cell r="X5158"/>
          <cell r="Y5158"/>
        </row>
        <row r="5159">
          <cell r="V5159"/>
          <cell r="W5159"/>
          <cell r="X5159"/>
          <cell r="Y5159"/>
        </row>
        <row r="5160">
          <cell r="V5160"/>
          <cell r="W5160"/>
          <cell r="X5160"/>
          <cell r="Y5160"/>
        </row>
        <row r="5161">
          <cell r="V5161"/>
          <cell r="W5161"/>
          <cell r="X5161"/>
          <cell r="Y5161"/>
        </row>
        <row r="5162">
          <cell r="V5162"/>
          <cell r="W5162"/>
          <cell r="X5162"/>
          <cell r="Y5162"/>
        </row>
        <row r="5163">
          <cell r="V5163"/>
          <cell r="W5163"/>
          <cell r="X5163"/>
          <cell r="Y5163"/>
        </row>
        <row r="5164">
          <cell r="V5164"/>
          <cell r="W5164"/>
          <cell r="X5164"/>
          <cell r="Y5164"/>
        </row>
        <row r="5165">
          <cell r="V5165"/>
          <cell r="W5165"/>
          <cell r="X5165"/>
          <cell r="Y5165"/>
        </row>
        <row r="5166">
          <cell r="V5166"/>
          <cell r="W5166"/>
          <cell r="X5166"/>
          <cell r="Y5166"/>
        </row>
        <row r="5167">
          <cell r="V5167"/>
          <cell r="W5167"/>
          <cell r="X5167"/>
          <cell r="Y5167"/>
        </row>
        <row r="5168">
          <cell r="V5168"/>
          <cell r="W5168"/>
          <cell r="X5168"/>
          <cell r="Y5168"/>
        </row>
        <row r="5169">
          <cell r="V5169"/>
          <cell r="W5169"/>
          <cell r="X5169"/>
          <cell r="Y5169"/>
        </row>
        <row r="5170">
          <cell r="V5170"/>
          <cell r="W5170"/>
          <cell r="X5170"/>
          <cell r="Y5170"/>
        </row>
        <row r="5171">
          <cell r="V5171"/>
          <cell r="W5171"/>
          <cell r="X5171"/>
          <cell r="Y5171"/>
        </row>
        <row r="5172">
          <cell r="V5172"/>
          <cell r="W5172"/>
          <cell r="X5172"/>
          <cell r="Y5172"/>
        </row>
        <row r="5173">
          <cell r="V5173"/>
          <cell r="W5173"/>
          <cell r="X5173"/>
          <cell r="Y5173"/>
        </row>
        <row r="5174">
          <cell r="V5174"/>
          <cell r="W5174"/>
          <cell r="X5174"/>
          <cell r="Y5174"/>
        </row>
        <row r="5175">
          <cell r="V5175"/>
          <cell r="W5175"/>
          <cell r="X5175"/>
          <cell r="Y5175"/>
        </row>
        <row r="5176">
          <cell r="V5176"/>
          <cell r="W5176"/>
          <cell r="X5176"/>
          <cell r="Y5176"/>
        </row>
        <row r="5177">
          <cell r="V5177"/>
          <cell r="W5177"/>
          <cell r="X5177"/>
          <cell r="Y5177"/>
        </row>
        <row r="5178">
          <cell r="V5178"/>
          <cell r="W5178"/>
          <cell r="X5178"/>
          <cell r="Y5178"/>
        </row>
        <row r="5179">
          <cell r="V5179"/>
          <cell r="W5179"/>
          <cell r="X5179"/>
          <cell r="Y5179"/>
        </row>
        <row r="5180">
          <cell r="V5180"/>
          <cell r="W5180"/>
          <cell r="X5180"/>
          <cell r="Y5180"/>
        </row>
        <row r="5181">
          <cell r="V5181"/>
          <cell r="W5181"/>
          <cell r="X5181"/>
          <cell r="Y5181"/>
        </row>
        <row r="5182">
          <cell r="V5182"/>
          <cell r="W5182"/>
          <cell r="X5182"/>
          <cell r="Y5182"/>
        </row>
        <row r="5183">
          <cell r="V5183"/>
          <cell r="W5183"/>
          <cell r="X5183"/>
          <cell r="Y5183"/>
        </row>
        <row r="5184">
          <cell r="V5184"/>
          <cell r="W5184"/>
          <cell r="X5184"/>
          <cell r="Y5184"/>
        </row>
        <row r="5185">
          <cell r="V5185"/>
          <cell r="W5185"/>
          <cell r="X5185"/>
          <cell r="Y5185"/>
        </row>
        <row r="5186">
          <cell r="V5186"/>
          <cell r="W5186"/>
          <cell r="X5186"/>
          <cell r="Y5186"/>
        </row>
        <row r="5187">
          <cell r="V5187"/>
          <cell r="W5187"/>
          <cell r="X5187"/>
          <cell r="Y5187"/>
        </row>
        <row r="5188">
          <cell r="V5188"/>
          <cell r="W5188"/>
          <cell r="X5188"/>
          <cell r="Y5188"/>
        </row>
        <row r="5189">
          <cell r="V5189"/>
          <cell r="W5189"/>
          <cell r="X5189"/>
          <cell r="Y5189"/>
        </row>
        <row r="5190">
          <cell r="V5190"/>
          <cell r="W5190"/>
          <cell r="X5190"/>
          <cell r="Y5190"/>
        </row>
        <row r="5191">
          <cell r="V5191"/>
          <cell r="W5191"/>
          <cell r="X5191"/>
          <cell r="Y5191"/>
        </row>
        <row r="5192">
          <cell r="V5192"/>
          <cell r="W5192"/>
          <cell r="X5192"/>
          <cell r="Y5192"/>
        </row>
        <row r="5193">
          <cell r="V5193"/>
          <cell r="W5193"/>
          <cell r="X5193"/>
          <cell r="Y5193"/>
        </row>
        <row r="5194">
          <cell r="V5194"/>
          <cell r="W5194"/>
          <cell r="X5194"/>
          <cell r="Y5194"/>
        </row>
        <row r="5195">
          <cell r="V5195"/>
          <cell r="W5195"/>
          <cell r="X5195"/>
          <cell r="Y5195"/>
        </row>
        <row r="5196">
          <cell r="V5196"/>
          <cell r="W5196"/>
          <cell r="X5196"/>
          <cell r="Y5196"/>
        </row>
        <row r="5197">
          <cell r="V5197"/>
          <cell r="W5197"/>
          <cell r="X5197"/>
          <cell r="Y5197"/>
        </row>
        <row r="5198">
          <cell r="V5198"/>
          <cell r="W5198"/>
          <cell r="X5198"/>
          <cell r="Y5198"/>
        </row>
        <row r="5199">
          <cell r="V5199"/>
          <cell r="W5199"/>
          <cell r="X5199"/>
          <cell r="Y5199"/>
        </row>
        <row r="5200">
          <cell r="V5200"/>
          <cell r="W5200"/>
          <cell r="X5200"/>
          <cell r="Y5200"/>
        </row>
        <row r="5201">
          <cell r="V5201"/>
          <cell r="W5201"/>
          <cell r="X5201"/>
          <cell r="Y5201"/>
        </row>
        <row r="5202">
          <cell r="V5202"/>
          <cell r="W5202"/>
          <cell r="X5202"/>
          <cell r="Y5202"/>
        </row>
        <row r="5203">
          <cell r="V5203"/>
          <cell r="W5203"/>
          <cell r="X5203"/>
          <cell r="Y5203"/>
        </row>
        <row r="5204">
          <cell r="V5204"/>
          <cell r="W5204"/>
          <cell r="X5204"/>
          <cell r="Y5204"/>
        </row>
        <row r="5205">
          <cell r="V5205"/>
          <cell r="W5205"/>
          <cell r="X5205"/>
          <cell r="Y5205"/>
        </row>
        <row r="5206">
          <cell r="V5206"/>
          <cell r="W5206"/>
          <cell r="X5206"/>
          <cell r="Y5206"/>
        </row>
        <row r="5207">
          <cell r="V5207"/>
          <cell r="W5207"/>
          <cell r="X5207"/>
          <cell r="Y5207"/>
        </row>
        <row r="5208">
          <cell r="V5208"/>
          <cell r="W5208"/>
          <cell r="X5208"/>
          <cell r="Y5208"/>
        </row>
        <row r="5209">
          <cell r="V5209"/>
          <cell r="W5209"/>
          <cell r="X5209"/>
          <cell r="Y5209"/>
        </row>
        <row r="5210">
          <cell r="V5210"/>
          <cell r="W5210"/>
          <cell r="X5210"/>
          <cell r="Y5210"/>
        </row>
        <row r="5211">
          <cell r="V5211"/>
          <cell r="W5211"/>
          <cell r="X5211"/>
          <cell r="Y5211"/>
        </row>
        <row r="5212">
          <cell r="V5212"/>
          <cell r="W5212"/>
          <cell r="X5212"/>
          <cell r="Y5212"/>
        </row>
        <row r="5213">
          <cell r="V5213"/>
          <cell r="W5213"/>
          <cell r="X5213"/>
          <cell r="Y5213"/>
        </row>
        <row r="5214">
          <cell r="V5214"/>
          <cell r="W5214"/>
          <cell r="X5214"/>
          <cell r="Y5214"/>
        </row>
        <row r="5215">
          <cell r="V5215"/>
          <cell r="W5215"/>
          <cell r="X5215"/>
          <cell r="Y5215"/>
        </row>
        <row r="5216">
          <cell r="V5216"/>
          <cell r="W5216"/>
          <cell r="X5216"/>
          <cell r="Y5216"/>
        </row>
        <row r="5217">
          <cell r="V5217"/>
          <cell r="W5217"/>
          <cell r="X5217"/>
          <cell r="Y5217"/>
        </row>
        <row r="5218">
          <cell r="V5218"/>
          <cell r="W5218"/>
          <cell r="X5218"/>
          <cell r="Y5218"/>
        </row>
        <row r="5219">
          <cell r="V5219"/>
          <cell r="W5219"/>
          <cell r="X5219"/>
          <cell r="Y5219"/>
        </row>
        <row r="5220">
          <cell r="V5220"/>
          <cell r="W5220"/>
          <cell r="X5220"/>
          <cell r="Y5220"/>
        </row>
        <row r="5221">
          <cell r="V5221"/>
          <cell r="W5221"/>
          <cell r="X5221"/>
          <cell r="Y5221"/>
        </row>
        <row r="5222">
          <cell r="V5222"/>
          <cell r="W5222"/>
          <cell r="X5222"/>
          <cell r="Y5222"/>
        </row>
        <row r="5223">
          <cell r="V5223"/>
          <cell r="W5223"/>
          <cell r="X5223"/>
          <cell r="Y5223"/>
        </row>
        <row r="5224">
          <cell r="V5224"/>
          <cell r="W5224"/>
          <cell r="X5224"/>
          <cell r="Y5224"/>
        </row>
        <row r="5225">
          <cell r="V5225"/>
          <cell r="W5225"/>
          <cell r="X5225"/>
          <cell r="Y5225"/>
        </row>
        <row r="5226">
          <cell r="V5226"/>
          <cell r="W5226"/>
          <cell r="X5226"/>
          <cell r="Y5226"/>
        </row>
        <row r="5227">
          <cell r="V5227"/>
          <cell r="W5227"/>
          <cell r="X5227"/>
          <cell r="Y5227"/>
        </row>
        <row r="5228">
          <cell r="V5228"/>
          <cell r="W5228"/>
          <cell r="X5228"/>
          <cell r="Y5228"/>
        </row>
        <row r="5229">
          <cell r="V5229"/>
          <cell r="W5229"/>
          <cell r="X5229"/>
          <cell r="Y5229"/>
        </row>
        <row r="5230">
          <cell r="V5230"/>
          <cell r="W5230"/>
          <cell r="X5230"/>
          <cell r="Y5230"/>
        </row>
        <row r="5231">
          <cell r="V5231"/>
          <cell r="W5231"/>
          <cell r="X5231"/>
          <cell r="Y5231"/>
        </row>
        <row r="5232">
          <cell r="V5232"/>
          <cell r="W5232"/>
          <cell r="X5232"/>
          <cell r="Y5232"/>
        </row>
        <row r="5233">
          <cell r="V5233"/>
          <cell r="W5233"/>
          <cell r="X5233"/>
          <cell r="Y5233"/>
        </row>
        <row r="5234">
          <cell r="V5234"/>
          <cell r="W5234"/>
          <cell r="X5234"/>
          <cell r="Y5234"/>
        </row>
        <row r="5235">
          <cell r="V5235"/>
          <cell r="W5235"/>
          <cell r="X5235"/>
          <cell r="Y5235"/>
        </row>
        <row r="5236">
          <cell r="V5236"/>
          <cell r="W5236"/>
          <cell r="X5236"/>
          <cell r="Y5236"/>
        </row>
        <row r="5237">
          <cell r="V5237"/>
          <cell r="W5237"/>
          <cell r="X5237"/>
          <cell r="Y5237"/>
        </row>
        <row r="5238">
          <cell r="V5238"/>
          <cell r="W5238"/>
          <cell r="X5238"/>
          <cell r="Y5238"/>
        </row>
        <row r="5239">
          <cell r="V5239"/>
          <cell r="W5239"/>
          <cell r="X5239"/>
          <cell r="Y5239"/>
        </row>
        <row r="5240">
          <cell r="V5240"/>
          <cell r="W5240"/>
          <cell r="X5240"/>
          <cell r="Y5240"/>
        </row>
        <row r="5241">
          <cell r="V5241"/>
          <cell r="W5241"/>
          <cell r="X5241"/>
          <cell r="Y5241"/>
        </row>
        <row r="5242">
          <cell r="V5242"/>
          <cell r="W5242"/>
          <cell r="X5242"/>
          <cell r="Y5242"/>
        </row>
        <row r="5243">
          <cell r="V5243"/>
          <cell r="W5243"/>
          <cell r="X5243"/>
          <cell r="Y5243"/>
        </row>
        <row r="5244">
          <cell r="V5244"/>
          <cell r="W5244"/>
          <cell r="X5244"/>
          <cell r="Y5244"/>
        </row>
        <row r="5245">
          <cell r="V5245"/>
          <cell r="W5245"/>
          <cell r="X5245"/>
          <cell r="Y5245"/>
        </row>
        <row r="5246">
          <cell r="V5246"/>
          <cell r="W5246"/>
          <cell r="X5246"/>
          <cell r="Y5246"/>
        </row>
        <row r="5247">
          <cell r="V5247"/>
          <cell r="W5247"/>
          <cell r="X5247"/>
          <cell r="Y5247"/>
        </row>
        <row r="5248">
          <cell r="V5248"/>
          <cell r="W5248"/>
          <cell r="X5248"/>
          <cell r="Y5248"/>
        </row>
        <row r="5249">
          <cell r="V5249"/>
          <cell r="W5249"/>
          <cell r="X5249"/>
          <cell r="Y5249"/>
        </row>
        <row r="5250">
          <cell r="V5250"/>
          <cell r="W5250"/>
          <cell r="X5250"/>
          <cell r="Y5250"/>
        </row>
        <row r="5251">
          <cell r="V5251"/>
          <cell r="W5251"/>
          <cell r="X5251"/>
          <cell r="Y5251"/>
        </row>
        <row r="5252">
          <cell r="V5252"/>
          <cell r="W5252"/>
          <cell r="X5252"/>
          <cell r="Y5252"/>
        </row>
        <row r="5253">
          <cell r="V5253"/>
          <cell r="W5253"/>
          <cell r="X5253"/>
          <cell r="Y5253"/>
        </row>
        <row r="5254">
          <cell r="V5254"/>
          <cell r="W5254"/>
          <cell r="X5254"/>
          <cell r="Y5254"/>
        </row>
        <row r="5255">
          <cell r="V5255"/>
          <cell r="W5255"/>
          <cell r="X5255"/>
          <cell r="Y5255"/>
        </row>
        <row r="5256">
          <cell r="V5256"/>
          <cell r="W5256"/>
          <cell r="X5256"/>
          <cell r="Y5256"/>
        </row>
        <row r="5257">
          <cell r="V5257"/>
          <cell r="W5257"/>
          <cell r="X5257"/>
          <cell r="Y5257"/>
        </row>
        <row r="5258">
          <cell r="V5258"/>
          <cell r="W5258"/>
          <cell r="X5258"/>
          <cell r="Y5258"/>
        </row>
        <row r="5259">
          <cell r="V5259"/>
          <cell r="W5259"/>
          <cell r="X5259"/>
          <cell r="Y5259"/>
        </row>
        <row r="5260">
          <cell r="V5260"/>
          <cell r="W5260"/>
          <cell r="X5260"/>
          <cell r="Y5260"/>
        </row>
        <row r="5261">
          <cell r="V5261"/>
          <cell r="W5261"/>
          <cell r="X5261"/>
          <cell r="Y5261"/>
        </row>
        <row r="5262">
          <cell r="V5262"/>
          <cell r="W5262"/>
          <cell r="X5262"/>
          <cell r="Y5262"/>
        </row>
        <row r="5263">
          <cell r="V5263"/>
          <cell r="W5263"/>
          <cell r="X5263"/>
          <cell r="Y5263"/>
        </row>
        <row r="5264">
          <cell r="V5264"/>
          <cell r="W5264"/>
          <cell r="X5264"/>
          <cell r="Y5264"/>
        </row>
        <row r="5265">
          <cell r="V5265"/>
          <cell r="W5265"/>
          <cell r="X5265"/>
          <cell r="Y5265"/>
        </row>
        <row r="5266">
          <cell r="V5266"/>
          <cell r="W5266"/>
          <cell r="X5266"/>
          <cell r="Y5266"/>
        </row>
        <row r="5267">
          <cell r="V5267"/>
          <cell r="W5267"/>
          <cell r="X5267"/>
          <cell r="Y5267"/>
        </row>
        <row r="5268">
          <cell r="V5268"/>
          <cell r="W5268"/>
          <cell r="X5268"/>
          <cell r="Y5268"/>
        </row>
        <row r="5269">
          <cell r="V5269"/>
          <cell r="W5269"/>
          <cell r="X5269"/>
          <cell r="Y5269"/>
        </row>
        <row r="5270">
          <cell r="V5270"/>
          <cell r="W5270"/>
          <cell r="X5270"/>
          <cell r="Y5270"/>
        </row>
        <row r="5271">
          <cell r="V5271"/>
          <cell r="W5271"/>
          <cell r="X5271"/>
          <cell r="Y5271"/>
        </row>
        <row r="5272">
          <cell r="V5272"/>
          <cell r="W5272"/>
          <cell r="X5272"/>
          <cell r="Y5272"/>
        </row>
        <row r="5273">
          <cell r="V5273"/>
          <cell r="W5273"/>
          <cell r="X5273"/>
          <cell r="Y5273"/>
        </row>
        <row r="5274">
          <cell r="V5274"/>
          <cell r="W5274"/>
          <cell r="X5274"/>
          <cell r="Y5274"/>
        </row>
        <row r="5275">
          <cell r="V5275"/>
          <cell r="W5275"/>
          <cell r="X5275"/>
          <cell r="Y5275"/>
        </row>
        <row r="5276">
          <cell r="V5276"/>
          <cell r="W5276"/>
          <cell r="X5276"/>
          <cell r="Y5276"/>
        </row>
        <row r="5277">
          <cell r="V5277"/>
          <cell r="W5277"/>
          <cell r="X5277"/>
          <cell r="Y5277"/>
        </row>
        <row r="5278">
          <cell r="V5278"/>
          <cell r="W5278"/>
          <cell r="X5278"/>
          <cell r="Y5278"/>
        </row>
        <row r="5279">
          <cell r="V5279"/>
          <cell r="W5279"/>
          <cell r="X5279"/>
          <cell r="Y5279"/>
        </row>
        <row r="5280">
          <cell r="V5280"/>
          <cell r="W5280"/>
          <cell r="X5280"/>
          <cell r="Y5280"/>
        </row>
        <row r="5281">
          <cell r="V5281"/>
          <cell r="W5281"/>
          <cell r="X5281"/>
          <cell r="Y5281"/>
        </row>
        <row r="5282">
          <cell r="V5282"/>
          <cell r="W5282"/>
          <cell r="X5282"/>
          <cell r="Y5282"/>
        </row>
        <row r="5283">
          <cell r="V5283"/>
          <cell r="W5283"/>
          <cell r="X5283"/>
          <cell r="Y5283"/>
        </row>
        <row r="5284">
          <cell r="V5284"/>
          <cell r="W5284"/>
          <cell r="X5284"/>
          <cell r="Y5284"/>
        </row>
        <row r="5285">
          <cell r="V5285"/>
          <cell r="W5285"/>
          <cell r="X5285"/>
          <cell r="Y5285"/>
        </row>
        <row r="5286">
          <cell r="V5286"/>
          <cell r="W5286"/>
          <cell r="X5286"/>
          <cell r="Y5286"/>
        </row>
        <row r="5287">
          <cell r="V5287"/>
          <cell r="W5287"/>
          <cell r="X5287"/>
          <cell r="Y5287"/>
        </row>
        <row r="5288">
          <cell r="V5288"/>
          <cell r="W5288"/>
          <cell r="X5288"/>
          <cell r="Y5288"/>
        </row>
        <row r="5289">
          <cell r="V5289"/>
          <cell r="W5289"/>
          <cell r="X5289"/>
          <cell r="Y5289"/>
        </row>
        <row r="5290">
          <cell r="V5290"/>
          <cell r="W5290"/>
          <cell r="X5290"/>
          <cell r="Y5290"/>
        </row>
        <row r="5291">
          <cell r="V5291"/>
          <cell r="W5291"/>
          <cell r="X5291"/>
          <cell r="Y5291"/>
        </row>
        <row r="5292">
          <cell r="V5292"/>
          <cell r="W5292"/>
          <cell r="X5292"/>
          <cell r="Y5292"/>
        </row>
        <row r="5293">
          <cell r="V5293"/>
          <cell r="W5293"/>
          <cell r="X5293"/>
          <cell r="Y5293"/>
        </row>
        <row r="5294">
          <cell r="V5294"/>
          <cell r="W5294"/>
          <cell r="X5294"/>
          <cell r="Y5294"/>
        </row>
        <row r="5295">
          <cell r="V5295"/>
          <cell r="W5295"/>
          <cell r="X5295"/>
          <cell r="Y5295"/>
        </row>
        <row r="5296">
          <cell r="V5296"/>
          <cell r="W5296"/>
          <cell r="X5296"/>
          <cell r="Y5296"/>
        </row>
        <row r="5297">
          <cell r="V5297"/>
          <cell r="W5297"/>
          <cell r="X5297"/>
          <cell r="Y5297"/>
        </row>
        <row r="5298">
          <cell r="V5298"/>
          <cell r="W5298"/>
          <cell r="X5298"/>
          <cell r="Y5298"/>
        </row>
        <row r="5299">
          <cell r="V5299"/>
          <cell r="W5299"/>
          <cell r="X5299"/>
          <cell r="Y5299"/>
        </row>
        <row r="5300">
          <cell r="V5300"/>
          <cell r="W5300"/>
          <cell r="X5300"/>
          <cell r="Y5300"/>
        </row>
        <row r="5301">
          <cell r="V5301"/>
          <cell r="W5301"/>
          <cell r="X5301"/>
          <cell r="Y5301"/>
        </row>
        <row r="5302">
          <cell r="V5302"/>
          <cell r="W5302"/>
          <cell r="X5302"/>
          <cell r="Y5302"/>
        </row>
        <row r="5303">
          <cell r="V5303"/>
          <cell r="W5303"/>
          <cell r="X5303"/>
          <cell r="Y5303"/>
        </row>
        <row r="5304">
          <cell r="V5304"/>
          <cell r="W5304"/>
          <cell r="X5304"/>
          <cell r="Y5304"/>
        </row>
        <row r="5305">
          <cell r="V5305"/>
          <cell r="W5305"/>
          <cell r="X5305"/>
          <cell r="Y5305"/>
        </row>
        <row r="5306">
          <cell r="V5306"/>
          <cell r="W5306"/>
          <cell r="X5306"/>
          <cell r="Y5306"/>
        </row>
        <row r="5307">
          <cell r="V5307"/>
          <cell r="W5307"/>
          <cell r="X5307"/>
          <cell r="Y5307"/>
        </row>
        <row r="5308">
          <cell r="V5308"/>
          <cell r="W5308"/>
          <cell r="X5308"/>
          <cell r="Y5308"/>
        </row>
        <row r="5309">
          <cell r="V5309"/>
          <cell r="W5309"/>
          <cell r="X5309"/>
          <cell r="Y5309"/>
        </row>
        <row r="5310">
          <cell r="V5310"/>
          <cell r="W5310"/>
          <cell r="X5310"/>
          <cell r="Y5310"/>
        </row>
        <row r="5311">
          <cell r="V5311"/>
          <cell r="W5311"/>
          <cell r="X5311"/>
          <cell r="Y5311"/>
        </row>
        <row r="5312">
          <cell r="V5312"/>
          <cell r="W5312"/>
          <cell r="X5312"/>
          <cell r="Y5312"/>
        </row>
        <row r="5313">
          <cell r="V5313"/>
          <cell r="W5313"/>
          <cell r="X5313"/>
          <cell r="Y5313"/>
        </row>
        <row r="5314">
          <cell r="V5314"/>
          <cell r="W5314"/>
          <cell r="X5314"/>
          <cell r="Y5314"/>
        </row>
        <row r="5315">
          <cell r="V5315"/>
          <cell r="W5315"/>
          <cell r="X5315"/>
          <cell r="Y5315"/>
        </row>
        <row r="5316">
          <cell r="V5316"/>
          <cell r="W5316"/>
          <cell r="X5316"/>
          <cell r="Y5316"/>
        </row>
        <row r="5317">
          <cell r="V5317"/>
          <cell r="W5317"/>
          <cell r="X5317"/>
          <cell r="Y5317"/>
        </row>
        <row r="5318">
          <cell r="V5318"/>
          <cell r="W5318"/>
          <cell r="X5318"/>
          <cell r="Y5318"/>
        </row>
        <row r="5319">
          <cell r="V5319"/>
          <cell r="W5319"/>
          <cell r="X5319"/>
          <cell r="Y5319"/>
        </row>
        <row r="5320">
          <cell r="V5320"/>
          <cell r="W5320"/>
          <cell r="X5320"/>
          <cell r="Y5320"/>
        </row>
        <row r="5321">
          <cell r="V5321"/>
          <cell r="W5321"/>
          <cell r="X5321"/>
          <cell r="Y5321"/>
        </row>
        <row r="5322">
          <cell r="V5322"/>
          <cell r="W5322"/>
          <cell r="X5322"/>
          <cell r="Y5322"/>
        </row>
        <row r="5323">
          <cell r="V5323"/>
          <cell r="W5323"/>
          <cell r="X5323"/>
          <cell r="Y5323"/>
        </row>
        <row r="5324">
          <cell r="V5324"/>
          <cell r="W5324"/>
          <cell r="X5324"/>
          <cell r="Y5324"/>
        </row>
        <row r="5325">
          <cell r="V5325"/>
          <cell r="W5325"/>
          <cell r="X5325"/>
          <cell r="Y5325"/>
        </row>
        <row r="5326">
          <cell r="V5326"/>
          <cell r="W5326"/>
          <cell r="X5326"/>
          <cell r="Y5326"/>
        </row>
        <row r="5327">
          <cell r="V5327"/>
          <cell r="W5327"/>
          <cell r="X5327"/>
          <cell r="Y5327"/>
        </row>
        <row r="5328">
          <cell r="V5328"/>
          <cell r="W5328"/>
          <cell r="X5328"/>
          <cell r="Y5328"/>
        </row>
        <row r="5329">
          <cell r="V5329"/>
          <cell r="W5329"/>
          <cell r="X5329"/>
          <cell r="Y5329"/>
        </row>
        <row r="5330">
          <cell r="V5330"/>
          <cell r="W5330"/>
          <cell r="X5330"/>
          <cell r="Y5330"/>
        </row>
        <row r="5331">
          <cell r="V5331"/>
          <cell r="W5331"/>
          <cell r="X5331"/>
          <cell r="Y5331"/>
        </row>
        <row r="5332">
          <cell r="V5332"/>
          <cell r="W5332"/>
          <cell r="X5332"/>
          <cell r="Y5332"/>
        </row>
        <row r="5333">
          <cell r="V5333"/>
          <cell r="W5333"/>
          <cell r="X5333"/>
          <cell r="Y5333"/>
        </row>
        <row r="5334">
          <cell r="V5334"/>
          <cell r="W5334"/>
          <cell r="X5334"/>
          <cell r="Y5334"/>
        </row>
        <row r="5335">
          <cell r="V5335"/>
          <cell r="W5335"/>
          <cell r="X5335"/>
          <cell r="Y5335"/>
        </row>
        <row r="5336">
          <cell r="V5336"/>
          <cell r="W5336"/>
          <cell r="X5336"/>
          <cell r="Y5336"/>
        </row>
        <row r="5337">
          <cell r="V5337"/>
          <cell r="W5337"/>
          <cell r="X5337"/>
          <cell r="Y5337"/>
        </row>
        <row r="5338">
          <cell r="V5338"/>
          <cell r="W5338"/>
          <cell r="X5338"/>
          <cell r="Y5338"/>
        </row>
        <row r="5339">
          <cell r="V5339"/>
          <cell r="W5339"/>
          <cell r="X5339"/>
          <cell r="Y5339"/>
        </row>
        <row r="5340">
          <cell r="V5340"/>
          <cell r="W5340"/>
          <cell r="X5340"/>
          <cell r="Y5340"/>
        </row>
        <row r="5341">
          <cell r="V5341"/>
          <cell r="W5341"/>
          <cell r="X5341"/>
          <cell r="Y5341"/>
        </row>
        <row r="5342">
          <cell r="V5342"/>
          <cell r="W5342"/>
          <cell r="X5342"/>
          <cell r="Y5342"/>
        </row>
        <row r="5343">
          <cell r="V5343"/>
          <cell r="W5343"/>
          <cell r="X5343"/>
          <cell r="Y5343"/>
        </row>
        <row r="5344">
          <cell r="V5344"/>
          <cell r="W5344"/>
          <cell r="X5344"/>
          <cell r="Y5344"/>
        </row>
        <row r="5345">
          <cell r="V5345"/>
          <cell r="W5345"/>
          <cell r="X5345"/>
          <cell r="Y5345"/>
        </row>
        <row r="5346">
          <cell r="V5346"/>
          <cell r="W5346"/>
          <cell r="X5346"/>
          <cell r="Y5346"/>
        </row>
        <row r="5347">
          <cell r="V5347"/>
          <cell r="W5347"/>
          <cell r="X5347"/>
          <cell r="Y5347"/>
        </row>
        <row r="5348">
          <cell r="V5348"/>
          <cell r="W5348"/>
          <cell r="X5348"/>
          <cell r="Y5348"/>
        </row>
        <row r="5349">
          <cell r="V5349"/>
          <cell r="W5349"/>
          <cell r="X5349"/>
          <cell r="Y5349"/>
        </row>
        <row r="5350">
          <cell r="V5350"/>
          <cell r="W5350"/>
          <cell r="X5350"/>
          <cell r="Y5350"/>
        </row>
        <row r="5351">
          <cell r="V5351"/>
          <cell r="W5351"/>
          <cell r="X5351"/>
          <cell r="Y5351"/>
        </row>
        <row r="5352">
          <cell r="V5352"/>
          <cell r="W5352"/>
          <cell r="X5352"/>
          <cell r="Y5352"/>
        </row>
        <row r="5353">
          <cell r="V5353"/>
          <cell r="W5353"/>
          <cell r="X5353"/>
          <cell r="Y5353"/>
        </row>
        <row r="5354">
          <cell r="V5354"/>
          <cell r="W5354"/>
          <cell r="X5354"/>
          <cell r="Y5354"/>
        </row>
        <row r="5355">
          <cell r="V5355"/>
          <cell r="W5355"/>
          <cell r="X5355"/>
          <cell r="Y5355"/>
        </row>
        <row r="5356">
          <cell r="V5356"/>
          <cell r="W5356"/>
          <cell r="X5356"/>
          <cell r="Y5356"/>
        </row>
        <row r="5357">
          <cell r="V5357"/>
          <cell r="W5357"/>
          <cell r="X5357"/>
          <cell r="Y5357"/>
        </row>
        <row r="5358">
          <cell r="V5358"/>
          <cell r="W5358"/>
          <cell r="X5358"/>
          <cell r="Y5358"/>
        </row>
        <row r="5359">
          <cell r="V5359"/>
          <cell r="W5359"/>
          <cell r="X5359"/>
          <cell r="Y5359"/>
        </row>
        <row r="5360">
          <cell r="V5360"/>
          <cell r="W5360"/>
          <cell r="X5360"/>
          <cell r="Y5360"/>
        </row>
        <row r="5361">
          <cell r="V5361"/>
          <cell r="W5361"/>
          <cell r="X5361"/>
          <cell r="Y5361"/>
        </row>
        <row r="5362">
          <cell r="V5362"/>
          <cell r="W5362"/>
          <cell r="X5362"/>
          <cell r="Y5362"/>
        </row>
        <row r="5363">
          <cell r="V5363"/>
          <cell r="W5363"/>
          <cell r="X5363"/>
          <cell r="Y5363"/>
        </row>
        <row r="5364">
          <cell r="V5364"/>
          <cell r="W5364"/>
          <cell r="X5364"/>
          <cell r="Y5364"/>
        </row>
        <row r="5365">
          <cell r="V5365"/>
          <cell r="W5365"/>
          <cell r="X5365"/>
          <cell r="Y5365"/>
        </row>
        <row r="5366">
          <cell r="V5366"/>
          <cell r="W5366"/>
          <cell r="X5366"/>
          <cell r="Y5366"/>
        </row>
        <row r="5367">
          <cell r="V5367"/>
          <cell r="W5367"/>
          <cell r="X5367"/>
          <cell r="Y5367"/>
        </row>
        <row r="5368">
          <cell r="V5368"/>
          <cell r="W5368"/>
          <cell r="X5368"/>
          <cell r="Y5368"/>
        </row>
        <row r="5369">
          <cell r="V5369"/>
          <cell r="W5369"/>
          <cell r="X5369"/>
          <cell r="Y5369"/>
        </row>
        <row r="5370">
          <cell r="V5370"/>
          <cell r="W5370"/>
          <cell r="X5370"/>
          <cell r="Y5370"/>
        </row>
        <row r="5371">
          <cell r="V5371"/>
          <cell r="W5371"/>
          <cell r="X5371"/>
          <cell r="Y5371"/>
        </row>
        <row r="5372">
          <cell r="V5372"/>
          <cell r="W5372"/>
          <cell r="X5372"/>
          <cell r="Y5372"/>
        </row>
        <row r="5373">
          <cell r="V5373"/>
          <cell r="W5373"/>
          <cell r="X5373"/>
          <cell r="Y5373"/>
        </row>
        <row r="5374">
          <cell r="V5374"/>
          <cell r="W5374"/>
          <cell r="X5374"/>
          <cell r="Y5374"/>
        </row>
        <row r="5375">
          <cell r="V5375"/>
          <cell r="W5375"/>
          <cell r="X5375"/>
          <cell r="Y5375"/>
        </row>
        <row r="5376">
          <cell r="V5376"/>
          <cell r="W5376"/>
          <cell r="X5376"/>
          <cell r="Y5376"/>
        </row>
        <row r="5377">
          <cell r="V5377"/>
          <cell r="W5377"/>
          <cell r="X5377"/>
          <cell r="Y5377"/>
        </row>
        <row r="5378">
          <cell r="V5378"/>
          <cell r="W5378"/>
          <cell r="X5378"/>
          <cell r="Y5378"/>
        </row>
        <row r="5379">
          <cell r="V5379"/>
          <cell r="W5379"/>
          <cell r="X5379"/>
          <cell r="Y5379"/>
        </row>
        <row r="5380">
          <cell r="V5380"/>
          <cell r="W5380"/>
          <cell r="X5380"/>
          <cell r="Y5380"/>
        </row>
        <row r="5381">
          <cell r="V5381"/>
          <cell r="W5381"/>
          <cell r="X5381"/>
          <cell r="Y5381"/>
        </row>
        <row r="5382">
          <cell r="V5382"/>
          <cell r="W5382"/>
          <cell r="X5382"/>
          <cell r="Y5382"/>
        </row>
        <row r="5383">
          <cell r="V5383"/>
          <cell r="W5383"/>
          <cell r="X5383"/>
          <cell r="Y5383"/>
        </row>
        <row r="5384">
          <cell r="V5384"/>
          <cell r="W5384"/>
          <cell r="X5384"/>
          <cell r="Y5384"/>
        </row>
        <row r="5385">
          <cell r="V5385"/>
          <cell r="W5385"/>
          <cell r="X5385"/>
          <cell r="Y5385"/>
        </row>
        <row r="5386">
          <cell r="V5386"/>
          <cell r="W5386"/>
          <cell r="X5386"/>
          <cell r="Y5386"/>
        </row>
        <row r="5387">
          <cell r="V5387"/>
          <cell r="W5387"/>
          <cell r="X5387"/>
          <cell r="Y5387"/>
        </row>
        <row r="5388">
          <cell r="V5388"/>
          <cell r="W5388"/>
          <cell r="X5388"/>
          <cell r="Y5388"/>
        </row>
        <row r="5389">
          <cell r="V5389"/>
          <cell r="W5389"/>
          <cell r="X5389"/>
          <cell r="Y5389"/>
        </row>
        <row r="5390">
          <cell r="V5390"/>
          <cell r="W5390"/>
          <cell r="X5390"/>
          <cell r="Y5390"/>
        </row>
        <row r="5391">
          <cell r="V5391"/>
          <cell r="W5391"/>
          <cell r="X5391"/>
          <cell r="Y5391"/>
        </row>
        <row r="5392">
          <cell r="V5392"/>
          <cell r="W5392"/>
          <cell r="X5392"/>
          <cell r="Y5392"/>
        </row>
        <row r="5393">
          <cell r="V5393"/>
          <cell r="W5393"/>
          <cell r="X5393"/>
          <cell r="Y5393"/>
        </row>
        <row r="5394">
          <cell r="V5394"/>
          <cell r="W5394"/>
          <cell r="X5394"/>
          <cell r="Y5394"/>
        </row>
        <row r="5395">
          <cell r="V5395"/>
          <cell r="W5395"/>
          <cell r="X5395"/>
          <cell r="Y5395"/>
        </row>
        <row r="5396">
          <cell r="V5396"/>
          <cell r="W5396"/>
          <cell r="X5396"/>
          <cell r="Y5396"/>
        </row>
        <row r="5397">
          <cell r="V5397"/>
          <cell r="W5397"/>
          <cell r="X5397"/>
          <cell r="Y5397"/>
        </row>
        <row r="5398">
          <cell r="V5398"/>
          <cell r="W5398"/>
          <cell r="X5398"/>
          <cell r="Y5398"/>
        </row>
        <row r="5399">
          <cell r="V5399"/>
          <cell r="W5399"/>
          <cell r="X5399"/>
          <cell r="Y5399"/>
        </row>
        <row r="5400">
          <cell r="V5400"/>
          <cell r="W5400"/>
          <cell r="X5400"/>
          <cell r="Y5400"/>
        </row>
        <row r="5401">
          <cell r="V5401"/>
          <cell r="W5401"/>
          <cell r="X5401"/>
          <cell r="Y5401"/>
        </row>
        <row r="5402">
          <cell r="V5402"/>
          <cell r="W5402"/>
          <cell r="X5402"/>
          <cell r="Y5402"/>
        </row>
        <row r="5403">
          <cell r="V5403"/>
          <cell r="W5403"/>
          <cell r="X5403"/>
          <cell r="Y5403"/>
        </row>
        <row r="5404">
          <cell r="V5404"/>
          <cell r="W5404"/>
          <cell r="X5404"/>
          <cell r="Y5404"/>
        </row>
        <row r="5405">
          <cell r="V5405"/>
          <cell r="W5405"/>
          <cell r="X5405"/>
          <cell r="Y5405"/>
        </row>
        <row r="5406">
          <cell r="V5406"/>
          <cell r="W5406"/>
          <cell r="X5406"/>
          <cell r="Y5406"/>
        </row>
        <row r="5407">
          <cell r="V5407"/>
          <cell r="W5407"/>
          <cell r="X5407"/>
          <cell r="Y5407"/>
        </row>
        <row r="5408">
          <cell r="V5408"/>
          <cell r="W5408"/>
          <cell r="X5408"/>
          <cell r="Y5408"/>
        </row>
        <row r="5409">
          <cell r="V5409"/>
          <cell r="W5409"/>
          <cell r="X5409"/>
          <cell r="Y5409"/>
        </row>
        <row r="5410">
          <cell r="V5410"/>
          <cell r="W5410"/>
          <cell r="X5410"/>
          <cell r="Y5410"/>
        </row>
        <row r="5411">
          <cell r="V5411"/>
          <cell r="W5411"/>
          <cell r="X5411"/>
          <cell r="Y5411"/>
        </row>
        <row r="5412">
          <cell r="V5412"/>
          <cell r="W5412"/>
          <cell r="X5412"/>
          <cell r="Y5412"/>
        </row>
        <row r="5413">
          <cell r="V5413"/>
          <cell r="W5413"/>
          <cell r="X5413"/>
          <cell r="Y5413"/>
        </row>
        <row r="5414">
          <cell r="V5414"/>
          <cell r="W5414"/>
          <cell r="X5414"/>
          <cell r="Y5414"/>
        </row>
        <row r="5415">
          <cell r="V5415"/>
          <cell r="W5415"/>
          <cell r="X5415"/>
          <cell r="Y5415"/>
        </row>
        <row r="5416">
          <cell r="V5416"/>
          <cell r="W5416"/>
          <cell r="X5416"/>
          <cell r="Y5416"/>
        </row>
        <row r="5417">
          <cell r="V5417"/>
          <cell r="W5417"/>
          <cell r="X5417"/>
          <cell r="Y5417"/>
        </row>
        <row r="5418">
          <cell r="V5418"/>
          <cell r="W5418"/>
          <cell r="X5418"/>
          <cell r="Y5418"/>
        </row>
        <row r="5419">
          <cell r="V5419"/>
          <cell r="W5419"/>
          <cell r="X5419"/>
          <cell r="Y5419"/>
        </row>
        <row r="5420">
          <cell r="V5420"/>
          <cell r="W5420"/>
          <cell r="X5420"/>
          <cell r="Y5420"/>
        </row>
        <row r="5421">
          <cell r="V5421"/>
          <cell r="W5421"/>
          <cell r="X5421"/>
          <cell r="Y5421"/>
        </row>
        <row r="5422">
          <cell r="V5422"/>
          <cell r="W5422"/>
          <cell r="X5422"/>
          <cell r="Y5422"/>
        </row>
        <row r="5423">
          <cell r="V5423"/>
          <cell r="W5423"/>
          <cell r="X5423"/>
          <cell r="Y5423"/>
        </row>
        <row r="5424">
          <cell r="V5424"/>
          <cell r="W5424"/>
          <cell r="X5424"/>
          <cell r="Y5424"/>
        </row>
        <row r="5425">
          <cell r="V5425"/>
          <cell r="W5425"/>
          <cell r="X5425"/>
          <cell r="Y5425"/>
        </row>
        <row r="5426">
          <cell r="V5426"/>
          <cell r="W5426"/>
          <cell r="X5426"/>
          <cell r="Y5426"/>
        </row>
        <row r="5427">
          <cell r="V5427"/>
          <cell r="W5427"/>
          <cell r="X5427"/>
          <cell r="Y5427"/>
        </row>
        <row r="5428">
          <cell r="V5428"/>
          <cell r="W5428"/>
          <cell r="X5428"/>
          <cell r="Y5428"/>
        </row>
        <row r="5429">
          <cell r="V5429"/>
          <cell r="W5429"/>
          <cell r="X5429"/>
          <cell r="Y5429"/>
        </row>
        <row r="5430">
          <cell r="V5430"/>
          <cell r="W5430"/>
          <cell r="X5430"/>
          <cell r="Y5430"/>
        </row>
        <row r="5431">
          <cell r="V5431"/>
          <cell r="W5431"/>
          <cell r="X5431"/>
          <cell r="Y5431"/>
        </row>
        <row r="5432">
          <cell r="V5432"/>
          <cell r="W5432"/>
          <cell r="X5432"/>
          <cell r="Y5432"/>
        </row>
        <row r="5433">
          <cell r="V5433"/>
          <cell r="W5433"/>
          <cell r="X5433"/>
          <cell r="Y5433"/>
        </row>
        <row r="5434">
          <cell r="V5434"/>
          <cell r="W5434"/>
          <cell r="X5434"/>
          <cell r="Y5434"/>
        </row>
        <row r="5435">
          <cell r="V5435"/>
          <cell r="W5435"/>
          <cell r="X5435"/>
          <cell r="Y5435"/>
        </row>
        <row r="5436">
          <cell r="V5436"/>
          <cell r="W5436"/>
          <cell r="X5436"/>
          <cell r="Y5436"/>
        </row>
        <row r="5437">
          <cell r="V5437"/>
          <cell r="W5437"/>
          <cell r="X5437"/>
          <cell r="Y5437"/>
        </row>
        <row r="5438">
          <cell r="V5438"/>
          <cell r="W5438"/>
          <cell r="X5438"/>
          <cell r="Y5438"/>
        </row>
        <row r="5439">
          <cell r="V5439"/>
          <cell r="W5439"/>
          <cell r="X5439"/>
          <cell r="Y5439"/>
        </row>
        <row r="5440">
          <cell r="V5440"/>
          <cell r="W5440"/>
          <cell r="X5440"/>
          <cell r="Y5440"/>
        </row>
        <row r="5441">
          <cell r="V5441"/>
          <cell r="W5441"/>
          <cell r="X5441"/>
          <cell r="Y5441"/>
        </row>
        <row r="5442">
          <cell r="V5442"/>
          <cell r="W5442"/>
          <cell r="X5442"/>
          <cell r="Y5442"/>
        </row>
        <row r="5443">
          <cell r="V5443"/>
          <cell r="W5443"/>
          <cell r="X5443"/>
          <cell r="Y5443"/>
        </row>
        <row r="5444">
          <cell r="V5444"/>
          <cell r="W5444"/>
          <cell r="X5444"/>
          <cell r="Y5444"/>
        </row>
        <row r="5445">
          <cell r="V5445"/>
          <cell r="W5445"/>
          <cell r="X5445"/>
          <cell r="Y5445"/>
        </row>
        <row r="5446">
          <cell r="V5446"/>
          <cell r="W5446"/>
          <cell r="X5446"/>
          <cell r="Y5446"/>
        </row>
        <row r="5447">
          <cell r="V5447"/>
          <cell r="W5447"/>
          <cell r="X5447"/>
          <cell r="Y5447"/>
        </row>
        <row r="5448">
          <cell r="V5448"/>
          <cell r="W5448"/>
          <cell r="X5448"/>
          <cell r="Y5448"/>
        </row>
        <row r="5449">
          <cell r="V5449"/>
          <cell r="W5449"/>
          <cell r="X5449"/>
          <cell r="Y5449"/>
        </row>
        <row r="5450">
          <cell r="V5450"/>
          <cell r="W5450"/>
          <cell r="X5450"/>
          <cell r="Y5450"/>
        </row>
        <row r="5451">
          <cell r="V5451"/>
          <cell r="W5451"/>
          <cell r="X5451"/>
          <cell r="Y5451"/>
        </row>
        <row r="5452">
          <cell r="V5452"/>
          <cell r="W5452"/>
          <cell r="X5452"/>
          <cell r="Y5452"/>
        </row>
        <row r="5453">
          <cell r="V5453"/>
          <cell r="W5453"/>
          <cell r="X5453"/>
          <cell r="Y5453"/>
        </row>
        <row r="5454">
          <cell r="V5454"/>
          <cell r="W5454"/>
          <cell r="X5454"/>
          <cell r="Y5454"/>
        </row>
        <row r="5455">
          <cell r="V5455"/>
          <cell r="W5455"/>
          <cell r="X5455"/>
          <cell r="Y5455"/>
        </row>
        <row r="5456">
          <cell r="V5456"/>
          <cell r="W5456"/>
          <cell r="X5456"/>
          <cell r="Y5456"/>
        </row>
        <row r="5457">
          <cell r="V5457"/>
          <cell r="W5457"/>
          <cell r="X5457"/>
          <cell r="Y5457"/>
        </row>
        <row r="5458">
          <cell r="V5458"/>
          <cell r="W5458"/>
          <cell r="X5458"/>
          <cell r="Y5458"/>
        </row>
        <row r="5459">
          <cell r="V5459"/>
          <cell r="W5459"/>
          <cell r="X5459"/>
          <cell r="Y5459"/>
        </row>
        <row r="5460">
          <cell r="V5460"/>
          <cell r="W5460"/>
          <cell r="X5460"/>
          <cell r="Y5460"/>
        </row>
        <row r="5461">
          <cell r="V5461"/>
          <cell r="W5461"/>
          <cell r="X5461"/>
          <cell r="Y5461"/>
        </row>
        <row r="5462">
          <cell r="V5462"/>
          <cell r="W5462"/>
          <cell r="X5462"/>
          <cell r="Y5462"/>
        </row>
        <row r="5463">
          <cell r="V5463"/>
          <cell r="W5463"/>
          <cell r="X5463"/>
          <cell r="Y5463"/>
        </row>
        <row r="5464">
          <cell r="V5464"/>
          <cell r="W5464"/>
          <cell r="X5464"/>
          <cell r="Y5464"/>
        </row>
        <row r="5465">
          <cell r="V5465"/>
          <cell r="W5465"/>
          <cell r="X5465"/>
          <cell r="Y5465"/>
        </row>
        <row r="5466">
          <cell r="V5466"/>
          <cell r="W5466"/>
          <cell r="X5466"/>
          <cell r="Y5466"/>
        </row>
        <row r="5467">
          <cell r="V5467"/>
          <cell r="W5467"/>
          <cell r="X5467"/>
          <cell r="Y5467"/>
        </row>
        <row r="5468">
          <cell r="V5468"/>
          <cell r="W5468"/>
          <cell r="X5468"/>
          <cell r="Y5468"/>
        </row>
        <row r="5469">
          <cell r="V5469"/>
          <cell r="W5469"/>
          <cell r="X5469"/>
          <cell r="Y5469"/>
        </row>
        <row r="5470">
          <cell r="V5470"/>
          <cell r="W5470"/>
          <cell r="X5470"/>
          <cell r="Y5470"/>
        </row>
        <row r="5471">
          <cell r="V5471"/>
          <cell r="W5471"/>
          <cell r="X5471"/>
          <cell r="Y5471"/>
        </row>
        <row r="5472">
          <cell r="V5472"/>
          <cell r="W5472"/>
          <cell r="X5472"/>
          <cell r="Y5472"/>
        </row>
        <row r="5473">
          <cell r="V5473"/>
          <cell r="W5473"/>
          <cell r="X5473"/>
          <cell r="Y5473"/>
        </row>
        <row r="5474">
          <cell r="V5474"/>
          <cell r="W5474"/>
          <cell r="X5474"/>
          <cell r="Y5474"/>
        </row>
        <row r="5475">
          <cell r="V5475"/>
          <cell r="W5475"/>
          <cell r="X5475"/>
          <cell r="Y5475"/>
        </row>
        <row r="5476">
          <cell r="V5476"/>
          <cell r="W5476"/>
          <cell r="X5476"/>
          <cell r="Y5476"/>
        </row>
        <row r="5477">
          <cell r="V5477"/>
          <cell r="W5477"/>
          <cell r="X5477"/>
          <cell r="Y5477"/>
        </row>
        <row r="5478">
          <cell r="V5478"/>
          <cell r="W5478"/>
          <cell r="X5478"/>
          <cell r="Y5478"/>
        </row>
        <row r="5479">
          <cell r="V5479"/>
          <cell r="W5479"/>
          <cell r="X5479"/>
          <cell r="Y5479"/>
        </row>
        <row r="5480">
          <cell r="V5480"/>
          <cell r="W5480"/>
          <cell r="X5480"/>
          <cell r="Y5480"/>
        </row>
        <row r="5481">
          <cell r="V5481"/>
          <cell r="W5481"/>
          <cell r="X5481"/>
          <cell r="Y5481"/>
        </row>
        <row r="5482">
          <cell r="V5482"/>
          <cell r="W5482"/>
          <cell r="X5482"/>
          <cell r="Y5482"/>
        </row>
        <row r="5483">
          <cell r="V5483"/>
          <cell r="W5483"/>
          <cell r="X5483"/>
          <cell r="Y5483"/>
        </row>
        <row r="5484">
          <cell r="V5484"/>
          <cell r="W5484"/>
          <cell r="X5484"/>
          <cell r="Y5484"/>
        </row>
        <row r="5485">
          <cell r="V5485"/>
          <cell r="W5485"/>
          <cell r="X5485"/>
          <cell r="Y5485"/>
        </row>
        <row r="5486">
          <cell r="V5486"/>
          <cell r="W5486"/>
          <cell r="X5486"/>
          <cell r="Y5486"/>
        </row>
        <row r="5487">
          <cell r="V5487"/>
          <cell r="W5487"/>
          <cell r="X5487"/>
          <cell r="Y5487"/>
        </row>
        <row r="5488">
          <cell r="V5488"/>
          <cell r="W5488"/>
          <cell r="X5488"/>
          <cell r="Y5488"/>
        </row>
        <row r="5489">
          <cell r="V5489"/>
          <cell r="W5489"/>
          <cell r="X5489"/>
          <cell r="Y5489"/>
        </row>
        <row r="5490">
          <cell r="V5490"/>
          <cell r="W5490"/>
          <cell r="X5490"/>
          <cell r="Y5490"/>
        </row>
        <row r="5491">
          <cell r="V5491"/>
          <cell r="W5491"/>
          <cell r="X5491"/>
          <cell r="Y5491"/>
        </row>
        <row r="5492">
          <cell r="V5492"/>
          <cell r="W5492"/>
          <cell r="X5492"/>
          <cell r="Y5492"/>
        </row>
        <row r="5493">
          <cell r="V5493"/>
          <cell r="W5493"/>
          <cell r="X5493"/>
          <cell r="Y5493"/>
        </row>
        <row r="5494">
          <cell r="V5494"/>
          <cell r="W5494"/>
          <cell r="X5494"/>
          <cell r="Y5494"/>
        </row>
        <row r="5495">
          <cell r="V5495"/>
          <cell r="W5495"/>
          <cell r="X5495"/>
          <cell r="Y5495"/>
        </row>
        <row r="5496">
          <cell r="V5496"/>
          <cell r="W5496"/>
          <cell r="X5496"/>
          <cell r="Y5496"/>
        </row>
        <row r="5497">
          <cell r="V5497"/>
          <cell r="W5497"/>
          <cell r="X5497"/>
          <cell r="Y5497"/>
        </row>
        <row r="5498">
          <cell r="V5498"/>
          <cell r="W5498"/>
          <cell r="X5498"/>
          <cell r="Y5498"/>
        </row>
        <row r="5499">
          <cell r="V5499"/>
          <cell r="W5499"/>
          <cell r="X5499"/>
          <cell r="Y5499"/>
        </row>
        <row r="5500">
          <cell r="V5500"/>
          <cell r="W5500"/>
          <cell r="X5500"/>
          <cell r="Y5500"/>
        </row>
        <row r="5501">
          <cell r="V5501"/>
          <cell r="W5501"/>
          <cell r="X5501"/>
          <cell r="Y5501"/>
        </row>
        <row r="5502">
          <cell r="V5502"/>
          <cell r="W5502"/>
          <cell r="X5502"/>
          <cell r="Y5502"/>
        </row>
        <row r="5503">
          <cell r="V5503"/>
          <cell r="W5503"/>
          <cell r="X5503"/>
          <cell r="Y5503"/>
        </row>
        <row r="5504">
          <cell r="V5504"/>
          <cell r="W5504"/>
          <cell r="X5504"/>
          <cell r="Y5504"/>
        </row>
        <row r="5505">
          <cell r="V5505"/>
          <cell r="W5505"/>
          <cell r="X5505"/>
          <cell r="Y5505"/>
        </row>
        <row r="5506">
          <cell r="V5506"/>
          <cell r="W5506"/>
          <cell r="X5506"/>
          <cell r="Y5506"/>
        </row>
        <row r="5507">
          <cell r="V5507"/>
          <cell r="W5507"/>
          <cell r="X5507"/>
          <cell r="Y5507"/>
        </row>
        <row r="5508">
          <cell r="V5508"/>
          <cell r="W5508"/>
          <cell r="X5508"/>
          <cell r="Y5508"/>
        </row>
        <row r="5509">
          <cell r="V5509"/>
          <cell r="W5509"/>
          <cell r="X5509"/>
          <cell r="Y5509"/>
        </row>
        <row r="5510">
          <cell r="V5510"/>
          <cell r="W5510"/>
          <cell r="X5510"/>
          <cell r="Y5510"/>
        </row>
        <row r="5511">
          <cell r="V5511"/>
          <cell r="W5511"/>
          <cell r="X5511"/>
          <cell r="Y5511"/>
        </row>
        <row r="5512">
          <cell r="V5512"/>
          <cell r="W5512"/>
          <cell r="X5512"/>
          <cell r="Y5512"/>
        </row>
        <row r="5513">
          <cell r="V5513"/>
          <cell r="W5513"/>
          <cell r="X5513"/>
          <cell r="Y5513"/>
        </row>
        <row r="5514">
          <cell r="V5514"/>
          <cell r="W5514"/>
          <cell r="X5514"/>
          <cell r="Y5514"/>
        </row>
        <row r="5515">
          <cell r="V5515"/>
          <cell r="W5515"/>
          <cell r="X5515"/>
          <cell r="Y5515"/>
        </row>
        <row r="5516">
          <cell r="V5516"/>
          <cell r="W5516"/>
          <cell r="X5516"/>
          <cell r="Y5516"/>
        </row>
        <row r="5517">
          <cell r="V5517"/>
          <cell r="W5517"/>
          <cell r="X5517"/>
          <cell r="Y5517"/>
        </row>
        <row r="5518">
          <cell r="V5518"/>
          <cell r="W5518"/>
          <cell r="X5518"/>
          <cell r="Y5518"/>
        </row>
        <row r="5519">
          <cell r="V5519"/>
          <cell r="W5519"/>
          <cell r="X5519"/>
          <cell r="Y5519"/>
        </row>
        <row r="5520">
          <cell r="V5520"/>
          <cell r="W5520"/>
          <cell r="X5520"/>
          <cell r="Y5520"/>
        </row>
        <row r="5521">
          <cell r="V5521"/>
          <cell r="W5521"/>
          <cell r="X5521"/>
          <cell r="Y5521"/>
        </row>
        <row r="5522">
          <cell r="V5522"/>
          <cell r="W5522"/>
          <cell r="X5522"/>
          <cell r="Y5522"/>
        </row>
        <row r="5523">
          <cell r="V5523"/>
          <cell r="W5523"/>
          <cell r="X5523"/>
          <cell r="Y5523"/>
        </row>
        <row r="5524">
          <cell r="V5524"/>
          <cell r="W5524"/>
          <cell r="X5524"/>
          <cell r="Y5524"/>
        </row>
        <row r="5525">
          <cell r="V5525"/>
          <cell r="W5525"/>
          <cell r="X5525"/>
          <cell r="Y5525"/>
        </row>
        <row r="5526">
          <cell r="V5526"/>
          <cell r="W5526"/>
          <cell r="X5526"/>
          <cell r="Y5526"/>
        </row>
        <row r="5527">
          <cell r="V5527"/>
          <cell r="W5527"/>
          <cell r="X5527"/>
          <cell r="Y5527"/>
        </row>
        <row r="5528">
          <cell r="V5528"/>
          <cell r="W5528"/>
          <cell r="X5528"/>
          <cell r="Y5528"/>
        </row>
        <row r="5529">
          <cell r="V5529"/>
          <cell r="W5529"/>
          <cell r="X5529"/>
          <cell r="Y5529"/>
        </row>
        <row r="5530">
          <cell r="V5530"/>
          <cell r="W5530"/>
          <cell r="X5530"/>
          <cell r="Y5530"/>
        </row>
        <row r="5531">
          <cell r="V5531"/>
          <cell r="W5531"/>
          <cell r="X5531"/>
          <cell r="Y5531"/>
        </row>
        <row r="5532">
          <cell r="V5532"/>
          <cell r="W5532"/>
          <cell r="X5532"/>
          <cell r="Y5532"/>
        </row>
        <row r="5533">
          <cell r="V5533"/>
          <cell r="W5533"/>
          <cell r="X5533"/>
          <cell r="Y5533"/>
        </row>
        <row r="5534">
          <cell r="V5534"/>
          <cell r="W5534"/>
          <cell r="X5534"/>
          <cell r="Y5534"/>
        </row>
        <row r="5535">
          <cell r="V5535"/>
          <cell r="W5535"/>
          <cell r="X5535"/>
          <cell r="Y5535"/>
        </row>
        <row r="5536">
          <cell r="V5536"/>
          <cell r="W5536"/>
          <cell r="X5536"/>
          <cell r="Y5536"/>
        </row>
        <row r="5537">
          <cell r="V5537"/>
          <cell r="W5537"/>
          <cell r="X5537"/>
          <cell r="Y5537"/>
        </row>
        <row r="5538">
          <cell r="V5538"/>
          <cell r="W5538"/>
          <cell r="X5538"/>
          <cell r="Y5538"/>
        </row>
        <row r="5539">
          <cell r="V5539"/>
          <cell r="W5539"/>
          <cell r="X5539"/>
          <cell r="Y5539"/>
        </row>
        <row r="5540">
          <cell r="V5540"/>
          <cell r="W5540"/>
          <cell r="X5540"/>
          <cell r="Y5540"/>
        </row>
        <row r="5541">
          <cell r="V5541"/>
          <cell r="W5541"/>
          <cell r="X5541"/>
          <cell r="Y5541"/>
        </row>
        <row r="5542">
          <cell r="V5542"/>
          <cell r="W5542"/>
          <cell r="X5542"/>
          <cell r="Y5542"/>
        </row>
        <row r="5543">
          <cell r="V5543"/>
          <cell r="W5543"/>
          <cell r="X5543"/>
          <cell r="Y5543"/>
        </row>
        <row r="5544">
          <cell r="V5544"/>
          <cell r="W5544"/>
          <cell r="X5544"/>
          <cell r="Y5544"/>
        </row>
        <row r="5545">
          <cell r="V5545"/>
          <cell r="W5545"/>
          <cell r="X5545"/>
          <cell r="Y5545"/>
        </row>
        <row r="5546">
          <cell r="V5546"/>
          <cell r="W5546"/>
          <cell r="X5546"/>
          <cell r="Y5546"/>
        </row>
        <row r="5547">
          <cell r="V5547"/>
          <cell r="W5547"/>
          <cell r="X5547"/>
          <cell r="Y5547"/>
        </row>
        <row r="5548">
          <cell r="V5548"/>
          <cell r="W5548"/>
          <cell r="X5548"/>
          <cell r="Y5548"/>
        </row>
        <row r="5549">
          <cell r="V5549"/>
          <cell r="W5549"/>
          <cell r="X5549"/>
          <cell r="Y5549"/>
        </row>
        <row r="5550">
          <cell r="V5550"/>
          <cell r="W5550"/>
          <cell r="X5550"/>
          <cell r="Y5550"/>
        </row>
        <row r="5551">
          <cell r="V5551"/>
          <cell r="W5551"/>
          <cell r="X5551"/>
          <cell r="Y5551"/>
        </row>
        <row r="5552">
          <cell r="V5552"/>
          <cell r="W5552"/>
          <cell r="X5552"/>
          <cell r="Y5552"/>
        </row>
        <row r="5553">
          <cell r="V5553"/>
          <cell r="W5553"/>
          <cell r="X5553"/>
          <cell r="Y5553"/>
        </row>
        <row r="5554">
          <cell r="V5554"/>
          <cell r="W5554"/>
          <cell r="X5554"/>
          <cell r="Y5554"/>
        </row>
        <row r="5555">
          <cell r="V5555"/>
          <cell r="W5555"/>
          <cell r="X5555"/>
          <cell r="Y5555"/>
        </row>
        <row r="5556">
          <cell r="V5556"/>
          <cell r="W5556"/>
          <cell r="X5556"/>
          <cell r="Y5556"/>
        </row>
        <row r="5557">
          <cell r="V5557"/>
          <cell r="W5557"/>
          <cell r="X5557"/>
          <cell r="Y5557"/>
        </row>
        <row r="5558">
          <cell r="V5558"/>
          <cell r="W5558"/>
          <cell r="X5558"/>
          <cell r="Y5558"/>
        </row>
        <row r="5559">
          <cell r="V5559"/>
          <cell r="W5559"/>
          <cell r="X5559"/>
          <cell r="Y5559"/>
        </row>
        <row r="5560">
          <cell r="V5560"/>
          <cell r="W5560"/>
          <cell r="X5560"/>
          <cell r="Y5560"/>
        </row>
        <row r="5561">
          <cell r="V5561"/>
          <cell r="W5561"/>
          <cell r="X5561"/>
          <cell r="Y5561"/>
        </row>
        <row r="5562">
          <cell r="V5562"/>
          <cell r="W5562"/>
          <cell r="X5562"/>
          <cell r="Y5562"/>
        </row>
        <row r="5563">
          <cell r="V5563"/>
          <cell r="W5563"/>
          <cell r="X5563"/>
          <cell r="Y5563"/>
        </row>
        <row r="5564">
          <cell r="V5564"/>
          <cell r="W5564"/>
          <cell r="X5564"/>
          <cell r="Y5564"/>
        </row>
        <row r="5565">
          <cell r="V5565"/>
          <cell r="W5565"/>
          <cell r="X5565"/>
          <cell r="Y5565"/>
        </row>
        <row r="5566">
          <cell r="V5566"/>
          <cell r="W5566"/>
          <cell r="X5566"/>
          <cell r="Y5566"/>
        </row>
        <row r="5567">
          <cell r="V5567"/>
          <cell r="W5567"/>
          <cell r="X5567"/>
          <cell r="Y5567"/>
        </row>
        <row r="5568">
          <cell r="V5568"/>
          <cell r="W5568"/>
          <cell r="X5568"/>
          <cell r="Y5568"/>
        </row>
        <row r="5569">
          <cell r="V5569"/>
          <cell r="W5569"/>
          <cell r="X5569"/>
          <cell r="Y5569"/>
        </row>
        <row r="5570">
          <cell r="V5570"/>
          <cell r="W5570"/>
          <cell r="X5570"/>
          <cell r="Y5570"/>
        </row>
        <row r="5571">
          <cell r="V5571"/>
          <cell r="W5571"/>
          <cell r="X5571"/>
          <cell r="Y5571"/>
        </row>
        <row r="5572">
          <cell r="V5572"/>
          <cell r="W5572"/>
          <cell r="X5572"/>
          <cell r="Y5572"/>
        </row>
        <row r="5573">
          <cell r="V5573"/>
          <cell r="W5573"/>
          <cell r="X5573"/>
          <cell r="Y5573"/>
        </row>
        <row r="5574">
          <cell r="V5574"/>
          <cell r="W5574"/>
          <cell r="X5574"/>
          <cell r="Y5574"/>
        </row>
        <row r="5575">
          <cell r="V5575"/>
          <cell r="W5575"/>
          <cell r="X5575"/>
          <cell r="Y5575"/>
        </row>
        <row r="5576">
          <cell r="V5576"/>
          <cell r="W5576"/>
          <cell r="X5576"/>
          <cell r="Y5576"/>
        </row>
        <row r="5577">
          <cell r="V5577"/>
          <cell r="W5577"/>
          <cell r="X5577"/>
          <cell r="Y5577"/>
        </row>
        <row r="5578">
          <cell r="V5578"/>
          <cell r="W5578"/>
          <cell r="X5578"/>
          <cell r="Y5578"/>
        </row>
        <row r="5579">
          <cell r="V5579"/>
          <cell r="W5579"/>
          <cell r="X5579"/>
          <cell r="Y5579"/>
        </row>
        <row r="5580">
          <cell r="V5580"/>
          <cell r="W5580"/>
          <cell r="X5580"/>
          <cell r="Y5580"/>
        </row>
        <row r="5581">
          <cell r="V5581"/>
          <cell r="W5581"/>
          <cell r="X5581"/>
          <cell r="Y5581"/>
        </row>
        <row r="5582">
          <cell r="V5582"/>
          <cell r="W5582"/>
          <cell r="X5582"/>
          <cell r="Y5582"/>
        </row>
        <row r="5583">
          <cell r="V5583"/>
          <cell r="W5583"/>
          <cell r="X5583"/>
          <cell r="Y5583"/>
        </row>
        <row r="5584">
          <cell r="V5584"/>
          <cell r="W5584"/>
          <cell r="X5584"/>
          <cell r="Y5584"/>
        </row>
        <row r="5585">
          <cell r="V5585"/>
          <cell r="W5585"/>
          <cell r="X5585"/>
          <cell r="Y5585"/>
        </row>
        <row r="5586">
          <cell r="V5586"/>
          <cell r="W5586"/>
          <cell r="X5586"/>
          <cell r="Y5586"/>
        </row>
        <row r="5587">
          <cell r="V5587"/>
          <cell r="W5587"/>
          <cell r="X5587"/>
          <cell r="Y5587"/>
        </row>
        <row r="5588">
          <cell r="V5588"/>
          <cell r="W5588"/>
          <cell r="X5588"/>
          <cell r="Y5588"/>
        </row>
        <row r="5589">
          <cell r="V5589"/>
          <cell r="W5589"/>
          <cell r="X5589"/>
          <cell r="Y5589"/>
        </row>
        <row r="5590">
          <cell r="V5590"/>
          <cell r="W5590"/>
          <cell r="X5590"/>
          <cell r="Y5590"/>
        </row>
        <row r="5591">
          <cell r="V5591"/>
          <cell r="W5591"/>
          <cell r="X5591"/>
          <cell r="Y5591"/>
        </row>
        <row r="5592">
          <cell r="V5592"/>
          <cell r="W5592"/>
          <cell r="X5592"/>
          <cell r="Y5592"/>
        </row>
        <row r="5593">
          <cell r="V5593"/>
          <cell r="W5593"/>
          <cell r="X5593"/>
          <cell r="Y5593"/>
        </row>
        <row r="5594">
          <cell r="V5594"/>
          <cell r="W5594"/>
          <cell r="X5594"/>
          <cell r="Y5594"/>
        </row>
        <row r="5595">
          <cell r="V5595"/>
          <cell r="W5595"/>
          <cell r="X5595"/>
          <cell r="Y5595"/>
        </row>
        <row r="5596">
          <cell r="V5596"/>
          <cell r="W5596"/>
          <cell r="X5596"/>
          <cell r="Y5596"/>
        </row>
        <row r="5597">
          <cell r="V5597"/>
          <cell r="W5597"/>
          <cell r="X5597"/>
          <cell r="Y5597"/>
        </row>
        <row r="5598">
          <cell r="V5598"/>
          <cell r="W5598"/>
          <cell r="X5598"/>
          <cell r="Y5598"/>
        </row>
        <row r="5599">
          <cell r="V5599"/>
          <cell r="W5599"/>
          <cell r="X5599"/>
          <cell r="Y5599"/>
        </row>
        <row r="5600">
          <cell r="V5600"/>
          <cell r="W5600"/>
          <cell r="X5600"/>
          <cell r="Y5600"/>
        </row>
        <row r="5601">
          <cell r="V5601"/>
          <cell r="W5601"/>
          <cell r="X5601"/>
          <cell r="Y5601"/>
        </row>
        <row r="5602">
          <cell r="V5602"/>
          <cell r="W5602"/>
          <cell r="X5602"/>
          <cell r="Y5602"/>
        </row>
        <row r="5603">
          <cell r="V5603"/>
          <cell r="W5603"/>
          <cell r="X5603"/>
          <cell r="Y5603"/>
        </row>
        <row r="5604">
          <cell r="V5604"/>
          <cell r="W5604"/>
          <cell r="X5604"/>
          <cell r="Y5604"/>
        </row>
        <row r="5605">
          <cell r="V5605"/>
          <cell r="W5605"/>
          <cell r="X5605"/>
          <cell r="Y5605"/>
        </row>
        <row r="5606">
          <cell r="V5606"/>
          <cell r="W5606"/>
          <cell r="X5606"/>
          <cell r="Y5606"/>
        </row>
        <row r="5607">
          <cell r="V5607"/>
          <cell r="W5607"/>
          <cell r="X5607"/>
          <cell r="Y5607"/>
        </row>
        <row r="5608">
          <cell r="V5608"/>
          <cell r="W5608"/>
          <cell r="X5608"/>
          <cell r="Y5608"/>
        </row>
        <row r="5609">
          <cell r="V5609"/>
          <cell r="W5609"/>
          <cell r="X5609"/>
          <cell r="Y5609"/>
        </row>
        <row r="5610">
          <cell r="V5610"/>
          <cell r="W5610"/>
          <cell r="X5610"/>
          <cell r="Y5610"/>
        </row>
        <row r="5611">
          <cell r="V5611"/>
          <cell r="W5611"/>
          <cell r="X5611"/>
          <cell r="Y5611"/>
        </row>
        <row r="5612">
          <cell r="V5612"/>
          <cell r="W5612"/>
          <cell r="X5612"/>
          <cell r="Y5612"/>
        </row>
        <row r="5613">
          <cell r="V5613"/>
          <cell r="W5613"/>
          <cell r="X5613"/>
          <cell r="Y5613"/>
        </row>
        <row r="5614">
          <cell r="V5614"/>
          <cell r="W5614"/>
          <cell r="X5614"/>
          <cell r="Y5614"/>
        </row>
        <row r="5615">
          <cell r="V5615"/>
          <cell r="W5615"/>
          <cell r="X5615"/>
          <cell r="Y5615"/>
        </row>
        <row r="5616">
          <cell r="V5616"/>
          <cell r="W5616"/>
          <cell r="X5616"/>
          <cell r="Y5616"/>
        </row>
        <row r="5617">
          <cell r="V5617"/>
          <cell r="W5617"/>
          <cell r="X5617"/>
          <cell r="Y5617"/>
        </row>
        <row r="5618">
          <cell r="V5618"/>
          <cell r="W5618"/>
          <cell r="X5618"/>
          <cell r="Y5618"/>
        </row>
        <row r="5619">
          <cell r="V5619"/>
          <cell r="W5619"/>
          <cell r="X5619"/>
          <cell r="Y5619"/>
        </row>
        <row r="5620">
          <cell r="V5620"/>
          <cell r="W5620"/>
          <cell r="X5620"/>
          <cell r="Y5620"/>
        </row>
        <row r="5621">
          <cell r="V5621"/>
          <cell r="W5621"/>
          <cell r="X5621"/>
          <cell r="Y5621"/>
        </row>
        <row r="5622">
          <cell r="V5622"/>
          <cell r="W5622"/>
          <cell r="X5622"/>
          <cell r="Y5622"/>
        </row>
        <row r="5623">
          <cell r="V5623"/>
          <cell r="W5623"/>
          <cell r="X5623"/>
          <cell r="Y5623"/>
        </row>
        <row r="5624">
          <cell r="V5624"/>
          <cell r="W5624"/>
          <cell r="X5624"/>
          <cell r="Y5624"/>
        </row>
        <row r="5625">
          <cell r="V5625"/>
          <cell r="W5625"/>
          <cell r="X5625"/>
          <cell r="Y5625"/>
        </row>
        <row r="5626">
          <cell r="V5626"/>
          <cell r="W5626"/>
          <cell r="X5626"/>
          <cell r="Y5626"/>
        </row>
        <row r="5627">
          <cell r="V5627"/>
          <cell r="W5627"/>
          <cell r="X5627"/>
          <cell r="Y5627"/>
        </row>
        <row r="5628">
          <cell r="V5628"/>
          <cell r="W5628"/>
          <cell r="X5628"/>
          <cell r="Y5628"/>
        </row>
        <row r="5629">
          <cell r="V5629"/>
          <cell r="W5629"/>
          <cell r="X5629"/>
          <cell r="Y5629"/>
        </row>
        <row r="5630">
          <cell r="V5630"/>
          <cell r="W5630"/>
          <cell r="X5630"/>
          <cell r="Y5630"/>
        </row>
        <row r="5631">
          <cell r="V5631"/>
          <cell r="W5631"/>
          <cell r="X5631"/>
          <cell r="Y5631"/>
        </row>
        <row r="5632">
          <cell r="V5632"/>
          <cell r="W5632"/>
          <cell r="X5632"/>
          <cell r="Y5632"/>
        </row>
        <row r="5633">
          <cell r="V5633"/>
          <cell r="W5633"/>
          <cell r="X5633"/>
          <cell r="Y5633"/>
        </row>
        <row r="5634">
          <cell r="V5634"/>
          <cell r="W5634"/>
          <cell r="X5634"/>
          <cell r="Y5634"/>
        </row>
        <row r="5635">
          <cell r="V5635"/>
          <cell r="W5635"/>
          <cell r="X5635"/>
          <cell r="Y5635"/>
        </row>
        <row r="5636">
          <cell r="V5636"/>
          <cell r="W5636"/>
          <cell r="X5636"/>
          <cell r="Y5636"/>
        </row>
        <row r="5637">
          <cell r="V5637"/>
          <cell r="W5637"/>
          <cell r="X5637"/>
          <cell r="Y5637"/>
        </row>
        <row r="5638">
          <cell r="V5638"/>
          <cell r="W5638"/>
          <cell r="X5638"/>
          <cell r="Y5638"/>
        </row>
        <row r="5639">
          <cell r="V5639"/>
          <cell r="W5639"/>
          <cell r="X5639"/>
          <cell r="Y5639"/>
        </row>
        <row r="5640">
          <cell r="V5640"/>
          <cell r="W5640"/>
          <cell r="X5640"/>
          <cell r="Y5640"/>
        </row>
        <row r="5641">
          <cell r="V5641"/>
          <cell r="W5641"/>
          <cell r="X5641"/>
          <cell r="Y5641"/>
        </row>
        <row r="5642">
          <cell r="V5642"/>
          <cell r="W5642"/>
          <cell r="X5642"/>
          <cell r="Y5642"/>
        </row>
        <row r="5643">
          <cell r="V5643"/>
          <cell r="W5643"/>
          <cell r="X5643"/>
          <cell r="Y5643"/>
        </row>
        <row r="5644">
          <cell r="V5644"/>
          <cell r="W5644"/>
          <cell r="X5644"/>
          <cell r="Y5644"/>
        </row>
        <row r="5645">
          <cell r="V5645"/>
          <cell r="W5645"/>
          <cell r="X5645"/>
          <cell r="Y5645"/>
        </row>
        <row r="5646">
          <cell r="V5646"/>
          <cell r="W5646"/>
          <cell r="X5646"/>
          <cell r="Y5646"/>
        </row>
        <row r="5647">
          <cell r="V5647"/>
          <cell r="W5647"/>
          <cell r="X5647"/>
          <cell r="Y5647"/>
        </row>
        <row r="5648">
          <cell r="V5648"/>
          <cell r="W5648"/>
          <cell r="X5648"/>
          <cell r="Y5648"/>
        </row>
        <row r="5649">
          <cell r="V5649"/>
          <cell r="W5649"/>
          <cell r="X5649"/>
          <cell r="Y5649"/>
        </row>
        <row r="5650">
          <cell r="V5650"/>
          <cell r="W5650"/>
          <cell r="X5650"/>
          <cell r="Y5650"/>
        </row>
        <row r="5651">
          <cell r="V5651"/>
          <cell r="W5651"/>
          <cell r="X5651"/>
          <cell r="Y5651"/>
        </row>
        <row r="5652">
          <cell r="V5652"/>
          <cell r="W5652"/>
          <cell r="X5652"/>
          <cell r="Y5652"/>
        </row>
        <row r="5653">
          <cell r="V5653"/>
          <cell r="W5653"/>
          <cell r="X5653"/>
          <cell r="Y5653"/>
        </row>
        <row r="5654">
          <cell r="V5654"/>
          <cell r="W5654"/>
          <cell r="X5654"/>
          <cell r="Y5654"/>
        </row>
        <row r="5655">
          <cell r="V5655"/>
          <cell r="W5655"/>
          <cell r="X5655"/>
          <cell r="Y5655"/>
        </row>
        <row r="5656">
          <cell r="V5656"/>
          <cell r="W5656"/>
          <cell r="X5656"/>
          <cell r="Y5656"/>
        </row>
        <row r="5657">
          <cell r="V5657"/>
          <cell r="W5657"/>
          <cell r="X5657"/>
          <cell r="Y5657"/>
        </row>
        <row r="5658">
          <cell r="V5658"/>
          <cell r="W5658"/>
          <cell r="X5658"/>
          <cell r="Y5658"/>
        </row>
        <row r="5659">
          <cell r="V5659"/>
          <cell r="W5659"/>
          <cell r="X5659"/>
          <cell r="Y5659"/>
        </row>
        <row r="5660">
          <cell r="V5660"/>
          <cell r="W5660"/>
          <cell r="X5660"/>
          <cell r="Y5660"/>
        </row>
        <row r="5661">
          <cell r="V5661"/>
          <cell r="W5661"/>
          <cell r="X5661"/>
          <cell r="Y5661"/>
        </row>
        <row r="5662">
          <cell r="V5662"/>
          <cell r="W5662"/>
          <cell r="X5662"/>
          <cell r="Y5662"/>
        </row>
        <row r="5663">
          <cell r="V5663"/>
          <cell r="W5663"/>
          <cell r="X5663"/>
          <cell r="Y5663"/>
        </row>
        <row r="5664">
          <cell r="V5664"/>
          <cell r="W5664"/>
          <cell r="X5664"/>
          <cell r="Y5664"/>
        </row>
        <row r="5665">
          <cell r="V5665"/>
          <cell r="W5665"/>
          <cell r="X5665"/>
          <cell r="Y5665"/>
        </row>
        <row r="5666">
          <cell r="V5666"/>
          <cell r="W5666"/>
          <cell r="X5666"/>
          <cell r="Y5666"/>
        </row>
        <row r="5667">
          <cell r="V5667"/>
          <cell r="W5667"/>
          <cell r="X5667"/>
          <cell r="Y5667"/>
        </row>
        <row r="5668">
          <cell r="V5668"/>
          <cell r="W5668"/>
          <cell r="X5668"/>
          <cell r="Y5668"/>
        </row>
        <row r="5669">
          <cell r="V5669"/>
          <cell r="W5669"/>
          <cell r="X5669"/>
          <cell r="Y5669"/>
        </row>
        <row r="5670">
          <cell r="V5670"/>
          <cell r="W5670"/>
          <cell r="X5670"/>
          <cell r="Y5670"/>
        </row>
        <row r="5671">
          <cell r="V5671"/>
          <cell r="W5671"/>
          <cell r="X5671"/>
          <cell r="Y5671"/>
        </row>
        <row r="5672">
          <cell r="V5672"/>
          <cell r="W5672"/>
          <cell r="X5672"/>
          <cell r="Y5672"/>
        </row>
        <row r="5673">
          <cell r="V5673"/>
          <cell r="W5673"/>
          <cell r="X5673"/>
          <cell r="Y5673"/>
        </row>
        <row r="5674">
          <cell r="V5674"/>
          <cell r="W5674"/>
          <cell r="X5674"/>
          <cell r="Y5674"/>
        </row>
        <row r="5675">
          <cell r="V5675"/>
          <cell r="W5675"/>
          <cell r="X5675"/>
          <cell r="Y5675"/>
        </row>
        <row r="5676">
          <cell r="V5676"/>
          <cell r="W5676"/>
          <cell r="X5676"/>
          <cell r="Y5676"/>
        </row>
        <row r="5677">
          <cell r="V5677"/>
          <cell r="W5677"/>
          <cell r="X5677"/>
          <cell r="Y5677"/>
        </row>
        <row r="5678">
          <cell r="V5678"/>
          <cell r="W5678"/>
          <cell r="X5678"/>
          <cell r="Y5678"/>
        </row>
        <row r="5679">
          <cell r="V5679"/>
          <cell r="W5679"/>
          <cell r="X5679"/>
          <cell r="Y5679"/>
        </row>
        <row r="5680">
          <cell r="V5680"/>
          <cell r="W5680"/>
          <cell r="X5680"/>
          <cell r="Y5680"/>
        </row>
        <row r="5681">
          <cell r="V5681"/>
          <cell r="W5681"/>
          <cell r="X5681"/>
          <cell r="Y5681"/>
        </row>
        <row r="5682">
          <cell r="V5682"/>
          <cell r="W5682"/>
          <cell r="X5682"/>
          <cell r="Y5682"/>
        </row>
        <row r="5683">
          <cell r="V5683"/>
          <cell r="W5683"/>
          <cell r="X5683"/>
          <cell r="Y5683"/>
        </row>
        <row r="5684">
          <cell r="V5684"/>
          <cell r="W5684"/>
          <cell r="X5684"/>
          <cell r="Y5684"/>
        </row>
        <row r="5685">
          <cell r="V5685"/>
          <cell r="W5685"/>
          <cell r="X5685"/>
          <cell r="Y5685"/>
        </row>
        <row r="5686">
          <cell r="V5686"/>
          <cell r="W5686"/>
          <cell r="X5686"/>
          <cell r="Y5686"/>
        </row>
        <row r="5687">
          <cell r="V5687"/>
          <cell r="W5687"/>
          <cell r="X5687"/>
          <cell r="Y5687"/>
        </row>
        <row r="5688">
          <cell r="V5688"/>
          <cell r="W5688"/>
          <cell r="X5688"/>
          <cell r="Y5688"/>
        </row>
        <row r="5689">
          <cell r="V5689"/>
          <cell r="W5689"/>
          <cell r="X5689"/>
          <cell r="Y5689"/>
        </row>
        <row r="5690">
          <cell r="V5690"/>
          <cell r="W5690"/>
          <cell r="X5690"/>
          <cell r="Y5690"/>
        </row>
        <row r="5691">
          <cell r="V5691"/>
          <cell r="W5691"/>
          <cell r="X5691"/>
          <cell r="Y5691"/>
        </row>
        <row r="5692">
          <cell r="V5692"/>
          <cell r="W5692"/>
          <cell r="X5692"/>
          <cell r="Y5692"/>
        </row>
        <row r="5693">
          <cell r="V5693"/>
          <cell r="W5693"/>
          <cell r="X5693"/>
          <cell r="Y5693"/>
        </row>
        <row r="5694">
          <cell r="V5694"/>
          <cell r="W5694"/>
          <cell r="X5694"/>
          <cell r="Y5694"/>
        </row>
        <row r="5695">
          <cell r="V5695"/>
          <cell r="W5695"/>
          <cell r="X5695"/>
          <cell r="Y5695"/>
        </row>
        <row r="5696">
          <cell r="V5696"/>
          <cell r="W5696"/>
          <cell r="X5696"/>
          <cell r="Y5696"/>
        </row>
        <row r="5697">
          <cell r="V5697"/>
          <cell r="W5697"/>
          <cell r="X5697"/>
          <cell r="Y5697"/>
        </row>
        <row r="5698">
          <cell r="V5698"/>
          <cell r="W5698"/>
          <cell r="X5698"/>
          <cell r="Y5698"/>
        </row>
        <row r="5699">
          <cell r="V5699"/>
          <cell r="W5699"/>
          <cell r="X5699"/>
          <cell r="Y5699"/>
        </row>
        <row r="5700">
          <cell r="V5700"/>
          <cell r="W5700"/>
          <cell r="X5700"/>
          <cell r="Y5700"/>
        </row>
        <row r="5701">
          <cell r="V5701"/>
          <cell r="W5701"/>
          <cell r="X5701"/>
          <cell r="Y5701"/>
        </row>
        <row r="5702">
          <cell r="V5702"/>
          <cell r="W5702"/>
          <cell r="X5702"/>
          <cell r="Y5702"/>
        </row>
        <row r="5703">
          <cell r="V5703"/>
          <cell r="W5703"/>
          <cell r="X5703"/>
          <cell r="Y5703"/>
        </row>
        <row r="5704">
          <cell r="V5704"/>
          <cell r="W5704"/>
          <cell r="X5704"/>
          <cell r="Y5704"/>
        </row>
        <row r="5705">
          <cell r="V5705"/>
          <cell r="W5705"/>
          <cell r="X5705"/>
          <cell r="Y5705"/>
        </row>
        <row r="5706">
          <cell r="V5706"/>
          <cell r="W5706"/>
          <cell r="X5706"/>
          <cell r="Y5706"/>
        </row>
        <row r="5707">
          <cell r="V5707"/>
          <cell r="W5707"/>
          <cell r="X5707"/>
          <cell r="Y5707"/>
        </row>
        <row r="5708">
          <cell r="V5708"/>
          <cell r="W5708"/>
          <cell r="X5708"/>
          <cell r="Y5708"/>
        </row>
        <row r="5709">
          <cell r="V5709"/>
          <cell r="W5709"/>
          <cell r="X5709"/>
          <cell r="Y5709"/>
        </row>
        <row r="5710">
          <cell r="V5710"/>
          <cell r="W5710"/>
          <cell r="X5710"/>
          <cell r="Y5710"/>
        </row>
        <row r="5711">
          <cell r="V5711"/>
          <cell r="W5711"/>
          <cell r="X5711"/>
          <cell r="Y5711"/>
        </row>
        <row r="5712">
          <cell r="V5712"/>
          <cell r="W5712"/>
          <cell r="X5712"/>
          <cell r="Y5712"/>
        </row>
        <row r="5713">
          <cell r="V5713"/>
          <cell r="W5713"/>
          <cell r="X5713"/>
          <cell r="Y5713"/>
        </row>
        <row r="5714">
          <cell r="V5714"/>
          <cell r="W5714"/>
          <cell r="X5714"/>
          <cell r="Y5714"/>
        </row>
        <row r="5715">
          <cell r="V5715"/>
          <cell r="W5715"/>
          <cell r="X5715"/>
          <cell r="Y5715"/>
        </row>
        <row r="5716">
          <cell r="V5716"/>
          <cell r="W5716"/>
          <cell r="X5716"/>
          <cell r="Y5716"/>
        </row>
        <row r="5717">
          <cell r="V5717"/>
          <cell r="W5717"/>
          <cell r="X5717"/>
          <cell r="Y5717"/>
        </row>
        <row r="5718">
          <cell r="V5718"/>
          <cell r="W5718"/>
          <cell r="X5718"/>
          <cell r="Y5718"/>
        </row>
        <row r="5719">
          <cell r="V5719"/>
          <cell r="W5719"/>
          <cell r="X5719"/>
          <cell r="Y5719"/>
        </row>
        <row r="5720">
          <cell r="V5720"/>
          <cell r="W5720"/>
          <cell r="X5720"/>
          <cell r="Y5720"/>
        </row>
        <row r="5721">
          <cell r="V5721"/>
          <cell r="W5721"/>
          <cell r="X5721"/>
          <cell r="Y5721"/>
        </row>
        <row r="5722">
          <cell r="V5722"/>
          <cell r="W5722"/>
          <cell r="X5722"/>
          <cell r="Y5722"/>
        </row>
        <row r="5723">
          <cell r="V5723"/>
          <cell r="W5723"/>
          <cell r="X5723"/>
          <cell r="Y5723"/>
        </row>
        <row r="5724">
          <cell r="V5724"/>
          <cell r="W5724"/>
          <cell r="X5724"/>
          <cell r="Y5724"/>
        </row>
        <row r="5725">
          <cell r="V5725"/>
          <cell r="W5725"/>
          <cell r="X5725"/>
          <cell r="Y5725"/>
        </row>
        <row r="5726">
          <cell r="V5726"/>
          <cell r="W5726"/>
          <cell r="X5726"/>
          <cell r="Y5726"/>
        </row>
        <row r="5727">
          <cell r="V5727"/>
          <cell r="W5727"/>
          <cell r="X5727"/>
          <cell r="Y5727"/>
        </row>
        <row r="5728">
          <cell r="V5728"/>
          <cell r="W5728"/>
          <cell r="X5728"/>
          <cell r="Y5728"/>
        </row>
        <row r="5729">
          <cell r="V5729"/>
          <cell r="W5729"/>
          <cell r="X5729"/>
          <cell r="Y5729"/>
        </row>
        <row r="5730">
          <cell r="V5730"/>
          <cell r="W5730"/>
          <cell r="X5730"/>
          <cell r="Y5730"/>
        </row>
        <row r="5731">
          <cell r="V5731"/>
          <cell r="W5731"/>
          <cell r="X5731"/>
          <cell r="Y5731"/>
        </row>
        <row r="5732">
          <cell r="V5732"/>
          <cell r="W5732"/>
          <cell r="X5732"/>
          <cell r="Y5732"/>
        </row>
        <row r="5733">
          <cell r="V5733"/>
          <cell r="W5733"/>
          <cell r="X5733"/>
          <cell r="Y5733"/>
        </row>
        <row r="5734">
          <cell r="V5734"/>
          <cell r="W5734"/>
          <cell r="X5734"/>
          <cell r="Y5734"/>
        </row>
        <row r="5735">
          <cell r="V5735"/>
          <cell r="W5735"/>
          <cell r="X5735"/>
          <cell r="Y5735"/>
        </row>
        <row r="5736">
          <cell r="V5736"/>
          <cell r="W5736"/>
          <cell r="X5736"/>
          <cell r="Y5736"/>
        </row>
        <row r="5737">
          <cell r="V5737"/>
          <cell r="W5737"/>
          <cell r="X5737"/>
          <cell r="Y5737"/>
        </row>
        <row r="5738">
          <cell r="V5738"/>
          <cell r="W5738"/>
          <cell r="X5738"/>
          <cell r="Y5738"/>
        </row>
        <row r="5739">
          <cell r="V5739"/>
          <cell r="W5739"/>
          <cell r="X5739"/>
          <cell r="Y5739"/>
        </row>
        <row r="5740">
          <cell r="V5740"/>
          <cell r="W5740"/>
          <cell r="X5740"/>
          <cell r="Y5740"/>
        </row>
        <row r="5741">
          <cell r="V5741"/>
          <cell r="W5741"/>
          <cell r="X5741"/>
          <cell r="Y5741"/>
        </row>
        <row r="5742">
          <cell r="V5742"/>
          <cell r="W5742"/>
          <cell r="X5742"/>
          <cell r="Y5742"/>
        </row>
        <row r="5743">
          <cell r="V5743"/>
          <cell r="W5743"/>
          <cell r="X5743"/>
          <cell r="Y5743"/>
        </row>
        <row r="5744">
          <cell r="V5744"/>
          <cell r="W5744"/>
          <cell r="X5744"/>
          <cell r="Y5744"/>
        </row>
        <row r="5745">
          <cell r="V5745"/>
          <cell r="W5745"/>
          <cell r="X5745"/>
          <cell r="Y5745"/>
        </row>
        <row r="5746">
          <cell r="V5746"/>
          <cell r="W5746"/>
          <cell r="X5746"/>
          <cell r="Y5746"/>
        </row>
        <row r="5747">
          <cell r="V5747"/>
          <cell r="W5747"/>
          <cell r="X5747"/>
          <cell r="Y5747"/>
        </row>
        <row r="5748">
          <cell r="V5748"/>
          <cell r="W5748"/>
          <cell r="X5748"/>
          <cell r="Y5748"/>
        </row>
        <row r="5749">
          <cell r="V5749"/>
          <cell r="W5749"/>
          <cell r="X5749"/>
          <cell r="Y5749"/>
        </row>
        <row r="5750">
          <cell r="V5750"/>
          <cell r="W5750"/>
          <cell r="X5750"/>
          <cell r="Y5750"/>
        </row>
        <row r="5751">
          <cell r="V5751"/>
          <cell r="W5751"/>
          <cell r="X5751"/>
          <cell r="Y5751"/>
        </row>
        <row r="5752">
          <cell r="V5752"/>
          <cell r="W5752"/>
          <cell r="X5752"/>
          <cell r="Y5752"/>
        </row>
        <row r="5753">
          <cell r="V5753"/>
          <cell r="W5753"/>
          <cell r="X5753"/>
          <cell r="Y5753"/>
        </row>
        <row r="5754">
          <cell r="V5754"/>
          <cell r="W5754"/>
          <cell r="X5754"/>
          <cell r="Y5754"/>
        </row>
        <row r="5755">
          <cell r="V5755"/>
          <cell r="W5755"/>
          <cell r="X5755"/>
          <cell r="Y5755"/>
        </row>
        <row r="5756">
          <cell r="V5756"/>
          <cell r="W5756"/>
          <cell r="X5756"/>
          <cell r="Y5756"/>
        </row>
        <row r="5757">
          <cell r="V5757"/>
          <cell r="W5757"/>
          <cell r="X5757"/>
          <cell r="Y5757"/>
        </row>
        <row r="5758">
          <cell r="V5758"/>
          <cell r="W5758"/>
          <cell r="X5758"/>
          <cell r="Y5758"/>
        </row>
        <row r="5759">
          <cell r="V5759"/>
          <cell r="W5759"/>
          <cell r="X5759"/>
          <cell r="Y5759"/>
        </row>
        <row r="5760">
          <cell r="V5760"/>
          <cell r="W5760"/>
          <cell r="X5760"/>
          <cell r="Y5760"/>
        </row>
        <row r="5761">
          <cell r="V5761"/>
          <cell r="W5761"/>
          <cell r="X5761"/>
          <cell r="Y5761"/>
        </row>
        <row r="5762">
          <cell r="V5762"/>
          <cell r="W5762"/>
          <cell r="X5762"/>
          <cell r="Y5762"/>
        </row>
        <row r="5763">
          <cell r="V5763"/>
          <cell r="W5763"/>
          <cell r="X5763"/>
          <cell r="Y5763"/>
        </row>
        <row r="5764">
          <cell r="V5764"/>
          <cell r="W5764"/>
          <cell r="X5764"/>
          <cell r="Y5764"/>
        </row>
        <row r="5765">
          <cell r="V5765"/>
          <cell r="W5765"/>
          <cell r="X5765"/>
          <cell r="Y5765"/>
        </row>
        <row r="5766">
          <cell r="V5766"/>
          <cell r="W5766"/>
          <cell r="X5766"/>
          <cell r="Y5766"/>
        </row>
        <row r="5767">
          <cell r="V5767"/>
          <cell r="W5767"/>
          <cell r="X5767"/>
          <cell r="Y5767"/>
        </row>
        <row r="5768">
          <cell r="V5768"/>
          <cell r="W5768"/>
          <cell r="X5768"/>
          <cell r="Y5768"/>
        </row>
        <row r="5769">
          <cell r="V5769"/>
          <cell r="W5769"/>
          <cell r="X5769"/>
          <cell r="Y5769"/>
        </row>
        <row r="5770">
          <cell r="V5770"/>
          <cell r="W5770"/>
          <cell r="X5770"/>
          <cell r="Y5770"/>
        </row>
        <row r="5771">
          <cell r="V5771"/>
          <cell r="W5771"/>
          <cell r="X5771"/>
          <cell r="Y5771"/>
        </row>
        <row r="5772">
          <cell r="V5772"/>
          <cell r="W5772"/>
          <cell r="X5772"/>
          <cell r="Y5772"/>
        </row>
        <row r="5773">
          <cell r="V5773"/>
          <cell r="W5773"/>
          <cell r="X5773"/>
          <cell r="Y5773"/>
        </row>
        <row r="5774">
          <cell r="V5774"/>
          <cell r="W5774"/>
          <cell r="X5774"/>
          <cell r="Y5774"/>
        </row>
        <row r="5775">
          <cell r="V5775"/>
          <cell r="W5775"/>
          <cell r="X5775"/>
          <cell r="Y5775"/>
        </row>
        <row r="5776">
          <cell r="V5776"/>
          <cell r="W5776"/>
          <cell r="X5776"/>
          <cell r="Y5776"/>
        </row>
        <row r="5777">
          <cell r="V5777"/>
          <cell r="W5777"/>
          <cell r="X5777"/>
          <cell r="Y5777"/>
        </row>
        <row r="5778">
          <cell r="V5778"/>
          <cell r="W5778"/>
          <cell r="X5778"/>
          <cell r="Y5778"/>
        </row>
        <row r="5779">
          <cell r="V5779"/>
          <cell r="W5779"/>
          <cell r="X5779"/>
          <cell r="Y5779"/>
        </row>
        <row r="5780">
          <cell r="V5780"/>
          <cell r="W5780"/>
          <cell r="X5780"/>
          <cell r="Y5780"/>
        </row>
        <row r="5781">
          <cell r="V5781"/>
          <cell r="W5781"/>
          <cell r="X5781"/>
          <cell r="Y5781"/>
        </row>
        <row r="5782">
          <cell r="V5782"/>
          <cell r="W5782"/>
          <cell r="X5782"/>
          <cell r="Y5782"/>
        </row>
        <row r="5783">
          <cell r="V5783"/>
          <cell r="W5783"/>
          <cell r="X5783"/>
          <cell r="Y5783"/>
        </row>
        <row r="5784">
          <cell r="V5784"/>
          <cell r="W5784"/>
          <cell r="X5784"/>
          <cell r="Y5784"/>
        </row>
        <row r="5785">
          <cell r="V5785"/>
          <cell r="W5785"/>
          <cell r="X5785"/>
          <cell r="Y5785"/>
        </row>
        <row r="5786">
          <cell r="V5786"/>
          <cell r="W5786"/>
          <cell r="X5786"/>
          <cell r="Y5786"/>
        </row>
        <row r="5787">
          <cell r="V5787"/>
          <cell r="W5787"/>
          <cell r="X5787"/>
          <cell r="Y5787"/>
        </row>
        <row r="5788">
          <cell r="V5788"/>
          <cell r="W5788"/>
          <cell r="X5788"/>
          <cell r="Y5788"/>
        </row>
        <row r="5789">
          <cell r="V5789"/>
          <cell r="W5789"/>
          <cell r="X5789"/>
          <cell r="Y5789"/>
        </row>
        <row r="5790">
          <cell r="V5790"/>
          <cell r="W5790"/>
          <cell r="X5790"/>
          <cell r="Y5790"/>
        </row>
        <row r="5791">
          <cell r="V5791"/>
          <cell r="W5791"/>
          <cell r="X5791"/>
          <cell r="Y5791"/>
        </row>
        <row r="5792">
          <cell r="V5792"/>
          <cell r="W5792"/>
          <cell r="X5792"/>
          <cell r="Y5792"/>
        </row>
        <row r="5793">
          <cell r="V5793"/>
          <cell r="W5793"/>
          <cell r="X5793"/>
          <cell r="Y5793"/>
        </row>
        <row r="5794">
          <cell r="V5794"/>
          <cell r="W5794"/>
          <cell r="X5794"/>
          <cell r="Y5794"/>
        </row>
        <row r="5795">
          <cell r="V5795"/>
          <cell r="W5795"/>
          <cell r="X5795"/>
          <cell r="Y5795"/>
        </row>
        <row r="5796">
          <cell r="V5796"/>
          <cell r="W5796"/>
          <cell r="X5796"/>
          <cell r="Y5796"/>
        </row>
        <row r="5797">
          <cell r="V5797"/>
          <cell r="W5797"/>
          <cell r="X5797"/>
          <cell r="Y5797"/>
        </row>
        <row r="5798">
          <cell r="V5798"/>
          <cell r="W5798"/>
          <cell r="X5798"/>
          <cell r="Y5798"/>
        </row>
        <row r="5799">
          <cell r="V5799"/>
          <cell r="W5799"/>
          <cell r="X5799"/>
          <cell r="Y5799"/>
        </row>
        <row r="5800">
          <cell r="V5800"/>
          <cell r="W5800"/>
          <cell r="X5800"/>
          <cell r="Y5800"/>
        </row>
        <row r="5801">
          <cell r="V5801"/>
          <cell r="W5801"/>
          <cell r="X5801"/>
          <cell r="Y5801"/>
        </row>
        <row r="5802">
          <cell r="V5802"/>
          <cell r="W5802"/>
          <cell r="X5802"/>
          <cell r="Y5802"/>
        </row>
        <row r="5803">
          <cell r="V5803"/>
          <cell r="W5803"/>
          <cell r="X5803"/>
          <cell r="Y5803"/>
        </row>
        <row r="5804">
          <cell r="V5804"/>
          <cell r="W5804"/>
          <cell r="X5804"/>
          <cell r="Y5804"/>
        </row>
        <row r="5805">
          <cell r="V5805"/>
          <cell r="W5805"/>
          <cell r="X5805"/>
          <cell r="Y5805"/>
        </row>
        <row r="5806">
          <cell r="V5806"/>
          <cell r="W5806"/>
          <cell r="X5806"/>
          <cell r="Y5806"/>
        </row>
        <row r="5807">
          <cell r="V5807"/>
          <cell r="W5807"/>
          <cell r="X5807"/>
          <cell r="Y5807"/>
        </row>
        <row r="5808">
          <cell r="V5808"/>
          <cell r="W5808"/>
          <cell r="X5808"/>
          <cell r="Y5808"/>
        </row>
        <row r="5809">
          <cell r="V5809"/>
          <cell r="W5809"/>
          <cell r="X5809"/>
          <cell r="Y5809"/>
        </row>
        <row r="5810">
          <cell r="V5810"/>
          <cell r="W5810"/>
          <cell r="X5810"/>
          <cell r="Y5810"/>
        </row>
        <row r="5811">
          <cell r="V5811"/>
          <cell r="W5811"/>
          <cell r="X5811"/>
          <cell r="Y5811"/>
        </row>
        <row r="5812">
          <cell r="V5812"/>
          <cell r="W5812"/>
          <cell r="X5812"/>
          <cell r="Y5812"/>
        </row>
        <row r="5813">
          <cell r="V5813"/>
          <cell r="W5813"/>
          <cell r="X5813"/>
          <cell r="Y5813"/>
        </row>
        <row r="5814">
          <cell r="V5814"/>
          <cell r="W5814"/>
          <cell r="X5814"/>
          <cell r="Y5814"/>
        </row>
        <row r="5815">
          <cell r="V5815"/>
          <cell r="W5815"/>
          <cell r="X5815"/>
          <cell r="Y5815"/>
        </row>
        <row r="5816">
          <cell r="V5816"/>
          <cell r="W5816"/>
          <cell r="X5816"/>
          <cell r="Y5816"/>
        </row>
        <row r="5817">
          <cell r="V5817"/>
          <cell r="W5817"/>
          <cell r="X5817"/>
          <cell r="Y5817"/>
        </row>
        <row r="5818">
          <cell r="V5818"/>
          <cell r="W5818"/>
          <cell r="X5818"/>
          <cell r="Y5818"/>
        </row>
        <row r="5819">
          <cell r="V5819"/>
          <cell r="W5819"/>
          <cell r="X5819"/>
          <cell r="Y5819"/>
        </row>
        <row r="5820">
          <cell r="V5820"/>
          <cell r="W5820"/>
          <cell r="X5820"/>
          <cell r="Y5820"/>
        </row>
        <row r="5821">
          <cell r="V5821"/>
          <cell r="W5821"/>
          <cell r="X5821"/>
          <cell r="Y5821"/>
        </row>
        <row r="5822">
          <cell r="V5822"/>
          <cell r="W5822"/>
          <cell r="X5822"/>
          <cell r="Y5822"/>
        </row>
        <row r="5823">
          <cell r="V5823"/>
          <cell r="W5823"/>
          <cell r="X5823"/>
          <cell r="Y5823"/>
        </row>
        <row r="5824">
          <cell r="V5824"/>
          <cell r="W5824"/>
          <cell r="X5824"/>
          <cell r="Y5824"/>
        </row>
        <row r="5825">
          <cell r="V5825"/>
          <cell r="W5825"/>
          <cell r="X5825"/>
          <cell r="Y5825"/>
        </row>
        <row r="5826">
          <cell r="V5826"/>
          <cell r="W5826"/>
          <cell r="X5826"/>
          <cell r="Y5826"/>
        </row>
        <row r="5827">
          <cell r="V5827"/>
          <cell r="W5827"/>
          <cell r="X5827"/>
          <cell r="Y5827"/>
        </row>
        <row r="5828">
          <cell r="V5828"/>
          <cell r="W5828"/>
          <cell r="X5828"/>
          <cell r="Y5828"/>
        </row>
        <row r="5829">
          <cell r="V5829"/>
          <cell r="W5829"/>
          <cell r="X5829"/>
          <cell r="Y5829"/>
        </row>
        <row r="5830">
          <cell r="V5830"/>
          <cell r="W5830"/>
          <cell r="X5830"/>
          <cell r="Y5830"/>
        </row>
        <row r="5831">
          <cell r="V5831"/>
          <cell r="W5831"/>
          <cell r="X5831"/>
          <cell r="Y5831"/>
        </row>
        <row r="5832">
          <cell r="V5832"/>
          <cell r="W5832"/>
          <cell r="X5832"/>
          <cell r="Y5832"/>
        </row>
        <row r="5833">
          <cell r="V5833"/>
          <cell r="W5833"/>
          <cell r="X5833"/>
          <cell r="Y5833"/>
        </row>
        <row r="5834">
          <cell r="V5834"/>
          <cell r="W5834"/>
          <cell r="X5834"/>
          <cell r="Y5834"/>
        </row>
        <row r="5835">
          <cell r="V5835"/>
          <cell r="W5835"/>
          <cell r="X5835"/>
          <cell r="Y5835"/>
        </row>
        <row r="5836">
          <cell r="V5836"/>
          <cell r="W5836"/>
          <cell r="X5836"/>
          <cell r="Y5836"/>
        </row>
        <row r="5837">
          <cell r="V5837"/>
          <cell r="W5837"/>
          <cell r="X5837"/>
          <cell r="Y5837"/>
        </row>
        <row r="5838">
          <cell r="V5838"/>
          <cell r="W5838"/>
          <cell r="X5838"/>
          <cell r="Y5838"/>
        </row>
        <row r="5839">
          <cell r="V5839"/>
          <cell r="W5839"/>
          <cell r="X5839"/>
          <cell r="Y5839"/>
        </row>
        <row r="5840">
          <cell r="V5840"/>
          <cell r="W5840"/>
          <cell r="X5840"/>
          <cell r="Y5840"/>
        </row>
        <row r="5841">
          <cell r="V5841"/>
          <cell r="W5841"/>
          <cell r="X5841"/>
          <cell r="Y5841"/>
        </row>
        <row r="5842">
          <cell r="V5842"/>
          <cell r="W5842"/>
          <cell r="X5842"/>
          <cell r="Y5842"/>
        </row>
        <row r="5843">
          <cell r="V5843"/>
          <cell r="W5843"/>
          <cell r="X5843"/>
          <cell r="Y5843"/>
        </row>
        <row r="5844">
          <cell r="V5844"/>
          <cell r="W5844"/>
          <cell r="X5844"/>
          <cell r="Y5844"/>
        </row>
        <row r="5845">
          <cell r="V5845"/>
          <cell r="W5845"/>
          <cell r="X5845"/>
          <cell r="Y5845"/>
        </row>
        <row r="5846">
          <cell r="V5846"/>
          <cell r="W5846"/>
          <cell r="X5846"/>
          <cell r="Y5846"/>
        </row>
        <row r="5847">
          <cell r="V5847"/>
          <cell r="W5847"/>
          <cell r="X5847"/>
          <cell r="Y5847"/>
        </row>
        <row r="5848">
          <cell r="V5848"/>
          <cell r="W5848"/>
          <cell r="X5848"/>
          <cell r="Y5848"/>
        </row>
        <row r="5849">
          <cell r="V5849"/>
          <cell r="W5849"/>
          <cell r="X5849"/>
          <cell r="Y5849"/>
        </row>
        <row r="5850">
          <cell r="V5850"/>
          <cell r="W5850"/>
          <cell r="X5850"/>
          <cell r="Y5850"/>
        </row>
        <row r="5851">
          <cell r="V5851"/>
          <cell r="W5851"/>
          <cell r="X5851"/>
          <cell r="Y5851"/>
        </row>
        <row r="5852">
          <cell r="V5852"/>
          <cell r="W5852"/>
          <cell r="X5852"/>
          <cell r="Y5852"/>
        </row>
        <row r="5853">
          <cell r="V5853"/>
          <cell r="W5853"/>
          <cell r="X5853"/>
          <cell r="Y5853"/>
        </row>
        <row r="5854">
          <cell r="V5854"/>
          <cell r="W5854"/>
          <cell r="X5854"/>
          <cell r="Y5854"/>
        </row>
        <row r="5855">
          <cell r="V5855"/>
          <cell r="W5855"/>
          <cell r="X5855"/>
          <cell r="Y5855"/>
        </row>
        <row r="5856">
          <cell r="V5856"/>
          <cell r="W5856"/>
          <cell r="X5856"/>
          <cell r="Y5856"/>
        </row>
        <row r="5857">
          <cell r="V5857"/>
          <cell r="W5857"/>
          <cell r="X5857"/>
          <cell r="Y5857"/>
        </row>
        <row r="5858">
          <cell r="V5858"/>
          <cell r="W5858"/>
          <cell r="X5858"/>
          <cell r="Y5858"/>
        </row>
        <row r="5859">
          <cell r="V5859"/>
          <cell r="W5859"/>
          <cell r="X5859"/>
          <cell r="Y5859"/>
        </row>
        <row r="5860">
          <cell r="V5860"/>
          <cell r="W5860"/>
          <cell r="X5860"/>
          <cell r="Y5860"/>
        </row>
        <row r="5861">
          <cell r="V5861"/>
          <cell r="W5861"/>
          <cell r="X5861"/>
          <cell r="Y5861"/>
        </row>
        <row r="5862">
          <cell r="V5862"/>
          <cell r="W5862"/>
          <cell r="X5862"/>
          <cell r="Y5862"/>
        </row>
        <row r="5863">
          <cell r="V5863"/>
          <cell r="W5863"/>
          <cell r="X5863"/>
          <cell r="Y5863"/>
        </row>
        <row r="5864">
          <cell r="V5864"/>
          <cell r="W5864"/>
          <cell r="X5864"/>
          <cell r="Y5864"/>
        </row>
        <row r="5865">
          <cell r="V5865"/>
          <cell r="W5865"/>
          <cell r="X5865"/>
          <cell r="Y5865"/>
        </row>
        <row r="5866">
          <cell r="V5866"/>
          <cell r="W5866"/>
          <cell r="X5866"/>
          <cell r="Y5866"/>
        </row>
        <row r="5867">
          <cell r="V5867"/>
          <cell r="W5867"/>
          <cell r="X5867"/>
          <cell r="Y5867"/>
        </row>
        <row r="5868">
          <cell r="V5868"/>
          <cell r="W5868"/>
          <cell r="X5868"/>
          <cell r="Y5868"/>
        </row>
        <row r="5869">
          <cell r="V5869"/>
          <cell r="W5869"/>
          <cell r="X5869"/>
          <cell r="Y5869"/>
        </row>
        <row r="5870">
          <cell r="V5870"/>
          <cell r="W5870"/>
          <cell r="X5870"/>
          <cell r="Y5870"/>
        </row>
        <row r="5871">
          <cell r="V5871"/>
          <cell r="W5871"/>
          <cell r="X5871"/>
          <cell r="Y5871"/>
        </row>
        <row r="5872">
          <cell r="V5872"/>
          <cell r="W5872"/>
          <cell r="X5872"/>
          <cell r="Y5872"/>
        </row>
        <row r="5873">
          <cell r="V5873"/>
          <cell r="W5873"/>
          <cell r="X5873"/>
          <cell r="Y5873"/>
        </row>
        <row r="5874">
          <cell r="V5874"/>
          <cell r="W5874"/>
          <cell r="X5874"/>
          <cell r="Y5874"/>
        </row>
        <row r="5875">
          <cell r="V5875"/>
          <cell r="W5875"/>
          <cell r="X5875"/>
          <cell r="Y5875"/>
        </row>
        <row r="5876">
          <cell r="V5876"/>
          <cell r="W5876"/>
          <cell r="X5876"/>
          <cell r="Y5876"/>
        </row>
        <row r="5877">
          <cell r="V5877"/>
          <cell r="W5877"/>
          <cell r="X5877"/>
          <cell r="Y5877"/>
        </row>
        <row r="5878">
          <cell r="V5878"/>
          <cell r="W5878"/>
          <cell r="X5878"/>
          <cell r="Y5878"/>
        </row>
        <row r="5879">
          <cell r="V5879"/>
          <cell r="W5879"/>
          <cell r="X5879"/>
          <cell r="Y5879"/>
        </row>
        <row r="5880">
          <cell r="V5880"/>
          <cell r="W5880"/>
          <cell r="X5880"/>
          <cell r="Y5880"/>
        </row>
        <row r="5881">
          <cell r="V5881"/>
          <cell r="W5881"/>
          <cell r="X5881"/>
          <cell r="Y5881"/>
        </row>
        <row r="5882">
          <cell r="V5882"/>
          <cell r="W5882"/>
          <cell r="X5882"/>
          <cell r="Y5882"/>
        </row>
        <row r="5883">
          <cell r="V5883"/>
          <cell r="W5883"/>
          <cell r="X5883"/>
          <cell r="Y5883"/>
        </row>
        <row r="5884">
          <cell r="V5884"/>
          <cell r="W5884"/>
          <cell r="X5884"/>
          <cell r="Y5884"/>
        </row>
        <row r="5885">
          <cell r="V5885"/>
          <cell r="W5885"/>
          <cell r="X5885"/>
          <cell r="Y5885"/>
        </row>
        <row r="5886">
          <cell r="V5886"/>
          <cell r="W5886"/>
          <cell r="X5886"/>
          <cell r="Y5886"/>
        </row>
        <row r="5887">
          <cell r="V5887"/>
          <cell r="W5887"/>
          <cell r="X5887"/>
          <cell r="Y5887"/>
        </row>
        <row r="5888">
          <cell r="V5888"/>
          <cell r="W5888"/>
          <cell r="X5888"/>
          <cell r="Y5888"/>
        </row>
        <row r="5889">
          <cell r="V5889"/>
          <cell r="W5889"/>
          <cell r="X5889"/>
          <cell r="Y5889"/>
        </row>
        <row r="5890">
          <cell r="V5890"/>
          <cell r="W5890"/>
          <cell r="X5890"/>
          <cell r="Y5890"/>
        </row>
        <row r="5891">
          <cell r="V5891"/>
          <cell r="W5891"/>
          <cell r="X5891"/>
          <cell r="Y5891"/>
        </row>
        <row r="5892">
          <cell r="V5892"/>
          <cell r="W5892"/>
          <cell r="X5892"/>
          <cell r="Y5892"/>
        </row>
        <row r="5893">
          <cell r="V5893"/>
          <cell r="W5893"/>
          <cell r="X5893"/>
          <cell r="Y5893"/>
        </row>
        <row r="5894">
          <cell r="V5894"/>
          <cell r="W5894"/>
          <cell r="X5894"/>
          <cell r="Y5894"/>
        </row>
        <row r="5895">
          <cell r="V5895"/>
          <cell r="W5895"/>
          <cell r="X5895"/>
          <cell r="Y5895"/>
        </row>
        <row r="5896">
          <cell r="V5896"/>
          <cell r="W5896"/>
          <cell r="X5896"/>
          <cell r="Y5896"/>
        </row>
        <row r="5897">
          <cell r="V5897"/>
          <cell r="W5897"/>
          <cell r="X5897"/>
          <cell r="Y5897"/>
        </row>
        <row r="5898">
          <cell r="V5898"/>
          <cell r="W5898"/>
          <cell r="X5898"/>
          <cell r="Y5898"/>
        </row>
        <row r="5899">
          <cell r="V5899"/>
          <cell r="W5899"/>
          <cell r="X5899"/>
          <cell r="Y5899"/>
        </row>
        <row r="5900">
          <cell r="V5900"/>
          <cell r="W5900"/>
          <cell r="X5900"/>
          <cell r="Y5900"/>
        </row>
        <row r="5901">
          <cell r="V5901"/>
          <cell r="W5901"/>
          <cell r="X5901"/>
          <cell r="Y5901"/>
        </row>
        <row r="5902">
          <cell r="V5902"/>
          <cell r="W5902"/>
          <cell r="X5902"/>
          <cell r="Y5902"/>
        </row>
        <row r="5903">
          <cell r="V5903"/>
          <cell r="W5903"/>
          <cell r="X5903"/>
          <cell r="Y5903"/>
        </row>
        <row r="5904">
          <cell r="V5904"/>
          <cell r="W5904"/>
          <cell r="X5904"/>
          <cell r="Y5904"/>
        </row>
        <row r="5905">
          <cell r="V5905"/>
          <cell r="W5905"/>
          <cell r="X5905"/>
          <cell r="Y5905"/>
        </row>
        <row r="5906">
          <cell r="V5906"/>
          <cell r="W5906"/>
          <cell r="X5906"/>
          <cell r="Y5906"/>
        </row>
        <row r="5907">
          <cell r="V5907"/>
          <cell r="W5907"/>
          <cell r="X5907"/>
          <cell r="Y5907"/>
        </row>
        <row r="5908">
          <cell r="V5908"/>
          <cell r="W5908"/>
          <cell r="X5908"/>
          <cell r="Y5908"/>
        </row>
        <row r="5909">
          <cell r="V5909"/>
          <cell r="W5909"/>
          <cell r="X5909"/>
          <cell r="Y5909"/>
        </row>
        <row r="5910">
          <cell r="V5910"/>
          <cell r="W5910"/>
          <cell r="X5910"/>
          <cell r="Y5910"/>
        </row>
        <row r="5911">
          <cell r="V5911"/>
          <cell r="W5911"/>
          <cell r="X5911"/>
          <cell r="Y5911"/>
        </row>
        <row r="5912">
          <cell r="V5912"/>
          <cell r="W5912"/>
          <cell r="X5912"/>
          <cell r="Y5912"/>
        </row>
        <row r="5913">
          <cell r="V5913"/>
          <cell r="W5913"/>
          <cell r="X5913"/>
          <cell r="Y5913"/>
        </row>
        <row r="5914">
          <cell r="V5914"/>
          <cell r="W5914"/>
          <cell r="X5914"/>
          <cell r="Y5914"/>
        </row>
        <row r="5915">
          <cell r="V5915"/>
          <cell r="W5915"/>
          <cell r="X5915"/>
          <cell r="Y5915"/>
        </row>
        <row r="5916">
          <cell r="V5916"/>
          <cell r="W5916"/>
          <cell r="X5916"/>
          <cell r="Y5916"/>
        </row>
        <row r="5917">
          <cell r="V5917"/>
          <cell r="W5917"/>
          <cell r="X5917"/>
          <cell r="Y5917"/>
        </row>
        <row r="5918">
          <cell r="V5918"/>
          <cell r="W5918"/>
          <cell r="X5918"/>
          <cell r="Y5918"/>
        </row>
        <row r="5919">
          <cell r="V5919"/>
          <cell r="W5919"/>
          <cell r="X5919"/>
          <cell r="Y5919"/>
        </row>
        <row r="5920">
          <cell r="V5920"/>
          <cell r="W5920"/>
          <cell r="X5920"/>
          <cell r="Y5920"/>
        </row>
        <row r="5921">
          <cell r="V5921"/>
          <cell r="W5921"/>
          <cell r="X5921"/>
          <cell r="Y5921"/>
        </row>
        <row r="5922">
          <cell r="V5922"/>
          <cell r="W5922"/>
          <cell r="X5922"/>
          <cell r="Y5922"/>
        </row>
        <row r="5923">
          <cell r="V5923"/>
          <cell r="W5923"/>
          <cell r="X5923"/>
          <cell r="Y5923"/>
        </row>
        <row r="5924">
          <cell r="V5924"/>
          <cell r="W5924"/>
          <cell r="X5924"/>
          <cell r="Y5924"/>
        </row>
        <row r="5925">
          <cell r="V5925"/>
          <cell r="W5925"/>
          <cell r="X5925"/>
          <cell r="Y5925"/>
        </row>
        <row r="5926">
          <cell r="V5926"/>
          <cell r="W5926"/>
          <cell r="X5926"/>
          <cell r="Y5926"/>
        </row>
        <row r="5927">
          <cell r="V5927"/>
          <cell r="W5927"/>
          <cell r="X5927"/>
          <cell r="Y5927"/>
        </row>
        <row r="5928">
          <cell r="V5928"/>
          <cell r="W5928"/>
          <cell r="X5928"/>
          <cell r="Y5928"/>
        </row>
        <row r="5929">
          <cell r="V5929"/>
          <cell r="W5929"/>
          <cell r="X5929"/>
          <cell r="Y5929"/>
        </row>
        <row r="5930">
          <cell r="V5930"/>
          <cell r="W5930"/>
          <cell r="X5930"/>
          <cell r="Y5930"/>
        </row>
        <row r="5931">
          <cell r="V5931"/>
          <cell r="W5931"/>
          <cell r="X5931"/>
          <cell r="Y5931"/>
        </row>
        <row r="5932">
          <cell r="V5932"/>
          <cell r="W5932"/>
          <cell r="X5932"/>
          <cell r="Y5932"/>
        </row>
        <row r="5933">
          <cell r="V5933"/>
          <cell r="W5933"/>
          <cell r="X5933"/>
          <cell r="Y5933"/>
        </row>
        <row r="5934">
          <cell r="V5934"/>
          <cell r="W5934"/>
          <cell r="X5934"/>
          <cell r="Y5934"/>
        </row>
        <row r="5935">
          <cell r="V5935"/>
          <cell r="W5935"/>
          <cell r="X5935"/>
          <cell r="Y5935"/>
        </row>
        <row r="5936">
          <cell r="V5936"/>
          <cell r="W5936"/>
          <cell r="X5936"/>
          <cell r="Y5936"/>
        </row>
        <row r="5937">
          <cell r="V5937"/>
          <cell r="W5937"/>
          <cell r="X5937"/>
          <cell r="Y5937"/>
        </row>
        <row r="5938">
          <cell r="V5938"/>
          <cell r="W5938"/>
          <cell r="X5938"/>
          <cell r="Y5938"/>
        </row>
        <row r="5939">
          <cell r="V5939"/>
          <cell r="W5939"/>
          <cell r="X5939"/>
          <cell r="Y5939"/>
        </row>
        <row r="5940">
          <cell r="V5940"/>
          <cell r="W5940"/>
          <cell r="X5940"/>
          <cell r="Y5940"/>
        </row>
        <row r="5941">
          <cell r="V5941"/>
          <cell r="W5941"/>
          <cell r="X5941"/>
          <cell r="Y5941"/>
        </row>
        <row r="5942">
          <cell r="V5942"/>
          <cell r="W5942"/>
          <cell r="X5942"/>
          <cell r="Y5942"/>
        </row>
        <row r="5943">
          <cell r="V5943"/>
          <cell r="W5943"/>
          <cell r="X5943"/>
          <cell r="Y5943"/>
        </row>
        <row r="5944">
          <cell r="V5944"/>
          <cell r="W5944"/>
          <cell r="X5944"/>
          <cell r="Y5944"/>
        </row>
        <row r="5945">
          <cell r="V5945"/>
          <cell r="W5945"/>
          <cell r="X5945"/>
          <cell r="Y5945"/>
        </row>
        <row r="5946">
          <cell r="V5946"/>
          <cell r="W5946"/>
          <cell r="X5946"/>
          <cell r="Y5946"/>
        </row>
        <row r="5947">
          <cell r="V5947"/>
          <cell r="W5947"/>
          <cell r="X5947"/>
          <cell r="Y5947"/>
        </row>
        <row r="5948">
          <cell r="V5948"/>
          <cell r="W5948"/>
          <cell r="X5948"/>
          <cell r="Y5948"/>
        </row>
        <row r="5949">
          <cell r="V5949"/>
          <cell r="W5949"/>
          <cell r="X5949"/>
          <cell r="Y5949"/>
        </row>
        <row r="5950">
          <cell r="V5950"/>
          <cell r="W5950"/>
          <cell r="X5950"/>
          <cell r="Y5950"/>
        </row>
        <row r="5951">
          <cell r="V5951"/>
          <cell r="W5951"/>
          <cell r="X5951"/>
          <cell r="Y5951"/>
        </row>
        <row r="5952">
          <cell r="V5952"/>
          <cell r="W5952"/>
          <cell r="X5952"/>
          <cell r="Y5952"/>
        </row>
        <row r="5953">
          <cell r="V5953"/>
          <cell r="W5953"/>
          <cell r="X5953"/>
          <cell r="Y5953"/>
        </row>
        <row r="5954">
          <cell r="V5954"/>
          <cell r="W5954"/>
          <cell r="X5954"/>
          <cell r="Y5954"/>
        </row>
        <row r="5955">
          <cell r="V5955"/>
          <cell r="W5955"/>
          <cell r="X5955"/>
          <cell r="Y5955"/>
        </row>
        <row r="5956">
          <cell r="V5956"/>
          <cell r="W5956"/>
          <cell r="X5956"/>
          <cell r="Y5956"/>
        </row>
        <row r="5957">
          <cell r="V5957"/>
          <cell r="W5957"/>
          <cell r="X5957"/>
          <cell r="Y5957"/>
        </row>
        <row r="5958">
          <cell r="V5958"/>
          <cell r="W5958"/>
          <cell r="X5958"/>
          <cell r="Y5958"/>
        </row>
        <row r="5959">
          <cell r="V5959"/>
          <cell r="W5959"/>
          <cell r="X5959"/>
          <cell r="Y5959"/>
        </row>
        <row r="5960">
          <cell r="V5960"/>
          <cell r="W5960"/>
          <cell r="X5960"/>
          <cell r="Y5960"/>
        </row>
        <row r="5961">
          <cell r="V5961"/>
          <cell r="W5961"/>
          <cell r="X5961"/>
          <cell r="Y5961"/>
        </row>
        <row r="5962">
          <cell r="V5962"/>
          <cell r="W5962"/>
          <cell r="X5962"/>
          <cell r="Y5962"/>
        </row>
        <row r="5963">
          <cell r="V5963"/>
          <cell r="W5963"/>
          <cell r="X5963"/>
          <cell r="Y5963"/>
        </row>
        <row r="5964">
          <cell r="V5964"/>
          <cell r="W5964"/>
          <cell r="X5964"/>
          <cell r="Y5964"/>
        </row>
        <row r="5965">
          <cell r="V5965"/>
          <cell r="W5965"/>
          <cell r="X5965"/>
          <cell r="Y5965"/>
        </row>
        <row r="5966">
          <cell r="V5966"/>
          <cell r="W5966"/>
          <cell r="X5966"/>
          <cell r="Y5966"/>
        </row>
        <row r="5967">
          <cell r="V5967"/>
          <cell r="W5967"/>
          <cell r="X5967"/>
          <cell r="Y5967"/>
        </row>
        <row r="5968">
          <cell r="V5968"/>
          <cell r="W5968"/>
          <cell r="X5968"/>
          <cell r="Y5968"/>
        </row>
        <row r="5969">
          <cell r="V5969"/>
          <cell r="W5969"/>
          <cell r="X5969"/>
          <cell r="Y5969"/>
        </row>
        <row r="5970">
          <cell r="V5970"/>
          <cell r="W5970"/>
          <cell r="X5970"/>
          <cell r="Y5970"/>
        </row>
        <row r="5971">
          <cell r="V5971"/>
          <cell r="W5971"/>
          <cell r="X5971"/>
          <cell r="Y5971"/>
        </row>
        <row r="5972">
          <cell r="V5972"/>
          <cell r="W5972"/>
          <cell r="X5972"/>
          <cell r="Y5972"/>
        </row>
        <row r="5973">
          <cell r="V5973"/>
          <cell r="W5973"/>
          <cell r="X5973"/>
          <cell r="Y5973"/>
        </row>
        <row r="5974">
          <cell r="V5974"/>
          <cell r="W5974"/>
          <cell r="X5974"/>
          <cell r="Y5974"/>
        </row>
        <row r="5975">
          <cell r="V5975"/>
          <cell r="W5975"/>
          <cell r="X5975"/>
          <cell r="Y5975"/>
        </row>
        <row r="5976">
          <cell r="V5976"/>
          <cell r="W5976"/>
          <cell r="X5976"/>
          <cell r="Y5976"/>
        </row>
        <row r="5977">
          <cell r="V5977"/>
          <cell r="W5977"/>
          <cell r="X5977"/>
          <cell r="Y5977"/>
        </row>
        <row r="5978">
          <cell r="V5978"/>
          <cell r="W5978"/>
          <cell r="X5978"/>
          <cell r="Y5978"/>
        </row>
        <row r="5979">
          <cell r="V5979"/>
          <cell r="W5979"/>
          <cell r="X5979"/>
          <cell r="Y5979"/>
        </row>
        <row r="5980">
          <cell r="V5980"/>
          <cell r="W5980"/>
          <cell r="X5980"/>
          <cell r="Y5980"/>
        </row>
        <row r="5981">
          <cell r="V5981"/>
          <cell r="W5981"/>
          <cell r="X5981"/>
          <cell r="Y5981"/>
        </row>
        <row r="5982">
          <cell r="V5982"/>
          <cell r="W5982"/>
          <cell r="X5982"/>
          <cell r="Y5982"/>
        </row>
        <row r="5983">
          <cell r="V5983"/>
          <cell r="W5983"/>
          <cell r="X5983"/>
          <cell r="Y5983"/>
        </row>
        <row r="5984">
          <cell r="V5984"/>
          <cell r="W5984"/>
          <cell r="X5984"/>
          <cell r="Y5984"/>
        </row>
        <row r="5985">
          <cell r="V5985"/>
          <cell r="W5985"/>
          <cell r="X5985"/>
          <cell r="Y5985"/>
        </row>
        <row r="5986">
          <cell r="V5986"/>
          <cell r="W5986"/>
          <cell r="X5986"/>
          <cell r="Y5986"/>
        </row>
        <row r="5987">
          <cell r="V5987"/>
          <cell r="W5987"/>
          <cell r="X5987"/>
          <cell r="Y5987"/>
        </row>
        <row r="5988">
          <cell r="V5988"/>
          <cell r="W5988"/>
          <cell r="X5988"/>
          <cell r="Y5988"/>
        </row>
        <row r="5989">
          <cell r="V5989"/>
          <cell r="W5989"/>
          <cell r="X5989"/>
          <cell r="Y5989"/>
        </row>
        <row r="5990">
          <cell r="V5990"/>
          <cell r="W5990"/>
          <cell r="X5990"/>
          <cell r="Y5990"/>
        </row>
        <row r="5991">
          <cell r="V5991"/>
          <cell r="W5991"/>
          <cell r="X5991"/>
          <cell r="Y5991"/>
        </row>
        <row r="5992">
          <cell r="V5992"/>
          <cell r="W5992"/>
          <cell r="X5992"/>
          <cell r="Y5992"/>
        </row>
        <row r="5993">
          <cell r="V5993"/>
          <cell r="W5993"/>
          <cell r="X5993"/>
          <cell r="Y5993"/>
        </row>
        <row r="5994">
          <cell r="V5994"/>
          <cell r="W5994"/>
          <cell r="X5994"/>
          <cell r="Y5994"/>
        </row>
        <row r="5995">
          <cell r="V5995"/>
          <cell r="W5995"/>
          <cell r="X5995"/>
          <cell r="Y5995"/>
        </row>
        <row r="5996">
          <cell r="V5996"/>
          <cell r="W5996"/>
          <cell r="X5996"/>
          <cell r="Y5996"/>
        </row>
        <row r="5997">
          <cell r="V5997"/>
          <cell r="W5997"/>
          <cell r="X5997"/>
          <cell r="Y5997"/>
        </row>
        <row r="5998">
          <cell r="V5998"/>
          <cell r="W5998"/>
          <cell r="X5998"/>
          <cell r="Y5998"/>
        </row>
        <row r="5999">
          <cell r="V5999"/>
          <cell r="W5999"/>
          <cell r="X5999"/>
          <cell r="Y5999"/>
        </row>
        <row r="6000">
          <cell r="V6000"/>
          <cell r="W6000"/>
          <cell r="X6000"/>
          <cell r="Y6000"/>
        </row>
        <row r="6001">
          <cell r="V6001"/>
          <cell r="W6001"/>
          <cell r="X6001"/>
          <cell r="Y6001"/>
        </row>
        <row r="6002">
          <cell r="V6002"/>
          <cell r="W6002"/>
          <cell r="X6002"/>
          <cell r="Y6002"/>
        </row>
        <row r="6003">
          <cell r="V6003"/>
          <cell r="W6003"/>
          <cell r="X6003"/>
          <cell r="Y6003"/>
        </row>
        <row r="6004">
          <cell r="V6004"/>
          <cell r="W6004"/>
          <cell r="X6004"/>
          <cell r="Y6004"/>
        </row>
        <row r="6005">
          <cell r="V6005"/>
          <cell r="W6005"/>
          <cell r="X6005"/>
          <cell r="Y6005"/>
        </row>
        <row r="6006">
          <cell r="V6006"/>
          <cell r="W6006"/>
          <cell r="X6006"/>
          <cell r="Y6006"/>
        </row>
        <row r="6007">
          <cell r="V6007"/>
          <cell r="W6007"/>
          <cell r="X6007"/>
          <cell r="Y6007"/>
        </row>
        <row r="6008">
          <cell r="V6008"/>
          <cell r="W6008"/>
          <cell r="X6008"/>
          <cell r="Y6008"/>
        </row>
        <row r="6009">
          <cell r="V6009"/>
          <cell r="W6009"/>
          <cell r="X6009"/>
          <cell r="Y6009"/>
        </row>
        <row r="6010">
          <cell r="V6010"/>
          <cell r="W6010"/>
          <cell r="X6010"/>
          <cell r="Y6010"/>
        </row>
        <row r="6011">
          <cell r="V6011"/>
          <cell r="W6011"/>
          <cell r="X6011"/>
          <cell r="Y6011"/>
        </row>
        <row r="6012">
          <cell r="V6012"/>
          <cell r="W6012"/>
          <cell r="X6012"/>
          <cell r="Y6012"/>
        </row>
        <row r="6013">
          <cell r="V6013"/>
          <cell r="W6013"/>
          <cell r="X6013"/>
          <cell r="Y6013"/>
        </row>
        <row r="6014">
          <cell r="V6014"/>
          <cell r="W6014"/>
          <cell r="X6014"/>
          <cell r="Y6014"/>
        </row>
        <row r="6015">
          <cell r="V6015"/>
          <cell r="W6015"/>
          <cell r="X6015"/>
          <cell r="Y6015"/>
        </row>
        <row r="6016">
          <cell r="V6016"/>
          <cell r="W6016"/>
          <cell r="X6016"/>
          <cell r="Y6016"/>
        </row>
        <row r="6017">
          <cell r="V6017"/>
          <cell r="W6017"/>
          <cell r="X6017"/>
          <cell r="Y6017"/>
        </row>
        <row r="6018">
          <cell r="V6018"/>
          <cell r="W6018"/>
          <cell r="X6018"/>
          <cell r="Y6018"/>
        </row>
        <row r="6019">
          <cell r="V6019"/>
          <cell r="W6019"/>
          <cell r="X6019"/>
          <cell r="Y6019"/>
        </row>
        <row r="6020">
          <cell r="V6020"/>
          <cell r="W6020"/>
          <cell r="X6020"/>
          <cell r="Y6020"/>
        </row>
        <row r="6021">
          <cell r="V6021"/>
          <cell r="W6021"/>
          <cell r="X6021"/>
          <cell r="Y6021"/>
        </row>
        <row r="6022">
          <cell r="V6022"/>
          <cell r="W6022"/>
          <cell r="X6022"/>
          <cell r="Y6022"/>
        </row>
        <row r="6023">
          <cell r="V6023"/>
          <cell r="W6023"/>
          <cell r="X6023"/>
          <cell r="Y6023"/>
        </row>
        <row r="6024">
          <cell r="V6024"/>
          <cell r="W6024"/>
          <cell r="X6024"/>
          <cell r="Y6024"/>
        </row>
        <row r="6025">
          <cell r="V6025"/>
          <cell r="W6025"/>
          <cell r="X6025"/>
          <cell r="Y6025"/>
        </row>
        <row r="6026">
          <cell r="V6026"/>
          <cell r="W6026"/>
          <cell r="X6026"/>
          <cell r="Y6026"/>
        </row>
        <row r="6027">
          <cell r="V6027"/>
          <cell r="W6027"/>
          <cell r="X6027"/>
          <cell r="Y6027"/>
        </row>
        <row r="6028">
          <cell r="V6028"/>
          <cell r="W6028"/>
          <cell r="X6028"/>
          <cell r="Y6028"/>
        </row>
        <row r="6029">
          <cell r="V6029"/>
          <cell r="W6029"/>
          <cell r="X6029"/>
          <cell r="Y6029"/>
        </row>
        <row r="6030">
          <cell r="V6030"/>
          <cell r="W6030"/>
          <cell r="X6030"/>
          <cell r="Y6030"/>
        </row>
        <row r="6031">
          <cell r="V6031"/>
          <cell r="W6031"/>
          <cell r="X6031"/>
          <cell r="Y6031"/>
        </row>
        <row r="6032">
          <cell r="V6032"/>
          <cell r="W6032"/>
          <cell r="X6032"/>
          <cell r="Y6032"/>
        </row>
        <row r="6033">
          <cell r="V6033"/>
          <cell r="W6033"/>
          <cell r="X6033"/>
          <cell r="Y6033"/>
        </row>
        <row r="6034">
          <cell r="V6034"/>
          <cell r="W6034"/>
          <cell r="X6034"/>
          <cell r="Y6034"/>
        </row>
        <row r="6035">
          <cell r="V6035"/>
          <cell r="W6035"/>
          <cell r="X6035"/>
          <cell r="Y6035"/>
        </row>
        <row r="6036">
          <cell r="V6036"/>
          <cell r="W6036"/>
          <cell r="X6036"/>
          <cell r="Y6036"/>
        </row>
        <row r="6037">
          <cell r="V6037"/>
          <cell r="W6037"/>
          <cell r="X6037"/>
          <cell r="Y6037"/>
        </row>
        <row r="6038">
          <cell r="V6038"/>
          <cell r="W6038"/>
          <cell r="X6038"/>
          <cell r="Y6038"/>
        </row>
        <row r="6039">
          <cell r="V6039"/>
          <cell r="W6039"/>
          <cell r="X6039"/>
          <cell r="Y6039"/>
        </row>
        <row r="6040">
          <cell r="V6040"/>
          <cell r="W6040"/>
          <cell r="X6040"/>
          <cell r="Y6040"/>
        </row>
        <row r="6041">
          <cell r="V6041"/>
          <cell r="W6041"/>
          <cell r="X6041"/>
          <cell r="Y6041"/>
        </row>
        <row r="6042">
          <cell r="V6042"/>
          <cell r="W6042"/>
          <cell r="X6042"/>
          <cell r="Y6042"/>
        </row>
        <row r="6043">
          <cell r="V6043"/>
          <cell r="W6043"/>
          <cell r="X6043"/>
          <cell r="Y6043"/>
        </row>
        <row r="6044">
          <cell r="V6044"/>
          <cell r="W6044"/>
          <cell r="X6044"/>
          <cell r="Y6044"/>
        </row>
        <row r="6045">
          <cell r="V6045"/>
          <cell r="W6045"/>
          <cell r="X6045"/>
          <cell r="Y6045"/>
        </row>
        <row r="6046">
          <cell r="V6046"/>
          <cell r="W6046"/>
          <cell r="X6046"/>
          <cell r="Y6046"/>
        </row>
        <row r="6047">
          <cell r="V6047"/>
          <cell r="W6047"/>
          <cell r="X6047"/>
          <cell r="Y6047"/>
        </row>
        <row r="6048">
          <cell r="V6048"/>
          <cell r="W6048"/>
          <cell r="X6048"/>
          <cell r="Y6048"/>
        </row>
        <row r="6049">
          <cell r="V6049"/>
          <cell r="W6049"/>
          <cell r="X6049"/>
          <cell r="Y6049"/>
        </row>
        <row r="6050">
          <cell r="V6050"/>
          <cell r="W6050"/>
          <cell r="X6050"/>
          <cell r="Y6050"/>
        </row>
        <row r="6051">
          <cell r="V6051"/>
          <cell r="W6051"/>
          <cell r="X6051"/>
          <cell r="Y6051"/>
        </row>
        <row r="6052">
          <cell r="V6052"/>
          <cell r="W6052"/>
          <cell r="X6052"/>
          <cell r="Y6052"/>
        </row>
        <row r="6053">
          <cell r="V6053"/>
          <cell r="W6053"/>
          <cell r="X6053"/>
          <cell r="Y6053"/>
        </row>
        <row r="6054">
          <cell r="V6054"/>
          <cell r="W6054"/>
          <cell r="X6054"/>
          <cell r="Y6054"/>
        </row>
        <row r="6055">
          <cell r="V6055"/>
          <cell r="W6055"/>
          <cell r="X6055"/>
          <cell r="Y6055"/>
        </row>
        <row r="6056">
          <cell r="V6056"/>
          <cell r="W6056"/>
          <cell r="X6056"/>
          <cell r="Y6056"/>
        </row>
        <row r="6057">
          <cell r="V6057"/>
          <cell r="W6057"/>
          <cell r="X6057"/>
          <cell r="Y6057"/>
        </row>
        <row r="6058">
          <cell r="V6058"/>
          <cell r="W6058"/>
          <cell r="X6058"/>
          <cell r="Y6058"/>
        </row>
        <row r="6059">
          <cell r="V6059"/>
          <cell r="W6059"/>
          <cell r="X6059"/>
          <cell r="Y6059"/>
        </row>
        <row r="6060">
          <cell r="V6060"/>
          <cell r="W6060"/>
          <cell r="X6060"/>
          <cell r="Y6060"/>
        </row>
        <row r="6061">
          <cell r="V6061"/>
          <cell r="W6061"/>
          <cell r="X6061"/>
          <cell r="Y6061"/>
        </row>
        <row r="6062">
          <cell r="V6062"/>
          <cell r="W6062"/>
          <cell r="X6062"/>
          <cell r="Y6062"/>
        </row>
        <row r="6063">
          <cell r="V6063"/>
          <cell r="W6063"/>
          <cell r="X6063"/>
          <cell r="Y6063"/>
        </row>
        <row r="6064">
          <cell r="V6064"/>
          <cell r="W6064"/>
          <cell r="X6064"/>
          <cell r="Y6064"/>
        </row>
        <row r="6065">
          <cell r="V6065"/>
          <cell r="W6065"/>
          <cell r="X6065"/>
          <cell r="Y6065"/>
        </row>
        <row r="6066">
          <cell r="V6066"/>
          <cell r="W6066"/>
          <cell r="X6066"/>
          <cell r="Y6066"/>
        </row>
        <row r="6067">
          <cell r="V6067"/>
          <cell r="W6067"/>
          <cell r="X6067"/>
          <cell r="Y6067"/>
        </row>
        <row r="6068">
          <cell r="V6068"/>
          <cell r="W6068"/>
          <cell r="X6068"/>
          <cell r="Y6068"/>
        </row>
        <row r="6069">
          <cell r="V6069"/>
          <cell r="W6069"/>
          <cell r="X6069"/>
          <cell r="Y6069"/>
        </row>
        <row r="6070">
          <cell r="V6070"/>
          <cell r="W6070"/>
          <cell r="X6070"/>
          <cell r="Y6070"/>
        </row>
        <row r="6071">
          <cell r="V6071"/>
          <cell r="W6071"/>
          <cell r="X6071"/>
          <cell r="Y6071"/>
        </row>
        <row r="6072">
          <cell r="V6072"/>
          <cell r="W6072"/>
          <cell r="X6072"/>
          <cell r="Y6072"/>
        </row>
        <row r="6073">
          <cell r="V6073"/>
          <cell r="W6073"/>
          <cell r="X6073"/>
          <cell r="Y6073"/>
        </row>
        <row r="6074">
          <cell r="V6074"/>
          <cell r="W6074"/>
          <cell r="X6074"/>
          <cell r="Y6074"/>
        </row>
        <row r="6075">
          <cell r="V6075"/>
          <cell r="W6075"/>
          <cell r="X6075"/>
          <cell r="Y6075"/>
        </row>
        <row r="6076">
          <cell r="V6076"/>
          <cell r="W6076"/>
          <cell r="X6076"/>
          <cell r="Y6076"/>
        </row>
        <row r="6077">
          <cell r="V6077"/>
          <cell r="W6077"/>
          <cell r="X6077"/>
          <cell r="Y6077"/>
        </row>
        <row r="6078">
          <cell r="V6078"/>
          <cell r="W6078"/>
          <cell r="X6078"/>
          <cell r="Y6078"/>
        </row>
        <row r="6079">
          <cell r="V6079"/>
          <cell r="W6079"/>
          <cell r="X6079"/>
          <cell r="Y6079"/>
        </row>
        <row r="6080">
          <cell r="V6080"/>
          <cell r="W6080"/>
          <cell r="X6080"/>
          <cell r="Y6080"/>
        </row>
        <row r="6081">
          <cell r="V6081"/>
          <cell r="W6081"/>
          <cell r="X6081"/>
          <cell r="Y6081"/>
        </row>
        <row r="6082">
          <cell r="V6082"/>
          <cell r="W6082"/>
          <cell r="X6082"/>
          <cell r="Y6082"/>
        </row>
        <row r="6083">
          <cell r="V6083"/>
          <cell r="W6083"/>
          <cell r="X6083"/>
          <cell r="Y6083"/>
        </row>
        <row r="6084">
          <cell r="V6084"/>
          <cell r="W6084"/>
          <cell r="X6084"/>
          <cell r="Y6084"/>
        </row>
        <row r="6085">
          <cell r="V6085"/>
          <cell r="W6085"/>
          <cell r="X6085"/>
          <cell r="Y6085"/>
        </row>
        <row r="6086">
          <cell r="V6086"/>
          <cell r="W6086"/>
          <cell r="X6086"/>
          <cell r="Y6086"/>
        </row>
        <row r="6087">
          <cell r="V6087"/>
          <cell r="W6087"/>
          <cell r="X6087"/>
          <cell r="Y6087"/>
        </row>
        <row r="6088">
          <cell r="V6088"/>
          <cell r="W6088"/>
          <cell r="X6088"/>
          <cell r="Y6088"/>
        </row>
        <row r="6089">
          <cell r="V6089"/>
          <cell r="W6089"/>
          <cell r="X6089"/>
          <cell r="Y6089"/>
        </row>
        <row r="6090">
          <cell r="V6090"/>
          <cell r="W6090"/>
          <cell r="X6090"/>
          <cell r="Y6090"/>
        </row>
        <row r="6091">
          <cell r="V6091"/>
          <cell r="W6091"/>
          <cell r="X6091"/>
          <cell r="Y6091"/>
        </row>
        <row r="6092">
          <cell r="V6092"/>
          <cell r="W6092"/>
          <cell r="X6092"/>
          <cell r="Y6092"/>
        </row>
        <row r="6093">
          <cell r="V6093"/>
          <cell r="W6093"/>
          <cell r="X6093"/>
          <cell r="Y6093"/>
        </row>
        <row r="6094">
          <cell r="V6094"/>
          <cell r="W6094"/>
          <cell r="X6094"/>
          <cell r="Y6094"/>
        </row>
        <row r="6095">
          <cell r="V6095"/>
          <cell r="W6095"/>
          <cell r="X6095"/>
          <cell r="Y6095"/>
        </row>
        <row r="6096">
          <cell r="V6096"/>
          <cell r="W6096"/>
          <cell r="X6096"/>
          <cell r="Y6096"/>
        </row>
        <row r="6097">
          <cell r="V6097"/>
          <cell r="W6097"/>
          <cell r="X6097"/>
          <cell r="Y6097"/>
        </row>
        <row r="6098">
          <cell r="V6098"/>
          <cell r="W6098"/>
          <cell r="X6098"/>
          <cell r="Y6098"/>
        </row>
        <row r="6099">
          <cell r="V6099"/>
          <cell r="W6099"/>
          <cell r="X6099"/>
          <cell r="Y6099"/>
        </row>
        <row r="6100">
          <cell r="V6100"/>
          <cell r="W6100"/>
          <cell r="X6100"/>
          <cell r="Y6100"/>
        </row>
        <row r="6101">
          <cell r="V6101"/>
          <cell r="W6101"/>
          <cell r="X6101"/>
          <cell r="Y6101"/>
        </row>
        <row r="6102">
          <cell r="V6102"/>
          <cell r="W6102"/>
          <cell r="X6102"/>
          <cell r="Y6102"/>
        </row>
        <row r="6103">
          <cell r="V6103"/>
          <cell r="W6103"/>
          <cell r="X6103"/>
          <cell r="Y6103"/>
        </row>
        <row r="6104">
          <cell r="V6104"/>
          <cell r="W6104"/>
          <cell r="X6104"/>
          <cell r="Y6104"/>
        </row>
        <row r="6105">
          <cell r="V6105"/>
          <cell r="W6105"/>
          <cell r="X6105"/>
          <cell r="Y6105"/>
        </row>
        <row r="6106">
          <cell r="V6106"/>
          <cell r="W6106"/>
          <cell r="X6106"/>
          <cell r="Y6106"/>
        </row>
        <row r="6107">
          <cell r="V6107"/>
          <cell r="W6107"/>
          <cell r="X6107"/>
          <cell r="Y6107"/>
        </row>
        <row r="6108">
          <cell r="V6108"/>
          <cell r="W6108"/>
          <cell r="X6108"/>
          <cell r="Y6108"/>
        </row>
        <row r="6109">
          <cell r="V6109"/>
          <cell r="W6109"/>
          <cell r="X6109"/>
          <cell r="Y6109"/>
        </row>
        <row r="6110">
          <cell r="V6110"/>
          <cell r="W6110"/>
          <cell r="X6110"/>
          <cell r="Y6110"/>
        </row>
        <row r="6111">
          <cell r="V6111"/>
          <cell r="W6111"/>
          <cell r="X6111"/>
          <cell r="Y6111"/>
        </row>
        <row r="6112">
          <cell r="V6112"/>
          <cell r="W6112"/>
          <cell r="X6112"/>
          <cell r="Y6112"/>
        </row>
        <row r="6113">
          <cell r="V6113"/>
          <cell r="W6113"/>
          <cell r="X6113"/>
          <cell r="Y6113"/>
        </row>
        <row r="6114">
          <cell r="V6114"/>
          <cell r="W6114"/>
          <cell r="X6114"/>
          <cell r="Y6114"/>
        </row>
        <row r="6115">
          <cell r="V6115"/>
          <cell r="W6115"/>
          <cell r="X6115"/>
          <cell r="Y6115"/>
        </row>
        <row r="6116">
          <cell r="V6116"/>
          <cell r="W6116"/>
          <cell r="X6116"/>
          <cell r="Y6116"/>
        </row>
        <row r="6117">
          <cell r="V6117"/>
          <cell r="W6117"/>
          <cell r="X6117"/>
          <cell r="Y6117"/>
        </row>
        <row r="6118">
          <cell r="V6118"/>
          <cell r="W6118"/>
          <cell r="X6118"/>
          <cell r="Y6118"/>
        </row>
        <row r="6119">
          <cell r="V6119"/>
          <cell r="W6119"/>
          <cell r="X6119"/>
          <cell r="Y6119"/>
        </row>
        <row r="6120">
          <cell r="V6120"/>
          <cell r="W6120"/>
          <cell r="X6120"/>
          <cell r="Y6120"/>
        </row>
        <row r="6121">
          <cell r="V6121"/>
          <cell r="W6121"/>
          <cell r="X6121"/>
          <cell r="Y6121"/>
        </row>
        <row r="6122">
          <cell r="V6122"/>
          <cell r="W6122"/>
          <cell r="X6122"/>
          <cell r="Y6122"/>
        </row>
        <row r="6123">
          <cell r="V6123"/>
          <cell r="W6123"/>
          <cell r="X6123"/>
          <cell r="Y6123"/>
        </row>
        <row r="6124">
          <cell r="V6124"/>
          <cell r="W6124"/>
          <cell r="X6124"/>
          <cell r="Y6124"/>
        </row>
        <row r="6125">
          <cell r="V6125"/>
          <cell r="W6125"/>
          <cell r="X6125"/>
          <cell r="Y6125"/>
        </row>
        <row r="6126">
          <cell r="V6126"/>
          <cell r="W6126"/>
          <cell r="X6126"/>
          <cell r="Y6126"/>
        </row>
        <row r="6127">
          <cell r="V6127"/>
          <cell r="W6127"/>
          <cell r="X6127"/>
          <cell r="Y6127"/>
        </row>
        <row r="6128">
          <cell r="V6128"/>
          <cell r="W6128"/>
          <cell r="X6128"/>
          <cell r="Y6128"/>
        </row>
        <row r="6129">
          <cell r="V6129"/>
          <cell r="W6129"/>
          <cell r="X6129"/>
          <cell r="Y6129"/>
        </row>
        <row r="6130">
          <cell r="V6130"/>
          <cell r="W6130"/>
          <cell r="X6130"/>
          <cell r="Y6130"/>
        </row>
        <row r="6131">
          <cell r="V6131"/>
          <cell r="W6131"/>
          <cell r="X6131"/>
          <cell r="Y6131"/>
        </row>
        <row r="6132">
          <cell r="V6132"/>
          <cell r="W6132"/>
          <cell r="X6132"/>
          <cell r="Y6132"/>
        </row>
        <row r="6133">
          <cell r="V6133"/>
          <cell r="W6133"/>
          <cell r="X6133"/>
          <cell r="Y6133"/>
        </row>
        <row r="6134">
          <cell r="V6134"/>
          <cell r="W6134"/>
          <cell r="X6134"/>
          <cell r="Y6134"/>
        </row>
        <row r="6135">
          <cell r="V6135"/>
          <cell r="W6135"/>
          <cell r="X6135"/>
          <cell r="Y6135"/>
        </row>
        <row r="6136">
          <cell r="V6136"/>
          <cell r="W6136"/>
          <cell r="X6136"/>
          <cell r="Y6136"/>
        </row>
        <row r="6137">
          <cell r="V6137"/>
          <cell r="W6137"/>
          <cell r="X6137"/>
          <cell r="Y6137"/>
        </row>
        <row r="6138">
          <cell r="V6138"/>
          <cell r="W6138"/>
          <cell r="X6138"/>
          <cell r="Y6138"/>
        </row>
        <row r="6139">
          <cell r="V6139"/>
          <cell r="W6139"/>
          <cell r="X6139"/>
          <cell r="Y6139"/>
        </row>
        <row r="6140">
          <cell r="V6140"/>
          <cell r="W6140"/>
          <cell r="X6140"/>
          <cell r="Y6140"/>
        </row>
        <row r="6141">
          <cell r="V6141"/>
          <cell r="W6141"/>
          <cell r="X6141"/>
          <cell r="Y6141"/>
        </row>
        <row r="6142">
          <cell r="V6142"/>
          <cell r="W6142"/>
          <cell r="X6142"/>
          <cell r="Y6142"/>
        </row>
        <row r="6143">
          <cell r="V6143"/>
          <cell r="W6143"/>
          <cell r="X6143"/>
          <cell r="Y6143"/>
        </row>
        <row r="6144">
          <cell r="V6144"/>
          <cell r="W6144"/>
          <cell r="X6144"/>
          <cell r="Y6144"/>
        </row>
        <row r="6145">
          <cell r="V6145"/>
          <cell r="W6145"/>
          <cell r="X6145"/>
          <cell r="Y6145"/>
        </row>
        <row r="6146">
          <cell r="V6146"/>
          <cell r="W6146"/>
          <cell r="X6146"/>
          <cell r="Y6146"/>
        </row>
        <row r="6147">
          <cell r="V6147"/>
          <cell r="W6147"/>
          <cell r="X6147"/>
          <cell r="Y6147"/>
        </row>
        <row r="6148">
          <cell r="V6148"/>
          <cell r="W6148"/>
          <cell r="X6148"/>
          <cell r="Y6148"/>
        </row>
        <row r="6149">
          <cell r="V6149"/>
          <cell r="W6149"/>
          <cell r="X6149"/>
          <cell r="Y6149"/>
        </row>
        <row r="6150">
          <cell r="V6150"/>
          <cell r="W6150"/>
          <cell r="X6150"/>
          <cell r="Y6150"/>
        </row>
        <row r="6151">
          <cell r="V6151"/>
          <cell r="W6151"/>
          <cell r="X6151"/>
          <cell r="Y6151"/>
        </row>
        <row r="6152">
          <cell r="V6152"/>
          <cell r="W6152"/>
          <cell r="X6152"/>
          <cell r="Y6152"/>
        </row>
        <row r="6153">
          <cell r="V6153"/>
          <cell r="W6153"/>
          <cell r="X6153"/>
          <cell r="Y6153"/>
        </row>
        <row r="6154">
          <cell r="V6154"/>
          <cell r="W6154"/>
          <cell r="X6154"/>
          <cell r="Y6154"/>
        </row>
        <row r="6155">
          <cell r="V6155"/>
          <cell r="W6155"/>
          <cell r="X6155"/>
          <cell r="Y6155"/>
        </row>
        <row r="6156">
          <cell r="V6156"/>
          <cell r="W6156"/>
          <cell r="X6156"/>
          <cell r="Y6156"/>
        </row>
        <row r="6157">
          <cell r="V6157"/>
          <cell r="W6157"/>
          <cell r="X6157"/>
          <cell r="Y6157"/>
        </row>
        <row r="6158">
          <cell r="V6158"/>
          <cell r="W6158"/>
          <cell r="X6158"/>
          <cell r="Y6158"/>
        </row>
        <row r="6159">
          <cell r="V6159"/>
          <cell r="W6159"/>
          <cell r="X6159"/>
          <cell r="Y6159"/>
        </row>
        <row r="6160">
          <cell r="V6160"/>
          <cell r="W6160"/>
          <cell r="X6160"/>
          <cell r="Y6160"/>
        </row>
        <row r="6161">
          <cell r="V6161"/>
          <cell r="W6161"/>
          <cell r="X6161"/>
          <cell r="Y6161"/>
        </row>
        <row r="6162">
          <cell r="V6162"/>
          <cell r="W6162"/>
          <cell r="X6162"/>
          <cell r="Y6162"/>
        </row>
        <row r="6163">
          <cell r="V6163"/>
          <cell r="W6163"/>
          <cell r="X6163"/>
          <cell r="Y6163"/>
        </row>
        <row r="6164">
          <cell r="V6164"/>
          <cell r="W6164"/>
          <cell r="X6164"/>
          <cell r="Y6164"/>
        </row>
        <row r="6165">
          <cell r="V6165"/>
          <cell r="W6165"/>
          <cell r="X6165"/>
          <cell r="Y6165"/>
        </row>
        <row r="6166">
          <cell r="V6166"/>
          <cell r="W6166"/>
          <cell r="X6166"/>
          <cell r="Y6166"/>
        </row>
        <row r="6167">
          <cell r="V6167"/>
          <cell r="W6167"/>
          <cell r="X6167"/>
          <cell r="Y6167"/>
        </row>
        <row r="6168">
          <cell r="V6168"/>
          <cell r="W6168"/>
          <cell r="X6168"/>
          <cell r="Y6168"/>
        </row>
        <row r="6169">
          <cell r="V6169"/>
          <cell r="W6169"/>
          <cell r="X6169"/>
          <cell r="Y6169"/>
        </row>
        <row r="6170">
          <cell r="V6170"/>
          <cell r="W6170"/>
          <cell r="X6170"/>
          <cell r="Y6170"/>
        </row>
        <row r="6171">
          <cell r="V6171"/>
          <cell r="W6171"/>
          <cell r="X6171"/>
          <cell r="Y6171"/>
        </row>
        <row r="6172">
          <cell r="V6172"/>
          <cell r="W6172"/>
          <cell r="X6172"/>
          <cell r="Y6172"/>
        </row>
        <row r="6173">
          <cell r="V6173"/>
          <cell r="W6173"/>
          <cell r="X6173"/>
          <cell r="Y6173"/>
        </row>
        <row r="6174">
          <cell r="V6174"/>
          <cell r="W6174"/>
          <cell r="X6174"/>
          <cell r="Y6174"/>
        </row>
        <row r="6175">
          <cell r="V6175"/>
          <cell r="W6175"/>
          <cell r="X6175"/>
          <cell r="Y6175"/>
        </row>
        <row r="6176">
          <cell r="V6176"/>
          <cell r="W6176"/>
          <cell r="X6176"/>
          <cell r="Y6176"/>
        </row>
        <row r="6177">
          <cell r="V6177"/>
          <cell r="W6177"/>
          <cell r="X6177"/>
          <cell r="Y6177"/>
        </row>
        <row r="6178">
          <cell r="V6178"/>
          <cell r="W6178"/>
          <cell r="X6178"/>
          <cell r="Y6178"/>
        </row>
        <row r="6179">
          <cell r="V6179"/>
          <cell r="W6179"/>
          <cell r="X6179"/>
          <cell r="Y6179"/>
        </row>
        <row r="6180">
          <cell r="V6180"/>
          <cell r="W6180"/>
          <cell r="X6180"/>
          <cell r="Y6180"/>
        </row>
        <row r="6181">
          <cell r="V6181"/>
          <cell r="W6181"/>
          <cell r="X6181"/>
          <cell r="Y6181"/>
        </row>
        <row r="6182">
          <cell r="V6182"/>
          <cell r="W6182"/>
          <cell r="X6182"/>
          <cell r="Y6182"/>
        </row>
        <row r="6183">
          <cell r="V6183"/>
          <cell r="W6183"/>
          <cell r="X6183"/>
          <cell r="Y6183"/>
        </row>
        <row r="6184">
          <cell r="V6184"/>
          <cell r="W6184"/>
          <cell r="X6184"/>
          <cell r="Y6184"/>
        </row>
        <row r="6185">
          <cell r="V6185"/>
          <cell r="W6185"/>
          <cell r="X6185"/>
          <cell r="Y6185"/>
        </row>
        <row r="6186">
          <cell r="V6186"/>
          <cell r="W6186"/>
          <cell r="X6186"/>
          <cell r="Y6186"/>
        </row>
        <row r="6187">
          <cell r="V6187"/>
          <cell r="W6187"/>
          <cell r="X6187"/>
          <cell r="Y6187"/>
        </row>
        <row r="6188">
          <cell r="V6188"/>
          <cell r="W6188"/>
          <cell r="X6188"/>
          <cell r="Y6188"/>
        </row>
        <row r="6189">
          <cell r="V6189"/>
          <cell r="W6189"/>
          <cell r="X6189"/>
          <cell r="Y6189"/>
        </row>
        <row r="6190">
          <cell r="V6190"/>
          <cell r="W6190"/>
          <cell r="X6190"/>
          <cell r="Y6190"/>
        </row>
        <row r="6191">
          <cell r="V6191"/>
          <cell r="W6191"/>
          <cell r="X6191"/>
          <cell r="Y6191"/>
        </row>
        <row r="6192">
          <cell r="V6192"/>
          <cell r="W6192"/>
          <cell r="X6192"/>
          <cell r="Y6192"/>
        </row>
        <row r="6193">
          <cell r="V6193"/>
          <cell r="W6193"/>
          <cell r="X6193"/>
          <cell r="Y6193"/>
        </row>
        <row r="6194">
          <cell r="V6194"/>
          <cell r="W6194"/>
          <cell r="X6194"/>
          <cell r="Y6194"/>
        </row>
        <row r="6195">
          <cell r="V6195"/>
          <cell r="W6195"/>
          <cell r="X6195"/>
          <cell r="Y6195"/>
        </row>
        <row r="6196">
          <cell r="V6196"/>
          <cell r="W6196"/>
          <cell r="X6196"/>
          <cell r="Y6196"/>
        </row>
        <row r="6197">
          <cell r="V6197"/>
          <cell r="W6197"/>
          <cell r="X6197"/>
          <cell r="Y6197"/>
        </row>
        <row r="6198">
          <cell r="V6198"/>
          <cell r="W6198"/>
          <cell r="X6198"/>
          <cell r="Y6198"/>
        </row>
        <row r="6199">
          <cell r="V6199"/>
          <cell r="W6199"/>
          <cell r="X6199"/>
          <cell r="Y6199"/>
        </row>
        <row r="6200">
          <cell r="V6200"/>
          <cell r="W6200"/>
          <cell r="X6200"/>
          <cell r="Y6200"/>
        </row>
        <row r="6201">
          <cell r="V6201"/>
          <cell r="W6201"/>
          <cell r="X6201"/>
          <cell r="Y6201"/>
        </row>
        <row r="6202">
          <cell r="V6202"/>
          <cell r="W6202"/>
          <cell r="X6202"/>
          <cell r="Y6202"/>
        </row>
        <row r="6203">
          <cell r="V6203"/>
          <cell r="W6203"/>
          <cell r="X6203"/>
          <cell r="Y6203"/>
        </row>
        <row r="6204">
          <cell r="V6204"/>
          <cell r="W6204"/>
          <cell r="X6204"/>
          <cell r="Y6204"/>
        </row>
        <row r="6205">
          <cell r="V6205"/>
          <cell r="W6205"/>
          <cell r="X6205"/>
          <cell r="Y6205"/>
        </row>
        <row r="6206">
          <cell r="V6206"/>
          <cell r="W6206"/>
          <cell r="X6206"/>
          <cell r="Y6206"/>
        </row>
        <row r="6207">
          <cell r="V6207"/>
          <cell r="W6207"/>
          <cell r="X6207"/>
          <cell r="Y6207"/>
        </row>
        <row r="6208">
          <cell r="V6208"/>
          <cell r="W6208"/>
          <cell r="X6208"/>
          <cell r="Y6208"/>
        </row>
        <row r="6209">
          <cell r="V6209"/>
          <cell r="W6209"/>
          <cell r="X6209"/>
          <cell r="Y6209"/>
        </row>
        <row r="6210">
          <cell r="V6210"/>
          <cell r="W6210"/>
          <cell r="X6210"/>
          <cell r="Y6210"/>
        </row>
        <row r="6211">
          <cell r="V6211"/>
          <cell r="W6211"/>
          <cell r="X6211"/>
          <cell r="Y6211"/>
        </row>
        <row r="6212">
          <cell r="V6212"/>
          <cell r="W6212"/>
          <cell r="X6212"/>
          <cell r="Y6212"/>
        </row>
        <row r="6213">
          <cell r="V6213"/>
          <cell r="W6213"/>
          <cell r="X6213"/>
          <cell r="Y6213"/>
        </row>
        <row r="6214">
          <cell r="V6214"/>
          <cell r="W6214"/>
          <cell r="X6214"/>
          <cell r="Y6214"/>
        </row>
        <row r="6215">
          <cell r="V6215"/>
          <cell r="W6215"/>
          <cell r="X6215"/>
          <cell r="Y6215"/>
        </row>
        <row r="6216">
          <cell r="V6216"/>
          <cell r="W6216"/>
          <cell r="X6216"/>
          <cell r="Y6216"/>
        </row>
        <row r="6217">
          <cell r="V6217"/>
          <cell r="W6217"/>
          <cell r="X6217"/>
          <cell r="Y6217"/>
        </row>
        <row r="6218">
          <cell r="V6218"/>
          <cell r="W6218"/>
          <cell r="X6218"/>
          <cell r="Y6218"/>
        </row>
        <row r="6219">
          <cell r="V6219"/>
          <cell r="W6219"/>
          <cell r="X6219"/>
          <cell r="Y6219"/>
        </row>
        <row r="6220">
          <cell r="V6220"/>
          <cell r="W6220"/>
          <cell r="X6220"/>
          <cell r="Y6220"/>
        </row>
        <row r="6221">
          <cell r="V6221"/>
          <cell r="W6221"/>
          <cell r="X6221"/>
          <cell r="Y6221"/>
        </row>
        <row r="6222">
          <cell r="V6222"/>
          <cell r="W6222"/>
          <cell r="X6222"/>
          <cell r="Y6222"/>
        </row>
        <row r="6223">
          <cell r="V6223"/>
          <cell r="W6223"/>
          <cell r="X6223"/>
          <cell r="Y6223"/>
        </row>
        <row r="6224">
          <cell r="V6224"/>
          <cell r="W6224"/>
          <cell r="X6224"/>
          <cell r="Y6224"/>
        </row>
        <row r="6225">
          <cell r="V6225"/>
          <cell r="W6225"/>
          <cell r="X6225"/>
          <cell r="Y6225"/>
        </row>
        <row r="6226">
          <cell r="V6226"/>
          <cell r="W6226"/>
          <cell r="X6226"/>
          <cell r="Y6226"/>
        </row>
        <row r="6227">
          <cell r="V6227"/>
          <cell r="W6227"/>
          <cell r="X6227"/>
          <cell r="Y6227"/>
        </row>
        <row r="6228">
          <cell r="V6228"/>
          <cell r="W6228"/>
          <cell r="X6228"/>
          <cell r="Y6228"/>
        </row>
        <row r="6229">
          <cell r="V6229"/>
          <cell r="W6229"/>
          <cell r="X6229"/>
          <cell r="Y6229"/>
        </row>
        <row r="6230">
          <cell r="V6230"/>
          <cell r="W6230"/>
          <cell r="X6230"/>
          <cell r="Y6230"/>
        </row>
        <row r="6231">
          <cell r="V6231"/>
          <cell r="W6231"/>
          <cell r="X6231"/>
          <cell r="Y6231"/>
        </row>
        <row r="6232">
          <cell r="V6232"/>
          <cell r="W6232"/>
          <cell r="X6232"/>
          <cell r="Y6232"/>
        </row>
        <row r="6233">
          <cell r="V6233"/>
          <cell r="W6233"/>
          <cell r="X6233"/>
          <cell r="Y6233"/>
        </row>
        <row r="6234">
          <cell r="V6234"/>
          <cell r="W6234"/>
          <cell r="X6234"/>
          <cell r="Y6234"/>
        </row>
        <row r="6235">
          <cell r="V6235"/>
          <cell r="W6235"/>
          <cell r="X6235"/>
          <cell r="Y6235"/>
        </row>
        <row r="6236">
          <cell r="V6236"/>
          <cell r="W6236"/>
          <cell r="X6236"/>
          <cell r="Y6236"/>
        </row>
        <row r="6237">
          <cell r="V6237"/>
          <cell r="W6237"/>
          <cell r="X6237"/>
          <cell r="Y6237"/>
        </row>
        <row r="6238">
          <cell r="V6238"/>
          <cell r="W6238"/>
          <cell r="X6238"/>
          <cell r="Y6238"/>
        </row>
        <row r="6239">
          <cell r="V6239"/>
          <cell r="W6239"/>
          <cell r="X6239"/>
          <cell r="Y6239"/>
        </row>
        <row r="6240">
          <cell r="V6240"/>
          <cell r="W6240"/>
          <cell r="X6240"/>
          <cell r="Y6240"/>
        </row>
        <row r="6241">
          <cell r="V6241"/>
          <cell r="W6241"/>
          <cell r="X6241"/>
          <cell r="Y6241"/>
        </row>
        <row r="6242">
          <cell r="V6242"/>
          <cell r="W6242"/>
          <cell r="X6242"/>
          <cell r="Y6242"/>
        </row>
        <row r="6243">
          <cell r="V6243"/>
          <cell r="W6243"/>
          <cell r="X6243"/>
          <cell r="Y6243"/>
        </row>
        <row r="6244">
          <cell r="V6244"/>
          <cell r="W6244"/>
          <cell r="X6244"/>
          <cell r="Y6244"/>
        </row>
        <row r="6245">
          <cell r="V6245"/>
          <cell r="W6245"/>
          <cell r="X6245"/>
          <cell r="Y6245"/>
        </row>
        <row r="6246">
          <cell r="V6246"/>
          <cell r="W6246"/>
          <cell r="X6246"/>
          <cell r="Y6246"/>
        </row>
        <row r="6247">
          <cell r="V6247"/>
          <cell r="W6247"/>
          <cell r="X6247"/>
          <cell r="Y6247"/>
        </row>
        <row r="6248">
          <cell r="V6248"/>
          <cell r="W6248"/>
          <cell r="X6248"/>
          <cell r="Y6248"/>
        </row>
        <row r="6249">
          <cell r="V6249"/>
          <cell r="W6249"/>
          <cell r="X6249"/>
          <cell r="Y6249"/>
        </row>
        <row r="6250">
          <cell r="V6250"/>
          <cell r="W6250"/>
          <cell r="X6250"/>
          <cell r="Y6250"/>
        </row>
        <row r="6251">
          <cell r="V6251"/>
          <cell r="W6251"/>
          <cell r="X6251"/>
          <cell r="Y6251"/>
        </row>
        <row r="6252">
          <cell r="V6252"/>
          <cell r="W6252"/>
          <cell r="X6252"/>
          <cell r="Y6252"/>
        </row>
        <row r="6253">
          <cell r="V6253"/>
          <cell r="W6253"/>
          <cell r="X6253"/>
          <cell r="Y6253"/>
        </row>
        <row r="6254">
          <cell r="V6254"/>
          <cell r="W6254"/>
          <cell r="X6254"/>
          <cell r="Y6254"/>
        </row>
        <row r="6255">
          <cell r="V6255"/>
          <cell r="W6255"/>
          <cell r="X6255"/>
          <cell r="Y6255"/>
        </row>
        <row r="6256">
          <cell r="V6256"/>
          <cell r="W6256"/>
          <cell r="X6256"/>
          <cell r="Y6256"/>
        </row>
        <row r="6257">
          <cell r="V6257"/>
          <cell r="W6257"/>
          <cell r="X6257"/>
          <cell r="Y6257"/>
        </row>
        <row r="6258">
          <cell r="V6258"/>
          <cell r="W6258"/>
          <cell r="X6258"/>
          <cell r="Y6258"/>
        </row>
        <row r="6259">
          <cell r="V6259"/>
          <cell r="W6259"/>
          <cell r="X6259"/>
          <cell r="Y6259"/>
        </row>
        <row r="6260">
          <cell r="V6260"/>
          <cell r="W6260"/>
          <cell r="X6260"/>
          <cell r="Y6260"/>
        </row>
        <row r="6261">
          <cell r="V6261"/>
          <cell r="W6261"/>
          <cell r="X6261"/>
          <cell r="Y6261"/>
        </row>
        <row r="6262">
          <cell r="V6262"/>
          <cell r="W6262"/>
          <cell r="X6262"/>
          <cell r="Y6262"/>
        </row>
        <row r="6263">
          <cell r="V6263"/>
          <cell r="W6263"/>
          <cell r="X6263"/>
          <cell r="Y6263"/>
        </row>
        <row r="6264">
          <cell r="V6264"/>
          <cell r="W6264"/>
          <cell r="X6264"/>
          <cell r="Y6264"/>
        </row>
        <row r="6265">
          <cell r="V6265"/>
          <cell r="W6265"/>
          <cell r="X6265"/>
          <cell r="Y6265"/>
        </row>
        <row r="6266">
          <cell r="V6266"/>
          <cell r="W6266"/>
          <cell r="X6266"/>
          <cell r="Y6266"/>
        </row>
        <row r="6267">
          <cell r="V6267"/>
          <cell r="W6267"/>
          <cell r="X6267"/>
          <cell r="Y6267"/>
        </row>
        <row r="6268">
          <cell r="V6268"/>
          <cell r="W6268"/>
          <cell r="X6268"/>
          <cell r="Y6268"/>
        </row>
        <row r="6269">
          <cell r="V6269"/>
          <cell r="W6269"/>
          <cell r="X6269"/>
          <cell r="Y6269"/>
        </row>
        <row r="6270">
          <cell r="V6270"/>
          <cell r="W6270"/>
          <cell r="X6270"/>
          <cell r="Y6270"/>
        </row>
        <row r="6271">
          <cell r="V6271"/>
          <cell r="W6271"/>
          <cell r="X6271"/>
          <cell r="Y6271"/>
        </row>
        <row r="6272">
          <cell r="V6272"/>
          <cell r="W6272"/>
          <cell r="X6272"/>
          <cell r="Y6272"/>
        </row>
        <row r="6273">
          <cell r="V6273"/>
          <cell r="W6273"/>
          <cell r="X6273"/>
          <cell r="Y6273"/>
        </row>
        <row r="6274">
          <cell r="V6274"/>
          <cell r="W6274"/>
          <cell r="X6274"/>
          <cell r="Y6274"/>
        </row>
        <row r="6275">
          <cell r="V6275"/>
          <cell r="W6275"/>
          <cell r="X6275"/>
          <cell r="Y6275"/>
        </row>
        <row r="6276">
          <cell r="V6276"/>
          <cell r="W6276"/>
          <cell r="X6276"/>
          <cell r="Y6276"/>
        </row>
        <row r="6277">
          <cell r="V6277"/>
          <cell r="W6277"/>
          <cell r="X6277"/>
          <cell r="Y6277"/>
        </row>
        <row r="6278">
          <cell r="V6278"/>
          <cell r="W6278"/>
          <cell r="X6278"/>
          <cell r="Y6278"/>
        </row>
        <row r="6279">
          <cell r="V6279"/>
          <cell r="W6279"/>
          <cell r="X6279"/>
          <cell r="Y6279"/>
        </row>
        <row r="6280">
          <cell r="V6280"/>
          <cell r="W6280"/>
          <cell r="X6280"/>
          <cell r="Y6280"/>
        </row>
        <row r="6281">
          <cell r="V6281"/>
          <cell r="W6281"/>
          <cell r="X6281"/>
          <cell r="Y6281"/>
        </row>
        <row r="6282">
          <cell r="V6282"/>
          <cell r="W6282"/>
          <cell r="X6282"/>
          <cell r="Y6282"/>
        </row>
        <row r="6283">
          <cell r="V6283"/>
          <cell r="W6283"/>
          <cell r="X6283"/>
          <cell r="Y6283"/>
        </row>
        <row r="6284">
          <cell r="V6284"/>
          <cell r="W6284"/>
          <cell r="X6284"/>
          <cell r="Y6284"/>
        </row>
        <row r="6285">
          <cell r="V6285"/>
          <cell r="W6285"/>
          <cell r="X6285"/>
          <cell r="Y6285"/>
        </row>
        <row r="6286">
          <cell r="V6286"/>
          <cell r="W6286"/>
          <cell r="X6286"/>
          <cell r="Y6286"/>
        </row>
        <row r="6287">
          <cell r="V6287"/>
          <cell r="W6287"/>
          <cell r="X6287"/>
          <cell r="Y6287"/>
        </row>
        <row r="6288">
          <cell r="V6288"/>
          <cell r="W6288"/>
          <cell r="X6288"/>
          <cell r="Y6288"/>
        </row>
        <row r="6289">
          <cell r="V6289"/>
          <cell r="W6289"/>
          <cell r="X6289"/>
          <cell r="Y6289"/>
        </row>
        <row r="6290">
          <cell r="V6290"/>
          <cell r="W6290"/>
          <cell r="X6290"/>
          <cell r="Y6290"/>
        </row>
        <row r="6291">
          <cell r="V6291"/>
          <cell r="W6291"/>
          <cell r="X6291"/>
          <cell r="Y6291"/>
        </row>
        <row r="6292">
          <cell r="V6292"/>
          <cell r="W6292"/>
          <cell r="X6292"/>
          <cell r="Y6292"/>
        </row>
        <row r="6293">
          <cell r="V6293"/>
          <cell r="W6293"/>
          <cell r="X6293"/>
          <cell r="Y6293"/>
        </row>
        <row r="6294">
          <cell r="V6294"/>
          <cell r="W6294"/>
          <cell r="X6294"/>
          <cell r="Y6294"/>
        </row>
        <row r="6295">
          <cell r="V6295"/>
          <cell r="W6295"/>
          <cell r="X6295"/>
          <cell r="Y6295"/>
        </row>
        <row r="6296">
          <cell r="V6296"/>
          <cell r="W6296"/>
          <cell r="X6296"/>
          <cell r="Y6296"/>
        </row>
        <row r="6297">
          <cell r="V6297"/>
          <cell r="W6297"/>
          <cell r="X6297"/>
          <cell r="Y6297"/>
        </row>
        <row r="6298">
          <cell r="V6298"/>
          <cell r="W6298"/>
          <cell r="X6298"/>
          <cell r="Y6298"/>
        </row>
        <row r="6299">
          <cell r="V6299"/>
          <cell r="W6299"/>
          <cell r="X6299"/>
          <cell r="Y6299"/>
        </row>
        <row r="6300">
          <cell r="V6300"/>
          <cell r="W6300"/>
          <cell r="X6300"/>
          <cell r="Y6300"/>
        </row>
        <row r="6301">
          <cell r="V6301"/>
          <cell r="W6301"/>
          <cell r="X6301"/>
          <cell r="Y6301"/>
        </row>
        <row r="6302">
          <cell r="V6302"/>
          <cell r="W6302"/>
          <cell r="X6302"/>
          <cell r="Y6302"/>
        </row>
        <row r="6303">
          <cell r="V6303"/>
          <cell r="W6303"/>
          <cell r="X6303"/>
          <cell r="Y6303"/>
        </row>
        <row r="6304">
          <cell r="V6304"/>
          <cell r="W6304"/>
          <cell r="X6304"/>
          <cell r="Y6304"/>
        </row>
        <row r="6305">
          <cell r="V6305"/>
          <cell r="W6305"/>
          <cell r="X6305"/>
          <cell r="Y6305"/>
        </row>
        <row r="6306">
          <cell r="V6306"/>
          <cell r="W6306"/>
          <cell r="X6306"/>
          <cell r="Y6306"/>
        </row>
        <row r="6307">
          <cell r="V6307"/>
          <cell r="W6307"/>
          <cell r="X6307"/>
          <cell r="Y6307"/>
        </row>
        <row r="6308">
          <cell r="V6308"/>
          <cell r="W6308"/>
          <cell r="X6308"/>
          <cell r="Y6308"/>
        </row>
        <row r="6309">
          <cell r="V6309"/>
          <cell r="W6309"/>
          <cell r="X6309"/>
          <cell r="Y6309"/>
        </row>
        <row r="6310">
          <cell r="V6310"/>
          <cell r="W6310"/>
          <cell r="X6310"/>
          <cell r="Y6310"/>
        </row>
        <row r="6311">
          <cell r="V6311"/>
          <cell r="W6311"/>
          <cell r="X6311"/>
          <cell r="Y6311"/>
        </row>
        <row r="6312">
          <cell r="V6312"/>
          <cell r="W6312"/>
          <cell r="X6312"/>
          <cell r="Y6312"/>
        </row>
        <row r="6313">
          <cell r="V6313"/>
          <cell r="W6313"/>
          <cell r="X6313"/>
          <cell r="Y6313"/>
        </row>
        <row r="6314">
          <cell r="V6314"/>
          <cell r="W6314"/>
          <cell r="X6314"/>
          <cell r="Y6314"/>
        </row>
        <row r="6315">
          <cell r="V6315"/>
          <cell r="W6315"/>
          <cell r="X6315"/>
          <cell r="Y6315"/>
        </row>
        <row r="6316">
          <cell r="V6316"/>
          <cell r="W6316"/>
          <cell r="X6316"/>
          <cell r="Y6316"/>
        </row>
        <row r="6317">
          <cell r="V6317"/>
          <cell r="W6317"/>
          <cell r="X6317"/>
          <cell r="Y6317"/>
        </row>
        <row r="6318">
          <cell r="V6318"/>
          <cell r="W6318"/>
          <cell r="X6318"/>
          <cell r="Y6318"/>
        </row>
        <row r="6319">
          <cell r="V6319"/>
          <cell r="W6319"/>
          <cell r="X6319"/>
          <cell r="Y6319"/>
        </row>
        <row r="6320">
          <cell r="V6320"/>
          <cell r="W6320"/>
          <cell r="X6320"/>
          <cell r="Y6320"/>
        </row>
        <row r="6321">
          <cell r="V6321"/>
          <cell r="W6321"/>
          <cell r="X6321"/>
          <cell r="Y6321"/>
        </row>
        <row r="6322">
          <cell r="V6322"/>
          <cell r="W6322"/>
          <cell r="X6322"/>
          <cell r="Y6322"/>
        </row>
        <row r="6323">
          <cell r="V6323"/>
          <cell r="W6323"/>
          <cell r="X6323"/>
          <cell r="Y6323"/>
        </row>
        <row r="6324">
          <cell r="V6324"/>
          <cell r="W6324"/>
          <cell r="X6324"/>
          <cell r="Y6324"/>
        </row>
        <row r="6325">
          <cell r="V6325"/>
          <cell r="W6325"/>
          <cell r="X6325"/>
          <cell r="Y6325"/>
        </row>
        <row r="6326">
          <cell r="V6326"/>
          <cell r="W6326"/>
          <cell r="X6326"/>
          <cell r="Y6326"/>
        </row>
        <row r="6327">
          <cell r="V6327"/>
          <cell r="W6327"/>
          <cell r="X6327"/>
          <cell r="Y6327"/>
        </row>
        <row r="6328">
          <cell r="V6328"/>
          <cell r="W6328"/>
          <cell r="X6328"/>
          <cell r="Y6328"/>
        </row>
        <row r="6329">
          <cell r="V6329"/>
          <cell r="W6329"/>
          <cell r="X6329"/>
          <cell r="Y6329"/>
        </row>
        <row r="6330">
          <cell r="V6330"/>
          <cell r="W6330"/>
          <cell r="X6330"/>
          <cell r="Y6330"/>
        </row>
        <row r="6331">
          <cell r="V6331"/>
          <cell r="W6331"/>
          <cell r="X6331"/>
          <cell r="Y6331"/>
        </row>
        <row r="6332">
          <cell r="V6332"/>
          <cell r="W6332"/>
          <cell r="X6332"/>
          <cell r="Y6332"/>
        </row>
        <row r="6333">
          <cell r="V6333"/>
          <cell r="W6333"/>
          <cell r="X6333"/>
          <cell r="Y6333"/>
        </row>
        <row r="6334">
          <cell r="V6334"/>
          <cell r="W6334"/>
          <cell r="X6334"/>
          <cell r="Y6334"/>
        </row>
        <row r="6335">
          <cell r="V6335"/>
          <cell r="W6335"/>
          <cell r="X6335"/>
          <cell r="Y6335"/>
        </row>
        <row r="6336">
          <cell r="V6336"/>
          <cell r="W6336"/>
          <cell r="X6336"/>
          <cell r="Y6336"/>
        </row>
        <row r="6337">
          <cell r="V6337"/>
          <cell r="W6337"/>
          <cell r="X6337"/>
          <cell r="Y6337"/>
        </row>
        <row r="6338">
          <cell r="V6338"/>
          <cell r="W6338"/>
          <cell r="X6338"/>
          <cell r="Y6338"/>
        </row>
        <row r="6339">
          <cell r="V6339"/>
          <cell r="W6339"/>
          <cell r="X6339"/>
          <cell r="Y6339"/>
        </row>
        <row r="6340">
          <cell r="V6340"/>
          <cell r="W6340"/>
          <cell r="X6340"/>
          <cell r="Y6340"/>
        </row>
        <row r="6341">
          <cell r="V6341"/>
          <cell r="W6341"/>
          <cell r="X6341"/>
          <cell r="Y6341"/>
        </row>
        <row r="6342">
          <cell r="V6342"/>
          <cell r="W6342"/>
          <cell r="X6342"/>
          <cell r="Y6342"/>
        </row>
        <row r="6343">
          <cell r="V6343"/>
          <cell r="W6343"/>
          <cell r="X6343"/>
          <cell r="Y6343"/>
        </row>
        <row r="6344">
          <cell r="V6344"/>
          <cell r="W6344"/>
          <cell r="X6344"/>
          <cell r="Y6344"/>
        </row>
        <row r="6345">
          <cell r="V6345"/>
          <cell r="W6345"/>
          <cell r="X6345"/>
          <cell r="Y6345"/>
        </row>
        <row r="6346">
          <cell r="V6346"/>
          <cell r="W6346"/>
          <cell r="X6346"/>
          <cell r="Y6346"/>
        </row>
        <row r="6347">
          <cell r="V6347"/>
          <cell r="W6347"/>
          <cell r="X6347"/>
          <cell r="Y6347"/>
        </row>
        <row r="6348">
          <cell r="V6348"/>
          <cell r="W6348"/>
          <cell r="X6348"/>
          <cell r="Y6348"/>
        </row>
        <row r="6349">
          <cell r="V6349"/>
          <cell r="W6349"/>
          <cell r="X6349"/>
          <cell r="Y6349"/>
        </row>
        <row r="6350">
          <cell r="V6350"/>
          <cell r="W6350"/>
          <cell r="X6350"/>
          <cell r="Y6350"/>
        </row>
        <row r="6351">
          <cell r="V6351"/>
          <cell r="W6351"/>
          <cell r="X6351"/>
          <cell r="Y6351"/>
        </row>
        <row r="6352">
          <cell r="V6352"/>
          <cell r="W6352"/>
          <cell r="X6352"/>
          <cell r="Y6352"/>
        </row>
        <row r="6353">
          <cell r="V6353"/>
          <cell r="W6353"/>
          <cell r="X6353"/>
          <cell r="Y6353"/>
        </row>
        <row r="6354">
          <cell r="V6354"/>
          <cell r="W6354"/>
          <cell r="X6354"/>
          <cell r="Y6354"/>
        </row>
        <row r="6355">
          <cell r="V6355"/>
          <cell r="W6355"/>
          <cell r="X6355"/>
          <cell r="Y6355"/>
        </row>
        <row r="6356">
          <cell r="V6356"/>
          <cell r="W6356"/>
          <cell r="X6356"/>
          <cell r="Y6356"/>
        </row>
        <row r="6357">
          <cell r="V6357"/>
          <cell r="W6357"/>
          <cell r="X6357"/>
          <cell r="Y6357"/>
        </row>
        <row r="6358">
          <cell r="V6358"/>
          <cell r="W6358"/>
          <cell r="X6358"/>
          <cell r="Y6358"/>
        </row>
        <row r="6359">
          <cell r="V6359"/>
          <cell r="W6359"/>
          <cell r="X6359"/>
          <cell r="Y6359"/>
        </row>
        <row r="6360">
          <cell r="V6360"/>
          <cell r="W6360"/>
          <cell r="X6360"/>
          <cell r="Y6360"/>
        </row>
        <row r="6361">
          <cell r="V6361"/>
          <cell r="W6361"/>
          <cell r="X6361"/>
          <cell r="Y6361"/>
        </row>
        <row r="6362">
          <cell r="V6362"/>
          <cell r="W6362"/>
          <cell r="X6362"/>
          <cell r="Y6362"/>
        </row>
        <row r="6363">
          <cell r="V6363"/>
          <cell r="W6363"/>
          <cell r="X6363"/>
          <cell r="Y6363"/>
        </row>
        <row r="6364">
          <cell r="V6364"/>
          <cell r="W6364"/>
          <cell r="X6364"/>
          <cell r="Y6364"/>
        </row>
        <row r="6365">
          <cell r="V6365"/>
          <cell r="W6365"/>
          <cell r="X6365"/>
          <cell r="Y6365"/>
        </row>
        <row r="6366">
          <cell r="V6366"/>
          <cell r="W6366"/>
          <cell r="X6366"/>
          <cell r="Y6366"/>
        </row>
        <row r="6367">
          <cell r="V6367"/>
          <cell r="W6367"/>
          <cell r="X6367"/>
          <cell r="Y6367"/>
        </row>
        <row r="6368">
          <cell r="V6368"/>
          <cell r="W6368"/>
          <cell r="X6368"/>
          <cell r="Y6368"/>
        </row>
        <row r="6369">
          <cell r="V6369"/>
          <cell r="W6369"/>
          <cell r="X6369"/>
          <cell r="Y6369"/>
        </row>
        <row r="6370">
          <cell r="V6370"/>
          <cell r="W6370"/>
          <cell r="X6370"/>
          <cell r="Y6370"/>
        </row>
        <row r="6371">
          <cell r="V6371"/>
          <cell r="W6371"/>
          <cell r="X6371"/>
          <cell r="Y6371"/>
        </row>
        <row r="6372">
          <cell r="V6372"/>
          <cell r="W6372"/>
          <cell r="X6372"/>
          <cell r="Y6372"/>
        </row>
        <row r="6373">
          <cell r="V6373"/>
          <cell r="W6373"/>
          <cell r="X6373"/>
          <cell r="Y6373"/>
        </row>
        <row r="6374">
          <cell r="V6374"/>
          <cell r="W6374"/>
          <cell r="X6374"/>
          <cell r="Y6374"/>
        </row>
        <row r="6375">
          <cell r="V6375"/>
          <cell r="W6375"/>
          <cell r="X6375"/>
          <cell r="Y6375"/>
        </row>
        <row r="6376">
          <cell r="V6376"/>
          <cell r="W6376"/>
          <cell r="X6376"/>
          <cell r="Y6376"/>
        </row>
        <row r="6377">
          <cell r="V6377"/>
          <cell r="W6377"/>
          <cell r="X6377"/>
          <cell r="Y6377"/>
        </row>
        <row r="6378">
          <cell r="V6378"/>
          <cell r="W6378"/>
          <cell r="X6378"/>
          <cell r="Y6378"/>
        </row>
        <row r="6379">
          <cell r="V6379"/>
          <cell r="W6379"/>
          <cell r="X6379"/>
          <cell r="Y6379"/>
        </row>
        <row r="6380">
          <cell r="V6380"/>
          <cell r="W6380"/>
          <cell r="X6380"/>
          <cell r="Y6380"/>
        </row>
        <row r="6381">
          <cell r="V6381"/>
          <cell r="W6381"/>
          <cell r="X6381"/>
          <cell r="Y6381"/>
        </row>
        <row r="6382">
          <cell r="V6382"/>
          <cell r="W6382"/>
          <cell r="X6382"/>
          <cell r="Y6382"/>
        </row>
        <row r="6383">
          <cell r="V6383"/>
          <cell r="W6383"/>
          <cell r="X6383"/>
          <cell r="Y6383"/>
        </row>
        <row r="6384">
          <cell r="V6384"/>
          <cell r="W6384"/>
          <cell r="X6384"/>
          <cell r="Y6384"/>
        </row>
        <row r="6385">
          <cell r="V6385"/>
          <cell r="W6385"/>
          <cell r="X6385"/>
          <cell r="Y6385"/>
        </row>
        <row r="6386">
          <cell r="V6386"/>
          <cell r="W6386"/>
          <cell r="X6386"/>
          <cell r="Y6386"/>
        </row>
        <row r="6387">
          <cell r="V6387"/>
          <cell r="W6387"/>
          <cell r="X6387"/>
          <cell r="Y6387"/>
        </row>
        <row r="6388">
          <cell r="V6388"/>
          <cell r="W6388"/>
          <cell r="X6388"/>
          <cell r="Y6388"/>
        </row>
        <row r="6389">
          <cell r="V6389"/>
          <cell r="W6389"/>
          <cell r="X6389"/>
          <cell r="Y6389"/>
        </row>
        <row r="6390">
          <cell r="V6390"/>
          <cell r="W6390"/>
          <cell r="X6390"/>
          <cell r="Y6390"/>
        </row>
        <row r="6391">
          <cell r="V6391"/>
          <cell r="W6391"/>
          <cell r="X6391"/>
          <cell r="Y6391"/>
        </row>
        <row r="6392">
          <cell r="V6392"/>
          <cell r="W6392"/>
          <cell r="X6392"/>
          <cell r="Y6392"/>
        </row>
        <row r="6393">
          <cell r="V6393"/>
          <cell r="W6393"/>
          <cell r="X6393"/>
          <cell r="Y6393"/>
        </row>
        <row r="6394">
          <cell r="V6394"/>
          <cell r="W6394"/>
          <cell r="X6394"/>
          <cell r="Y6394"/>
        </row>
        <row r="6395">
          <cell r="V6395"/>
          <cell r="W6395"/>
          <cell r="X6395"/>
          <cell r="Y6395"/>
        </row>
        <row r="6396">
          <cell r="V6396"/>
          <cell r="W6396"/>
          <cell r="X6396"/>
          <cell r="Y6396"/>
        </row>
        <row r="6397">
          <cell r="V6397"/>
          <cell r="W6397"/>
          <cell r="X6397"/>
          <cell r="Y6397"/>
        </row>
        <row r="6398">
          <cell r="V6398"/>
          <cell r="W6398"/>
          <cell r="X6398"/>
          <cell r="Y6398"/>
        </row>
        <row r="6399">
          <cell r="V6399"/>
          <cell r="W6399"/>
          <cell r="X6399"/>
          <cell r="Y6399"/>
        </row>
        <row r="6400">
          <cell r="V6400"/>
          <cell r="W6400"/>
          <cell r="X6400"/>
          <cell r="Y6400"/>
        </row>
        <row r="6401">
          <cell r="V6401"/>
          <cell r="W6401"/>
          <cell r="X6401"/>
          <cell r="Y6401"/>
        </row>
        <row r="6402">
          <cell r="V6402"/>
          <cell r="W6402"/>
          <cell r="X6402"/>
          <cell r="Y6402"/>
        </row>
        <row r="6403">
          <cell r="V6403"/>
          <cell r="W6403"/>
          <cell r="X6403"/>
          <cell r="Y6403"/>
        </row>
        <row r="6404">
          <cell r="V6404"/>
          <cell r="W6404"/>
          <cell r="X6404"/>
          <cell r="Y6404"/>
        </row>
        <row r="6405">
          <cell r="V6405"/>
          <cell r="W6405"/>
          <cell r="X6405"/>
          <cell r="Y6405"/>
        </row>
        <row r="6406">
          <cell r="V6406"/>
          <cell r="W6406"/>
          <cell r="X6406"/>
          <cell r="Y6406"/>
        </row>
        <row r="6407">
          <cell r="V6407"/>
          <cell r="W6407"/>
          <cell r="X6407"/>
          <cell r="Y6407"/>
        </row>
        <row r="6408">
          <cell r="V6408"/>
          <cell r="W6408"/>
          <cell r="X6408"/>
          <cell r="Y6408"/>
        </row>
        <row r="6409">
          <cell r="V6409"/>
          <cell r="W6409"/>
          <cell r="X6409"/>
          <cell r="Y6409"/>
        </row>
        <row r="6410">
          <cell r="V6410"/>
          <cell r="W6410"/>
          <cell r="X6410"/>
          <cell r="Y6410"/>
        </row>
        <row r="6411">
          <cell r="V6411"/>
          <cell r="W6411"/>
          <cell r="X6411"/>
          <cell r="Y6411"/>
        </row>
        <row r="6412">
          <cell r="V6412"/>
          <cell r="W6412"/>
          <cell r="X6412"/>
          <cell r="Y6412"/>
        </row>
        <row r="6413">
          <cell r="V6413"/>
          <cell r="W6413"/>
          <cell r="X6413"/>
          <cell r="Y6413"/>
        </row>
        <row r="6414">
          <cell r="V6414"/>
          <cell r="W6414"/>
          <cell r="X6414"/>
          <cell r="Y6414"/>
        </row>
        <row r="6415">
          <cell r="V6415"/>
          <cell r="W6415"/>
          <cell r="X6415"/>
          <cell r="Y6415"/>
        </row>
        <row r="6416">
          <cell r="V6416"/>
          <cell r="W6416"/>
          <cell r="X6416"/>
          <cell r="Y6416"/>
        </row>
        <row r="6417">
          <cell r="V6417"/>
          <cell r="W6417"/>
          <cell r="X6417"/>
          <cell r="Y6417"/>
        </row>
        <row r="6418">
          <cell r="V6418"/>
          <cell r="W6418"/>
          <cell r="X6418"/>
          <cell r="Y6418"/>
        </row>
        <row r="6419">
          <cell r="V6419"/>
          <cell r="W6419"/>
          <cell r="X6419"/>
          <cell r="Y6419"/>
        </row>
        <row r="6420">
          <cell r="V6420"/>
          <cell r="W6420"/>
          <cell r="X6420"/>
          <cell r="Y6420"/>
        </row>
        <row r="6421">
          <cell r="V6421"/>
          <cell r="W6421"/>
          <cell r="X6421"/>
          <cell r="Y6421"/>
        </row>
        <row r="6422">
          <cell r="V6422"/>
          <cell r="W6422"/>
          <cell r="X6422"/>
          <cell r="Y6422"/>
        </row>
        <row r="6423">
          <cell r="V6423"/>
          <cell r="W6423"/>
          <cell r="X6423"/>
          <cell r="Y6423"/>
        </row>
        <row r="6424">
          <cell r="V6424"/>
          <cell r="W6424"/>
          <cell r="X6424"/>
          <cell r="Y6424"/>
        </row>
        <row r="6425">
          <cell r="V6425"/>
          <cell r="W6425"/>
          <cell r="X6425"/>
          <cell r="Y6425"/>
        </row>
        <row r="6426">
          <cell r="V6426"/>
          <cell r="W6426"/>
          <cell r="X6426"/>
          <cell r="Y6426"/>
        </row>
        <row r="6427">
          <cell r="V6427"/>
          <cell r="W6427"/>
          <cell r="X6427"/>
          <cell r="Y6427"/>
        </row>
        <row r="6428">
          <cell r="V6428"/>
          <cell r="W6428"/>
          <cell r="X6428"/>
          <cell r="Y6428"/>
        </row>
        <row r="6429">
          <cell r="V6429"/>
          <cell r="W6429"/>
          <cell r="X6429"/>
          <cell r="Y6429"/>
        </row>
        <row r="6430">
          <cell r="V6430"/>
          <cell r="W6430"/>
          <cell r="X6430"/>
          <cell r="Y6430"/>
        </row>
        <row r="6431">
          <cell r="V6431"/>
          <cell r="W6431"/>
          <cell r="X6431"/>
          <cell r="Y6431"/>
        </row>
        <row r="6432">
          <cell r="V6432"/>
          <cell r="W6432"/>
          <cell r="X6432"/>
          <cell r="Y6432"/>
        </row>
        <row r="6433">
          <cell r="V6433"/>
          <cell r="W6433"/>
          <cell r="X6433"/>
          <cell r="Y6433"/>
        </row>
        <row r="6434">
          <cell r="V6434"/>
          <cell r="W6434"/>
          <cell r="X6434"/>
          <cell r="Y6434"/>
        </row>
        <row r="6435">
          <cell r="V6435"/>
          <cell r="W6435"/>
          <cell r="X6435"/>
          <cell r="Y6435"/>
        </row>
        <row r="6436">
          <cell r="V6436"/>
          <cell r="W6436"/>
          <cell r="X6436"/>
          <cell r="Y6436"/>
        </row>
        <row r="6437">
          <cell r="V6437"/>
          <cell r="W6437"/>
          <cell r="X6437"/>
          <cell r="Y6437"/>
        </row>
        <row r="6438">
          <cell r="V6438"/>
          <cell r="W6438"/>
          <cell r="X6438"/>
          <cell r="Y6438"/>
        </row>
        <row r="6439">
          <cell r="V6439"/>
          <cell r="W6439"/>
          <cell r="X6439"/>
          <cell r="Y6439"/>
        </row>
        <row r="6440">
          <cell r="V6440"/>
          <cell r="W6440"/>
          <cell r="X6440"/>
          <cell r="Y6440"/>
        </row>
        <row r="6441">
          <cell r="V6441"/>
          <cell r="W6441"/>
          <cell r="X6441"/>
          <cell r="Y6441"/>
        </row>
        <row r="6442">
          <cell r="V6442"/>
          <cell r="W6442"/>
          <cell r="X6442"/>
          <cell r="Y6442"/>
        </row>
        <row r="6443">
          <cell r="V6443"/>
          <cell r="W6443"/>
          <cell r="X6443"/>
          <cell r="Y6443"/>
        </row>
        <row r="6444">
          <cell r="V6444"/>
          <cell r="W6444"/>
          <cell r="X6444"/>
          <cell r="Y6444"/>
        </row>
        <row r="6445">
          <cell r="V6445"/>
          <cell r="W6445"/>
          <cell r="X6445"/>
          <cell r="Y6445"/>
        </row>
        <row r="6446">
          <cell r="V6446"/>
          <cell r="W6446"/>
          <cell r="X6446"/>
          <cell r="Y6446"/>
        </row>
        <row r="6447">
          <cell r="V6447"/>
          <cell r="W6447"/>
          <cell r="X6447"/>
          <cell r="Y6447"/>
        </row>
        <row r="6448">
          <cell r="V6448"/>
          <cell r="W6448"/>
          <cell r="X6448"/>
          <cell r="Y6448"/>
        </row>
        <row r="6449">
          <cell r="V6449"/>
          <cell r="W6449"/>
          <cell r="X6449"/>
          <cell r="Y6449"/>
        </row>
        <row r="6450">
          <cell r="V6450"/>
          <cell r="W6450"/>
          <cell r="X6450"/>
          <cell r="Y6450"/>
        </row>
        <row r="6451">
          <cell r="V6451"/>
          <cell r="W6451"/>
          <cell r="X6451"/>
          <cell r="Y6451"/>
        </row>
        <row r="6452">
          <cell r="V6452"/>
          <cell r="W6452"/>
          <cell r="X6452"/>
          <cell r="Y6452"/>
        </row>
        <row r="6453">
          <cell r="V6453"/>
          <cell r="W6453"/>
          <cell r="X6453"/>
          <cell r="Y6453"/>
        </row>
        <row r="6454">
          <cell r="V6454"/>
          <cell r="W6454"/>
          <cell r="X6454"/>
          <cell r="Y6454"/>
        </row>
        <row r="6455">
          <cell r="V6455"/>
          <cell r="W6455"/>
          <cell r="X6455"/>
          <cell r="Y6455"/>
        </row>
        <row r="6456">
          <cell r="V6456"/>
          <cell r="W6456"/>
          <cell r="X6456"/>
          <cell r="Y6456"/>
        </row>
        <row r="6457">
          <cell r="V6457"/>
          <cell r="W6457"/>
          <cell r="X6457"/>
          <cell r="Y6457"/>
        </row>
        <row r="6458">
          <cell r="V6458"/>
          <cell r="W6458"/>
          <cell r="X6458"/>
          <cell r="Y6458"/>
        </row>
        <row r="6459">
          <cell r="V6459"/>
          <cell r="W6459"/>
          <cell r="X6459"/>
          <cell r="Y6459"/>
        </row>
        <row r="6460">
          <cell r="V6460"/>
          <cell r="W6460"/>
          <cell r="X6460"/>
          <cell r="Y6460"/>
        </row>
        <row r="6461">
          <cell r="V6461"/>
          <cell r="W6461"/>
          <cell r="X6461"/>
          <cell r="Y6461"/>
        </row>
        <row r="6462">
          <cell r="V6462"/>
          <cell r="W6462"/>
          <cell r="X6462"/>
          <cell r="Y6462"/>
        </row>
        <row r="6463">
          <cell r="V6463"/>
          <cell r="W6463"/>
          <cell r="X6463"/>
          <cell r="Y6463"/>
        </row>
        <row r="6464">
          <cell r="V6464"/>
          <cell r="W6464"/>
          <cell r="X6464"/>
          <cell r="Y6464"/>
        </row>
        <row r="6465">
          <cell r="V6465"/>
          <cell r="W6465"/>
          <cell r="X6465"/>
          <cell r="Y6465"/>
        </row>
        <row r="6466">
          <cell r="V6466"/>
          <cell r="W6466"/>
          <cell r="X6466"/>
          <cell r="Y6466"/>
        </row>
        <row r="6467">
          <cell r="V6467"/>
          <cell r="W6467"/>
          <cell r="X6467"/>
          <cell r="Y6467"/>
        </row>
        <row r="6468">
          <cell r="V6468"/>
          <cell r="W6468"/>
          <cell r="X6468"/>
          <cell r="Y6468"/>
        </row>
        <row r="6469">
          <cell r="V6469"/>
          <cell r="W6469"/>
          <cell r="X6469"/>
          <cell r="Y6469"/>
        </row>
        <row r="6470">
          <cell r="V6470"/>
          <cell r="W6470"/>
          <cell r="X6470"/>
          <cell r="Y6470"/>
        </row>
        <row r="6471">
          <cell r="V6471"/>
          <cell r="W6471"/>
          <cell r="X6471"/>
          <cell r="Y6471"/>
        </row>
        <row r="6472">
          <cell r="V6472"/>
          <cell r="W6472"/>
          <cell r="X6472"/>
          <cell r="Y6472"/>
        </row>
        <row r="6473">
          <cell r="V6473"/>
          <cell r="W6473"/>
          <cell r="X6473"/>
          <cell r="Y6473"/>
        </row>
        <row r="6474">
          <cell r="V6474"/>
          <cell r="W6474"/>
          <cell r="X6474"/>
          <cell r="Y6474"/>
        </row>
        <row r="6475">
          <cell r="V6475"/>
          <cell r="W6475"/>
          <cell r="X6475"/>
          <cell r="Y6475"/>
        </row>
        <row r="6476">
          <cell r="V6476"/>
          <cell r="W6476"/>
          <cell r="X6476"/>
          <cell r="Y6476"/>
        </row>
        <row r="6477">
          <cell r="V6477"/>
          <cell r="W6477"/>
          <cell r="X6477"/>
          <cell r="Y6477"/>
        </row>
        <row r="6478">
          <cell r="V6478"/>
          <cell r="W6478"/>
          <cell r="X6478"/>
          <cell r="Y6478"/>
        </row>
        <row r="6479">
          <cell r="V6479"/>
          <cell r="W6479"/>
          <cell r="X6479"/>
          <cell r="Y6479"/>
        </row>
        <row r="6480">
          <cell r="V6480"/>
          <cell r="W6480"/>
          <cell r="X6480"/>
          <cell r="Y6480"/>
        </row>
        <row r="6481">
          <cell r="V6481"/>
          <cell r="W6481"/>
          <cell r="X6481"/>
          <cell r="Y6481"/>
        </row>
        <row r="6482">
          <cell r="V6482"/>
          <cell r="W6482"/>
          <cell r="X6482"/>
          <cell r="Y6482"/>
        </row>
        <row r="6483">
          <cell r="V6483"/>
          <cell r="W6483"/>
          <cell r="X6483"/>
          <cell r="Y6483"/>
        </row>
        <row r="6484">
          <cell r="V6484"/>
          <cell r="W6484"/>
          <cell r="X6484"/>
          <cell r="Y6484"/>
        </row>
        <row r="6485">
          <cell r="V6485"/>
          <cell r="W6485"/>
          <cell r="X6485"/>
          <cell r="Y6485"/>
        </row>
        <row r="6486">
          <cell r="V6486"/>
          <cell r="W6486"/>
          <cell r="X6486"/>
          <cell r="Y6486"/>
        </row>
        <row r="6487">
          <cell r="V6487"/>
          <cell r="W6487"/>
          <cell r="X6487"/>
          <cell r="Y6487"/>
        </row>
        <row r="6488">
          <cell r="V6488"/>
          <cell r="W6488"/>
          <cell r="X6488"/>
          <cell r="Y6488"/>
        </row>
        <row r="6489">
          <cell r="V6489"/>
          <cell r="W6489"/>
          <cell r="X6489"/>
          <cell r="Y6489"/>
        </row>
        <row r="6490">
          <cell r="V6490"/>
          <cell r="W6490"/>
          <cell r="X6490"/>
          <cell r="Y6490"/>
        </row>
        <row r="6491">
          <cell r="V6491"/>
          <cell r="W6491"/>
          <cell r="X6491"/>
          <cell r="Y6491"/>
        </row>
        <row r="6492">
          <cell r="V6492"/>
          <cell r="W6492"/>
          <cell r="X6492"/>
          <cell r="Y6492"/>
        </row>
        <row r="6493">
          <cell r="V6493"/>
          <cell r="W6493"/>
          <cell r="X6493"/>
          <cell r="Y6493"/>
        </row>
        <row r="6494">
          <cell r="V6494"/>
          <cell r="W6494"/>
          <cell r="X6494"/>
          <cell r="Y6494"/>
        </row>
        <row r="6495">
          <cell r="V6495"/>
          <cell r="W6495"/>
          <cell r="X6495"/>
          <cell r="Y6495"/>
        </row>
        <row r="6496">
          <cell r="V6496"/>
          <cell r="W6496"/>
          <cell r="X6496"/>
          <cell r="Y6496"/>
        </row>
        <row r="6497">
          <cell r="V6497"/>
          <cell r="W6497"/>
          <cell r="X6497"/>
          <cell r="Y6497"/>
        </row>
        <row r="6498">
          <cell r="V6498"/>
          <cell r="W6498"/>
          <cell r="X6498"/>
          <cell r="Y6498"/>
        </row>
        <row r="6499">
          <cell r="V6499"/>
          <cell r="W6499"/>
          <cell r="X6499"/>
          <cell r="Y6499"/>
        </row>
        <row r="6500">
          <cell r="V6500"/>
          <cell r="W6500"/>
          <cell r="X6500"/>
          <cell r="Y6500"/>
        </row>
        <row r="6501">
          <cell r="V6501"/>
          <cell r="W6501"/>
          <cell r="X6501"/>
          <cell r="Y6501"/>
        </row>
        <row r="6502">
          <cell r="V6502"/>
          <cell r="W6502"/>
          <cell r="X6502"/>
          <cell r="Y6502"/>
        </row>
        <row r="6503">
          <cell r="V6503"/>
          <cell r="W6503"/>
          <cell r="X6503"/>
          <cell r="Y6503"/>
        </row>
        <row r="6504">
          <cell r="V6504"/>
          <cell r="W6504"/>
          <cell r="X6504"/>
          <cell r="Y6504"/>
        </row>
        <row r="6505">
          <cell r="V6505"/>
          <cell r="W6505"/>
          <cell r="X6505"/>
          <cell r="Y6505"/>
        </row>
        <row r="6506">
          <cell r="V6506"/>
          <cell r="W6506"/>
          <cell r="X6506"/>
          <cell r="Y6506"/>
        </row>
        <row r="6507">
          <cell r="V6507"/>
          <cell r="W6507"/>
          <cell r="X6507"/>
          <cell r="Y6507"/>
        </row>
        <row r="6508">
          <cell r="V6508"/>
          <cell r="W6508"/>
          <cell r="X6508"/>
          <cell r="Y6508"/>
        </row>
        <row r="6509">
          <cell r="V6509"/>
          <cell r="W6509"/>
          <cell r="X6509"/>
          <cell r="Y6509"/>
        </row>
        <row r="6510">
          <cell r="V6510"/>
          <cell r="W6510"/>
          <cell r="X6510"/>
          <cell r="Y6510"/>
        </row>
        <row r="6511">
          <cell r="V6511"/>
          <cell r="W6511"/>
          <cell r="X6511"/>
          <cell r="Y6511"/>
        </row>
        <row r="6512">
          <cell r="V6512"/>
          <cell r="W6512"/>
          <cell r="X6512"/>
          <cell r="Y6512"/>
        </row>
        <row r="6513">
          <cell r="V6513"/>
          <cell r="W6513"/>
          <cell r="X6513"/>
          <cell r="Y6513"/>
        </row>
        <row r="6514">
          <cell r="V6514"/>
          <cell r="W6514"/>
          <cell r="X6514"/>
          <cell r="Y6514"/>
        </row>
        <row r="6515">
          <cell r="V6515"/>
          <cell r="W6515"/>
          <cell r="X6515"/>
          <cell r="Y6515"/>
        </row>
        <row r="6516">
          <cell r="V6516"/>
          <cell r="W6516"/>
          <cell r="X6516"/>
          <cell r="Y6516"/>
        </row>
        <row r="6517">
          <cell r="V6517"/>
          <cell r="W6517"/>
          <cell r="X6517"/>
          <cell r="Y6517"/>
        </row>
        <row r="6518">
          <cell r="V6518"/>
          <cell r="W6518"/>
          <cell r="X6518"/>
          <cell r="Y6518"/>
        </row>
        <row r="6519">
          <cell r="V6519"/>
          <cell r="W6519"/>
          <cell r="X6519"/>
          <cell r="Y6519"/>
        </row>
        <row r="6520">
          <cell r="V6520"/>
          <cell r="W6520"/>
          <cell r="X6520"/>
          <cell r="Y6520"/>
        </row>
        <row r="6521">
          <cell r="V6521"/>
          <cell r="W6521"/>
          <cell r="X6521"/>
          <cell r="Y6521"/>
        </row>
        <row r="6522">
          <cell r="V6522"/>
          <cell r="W6522"/>
          <cell r="X6522"/>
          <cell r="Y6522"/>
        </row>
        <row r="6523">
          <cell r="V6523"/>
          <cell r="W6523"/>
          <cell r="X6523"/>
          <cell r="Y6523"/>
        </row>
        <row r="6524">
          <cell r="V6524"/>
          <cell r="W6524"/>
          <cell r="X6524"/>
          <cell r="Y6524"/>
        </row>
        <row r="6525">
          <cell r="V6525"/>
          <cell r="W6525"/>
          <cell r="X6525"/>
          <cell r="Y6525"/>
        </row>
        <row r="6526">
          <cell r="V6526"/>
          <cell r="W6526"/>
          <cell r="X6526"/>
          <cell r="Y6526"/>
        </row>
        <row r="6527">
          <cell r="V6527"/>
          <cell r="W6527"/>
          <cell r="X6527"/>
          <cell r="Y6527"/>
        </row>
        <row r="6528">
          <cell r="V6528"/>
          <cell r="W6528"/>
          <cell r="X6528"/>
          <cell r="Y6528"/>
        </row>
        <row r="6529">
          <cell r="V6529"/>
          <cell r="W6529"/>
          <cell r="X6529"/>
          <cell r="Y6529"/>
        </row>
        <row r="6530">
          <cell r="V6530"/>
          <cell r="W6530"/>
          <cell r="X6530"/>
          <cell r="Y6530"/>
        </row>
        <row r="6531">
          <cell r="V6531"/>
          <cell r="W6531"/>
          <cell r="X6531"/>
          <cell r="Y6531"/>
        </row>
        <row r="6532">
          <cell r="V6532"/>
          <cell r="W6532"/>
          <cell r="X6532"/>
          <cell r="Y6532"/>
        </row>
        <row r="6533">
          <cell r="V6533"/>
          <cell r="W6533"/>
          <cell r="X6533"/>
          <cell r="Y6533"/>
        </row>
        <row r="6534">
          <cell r="V6534"/>
          <cell r="W6534"/>
          <cell r="X6534"/>
          <cell r="Y6534"/>
        </row>
        <row r="6535">
          <cell r="V6535"/>
          <cell r="W6535"/>
          <cell r="X6535"/>
          <cell r="Y6535"/>
        </row>
        <row r="6536">
          <cell r="V6536"/>
          <cell r="W6536"/>
          <cell r="X6536"/>
          <cell r="Y6536"/>
        </row>
        <row r="6537">
          <cell r="V6537"/>
          <cell r="W6537"/>
          <cell r="X6537"/>
          <cell r="Y6537"/>
        </row>
        <row r="6538">
          <cell r="V6538"/>
          <cell r="W6538"/>
          <cell r="X6538"/>
          <cell r="Y6538"/>
        </row>
        <row r="6539">
          <cell r="V6539"/>
          <cell r="W6539"/>
          <cell r="X6539"/>
          <cell r="Y6539"/>
        </row>
        <row r="6540">
          <cell r="V6540"/>
          <cell r="W6540"/>
          <cell r="X6540"/>
          <cell r="Y6540"/>
        </row>
        <row r="6541">
          <cell r="V6541"/>
          <cell r="W6541"/>
          <cell r="X6541"/>
          <cell r="Y6541"/>
        </row>
        <row r="6542">
          <cell r="V6542"/>
          <cell r="W6542"/>
          <cell r="X6542"/>
          <cell r="Y6542"/>
        </row>
        <row r="6543">
          <cell r="V6543"/>
          <cell r="W6543"/>
          <cell r="X6543"/>
          <cell r="Y6543"/>
        </row>
        <row r="6544">
          <cell r="V6544"/>
          <cell r="W6544"/>
          <cell r="X6544"/>
          <cell r="Y6544"/>
        </row>
        <row r="6545">
          <cell r="V6545"/>
          <cell r="W6545"/>
          <cell r="X6545"/>
          <cell r="Y6545"/>
        </row>
        <row r="6546">
          <cell r="V6546"/>
          <cell r="W6546"/>
          <cell r="X6546"/>
          <cell r="Y6546"/>
        </row>
        <row r="6547">
          <cell r="V6547"/>
          <cell r="W6547"/>
          <cell r="X6547"/>
          <cell r="Y6547"/>
        </row>
        <row r="6548">
          <cell r="V6548"/>
          <cell r="W6548"/>
          <cell r="X6548"/>
          <cell r="Y6548"/>
        </row>
        <row r="6549">
          <cell r="V6549"/>
          <cell r="W6549"/>
          <cell r="X6549"/>
          <cell r="Y6549"/>
        </row>
        <row r="6550">
          <cell r="V6550"/>
          <cell r="W6550"/>
          <cell r="X6550"/>
          <cell r="Y6550"/>
        </row>
        <row r="6551">
          <cell r="V6551"/>
          <cell r="W6551"/>
          <cell r="X6551"/>
          <cell r="Y6551"/>
        </row>
        <row r="6552">
          <cell r="V6552"/>
          <cell r="W6552"/>
          <cell r="X6552"/>
          <cell r="Y6552"/>
        </row>
        <row r="6553">
          <cell r="V6553"/>
          <cell r="W6553"/>
          <cell r="X6553"/>
          <cell r="Y6553"/>
        </row>
        <row r="6554">
          <cell r="V6554"/>
          <cell r="W6554"/>
          <cell r="X6554"/>
          <cell r="Y6554"/>
        </row>
        <row r="6555">
          <cell r="V6555"/>
          <cell r="W6555"/>
          <cell r="X6555"/>
          <cell r="Y6555"/>
        </row>
        <row r="6556">
          <cell r="V6556"/>
          <cell r="W6556"/>
          <cell r="X6556"/>
          <cell r="Y6556"/>
        </row>
        <row r="6557">
          <cell r="V6557"/>
          <cell r="W6557"/>
          <cell r="X6557"/>
          <cell r="Y6557"/>
        </row>
        <row r="6558">
          <cell r="V6558"/>
          <cell r="W6558"/>
          <cell r="X6558"/>
          <cell r="Y6558"/>
        </row>
        <row r="6559">
          <cell r="V6559"/>
          <cell r="W6559"/>
          <cell r="X6559"/>
          <cell r="Y6559"/>
        </row>
        <row r="6560">
          <cell r="V6560"/>
          <cell r="W6560"/>
          <cell r="X6560"/>
          <cell r="Y6560"/>
        </row>
        <row r="6561">
          <cell r="V6561"/>
          <cell r="W6561"/>
          <cell r="X6561"/>
          <cell r="Y6561"/>
        </row>
        <row r="6562">
          <cell r="V6562"/>
          <cell r="W6562"/>
          <cell r="X6562"/>
          <cell r="Y6562"/>
        </row>
        <row r="6563">
          <cell r="V6563"/>
          <cell r="W6563"/>
          <cell r="X6563"/>
          <cell r="Y6563"/>
        </row>
        <row r="6564">
          <cell r="V6564"/>
          <cell r="W6564"/>
          <cell r="X6564"/>
          <cell r="Y6564"/>
        </row>
        <row r="6565">
          <cell r="V6565"/>
          <cell r="W6565"/>
          <cell r="X6565"/>
          <cell r="Y6565"/>
        </row>
        <row r="6566">
          <cell r="V6566"/>
          <cell r="W6566"/>
          <cell r="X6566"/>
          <cell r="Y6566"/>
        </row>
        <row r="6567">
          <cell r="V6567"/>
          <cell r="W6567"/>
          <cell r="X6567"/>
          <cell r="Y6567"/>
        </row>
        <row r="6568">
          <cell r="V6568"/>
          <cell r="W6568"/>
          <cell r="X6568"/>
          <cell r="Y6568"/>
        </row>
        <row r="6569">
          <cell r="V6569"/>
          <cell r="W6569"/>
          <cell r="X6569"/>
          <cell r="Y6569"/>
        </row>
        <row r="6570">
          <cell r="V6570"/>
          <cell r="W6570"/>
          <cell r="X6570"/>
          <cell r="Y6570"/>
        </row>
        <row r="6571">
          <cell r="V6571"/>
          <cell r="W6571"/>
          <cell r="X6571"/>
          <cell r="Y6571"/>
        </row>
        <row r="6572">
          <cell r="V6572"/>
          <cell r="W6572"/>
          <cell r="X6572"/>
          <cell r="Y6572"/>
        </row>
        <row r="6573">
          <cell r="V6573"/>
          <cell r="W6573"/>
          <cell r="X6573"/>
          <cell r="Y6573"/>
        </row>
        <row r="6574">
          <cell r="V6574"/>
          <cell r="W6574"/>
          <cell r="X6574"/>
          <cell r="Y6574"/>
        </row>
        <row r="6575">
          <cell r="V6575"/>
          <cell r="W6575"/>
          <cell r="X6575"/>
          <cell r="Y6575"/>
        </row>
        <row r="6576">
          <cell r="V6576"/>
          <cell r="W6576"/>
          <cell r="X6576"/>
          <cell r="Y6576"/>
        </row>
        <row r="6577">
          <cell r="V6577"/>
          <cell r="W6577"/>
          <cell r="X6577"/>
          <cell r="Y6577"/>
        </row>
        <row r="6578">
          <cell r="V6578"/>
          <cell r="W6578"/>
          <cell r="X6578"/>
          <cell r="Y6578"/>
        </row>
        <row r="6579">
          <cell r="V6579"/>
          <cell r="W6579"/>
          <cell r="X6579"/>
          <cell r="Y6579"/>
        </row>
        <row r="6580">
          <cell r="V6580"/>
          <cell r="W6580"/>
          <cell r="X6580"/>
          <cell r="Y6580"/>
        </row>
        <row r="6581">
          <cell r="V6581"/>
          <cell r="W6581"/>
          <cell r="X6581"/>
          <cell r="Y6581"/>
        </row>
        <row r="6582">
          <cell r="V6582"/>
          <cell r="W6582"/>
          <cell r="X6582"/>
          <cell r="Y6582"/>
        </row>
        <row r="6583">
          <cell r="V6583"/>
          <cell r="W6583"/>
          <cell r="X6583"/>
          <cell r="Y6583"/>
        </row>
        <row r="6584">
          <cell r="V6584"/>
          <cell r="W6584"/>
          <cell r="X6584"/>
          <cell r="Y6584"/>
        </row>
        <row r="6585">
          <cell r="V6585"/>
          <cell r="W6585"/>
          <cell r="X6585"/>
          <cell r="Y6585"/>
        </row>
        <row r="6586">
          <cell r="V6586"/>
          <cell r="W6586"/>
          <cell r="X6586"/>
          <cell r="Y6586"/>
        </row>
        <row r="6587">
          <cell r="V6587"/>
          <cell r="W6587"/>
          <cell r="X6587"/>
          <cell r="Y6587"/>
        </row>
        <row r="6588">
          <cell r="V6588"/>
          <cell r="W6588"/>
          <cell r="X6588"/>
          <cell r="Y6588"/>
        </row>
        <row r="6589">
          <cell r="V6589"/>
          <cell r="W6589"/>
          <cell r="X6589"/>
          <cell r="Y6589"/>
        </row>
        <row r="6590">
          <cell r="V6590"/>
          <cell r="W6590"/>
          <cell r="X6590"/>
          <cell r="Y6590"/>
        </row>
        <row r="6591">
          <cell r="V6591"/>
          <cell r="W6591"/>
          <cell r="X6591"/>
          <cell r="Y6591"/>
        </row>
        <row r="6592">
          <cell r="V6592"/>
          <cell r="W6592"/>
          <cell r="X6592"/>
          <cell r="Y6592"/>
        </row>
        <row r="6593">
          <cell r="V6593"/>
          <cell r="W6593"/>
          <cell r="X6593"/>
          <cell r="Y6593"/>
        </row>
        <row r="6594">
          <cell r="V6594"/>
          <cell r="W6594"/>
          <cell r="X6594"/>
          <cell r="Y6594"/>
        </row>
        <row r="6595">
          <cell r="V6595"/>
          <cell r="W6595"/>
          <cell r="X6595"/>
          <cell r="Y6595"/>
        </row>
        <row r="6596">
          <cell r="V6596"/>
          <cell r="W6596"/>
          <cell r="X6596"/>
          <cell r="Y6596"/>
        </row>
        <row r="6597">
          <cell r="V6597"/>
          <cell r="W6597"/>
          <cell r="X6597"/>
          <cell r="Y6597"/>
        </row>
        <row r="6598">
          <cell r="V6598"/>
          <cell r="W6598"/>
          <cell r="X6598"/>
          <cell r="Y6598"/>
        </row>
        <row r="6599">
          <cell r="V6599"/>
          <cell r="W6599"/>
          <cell r="X6599"/>
          <cell r="Y6599"/>
        </row>
        <row r="6600">
          <cell r="V6600"/>
          <cell r="W6600"/>
          <cell r="X6600"/>
          <cell r="Y6600"/>
        </row>
        <row r="6601">
          <cell r="V6601"/>
          <cell r="W6601"/>
          <cell r="X6601"/>
          <cell r="Y6601"/>
        </row>
        <row r="6602">
          <cell r="V6602"/>
          <cell r="W6602"/>
          <cell r="X6602"/>
          <cell r="Y6602"/>
        </row>
        <row r="6603">
          <cell r="V6603"/>
          <cell r="W6603"/>
          <cell r="X6603"/>
          <cell r="Y6603"/>
        </row>
        <row r="6604">
          <cell r="V6604"/>
          <cell r="W6604"/>
          <cell r="X6604"/>
          <cell r="Y6604"/>
        </row>
        <row r="6605">
          <cell r="V6605"/>
          <cell r="W6605"/>
          <cell r="X6605"/>
          <cell r="Y6605"/>
        </row>
        <row r="6606">
          <cell r="V6606"/>
          <cell r="W6606"/>
          <cell r="X6606"/>
          <cell r="Y6606"/>
        </row>
        <row r="6607">
          <cell r="V6607"/>
          <cell r="W6607"/>
          <cell r="X6607"/>
          <cell r="Y6607"/>
        </row>
        <row r="6608">
          <cell r="V6608"/>
          <cell r="W6608"/>
          <cell r="X6608"/>
          <cell r="Y6608"/>
        </row>
        <row r="6609">
          <cell r="V6609"/>
          <cell r="W6609"/>
          <cell r="X6609"/>
          <cell r="Y6609"/>
        </row>
        <row r="6610">
          <cell r="V6610"/>
          <cell r="W6610"/>
          <cell r="X6610"/>
          <cell r="Y6610"/>
        </row>
        <row r="6611">
          <cell r="V6611"/>
          <cell r="W6611"/>
          <cell r="X6611"/>
          <cell r="Y6611"/>
        </row>
        <row r="6612">
          <cell r="V6612"/>
          <cell r="W6612"/>
          <cell r="X6612"/>
          <cell r="Y6612"/>
        </row>
        <row r="6613">
          <cell r="V6613"/>
          <cell r="W6613"/>
          <cell r="X6613"/>
          <cell r="Y6613"/>
        </row>
        <row r="6614">
          <cell r="V6614"/>
          <cell r="W6614"/>
          <cell r="X6614"/>
          <cell r="Y6614"/>
        </row>
        <row r="6615">
          <cell r="V6615"/>
          <cell r="W6615"/>
          <cell r="X6615"/>
          <cell r="Y6615"/>
        </row>
        <row r="6616">
          <cell r="V6616"/>
          <cell r="W6616"/>
          <cell r="X6616"/>
          <cell r="Y6616"/>
        </row>
        <row r="6617">
          <cell r="V6617"/>
          <cell r="W6617"/>
          <cell r="X6617"/>
          <cell r="Y6617"/>
        </row>
        <row r="6618">
          <cell r="V6618"/>
          <cell r="W6618"/>
          <cell r="X6618"/>
          <cell r="Y6618"/>
        </row>
        <row r="6619">
          <cell r="V6619"/>
          <cell r="W6619"/>
          <cell r="X6619"/>
          <cell r="Y6619"/>
        </row>
        <row r="6620">
          <cell r="V6620"/>
          <cell r="W6620"/>
          <cell r="X6620"/>
          <cell r="Y6620"/>
        </row>
        <row r="6621">
          <cell r="V6621"/>
          <cell r="W6621"/>
          <cell r="X6621"/>
          <cell r="Y6621"/>
        </row>
        <row r="6622">
          <cell r="V6622"/>
          <cell r="W6622"/>
          <cell r="X6622"/>
          <cell r="Y6622"/>
        </row>
        <row r="6623">
          <cell r="V6623"/>
          <cell r="W6623"/>
          <cell r="X6623"/>
          <cell r="Y6623"/>
        </row>
        <row r="6624">
          <cell r="V6624"/>
          <cell r="W6624"/>
          <cell r="X6624"/>
          <cell r="Y6624"/>
        </row>
        <row r="6625">
          <cell r="V6625"/>
          <cell r="W6625"/>
          <cell r="X6625"/>
          <cell r="Y6625"/>
        </row>
        <row r="6626">
          <cell r="V6626"/>
          <cell r="W6626"/>
          <cell r="X6626"/>
          <cell r="Y6626"/>
        </row>
        <row r="6627">
          <cell r="V6627"/>
          <cell r="W6627"/>
          <cell r="X6627"/>
          <cell r="Y6627"/>
        </row>
        <row r="6628">
          <cell r="V6628"/>
          <cell r="W6628"/>
          <cell r="X6628"/>
          <cell r="Y6628"/>
        </row>
        <row r="6629">
          <cell r="V6629"/>
          <cell r="W6629"/>
          <cell r="X6629"/>
          <cell r="Y6629"/>
        </row>
        <row r="6630">
          <cell r="V6630"/>
          <cell r="W6630"/>
          <cell r="X6630"/>
          <cell r="Y6630"/>
        </row>
        <row r="6631">
          <cell r="V6631"/>
          <cell r="W6631"/>
          <cell r="X6631"/>
          <cell r="Y6631"/>
        </row>
        <row r="6632">
          <cell r="V6632"/>
          <cell r="W6632"/>
          <cell r="X6632"/>
          <cell r="Y6632"/>
        </row>
        <row r="6633">
          <cell r="V6633"/>
          <cell r="W6633"/>
          <cell r="X6633"/>
          <cell r="Y6633"/>
        </row>
        <row r="6634">
          <cell r="V6634"/>
          <cell r="W6634"/>
          <cell r="X6634"/>
          <cell r="Y6634"/>
        </row>
        <row r="6635">
          <cell r="V6635"/>
          <cell r="W6635"/>
          <cell r="X6635"/>
          <cell r="Y6635"/>
        </row>
        <row r="6636">
          <cell r="V6636"/>
          <cell r="W6636"/>
          <cell r="X6636"/>
          <cell r="Y6636"/>
        </row>
        <row r="6637">
          <cell r="V6637"/>
          <cell r="W6637"/>
          <cell r="X6637"/>
          <cell r="Y6637"/>
        </row>
        <row r="6638">
          <cell r="V6638"/>
          <cell r="W6638"/>
          <cell r="X6638"/>
          <cell r="Y6638"/>
        </row>
        <row r="6639">
          <cell r="V6639"/>
          <cell r="W6639"/>
          <cell r="X6639"/>
          <cell r="Y6639"/>
        </row>
        <row r="6640">
          <cell r="V6640"/>
          <cell r="W6640"/>
          <cell r="X6640"/>
          <cell r="Y6640"/>
        </row>
        <row r="6641">
          <cell r="V6641"/>
          <cell r="W6641"/>
          <cell r="X6641"/>
          <cell r="Y6641"/>
        </row>
        <row r="6642">
          <cell r="V6642"/>
          <cell r="W6642"/>
          <cell r="X6642"/>
          <cell r="Y6642"/>
        </row>
        <row r="6643">
          <cell r="V6643"/>
          <cell r="W6643"/>
          <cell r="X6643"/>
          <cell r="Y6643"/>
        </row>
        <row r="6644">
          <cell r="V6644"/>
          <cell r="W6644"/>
          <cell r="X6644"/>
          <cell r="Y6644"/>
        </row>
        <row r="6645">
          <cell r="V6645"/>
          <cell r="W6645"/>
          <cell r="X6645"/>
          <cell r="Y6645"/>
        </row>
        <row r="6646">
          <cell r="V6646"/>
          <cell r="W6646"/>
          <cell r="X6646"/>
          <cell r="Y6646"/>
        </row>
        <row r="6647">
          <cell r="V6647"/>
          <cell r="W6647"/>
          <cell r="X6647"/>
          <cell r="Y6647"/>
        </row>
        <row r="6648">
          <cell r="V6648"/>
          <cell r="W6648"/>
          <cell r="X6648"/>
          <cell r="Y6648"/>
        </row>
        <row r="6649">
          <cell r="V6649"/>
          <cell r="W6649"/>
          <cell r="X6649"/>
          <cell r="Y6649"/>
        </row>
        <row r="6650">
          <cell r="V6650"/>
          <cell r="W6650"/>
          <cell r="X6650"/>
          <cell r="Y6650"/>
        </row>
        <row r="6651">
          <cell r="V6651"/>
          <cell r="W6651"/>
          <cell r="X6651"/>
          <cell r="Y6651"/>
        </row>
        <row r="6652">
          <cell r="V6652"/>
          <cell r="W6652"/>
          <cell r="X6652"/>
          <cell r="Y6652"/>
        </row>
        <row r="6653">
          <cell r="V6653"/>
          <cell r="W6653"/>
          <cell r="X6653"/>
          <cell r="Y6653"/>
        </row>
        <row r="6654">
          <cell r="V6654"/>
          <cell r="W6654"/>
          <cell r="X6654"/>
          <cell r="Y6654"/>
        </row>
        <row r="6655">
          <cell r="V6655"/>
          <cell r="W6655"/>
          <cell r="X6655"/>
          <cell r="Y6655"/>
        </row>
        <row r="6656">
          <cell r="V6656"/>
          <cell r="W6656"/>
          <cell r="X6656"/>
          <cell r="Y6656"/>
        </row>
        <row r="6657">
          <cell r="V6657"/>
          <cell r="W6657"/>
          <cell r="X6657"/>
          <cell r="Y6657"/>
        </row>
        <row r="6658">
          <cell r="V6658"/>
          <cell r="W6658"/>
          <cell r="X6658"/>
          <cell r="Y6658"/>
        </row>
        <row r="6659">
          <cell r="V6659"/>
          <cell r="W6659"/>
          <cell r="X6659"/>
          <cell r="Y6659"/>
        </row>
        <row r="6660">
          <cell r="V6660"/>
          <cell r="W6660"/>
          <cell r="X6660"/>
          <cell r="Y6660"/>
        </row>
        <row r="6661">
          <cell r="V6661"/>
          <cell r="W6661"/>
          <cell r="X6661"/>
          <cell r="Y6661"/>
        </row>
        <row r="6662">
          <cell r="V6662"/>
          <cell r="W6662"/>
          <cell r="X6662"/>
          <cell r="Y6662"/>
        </row>
        <row r="6663">
          <cell r="V6663"/>
          <cell r="W6663"/>
          <cell r="X6663"/>
          <cell r="Y6663"/>
        </row>
        <row r="6664">
          <cell r="V6664"/>
          <cell r="W6664"/>
          <cell r="X6664"/>
          <cell r="Y6664"/>
        </row>
        <row r="6665">
          <cell r="V6665"/>
          <cell r="W6665"/>
          <cell r="X6665"/>
          <cell r="Y6665"/>
        </row>
        <row r="6666">
          <cell r="V6666"/>
          <cell r="W6666"/>
          <cell r="X6666"/>
          <cell r="Y6666"/>
        </row>
        <row r="6667">
          <cell r="V6667"/>
          <cell r="W6667"/>
          <cell r="X6667"/>
          <cell r="Y6667"/>
        </row>
        <row r="6668">
          <cell r="V6668"/>
          <cell r="W6668"/>
          <cell r="X6668"/>
          <cell r="Y6668"/>
        </row>
        <row r="6669">
          <cell r="V6669"/>
          <cell r="W6669"/>
          <cell r="X6669"/>
          <cell r="Y6669"/>
        </row>
        <row r="6670">
          <cell r="V6670"/>
          <cell r="W6670"/>
          <cell r="X6670"/>
          <cell r="Y6670"/>
        </row>
        <row r="6671">
          <cell r="V6671"/>
          <cell r="W6671"/>
          <cell r="X6671"/>
          <cell r="Y6671"/>
        </row>
        <row r="6672">
          <cell r="V6672"/>
          <cell r="W6672"/>
          <cell r="X6672"/>
          <cell r="Y6672"/>
        </row>
        <row r="6673">
          <cell r="V6673"/>
          <cell r="W6673"/>
          <cell r="X6673"/>
          <cell r="Y6673"/>
        </row>
        <row r="6674">
          <cell r="V6674"/>
          <cell r="W6674"/>
          <cell r="X6674"/>
          <cell r="Y6674"/>
        </row>
        <row r="6675">
          <cell r="V6675"/>
          <cell r="W6675"/>
          <cell r="X6675"/>
          <cell r="Y6675"/>
        </row>
        <row r="6676">
          <cell r="V6676"/>
          <cell r="W6676"/>
          <cell r="X6676"/>
          <cell r="Y6676"/>
        </row>
        <row r="6677">
          <cell r="V6677"/>
          <cell r="W6677"/>
          <cell r="X6677"/>
          <cell r="Y6677"/>
        </row>
        <row r="6678">
          <cell r="V6678"/>
          <cell r="W6678"/>
          <cell r="X6678"/>
          <cell r="Y6678"/>
        </row>
        <row r="6679">
          <cell r="V6679"/>
          <cell r="W6679"/>
          <cell r="X6679"/>
          <cell r="Y6679"/>
        </row>
        <row r="6680">
          <cell r="V6680"/>
          <cell r="W6680"/>
          <cell r="X6680"/>
          <cell r="Y6680"/>
        </row>
        <row r="6681">
          <cell r="V6681"/>
          <cell r="W6681"/>
          <cell r="X6681"/>
          <cell r="Y6681"/>
        </row>
        <row r="6682">
          <cell r="V6682"/>
          <cell r="W6682"/>
          <cell r="X6682"/>
          <cell r="Y6682"/>
        </row>
        <row r="6683">
          <cell r="V6683"/>
          <cell r="W6683"/>
          <cell r="X6683"/>
          <cell r="Y6683"/>
        </row>
        <row r="6684">
          <cell r="V6684"/>
          <cell r="W6684"/>
          <cell r="X6684"/>
          <cell r="Y6684"/>
        </row>
        <row r="6685">
          <cell r="V6685"/>
          <cell r="W6685"/>
          <cell r="X6685"/>
          <cell r="Y6685"/>
        </row>
        <row r="6686">
          <cell r="V6686"/>
          <cell r="W6686"/>
          <cell r="X6686"/>
          <cell r="Y6686"/>
        </row>
        <row r="6687">
          <cell r="V6687"/>
          <cell r="W6687"/>
          <cell r="X6687"/>
          <cell r="Y6687"/>
        </row>
        <row r="6688">
          <cell r="V6688"/>
          <cell r="W6688"/>
          <cell r="X6688"/>
          <cell r="Y6688"/>
        </row>
        <row r="6689">
          <cell r="V6689"/>
          <cell r="W6689"/>
          <cell r="X6689"/>
          <cell r="Y6689"/>
        </row>
        <row r="6690">
          <cell r="V6690"/>
          <cell r="W6690"/>
          <cell r="X6690"/>
          <cell r="Y6690"/>
        </row>
        <row r="6691">
          <cell r="V6691"/>
          <cell r="W6691"/>
          <cell r="X6691"/>
          <cell r="Y6691"/>
        </row>
        <row r="6692">
          <cell r="V6692"/>
          <cell r="W6692"/>
          <cell r="X6692"/>
          <cell r="Y6692"/>
        </row>
        <row r="6693">
          <cell r="V6693"/>
          <cell r="W6693"/>
          <cell r="X6693"/>
          <cell r="Y6693"/>
        </row>
        <row r="6694">
          <cell r="V6694"/>
          <cell r="W6694"/>
          <cell r="X6694"/>
          <cell r="Y6694"/>
        </row>
        <row r="6695">
          <cell r="V6695"/>
          <cell r="W6695"/>
          <cell r="X6695"/>
          <cell r="Y6695"/>
        </row>
        <row r="6696">
          <cell r="V6696"/>
          <cell r="W6696"/>
          <cell r="X6696"/>
          <cell r="Y6696"/>
        </row>
        <row r="6697">
          <cell r="V6697"/>
          <cell r="W6697"/>
          <cell r="X6697"/>
          <cell r="Y6697"/>
        </row>
        <row r="6698">
          <cell r="V6698"/>
          <cell r="W6698"/>
          <cell r="X6698"/>
          <cell r="Y6698"/>
        </row>
        <row r="6699">
          <cell r="V6699"/>
          <cell r="W6699"/>
          <cell r="X6699"/>
          <cell r="Y6699"/>
        </row>
        <row r="6700">
          <cell r="V6700"/>
          <cell r="W6700"/>
          <cell r="X6700"/>
          <cell r="Y6700"/>
        </row>
        <row r="6701">
          <cell r="V6701"/>
          <cell r="W6701"/>
          <cell r="X6701"/>
          <cell r="Y6701"/>
        </row>
        <row r="6702">
          <cell r="V6702"/>
          <cell r="W6702"/>
          <cell r="X6702"/>
          <cell r="Y6702"/>
        </row>
        <row r="6703">
          <cell r="V6703"/>
          <cell r="W6703"/>
          <cell r="X6703"/>
          <cell r="Y6703"/>
        </row>
        <row r="6704">
          <cell r="V6704"/>
          <cell r="W6704"/>
          <cell r="X6704"/>
          <cell r="Y6704"/>
        </row>
        <row r="6705">
          <cell r="V6705"/>
          <cell r="W6705"/>
          <cell r="X6705"/>
          <cell r="Y6705"/>
        </row>
        <row r="6706">
          <cell r="V6706"/>
          <cell r="W6706"/>
          <cell r="X6706"/>
          <cell r="Y6706"/>
        </row>
        <row r="6707">
          <cell r="V6707"/>
          <cell r="W6707"/>
          <cell r="X6707"/>
          <cell r="Y6707"/>
        </row>
        <row r="6708">
          <cell r="V6708"/>
          <cell r="W6708"/>
          <cell r="X6708"/>
          <cell r="Y6708"/>
        </row>
        <row r="6709">
          <cell r="V6709"/>
          <cell r="W6709"/>
          <cell r="X6709"/>
          <cell r="Y6709"/>
        </row>
        <row r="6710">
          <cell r="V6710"/>
          <cell r="W6710"/>
          <cell r="X6710"/>
          <cell r="Y6710"/>
        </row>
        <row r="6711">
          <cell r="V6711"/>
          <cell r="W6711"/>
          <cell r="X6711"/>
          <cell r="Y6711"/>
        </row>
        <row r="6712">
          <cell r="V6712"/>
          <cell r="W6712"/>
          <cell r="X6712"/>
          <cell r="Y6712"/>
        </row>
        <row r="6713">
          <cell r="V6713"/>
          <cell r="W6713"/>
          <cell r="X6713"/>
          <cell r="Y6713"/>
        </row>
        <row r="6714">
          <cell r="V6714"/>
          <cell r="W6714"/>
          <cell r="X6714"/>
          <cell r="Y6714"/>
        </row>
        <row r="6715">
          <cell r="V6715"/>
          <cell r="W6715"/>
          <cell r="X6715"/>
          <cell r="Y6715"/>
        </row>
        <row r="6716">
          <cell r="V6716"/>
          <cell r="W6716"/>
          <cell r="X6716"/>
          <cell r="Y6716"/>
        </row>
        <row r="6717">
          <cell r="V6717"/>
          <cell r="W6717"/>
          <cell r="X6717"/>
          <cell r="Y6717"/>
        </row>
        <row r="6718">
          <cell r="V6718"/>
          <cell r="W6718"/>
          <cell r="X6718"/>
          <cell r="Y6718"/>
        </row>
        <row r="6719">
          <cell r="V6719"/>
          <cell r="W6719"/>
          <cell r="X6719"/>
          <cell r="Y6719"/>
        </row>
        <row r="6720">
          <cell r="V6720"/>
          <cell r="W6720"/>
          <cell r="X6720"/>
          <cell r="Y6720"/>
        </row>
        <row r="6721">
          <cell r="V6721"/>
          <cell r="W6721"/>
          <cell r="X6721"/>
          <cell r="Y6721"/>
        </row>
        <row r="6722">
          <cell r="V6722"/>
          <cell r="W6722"/>
          <cell r="X6722"/>
          <cell r="Y6722"/>
        </row>
        <row r="6723">
          <cell r="V6723"/>
          <cell r="W6723"/>
          <cell r="X6723"/>
          <cell r="Y6723"/>
        </row>
        <row r="6724">
          <cell r="V6724"/>
          <cell r="W6724"/>
          <cell r="X6724"/>
          <cell r="Y6724"/>
        </row>
        <row r="6725">
          <cell r="V6725"/>
          <cell r="W6725"/>
          <cell r="X6725"/>
          <cell r="Y6725"/>
        </row>
        <row r="6726">
          <cell r="V6726"/>
          <cell r="W6726"/>
          <cell r="X6726"/>
          <cell r="Y6726"/>
        </row>
        <row r="6727">
          <cell r="V6727"/>
          <cell r="W6727"/>
          <cell r="X6727"/>
          <cell r="Y6727"/>
        </row>
        <row r="6728">
          <cell r="V6728"/>
          <cell r="W6728"/>
          <cell r="X6728"/>
          <cell r="Y6728"/>
        </row>
        <row r="6729">
          <cell r="V6729"/>
          <cell r="W6729"/>
          <cell r="X6729"/>
          <cell r="Y6729"/>
        </row>
        <row r="6730">
          <cell r="V6730"/>
          <cell r="W6730"/>
          <cell r="X6730"/>
          <cell r="Y6730"/>
        </row>
        <row r="6731">
          <cell r="V6731"/>
          <cell r="W6731"/>
          <cell r="X6731"/>
          <cell r="Y6731"/>
        </row>
        <row r="6732">
          <cell r="V6732"/>
          <cell r="W6732"/>
          <cell r="X6732"/>
          <cell r="Y6732"/>
        </row>
        <row r="6733">
          <cell r="V6733"/>
          <cell r="W6733"/>
          <cell r="X6733"/>
          <cell r="Y6733"/>
        </row>
        <row r="6734">
          <cell r="V6734"/>
          <cell r="W6734"/>
          <cell r="X6734"/>
          <cell r="Y6734"/>
        </row>
        <row r="6735">
          <cell r="V6735"/>
          <cell r="W6735"/>
          <cell r="X6735"/>
          <cell r="Y6735"/>
        </row>
        <row r="6736">
          <cell r="V6736"/>
          <cell r="W6736"/>
          <cell r="X6736"/>
          <cell r="Y6736"/>
        </row>
        <row r="6737">
          <cell r="V6737"/>
          <cell r="W6737"/>
          <cell r="X6737"/>
          <cell r="Y6737"/>
        </row>
        <row r="6738">
          <cell r="V6738"/>
          <cell r="W6738"/>
          <cell r="X6738"/>
          <cell r="Y6738"/>
        </row>
        <row r="6739">
          <cell r="V6739"/>
          <cell r="W6739"/>
          <cell r="X6739"/>
          <cell r="Y6739"/>
        </row>
        <row r="6740">
          <cell r="V6740"/>
          <cell r="W6740"/>
          <cell r="X6740"/>
          <cell r="Y6740"/>
        </row>
        <row r="6741">
          <cell r="V6741"/>
          <cell r="W6741"/>
          <cell r="X6741"/>
          <cell r="Y6741"/>
        </row>
        <row r="6742">
          <cell r="V6742"/>
          <cell r="W6742"/>
          <cell r="X6742"/>
          <cell r="Y6742"/>
        </row>
        <row r="6743">
          <cell r="V6743"/>
          <cell r="W6743"/>
          <cell r="X6743"/>
          <cell r="Y6743"/>
        </row>
        <row r="6744">
          <cell r="V6744"/>
          <cell r="W6744"/>
          <cell r="X6744"/>
          <cell r="Y6744"/>
        </row>
        <row r="6745">
          <cell r="V6745"/>
          <cell r="W6745"/>
          <cell r="X6745"/>
          <cell r="Y6745"/>
        </row>
        <row r="6746">
          <cell r="V6746"/>
          <cell r="W6746"/>
          <cell r="X6746"/>
          <cell r="Y6746"/>
        </row>
        <row r="6747">
          <cell r="V6747"/>
          <cell r="W6747"/>
          <cell r="X6747"/>
          <cell r="Y6747"/>
        </row>
        <row r="6748">
          <cell r="V6748"/>
          <cell r="W6748"/>
          <cell r="X6748"/>
          <cell r="Y6748"/>
        </row>
        <row r="6749">
          <cell r="V6749"/>
          <cell r="W6749"/>
          <cell r="X6749"/>
          <cell r="Y6749"/>
        </row>
        <row r="6750">
          <cell r="V6750"/>
          <cell r="W6750"/>
          <cell r="X6750"/>
          <cell r="Y6750"/>
        </row>
        <row r="6751">
          <cell r="V6751"/>
          <cell r="W6751"/>
          <cell r="X6751"/>
          <cell r="Y6751"/>
        </row>
        <row r="6752">
          <cell r="V6752"/>
          <cell r="W6752"/>
          <cell r="X6752"/>
          <cell r="Y6752"/>
        </row>
        <row r="6753">
          <cell r="V6753"/>
          <cell r="W6753"/>
          <cell r="X6753"/>
          <cell r="Y6753"/>
        </row>
        <row r="6754">
          <cell r="V6754"/>
          <cell r="W6754"/>
          <cell r="X6754"/>
          <cell r="Y6754"/>
        </row>
        <row r="6755">
          <cell r="V6755"/>
          <cell r="W6755"/>
          <cell r="X6755"/>
          <cell r="Y6755"/>
        </row>
        <row r="6756">
          <cell r="V6756"/>
          <cell r="W6756"/>
          <cell r="X6756"/>
          <cell r="Y6756"/>
        </row>
        <row r="6757">
          <cell r="V6757"/>
          <cell r="W6757"/>
          <cell r="X6757"/>
          <cell r="Y6757"/>
        </row>
        <row r="6758">
          <cell r="V6758"/>
          <cell r="W6758"/>
          <cell r="X6758"/>
          <cell r="Y6758"/>
        </row>
        <row r="6759">
          <cell r="V6759"/>
          <cell r="W6759"/>
          <cell r="X6759"/>
          <cell r="Y6759"/>
        </row>
        <row r="6760">
          <cell r="V6760"/>
          <cell r="W6760"/>
          <cell r="X6760"/>
          <cell r="Y6760"/>
        </row>
        <row r="6761">
          <cell r="V6761"/>
          <cell r="W6761"/>
          <cell r="X6761"/>
          <cell r="Y6761"/>
        </row>
        <row r="6762">
          <cell r="V6762"/>
          <cell r="W6762"/>
          <cell r="X6762"/>
          <cell r="Y6762"/>
        </row>
        <row r="6763">
          <cell r="V6763"/>
          <cell r="W6763"/>
          <cell r="X6763"/>
          <cell r="Y6763"/>
        </row>
        <row r="6764">
          <cell r="V6764"/>
          <cell r="W6764"/>
          <cell r="X6764"/>
          <cell r="Y6764"/>
        </row>
        <row r="6765">
          <cell r="V6765"/>
          <cell r="W6765"/>
          <cell r="X6765"/>
          <cell r="Y6765"/>
        </row>
        <row r="6766">
          <cell r="V6766"/>
          <cell r="W6766"/>
          <cell r="X6766"/>
          <cell r="Y6766"/>
        </row>
        <row r="6767">
          <cell r="V6767"/>
          <cell r="W6767"/>
          <cell r="X6767"/>
          <cell r="Y6767"/>
        </row>
        <row r="6768">
          <cell r="V6768"/>
          <cell r="W6768"/>
          <cell r="X6768"/>
          <cell r="Y6768"/>
        </row>
        <row r="6769">
          <cell r="V6769"/>
          <cell r="W6769"/>
          <cell r="X6769"/>
          <cell r="Y6769"/>
        </row>
        <row r="6770">
          <cell r="V6770"/>
          <cell r="W6770"/>
          <cell r="X6770"/>
          <cell r="Y6770"/>
        </row>
        <row r="6771">
          <cell r="V6771"/>
          <cell r="W6771"/>
          <cell r="X6771"/>
          <cell r="Y6771"/>
        </row>
        <row r="6772">
          <cell r="V6772"/>
          <cell r="W6772"/>
          <cell r="X6772"/>
          <cell r="Y6772"/>
        </row>
        <row r="6773">
          <cell r="V6773"/>
          <cell r="W6773"/>
          <cell r="X6773"/>
          <cell r="Y6773"/>
        </row>
        <row r="6774">
          <cell r="V6774"/>
          <cell r="W6774"/>
          <cell r="X6774"/>
          <cell r="Y6774"/>
        </row>
        <row r="6775">
          <cell r="V6775"/>
          <cell r="W6775"/>
          <cell r="X6775"/>
          <cell r="Y6775"/>
        </row>
        <row r="6776">
          <cell r="V6776"/>
          <cell r="W6776"/>
          <cell r="X6776"/>
          <cell r="Y6776"/>
        </row>
        <row r="6777">
          <cell r="V6777"/>
          <cell r="W6777"/>
          <cell r="X6777"/>
          <cell r="Y6777"/>
        </row>
        <row r="6778">
          <cell r="V6778"/>
          <cell r="W6778"/>
          <cell r="X6778"/>
          <cell r="Y6778"/>
        </row>
        <row r="6779">
          <cell r="V6779"/>
          <cell r="W6779"/>
          <cell r="X6779"/>
          <cell r="Y6779"/>
        </row>
        <row r="6780">
          <cell r="V6780"/>
          <cell r="W6780"/>
          <cell r="X6780"/>
          <cell r="Y6780"/>
        </row>
        <row r="6781">
          <cell r="V6781"/>
          <cell r="W6781"/>
          <cell r="X6781"/>
          <cell r="Y6781"/>
        </row>
        <row r="6782">
          <cell r="V6782"/>
          <cell r="W6782"/>
          <cell r="X6782"/>
          <cell r="Y6782"/>
        </row>
        <row r="6783">
          <cell r="V6783"/>
          <cell r="W6783"/>
          <cell r="X6783"/>
          <cell r="Y6783"/>
        </row>
        <row r="6784">
          <cell r="V6784"/>
          <cell r="W6784"/>
          <cell r="X6784"/>
          <cell r="Y6784"/>
        </row>
        <row r="6785">
          <cell r="V6785"/>
          <cell r="W6785"/>
          <cell r="X6785"/>
          <cell r="Y6785"/>
        </row>
        <row r="6786">
          <cell r="V6786"/>
          <cell r="W6786"/>
          <cell r="X6786"/>
          <cell r="Y6786"/>
        </row>
        <row r="6787">
          <cell r="V6787"/>
          <cell r="W6787"/>
          <cell r="X6787"/>
          <cell r="Y6787"/>
        </row>
        <row r="6788">
          <cell r="V6788"/>
          <cell r="W6788"/>
          <cell r="X6788"/>
          <cell r="Y6788"/>
        </row>
        <row r="6789">
          <cell r="V6789"/>
          <cell r="W6789"/>
          <cell r="X6789"/>
          <cell r="Y6789"/>
        </row>
        <row r="6790">
          <cell r="V6790"/>
          <cell r="W6790"/>
          <cell r="X6790"/>
          <cell r="Y6790"/>
        </row>
        <row r="6791">
          <cell r="V6791"/>
          <cell r="W6791"/>
          <cell r="X6791"/>
          <cell r="Y6791"/>
        </row>
        <row r="6792">
          <cell r="V6792"/>
          <cell r="W6792"/>
          <cell r="X6792"/>
          <cell r="Y6792"/>
        </row>
        <row r="6793">
          <cell r="V6793"/>
          <cell r="W6793"/>
          <cell r="X6793"/>
          <cell r="Y6793"/>
        </row>
        <row r="6794">
          <cell r="V6794"/>
          <cell r="W6794"/>
          <cell r="X6794"/>
          <cell r="Y6794"/>
        </row>
        <row r="6795">
          <cell r="V6795"/>
          <cell r="W6795"/>
          <cell r="X6795"/>
          <cell r="Y6795"/>
        </row>
        <row r="6796">
          <cell r="V6796"/>
          <cell r="W6796"/>
          <cell r="X6796"/>
          <cell r="Y6796"/>
        </row>
        <row r="6797">
          <cell r="V6797"/>
          <cell r="W6797"/>
          <cell r="X6797"/>
          <cell r="Y6797"/>
        </row>
        <row r="6798">
          <cell r="V6798"/>
          <cell r="W6798"/>
          <cell r="X6798"/>
          <cell r="Y6798"/>
        </row>
        <row r="6799">
          <cell r="V6799"/>
          <cell r="W6799"/>
          <cell r="X6799"/>
          <cell r="Y6799"/>
        </row>
        <row r="6800">
          <cell r="V6800"/>
          <cell r="W6800"/>
          <cell r="X6800"/>
          <cell r="Y6800"/>
        </row>
        <row r="6801">
          <cell r="V6801"/>
          <cell r="W6801"/>
          <cell r="X6801"/>
          <cell r="Y6801"/>
        </row>
        <row r="6802">
          <cell r="V6802"/>
          <cell r="W6802"/>
          <cell r="X6802"/>
          <cell r="Y6802"/>
        </row>
        <row r="6803">
          <cell r="V6803"/>
          <cell r="W6803"/>
          <cell r="X6803"/>
          <cell r="Y6803"/>
        </row>
        <row r="6804">
          <cell r="V6804"/>
          <cell r="W6804"/>
          <cell r="X6804"/>
          <cell r="Y6804"/>
        </row>
        <row r="6805">
          <cell r="V6805"/>
          <cell r="W6805"/>
          <cell r="X6805"/>
          <cell r="Y6805"/>
        </row>
        <row r="6806">
          <cell r="V6806"/>
          <cell r="W6806"/>
          <cell r="X6806"/>
          <cell r="Y6806"/>
        </row>
        <row r="6807">
          <cell r="V6807"/>
          <cell r="W6807"/>
          <cell r="X6807"/>
          <cell r="Y6807"/>
        </row>
        <row r="6808">
          <cell r="V6808"/>
          <cell r="W6808"/>
          <cell r="X6808"/>
          <cell r="Y6808"/>
        </row>
        <row r="6809">
          <cell r="V6809"/>
          <cell r="W6809"/>
          <cell r="X6809"/>
          <cell r="Y6809"/>
        </row>
        <row r="6810">
          <cell r="V6810"/>
          <cell r="W6810"/>
          <cell r="X6810"/>
          <cell r="Y6810"/>
        </row>
        <row r="6811">
          <cell r="V6811"/>
          <cell r="W6811"/>
          <cell r="X6811"/>
          <cell r="Y6811"/>
        </row>
        <row r="6812">
          <cell r="V6812"/>
          <cell r="W6812"/>
          <cell r="X6812"/>
          <cell r="Y6812"/>
        </row>
        <row r="6813">
          <cell r="V6813"/>
          <cell r="W6813"/>
          <cell r="X6813"/>
          <cell r="Y6813"/>
        </row>
        <row r="6814">
          <cell r="V6814"/>
          <cell r="W6814"/>
          <cell r="X6814"/>
          <cell r="Y6814"/>
        </row>
        <row r="6815">
          <cell r="V6815"/>
          <cell r="W6815"/>
          <cell r="X6815"/>
          <cell r="Y6815"/>
        </row>
        <row r="6816">
          <cell r="V6816"/>
          <cell r="W6816"/>
          <cell r="X6816"/>
          <cell r="Y6816"/>
        </row>
        <row r="6817">
          <cell r="V6817"/>
          <cell r="W6817"/>
          <cell r="X6817"/>
          <cell r="Y6817"/>
        </row>
        <row r="6818">
          <cell r="V6818"/>
          <cell r="W6818"/>
          <cell r="X6818"/>
          <cell r="Y6818"/>
        </row>
        <row r="6819">
          <cell r="V6819"/>
          <cell r="W6819"/>
          <cell r="X6819"/>
          <cell r="Y6819"/>
        </row>
        <row r="6820">
          <cell r="V6820"/>
          <cell r="W6820"/>
          <cell r="X6820"/>
          <cell r="Y6820"/>
        </row>
        <row r="6821">
          <cell r="V6821"/>
          <cell r="W6821"/>
          <cell r="X6821"/>
          <cell r="Y6821"/>
        </row>
        <row r="6822">
          <cell r="V6822"/>
          <cell r="W6822"/>
          <cell r="X6822"/>
          <cell r="Y6822"/>
        </row>
        <row r="6823">
          <cell r="V6823"/>
          <cell r="W6823"/>
          <cell r="X6823"/>
          <cell r="Y6823"/>
        </row>
        <row r="6824">
          <cell r="V6824"/>
          <cell r="W6824"/>
          <cell r="X6824"/>
          <cell r="Y6824"/>
        </row>
        <row r="6825">
          <cell r="V6825"/>
          <cell r="W6825"/>
          <cell r="X6825"/>
          <cell r="Y6825"/>
        </row>
        <row r="6826">
          <cell r="V6826"/>
          <cell r="W6826"/>
          <cell r="X6826"/>
          <cell r="Y6826"/>
        </row>
        <row r="6827">
          <cell r="V6827"/>
          <cell r="W6827"/>
          <cell r="X6827"/>
          <cell r="Y6827"/>
        </row>
        <row r="6828">
          <cell r="V6828"/>
          <cell r="W6828"/>
          <cell r="X6828"/>
          <cell r="Y6828"/>
        </row>
        <row r="6829">
          <cell r="V6829"/>
          <cell r="W6829"/>
          <cell r="X6829"/>
          <cell r="Y6829"/>
        </row>
        <row r="6830">
          <cell r="V6830"/>
          <cell r="W6830"/>
          <cell r="X6830"/>
          <cell r="Y6830"/>
        </row>
        <row r="6831">
          <cell r="V6831"/>
          <cell r="W6831"/>
          <cell r="X6831"/>
          <cell r="Y6831"/>
        </row>
        <row r="6832">
          <cell r="V6832"/>
          <cell r="W6832"/>
          <cell r="X6832"/>
          <cell r="Y6832"/>
        </row>
        <row r="6833">
          <cell r="V6833"/>
          <cell r="W6833"/>
          <cell r="X6833"/>
          <cell r="Y6833"/>
        </row>
        <row r="6834">
          <cell r="V6834"/>
          <cell r="W6834"/>
          <cell r="X6834"/>
          <cell r="Y6834"/>
        </row>
        <row r="6835">
          <cell r="V6835"/>
          <cell r="W6835"/>
          <cell r="X6835"/>
          <cell r="Y6835"/>
        </row>
        <row r="6836">
          <cell r="V6836"/>
          <cell r="W6836"/>
          <cell r="X6836"/>
          <cell r="Y6836"/>
        </row>
        <row r="6837">
          <cell r="V6837"/>
          <cell r="W6837"/>
          <cell r="X6837"/>
          <cell r="Y6837"/>
        </row>
        <row r="6838">
          <cell r="V6838"/>
          <cell r="W6838"/>
          <cell r="X6838"/>
          <cell r="Y6838"/>
        </row>
        <row r="6839">
          <cell r="V6839"/>
          <cell r="W6839"/>
          <cell r="X6839"/>
          <cell r="Y6839"/>
        </row>
        <row r="6840">
          <cell r="V6840"/>
          <cell r="W6840"/>
          <cell r="X6840"/>
          <cell r="Y6840"/>
        </row>
        <row r="6841">
          <cell r="V6841"/>
          <cell r="W6841"/>
          <cell r="X6841"/>
          <cell r="Y6841"/>
        </row>
        <row r="6842">
          <cell r="V6842"/>
          <cell r="W6842"/>
          <cell r="X6842"/>
          <cell r="Y6842"/>
        </row>
        <row r="6843">
          <cell r="V6843"/>
          <cell r="W6843"/>
          <cell r="X6843"/>
          <cell r="Y6843"/>
        </row>
        <row r="6844">
          <cell r="V6844"/>
          <cell r="W6844"/>
          <cell r="X6844"/>
          <cell r="Y6844"/>
        </row>
        <row r="6845">
          <cell r="V6845"/>
          <cell r="W6845"/>
          <cell r="X6845"/>
          <cell r="Y6845"/>
        </row>
        <row r="6846">
          <cell r="V6846"/>
          <cell r="W6846"/>
          <cell r="X6846"/>
          <cell r="Y6846"/>
        </row>
        <row r="6847">
          <cell r="V6847"/>
          <cell r="W6847"/>
          <cell r="X6847"/>
          <cell r="Y6847"/>
        </row>
        <row r="6848">
          <cell r="V6848"/>
          <cell r="W6848"/>
          <cell r="X6848"/>
          <cell r="Y6848"/>
        </row>
        <row r="6849">
          <cell r="V6849"/>
          <cell r="W6849"/>
          <cell r="X6849"/>
          <cell r="Y6849"/>
        </row>
        <row r="6850">
          <cell r="V6850"/>
          <cell r="W6850"/>
          <cell r="X6850"/>
          <cell r="Y6850"/>
        </row>
        <row r="6851">
          <cell r="V6851"/>
          <cell r="W6851"/>
          <cell r="X6851"/>
          <cell r="Y6851"/>
        </row>
        <row r="6852">
          <cell r="V6852"/>
          <cell r="W6852"/>
          <cell r="X6852"/>
          <cell r="Y6852"/>
        </row>
        <row r="6853">
          <cell r="V6853"/>
          <cell r="W6853"/>
          <cell r="X6853"/>
          <cell r="Y6853"/>
        </row>
        <row r="6854">
          <cell r="V6854"/>
          <cell r="W6854"/>
          <cell r="X6854"/>
          <cell r="Y6854"/>
        </row>
        <row r="6855">
          <cell r="V6855"/>
          <cell r="W6855"/>
          <cell r="X6855"/>
          <cell r="Y6855"/>
        </row>
        <row r="6856">
          <cell r="V6856"/>
          <cell r="W6856"/>
          <cell r="X6856"/>
          <cell r="Y6856"/>
        </row>
        <row r="6857">
          <cell r="V6857"/>
          <cell r="W6857"/>
          <cell r="X6857"/>
          <cell r="Y6857"/>
        </row>
        <row r="6858">
          <cell r="V6858"/>
          <cell r="W6858"/>
          <cell r="X6858"/>
          <cell r="Y6858"/>
        </row>
        <row r="6859">
          <cell r="V6859"/>
          <cell r="W6859"/>
          <cell r="X6859"/>
          <cell r="Y6859"/>
        </row>
        <row r="6860">
          <cell r="V6860"/>
          <cell r="W6860"/>
          <cell r="X6860"/>
          <cell r="Y6860"/>
        </row>
        <row r="6861">
          <cell r="V6861"/>
          <cell r="W6861"/>
          <cell r="X6861"/>
          <cell r="Y6861"/>
        </row>
        <row r="6862">
          <cell r="V6862"/>
          <cell r="W6862"/>
          <cell r="X6862"/>
          <cell r="Y6862"/>
        </row>
        <row r="6863">
          <cell r="V6863"/>
          <cell r="W6863"/>
          <cell r="X6863"/>
          <cell r="Y6863"/>
        </row>
        <row r="6864">
          <cell r="V6864"/>
          <cell r="W6864"/>
          <cell r="X6864"/>
          <cell r="Y6864"/>
        </row>
        <row r="6865">
          <cell r="V6865"/>
          <cell r="W6865"/>
          <cell r="X6865"/>
          <cell r="Y6865"/>
        </row>
        <row r="6866">
          <cell r="V6866"/>
          <cell r="W6866"/>
          <cell r="X6866"/>
          <cell r="Y6866"/>
        </row>
        <row r="6867">
          <cell r="V6867"/>
          <cell r="W6867"/>
          <cell r="X6867"/>
          <cell r="Y6867"/>
        </row>
        <row r="6868">
          <cell r="V6868"/>
          <cell r="W6868"/>
          <cell r="X6868"/>
          <cell r="Y6868"/>
        </row>
        <row r="6869">
          <cell r="V6869"/>
          <cell r="W6869"/>
          <cell r="X6869"/>
          <cell r="Y6869"/>
        </row>
        <row r="6870">
          <cell r="V6870"/>
          <cell r="W6870"/>
          <cell r="X6870"/>
          <cell r="Y6870"/>
        </row>
        <row r="6871">
          <cell r="V6871"/>
          <cell r="W6871"/>
          <cell r="X6871"/>
          <cell r="Y6871"/>
        </row>
        <row r="6872">
          <cell r="V6872"/>
          <cell r="W6872"/>
          <cell r="X6872"/>
          <cell r="Y6872"/>
        </row>
        <row r="6873">
          <cell r="V6873"/>
          <cell r="W6873"/>
          <cell r="X6873"/>
          <cell r="Y6873"/>
        </row>
        <row r="6874">
          <cell r="V6874"/>
          <cell r="W6874"/>
          <cell r="X6874"/>
          <cell r="Y6874"/>
        </row>
        <row r="6875">
          <cell r="V6875"/>
          <cell r="W6875"/>
          <cell r="X6875"/>
          <cell r="Y6875"/>
        </row>
        <row r="6876">
          <cell r="V6876"/>
          <cell r="W6876"/>
          <cell r="X6876"/>
          <cell r="Y6876"/>
        </row>
        <row r="6877">
          <cell r="V6877"/>
          <cell r="W6877"/>
          <cell r="X6877"/>
          <cell r="Y6877"/>
        </row>
        <row r="6878">
          <cell r="V6878"/>
          <cell r="W6878"/>
          <cell r="X6878"/>
          <cell r="Y6878"/>
        </row>
        <row r="6879">
          <cell r="V6879"/>
          <cell r="W6879"/>
          <cell r="X6879"/>
          <cell r="Y6879"/>
        </row>
        <row r="6880">
          <cell r="V6880"/>
          <cell r="W6880"/>
          <cell r="X6880"/>
          <cell r="Y6880"/>
        </row>
        <row r="6881">
          <cell r="V6881"/>
          <cell r="W6881"/>
          <cell r="X6881"/>
          <cell r="Y6881"/>
        </row>
        <row r="6882">
          <cell r="V6882"/>
          <cell r="W6882"/>
          <cell r="X6882"/>
          <cell r="Y6882"/>
        </row>
        <row r="6883">
          <cell r="V6883"/>
          <cell r="W6883"/>
          <cell r="X6883"/>
          <cell r="Y6883"/>
        </row>
        <row r="6884">
          <cell r="V6884"/>
          <cell r="W6884"/>
          <cell r="X6884"/>
          <cell r="Y6884"/>
        </row>
        <row r="6885">
          <cell r="V6885"/>
          <cell r="W6885"/>
          <cell r="X6885"/>
          <cell r="Y6885"/>
        </row>
        <row r="6886">
          <cell r="V6886"/>
          <cell r="W6886"/>
          <cell r="X6886"/>
          <cell r="Y6886"/>
        </row>
        <row r="6887">
          <cell r="V6887"/>
          <cell r="W6887"/>
          <cell r="X6887"/>
          <cell r="Y6887"/>
        </row>
        <row r="6888">
          <cell r="V6888"/>
          <cell r="W6888"/>
          <cell r="X6888"/>
          <cell r="Y6888"/>
        </row>
        <row r="6889">
          <cell r="V6889"/>
          <cell r="W6889"/>
          <cell r="X6889"/>
          <cell r="Y6889"/>
        </row>
        <row r="6890">
          <cell r="V6890"/>
          <cell r="W6890"/>
          <cell r="X6890"/>
          <cell r="Y6890"/>
        </row>
        <row r="6891">
          <cell r="V6891"/>
          <cell r="W6891"/>
          <cell r="X6891"/>
          <cell r="Y6891"/>
        </row>
        <row r="6892">
          <cell r="V6892"/>
          <cell r="W6892"/>
          <cell r="X6892"/>
          <cell r="Y6892"/>
        </row>
        <row r="6893">
          <cell r="V6893"/>
          <cell r="W6893"/>
          <cell r="X6893"/>
          <cell r="Y6893"/>
        </row>
        <row r="6894">
          <cell r="V6894"/>
          <cell r="W6894"/>
          <cell r="X6894"/>
          <cell r="Y6894"/>
        </row>
        <row r="6895">
          <cell r="V6895"/>
          <cell r="W6895"/>
          <cell r="X6895"/>
          <cell r="Y6895"/>
        </row>
        <row r="6896">
          <cell r="V6896"/>
          <cell r="W6896"/>
          <cell r="X6896"/>
          <cell r="Y6896"/>
        </row>
        <row r="6897">
          <cell r="V6897"/>
          <cell r="W6897"/>
          <cell r="X6897"/>
          <cell r="Y6897"/>
        </row>
        <row r="6898">
          <cell r="V6898"/>
          <cell r="W6898"/>
          <cell r="X6898"/>
          <cell r="Y6898"/>
        </row>
        <row r="6899">
          <cell r="V6899"/>
          <cell r="W6899"/>
          <cell r="X6899"/>
          <cell r="Y6899"/>
        </row>
        <row r="6900">
          <cell r="V6900"/>
          <cell r="W6900"/>
          <cell r="X6900"/>
          <cell r="Y6900"/>
        </row>
        <row r="6901">
          <cell r="V6901"/>
          <cell r="W6901"/>
          <cell r="X6901"/>
          <cell r="Y6901"/>
        </row>
        <row r="6902">
          <cell r="V6902"/>
          <cell r="W6902"/>
          <cell r="X6902"/>
          <cell r="Y6902"/>
        </row>
        <row r="6903">
          <cell r="V6903"/>
          <cell r="W6903"/>
          <cell r="X6903"/>
          <cell r="Y6903"/>
        </row>
        <row r="6904">
          <cell r="V6904"/>
          <cell r="W6904"/>
          <cell r="X6904"/>
          <cell r="Y6904"/>
        </row>
        <row r="6905">
          <cell r="V6905"/>
          <cell r="W6905"/>
          <cell r="X6905"/>
          <cell r="Y6905"/>
        </row>
        <row r="6906">
          <cell r="V6906"/>
          <cell r="W6906"/>
          <cell r="X6906"/>
          <cell r="Y6906"/>
        </row>
        <row r="6907">
          <cell r="V6907"/>
          <cell r="W6907"/>
          <cell r="X6907"/>
          <cell r="Y6907"/>
        </row>
        <row r="6908">
          <cell r="V6908"/>
          <cell r="W6908"/>
          <cell r="X6908"/>
          <cell r="Y6908"/>
        </row>
        <row r="6909">
          <cell r="V6909"/>
          <cell r="W6909"/>
          <cell r="X6909"/>
          <cell r="Y6909"/>
        </row>
        <row r="6910">
          <cell r="V6910"/>
          <cell r="W6910"/>
          <cell r="X6910"/>
          <cell r="Y6910"/>
        </row>
        <row r="6911">
          <cell r="V6911"/>
          <cell r="W6911"/>
          <cell r="X6911"/>
          <cell r="Y6911"/>
        </row>
        <row r="6912">
          <cell r="V6912"/>
          <cell r="W6912"/>
          <cell r="X6912"/>
          <cell r="Y6912"/>
        </row>
        <row r="6913">
          <cell r="V6913"/>
          <cell r="W6913"/>
          <cell r="X6913"/>
          <cell r="Y6913"/>
        </row>
        <row r="6914">
          <cell r="V6914"/>
          <cell r="W6914"/>
          <cell r="X6914"/>
          <cell r="Y6914"/>
        </row>
        <row r="6915">
          <cell r="V6915"/>
          <cell r="W6915"/>
          <cell r="X6915"/>
          <cell r="Y6915"/>
        </row>
        <row r="6916">
          <cell r="V6916"/>
          <cell r="W6916"/>
          <cell r="X6916"/>
          <cell r="Y6916"/>
        </row>
        <row r="6917">
          <cell r="V6917"/>
          <cell r="W6917"/>
          <cell r="X6917"/>
          <cell r="Y6917"/>
        </row>
        <row r="6918">
          <cell r="V6918"/>
          <cell r="W6918"/>
          <cell r="X6918"/>
          <cell r="Y6918"/>
        </row>
        <row r="6919">
          <cell r="V6919"/>
          <cell r="W6919"/>
          <cell r="X6919"/>
          <cell r="Y6919"/>
        </row>
        <row r="6920">
          <cell r="V6920"/>
          <cell r="W6920"/>
          <cell r="X6920"/>
          <cell r="Y6920"/>
        </row>
        <row r="6921">
          <cell r="V6921"/>
          <cell r="W6921"/>
          <cell r="X6921"/>
          <cell r="Y6921"/>
        </row>
        <row r="6922">
          <cell r="V6922"/>
          <cell r="W6922"/>
          <cell r="X6922"/>
          <cell r="Y6922"/>
        </row>
        <row r="6923">
          <cell r="V6923"/>
          <cell r="W6923"/>
          <cell r="X6923"/>
          <cell r="Y6923"/>
        </row>
        <row r="6924">
          <cell r="V6924"/>
          <cell r="W6924"/>
          <cell r="X6924"/>
          <cell r="Y6924"/>
        </row>
        <row r="6925">
          <cell r="V6925"/>
          <cell r="W6925"/>
          <cell r="X6925"/>
          <cell r="Y6925"/>
        </row>
        <row r="6926">
          <cell r="V6926"/>
          <cell r="W6926"/>
          <cell r="X6926"/>
          <cell r="Y6926"/>
        </row>
        <row r="6927">
          <cell r="V6927"/>
          <cell r="W6927"/>
          <cell r="X6927"/>
          <cell r="Y6927"/>
        </row>
        <row r="6928">
          <cell r="V6928"/>
          <cell r="W6928"/>
          <cell r="X6928"/>
          <cell r="Y6928"/>
        </row>
        <row r="6929">
          <cell r="V6929"/>
          <cell r="W6929"/>
          <cell r="X6929"/>
          <cell r="Y6929"/>
        </row>
        <row r="6930">
          <cell r="V6930"/>
          <cell r="W6930"/>
          <cell r="X6930"/>
          <cell r="Y6930"/>
        </row>
        <row r="6931">
          <cell r="V6931"/>
          <cell r="W6931"/>
          <cell r="X6931"/>
          <cell r="Y6931"/>
        </row>
        <row r="6932">
          <cell r="V6932"/>
          <cell r="W6932"/>
          <cell r="X6932"/>
          <cell r="Y6932"/>
        </row>
        <row r="6933">
          <cell r="V6933"/>
          <cell r="W6933"/>
          <cell r="X6933"/>
          <cell r="Y6933"/>
        </row>
        <row r="6934">
          <cell r="V6934"/>
          <cell r="W6934"/>
          <cell r="X6934"/>
          <cell r="Y6934"/>
        </row>
        <row r="6935">
          <cell r="V6935"/>
          <cell r="W6935"/>
          <cell r="X6935"/>
          <cell r="Y6935"/>
        </row>
        <row r="6936">
          <cell r="V6936"/>
          <cell r="W6936"/>
          <cell r="X6936"/>
          <cell r="Y6936"/>
        </row>
        <row r="6937">
          <cell r="V6937"/>
          <cell r="W6937"/>
          <cell r="X6937"/>
          <cell r="Y6937"/>
        </row>
        <row r="6938">
          <cell r="V6938"/>
          <cell r="W6938"/>
          <cell r="X6938"/>
          <cell r="Y6938"/>
        </row>
        <row r="6939">
          <cell r="V6939"/>
          <cell r="W6939"/>
          <cell r="X6939"/>
          <cell r="Y6939"/>
        </row>
        <row r="6940">
          <cell r="V6940"/>
          <cell r="W6940"/>
          <cell r="X6940"/>
          <cell r="Y6940"/>
        </row>
        <row r="6941">
          <cell r="V6941"/>
          <cell r="W6941"/>
          <cell r="X6941"/>
          <cell r="Y6941"/>
        </row>
        <row r="6942">
          <cell r="V6942"/>
          <cell r="W6942"/>
          <cell r="X6942"/>
          <cell r="Y6942"/>
        </row>
        <row r="6943">
          <cell r="V6943"/>
          <cell r="W6943"/>
          <cell r="X6943"/>
          <cell r="Y6943"/>
        </row>
        <row r="6944">
          <cell r="V6944"/>
          <cell r="W6944"/>
          <cell r="X6944"/>
          <cell r="Y6944"/>
        </row>
        <row r="6945">
          <cell r="V6945"/>
          <cell r="W6945"/>
          <cell r="X6945"/>
          <cell r="Y6945"/>
        </row>
        <row r="6946">
          <cell r="V6946"/>
          <cell r="W6946"/>
          <cell r="X6946"/>
          <cell r="Y6946"/>
        </row>
        <row r="6947">
          <cell r="V6947"/>
          <cell r="W6947"/>
          <cell r="X6947"/>
          <cell r="Y6947"/>
        </row>
        <row r="6948">
          <cell r="V6948"/>
          <cell r="W6948"/>
          <cell r="X6948"/>
          <cell r="Y6948"/>
        </row>
        <row r="6949">
          <cell r="V6949"/>
          <cell r="W6949"/>
          <cell r="X6949"/>
          <cell r="Y6949"/>
        </row>
        <row r="6950">
          <cell r="V6950"/>
          <cell r="W6950"/>
          <cell r="X6950"/>
          <cell r="Y6950"/>
        </row>
        <row r="6951">
          <cell r="V6951"/>
          <cell r="W6951"/>
          <cell r="X6951"/>
          <cell r="Y6951"/>
        </row>
        <row r="6952">
          <cell r="V6952"/>
          <cell r="W6952"/>
          <cell r="X6952"/>
          <cell r="Y6952"/>
        </row>
        <row r="6953">
          <cell r="V6953"/>
          <cell r="W6953"/>
          <cell r="X6953"/>
          <cell r="Y6953"/>
        </row>
        <row r="6954">
          <cell r="V6954"/>
          <cell r="W6954"/>
          <cell r="X6954"/>
          <cell r="Y6954"/>
        </row>
        <row r="6955">
          <cell r="V6955"/>
          <cell r="W6955"/>
          <cell r="X6955"/>
          <cell r="Y6955"/>
        </row>
        <row r="6956">
          <cell r="V6956"/>
          <cell r="W6956"/>
          <cell r="X6956"/>
          <cell r="Y6956"/>
        </row>
        <row r="6957">
          <cell r="V6957"/>
          <cell r="W6957"/>
          <cell r="X6957"/>
          <cell r="Y6957"/>
        </row>
        <row r="6958">
          <cell r="V6958"/>
          <cell r="W6958"/>
          <cell r="X6958"/>
          <cell r="Y6958"/>
        </row>
        <row r="6959">
          <cell r="V6959"/>
          <cell r="W6959"/>
          <cell r="X6959"/>
          <cell r="Y6959"/>
        </row>
        <row r="6960">
          <cell r="V6960"/>
          <cell r="W6960"/>
          <cell r="X6960"/>
          <cell r="Y6960"/>
        </row>
        <row r="6961">
          <cell r="V6961"/>
          <cell r="W6961"/>
          <cell r="X6961"/>
          <cell r="Y6961"/>
        </row>
        <row r="6962">
          <cell r="V6962"/>
          <cell r="W6962"/>
          <cell r="X6962"/>
          <cell r="Y6962"/>
        </row>
        <row r="6963">
          <cell r="V6963"/>
          <cell r="W6963"/>
          <cell r="X6963"/>
          <cell r="Y6963"/>
        </row>
        <row r="6964">
          <cell r="V6964"/>
          <cell r="W6964"/>
          <cell r="X6964"/>
          <cell r="Y6964"/>
        </row>
        <row r="6965">
          <cell r="V6965"/>
          <cell r="W6965"/>
          <cell r="X6965"/>
          <cell r="Y6965"/>
        </row>
        <row r="6966">
          <cell r="V6966"/>
          <cell r="W6966"/>
          <cell r="X6966"/>
          <cell r="Y6966"/>
        </row>
        <row r="6967">
          <cell r="V6967"/>
          <cell r="W6967"/>
          <cell r="X6967"/>
          <cell r="Y6967"/>
        </row>
        <row r="6968">
          <cell r="V6968"/>
          <cell r="W6968"/>
          <cell r="X6968"/>
          <cell r="Y6968"/>
        </row>
        <row r="6969">
          <cell r="V6969"/>
          <cell r="W6969"/>
          <cell r="X6969"/>
          <cell r="Y6969"/>
        </row>
        <row r="6970">
          <cell r="V6970"/>
          <cell r="W6970"/>
          <cell r="X6970"/>
          <cell r="Y6970"/>
        </row>
        <row r="6971">
          <cell r="V6971"/>
          <cell r="W6971"/>
          <cell r="X6971"/>
          <cell r="Y6971"/>
        </row>
        <row r="6972">
          <cell r="V6972"/>
          <cell r="W6972"/>
          <cell r="X6972"/>
          <cell r="Y6972"/>
        </row>
        <row r="6973">
          <cell r="V6973"/>
          <cell r="W6973"/>
          <cell r="X6973"/>
          <cell r="Y6973"/>
        </row>
        <row r="6974">
          <cell r="V6974"/>
          <cell r="W6974"/>
          <cell r="X6974"/>
          <cell r="Y6974"/>
        </row>
        <row r="6975">
          <cell r="V6975"/>
          <cell r="W6975"/>
          <cell r="X6975"/>
          <cell r="Y6975"/>
        </row>
        <row r="6976">
          <cell r="V6976"/>
          <cell r="W6976"/>
          <cell r="X6976"/>
          <cell r="Y6976"/>
        </row>
        <row r="6977">
          <cell r="V6977"/>
          <cell r="W6977"/>
          <cell r="X6977"/>
          <cell r="Y6977"/>
        </row>
        <row r="6978">
          <cell r="V6978"/>
          <cell r="W6978"/>
          <cell r="X6978"/>
          <cell r="Y6978"/>
        </row>
        <row r="6979">
          <cell r="V6979"/>
          <cell r="W6979"/>
          <cell r="X6979"/>
          <cell r="Y6979"/>
        </row>
        <row r="6980">
          <cell r="V6980"/>
          <cell r="W6980"/>
          <cell r="X6980"/>
          <cell r="Y6980"/>
        </row>
        <row r="6981">
          <cell r="V6981"/>
          <cell r="W6981"/>
          <cell r="X6981"/>
          <cell r="Y6981"/>
        </row>
        <row r="6982">
          <cell r="V6982"/>
          <cell r="W6982"/>
          <cell r="X6982"/>
          <cell r="Y6982"/>
        </row>
        <row r="6983">
          <cell r="V6983"/>
          <cell r="W6983"/>
          <cell r="X6983"/>
          <cell r="Y6983"/>
        </row>
        <row r="6984">
          <cell r="V6984"/>
          <cell r="W6984"/>
          <cell r="X6984"/>
          <cell r="Y6984"/>
        </row>
        <row r="6985">
          <cell r="V6985"/>
          <cell r="W6985"/>
          <cell r="X6985"/>
          <cell r="Y6985"/>
        </row>
        <row r="6986">
          <cell r="V6986"/>
          <cell r="W6986"/>
          <cell r="X6986"/>
          <cell r="Y6986"/>
        </row>
        <row r="6987">
          <cell r="V6987"/>
          <cell r="W6987"/>
          <cell r="X6987"/>
          <cell r="Y6987"/>
        </row>
        <row r="6988">
          <cell r="V6988"/>
          <cell r="W6988"/>
          <cell r="X6988"/>
          <cell r="Y6988"/>
        </row>
        <row r="6989">
          <cell r="V6989"/>
          <cell r="W6989"/>
          <cell r="X6989"/>
          <cell r="Y6989"/>
        </row>
        <row r="6990">
          <cell r="V6990"/>
          <cell r="W6990"/>
          <cell r="X6990"/>
          <cell r="Y6990"/>
        </row>
        <row r="6991">
          <cell r="V6991"/>
          <cell r="W6991"/>
          <cell r="X6991"/>
          <cell r="Y6991"/>
        </row>
        <row r="6992">
          <cell r="V6992"/>
          <cell r="W6992"/>
          <cell r="X6992"/>
          <cell r="Y6992"/>
        </row>
        <row r="6993">
          <cell r="V6993"/>
          <cell r="W6993"/>
          <cell r="X6993"/>
          <cell r="Y6993"/>
        </row>
        <row r="6994">
          <cell r="V6994"/>
          <cell r="W6994"/>
          <cell r="X6994"/>
          <cell r="Y6994"/>
        </row>
        <row r="6995">
          <cell r="V6995"/>
          <cell r="W6995"/>
          <cell r="X6995"/>
          <cell r="Y6995"/>
        </row>
        <row r="6996">
          <cell r="V6996"/>
          <cell r="W6996"/>
          <cell r="X6996"/>
          <cell r="Y6996"/>
        </row>
        <row r="6997">
          <cell r="V6997"/>
          <cell r="W6997"/>
          <cell r="X6997"/>
          <cell r="Y6997"/>
        </row>
        <row r="6998">
          <cell r="V6998"/>
          <cell r="W6998"/>
          <cell r="X6998"/>
          <cell r="Y6998"/>
        </row>
        <row r="6999">
          <cell r="V6999"/>
          <cell r="W6999"/>
          <cell r="X6999"/>
          <cell r="Y6999"/>
        </row>
        <row r="7000">
          <cell r="V7000"/>
          <cell r="W7000"/>
          <cell r="X7000"/>
          <cell r="Y7000"/>
        </row>
        <row r="7001">
          <cell r="V7001"/>
          <cell r="W7001"/>
          <cell r="X7001"/>
          <cell r="Y7001"/>
        </row>
        <row r="7002">
          <cell r="V7002"/>
          <cell r="W7002"/>
          <cell r="X7002"/>
          <cell r="Y7002"/>
        </row>
        <row r="7003">
          <cell r="V7003"/>
          <cell r="W7003"/>
          <cell r="X7003"/>
          <cell r="Y7003"/>
        </row>
        <row r="7004">
          <cell r="V7004"/>
          <cell r="W7004"/>
          <cell r="X7004"/>
          <cell r="Y7004"/>
        </row>
        <row r="7005">
          <cell r="V7005"/>
          <cell r="W7005"/>
          <cell r="X7005"/>
          <cell r="Y7005"/>
        </row>
        <row r="7006">
          <cell r="V7006"/>
          <cell r="W7006"/>
          <cell r="X7006"/>
          <cell r="Y7006"/>
        </row>
        <row r="7007">
          <cell r="V7007"/>
          <cell r="W7007"/>
          <cell r="X7007"/>
          <cell r="Y7007"/>
        </row>
        <row r="7008">
          <cell r="V7008"/>
          <cell r="W7008"/>
          <cell r="X7008"/>
          <cell r="Y7008"/>
        </row>
        <row r="7009">
          <cell r="V7009"/>
          <cell r="W7009"/>
          <cell r="X7009"/>
          <cell r="Y7009"/>
        </row>
        <row r="7010">
          <cell r="V7010"/>
          <cell r="W7010"/>
          <cell r="X7010"/>
          <cell r="Y7010"/>
        </row>
        <row r="7011">
          <cell r="V7011"/>
          <cell r="W7011"/>
          <cell r="X7011"/>
          <cell r="Y7011"/>
        </row>
        <row r="7012">
          <cell r="V7012"/>
          <cell r="W7012"/>
          <cell r="X7012"/>
          <cell r="Y7012"/>
        </row>
        <row r="7013">
          <cell r="V7013"/>
          <cell r="W7013"/>
          <cell r="X7013"/>
          <cell r="Y7013"/>
        </row>
        <row r="7014">
          <cell r="V7014"/>
          <cell r="W7014"/>
          <cell r="X7014"/>
          <cell r="Y7014"/>
        </row>
        <row r="7015">
          <cell r="V7015"/>
          <cell r="W7015"/>
          <cell r="X7015"/>
          <cell r="Y7015"/>
        </row>
        <row r="7016">
          <cell r="V7016"/>
          <cell r="W7016"/>
          <cell r="X7016"/>
          <cell r="Y7016"/>
        </row>
        <row r="7017">
          <cell r="V7017"/>
          <cell r="W7017"/>
          <cell r="X7017"/>
          <cell r="Y7017"/>
        </row>
        <row r="7018">
          <cell r="V7018"/>
          <cell r="W7018"/>
          <cell r="X7018"/>
          <cell r="Y7018"/>
        </row>
        <row r="7019">
          <cell r="V7019"/>
          <cell r="W7019"/>
          <cell r="X7019"/>
          <cell r="Y7019"/>
        </row>
        <row r="7020">
          <cell r="V7020"/>
          <cell r="W7020"/>
          <cell r="X7020"/>
          <cell r="Y7020"/>
        </row>
        <row r="7021">
          <cell r="V7021"/>
          <cell r="W7021"/>
          <cell r="X7021"/>
          <cell r="Y7021"/>
        </row>
        <row r="7022">
          <cell r="V7022"/>
          <cell r="W7022"/>
          <cell r="X7022"/>
          <cell r="Y7022"/>
        </row>
        <row r="7023">
          <cell r="V7023"/>
          <cell r="W7023"/>
          <cell r="X7023"/>
          <cell r="Y7023"/>
        </row>
        <row r="7024">
          <cell r="V7024"/>
          <cell r="W7024"/>
          <cell r="X7024"/>
          <cell r="Y7024"/>
        </row>
        <row r="7025">
          <cell r="V7025"/>
          <cell r="W7025"/>
          <cell r="X7025"/>
          <cell r="Y7025"/>
        </row>
        <row r="7026">
          <cell r="V7026"/>
          <cell r="W7026"/>
          <cell r="X7026"/>
          <cell r="Y7026"/>
        </row>
        <row r="7027">
          <cell r="V7027"/>
          <cell r="W7027"/>
          <cell r="X7027"/>
          <cell r="Y7027"/>
        </row>
        <row r="7028">
          <cell r="V7028"/>
          <cell r="W7028"/>
          <cell r="X7028"/>
          <cell r="Y7028"/>
        </row>
        <row r="7029">
          <cell r="V7029"/>
          <cell r="W7029"/>
          <cell r="X7029"/>
          <cell r="Y7029"/>
        </row>
        <row r="7030">
          <cell r="V7030"/>
          <cell r="W7030"/>
          <cell r="X7030"/>
          <cell r="Y7030"/>
        </row>
        <row r="7031">
          <cell r="V7031"/>
          <cell r="W7031"/>
          <cell r="X7031"/>
          <cell r="Y7031"/>
        </row>
        <row r="7032">
          <cell r="V7032"/>
          <cell r="W7032"/>
          <cell r="X7032"/>
          <cell r="Y7032"/>
        </row>
        <row r="7033">
          <cell r="V7033"/>
          <cell r="W7033"/>
          <cell r="X7033"/>
          <cell r="Y7033"/>
        </row>
        <row r="7034">
          <cell r="V7034"/>
          <cell r="W7034"/>
          <cell r="X7034"/>
          <cell r="Y7034"/>
        </row>
        <row r="7035">
          <cell r="V7035"/>
          <cell r="W7035"/>
          <cell r="X7035"/>
          <cell r="Y7035"/>
        </row>
        <row r="7036">
          <cell r="V7036"/>
          <cell r="W7036"/>
          <cell r="X7036"/>
          <cell r="Y7036"/>
        </row>
        <row r="7037">
          <cell r="V7037"/>
          <cell r="W7037"/>
          <cell r="X7037"/>
          <cell r="Y7037"/>
        </row>
        <row r="7038">
          <cell r="V7038"/>
          <cell r="W7038"/>
          <cell r="X7038"/>
          <cell r="Y7038"/>
        </row>
        <row r="7039">
          <cell r="V7039"/>
          <cell r="W7039"/>
          <cell r="X7039"/>
          <cell r="Y7039"/>
        </row>
        <row r="7040">
          <cell r="V7040"/>
          <cell r="W7040"/>
          <cell r="X7040"/>
          <cell r="Y7040"/>
        </row>
        <row r="7041">
          <cell r="V7041"/>
          <cell r="W7041"/>
          <cell r="X7041"/>
          <cell r="Y7041"/>
        </row>
        <row r="7042">
          <cell r="V7042"/>
          <cell r="W7042"/>
          <cell r="X7042"/>
          <cell r="Y7042"/>
        </row>
        <row r="7043">
          <cell r="V7043"/>
          <cell r="W7043"/>
          <cell r="X7043"/>
          <cell r="Y7043"/>
        </row>
        <row r="7044">
          <cell r="V7044"/>
          <cell r="W7044"/>
          <cell r="X7044"/>
          <cell r="Y7044"/>
        </row>
        <row r="7045">
          <cell r="V7045"/>
          <cell r="W7045"/>
          <cell r="X7045"/>
          <cell r="Y7045"/>
        </row>
        <row r="7046">
          <cell r="V7046"/>
          <cell r="W7046"/>
          <cell r="X7046"/>
          <cell r="Y7046"/>
        </row>
        <row r="7047">
          <cell r="V7047"/>
          <cell r="W7047"/>
          <cell r="X7047"/>
          <cell r="Y7047"/>
        </row>
        <row r="7048">
          <cell r="V7048"/>
          <cell r="W7048"/>
          <cell r="X7048"/>
          <cell r="Y7048"/>
        </row>
        <row r="7049">
          <cell r="V7049"/>
          <cell r="W7049"/>
          <cell r="X7049"/>
          <cell r="Y7049"/>
        </row>
        <row r="7050">
          <cell r="V7050"/>
          <cell r="W7050"/>
          <cell r="X7050"/>
          <cell r="Y7050"/>
        </row>
        <row r="7051">
          <cell r="V7051"/>
          <cell r="W7051"/>
          <cell r="X7051"/>
          <cell r="Y7051"/>
        </row>
        <row r="7052">
          <cell r="V7052"/>
          <cell r="W7052"/>
          <cell r="X7052"/>
          <cell r="Y7052"/>
        </row>
        <row r="7053">
          <cell r="V7053"/>
          <cell r="W7053"/>
          <cell r="X7053"/>
          <cell r="Y7053"/>
        </row>
        <row r="7054">
          <cell r="V7054"/>
          <cell r="W7054"/>
          <cell r="X7054"/>
          <cell r="Y7054"/>
        </row>
        <row r="7055">
          <cell r="V7055"/>
          <cell r="W7055"/>
          <cell r="X7055"/>
          <cell r="Y7055"/>
        </row>
        <row r="7056">
          <cell r="V7056"/>
          <cell r="W7056"/>
          <cell r="X7056"/>
          <cell r="Y7056"/>
        </row>
        <row r="7057">
          <cell r="V7057"/>
          <cell r="W7057"/>
          <cell r="X7057"/>
          <cell r="Y7057"/>
        </row>
        <row r="7058">
          <cell r="V7058"/>
          <cell r="W7058"/>
          <cell r="X7058"/>
          <cell r="Y7058"/>
        </row>
        <row r="7059">
          <cell r="V7059"/>
          <cell r="W7059"/>
          <cell r="X7059"/>
          <cell r="Y7059"/>
        </row>
        <row r="7060">
          <cell r="V7060"/>
          <cell r="W7060"/>
          <cell r="X7060"/>
          <cell r="Y7060"/>
        </row>
        <row r="7061">
          <cell r="V7061"/>
          <cell r="W7061"/>
          <cell r="X7061"/>
          <cell r="Y7061"/>
        </row>
        <row r="7062">
          <cell r="V7062"/>
          <cell r="W7062"/>
          <cell r="X7062"/>
          <cell r="Y7062"/>
        </row>
        <row r="7063">
          <cell r="V7063"/>
          <cell r="W7063"/>
          <cell r="X7063"/>
          <cell r="Y7063"/>
        </row>
        <row r="7064">
          <cell r="V7064"/>
          <cell r="W7064"/>
          <cell r="X7064"/>
          <cell r="Y7064"/>
        </row>
        <row r="7065">
          <cell r="V7065"/>
          <cell r="W7065"/>
          <cell r="X7065"/>
          <cell r="Y7065"/>
        </row>
        <row r="7066">
          <cell r="V7066"/>
          <cell r="W7066"/>
          <cell r="X7066"/>
          <cell r="Y7066"/>
        </row>
        <row r="7067">
          <cell r="V7067"/>
          <cell r="W7067"/>
          <cell r="X7067"/>
          <cell r="Y7067"/>
        </row>
        <row r="7068">
          <cell r="V7068"/>
          <cell r="W7068"/>
          <cell r="X7068"/>
          <cell r="Y7068"/>
        </row>
        <row r="7069">
          <cell r="V7069"/>
          <cell r="W7069"/>
          <cell r="X7069"/>
          <cell r="Y7069"/>
        </row>
        <row r="7070">
          <cell r="V7070"/>
          <cell r="W7070"/>
          <cell r="X7070"/>
          <cell r="Y7070"/>
        </row>
        <row r="7071">
          <cell r="V7071"/>
          <cell r="W7071"/>
          <cell r="X7071"/>
          <cell r="Y7071"/>
        </row>
        <row r="7072">
          <cell r="V7072"/>
          <cell r="W7072"/>
          <cell r="X7072"/>
          <cell r="Y7072"/>
        </row>
        <row r="7073">
          <cell r="V7073"/>
          <cell r="W7073"/>
          <cell r="X7073"/>
          <cell r="Y7073"/>
        </row>
        <row r="7074">
          <cell r="V7074"/>
          <cell r="W7074"/>
          <cell r="X7074"/>
          <cell r="Y7074"/>
        </row>
        <row r="7075">
          <cell r="V7075"/>
          <cell r="W7075"/>
          <cell r="X7075"/>
          <cell r="Y7075"/>
        </row>
        <row r="7076">
          <cell r="V7076"/>
          <cell r="W7076"/>
          <cell r="X7076"/>
          <cell r="Y7076"/>
        </row>
        <row r="7077">
          <cell r="V7077"/>
          <cell r="W7077"/>
          <cell r="X7077"/>
          <cell r="Y7077"/>
        </row>
        <row r="7078">
          <cell r="V7078"/>
          <cell r="W7078"/>
          <cell r="X7078"/>
          <cell r="Y7078"/>
        </row>
        <row r="7079">
          <cell r="V7079"/>
          <cell r="W7079"/>
          <cell r="X7079"/>
          <cell r="Y7079"/>
        </row>
        <row r="7080">
          <cell r="V7080"/>
          <cell r="W7080"/>
          <cell r="X7080"/>
          <cell r="Y7080"/>
        </row>
        <row r="7081">
          <cell r="V7081"/>
          <cell r="W7081"/>
          <cell r="X7081"/>
          <cell r="Y7081"/>
        </row>
        <row r="7082">
          <cell r="V7082"/>
          <cell r="W7082"/>
          <cell r="X7082"/>
          <cell r="Y7082"/>
        </row>
        <row r="7083">
          <cell r="V7083"/>
          <cell r="W7083"/>
          <cell r="X7083"/>
          <cell r="Y7083"/>
        </row>
        <row r="7084">
          <cell r="V7084"/>
          <cell r="W7084"/>
          <cell r="X7084"/>
          <cell r="Y7084"/>
        </row>
        <row r="7085">
          <cell r="V7085"/>
          <cell r="W7085"/>
          <cell r="X7085"/>
          <cell r="Y7085"/>
        </row>
        <row r="7086">
          <cell r="V7086"/>
          <cell r="W7086"/>
          <cell r="X7086"/>
          <cell r="Y7086"/>
        </row>
        <row r="7087">
          <cell r="V7087"/>
          <cell r="W7087"/>
          <cell r="X7087"/>
          <cell r="Y7087"/>
        </row>
        <row r="7088">
          <cell r="V7088"/>
          <cell r="W7088"/>
          <cell r="X7088"/>
          <cell r="Y7088"/>
        </row>
        <row r="7089">
          <cell r="V7089"/>
          <cell r="W7089"/>
          <cell r="X7089"/>
          <cell r="Y7089"/>
        </row>
        <row r="7090">
          <cell r="V7090"/>
          <cell r="W7090"/>
          <cell r="X7090"/>
          <cell r="Y7090"/>
        </row>
        <row r="7091">
          <cell r="V7091"/>
          <cell r="W7091"/>
          <cell r="X7091"/>
          <cell r="Y7091"/>
        </row>
        <row r="7092">
          <cell r="V7092"/>
          <cell r="W7092"/>
          <cell r="X7092"/>
          <cell r="Y7092"/>
        </row>
        <row r="7093">
          <cell r="V7093"/>
          <cell r="W7093"/>
          <cell r="X7093"/>
          <cell r="Y7093"/>
        </row>
        <row r="7094">
          <cell r="V7094"/>
          <cell r="W7094"/>
          <cell r="X7094"/>
          <cell r="Y7094"/>
        </row>
        <row r="7095">
          <cell r="V7095"/>
          <cell r="W7095"/>
          <cell r="X7095"/>
          <cell r="Y7095"/>
        </row>
        <row r="7096">
          <cell r="V7096"/>
          <cell r="W7096"/>
          <cell r="X7096"/>
          <cell r="Y7096"/>
        </row>
        <row r="7097">
          <cell r="V7097"/>
          <cell r="W7097"/>
          <cell r="X7097"/>
          <cell r="Y7097"/>
        </row>
        <row r="7098">
          <cell r="V7098"/>
          <cell r="W7098"/>
          <cell r="X7098"/>
          <cell r="Y7098"/>
        </row>
        <row r="7099">
          <cell r="V7099"/>
          <cell r="W7099"/>
          <cell r="X7099"/>
          <cell r="Y7099"/>
        </row>
        <row r="7100">
          <cell r="V7100"/>
          <cell r="W7100"/>
          <cell r="X7100"/>
          <cell r="Y7100"/>
        </row>
        <row r="7101">
          <cell r="V7101"/>
          <cell r="W7101"/>
          <cell r="X7101"/>
          <cell r="Y7101"/>
        </row>
        <row r="7102">
          <cell r="V7102"/>
          <cell r="W7102"/>
          <cell r="X7102"/>
          <cell r="Y7102"/>
        </row>
        <row r="7103">
          <cell r="V7103"/>
          <cell r="W7103"/>
          <cell r="X7103"/>
          <cell r="Y7103"/>
        </row>
        <row r="7104">
          <cell r="V7104"/>
          <cell r="W7104"/>
          <cell r="X7104"/>
          <cell r="Y7104"/>
        </row>
        <row r="7105">
          <cell r="V7105"/>
          <cell r="W7105"/>
          <cell r="X7105"/>
          <cell r="Y7105"/>
        </row>
        <row r="7106">
          <cell r="V7106"/>
          <cell r="W7106"/>
          <cell r="X7106"/>
          <cell r="Y7106"/>
        </row>
        <row r="7107">
          <cell r="V7107"/>
          <cell r="W7107"/>
          <cell r="X7107"/>
          <cell r="Y7107"/>
        </row>
        <row r="7108">
          <cell r="V7108"/>
          <cell r="W7108"/>
          <cell r="X7108"/>
          <cell r="Y7108"/>
        </row>
        <row r="7109">
          <cell r="V7109"/>
          <cell r="W7109"/>
          <cell r="X7109"/>
          <cell r="Y7109"/>
        </row>
        <row r="7110">
          <cell r="V7110"/>
          <cell r="W7110"/>
          <cell r="X7110"/>
          <cell r="Y7110"/>
        </row>
        <row r="7111">
          <cell r="V7111"/>
          <cell r="W7111"/>
          <cell r="X7111"/>
          <cell r="Y7111"/>
        </row>
        <row r="7112">
          <cell r="V7112"/>
          <cell r="W7112"/>
          <cell r="X7112"/>
          <cell r="Y7112"/>
        </row>
        <row r="7113">
          <cell r="V7113"/>
          <cell r="W7113"/>
          <cell r="X7113"/>
          <cell r="Y7113"/>
        </row>
        <row r="7114">
          <cell r="V7114"/>
          <cell r="W7114"/>
          <cell r="X7114"/>
          <cell r="Y7114"/>
        </row>
        <row r="7115">
          <cell r="V7115"/>
          <cell r="W7115"/>
          <cell r="X7115"/>
          <cell r="Y7115"/>
        </row>
        <row r="7116">
          <cell r="V7116"/>
          <cell r="W7116"/>
          <cell r="X7116"/>
          <cell r="Y7116"/>
        </row>
        <row r="7117">
          <cell r="V7117"/>
          <cell r="W7117"/>
          <cell r="X7117"/>
          <cell r="Y7117"/>
        </row>
        <row r="7118">
          <cell r="V7118"/>
          <cell r="W7118"/>
          <cell r="X7118"/>
          <cell r="Y7118"/>
        </row>
        <row r="7119">
          <cell r="V7119"/>
          <cell r="W7119"/>
          <cell r="X7119"/>
          <cell r="Y7119"/>
        </row>
        <row r="7120">
          <cell r="V7120"/>
          <cell r="W7120"/>
          <cell r="X7120"/>
          <cell r="Y7120"/>
        </row>
        <row r="7121">
          <cell r="V7121"/>
          <cell r="W7121"/>
          <cell r="X7121"/>
          <cell r="Y7121"/>
        </row>
        <row r="7122">
          <cell r="V7122"/>
          <cell r="W7122"/>
          <cell r="X7122"/>
          <cell r="Y7122"/>
        </row>
        <row r="7123">
          <cell r="V7123"/>
          <cell r="W7123"/>
          <cell r="X7123"/>
          <cell r="Y7123"/>
        </row>
        <row r="7124">
          <cell r="V7124"/>
          <cell r="W7124"/>
          <cell r="X7124"/>
          <cell r="Y7124"/>
        </row>
        <row r="7125">
          <cell r="V7125"/>
          <cell r="W7125"/>
          <cell r="X7125"/>
          <cell r="Y7125"/>
        </row>
        <row r="7126">
          <cell r="V7126"/>
          <cell r="W7126"/>
          <cell r="X7126"/>
          <cell r="Y7126"/>
        </row>
        <row r="7127">
          <cell r="V7127"/>
          <cell r="W7127"/>
          <cell r="X7127"/>
          <cell r="Y7127"/>
        </row>
        <row r="7128">
          <cell r="V7128"/>
          <cell r="W7128"/>
          <cell r="X7128"/>
          <cell r="Y7128"/>
        </row>
        <row r="7129">
          <cell r="V7129"/>
          <cell r="W7129"/>
          <cell r="X7129"/>
          <cell r="Y7129"/>
        </row>
        <row r="7130">
          <cell r="V7130"/>
          <cell r="W7130"/>
          <cell r="X7130"/>
          <cell r="Y7130"/>
        </row>
        <row r="7131">
          <cell r="V7131"/>
          <cell r="W7131"/>
          <cell r="X7131"/>
          <cell r="Y7131"/>
        </row>
        <row r="7132">
          <cell r="V7132"/>
          <cell r="W7132"/>
          <cell r="X7132"/>
          <cell r="Y7132"/>
        </row>
        <row r="7133">
          <cell r="V7133"/>
          <cell r="W7133"/>
          <cell r="X7133"/>
          <cell r="Y7133"/>
        </row>
        <row r="7134">
          <cell r="V7134"/>
          <cell r="W7134"/>
          <cell r="X7134"/>
          <cell r="Y7134"/>
        </row>
        <row r="7135">
          <cell r="V7135"/>
          <cell r="W7135"/>
          <cell r="X7135"/>
          <cell r="Y7135"/>
        </row>
        <row r="7136">
          <cell r="V7136"/>
          <cell r="W7136"/>
          <cell r="X7136"/>
          <cell r="Y7136"/>
        </row>
        <row r="7137">
          <cell r="V7137"/>
          <cell r="W7137"/>
          <cell r="X7137"/>
          <cell r="Y7137"/>
        </row>
        <row r="7138">
          <cell r="V7138"/>
          <cell r="W7138"/>
          <cell r="X7138"/>
          <cell r="Y7138"/>
        </row>
        <row r="7139">
          <cell r="V7139"/>
          <cell r="W7139"/>
          <cell r="X7139"/>
          <cell r="Y7139"/>
        </row>
        <row r="7140">
          <cell r="V7140"/>
          <cell r="W7140"/>
          <cell r="X7140"/>
          <cell r="Y7140"/>
        </row>
        <row r="7141">
          <cell r="V7141"/>
          <cell r="W7141"/>
          <cell r="X7141"/>
          <cell r="Y7141"/>
        </row>
        <row r="7142">
          <cell r="V7142"/>
          <cell r="W7142"/>
          <cell r="X7142"/>
          <cell r="Y7142"/>
        </row>
        <row r="7143">
          <cell r="V7143"/>
          <cell r="W7143"/>
          <cell r="X7143"/>
          <cell r="Y7143"/>
        </row>
        <row r="7144">
          <cell r="V7144"/>
          <cell r="W7144"/>
          <cell r="X7144"/>
          <cell r="Y7144"/>
        </row>
        <row r="7145">
          <cell r="V7145"/>
          <cell r="W7145"/>
          <cell r="X7145"/>
          <cell r="Y7145"/>
        </row>
        <row r="7146">
          <cell r="V7146"/>
          <cell r="W7146"/>
          <cell r="X7146"/>
          <cell r="Y7146"/>
        </row>
        <row r="7147">
          <cell r="V7147"/>
          <cell r="W7147"/>
          <cell r="X7147"/>
          <cell r="Y7147"/>
        </row>
        <row r="7148">
          <cell r="V7148"/>
          <cell r="W7148"/>
          <cell r="X7148"/>
          <cell r="Y7148"/>
        </row>
        <row r="7149">
          <cell r="V7149"/>
          <cell r="W7149"/>
          <cell r="X7149"/>
          <cell r="Y7149"/>
        </row>
        <row r="7150">
          <cell r="V7150"/>
          <cell r="W7150"/>
          <cell r="X7150"/>
          <cell r="Y7150"/>
        </row>
        <row r="7151">
          <cell r="V7151"/>
          <cell r="W7151"/>
          <cell r="X7151"/>
          <cell r="Y7151"/>
        </row>
        <row r="7152">
          <cell r="V7152"/>
          <cell r="W7152"/>
          <cell r="X7152"/>
          <cell r="Y7152"/>
        </row>
        <row r="7153">
          <cell r="V7153"/>
          <cell r="W7153"/>
          <cell r="X7153"/>
          <cell r="Y7153"/>
        </row>
        <row r="7154">
          <cell r="V7154"/>
          <cell r="W7154"/>
          <cell r="X7154"/>
          <cell r="Y7154"/>
        </row>
        <row r="7155">
          <cell r="V7155"/>
          <cell r="W7155"/>
          <cell r="X7155"/>
          <cell r="Y7155"/>
        </row>
        <row r="7156">
          <cell r="V7156"/>
          <cell r="W7156"/>
          <cell r="X7156"/>
          <cell r="Y7156"/>
        </row>
        <row r="7157">
          <cell r="V7157"/>
          <cell r="W7157"/>
          <cell r="X7157"/>
          <cell r="Y7157"/>
        </row>
        <row r="7158">
          <cell r="V7158"/>
          <cell r="W7158"/>
          <cell r="X7158"/>
          <cell r="Y7158"/>
        </row>
        <row r="7159">
          <cell r="V7159"/>
          <cell r="W7159"/>
          <cell r="X7159"/>
          <cell r="Y7159"/>
        </row>
        <row r="7160">
          <cell r="V7160"/>
          <cell r="W7160"/>
          <cell r="X7160"/>
          <cell r="Y7160"/>
        </row>
        <row r="7161">
          <cell r="V7161"/>
          <cell r="W7161"/>
          <cell r="X7161"/>
          <cell r="Y7161"/>
        </row>
        <row r="7162">
          <cell r="V7162"/>
          <cell r="W7162"/>
          <cell r="X7162"/>
          <cell r="Y7162"/>
        </row>
        <row r="7163">
          <cell r="V7163"/>
          <cell r="W7163"/>
          <cell r="X7163"/>
          <cell r="Y7163"/>
        </row>
        <row r="7164">
          <cell r="V7164"/>
          <cell r="W7164"/>
          <cell r="X7164"/>
          <cell r="Y7164"/>
        </row>
        <row r="7165">
          <cell r="V7165"/>
          <cell r="W7165"/>
          <cell r="X7165"/>
          <cell r="Y7165"/>
        </row>
        <row r="7166">
          <cell r="V7166"/>
          <cell r="W7166"/>
          <cell r="X7166"/>
          <cell r="Y7166"/>
        </row>
        <row r="7167">
          <cell r="V7167"/>
          <cell r="W7167"/>
          <cell r="X7167"/>
          <cell r="Y7167"/>
        </row>
        <row r="7168">
          <cell r="V7168"/>
          <cell r="W7168"/>
          <cell r="X7168"/>
          <cell r="Y7168"/>
        </row>
        <row r="7169">
          <cell r="V7169"/>
          <cell r="W7169"/>
          <cell r="X7169"/>
          <cell r="Y7169"/>
        </row>
        <row r="7170">
          <cell r="V7170"/>
          <cell r="W7170"/>
          <cell r="X7170"/>
          <cell r="Y7170"/>
        </row>
        <row r="7171">
          <cell r="V7171"/>
          <cell r="W7171"/>
          <cell r="X7171"/>
          <cell r="Y7171"/>
        </row>
        <row r="7172">
          <cell r="V7172"/>
          <cell r="W7172"/>
          <cell r="X7172"/>
          <cell r="Y7172"/>
        </row>
        <row r="7173">
          <cell r="V7173"/>
          <cell r="W7173"/>
          <cell r="X7173"/>
          <cell r="Y7173"/>
        </row>
        <row r="7174">
          <cell r="V7174"/>
          <cell r="W7174"/>
          <cell r="X7174"/>
          <cell r="Y7174"/>
        </row>
        <row r="7175">
          <cell r="V7175"/>
          <cell r="W7175"/>
          <cell r="X7175"/>
          <cell r="Y7175"/>
        </row>
        <row r="7176">
          <cell r="V7176"/>
          <cell r="W7176"/>
          <cell r="X7176"/>
          <cell r="Y7176"/>
        </row>
        <row r="7177">
          <cell r="V7177"/>
          <cell r="W7177"/>
          <cell r="X7177"/>
          <cell r="Y7177"/>
        </row>
        <row r="7178">
          <cell r="V7178"/>
          <cell r="W7178"/>
          <cell r="X7178"/>
          <cell r="Y7178"/>
        </row>
        <row r="7179">
          <cell r="V7179"/>
          <cell r="W7179"/>
          <cell r="X7179"/>
          <cell r="Y7179"/>
        </row>
        <row r="7180">
          <cell r="V7180"/>
          <cell r="W7180"/>
          <cell r="X7180"/>
          <cell r="Y7180"/>
        </row>
        <row r="7181">
          <cell r="V7181"/>
          <cell r="W7181"/>
          <cell r="X7181"/>
          <cell r="Y7181"/>
        </row>
        <row r="7182">
          <cell r="V7182"/>
          <cell r="W7182"/>
          <cell r="X7182"/>
          <cell r="Y7182"/>
        </row>
        <row r="7183">
          <cell r="V7183"/>
          <cell r="W7183"/>
          <cell r="X7183"/>
          <cell r="Y7183"/>
        </row>
        <row r="7184">
          <cell r="V7184"/>
          <cell r="W7184"/>
          <cell r="X7184"/>
          <cell r="Y7184"/>
        </row>
        <row r="7185">
          <cell r="V7185"/>
          <cell r="W7185"/>
          <cell r="X7185"/>
          <cell r="Y7185"/>
        </row>
        <row r="7186">
          <cell r="V7186"/>
          <cell r="W7186"/>
          <cell r="X7186"/>
          <cell r="Y7186"/>
        </row>
        <row r="7187">
          <cell r="V7187"/>
          <cell r="W7187"/>
          <cell r="X7187"/>
          <cell r="Y7187"/>
        </row>
        <row r="7188">
          <cell r="V7188"/>
          <cell r="W7188"/>
          <cell r="X7188"/>
          <cell r="Y7188"/>
        </row>
        <row r="7189">
          <cell r="V7189"/>
          <cell r="W7189"/>
          <cell r="X7189"/>
          <cell r="Y7189"/>
        </row>
        <row r="7190">
          <cell r="V7190"/>
          <cell r="W7190"/>
          <cell r="X7190"/>
          <cell r="Y7190"/>
        </row>
        <row r="7191">
          <cell r="V7191"/>
          <cell r="W7191"/>
          <cell r="X7191"/>
          <cell r="Y7191"/>
        </row>
        <row r="7192">
          <cell r="V7192"/>
          <cell r="W7192"/>
          <cell r="X7192"/>
          <cell r="Y7192"/>
        </row>
        <row r="7193">
          <cell r="V7193"/>
          <cell r="W7193"/>
          <cell r="X7193"/>
          <cell r="Y7193"/>
        </row>
        <row r="7194">
          <cell r="V7194"/>
          <cell r="W7194"/>
          <cell r="X7194"/>
          <cell r="Y7194"/>
        </row>
        <row r="7195">
          <cell r="V7195"/>
          <cell r="W7195"/>
          <cell r="X7195"/>
          <cell r="Y7195"/>
        </row>
        <row r="7196">
          <cell r="V7196"/>
          <cell r="W7196"/>
          <cell r="X7196"/>
          <cell r="Y7196"/>
        </row>
        <row r="7197">
          <cell r="V7197"/>
          <cell r="W7197"/>
          <cell r="X7197"/>
          <cell r="Y7197"/>
        </row>
        <row r="7198">
          <cell r="V7198"/>
          <cell r="W7198"/>
          <cell r="X7198"/>
          <cell r="Y7198"/>
        </row>
        <row r="7199">
          <cell r="V7199"/>
          <cell r="W7199"/>
          <cell r="X7199"/>
          <cell r="Y7199"/>
        </row>
        <row r="7200">
          <cell r="V7200"/>
          <cell r="W7200"/>
          <cell r="X7200"/>
          <cell r="Y7200"/>
        </row>
        <row r="7201">
          <cell r="V7201"/>
          <cell r="W7201"/>
          <cell r="X7201"/>
          <cell r="Y7201"/>
        </row>
        <row r="7202">
          <cell r="V7202"/>
          <cell r="W7202"/>
          <cell r="X7202"/>
          <cell r="Y7202"/>
        </row>
        <row r="7203">
          <cell r="V7203"/>
          <cell r="W7203"/>
          <cell r="X7203"/>
          <cell r="Y7203"/>
        </row>
        <row r="7204">
          <cell r="V7204"/>
          <cell r="W7204"/>
          <cell r="X7204"/>
          <cell r="Y7204"/>
        </row>
        <row r="7205">
          <cell r="V7205"/>
          <cell r="W7205"/>
          <cell r="X7205"/>
          <cell r="Y7205"/>
        </row>
        <row r="7206">
          <cell r="V7206"/>
          <cell r="W7206"/>
          <cell r="X7206"/>
          <cell r="Y7206"/>
        </row>
        <row r="7207">
          <cell r="V7207"/>
          <cell r="W7207"/>
          <cell r="X7207"/>
          <cell r="Y7207"/>
        </row>
        <row r="7208">
          <cell r="V7208"/>
          <cell r="W7208"/>
          <cell r="X7208"/>
          <cell r="Y7208"/>
        </row>
        <row r="7209">
          <cell r="V7209"/>
          <cell r="W7209"/>
          <cell r="X7209"/>
          <cell r="Y7209"/>
        </row>
        <row r="7210">
          <cell r="V7210"/>
          <cell r="W7210"/>
          <cell r="X7210"/>
          <cell r="Y7210"/>
        </row>
        <row r="7211">
          <cell r="V7211"/>
          <cell r="W7211"/>
          <cell r="X7211"/>
          <cell r="Y7211"/>
        </row>
        <row r="7212">
          <cell r="V7212"/>
          <cell r="W7212"/>
          <cell r="X7212"/>
          <cell r="Y7212"/>
        </row>
        <row r="7213">
          <cell r="V7213"/>
          <cell r="W7213"/>
          <cell r="X7213"/>
          <cell r="Y7213"/>
        </row>
        <row r="7214">
          <cell r="V7214"/>
          <cell r="W7214"/>
          <cell r="X7214"/>
          <cell r="Y7214"/>
        </row>
        <row r="7215">
          <cell r="V7215"/>
          <cell r="W7215"/>
          <cell r="X7215"/>
          <cell r="Y7215"/>
        </row>
        <row r="7216">
          <cell r="V7216"/>
          <cell r="W7216"/>
          <cell r="X7216"/>
          <cell r="Y7216"/>
        </row>
        <row r="7217">
          <cell r="V7217"/>
          <cell r="W7217"/>
          <cell r="X7217"/>
          <cell r="Y7217"/>
        </row>
        <row r="7218">
          <cell r="V7218"/>
          <cell r="W7218"/>
          <cell r="X7218"/>
          <cell r="Y7218"/>
        </row>
        <row r="7219">
          <cell r="V7219"/>
          <cell r="W7219"/>
          <cell r="X7219"/>
          <cell r="Y7219"/>
        </row>
        <row r="7220">
          <cell r="V7220"/>
          <cell r="W7220"/>
          <cell r="X7220"/>
          <cell r="Y7220"/>
        </row>
        <row r="7221">
          <cell r="V7221"/>
          <cell r="W7221"/>
          <cell r="X7221"/>
          <cell r="Y7221"/>
        </row>
        <row r="7222">
          <cell r="V7222"/>
          <cell r="W7222"/>
          <cell r="X7222"/>
          <cell r="Y7222"/>
        </row>
        <row r="7223">
          <cell r="V7223"/>
          <cell r="W7223"/>
          <cell r="X7223"/>
          <cell r="Y7223"/>
        </row>
        <row r="7224">
          <cell r="V7224"/>
          <cell r="W7224"/>
          <cell r="X7224"/>
          <cell r="Y7224"/>
        </row>
        <row r="7225">
          <cell r="V7225"/>
          <cell r="W7225"/>
          <cell r="X7225"/>
          <cell r="Y7225"/>
        </row>
        <row r="7226">
          <cell r="V7226"/>
          <cell r="W7226"/>
          <cell r="X7226"/>
          <cell r="Y7226"/>
        </row>
        <row r="7227">
          <cell r="V7227"/>
          <cell r="W7227"/>
          <cell r="X7227"/>
          <cell r="Y7227"/>
        </row>
        <row r="7228">
          <cell r="V7228"/>
          <cell r="W7228"/>
          <cell r="X7228"/>
          <cell r="Y7228"/>
        </row>
        <row r="7229">
          <cell r="V7229"/>
          <cell r="W7229"/>
          <cell r="X7229"/>
          <cell r="Y7229"/>
        </row>
        <row r="7230">
          <cell r="V7230"/>
          <cell r="W7230"/>
          <cell r="X7230"/>
          <cell r="Y7230"/>
        </row>
        <row r="7231">
          <cell r="V7231"/>
          <cell r="W7231"/>
          <cell r="X7231"/>
          <cell r="Y7231"/>
        </row>
        <row r="7232">
          <cell r="V7232"/>
          <cell r="W7232"/>
          <cell r="X7232"/>
          <cell r="Y7232"/>
        </row>
        <row r="7233">
          <cell r="V7233"/>
          <cell r="W7233"/>
          <cell r="X7233"/>
          <cell r="Y7233"/>
        </row>
        <row r="7234">
          <cell r="V7234"/>
          <cell r="W7234"/>
          <cell r="X7234"/>
          <cell r="Y7234"/>
        </row>
        <row r="7235">
          <cell r="V7235"/>
          <cell r="W7235"/>
          <cell r="X7235"/>
          <cell r="Y7235"/>
        </row>
        <row r="7236">
          <cell r="V7236"/>
          <cell r="W7236"/>
          <cell r="X7236"/>
          <cell r="Y7236"/>
        </row>
        <row r="7237">
          <cell r="V7237"/>
          <cell r="W7237"/>
          <cell r="X7237"/>
          <cell r="Y7237"/>
        </row>
        <row r="7238">
          <cell r="V7238"/>
          <cell r="W7238"/>
          <cell r="X7238"/>
          <cell r="Y7238"/>
        </row>
        <row r="7239">
          <cell r="V7239"/>
          <cell r="W7239"/>
          <cell r="X7239"/>
          <cell r="Y7239"/>
        </row>
        <row r="7240">
          <cell r="V7240"/>
          <cell r="W7240"/>
          <cell r="X7240"/>
          <cell r="Y7240"/>
        </row>
        <row r="7241">
          <cell r="V7241"/>
          <cell r="W7241"/>
          <cell r="X7241"/>
          <cell r="Y7241"/>
        </row>
        <row r="7242">
          <cell r="V7242"/>
          <cell r="W7242"/>
          <cell r="X7242"/>
          <cell r="Y7242"/>
        </row>
        <row r="7243">
          <cell r="V7243"/>
          <cell r="W7243"/>
          <cell r="X7243"/>
          <cell r="Y7243"/>
        </row>
        <row r="7244">
          <cell r="V7244"/>
          <cell r="W7244"/>
          <cell r="X7244"/>
          <cell r="Y7244"/>
        </row>
        <row r="7245">
          <cell r="V7245"/>
          <cell r="W7245"/>
          <cell r="X7245"/>
          <cell r="Y7245"/>
        </row>
        <row r="7246">
          <cell r="V7246"/>
          <cell r="W7246"/>
          <cell r="X7246"/>
          <cell r="Y7246"/>
        </row>
        <row r="7247">
          <cell r="V7247"/>
          <cell r="W7247"/>
          <cell r="X7247"/>
          <cell r="Y7247"/>
        </row>
        <row r="7248">
          <cell r="V7248"/>
          <cell r="W7248"/>
          <cell r="X7248"/>
          <cell r="Y7248"/>
        </row>
        <row r="7249">
          <cell r="V7249"/>
          <cell r="W7249"/>
          <cell r="X7249"/>
          <cell r="Y7249"/>
        </row>
        <row r="7250">
          <cell r="V7250"/>
          <cell r="W7250"/>
          <cell r="X7250"/>
          <cell r="Y7250"/>
        </row>
        <row r="7251">
          <cell r="V7251"/>
          <cell r="W7251"/>
          <cell r="X7251"/>
          <cell r="Y7251"/>
        </row>
        <row r="7252">
          <cell r="V7252"/>
          <cell r="W7252"/>
          <cell r="X7252"/>
          <cell r="Y7252"/>
        </row>
        <row r="7253">
          <cell r="V7253"/>
          <cell r="W7253"/>
          <cell r="X7253"/>
          <cell r="Y7253"/>
        </row>
        <row r="7254">
          <cell r="V7254"/>
          <cell r="W7254"/>
          <cell r="X7254"/>
          <cell r="Y7254"/>
        </row>
        <row r="7255">
          <cell r="V7255"/>
          <cell r="W7255"/>
          <cell r="X7255"/>
          <cell r="Y7255"/>
        </row>
        <row r="7256">
          <cell r="V7256"/>
          <cell r="W7256"/>
          <cell r="X7256"/>
          <cell r="Y7256"/>
        </row>
        <row r="7257">
          <cell r="V7257"/>
          <cell r="W7257"/>
          <cell r="X7257"/>
          <cell r="Y7257"/>
        </row>
        <row r="7258">
          <cell r="V7258"/>
          <cell r="W7258"/>
          <cell r="X7258"/>
          <cell r="Y7258"/>
        </row>
        <row r="7259">
          <cell r="V7259"/>
          <cell r="W7259"/>
          <cell r="X7259"/>
          <cell r="Y7259"/>
        </row>
        <row r="7260">
          <cell r="V7260"/>
          <cell r="W7260"/>
          <cell r="X7260"/>
          <cell r="Y7260"/>
        </row>
        <row r="7261">
          <cell r="V7261"/>
          <cell r="W7261"/>
          <cell r="X7261"/>
          <cell r="Y7261"/>
        </row>
        <row r="7262">
          <cell r="V7262"/>
          <cell r="W7262"/>
          <cell r="X7262"/>
          <cell r="Y7262"/>
        </row>
        <row r="7263">
          <cell r="V7263"/>
          <cell r="W7263"/>
          <cell r="X7263"/>
          <cell r="Y7263"/>
        </row>
        <row r="7264">
          <cell r="V7264"/>
          <cell r="W7264"/>
          <cell r="X7264"/>
          <cell r="Y7264"/>
        </row>
        <row r="7265">
          <cell r="V7265"/>
          <cell r="W7265"/>
          <cell r="X7265"/>
          <cell r="Y7265"/>
        </row>
        <row r="7266">
          <cell r="V7266"/>
          <cell r="W7266"/>
          <cell r="X7266"/>
          <cell r="Y7266"/>
        </row>
        <row r="7267">
          <cell r="V7267"/>
          <cell r="W7267"/>
          <cell r="X7267"/>
          <cell r="Y7267"/>
        </row>
        <row r="7268">
          <cell r="V7268"/>
          <cell r="W7268"/>
          <cell r="X7268"/>
          <cell r="Y7268"/>
        </row>
        <row r="7269">
          <cell r="V7269"/>
          <cell r="W7269"/>
          <cell r="X7269"/>
          <cell r="Y7269"/>
        </row>
        <row r="7270">
          <cell r="V7270"/>
          <cell r="W7270"/>
          <cell r="X7270"/>
          <cell r="Y7270"/>
        </row>
        <row r="7271">
          <cell r="V7271"/>
          <cell r="W7271"/>
          <cell r="X7271"/>
          <cell r="Y7271"/>
        </row>
        <row r="7272">
          <cell r="V7272"/>
          <cell r="W7272"/>
          <cell r="X7272"/>
          <cell r="Y7272"/>
        </row>
        <row r="7273">
          <cell r="V7273"/>
          <cell r="W7273"/>
          <cell r="X7273"/>
          <cell r="Y7273"/>
        </row>
        <row r="7274">
          <cell r="V7274"/>
          <cell r="W7274"/>
          <cell r="X7274"/>
          <cell r="Y7274"/>
        </row>
        <row r="7275">
          <cell r="V7275"/>
          <cell r="W7275"/>
          <cell r="X7275"/>
          <cell r="Y7275"/>
        </row>
        <row r="7276">
          <cell r="V7276"/>
          <cell r="W7276"/>
          <cell r="X7276"/>
          <cell r="Y7276"/>
        </row>
        <row r="7277">
          <cell r="V7277"/>
          <cell r="W7277"/>
          <cell r="X7277"/>
          <cell r="Y7277"/>
        </row>
        <row r="7278">
          <cell r="V7278"/>
          <cell r="W7278"/>
          <cell r="X7278"/>
          <cell r="Y7278"/>
        </row>
        <row r="7279">
          <cell r="V7279"/>
          <cell r="W7279"/>
          <cell r="X7279"/>
          <cell r="Y7279"/>
        </row>
        <row r="7280">
          <cell r="V7280"/>
          <cell r="W7280"/>
          <cell r="X7280"/>
          <cell r="Y7280"/>
        </row>
        <row r="7281">
          <cell r="V7281"/>
          <cell r="W7281"/>
          <cell r="X7281"/>
          <cell r="Y7281"/>
        </row>
        <row r="7282">
          <cell r="V7282"/>
          <cell r="W7282"/>
          <cell r="X7282"/>
          <cell r="Y7282"/>
        </row>
        <row r="7283">
          <cell r="V7283"/>
          <cell r="W7283"/>
          <cell r="X7283"/>
          <cell r="Y7283"/>
        </row>
        <row r="7284">
          <cell r="V7284"/>
          <cell r="W7284"/>
          <cell r="X7284"/>
          <cell r="Y7284"/>
        </row>
        <row r="7285">
          <cell r="V7285"/>
          <cell r="W7285"/>
          <cell r="X7285"/>
          <cell r="Y7285"/>
        </row>
        <row r="7286">
          <cell r="V7286"/>
          <cell r="W7286"/>
          <cell r="X7286"/>
          <cell r="Y7286"/>
        </row>
        <row r="7287">
          <cell r="V7287"/>
          <cell r="W7287"/>
          <cell r="X7287"/>
          <cell r="Y7287"/>
        </row>
        <row r="7288">
          <cell r="V7288"/>
          <cell r="W7288"/>
          <cell r="X7288"/>
          <cell r="Y7288"/>
        </row>
        <row r="7289">
          <cell r="V7289"/>
          <cell r="W7289"/>
          <cell r="X7289"/>
          <cell r="Y7289"/>
        </row>
        <row r="7290">
          <cell r="V7290"/>
          <cell r="W7290"/>
          <cell r="X7290"/>
          <cell r="Y7290"/>
        </row>
        <row r="7291">
          <cell r="V7291"/>
          <cell r="W7291"/>
          <cell r="X7291"/>
          <cell r="Y7291"/>
        </row>
        <row r="7292">
          <cell r="V7292"/>
          <cell r="W7292"/>
          <cell r="X7292"/>
          <cell r="Y7292"/>
        </row>
        <row r="7293">
          <cell r="V7293"/>
          <cell r="W7293"/>
          <cell r="X7293"/>
          <cell r="Y7293"/>
        </row>
        <row r="7294">
          <cell r="V7294"/>
          <cell r="W7294"/>
          <cell r="X7294"/>
          <cell r="Y7294"/>
        </row>
        <row r="7295">
          <cell r="V7295"/>
          <cell r="W7295"/>
          <cell r="X7295"/>
          <cell r="Y7295"/>
        </row>
        <row r="7296">
          <cell r="V7296"/>
          <cell r="W7296"/>
          <cell r="X7296"/>
          <cell r="Y7296"/>
        </row>
        <row r="7297">
          <cell r="V7297"/>
          <cell r="W7297"/>
          <cell r="X7297"/>
          <cell r="Y7297"/>
        </row>
        <row r="7298">
          <cell r="V7298"/>
          <cell r="W7298"/>
          <cell r="X7298"/>
          <cell r="Y7298"/>
        </row>
        <row r="7299">
          <cell r="V7299"/>
          <cell r="W7299"/>
          <cell r="X7299"/>
          <cell r="Y7299"/>
        </row>
        <row r="7300">
          <cell r="V7300"/>
          <cell r="W7300"/>
          <cell r="X7300"/>
          <cell r="Y7300"/>
        </row>
        <row r="7301">
          <cell r="V7301"/>
          <cell r="W7301"/>
          <cell r="X7301"/>
          <cell r="Y7301"/>
        </row>
        <row r="7302">
          <cell r="V7302"/>
          <cell r="W7302"/>
          <cell r="X7302"/>
          <cell r="Y7302"/>
        </row>
        <row r="7303">
          <cell r="V7303"/>
          <cell r="W7303"/>
          <cell r="X7303"/>
          <cell r="Y7303"/>
        </row>
        <row r="7304">
          <cell r="V7304"/>
          <cell r="W7304"/>
          <cell r="X7304"/>
          <cell r="Y7304"/>
        </row>
        <row r="7305">
          <cell r="V7305"/>
          <cell r="W7305"/>
          <cell r="X7305"/>
          <cell r="Y7305"/>
        </row>
        <row r="7306">
          <cell r="V7306"/>
          <cell r="W7306"/>
          <cell r="X7306"/>
          <cell r="Y7306"/>
        </row>
        <row r="7307">
          <cell r="V7307"/>
          <cell r="W7307"/>
          <cell r="X7307"/>
          <cell r="Y7307"/>
        </row>
        <row r="7308">
          <cell r="V7308"/>
          <cell r="W7308"/>
          <cell r="X7308"/>
          <cell r="Y7308"/>
        </row>
        <row r="7309">
          <cell r="V7309"/>
          <cell r="W7309"/>
          <cell r="X7309"/>
          <cell r="Y7309"/>
        </row>
        <row r="7310">
          <cell r="V7310"/>
          <cell r="W7310"/>
          <cell r="X7310"/>
          <cell r="Y7310"/>
        </row>
        <row r="7311">
          <cell r="V7311"/>
          <cell r="W7311"/>
          <cell r="X7311"/>
          <cell r="Y7311"/>
        </row>
        <row r="7312">
          <cell r="V7312"/>
          <cell r="W7312"/>
          <cell r="X7312"/>
          <cell r="Y7312"/>
        </row>
        <row r="7313">
          <cell r="V7313"/>
          <cell r="W7313"/>
          <cell r="X7313"/>
          <cell r="Y7313"/>
        </row>
        <row r="7314">
          <cell r="V7314"/>
          <cell r="W7314"/>
          <cell r="X7314"/>
          <cell r="Y7314"/>
        </row>
        <row r="7315">
          <cell r="V7315"/>
          <cell r="W7315"/>
          <cell r="X7315"/>
          <cell r="Y7315"/>
        </row>
        <row r="7316">
          <cell r="V7316"/>
          <cell r="W7316"/>
          <cell r="X7316"/>
          <cell r="Y7316"/>
        </row>
        <row r="7317">
          <cell r="V7317"/>
          <cell r="W7317"/>
          <cell r="X7317"/>
          <cell r="Y7317"/>
        </row>
        <row r="7318">
          <cell r="V7318"/>
          <cell r="W7318"/>
          <cell r="X7318"/>
          <cell r="Y7318"/>
        </row>
        <row r="7319">
          <cell r="V7319"/>
          <cell r="W7319"/>
          <cell r="X7319"/>
          <cell r="Y7319"/>
        </row>
        <row r="7320">
          <cell r="V7320"/>
          <cell r="W7320"/>
          <cell r="X7320"/>
          <cell r="Y7320"/>
        </row>
        <row r="7321">
          <cell r="V7321"/>
          <cell r="W7321"/>
          <cell r="X7321"/>
          <cell r="Y7321"/>
        </row>
        <row r="7322">
          <cell r="V7322"/>
          <cell r="W7322"/>
          <cell r="X7322"/>
          <cell r="Y7322"/>
        </row>
        <row r="7323">
          <cell r="V7323"/>
          <cell r="W7323"/>
          <cell r="X7323"/>
          <cell r="Y7323"/>
        </row>
        <row r="7324">
          <cell r="V7324"/>
          <cell r="W7324"/>
          <cell r="X7324"/>
          <cell r="Y7324"/>
        </row>
        <row r="7325">
          <cell r="V7325"/>
          <cell r="W7325"/>
          <cell r="X7325"/>
          <cell r="Y7325"/>
        </row>
        <row r="7326">
          <cell r="V7326"/>
          <cell r="W7326"/>
          <cell r="X7326"/>
          <cell r="Y7326"/>
        </row>
        <row r="7327">
          <cell r="V7327"/>
          <cell r="W7327"/>
          <cell r="X7327"/>
          <cell r="Y7327"/>
        </row>
        <row r="7328">
          <cell r="V7328"/>
          <cell r="W7328"/>
          <cell r="X7328"/>
          <cell r="Y7328"/>
        </row>
        <row r="7329">
          <cell r="V7329"/>
          <cell r="W7329"/>
          <cell r="X7329"/>
          <cell r="Y7329"/>
        </row>
        <row r="7330">
          <cell r="V7330"/>
          <cell r="W7330"/>
          <cell r="X7330"/>
          <cell r="Y7330"/>
        </row>
        <row r="7331">
          <cell r="V7331"/>
          <cell r="W7331"/>
          <cell r="X7331"/>
          <cell r="Y7331"/>
        </row>
        <row r="7332">
          <cell r="V7332"/>
          <cell r="W7332"/>
          <cell r="X7332"/>
          <cell r="Y7332"/>
        </row>
        <row r="7333">
          <cell r="V7333"/>
          <cell r="W7333"/>
          <cell r="X7333"/>
          <cell r="Y7333"/>
        </row>
        <row r="7334">
          <cell r="V7334"/>
          <cell r="W7334"/>
          <cell r="X7334"/>
          <cell r="Y7334"/>
        </row>
        <row r="7335">
          <cell r="V7335"/>
          <cell r="W7335"/>
          <cell r="X7335"/>
          <cell r="Y7335"/>
        </row>
        <row r="7336">
          <cell r="V7336"/>
          <cell r="W7336"/>
          <cell r="X7336"/>
          <cell r="Y7336"/>
        </row>
        <row r="7337">
          <cell r="V7337"/>
          <cell r="W7337"/>
          <cell r="X7337"/>
          <cell r="Y7337"/>
        </row>
        <row r="7338">
          <cell r="V7338"/>
          <cell r="W7338"/>
          <cell r="X7338"/>
          <cell r="Y7338"/>
        </row>
        <row r="7339">
          <cell r="V7339"/>
          <cell r="W7339"/>
          <cell r="X7339"/>
          <cell r="Y7339"/>
        </row>
        <row r="7340">
          <cell r="V7340"/>
          <cell r="W7340"/>
          <cell r="X7340"/>
          <cell r="Y7340"/>
        </row>
        <row r="7341">
          <cell r="V7341"/>
          <cell r="W7341"/>
          <cell r="X7341"/>
          <cell r="Y7341"/>
        </row>
        <row r="7342">
          <cell r="V7342"/>
          <cell r="W7342"/>
          <cell r="X7342"/>
          <cell r="Y7342"/>
        </row>
        <row r="7343">
          <cell r="V7343"/>
          <cell r="W7343"/>
          <cell r="X7343"/>
          <cell r="Y7343"/>
        </row>
        <row r="7344">
          <cell r="V7344"/>
          <cell r="W7344"/>
          <cell r="X7344"/>
          <cell r="Y7344"/>
        </row>
        <row r="7345">
          <cell r="V7345"/>
          <cell r="W7345"/>
          <cell r="X7345"/>
          <cell r="Y7345"/>
        </row>
        <row r="7346">
          <cell r="V7346"/>
          <cell r="W7346"/>
          <cell r="X7346"/>
          <cell r="Y7346"/>
        </row>
        <row r="7347">
          <cell r="V7347"/>
          <cell r="W7347"/>
          <cell r="X7347"/>
          <cell r="Y7347"/>
        </row>
        <row r="7348">
          <cell r="V7348"/>
          <cell r="W7348"/>
          <cell r="X7348"/>
          <cell r="Y7348"/>
        </row>
        <row r="7349">
          <cell r="V7349"/>
          <cell r="W7349"/>
          <cell r="X7349"/>
          <cell r="Y7349"/>
        </row>
        <row r="7350">
          <cell r="V7350"/>
          <cell r="W7350"/>
          <cell r="X7350"/>
          <cell r="Y7350"/>
        </row>
        <row r="7351">
          <cell r="V7351"/>
          <cell r="W7351"/>
          <cell r="X7351"/>
          <cell r="Y7351"/>
        </row>
        <row r="7352">
          <cell r="V7352"/>
          <cell r="W7352"/>
          <cell r="X7352"/>
          <cell r="Y7352"/>
        </row>
        <row r="7353">
          <cell r="V7353"/>
          <cell r="W7353"/>
          <cell r="X7353"/>
          <cell r="Y7353"/>
        </row>
        <row r="7354">
          <cell r="V7354"/>
          <cell r="W7354"/>
          <cell r="X7354"/>
          <cell r="Y7354"/>
        </row>
        <row r="7355">
          <cell r="V7355"/>
          <cell r="W7355"/>
          <cell r="X7355"/>
          <cell r="Y7355"/>
        </row>
        <row r="7356">
          <cell r="V7356"/>
          <cell r="W7356"/>
          <cell r="X7356"/>
          <cell r="Y7356"/>
        </row>
        <row r="7357">
          <cell r="V7357"/>
          <cell r="W7357"/>
          <cell r="X7357"/>
          <cell r="Y7357"/>
        </row>
        <row r="7358">
          <cell r="V7358"/>
          <cell r="W7358"/>
          <cell r="X7358"/>
          <cell r="Y7358"/>
        </row>
        <row r="7359">
          <cell r="V7359"/>
          <cell r="W7359"/>
          <cell r="X7359"/>
          <cell r="Y7359"/>
        </row>
        <row r="7360">
          <cell r="V7360"/>
          <cell r="W7360"/>
          <cell r="X7360"/>
          <cell r="Y7360"/>
        </row>
        <row r="7361">
          <cell r="V7361"/>
          <cell r="W7361"/>
          <cell r="X7361"/>
          <cell r="Y7361"/>
        </row>
        <row r="7362">
          <cell r="V7362"/>
          <cell r="W7362"/>
          <cell r="X7362"/>
          <cell r="Y7362"/>
        </row>
        <row r="7363">
          <cell r="V7363"/>
          <cell r="W7363"/>
          <cell r="X7363"/>
          <cell r="Y7363"/>
        </row>
        <row r="7364">
          <cell r="V7364"/>
          <cell r="W7364"/>
          <cell r="X7364"/>
          <cell r="Y7364"/>
        </row>
        <row r="7365">
          <cell r="V7365"/>
          <cell r="W7365"/>
          <cell r="X7365"/>
          <cell r="Y7365"/>
        </row>
        <row r="7366">
          <cell r="V7366"/>
          <cell r="W7366"/>
          <cell r="X7366"/>
          <cell r="Y7366"/>
        </row>
        <row r="7367">
          <cell r="V7367"/>
          <cell r="W7367"/>
          <cell r="X7367"/>
          <cell r="Y7367"/>
        </row>
        <row r="7368">
          <cell r="V7368"/>
          <cell r="W7368"/>
          <cell r="X7368"/>
          <cell r="Y7368"/>
        </row>
        <row r="7369">
          <cell r="V7369"/>
          <cell r="W7369"/>
          <cell r="X7369"/>
          <cell r="Y7369"/>
        </row>
        <row r="7370">
          <cell r="V7370"/>
          <cell r="W7370"/>
          <cell r="X7370"/>
          <cell r="Y7370"/>
        </row>
        <row r="7371">
          <cell r="V7371"/>
          <cell r="W7371"/>
          <cell r="X7371"/>
          <cell r="Y7371"/>
        </row>
        <row r="7372">
          <cell r="V7372"/>
          <cell r="W7372"/>
          <cell r="X7372"/>
          <cell r="Y7372"/>
        </row>
        <row r="7373">
          <cell r="V7373"/>
          <cell r="W7373"/>
          <cell r="X7373"/>
          <cell r="Y7373"/>
        </row>
        <row r="7374">
          <cell r="V7374"/>
          <cell r="W7374"/>
          <cell r="X7374"/>
          <cell r="Y7374"/>
        </row>
        <row r="7375">
          <cell r="V7375"/>
          <cell r="W7375"/>
          <cell r="X7375"/>
          <cell r="Y7375"/>
        </row>
        <row r="7376">
          <cell r="V7376"/>
          <cell r="W7376"/>
          <cell r="X7376"/>
          <cell r="Y7376"/>
        </row>
        <row r="7377">
          <cell r="V7377"/>
          <cell r="W7377"/>
          <cell r="X7377"/>
          <cell r="Y7377"/>
        </row>
        <row r="7378">
          <cell r="V7378"/>
          <cell r="W7378"/>
          <cell r="X7378"/>
          <cell r="Y7378"/>
        </row>
        <row r="7379">
          <cell r="V7379"/>
          <cell r="W7379"/>
          <cell r="X7379"/>
          <cell r="Y7379"/>
        </row>
        <row r="7380">
          <cell r="V7380"/>
          <cell r="W7380"/>
          <cell r="X7380"/>
          <cell r="Y7380"/>
        </row>
        <row r="7381">
          <cell r="V7381"/>
          <cell r="W7381"/>
          <cell r="X7381"/>
          <cell r="Y7381"/>
        </row>
        <row r="7382">
          <cell r="V7382"/>
          <cell r="W7382"/>
          <cell r="X7382"/>
          <cell r="Y7382"/>
        </row>
        <row r="7383">
          <cell r="V7383"/>
          <cell r="W7383"/>
          <cell r="X7383"/>
          <cell r="Y7383"/>
        </row>
        <row r="7384">
          <cell r="V7384"/>
          <cell r="W7384"/>
          <cell r="X7384"/>
          <cell r="Y7384"/>
        </row>
        <row r="7385">
          <cell r="V7385"/>
          <cell r="W7385"/>
          <cell r="X7385"/>
          <cell r="Y7385"/>
        </row>
        <row r="7386">
          <cell r="V7386"/>
          <cell r="W7386"/>
          <cell r="X7386"/>
          <cell r="Y7386"/>
        </row>
        <row r="7387">
          <cell r="V7387"/>
          <cell r="W7387"/>
          <cell r="X7387"/>
          <cell r="Y7387"/>
        </row>
        <row r="7388">
          <cell r="V7388"/>
          <cell r="W7388"/>
          <cell r="X7388"/>
          <cell r="Y7388"/>
        </row>
        <row r="7389">
          <cell r="V7389"/>
          <cell r="W7389"/>
          <cell r="X7389"/>
          <cell r="Y7389"/>
        </row>
        <row r="7390">
          <cell r="V7390"/>
          <cell r="W7390"/>
          <cell r="X7390"/>
          <cell r="Y7390"/>
        </row>
        <row r="7391">
          <cell r="V7391"/>
          <cell r="W7391"/>
          <cell r="X7391"/>
          <cell r="Y7391"/>
        </row>
        <row r="7392">
          <cell r="V7392"/>
          <cell r="W7392"/>
          <cell r="X7392"/>
          <cell r="Y7392"/>
        </row>
        <row r="7393">
          <cell r="V7393"/>
          <cell r="W7393"/>
          <cell r="X7393"/>
          <cell r="Y7393"/>
        </row>
        <row r="7394">
          <cell r="V7394"/>
          <cell r="W7394"/>
          <cell r="X7394"/>
          <cell r="Y7394"/>
        </row>
        <row r="7395">
          <cell r="V7395"/>
          <cell r="W7395"/>
          <cell r="X7395"/>
          <cell r="Y7395"/>
        </row>
        <row r="7396">
          <cell r="V7396"/>
          <cell r="W7396"/>
          <cell r="X7396"/>
          <cell r="Y7396"/>
        </row>
        <row r="7397">
          <cell r="V7397"/>
          <cell r="W7397"/>
          <cell r="X7397"/>
          <cell r="Y7397"/>
        </row>
        <row r="7398">
          <cell r="V7398"/>
          <cell r="W7398"/>
          <cell r="X7398"/>
          <cell r="Y7398"/>
        </row>
        <row r="7399">
          <cell r="V7399"/>
          <cell r="W7399"/>
          <cell r="X7399"/>
          <cell r="Y7399"/>
        </row>
        <row r="7400">
          <cell r="V7400"/>
          <cell r="W7400"/>
          <cell r="X7400"/>
          <cell r="Y7400"/>
        </row>
        <row r="7401">
          <cell r="V7401"/>
          <cell r="W7401"/>
          <cell r="X7401"/>
          <cell r="Y7401"/>
        </row>
        <row r="7402">
          <cell r="V7402"/>
          <cell r="W7402"/>
          <cell r="X7402"/>
          <cell r="Y7402"/>
        </row>
        <row r="7403">
          <cell r="V7403"/>
          <cell r="W7403"/>
          <cell r="X7403"/>
          <cell r="Y7403"/>
        </row>
        <row r="7404">
          <cell r="V7404"/>
          <cell r="W7404"/>
          <cell r="X7404"/>
          <cell r="Y7404"/>
        </row>
        <row r="7405">
          <cell r="V7405"/>
          <cell r="W7405"/>
          <cell r="X7405"/>
          <cell r="Y7405"/>
        </row>
        <row r="7406">
          <cell r="V7406"/>
          <cell r="W7406"/>
          <cell r="X7406"/>
          <cell r="Y7406"/>
        </row>
        <row r="7407">
          <cell r="V7407"/>
          <cell r="W7407"/>
          <cell r="X7407"/>
          <cell r="Y7407"/>
        </row>
        <row r="7408">
          <cell r="V7408"/>
          <cell r="W7408"/>
          <cell r="X7408"/>
          <cell r="Y7408"/>
        </row>
        <row r="7409">
          <cell r="V7409"/>
          <cell r="W7409"/>
          <cell r="X7409"/>
          <cell r="Y7409"/>
        </row>
        <row r="7410">
          <cell r="V7410"/>
          <cell r="W7410"/>
          <cell r="X7410"/>
          <cell r="Y7410"/>
        </row>
        <row r="7411">
          <cell r="V7411"/>
          <cell r="W7411"/>
          <cell r="X7411"/>
          <cell r="Y7411"/>
        </row>
        <row r="7412">
          <cell r="V7412"/>
          <cell r="W7412"/>
          <cell r="X7412"/>
          <cell r="Y7412"/>
        </row>
        <row r="7413">
          <cell r="V7413"/>
          <cell r="W7413"/>
          <cell r="X7413"/>
          <cell r="Y7413"/>
        </row>
        <row r="7414">
          <cell r="V7414"/>
          <cell r="W7414"/>
          <cell r="X7414"/>
          <cell r="Y7414"/>
        </row>
        <row r="7415">
          <cell r="V7415"/>
          <cell r="W7415"/>
          <cell r="X7415"/>
          <cell r="Y7415"/>
        </row>
        <row r="7416">
          <cell r="V7416"/>
          <cell r="W7416"/>
          <cell r="X7416"/>
          <cell r="Y7416"/>
        </row>
        <row r="7417">
          <cell r="V7417"/>
          <cell r="W7417"/>
          <cell r="X7417"/>
          <cell r="Y7417"/>
        </row>
        <row r="7418">
          <cell r="V7418"/>
          <cell r="W7418"/>
          <cell r="X7418"/>
          <cell r="Y7418"/>
        </row>
        <row r="7419">
          <cell r="V7419"/>
          <cell r="W7419"/>
          <cell r="X7419"/>
          <cell r="Y7419"/>
        </row>
        <row r="7420">
          <cell r="V7420"/>
          <cell r="W7420"/>
          <cell r="X7420"/>
          <cell r="Y7420"/>
        </row>
        <row r="7421">
          <cell r="V7421"/>
          <cell r="W7421"/>
          <cell r="X7421"/>
          <cell r="Y7421"/>
        </row>
        <row r="7422">
          <cell r="V7422"/>
          <cell r="W7422"/>
          <cell r="X7422"/>
          <cell r="Y7422"/>
        </row>
        <row r="7423">
          <cell r="V7423"/>
          <cell r="W7423"/>
          <cell r="X7423"/>
          <cell r="Y7423"/>
        </row>
        <row r="7424">
          <cell r="V7424"/>
          <cell r="W7424"/>
          <cell r="X7424"/>
          <cell r="Y7424"/>
        </row>
        <row r="7425">
          <cell r="V7425"/>
          <cell r="W7425"/>
          <cell r="X7425"/>
          <cell r="Y7425"/>
        </row>
        <row r="7426">
          <cell r="V7426"/>
          <cell r="W7426"/>
          <cell r="X7426"/>
          <cell r="Y7426"/>
        </row>
        <row r="7427">
          <cell r="V7427"/>
          <cell r="W7427"/>
          <cell r="X7427"/>
          <cell r="Y7427"/>
        </row>
        <row r="7428">
          <cell r="V7428"/>
          <cell r="W7428"/>
          <cell r="X7428"/>
          <cell r="Y7428"/>
        </row>
        <row r="7429">
          <cell r="V7429"/>
          <cell r="W7429"/>
          <cell r="X7429"/>
          <cell r="Y7429"/>
        </row>
        <row r="7430">
          <cell r="V7430"/>
          <cell r="W7430"/>
          <cell r="X7430"/>
          <cell r="Y7430"/>
        </row>
        <row r="7431">
          <cell r="V7431"/>
          <cell r="W7431"/>
          <cell r="X7431"/>
          <cell r="Y7431"/>
        </row>
        <row r="7432">
          <cell r="V7432"/>
          <cell r="W7432"/>
          <cell r="X7432"/>
          <cell r="Y7432"/>
        </row>
        <row r="7433">
          <cell r="V7433"/>
          <cell r="W7433"/>
          <cell r="X7433"/>
          <cell r="Y7433"/>
        </row>
        <row r="7434">
          <cell r="V7434"/>
          <cell r="W7434"/>
          <cell r="X7434"/>
          <cell r="Y7434"/>
        </row>
        <row r="7435">
          <cell r="V7435"/>
          <cell r="W7435"/>
          <cell r="X7435"/>
          <cell r="Y7435"/>
        </row>
        <row r="7436">
          <cell r="V7436"/>
          <cell r="W7436"/>
          <cell r="X7436"/>
          <cell r="Y7436"/>
        </row>
        <row r="7437">
          <cell r="V7437"/>
          <cell r="W7437"/>
          <cell r="X7437"/>
          <cell r="Y7437"/>
        </row>
        <row r="7438">
          <cell r="V7438"/>
          <cell r="W7438"/>
          <cell r="X7438"/>
          <cell r="Y7438"/>
        </row>
        <row r="7439">
          <cell r="V7439"/>
          <cell r="W7439"/>
          <cell r="X7439"/>
          <cell r="Y7439"/>
        </row>
        <row r="7440">
          <cell r="V7440"/>
          <cell r="W7440"/>
          <cell r="X7440"/>
          <cell r="Y7440"/>
        </row>
        <row r="7441">
          <cell r="V7441"/>
          <cell r="W7441"/>
          <cell r="X7441"/>
          <cell r="Y7441"/>
        </row>
        <row r="7442">
          <cell r="V7442"/>
          <cell r="W7442"/>
          <cell r="X7442"/>
          <cell r="Y7442"/>
        </row>
        <row r="7443">
          <cell r="V7443"/>
          <cell r="W7443"/>
          <cell r="X7443"/>
          <cell r="Y7443"/>
        </row>
        <row r="7444">
          <cell r="V7444"/>
          <cell r="W7444"/>
          <cell r="X7444"/>
          <cell r="Y7444"/>
        </row>
        <row r="7445">
          <cell r="V7445"/>
          <cell r="W7445"/>
          <cell r="X7445"/>
          <cell r="Y7445"/>
        </row>
        <row r="7446">
          <cell r="V7446"/>
          <cell r="W7446"/>
          <cell r="X7446"/>
          <cell r="Y7446"/>
        </row>
        <row r="7447">
          <cell r="V7447"/>
          <cell r="W7447"/>
          <cell r="X7447"/>
          <cell r="Y7447"/>
        </row>
        <row r="7448">
          <cell r="V7448"/>
          <cell r="W7448"/>
          <cell r="X7448"/>
          <cell r="Y7448"/>
        </row>
        <row r="7449">
          <cell r="V7449"/>
          <cell r="W7449"/>
          <cell r="X7449"/>
          <cell r="Y7449"/>
        </row>
        <row r="7450">
          <cell r="V7450"/>
          <cell r="W7450"/>
          <cell r="X7450"/>
          <cell r="Y7450"/>
        </row>
        <row r="7451">
          <cell r="V7451"/>
          <cell r="W7451"/>
          <cell r="X7451"/>
          <cell r="Y7451"/>
        </row>
        <row r="7452">
          <cell r="V7452"/>
          <cell r="W7452"/>
          <cell r="X7452"/>
          <cell r="Y7452"/>
        </row>
        <row r="7453">
          <cell r="V7453"/>
          <cell r="W7453"/>
          <cell r="X7453"/>
          <cell r="Y7453"/>
        </row>
        <row r="7454">
          <cell r="V7454"/>
          <cell r="W7454"/>
          <cell r="X7454"/>
          <cell r="Y7454"/>
        </row>
        <row r="7455">
          <cell r="V7455"/>
          <cell r="W7455"/>
          <cell r="X7455"/>
          <cell r="Y7455"/>
        </row>
        <row r="7456">
          <cell r="V7456"/>
          <cell r="W7456"/>
          <cell r="X7456"/>
          <cell r="Y7456"/>
        </row>
        <row r="7457">
          <cell r="V7457"/>
          <cell r="W7457"/>
          <cell r="X7457"/>
          <cell r="Y7457"/>
        </row>
        <row r="7458">
          <cell r="V7458"/>
          <cell r="W7458"/>
          <cell r="X7458"/>
          <cell r="Y7458"/>
        </row>
        <row r="7459">
          <cell r="V7459"/>
          <cell r="W7459"/>
          <cell r="X7459"/>
          <cell r="Y7459"/>
        </row>
        <row r="7460">
          <cell r="V7460"/>
          <cell r="W7460"/>
          <cell r="X7460"/>
          <cell r="Y7460"/>
        </row>
        <row r="7461">
          <cell r="V7461"/>
          <cell r="W7461"/>
          <cell r="X7461"/>
          <cell r="Y7461"/>
        </row>
        <row r="7462">
          <cell r="V7462"/>
          <cell r="W7462"/>
          <cell r="X7462"/>
          <cell r="Y7462"/>
        </row>
        <row r="7463">
          <cell r="V7463"/>
          <cell r="W7463"/>
          <cell r="X7463"/>
          <cell r="Y7463"/>
        </row>
        <row r="7464">
          <cell r="V7464"/>
          <cell r="W7464"/>
          <cell r="X7464"/>
          <cell r="Y7464"/>
        </row>
        <row r="7465">
          <cell r="V7465"/>
          <cell r="W7465"/>
          <cell r="X7465"/>
          <cell r="Y7465"/>
        </row>
        <row r="7466">
          <cell r="V7466"/>
          <cell r="W7466"/>
          <cell r="X7466"/>
          <cell r="Y7466"/>
        </row>
        <row r="7467">
          <cell r="V7467"/>
          <cell r="W7467"/>
          <cell r="X7467"/>
          <cell r="Y7467"/>
        </row>
        <row r="7468">
          <cell r="V7468"/>
          <cell r="W7468"/>
          <cell r="X7468"/>
          <cell r="Y7468"/>
        </row>
        <row r="7469">
          <cell r="V7469"/>
          <cell r="W7469"/>
          <cell r="X7469"/>
          <cell r="Y7469"/>
        </row>
        <row r="7470">
          <cell r="V7470"/>
          <cell r="W7470"/>
          <cell r="X7470"/>
          <cell r="Y7470"/>
        </row>
        <row r="7471">
          <cell r="V7471"/>
          <cell r="W7471"/>
          <cell r="X7471"/>
          <cell r="Y7471"/>
        </row>
        <row r="7472">
          <cell r="V7472"/>
          <cell r="W7472"/>
          <cell r="X7472"/>
          <cell r="Y7472"/>
        </row>
        <row r="7473">
          <cell r="V7473"/>
          <cell r="W7473"/>
          <cell r="X7473"/>
          <cell r="Y7473"/>
        </row>
        <row r="7474">
          <cell r="V7474"/>
          <cell r="W7474"/>
          <cell r="X7474"/>
          <cell r="Y7474"/>
        </row>
        <row r="7475">
          <cell r="V7475"/>
          <cell r="W7475"/>
          <cell r="X7475"/>
          <cell r="Y7475"/>
        </row>
        <row r="7476">
          <cell r="V7476"/>
          <cell r="W7476"/>
          <cell r="X7476"/>
          <cell r="Y7476"/>
        </row>
        <row r="7477">
          <cell r="V7477"/>
          <cell r="W7477"/>
          <cell r="X7477"/>
          <cell r="Y7477"/>
        </row>
        <row r="7478">
          <cell r="V7478"/>
          <cell r="W7478"/>
          <cell r="X7478"/>
          <cell r="Y7478"/>
        </row>
        <row r="7479">
          <cell r="V7479"/>
          <cell r="W7479"/>
          <cell r="X7479"/>
          <cell r="Y7479"/>
        </row>
        <row r="7480">
          <cell r="V7480"/>
          <cell r="W7480"/>
          <cell r="X7480"/>
          <cell r="Y7480"/>
        </row>
        <row r="7481">
          <cell r="V7481"/>
          <cell r="W7481"/>
          <cell r="X7481"/>
          <cell r="Y7481"/>
        </row>
        <row r="7482">
          <cell r="V7482"/>
          <cell r="W7482"/>
          <cell r="X7482"/>
          <cell r="Y7482"/>
        </row>
        <row r="7483">
          <cell r="V7483"/>
          <cell r="W7483"/>
          <cell r="X7483"/>
          <cell r="Y7483"/>
        </row>
        <row r="7484">
          <cell r="V7484"/>
          <cell r="W7484"/>
          <cell r="X7484"/>
          <cell r="Y7484"/>
        </row>
        <row r="7485">
          <cell r="V7485"/>
          <cell r="W7485"/>
          <cell r="X7485"/>
          <cell r="Y7485"/>
        </row>
        <row r="7486">
          <cell r="V7486"/>
          <cell r="W7486"/>
          <cell r="X7486"/>
          <cell r="Y7486"/>
        </row>
        <row r="7487">
          <cell r="V7487"/>
          <cell r="W7487"/>
          <cell r="X7487"/>
          <cell r="Y7487"/>
        </row>
        <row r="7488">
          <cell r="V7488"/>
          <cell r="W7488"/>
          <cell r="X7488"/>
          <cell r="Y7488"/>
        </row>
        <row r="7489">
          <cell r="V7489"/>
          <cell r="W7489"/>
          <cell r="X7489"/>
          <cell r="Y7489"/>
        </row>
        <row r="7490">
          <cell r="V7490"/>
          <cell r="W7490"/>
          <cell r="X7490"/>
          <cell r="Y7490"/>
        </row>
        <row r="7491">
          <cell r="V7491"/>
          <cell r="W7491"/>
          <cell r="X7491"/>
          <cell r="Y7491"/>
        </row>
        <row r="7492">
          <cell r="V7492"/>
          <cell r="W7492"/>
          <cell r="X7492"/>
          <cell r="Y7492"/>
        </row>
        <row r="7493">
          <cell r="V7493"/>
          <cell r="W7493"/>
          <cell r="X7493"/>
          <cell r="Y7493"/>
        </row>
        <row r="7494">
          <cell r="V7494"/>
          <cell r="W7494"/>
          <cell r="X7494"/>
          <cell r="Y7494"/>
        </row>
        <row r="7495">
          <cell r="V7495"/>
          <cell r="W7495"/>
          <cell r="X7495"/>
          <cell r="Y7495"/>
        </row>
        <row r="7496">
          <cell r="V7496"/>
          <cell r="W7496"/>
          <cell r="X7496"/>
          <cell r="Y7496"/>
        </row>
        <row r="7497">
          <cell r="V7497"/>
          <cell r="W7497"/>
          <cell r="X7497"/>
          <cell r="Y7497"/>
        </row>
        <row r="7498">
          <cell r="V7498"/>
          <cell r="W7498"/>
          <cell r="X7498"/>
          <cell r="Y7498"/>
        </row>
        <row r="7499">
          <cell r="V7499"/>
          <cell r="W7499"/>
          <cell r="X7499"/>
          <cell r="Y7499"/>
        </row>
        <row r="7500">
          <cell r="V7500"/>
          <cell r="W7500"/>
          <cell r="X7500"/>
          <cell r="Y7500"/>
        </row>
        <row r="7501">
          <cell r="V7501"/>
          <cell r="W7501"/>
          <cell r="X7501"/>
          <cell r="Y7501"/>
        </row>
        <row r="7502">
          <cell r="V7502"/>
          <cell r="W7502"/>
          <cell r="X7502"/>
          <cell r="Y7502"/>
        </row>
        <row r="7503">
          <cell r="V7503"/>
          <cell r="W7503"/>
          <cell r="X7503"/>
          <cell r="Y7503"/>
        </row>
        <row r="7504">
          <cell r="V7504"/>
          <cell r="W7504"/>
          <cell r="X7504"/>
          <cell r="Y7504"/>
        </row>
        <row r="7505">
          <cell r="V7505"/>
          <cell r="W7505"/>
          <cell r="X7505"/>
          <cell r="Y7505"/>
        </row>
        <row r="7506">
          <cell r="V7506"/>
          <cell r="W7506"/>
          <cell r="X7506"/>
          <cell r="Y7506"/>
        </row>
        <row r="7507">
          <cell r="V7507"/>
          <cell r="W7507"/>
          <cell r="X7507"/>
          <cell r="Y7507"/>
        </row>
        <row r="7508">
          <cell r="V7508"/>
          <cell r="W7508"/>
          <cell r="X7508"/>
          <cell r="Y7508"/>
        </row>
        <row r="7509">
          <cell r="V7509"/>
          <cell r="W7509"/>
          <cell r="X7509"/>
          <cell r="Y7509"/>
        </row>
        <row r="7510">
          <cell r="V7510"/>
          <cell r="W7510"/>
          <cell r="X7510"/>
          <cell r="Y7510"/>
        </row>
        <row r="7511">
          <cell r="V7511"/>
          <cell r="W7511"/>
          <cell r="X7511"/>
          <cell r="Y7511"/>
        </row>
        <row r="7512">
          <cell r="V7512"/>
          <cell r="W7512"/>
          <cell r="X7512"/>
          <cell r="Y7512"/>
        </row>
        <row r="7513">
          <cell r="V7513"/>
          <cell r="W7513"/>
          <cell r="X7513"/>
          <cell r="Y7513"/>
        </row>
        <row r="7514">
          <cell r="V7514"/>
          <cell r="W7514"/>
          <cell r="X7514"/>
          <cell r="Y7514"/>
        </row>
        <row r="7515">
          <cell r="V7515"/>
          <cell r="W7515"/>
          <cell r="X7515"/>
          <cell r="Y7515"/>
        </row>
        <row r="7516">
          <cell r="V7516"/>
          <cell r="W7516"/>
          <cell r="X7516"/>
          <cell r="Y7516"/>
        </row>
        <row r="7517">
          <cell r="V7517"/>
          <cell r="W7517"/>
          <cell r="X7517"/>
          <cell r="Y7517"/>
        </row>
        <row r="7518">
          <cell r="V7518"/>
          <cell r="W7518"/>
          <cell r="X7518"/>
          <cell r="Y7518"/>
        </row>
        <row r="7519">
          <cell r="V7519"/>
          <cell r="W7519"/>
          <cell r="X7519"/>
          <cell r="Y7519"/>
        </row>
        <row r="7520">
          <cell r="V7520"/>
          <cell r="W7520"/>
          <cell r="X7520"/>
          <cell r="Y7520"/>
        </row>
        <row r="7521">
          <cell r="V7521"/>
          <cell r="W7521"/>
          <cell r="X7521"/>
          <cell r="Y7521"/>
        </row>
        <row r="7522">
          <cell r="V7522"/>
          <cell r="W7522"/>
          <cell r="X7522"/>
          <cell r="Y7522"/>
        </row>
        <row r="7523">
          <cell r="V7523"/>
          <cell r="W7523"/>
          <cell r="X7523"/>
          <cell r="Y7523"/>
        </row>
        <row r="7524">
          <cell r="V7524"/>
          <cell r="W7524"/>
          <cell r="X7524"/>
          <cell r="Y7524"/>
        </row>
        <row r="7525">
          <cell r="V7525"/>
          <cell r="W7525"/>
          <cell r="X7525"/>
          <cell r="Y7525"/>
        </row>
        <row r="7526">
          <cell r="V7526"/>
          <cell r="W7526"/>
          <cell r="X7526"/>
          <cell r="Y7526"/>
        </row>
        <row r="7527">
          <cell r="V7527"/>
          <cell r="W7527"/>
          <cell r="X7527"/>
          <cell r="Y7527"/>
        </row>
        <row r="7528">
          <cell r="V7528"/>
          <cell r="W7528"/>
          <cell r="X7528"/>
          <cell r="Y7528"/>
        </row>
        <row r="7529">
          <cell r="V7529"/>
          <cell r="W7529"/>
          <cell r="X7529"/>
          <cell r="Y7529"/>
        </row>
        <row r="7530">
          <cell r="V7530"/>
          <cell r="W7530"/>
          <cell r="X7530"/>
          <cell r="Y7530"/>
        </row>
        <row r="7531">
          <cell r="V7531"/>
          <cell r="W7531"/>
          <cell r="X7531"/>
          <cell r="Y7531"/>
        </row>
        <row r="7532">
          <cell r="V7532"/>
          <cell r="W7532"/>
          <cell r="X7532"/>
          <cell r="Y7532"/>
        </row>
        <row r="7533">
          <cell r="V7533"/>
          <cell r="W7533"/>
          <cell r="X7533"/>
          <cell r="Y7533"/>
        </row>
        <row r="7534">
          <cell r="V7534"/>
          <cell r="W7534"/>
          <cell r="X7534"/>
          <cell r="Y7534"/>
        </row>
        <row r="7535">
          <cell r="V7535"/>
          <cell r="W7535"/>
          <cell r="X7535"/>
          <cell r="Y7535"/>
        </row>
        <row r="7536">
          <cell r="V7536"/>
          <cell r="W7536"/>
          <cell r="X7536"/>
          <cell r="Y7536"/>
        </row>
        <row r="7537">
          <cell r="V7537"/>
          <cell r="W7537"/>
          <cell r="X7537"/>
          <cell r="Y7537"/>
        </row>
        <row r="7538">
          <cell r="V7538"/>
          <cell r="W7538"/>
          <cell r="X7538"/>
          <cell r="Y7538"/>
        </row>
        <row r="7539">
          <cell r="V7539"/>
          <cell r="W7539"/>
          <cell r="X7539"/>
          <cell r="Y7539"/>
        </row>
        <row r="7540">
          <cell r="V7540"/>
          <cell r="W7540"/>
          <cell r="X7540"/>
          <cell r="Y7540"/>
        </row>
        <row r="7541">
          <cell r="V7541"/>
          <cell r="W7541"/>
          <cell r="X7541"/>
          <cell r="Y7541"/>
        </row>
        <row r="7542">
          <cell r="V7542"/>
          <cell r="W7542"/>
          <cell r="X7542"/>
          <cell r="Y7542"/>
        </row>
        <row r="7543">
          <cell r="V7543"/>
          <cell r="W7543"/>
          <cell r="X7543"/>
          <cell r="Y7543"/>
        </row>
        <row r="7544">
          <cell r="V7544"/>
          <cell r="W7544"/>
          <cell r="X7544"/>
          <cell r="Y7544"/>
        </row>
        <row r="7545">
          <cell r="V7545"/>
          <cell r="W7545"/>
          <cell r="X7545"/>
          <cell r="Y7545"/>
        </row>
        <row r="7546">
          <cell r="V7546"/>
          <cell r="W7546"/>
          <cell r="X7546"/>
          <cell r="Y7546"/>
        </row>
        <row r="7547">
          <cell r="V7547"/>
          <cell r="W7547"/>
          <cell r="X7547"/>
          <cell r="Y7547"/>
        </row>
        <row r="7548">
          <cell r="V7548"/>
          <cell r="W7548"/>
          <cell r="X7548"/>
          <cell r="Y7548"/>
        </row>
        <row r="7549">
          <cell r="V7549"/>
          <cell r="W7549"/>
          <cell r="X7549"/>
          <cell r="Y7549"/>
        </row>
        <row r="7550">
          <cell r="V7550"/>
          <cell r="W7550"/>
          <cell r="X7550"/>
          <cell r="Y7550"/>
        </row>
        <row r="7551">
          <cell r="V7551"/>
          <cell r="W7551"/>
          <cell r="X7551"/>
          <cell r="Y7551"/>
        </row>
        <row r="7552">
          <cell r="V7552"/>
          <cell r="W7552"/>
          <cell r="X7552"/>
          <cell r="Y7552"/>
        </row>
        <row r="7553">
          <cell r="V7553"/>
          <cell r="W7553"/>
          <cell r="X7553"/>
          <cell r="Y7553"/>
        </row>
        <row r="7554">
          <cell r="V7554"/>
          <cell r="W7554"/>
          <cell r="X7554"/>
          <cell r="Y7554"/>
        </row>
        <row r="7555">
          <cell r="V7555"/>
          <cell r="W7555"/>
          <cell r="X7555"/>
          <cell r="Y7555"/>
        </row>
        <row r="7556">
          <cell r="V7556"/>
          <cell r="W7556"/>
          <cell r="X7556"/>
          <cell r="Y7556"/>
        </row>
        <row r="7557">
          <cell r="V7557"/>
          <cell r="W7557"/>
          <cell r="X7557"/>
          <cell r="Y7557"/>
        </row>
        <row r="7558">
          <cell r="V7558"/>
          <cell r="W7558"/>
          <cell r="X7558"/>
          <cell r="Y7558"/>
        </row>
        <row r="7559">
          <cell r="V7559"/>
          <cell r="W7559"/>
          <cell r="X7559"/>
          <cell r="Y7559"/>
        </row>
        <row r="7560">
          <cell r="V7560"/>
          <cell r="W7560"/>
          <cell r="X7560"/>
          <cell r="Y7560"/>
        </row>
        <row r="7561">
          <cell r="V7561"/>
          <cell r="W7561"/>
          <cell r="X7561"/>
          <cell r="Y7561"/>
        </row>
        <row r="7562">
          <cell r="V7562"/>
          <cell r="W7562"/>
          <cell r="X7562"/>
          <cell r="Y7562"/>
        </row>
        <row r="7563">
          <cell r="V7563"/>
          <cell r="W7563"/>
          <cell r="X7563"/>
          <cell r="Y7563"/>
        </row>
        <row r="7564">
          <cell r="V7564"/>
          <cell r="W7564"/>
          <cell r="X7564"/>
          <cell r="Y7564"/>
        </row>
        <row r="7565">
          <cell r="V7565"/>
          <cell r="W7565"/>
          <cell r="X7565"/>
          <cell r="Y7565"/>
        </row>
        <row r="7566">
          <cell r="V7566"/>
          <cell r="W7566"/>
          <cell r="X7566"/>
          <cell r="Y7566"/>
        </row>
        <row r="7567">
          <cell r="V7567"/>
          <cell r="W7567"/>
          <cell r="X7567"/>
          <cell r="Y7567"/>
        </row>
        <row r="7568">
          <cell r="V7568"/>
          <cell r="W7568"/>
          <cell r="X7568"/>
          <cell r="Y7568"/>
        </row>
        <row r="7569">
          <cell r="V7569"/>
          <cell r="W7569"/>
          <cell r="X7569"/>
          <cell r="Y7569"/>
        </row>
        <row r="7570">
          <cell r="V7570"/>
          <cell r="W7570"/>
          <cell r="X7570"/>
          <cell r="Y7570"/>
        </row>
        <row r="7571">
          <cell r="V7571"/>
          <cell r="W7571"/>
          <cell r="X7571"/>
          <cell r="Y7571"/>
        </row>
        <row r="7572">
          <cell r="V7572"/>
          <cell r="W7572"/>
          <cell r="X7572"/>
          <cell r="Y7572"/>
        </row>
        <row r="7573">
          <cell r="V7573"/>
          <cell r="W7573"/>
          <cell r="X7573"/>
          <cell r="Y7573"/>
        </row>
        <row r="7574">
          <cell r="V7574"/>
          <cell r="W7574"/>
          <cell r="X7574"/>
          <cell r="Y7574"/>
        </row>
        <row r="7575">
          <cell r="V7575"/>
          <cell r="W7575"/>
          <cell r="X7575"/>
          <cell r="Y7575"/>
        </row>
        <row r="7576">
          <cell r="V7576"/>
          <cell r="W7576"/>
          <cell r="X7576"/>
          <cell r="Y7576"/>
        </row>
        <row r="7577">
          <cell r="V7577"/>
          <cell r="W7577"/>
          <cell r="X7577"/>
          <cell r="Y7577"/>
        </row>
        <row r="7578">
          <cell r="V7578"/>
          <cell r="W7578"/>
          <cell r="X7578"/>
          <cell r="Y7578"/>
        </row>
        <row r="7579">
          <cell r="V7579"/>
          <cell r="W7579"/>
          <cell r="X7579"/>
          <cell r="Y7579"/>
        </row>
        <row r="7580">
          <cell r="V7580"/>
          <cell r="W7580"/>
          <cell r="X7580"/>
          <cell r="Y7580"/>
        </row>
        <row r="7581">
          <cell r="V7581"/>
          <cell r="W7581"/>
          <cell r="X7581"/>
          <cell r="Y7581"/>
        </row>
        <row r="7582">
          <cell r="V7582"/>
          <cell r="W7582"/>
          <cell r="X7582"/>
          <cell r="Y7582"/>
        </row>
        <row r="7583">
          <cell r="V7583"/>
          <cell r="W7583"/>
          <cell r="X7583"/>
          <cell r="Y7583"/>
        </row>
        <row r="7584">
          <cell r="V7584"/>
          <cell r="W7584"/>
          <cell r="X7584"/>
          <cell r="Y7584"/>
        </row>
        <row r="7585">
          <cell r="V7585"/>
          <cell r="W7585"/>
          <cell r="X7585"/>
          <cell r="Y7585"/>
        </row>
        <row r="7586">
          <cell r="V7586"/>
          <cell r="W7586"/>
          <cell r="X7586"/>
          <cell r="Y7586"/>
        </row>
        <row r="7587">
          <cell r="V7587"/>
          <cell r="W7587"/>
          <cell r="X7587"/>
          <cell r="Y7587"/>
        </row>
        <row r="7588">
          <cell r="V7588"/>
          <cell r="W7588"/>
          <cell r="X7588"/>
          <cell r="Y7588"/>
        </row>
        <row r="7589">
          <cell r="V7589"/>
          <cell r="W7589"/>
          <cell r="X7589"/>
          <cell r="Y7589"/>
        </row>
        <row r="7590">
          <cell r="V7590"/>
          <cell r="W7590"/>
          <cell r="X7590"/>
          <cell r="Y7590"/>
        </row>
        <row r="7591">
          <cell r="V7591"/>
          <cell r="W7591"/>
          <cell r="X7591"/>
          <cell r="Y7591"/>
        </row>
        <row r="7592">
          <cell r="V7592"/>
          <cell r="W7592"/>
          <cell r="X7592"/>
          <cell r="Y7592"/>
        </row>
        <row r="7593">
          <cell r="V7593"/>
          <cell r="W7593"/>
          <cell r="X7593"/>
          <cell r="Y7593"/>
        </row>
        <row r="7594">
          <cell r="V7594"/>
          <cell r="W7594"/>
          <cell r="X7594"/>
          <cell r="Y7594"/>
        </row>
        <row r="7595">
          <cell r="V7595"/>
          <cell r="W7595"/>
          <cell r="X7595"/>
          <cell r="Y7595"/>
        </row>
        <row r="7596">
          <cell r="V7596"/>
          <cell r="W7596"/>
          <cell r="X7596"/>
          <cell r="Y7596"/>
        </row>
        <row r="7597">
          <cell r="V7597"/>
          <cell r="W7597"/>
          <cell r="X7597"/>
          <cell r="Y7597"/>
        </row>
        <row r="7598">
          <cell r="V7598"/>
          <cell r="W7598"/>
          <cell r="X7598"/>
          <cell r="Y7598"/>
        </row>
        <row r="7599">
          <cell r="V7599"/>
          <cell r="W7599"/>
          <cell r="X7599"/>
          <cell r="Y7599"/>
        </row>
        <row r="7600">
          <cell r="V7600"/>
          <cell r="W7600"/>
          <cell r="X7600"/>
          <cell r="Y7600"/>
        </row>
        <row r="7601">
          <cell r="V7601"/>
          <cell r="W7601"/>
          <cell r="X7601"/>
          <cell r="Y7601"/>
        </row>
        <row r="7602">
          <cell r="V7602"/>
          <cell r="W7602"/>
          <cell r="X7602"/>
          <cell r="Y7602"/>
        </row>
        <row r="7603">
          <cell r="V7603"/>
          <cell r="W7603"/>
          <cell r="X7603"/>
          <cell r="Y7603"/>
        </row>
        <row r="7604">
          <cell r="V7604"/>
          <cell r="W7604"/>
          <cell r="X7604"/>
          <cell r="Y7604"/>
        </row>
        <row r="7605">
          <cell r="V7605"/>
          <cell r="W7605"/>
          <cell r="X7605"/>
          <cell r="Y7605"/>
        </row>
        <row r="7606">
          <cell r="V7606"/>
          <cell r="W7606"/>
          <cell r="X7606"/>
          <cell r="Y7606"/>
        </row>
        <row r="7607">
          <cell r="V7607"/>
          <cell r="W7607"/>
          <cell r="X7607"/>
          <cell r="Y7607"/>
        </row>
        <row r="7608">
          <cell r="V7608"/>
          <cell r="W7608"/>
          <cell r="X7608"/>
          <cell r="Y7608"/>
        </row>
        <row r="7609">
          <cell r="V7609"/>
          <cell r="W7609"/>
          <cell r="X7609"/>
          <cell r="Y7609"/>
        </row>
        <row r="7610">
          <cell r="V7610"/>
          <cell r="W7610"/>
          <cell r="X7610"/>
          <cell r="Y7610"/>
        </row>
        <row r="7611">
          <cell r="V7611"/>
          <cell r="W7611"/>
          <cell r="X7611"/>
          <cell r="Y7611"/>
        </row>
        <row r="7612">
          <cell r="V7612"/>
          <cell r="W7612"/>
          <cell r="X7612"/>
          <cell r="Y7612"/>
        </row>
        <row r="7613">
          <cell r="V7613"/>
          <cell r="W7613"/>
          <cell r="X7613"/>
          <cell r="Y7613"/>
        </row>
        <row r="7614">
          <cell r="V7614"/>
          <cell r="W7614"/>
          <cell r="X7614"/>
          <cell r="Y7614"/>
        </row>
        <row r="7615">
          <cell r="V7615"/>
          <cell r="W7615"/>
          <cell r="X7615"/>
          <cell r="Y7615"/>
        </row>
        <row r="7616">
          <cell r="V7616"/>
          <cell r="W7616"/>
          <cell r="X7616"/>
          <cell r="Y7616"/>
        </row>
        <row r="7617">
          <cell r="V7617"/>
          <cell r="W7617"/>
          <cell r="X7617"/>
          <cell r="Y7617"/>
        </row>
        <row r="7618">
          <cell r="V7618"/>
          <cell r="W7618"/>
          <cell r="X7618"/>
          <cell r="Y7618"/>
        </row>
        <row r="7619">
          <cell r="V7619"/>
          <cell r="W7619"/>
          <cell r="X7619"/>
          <cell r="Y7619"/>
        </row>
        <row r="7620">
          <cell r="V7620"/>
          <cell r="W7620"/>
          <cell r="X7620"/>
          <cell r="Y7620"/>
        </row>
        <row r="7621">
          <cell r="V7621"/>
          <cell r="W7621"/>
          <cell r="X7621"/>
          <cell r="Y7621"/>
        </row>
        <row r="7622">
          <cell r="V7622"/>
          <cell r="W7622"/>
          <cell r="X7622"/>
          <cell r="Y7622"/>
        </row>
        <row r="7623">
          <cell r="V7623"/>
          <cell r="W7623"/>
          <cell r="X7623"/>
          <cell r="Y7623"/>
        </row>
        <row r="7624">
          <cell r="V7624"/>
          <cell r="W7624"/>
          <cell r="X7624"/>
          <cell r="Y7624"/>
        </row>
        <row r="7625">
          <cell r="V7625"/>
          <cell r="W7625"/>
          <cell r="X7625"/>
          <cell r="Y7625"/>
        </row>
        <row r="7626">
          <cell r="V7626"/>
          <cell r="W7626"/>
          <cell r="X7626"/>
          <cell r="Y7626"/>
        </row>
        <row r="7627">
          <cell r="V7627"/>
          <cell r="W7627"/>
          <cell r="X7627"/>
          <cell r="Y7627"/>
        </row>
        <row r="7628">
          <cell r="V7628"/>
          <cell r="W7628"/>
          <cell r="X7628"/>
          <cell r="Y7628"/>
        </row>
        <row r="7629">
          <cell r="V7629"/>
          <cell r="W7629"/>
          <cell r="X7629"/>
          <cell r="Y7629"/>
        </row>
        <row r="7630">
          <cell r="V7630"/>
          <cell r="W7630"/>
          <cell r="X7630"/>
          <cell r="Y7630"/>
        </row>
        <row r="7631">
          <cell r="V7631"/>
          <cell r="W7631"/>
          <cell r="X7631"/>
          <cell r="Y7631"/>
        </row>
        <row r="7632">
          <cell r="V7632"/>
          <cell r="W7632"/>
          <cell r="X7632"/>
          <cell r="Y7632"/>
        </row>
        <row r="7633">
          <cell r="V7633"/>
          <cell r="W7633"/>
          <cell r="X7633"/>
          <cell r="Y7633"/>
        </row>
        <row r="7634">
          <cell r="V7634"/>
          <cell r="W7634"/>
          <cell r="X7634"/>
          <cell r="Y7634"/>
        </row>
        <row r="7635">
          <cell r="V7635"/>
          <cell r="W7635"/>
          <cell r="X7635"/>
          <cell r="Y7635"/>
        </row>
        <row r="7636">
          <cell r="V7636"/>
          <cell r="W7636"/>
          <cell r="X7636"/>
          <cell r="Y7636"/>
        </row>
        <row r="7637">
          <cell r="V7637"/>
          <cell r="W7637"/>
          <cell r="X7637"/>
          <cell r="Y7637"/>
        </row>
        <row r="7638">
          <cell r="V7638"/>
          <cell r="W7638"/>
          <cell r="X7638"/>
          <cell r="Y7638"/>
        </row>
        <row r="7639">
          <cell r="V7639"/>
          <cell r="W7639"/>
          <cell r="X7639"/>
          <cell r="Y7639"/>
        </row>
        <row r="7640">
          <cell r="V7640"/>
          <cell r="W7640"/>
          <cell r="X7640"/>
          <cell r="Y7640"/>
        </row>
        <row r="7641">
          <cell r="V7641"/>
          <cell r="W7641"/>
          <cell r="X7641"/>
          <cell r="Y7641"/>
        </row>
        <row r="7642">
          <cell r="V7642"/>
          <cell r="W7642"/>
          <cell r="X7642"/>
          <cell r="Y7642"/>
        </row>
        <row r="7643">
          <cell r="V7643"/>
          <cell r="W7643"/>
          <cell r="X7643"/>
          <cell r="Y7643"/>
        </row>
        <row r="7644">
          <cell r="V7644"/>
          <cell r="W7644"/>
          <cell r="X7644"/>
          <cell r="Y7644"/>
        </row>
        <row r="7645">
          <cell r="V7645"/>
          <cell r="W7645"/>
          <cell r="X7645"/>
          <cell r="Y7645"/>
        </row>
        <row r="7646">
          <cell r="V7646"/>
          <cell r="W7646"/>
          <cell r="X7646"/>
          <cell r="Y7646"/>
        </row>
        <row r="7647">
          <cell r="V7647"/>
          <cell r="W7647"/>
          <cell r="X7647"/>
          <cell r="Y7647"/>
        </row>
        <row r="7648">
          <cell r="V7648"/>
          <cell r="W7648"/>
          <cell r="X7648"/>
          <cell r="Y7648"/>
        </row>
        <row r="7649">
          <cell r="V7649"/>
          <cell r="W7649"/>
          <cell r="X7649"/>
          <cell r="Y7649"/>
        </row>
        <row r="7650">
          <cell r="V7650"/>
          <cell r="W7650"/>
          <cell r="X7650"/>
          <cell r="Y7650"/>
        </row>
        <row r="7651">
          <cell r="V7651"/>
          <cell r="W7651"/>
          <cell r="X7651"/>
          <cell r="Y7651"/>
        </row>
        <row r="7652">
          <cell r="V7652"/>
          <cell r="W7652"/>
          <cell r="X7652"/>
          <cell r="Y7652"/>
        </row>
        <row r="7653">
          <cell r="V7653"/>
          <cell r="W7653"/>
          <cell r="X7653"/>
          <cell r="Y7653"/>
        </row>
        <row r="7654">
          <cell r="V7654"/>
          <cell r="W7654"/>
          <cell r="X7654"/>
          <cell r="Y7654"/>
        </row>
        <row r="7655">
          <cell r="V7655"/>
          <cell r="W7655"/>
          <cell r="X7655"/>
          <cell r="Y7655"/>
        </row>
        <row r="7656">
          <cell r="V7656"/>
          <cell r="W7656"/>
          <cell r="X7656"/>
          <cell r="Y7656"/>
        </row>
        <row r="7657">
          <cell r="V7657"/>
          <cell r="W7657"/>
          <cell r="X7657"/>
          <cell r="Y7657"/>
        </row>
        <row r="7658">
          <cell r="V7658"/>
          <cell r="W7658"/>
          <cell r="X7658"/>
          <cell r="Y7658"/>
        </row>
        <row r="7659">
          <cell r="V7659"/>
          <cell r="W7659"/>
          <cell r="X7659"/>
          <cell r="Y7659"/>
        </row>
        <row r="7660">
          <cell r="V7660"/>
          <cell r="W7660"/>
          <cell r="X7660"/>
          <cell r="Y7660"/>
        </row>
        <row r="7661">
          <cell r="V7661"/>
          <cell r="W7661"/>
          <cell r="X7661"/>
          <cell r="Y7661"/>
        </row>
        <row r="7662">
          <cell r="V7662"/>
          <cell r="W7662"/>
          <cell r="X7662"/>
          <cell r="Y7662"/>
        </row>
        <row r="7663">
          <cell r="V7663"/>
          <cell r="W7663"/>
          <cell r="X7663"/>
          <cell r="Y7663"/>
        </row>
        <row r="7664">
          <cell r="V7664"/>
          <cell r="W7664"/>
          <cell r="X7664"/>
          <cell r="Y7664"/>
        </row>
        <row r="7665">
          <cell r="V7665"/>
          <cell r="W7665"/>
          <cell r="X7665"/>
          <cell r="Y7665"/>
        </row>
        <row r="7666">
          <cell r="V7666"/>
          <cell r="W7666"/>
          <cell r="X7666"/>
          <cell r="Y7666"/>
        </row>
        <row r="7667">
          <cell r="V7667"/>
          <cell r="W7667"/>
          <cell r="X7667"/>
          <cell r="Y7667"/>
        </row>
        <row r="7668">
          <cell r="V7668"/>
          <cell r="W7668"/>
          <cell r="X7668"/>
          <cell r="Y7668"/>
        </row>
        <row r="7669">
          <cell r="V7669"/>
          <cell r="W7669"/>
          <cell r="X7669"/>
          <cell r="Y7669"/>
        </row>
        <row r="7670">
          <cell r="V7670"/>
          <cell r="W7670"/>
          <cell r="X7670"/>
          <cell r="Y7670"/>
        </row>
        <row r="7671">
          <cell r="V7671"/>
          <cell r="W7671"/>
          <cell r="X7671"/>
          <cell r="Y7671"/>
        </row>
        <row r="7672">
          <cell r="V7672"/>
          <cell r="W7672"/>
          <cell r="X7672"/>
          <cell r="Y7672"/>
        </row>
        <row r="7673">
          <cell r="V7673"/>
          <cell r="W7673"/>
          <cell r="X7673"/>
          <cell r="Y7673"/>
        </row>
        <row r="7674">
          <cell r="V7674"/>
          <cell r="W7674"/>
          <cell r="X7674"/>
          <cell r="Y7674"/>
        </row>
        <row r="7675">
          <cell r="V7675"/>
          <cell r="W7675"/>
          <cell r="X7675"/>
          <cell r="Y7675"/>
        </row>
        <row r="7676">
          <cell r="V7676"/>
          <cell r="W7676"/>
          <cell r="X7676"/>
          <cell r="Y7676"/>
        </row>
        <row r="7677">
          <cell r="V7677"/>
          <cell r="W7677"/>
          <cell r="X7677"/>
          <cell r="Y7677"/>
        </row>
        <row r="7678">
          <cell r="V7678"/>
          <cell r="W7678"/>
          <cell r="X7678"/>
          <cell r="Y7678"/>
        </row>
        <row r="7679">
          <cell r="V7679"/>
          <cell r="W7679"/>
          <cell r="X7679"/>
          <cell r="Y7679"/>
        </row>
        <row r="7680">
          <cell r="V7680"/>
          <cell r="W7680"/>
          <cell r="X7680"/>
          <cell r="Y7680"/>
        </row>
        <row r="7681">
          <cell r="V7681"/>
          <cell r="W7681"/>
          <cell r="X7681"/>
          <cell r="Y7681"/>
        </row>
        <row r="7682">
          <cell r="V7682"/>
          <cell r="W7682"/>
          <cell r="X7682"/>
          <cell r="Y7682"/>
        </row>
        <row r="7683">
          <cell r="V7683"/>
          <cell r="W7683"/>
          <cell r="X7683"/>
          <cell r="Y7683"/>
        </row>
        <row r="7684">
          <cell r="V7684"/>
          <cell r="W7684"/>
          <cell r="X7684"/>
          <cell r="Y7684"/>
        </row>
        <row r="7685">
          <cell r="V7685"/>
          <cell r="W7685"/>
          <cell r="X7685"/>
          <cell r="Y7685"/>
        </row>
        <row r="7686">
          <cell r="V7686"/>
          <cell r="W7686"/>
          <cell r="X7686"/>
          <cell r="Y7686"/>
        </row>
        <row r="7687">
          <cell r="V7687"/>
          <cell r="W7687"/>
          <cell r="X7687"/>
          <cell r="Y7687"/>
        </row>
        <row r="7688">
          <cell r="V7688"/>
          <cell r="W7688"/>
          <cell r="X7688"/>
          <cell r="Y7688"/>
        </row>
        <row r="7689">
          <cell r="V7689"/>
          <cell r="W7689"/>
          <cell r="X7689"/>
          <cell r="Y7689"/>
        </row>
        <row r="7690">
          <cell r="V7690"/>
          <cell r="W7690"/>
          <cell r="X7690"/>
          <cell r="Y7690"/>
        </row>
        <row r="7691">
          <cell r="V7691"/>
          <cell r="W7691"/>
          <cell r="X7691"/>
          <cell r="Y7691"/>
        </row>
        <row r="7692">
          <cell r="V7692"/>
          <cell r="W7692"/>
          <cell r="X7692"/>
          <cell r="Y7692"/>
        </row>
        <row r="7693">
          <cell r="V7693"/>
          <cell r="W7693"/>
          <cell r="X7693"/>
          <cell r="Y7693"/>
        </row>
        <row r="7694">
          <cell r="V7694"/>
          <cell r="W7694"/>
          <cell r="X7694"/>
          <cell r="Y7694"/>
        </row>
        <row r="7695">
          <cell r="V7695"/>
          <cell r="W7695"/>
          <cell r="X7695"/>
          <cell r="Y7695"/>
        </row>
        <row r="7696">
          <cell r="V7696"/>
          <cell r="W7696"/>
          <cell r="X7696"/>
          <cell r="Y7696"/>
        </row>
        <row r="7697">
          <cell r="V7697"/>
          <cell r="W7697"/>
          <cell r="X7697"/>
          <cell r="Y7697"/>
        </row>
        <row r="7698">
          <cell r="V7698"/>
          <cell r="W7698"/>
          <cell r="X7698"/>
          <cell r="Y7698"/>
        </row>
        <row r="7699">
          <cell r="V7699"/>
          <cell r="W7699"/>
          <cell r="X7699"/>
          <cell r="Y7699"/>
        </row>
        <row r="7700">
          <cell r="V7700"/>
          <cell r="W7700"/>
          <cell r="X7700"/>
          <cell r="Y7700"/>
        </row>
        <row r="7701">
          <cell r="V7701"/>
          <cell r="W7701"/>
          <cell r="X7701"/>
          <cell r="Y7701"/>
        </row>
        <row r="7702">
          <cell r="V7702"/>
          <cell r="W7702"/>
          <cell r="X7702"/>
          <cell r="Y7702"/>
        </row>
        <row r="7703">
          <cell r="V7703"/>
          <cell r="W7703"/>
          <cell r="X7703"/>
          <cell r="Y7703"/>
        </row>
        <row r="7704">
          <cell r="V7704"/>
          <cell r="W7704"/>
          <cell r="X7704"/>
          <cell r="Y7704"/>
        </row>
        <row r="7705">
          <cell r="V7705"/>
          <cell r="W7705"/>
          <cell r="X7705"/>
          <cell r="Y7705"/>
        </row>
        <row r="7706">
          <cell r="V7706"/>
          <cell r="W7706"/>
          <cell r="X7706"/>
          <cell r="Y7706"/>
        </row>
        <row r="7707">
          <cell r="V7707"/>
          <cell r="W7707"/>
          <cell r="X7707"/>
          <cell r="Y7707"/>
        </row>
        <row r="7708">
          <cell r="V7708"/>
          <cell r="W7708"/>
          <cell r="X7708"/>
          <cell r="Y7708"/>
        </row>
        <row r="7709">
          <cell r="V7709"/>
          <cell r="W7709"/>
          <cell r="X7709"/>
          <cell r="Y7709"/>
        </row>
        <row r="7710">
          <cell r="V7710"/>
          <cell r="W7710"/>
          <cell r="X7710"/>
          <cell r="Y7710"/>
        </row>
        <row r="7711">
          <cell r="V7711"/>
          <cell r="W7711"/>
          <cell r="X7711"/>
          <cell r="Y7711"/>
        </row>
        <row r="7712">
          <cell r="V7712"/>
          <cell r="W7712"/>
          <cell r="X7712"/>
          <cell r="Y7712"/>
        </row>
        <row r="7713">
          <cell r="V7713"/>
          <cell r="W7713"/>
          <cell r="X7713"/>
          <cell r="Y7713"/>
        </row>
        <row r="7714">
          <cell r="V7714"/>
          <cell r="W7714"/>
          <cell r="X7714"/>
          <cell r="Y7714"/>
        </row>
        <row r="7715">
          <cell r="V7715"/>
          <cell r="W7715"/>
          <cell r="X7715"/>
          <cell r="Y7715"/>
        </row>
        <row r="7716">
          <cell r="V7716"/>
          <cell r="W7716"/>
          <cell r="X7716"/>
          <cell r="Y7716"/>
        </row>
        <row r="7717">
          <cell r="V7717"/>
          <cell r="W7717"/>
          <cell r="X7717"/>
          <cell r="Y7717"/>
        </row>
        <row r="7718">
          <cell r="V7718"/>
          <cell r="W7718"/>
          <cell r="X7718"/>
          <cell r="Y7718"/>
        </row>
        <row r="7719">
          <cell r="V7719"/>
          <cell r="W7719"/>
          <cell r="X7719"/>
          <cell r="Y7719"/>
        </row>
        <row r="7720">
          <cell r="V7720"/>
          <cell r="W7720"/>
          <cell r="X7720"/>
          <cell r="Y7720"/>
        </row>
        <row r="7721">
          <cell r="V7721"/>
          <cell r="W7721"/>
          <cell r="X7721"/>
          <cell r="Y7721"/>
        </row>
        <row r="7722">
          <cell r="V7722"/>
          <cell r="W7722"/>
          <cell r="X7722"/>
          <cell r="Y7722"/>
        </row>
        <row r="7723">
          <cell r="V7723"/>
          <cell r="W7723"/>
          <cell r="X7723"/>
          <cell r="Y7723"/>
        </row>
        <row r="7724">
          <cell r="V7724"/>
          <cell r="W7724"/>
          <cell r="X7724"/>
          <cell r="Y7724"/>
        </row>
        <row r="7725">
          <cell r="V7725"/>
          <cell r="W7725"/>
          <cell r="X7725"/>
          <cell r="Y7725"/>
        </row>
        <row r="7726">
          <cell r="V7726"/>
          <cell r="W7726"/>
          <cell r="X7726"/>
          <cell r="Y7726"/>
        </row>
        <row r="7727">
          <cell r="V7727"/>
          <cell r="W7727"/>
          <cell r="X7727"/>
          <cell r="Y7727"/>
        </row>
        <row r="7728">
          <cell r="V7728"/>
          <cell r="W7728"/>
          <cell r="X7728"/>
          <cell r="Y7728"/>
        </row>
        <row r="7729">
          <cell r="V7729"/>
          <cell r="W7729"/>
          <cell r="X7729"/>
          <cell r="Y7729"/>
        </row>
        <row r="7730">
          <cell r="V7730"/>
          <cell r="W7730"/>
          <cell r="X7730"/>
          <cell r="Y7730"/>
        </row>
        <row r="7731">
          <cell r="V7731"/>
          <cell r="W7731"/>
          <cell r="X7731"/>
          <cell r="Y7731"/>
        </row>
        <row r="7732">
          <cell r="V7732"/>
          <cell r="W7732"/>
          <cell r="X7732"/>
          <cell r="Y7732"/>
        </row>
        <row r="7733">
          <cell r="V7733"/>
          <cell r="W7733"/>
          <cell r="X7733"/>
          <cell r="Y7733"/>
        </row>
        <row r="7734">
          <cell r="V7734"/>
          <cell r="W7734"/>
          <cell r="X7734"/>
          <cell r="Y7734"/>
        </row>
        <row r="7735">
          <cell r="V7735"/>
          <cell r="W7735"/>
          <cell r="X7735"/>
          <cell r="Y7735"/>
        </row>
        <row r="7736">
          <cell r="V7736"/>
          <cell r="W7736"/>
          <cell r="X7736"/>
          <cell r="Y7736"/>
        </row>
        <row r="7737">
          <cell r="V7737"/>
          <cell r="W7737"/>
          <cell r="X7737"/>
          <cell r="Y7737"/>
        </row>
        <row r="7738">
          <cell r="V7738"/>
          <cell r="W7738"/>
          <cell r="X7738"/>
          <cell r="Y7738"/>
        </row>
        <row r="7739">
          <cell r="V7739"/>
          <cell r="W7739"/>
          <cell r="X7739"/>
          <cell r="Y7739"/>
        </row>
        <row r="7740">
          <cell r="V7740"/>
          <cell r="W7740"/>
          <cell r="X7740"/>
          <cell r="Y7740"/>
        </row>
        <row r="7741">
          <cell r="V7741"/>
          <cell r="W7741"/>
          <cell r="X7741"/>
          <cell r="Y7741"/>
        </row>
        <row r="7742">
          <cell r="V7742"/>
          <cell r="W7742"/>
          <cell r="X7742"/>
          <cell r="Y7742"/>
        </row>
        <row r="7743">
          <cell r="V7743"/>
          <cell r="W7743"/>
          <cell r="X7743"/>
          <cell r="Y7743"/>
        </row>
        <row r="7744">
          <cell r="V7744"/>
          <cell r="W7744"/>
          <cell r="X7744"/>
          <cell r="Y7744"/>
        </row>
        <row r="7745">
          <cell r="V7745"/>
          <cell r="W7745"/>
          <cell r="X7745"/>
          <cell r="Y7745"/>
        </row>
        <row r="7746">
          <cell r="V7746"/>
          <cell r="W7746"/>
          <cell r="X7746"/>
          <cell r="Y7746"/>
        </row>
        <row r="7747">
          <cell r="V7747"/>
          <cell r="W7747"/>
          <cell r="X7747"/>
          <cell r="Y7747"/>
        </row>
        <row r="7748">
          <cell r="V7748"/>
          <cell r="W7748"/>
          <cell r="X7748"/>
          <cell r="Y7748"/>
        </row>
        <row r="7749">
          <cell r="V7749"/>
          <cell r="W7749"/>
          <cell r="X7749"/>
          <cell r="Y7749"/>
        </row>
        <row r="7750">
          <cell r="V7750"/>
          <cell r="W7750"/>
          <cell r="X7750"/>
          <cell r="Y7750"/>
        </row>
        <row r="7751">
          <cell r="V7751"/>
          <cell r="W7751"/>
          <cell r="X7751"/>
          <cell r="Y7751"/>
        </row>
        <row r="7752">
          <cell r="V7752"/>
          <cell r="W7752"/>
          <cell r="X7752"/>
          <cell r="Y7752"/>
        </row>
        <row r="7753">
          <cell r="V7753"/>
          <cell r="W7753"/>
          <cell r="X7753"/>
          <cell r="Y7753"/>
        </row>
        <row r="7754">
          <cell r="V7754"/>
          <cell r="W7754"/>
          <cell r="X7754"/>
          <cell r="Y7754"/>
        </row>
        <row r="7755">
          <cell r="V7755"/>
          <cell r="W7755"/>
          <cell r="X7755"/>
          <cell r="Y7755"/>
        </row>
        <row r="7756">
          <cell r="V7756"/>
          <cell r="W7756"/>
          <cell r="X7756"/>
          <cell r="Y7756"/>
        </row>
        <row r="7757">
          <cell r="V7757"/>
          <cell r="W7757"/>
          <cell r="X7757"/>
          <cell r="Y7757"/>
        </row>
        <row r="7758">
          <cell r="V7758"/>
          <cell r="W7758"/>
          <cell r="X7758"/>
          <cell r="Y7758"/>
        </row>
        <row r="7759">
          <cell r="V7759"/>
          <cell r="W7759"/>
          <cell r="X7759"/>
          <cell r="Y7759"/>
        </row>
        <row r="7760">
          <cell r="V7760"/>
          <cell r="W7760"/>
          <cell r="X7760"/>
          <cell r="Y7760"/>
        </row>
        <row r="7761">
          <cell r="V7761"/>
          <cell r="W7761"/>
          <cell r="X7761"/>
          <cell r="Y7761"/>
        </row>
        <row r="7762">
          <cell r="V7762"/>
          <cell r="W7762"/>
          <cell r="X7762"/>
          <cell r="Y7762"/>
        </row>
        <row r="7763">
          <cell r="V7763"/>
          <cell r="W7763"/>
          <cell r="X7763"/>
          <cell r="Y7763"/>
        </row>
        <row r="7764">
          <cell r="V7764"/>
          <cell r="W7764"/>
          <cell r="X7764"/>
          <cell r="Y7764"/>
        </row>
        <row r="7765">
          <cell r="V7765"/>
          <cell r="W7765"/>
          <cell r="X7765"/>
          <cell r="Y7765"/>
        </row>
        <row r="7766">
          <cell r="V7766"/>
          <cell r="W7766"/>
          <cell r="X7766"/>
          <cell r="Y7766"/>
        </row>
        <row r="7767">
          <cell r="V7767"/>
          <cell r="W7767"/>
          <cell r="X7767"/>
          <cell r="Y7767"/>
        </row>
        <row r="7768">
          <cell r="V7768"/>
          <cell r="W7768"/>
          <cell r="X7768"/>
          <cell r="Y7768"/>
        </row>
        <row r="7769">
          <cell r="V7769"/>
          <cell r="W7769"/>
          <cell r="X7769"/>
          <cell r="Y7769"/>
        </row>
        <row r="7770">
          <cell r="V7770"/>
          <cell r="W7770"/>
          <cell r="X7770"/>
          <cell r="Y7770"/>
        </row>
        <row r="7771">
          <cell r="V7771"/>
          <cell r="W7771"/>
          <cell r="X7771"/>
          <cell r="Y7771"/>
        </row>
        <row r="7772">
          <cell r="V7772"/>
          <cell r="W7772"/>
          <cell r="X7772"/>
          <cell r="Y7772"/>
        </row>
        <row r="7773">
          <cell r="V7773"/>
          <cell r="W7773"/>
          <cell r="X7773"/>
          <cell r="Y7773"/>
        </row>
        <row r="7774">
          <cell r="V7774"/>
          <cell r="W7774"/>
          <cell r="X7774"/>
          <cell r="Y7774"/>
        </row>
        <row r="7775">
          <cell r="V7775"/>
          <cell r="W7775"/>
          <cell r="X7775"/>
          <cell r="Y7775"/>
        </row>
        <row r="7776">
          <cell r="V7776"/>
          <cell r="W7776"/>
          <cell r="X7776"/>
          <cell r="Y7776"/>
        </row>
        <row r="7777">
          <cell r="V7777"/>
          <cell r="W7777"/>
          <cell r="X7777"/>
          <cell r="Y7777"/>
        </row>
        <row r="7778">
          <cell r="V7778"/>
          <cell r="W7778"/>
          <cell r="X7778"/>
          <cell r="Y7778"/>
        </row>
        <row r="7779">
          <cell r="V7779"/>
          <cell r="W7779"/>
          <cell r="X7779"/>
          <cell r="Y7779"/>
        </row>
        <row r="7780">
          <cell r="V7780"/>
          <cell r="W7780"/>
          <cell r="X7780"/>
          <cell r="Y7780"/>
        </row>
        <row r="7781">
          <cell r="V7781"/>
          <cell r="W7781"/>
          <cell r="X7781"/>
          <cell r="Y7781"/>
        </row>
        <row r="7782">
          <cell r="V7782"/>
          <cell r="W7782"/>
          <cell r="X7782"/>
          <cell r="Y7782"/>
        </row>
        <row r="7783">
          <cell r="V7783"/>
          <cell r="W7783"/>
          <cell r="X7783"/>
          <cell r="Y7783"/>
        </row>
        <row r="7784">
          <cell r="V7784"/>
          <cell r="W7784"/>
          <cell r="X7784"/>
          <cell r="Y7784"/>
        </row>
        <row r="7785">
          <cell r="V7785"/>
          <cell r="W7785"/>
          <cell r="X7785"/>
          <cell r="Y7785"/>
        </row>
        <row r="7786">
          <cell r="V7786"/>
          <cell r="W7786"/>
          <cell r="X7786"/>
          <cell r="Y7786"/>
        </row>
        <row r="7787">
          <cell r="V7787"/>
          <cell r="W7787"/>
          <cell r="X7787"/>
          <cell r="Y7787"/>
        </row>
        <row r="7788">
          <cell r="V7788"/>
          <cell r="W7788"/>
          <cell r="X7788"/>
          <cell r="Y7788"/>
        </row>
        <row r="7789">
          <cell r="V7789"/>
          <cell r="W7789"/>
          <cell r="X7789"/>
          <cell r="Y7789"/>
        </row>
        <row r="7790">
          <cell r="V7790"/>
          <cell r="W7790"/>
          <cell r="X7790"/>
          <cell r="Y7790"/>
        </row>
        <row r="7791">
          <cell r="V7791"/>
          <cell r="W7791"/>
          <cell r="X7791"/>
          <cell r="Y7791"/>
        </row>
        <row r="7792">
          <cell r="V7792"/>
          <cell r="W7792"/>
          <cell r="X7792"/>
          <cell r="Y7792"/>
        </row>
        <row r="7793">
          <cell r="V7793"/>
          <cell r="W7793"/>
          <cell r="X7793"/>
          <cell r="Y7793"/>
        </row>
        <row r="7794">
          <cell r="V7794"/>
          <cell r="W7794"/>
          <cell r="X7794"/>
          <cell r="Y7794"/>
        </row>
        <row r="7795">
          <cell r="V7795"/>
          <cell r="W7795"/>
          <cell r="X7795"/>
          <cell r="Y7795"/>
        </row>
        <row r="7796">
          <cell r="V7796"/>
          <cell r="W7796"/>
          <cell r="X7796"/>
          <cell r="Y7796"/>
        </row>
        <row r="7797">
          <cell r="V7797"/>
          <cell r="W7797"/>
          <cell r="X7797"/>
          <cell r="Y7797"/>
        </row>
        <row r="7798">
          <cell r="V7798"/>
          <cell r="W7798"/>
          <cell r="X7798"/>
          <cell r="Y7798"/>
        </row>
        <row r="7799">
          <cell r="V7799"/>
          <cell r="W7799"/>
          <cell r="X7799"/>
          <cell r="Y7799"/>
        </row>
        <row r="7800">
          <cell r="V7800"/>
          <cell r="W7800"/>
          <cell r="X7800"/>
          <cell r="Y7800"/>
        </row>
        <row r="7801">
          <cell r="V7801"/>
          <cell r="W7801"/>
          <cell r="X7801"/>
          <cell r="Y7801"/>
        </row>
        <row r="7802">
          <cell r="V7802"/>
          <cell r="W7802"/>
          <cell r="X7802"/>
          <cell r="Y7802"/>
        </row>
        <row r="7803">
          <cell r="V7803"/>
          <cell r="W7803"/>
          <cell r="X7803"/>
          <cell r="Y7803"/>
        </row>
        <row r="7804">
          <cell r="V7804"/>
          <cell r="W7804"/>
          <cell r="X7804"/>
          <cell r="Y7804"/>
        </row>
        <row r="7805">
          <cell r="V7805"/>
          <cell r="W7805"/>
          <cell r="X7805"/>
          <cell r="Y7805"/>
        </row>
        <row r="7806">
          <cell r="V7806"/>
          <cell r="W7806"/>
          <cell r="X7806"/>
          <cell r="Y7806"/>
        </row>
        <row r="7807">
          <cell r="V7807"/>
          <cell r="W7807"/>
          <cell r="X7807"/>
          <cell r="Y7807"/>
        </row>
        <row r="7808">
          <cell r="V7808"/>
          <cell r="W7808"/>
          <cell r="X7808"/>
          <cell r="Y7808"/>
        </row>
        <row r="7809">
          <cell r="V7809"/>
          <cell r="W7809"/>
          <cell r="X7809"/>
          <cell r="Y7809"/>
        </row>
        <row r="7810">
          <cell r="V7810"/>
          <cell r="W7810"/>
          <cell r="X7810"/>
          <cell r="Y7810"/>
        </row>
        <row r="7811">
          <cell r="V7811"/>
          <cell r="W7811"/>
          <cell r="X7811"/>
          <cell r="Y7811"/>
        </row>
        <row r="7812">
          <cell r="V7812"/>
          <cell r="W7812"/>
          <cell r="X7812"/>
          <cell r="Y7812"/>
        </row>
        <row r="7813">
          <cell r="V7813"/>
          <cell r="W7813"/>
          <cell r="X7813"/>
          <cell r="Y7813"/>
        </row>
        <row r="7814">
          <cell r="V7814"/>
          <cell r="W7814"/>
          <cell r="X7814"/>
          <cell r="Y7814"/>
        </row>
        <row r="7815">
          <cell r="V7815"/>
          <cell r="W7815"/>
          <cell r="X7815"/>
          <cell r="Y7815"/>
        </row>
        <row r="7816">
          <cell r="V7816"/>
          <cell r="W7816"/>
          <cell r="X7816"/>
          <cell r="Y7816"/>
        </row>
        <row r="7817">
          <cell r="V7817"/>
          <cell r="W7817"/>
          <cell r="X7817"/>
          <cell r="Y7817"/>
        </row>
        <row r="7818">
          <cell r="V7818"/>
          <cell r="W7818"/>
          <cell r="X7818"/>
          <cell r="Y7818"/>
        </row>
        <row r="7819">
          <cell r="V7819"/>
          <cell r="W7819"/>
          <cell r="X7819"/>
          <cell r="Y7819"/>
        </row>
        <row r="7820">
          <cell r="V7820"/>
          <cell r="W7820"/>
          <cell r="X7820"/>
          <cell r="Y7820"/>
        </row>
        <row r="7821">
          <cell r="V7821"/>
          <cell r="W7821"/>
          <cell r="X7821"/>
          <cell r="Y7821"/>
        </row>
        <row r="7822">
          <cell r="V7822"/>
          <cell r="W7822"/>
          <cell r="X7822"/>
          <cell r="Y7822"/>
        </row>
        <row r="7823">
          <cell r="V7823"/>
          <cell r="W7823"/>
          <cell r="X7823"/>
          <cell r="Y7823"/>
        </row>
        <row r="7824">
          <cell r="V7824"/>
          <cell r="W7824"/>
          <cell r="X7824"/>
          <cell r="Y7824"/>
        </row>
        <row r="7825">
          <cell r="V7825"/>
          <cell r="W7825"/>
          <cell r="X7825"/>
          <cell r="Y7825"/>
        </row>
        <row r="7826">
          <cell r="V7826"/>
          <cell r="W7826"/>
          <cell r="X7826"/>
          <cell r="Y7826"/>
        </row>
        <row r="7827">
          <cell r="V7827"/>
          <cell r="W7827"/>
          <cell r="X7827"/>
          <cell r="Y7827"/>
        </row>
        <row r="7828">
          <cell r="V7828"/>
          <cell r="W7828"/>
          <cell r="X7828"/>
          <cell r="Y7828"/>
        </row>
        <row r="7829">
          <cell r="V7829"/>
          <cell r="W7829"/>
          <cell r="X7829"/>
          <cell r="Y7829"/>
        </row>
        <row r="7830">
          <cell r="V7830"/>
          <cell r="W7830"/>
          <cell r="X7830"/>
          <cell r="Y7830"/>
        </row>
        <row r="7831">
          <cell r="V7831"/>
          <cell r="W7831"/>
          <cell r="X7831"/>
          <cell r="Y7831"/>
        </row>
        <row r="7832">
          <cell r="V7832"/>
          <cell r="W7832"/>
          <cell r="X7832"/>
          <cell r="Y7832"/>
        </row>
        <row r="7833">
          <cell r="V7833"/>
          <cell r="W7833"/>
          <cell r="X7833"/>
          <cell r="Y7833"/>
        </row>
        <row r="7834">
          <cell r="V7834"/>
          <cell r="W7834"/>
          <cell r="X7834"/>
          <cell r="Y7834"/>
        </row>
        <row r="7835">
          <cell r="V7835"/>
          <cell r="W7835"/>
          <cell r="X7835"/>
          <cell r="Y7835"/>
        </row>
        <row r="7836">
          <cell r="V7836"/>
          <cell r="W7836"/>
          <cell r="X7836"/>
          <cell r="Y7836"/>
        </row>
        <row r="7837">
          <cell r="V7837"/>
          <cell r="W7837"/>
          <cell r="X7837"/>
          <cell r="Y7837"/>
        </row>
        <row r="7838">
          <cell r="V7838"/>
          <cell r="W7838"/>
          <cell r="X7838"/>
          <cell r="Y7838"/>
        </row>
        <row r="7839">
          <cell r="V7839"/>
          <cell r="W7839"/>
          <cell r="X7839"/>
          <cell r="Y7839"/>
        </row>
        <row r="7840">
          <cell r="V7840"/>
          <cell r="W7840"/>
          <cell r="X7840"/>
          <cell r="Y7840"/>
        </row>
        <row r="7841">
          <cell r="V7841"/>
          <cell r="W7841"/>
          <cell r="X7841"/>
          <cell r="Y7841"/>
        </row>
        <row r="7842">
          <cell r="V7842"/>
          <cell r="W7842"/>
          <cell r="X7842"/>
          <cell r="Y7842"/>
        </row>
        <row r="7843">
          <cell r="V7843"/>
          <cell r="W7843"/>
          <cell r="X7843"/>
          <cell r="Y7843"/>
        </row>
        <row r="7844">
          <cell r="V7844"/>
          <cell r="W7844"/>
          <cell r="X7844"/>
          <cell r="Y7844"/>
        </row>
        <row r="7845">
          <cell r="V7845"/>
          <cell r="W7845"/>
          <cell r="X7845"/>
          <cell r="Y7845"/>
        </row>
        <row r="7846">
          <cell r="V7846"/>
          <cell r="W7846"/>
          <cell r="X7846"/>
          <cell r="Y7846"/>
        </row>
        <row r="7847">
          <cell r="V7847"/>
          <cell r="W7847"/>
          <cell r="X7847"/>
          <cell r="Y7847"/>
        </row>
        <row r="7848">
          <cell r="V7848"/>
          <cell r="W7848"/>
          <cell r="X7848"/>
          <cell r="Y7848"/>
        </row>
        <row r="7849">
          <cell r="V7849"/>
          <cell r="W7849"/>
          <cell r="X7849"/>
          <cell r="Y7849"/>
        </row>
        <row r="7850">
          <cell r="V7850"/>
          <cell r="W7850"/>
          <cell r="X7850"/>
          <cell r="Y7850"/>
        </row>
        <row r="7851">
          <cell r="V7851"/>
          <cell r="W7851"/>
          <cell r="X7851"/>
          <cell r="Y7851"/>
        </row>
        <row r="7852">
          <cell r="V7852"/>
          <cell r="W7852"/>
          <cell r="X7852"/>
          <cell r="Y7852"/>
        </row>
        <row r="7853">
          <cell r="V7853"/>
          <cell r="W7853"/>
          <cell r="X7853"/>
          <cell r="Y7853"/>
        </row>
        <row r="7854">
          <cell r="V7854"/>
          <cell r="W7854"/>
          <cell r="X7854"/>
          <cell r="Y7854"/>
        </row>
        <row r="7855">
          <cell r="V7855"/>
          <cell r="W7855"/>
          <cell r="X7855"/>
          <cell r="Y7855"/>
        </row>
        <row r="7856">
          <cell r="V7856"/>
          <cell r="W7856"/>
          <cell r="X7856"/>
          <cell r="Y7856"/>
        </row>
        <row r="7857">
          <cell r="V7857"/>
          <cell r="W7857"/>
          <cell r="X7857"/>
          <cell r="Y7857"/>
        </row>
        <row r="7858">
          <cell r="V7858"/>
          <cell r="W7858"/>
          <cell r="X7858"/>
          <cell r="Y7858"/>
        </row>
        <row r="7859">
          <cell r="V7859"/>
          <cell r="W7859"/>
          <cell r="X7859"/>
          <cell r="Y7859"/>
        </row>
        <row r="7860">
          <cell r="V7860"/>
          <cell r="W7860"/>
          <cell r="X7860"/>
          <cell r="Y7860"/>
        </row>
        <row r="7861">
          <cell r="V7861"/>
          <cell r="W7861"/>
          <cell r="X7861"/>
          <cell r="Y7861"/>
        </row>
        <row r="7862">
          <cell r="V7862"/>
          <cell r="W7862"/>
          <cell r="X7862"/>
          <cell r="Y7862"/>
        </row>
        <row r="7863">
          <cell r="V7863"/>
          <cell r="W7863"/>
          <cell r="X7863"/>
          <cell r="Y7863"/>
        </row>
        <row r="7864">
          <cell r="V7864"/>
          <cell r="W7864"/>
          <cell r="X7864"/>
          <cell r="Y7864"/>
        </row>
        <row r="7865">
          <cell r="V7865"/>
          <cell r="W7865"/>
          <cell r="X7865"/>
          <cell r="Y7865"/>
        </row>
        <row r="7866">
          <cell r="V7866"/>
          <cell r="W7866"/>
          <cell r="X7866"/>
          <cell r="Y7866"/>
        </row>
        <row r="7867">
          <cell r="V7867"/>
          <cell r="W7867"/>
          <cell r="X7867"/>
          <cell r="Y7867"/>
        </row>
        <row r="7868">
          <cell r="V7868"/>
          <cell r="W7868"/>
          <cell r="X7868"/>
          <cell r="Y7868"/>
        </row>
        <row r="7869">
          <cell r="V7869"/>
          <cell r="W7869"/>
          <cell r="X7869"/>
          <cell r="Y7869"/>
        </row>
        <row r="7870">
          <cell r="V7870"/>
          <cell r="W7870"/>
          <cell r="X7870"/>
          <cell r="Y7870"/>
        </row>
        <row r="7871">
          <cell r="V7871"/>
          <cell r="W7871"/>
          <cell r="X7871"/>
          <cell r="Y7871"/>
        </row>
        <row r="7872">
          <cell r="V7872"/>
          <cell r="W7872"/>
          <cell r="X7872"/>
          <cell r="Y7872"/>
        </row>
        <row r="7873">
          <cell r="V7873"/>
          <cell r="W7873"/>
          <cell r="X7873"/>
          <cell r="Y7873"/>
        </row>
        <row r="7874">
          <cell r="V7874"/>
          <cell r="W7874"/>
          <cell r="X7874"/>
          <cell r="Y7874"/>
        </row>
        <row r="7875">
          <cell r="V7875"/>
          <cell r="W7875"/>
          <cell r="X7875"/>
          <cell r="Y7875"/>
        </row>
        <row r="7876">
          <cell r="V7876"/>
          <cell r="W7876"/>
          <cell r="X7876"/>
          <cell r="Y7876"/>
        </row>
        <row r="7877">
          <cell r="V7877"/>
          <cell r="W7877"/>
          <cell r="X7877"/>
          <cell r="Y7877"/>
        </row>
        <row r="7878">
          <cell r="V7878"/>
          <cell r="W7878"/>
          <cell r="X7878"/>
          <cell r="Y7878"/>
        </row>
        <row r="7879">
          <cell r="V7879"/>
          <cell r="W7879"/>
          <cell r="X7879"/>
          <cell r="Y7879"/>
        </row>
        <row r="7880">
          <cell r="V7880"/>
          <cell r="W7880"/>
          <cell r="X7880"/>
          <cell r="Y7880"/>
        </row>
        <row r="7881">
          <cell r="V7881"/>
          <cell r="W7881"/>
          <cell r="X7881"/>
          <cell r="Y7881"/>
        </row>
        <row r="7882">
          <cell r="V7882"/>
          <cell r="W7882"/>
          <cell r="X7882"/>
          <cell r="Y7882"/>
        </row>
        <row r="7883">
          <cell r="V7883"/>
          <cell r="W7883"/>
          <cell r="X7883"/>
          <cell r="Y7883"/>
        </row>
        <row r="7884">
          <cell r="V7884"/>
          <cell r="W7884"/>
          <cell r="X7884"/>
          <cell r="Y7884"/>
        </row>
        <row r="7885">
          <cell r="V7885"/>
          <cell r="W7885"/>
          <cell r="X7885"/>
          <cell r="Y7885"/>
        </row>
        <row r="7886">
          <cell r="V7886"/>
          <cell r="W7886"/>
          <cell r="X7886"/>
          <cell r="Y7886"/>
        </row>
        <row r="7887">
          <cell r="V7887"/>
          <cell r="W7887"/>
          <cell r="X7887"/>
          <cell r="Y7887"/>
        </row>
        <row r="7888">
          <cell r="V7888"/>
          <cell r="W7888"/>
          <cell r="X7888"/>
          <cell r="Y7888"/>
        </row>
        <row r="7889">
          <cell r="V7889"/>
          <cell r="W7889"/>
          <cell r="X7889"/>
          <cell r="Y7889"/>
        </row>
        <row r="7890">
          <cell r="V7890"/>
          <cell r="W7890"/>
          <cell r="X7890"/>
          <cell r="Y7890"/>
        </row>
        <row r="7891">
          <cell r="V7891"/>
          <cell r="W7891"/>
          <cell r="X7891"/>
          <cell r="Y7891"/>
        </row>
        <row r="7892">
          <cell r="V7892"/>
          <cell r="W7892"/>
          <cell r="X7892"/>
          <cell r="Y7892"/>
        </row>
        <row r="7893">
          <cell r="V7893"/>
          <cell r="W7893"/>
          <cell r="X7893"/>
          <cell r="Y7893"/>
        </row>
        <row r="7894">
          <cell r="V7894"/>
          <cell r="W7894"/>
          <cell r="X7894"/>
          <cell r="Y7894"/>
        </row>
        <row r="7895">
          <cell r="V7895"/>
          <cell r="W7895"/>
          <cell r="X7895"/>
          <cell r="Y7895"/>
        </row>
        <row r="7896">
          <cell r="V7896"/>
          <cell r="W7896"/>
          <cell r="X7896"/>
          <cell r="Y7896"/>
        </row>
        <row r="7897">
          <cell r="V7897"/>
          <cell r="W7897"/>
          <cell r="X7897"/>
          <cell r="Y7897"/>
        </row>
        <row r="7898">
          <cell r="V7898"/>
          <cell r="W7898"/>
          <cell r="X7898"/>
          <cell r="Y7898"/>
        </row>
        <row r="7899">
          <cell r="V7899"/>
          <cell r="W7899"/>
          <cell r="X7899"/>
          <cell r="Y7899"/>
        </row>
        <row r="7900">
          <cell r="V7900"/>
          <cell r="W7900"/>
          <cell r="X7900"/>
          <cell r="Y7900"/>
        </row>
        <row r="7901">
          <cell r="V7901"/>
          <cell r="W7901"/>
          <cell r="X7901"/>
          <cell r="Y7901"/>
        </row>
        <row r="7902">
          <cell r="V7902"/>
          <cell r="W7902"/>
          <cell r="X7902"/>
          <cell r="Y7902"/>
        </row>
        <row r="7903">
          <cell r="V7903"/>
          <cell r="W7903"/>
          <cell r="X7903"/>
          <cell r="Y7903"/>
        </row>
        <row r="7904">
          <cell r="V7904"/>
          <cell r="W7904"/>
          <cell r="X7904"/>
          <cell r="Y7904"/>
        </row>
        <row r="7905">
          <cell r="V7905"/>
          <cell r="W7905"/>
          <cell r="X7905"/>
          <cell r="Y7905"/>
        </row>
        <row r="7906">
          <cell r="V7906"/>
          <cell r="W7906"/>
          <cell r="X7906"/>
          <cell r="Y7906"/>
        </row>
        <row r="7907">
          <cell r="V7907"/>
          <cell r="W7907"/>
          <cell r="X7907"/>
          <cell r="Y7907"/>
        </row>
        <row r="7908">
          <cell r="V7908"/>
          <cell r="W7908"/>
          <cell r="X7908"/>
          <cell r="Y7908"/>
        </row>
        <row r="7909">
          <cell r="V7909"/>
          <cell r="W7909"/>
          <cell r="X7909"/>
          <cell r="Y7909"/>
        </row>
        <row r="7910">
          <cell r="V7910"/>
          <cell r="W7910"/>
          <cell r="X7910"/>
          <cell r="Y7910"/>
        </row>
        <row r="7911">
          <cell r="V7911"/>
          <cell r="W7911"/>
          <cell r="X7911"/>
          <cell r="Y7911"/>
        </row>
        <row r="7912">
          <cell r="V7912"/>
          <cell r="W7912"/>
          <cell r="X7912"/>
          <cell r="Y7912"/>
        </row>
        <row r="7913">
          <cell r="V7913"/>
          <cell r="W7913"/>
          <cell r="X7913"/>
          <cell r="Y7913"/>
        </row>
        <row r="7914">
          <cell r="V7914"/>
          <cell r="W7914"/>
          <cell r="X7914"/>
          <cell r="Y7914"/>
        </row>
        <row r="7915">
          <cell r="V7915"/>
          <cell r="W7915"/>
          <cell r="X7915"/>
          <cell r="Y7915"/>
        </row>
        <row r="7916">
          <cell r="V7916"/>
          <cell r="W7916"/>
          <cell r="X7916"/>
          <cell r="Y7916"/>
        </row>
        <row r="7917">
          <cell r="V7917"/>
          <cell r="W7917"/>
          <cell r="X7917"/>
          <cell r="Y7917"/>
        </row>
        <row r="7918">
          <cell r="V7918"/>
          <cell r="W7918"/>
          <cell r="X7918"/>
          <cell r="Y7918"/>
        </row>
        <row r="7919">
          <cell r="V7919"/>
          <cell r="W7919"/>
          <cell r="X7919"/>
          <cell r="Y7919"/>
        </row>
        <row r="7920">
          <cell r="V7920"/>
          <cell r="W7920"/>
          <cell r="X7920"/>
          <cell r="Y7920"/>
        </row>
        <row r="7921">
          <cell r="V7921"/>
          <cell r="W7921"/>
          <cell r="X7921"/>
          <cell r="Y7921"/>
        </row>
        <row r="7922">
          <cell r="V7922"/>
          <cell r="W7922"/>
          <cell r="X7922"/>
          <cell r="Y7922"/>
        </row>
        <row r="7923">
          <cell r="V7923"/>
          <cell r="W7923"/>
          <cell r="X7923"/>
          <cell r="Y7923"/>
        </row>
        <row r="7924">
          <cell r="V7924"/>
          <cell r="W7924"/>
          <cell r="X7924"/>
          <cell r="Y7924"/>
        </row>
        <row r="7925">
          <cell r="V7925"/>
          <cell r="W7925"/>
          <cell r="X7925"/>
          <cell r="Y7925"/>
        </row>
        <row r="7926">
          <cell r="V7926"/>
          <cell r="W7926"/>
          <cell r="X7926"/>
          <cell r="Y7926"/>
        </row>
        <row r="7927">
          <cell r="V7927"/>
          <cell r="W7927"/>
          <cell r="X7927"/>
          <cell r="Y7927"/>
        </row>
        <row r="7928">
          <cell r="V7928"/>
          <cell r="W7928"/>
          <cell r="X7928"/>
          <cell r="Y7928"/>
        </row>
        <row r="7929">
          <cell r="V7929"/>
          <cell r="W7929"/>
          <cell r="X7929"/>
          <cell r="Y7929"/>
        </row>
        <row r="7930">
          <cell r="V7930"/>
          <cell r="W7930"/>
          <cell r="X7930"/>
          <cell r="Y7930"/>
        </row>
        <row r="7931">
          <cell r="V7931"/>
          <cell r="W7931"/>
          <cell r="X7931"/>
          <cell r="Y7931"/>
        </row>
        <row r="7932">
          <cell r="V7932"/>
          <cell r="W7932"/>
          <cell r="X7932"/>
          <cell r="Y7932"/>
        </row>
        <row r="7933">
          <cell r="V7933"/>
          <cell r="W7933"/>
          <cell r="X7933"/>
          <cell r="Y7933"/>
        </row>
        <row r="7934">
          <cell r="V7934"/>
          <cell r="W7934"/>
          <cell r="X7934"/>
          <cell r="Y7934"/>
        </row>
        <row r="7935">
          <cell r="V7935"/>
          <cell r="W7935"/>
          <cell r="X7935"/>
          <cell r="Y7935"/>
        </row>
        <row r="7936">
          <cell r="V7936"/>
          <cell r="W7936"/>
          <cell r="X7936"/>
          <cell r="Y7936"/>
        </row>
        <row r="7937">
          <cell r="V7937"/>
          <cell r="W7937"/>
          <cell r="X7937"/>
          <cell r="Y7937"/>
        </row>
        <row r="7938">
          <cell r="V7938"/>
          <cell r="W7938"/>
          <cell r="X7938"/>
          <cell r="Y7938"/>
        </row>
        <row r="7939">
          <cell r="V7939"/>
          <cell r="W7939"/>
          <cell r="X7939"/>
          <cell r="Y7939"/>
        </row>
        <row r="7940">
          <cell r="V7940"/>
          <cell r="W7940"/>
          <cell r="X7940"/>
          <cell r="Y7940"/>
        </row>
        <row r="7941">
          <cell r="V7941"/>
          <cell r="W7941"/>
          <cell r="X7941"/>
          <cell r="Y7941"/>
        </row>
        <row r="7942">
          <cell r="V7942"/>
          <cell r="W7942"/>
          <cell r="X7942"/>
          <cell r="Y7942"/>
        </row>
        <row r="7943">
          <cell r="V7943"/>
          <cell r="W7943"/>
          <cell r="X7943"/>
          <cell r="Y7943"/>
        </row>
        <row r="7944">
          <cell r="V7944"/>
          <cell r="W7944"/>
          <cell r="X7944"/>
          <cell r="Y7944"/>
        </row>
        <row r="7945">
          <cell r="V7945"/>
          <cell r="W7945"/>
          <cell r="X7945"/>
          <cell r="Y7945"/>
        </row>
        <row r="7946">
          <cell r="V7946"/>
          <cell r="W7946"/>
          <cell r="X7946"/>
          <cell r="Y7946"/>
        </row>
        <row r="7947">
          <cell r="V7947"/>
          <cell r="W7947"/>
          <cell r="X7947"/>
          <cell r="Y7947"/>
        </row>
        <row r="7948">
          <cell r="V7948"/>
          <cell r="W7948"/>
          <cell r="X7948"/>
          <cell r="Y7948"/>
        </row>
        <row r="7949">
          <cell r="V7949"/>
          <cell r="W7949"/>
          <cell r="X7949"/>
          <cell r="Y7949"/>
        </row>
        <row r="7950">
          <cell r="V7950"/>
          <cell r="W7950"/>
          <cell r="X7950"/>
          <cell r="Y7950"/>
        </row>
        <row r="7951">
          <cell r="V7951"/>
          <cell r="W7951"/>
          <cell r="X7951"/>
          <cell r="Y7951"/>
        </row>
        <row r="7952">
          <cell r="V7952"/>
          <cell r="W7952"/>
          <cell r="X7952"/>
          <cell r="Y7952"/>
        </row>
        <row r="7953">
          <cell r="V7953"/>
          <cell r="W7953"/>
          <cell r="X7953"/>
          <cell r="Y7953"/>
        </row>
        <row r="7954">
          <cell r="V7954"/>
          <cell r="W7954"/>
          <cell r="X7954"/>
          <cell r="Y7954"/>
        </row>
        <row r="7955">
          <cell r="V7955"/>
          <cell r="W7955"/>
          <cell r="X7955"/>
          <cell r="Y7955"/>
        </row>
        <row r="7956">
          <cell r="V7956"/>
          <cell r="W7956"/>
          <cell r="X7956"/>
          <cell r="Y7956"/>
        </row>
        <row r="7957">
          <cell r="V7957"/>
          <cell r="W7957"/>
          <cell r="X7957"/>
          <cell r="Y7957"/>
        </row>
        <row r="7958">
          <cell r="V7958"/>
          <cell r="W7958"/>
          <cell r="X7958"/>
          <cell r="Y7958"/>
        </row>
        <row r="7959">
          <cell r="V7959"/>
          <cell r="W7959"/>
          <cell r="X7959"/>
          <cell r="Y7959"/>
        </row>
        <row r="7960">
          <cell r="V7960"/>
          <cell r="W7960"/>
          <cell r="X7960"/>
          <cell r="Y7960"/>
        </row>
        <row r="7961">
          <cell r="V7961"/>
          <cell r="W7961"/>
          <cell r="X7961"/>
          <cell r="Y7961"/>
        </row>
        <row r="7962">
          <cell r="V7962"/>
          <cell r="W7962"/>
          <cell r="X7962"/>
          <cell r="Y7962"/>
        </row>
        <row r="7963">
          <cell r="V7963"/>
          <cell r="W7963"/>
          <cell r="X7963"/>
          <cell r="Y7963"/>
        </row>
        <row r="7964">
          <cell r="V7964"/>
          <cell r="W7964"/>
          <cell r="X7964"/>
          <cell r="Y7964"/>
        </row>
        <row r="7965">
          <cell r="V7965"/>
          <cell r="W7965"/>
          <cell r="X7965"/>
          <cell r="Y7965"/>
        </row>
        <row r="7966">
          <cell r="V7966"/>
          <cell r="W7966"/>
          <cell r="X7966"/>
          <cell r="Y7966"/>
        </row>
        <row r="7967">
          <cell r="V7967"/>
          <cell r="W7967"/>
          <cell r="X7967"/>
          <cell r="Y7967"/>
        </row>
        <row r="7968">
          <cell r="V7968"/>
          <cell r="W7968"/>
          <cell r="X7968"/>
          <cell r="Y7968"/>
        </row>
        <row r="7969">
          <cell r="V7969"/>
          <cell r="W7969"/>
          <cell r="X7969"/>
          <cell r="Y7969"/>
        </row>
        <row r="7970">
          <cell r="V7970"/>
          <cell r="W7970"/>
          <cell r="X7970"/>
          <cell r="Y7970"/>
        </row>
        <row r="7971">
          <cell r="V7971"/>
          <cell r="W7971"/>
          <cell r="X7971"/>
          <cell r="Y7971"/>
        </row>
        <row r="7972">
          <cell r="V7972"/>
          <cell r="W7972"/>
          <cell r="X7972"/>
          <cell r="Y7972"/>
        </row>
        <row r="7973">
          <cell r="V7973"/>
          <cell r="W7973"/>
          <cell r="X7973"/>
          <cell r="Y7973"/>
        </row>
        <row r="7974">
          <cell r="V7974"/>
          <cell r="W7974"/>
          <cell r="X7974"/>
          <cell r="Y7974"/>
        </row>
        <row r="7975">
          <cell r="V7975"/>
          <cell r="W7975"/>
          <cell r="X7975"/>
          <cell r="Y7975"/>
        </row>
        <row r="7976">
          <cell r="V7976"/>
          <cell r="W7976"/>
          <cell r="X7976"/>
          <cell r="Y7976"/>
        </row>
        <row r="7977">
          <cell r="V7977"/>
          <cell r="W7977"/>
          <cell r="X7977"/>
          <cell r="Y7977"/>
        </row>
        <row r="7978">
          <cell r="V7978"/>
          <cell r="W7978"/>
          <cell r="X7978"/>
          <cell r="Y7978"/>
        </row>
        <row r="7979">
          <cell r="V7979"/>
          <cell r="W7979"/>
          <cell r="X7979"/>
          <cell r="Y7979"/>
        </row>
        <row r="7980">
          <cell r="V7980"/>
          <cell r="W7980"/>
          <cell r="X7980"/>
          <cell r="Y7980"/>
        </row>
        <row r="7981">
          <cell r="V7981"/>
          <cell r="W7981"/>
          <cell r="X7981"/>
          <cell r="Y7981"/>
        </row>
        <row r="7982">
          <cell r="V7982"/>
          <cell r="W7982"/>
          <cell r="X7982"/>
          <cell r="Y7982"/>
        </row>
        <row r="7983">
          <cell r="V7983"/>
          <cell r="W7983"/>
          <cell r="X7983"/>
          <cell r="Y7983"/>
        </row>
        <row r="7984">
          <cell r="V7984"/>
          <cell r="W7984"/>
          <cell r="X7984"/>
          <cell r="Y7984"/>
        </row>
        <row r="7985">
          <cell r="V7985"/>
          <cell r="W7985"/>
          <cell r="X7985"/>
          <cell r="Y7985"/>
        </row>
        <row r="7986">
          <cell r="V7986"/>
          <cell r="W7986"/>
          <cell r="X7986"/>
          <cell r="Y7986"/>
        </row>
        <row r="7987">
          <cell r="V7987"/>
          <cell r="W7987"/>
          <cell r="X7987"/>
          <cell r="Y7987"/>
        </row>
        <row r="7988">
          <cell r="V7988"/>
          <cell r="W7988"/>
          <cell r="X7988"/>
          <cell r="Y7988"/>
        </row>
        <row r="7989">
          <cell r="V7989"/>
          <cell r="W7989"/>
          <cell r="X7989"/>
          <cell r="Y7989"/>
        </row>
        <row r="7990">
          <cell r="V7990"/>
          <cell r="W7990"/>
          <cell r="X7990"/>
          <cell r="Y7990"/>
        </row>
        <row r="7991">
          <cell r="V7991"/>
          <cell r="W7991"/>
          <cell r="X7991"/>
          <cell r="Y7991"/>
        </row>
        <row r="7992">
          <cell r="V7992"/>
          <cell r="W7992"/>
          <cell r="X7992"/>
          <cell r="Y7992"/>
        </row>
        <row r="7993">
          <cell r="V7993"/>
          <cell r="W7993"/>
          <cell r="X7993"/>
          <cell r="Y7993"/>
        </row>
        <row r="7994">
          <cell r="V7994"/>
          <cell r="W7994"/>
          <cell r="X7994"/>
          <cell r="Y7994"/>
        </row>
        <row r="7995">
          <cell r="V7995"/>
          <cell r="W7995"/>
          <cell r="X7995"/>
          <cell r="Y7995"/>
        </row>
        <row r="7996">
          <cell r="V7996"/>
          <cell r="W7996"/>
          <cell r="X7996"/>
          <cell r="Y7996"/>
        </row>
        <row r="7997">
          <cell r="V7997"/>
          <cell r="W7997"/>
          <cell r="X7997"/>
          <cell r="Y7997"/>
        </row>
        <row r="7998">
          <cell r="V7998"/>
          <cell r="W7998"/>
          <cell r="X7998"/>
          <cell r="Y7998"/>
        </row>
        <row r="7999">
          <cell r="V7999"/>
          <cell r="W7999"/>
          <cell r="X7999"/>
          <cell r="Y7999"/>
        </row>
        <row r="8000">
          <cell r="V8000"/>
          <cell r="W8000"/>
          <cell r="X8000"/>
          <cell r="Y8000"/>
        </row>
        <row r="8001">
          <cell r="V8001"/>
          <cell r="W8001"/>
          <cell r="X8001"/>
          <cell r="Y8001"/>
        </row>
        <row r="8002">
          <cell r="V8002"/>
          <cell r="W8002"/>
          <cell r="X8002"/>
          <cell r="Y8002"/>
        </row>
        <row r="8003">
          <cell r="V8003"/>
          <cell r="W8003"/>
          <cell r="X8003"/>
          <cell r="Y8003"/>
        </row>
        <row r="8004">
          <cell r="V8004"/>
          <cell r="W8004"/>
          <cell r="X8004"/>
          <cell r="Y8004"/>
        </row>
        <row r="8005">
          <cell r="V8005"/>
          <cell r="W8005"/>
          <cell r="X8005"/>
          <cell r="Y8005"/>
        </row>
        <row r="8006">
          <cell r="V8006"/>
          <cell r="W8006"/>
          <cell r="X8006"/>
          <cell r="Y8006"/>
        </row>
        <row r="8007">
          <cell r="V8007"/>
          <cell r="W8007"/>
          <cell r="X8007"/>
          <cell r="Y8007"/>
        </row>
        <row r="8008">
          <cell r="V8008"/>
          <cell r="W8008"/>
          <cell r="X8008"/>
          <cell r="Y8008"/>
        </row>
        <row r="8009">
          <cell r="V8009"/>
          <cell r="W8009"/>
          <cell r="X8009"/>
          <cell r="Y8009"/>
        </row>
        <row r="8010">
          <cell r="V8010"/>
          <cell r="W8010"/>
          <cell r="X8010"/>
          <cell r="Y8010"/>
        </row>
        <row r="8011">
          <cell r="V8011"/>
          <cell r="W8011"/>
          <cell r="X8011"/>
          <cell r="Y8011"/>
        </row>
        <row r="8012">
          <cell r="V8012"/>
          <cell r="W8012"/>
          <cell r="X8012"/>
          <cell r="Y8012"/>
        </row>
        <row r="8013">
          <cell r="V8013"/>
          <cell r="W8013"/>
          <cell r="X8013"/>
          <cell r="Y8013"/>
        </row>
        <row r="8014">
          <cell r="V8014"/>
          <cell r="W8014"/>
          <cell r="X8014"/>
          <cell r="Y8014"/>
        </row>
        <row r="8015">
          <cell r="V8015"/>
          <cell r="W8015"/>
          <cell r="X8015"/>
          <cell r="Y8015"/>
        </row>
        <row r="8016">
          <cell r="V8016"/>
          <cell r="W8016"/>
          <cell r="X8016"/>
          <cell r="Y8016"/>
        </row>
        <row r="8017">
          <cell r="V8017"/>
          <cell r="W8017"/>
          <cell r="X8017"/>
          <cell r="Y8017"/>
        </row>
        <row r="8018">
          <cell r="V8018"/>
          <cell r="W8018"/>
          <cell r="X8018"/>
          <cell r="Y8018"/>
        </row>
        <row r="8019">
          <cell r="V8019"/>
          <cell r="W8019"/>
          <cell r="X8019"/>
          <cell r="Y8019"/>
        </row>
        <row r="8020">
          <cell r="V8020"/>
          <cell r="W8020"/>
          <cell r="X8020"/>
          <cell r="Y8020"/>
        </row>
        <row r="8021">
          <cell r="V8021"/>
          <cell r="W8021"/>
          <cell r="X8021"/>
          <cell r="Y8021"/>
        </row>
        <row r="8022">
          <cell r="V8022"/>
          <cell r="W8022"/>
          <cell r="X8022"/>
          <cell r="Y8022"/>
        </row>
        <row r="8023">
          <cell r="V8023"/>
          <cell r="W8023"/>
          <cell r="X8023"/>
          <cell r="Y8023"/>
        </row>
        <row r="8024">
          <cell r="V8024"/>
          <cell r="W8024"/>
          <cell r="X8024"/>
          <cell r="Y8024"/>
        </row>
        <row r="8025">
          <cell r="V8025"/>
          <cell r="W8025"/>
          <cell r="X8025"/>
          <cell r="Y8025"/>
        </row>
        <row r="8026">
          <cell r="V8026"/>
          <cell r="W8026"/>
          <cell r="X8026"/>
          <cell r="Y8026"/>
        </row>
        <row r="8027">
          <cell r="V8027"/>
          <cell r="W8027"/>
          <cell r="X8027"/>
          <cell r="Y8027"/>
        </row>
        <row r="8028">
          <cell r="V8028"/>
          <cell r="W8028"/>
          <cell r="X8028"/>
          <cell r="Y8028"/>
        </row>
        <row r="8029">
          <cell r="V8029"/>
          <cell r="W8029"/>
          <cell r="X8029"/>
          <cell r="Y8029"/>
        </row>
        <row r="8030">
          <cell r="V8030"/>
          <cell r="W8030"/>
          <cell r="X8030"/>
          <cell r="Y8030"/>
        </row>
        <row r="8031">
          <cell r="V8031"/>
          <cell r="W8031"/>
          <cell r="X8031"/>
          <cell r="Y8031"/>
        </row>
        <row r="8032">
          <cell r="V8032"/>
          <cell r="W8032"/>
          <cell r="X8032"/>
          <cell r="Y8032"/>
        </row>
        <row r="8033">
          <cell r="V8033"/>
          <cell r="W8033"/>
          <cell r="X8033"/>
          <cell r="Y8033"/>
        </row>
        <row r="8034">
          <cell r="V8034"/>
          <cell r="W8034"/>
          <cell r="X8034"/>
          <cell r="Y8034"/>
        </row>
        <row r="8035">
          <cell r="V8035"/>
          <cell r="W8035"/>
          <cell r="X8035"/>
          <cell r="Y8035"/>
        </row>
        <row r="8036">
          <cell r="V8036"/>
          <cell r="W8036"/>
          <cell r="X8036"/>
          <cell r="Y8036"/>
        </row>
        <row r="8037">
          <cell r="V8037"/>
          <cell r="W8037"/>
          <cell r="X8037"/>
          <cell r="Y8037"/>
        </row>
        <row r="8038">
          <cell r="V8038"/>
          <cell r="W8038"/>
          <cell r="X8038"/>
          <cell r="Y8038"/>
        </row>
        <row r="8039">
          <cell r="V8039"/>
          <cell r="W8039"/>
          <cell r="X8039"/>
          <cell r="Y8039"/>
        </row>
        <row r="8040">
          <cell r="V8040"/>
          <cell r="W8040"/>
          <cell r="X8040"/>
          <cell r="Y8040"/>
        </row>
        <row r="8041">
          <cell r="V8041"/>
          <cell r="W8041"/>
          <cell r="X8041"/>
          <cell r="Y8041"/>
        </row>
        <row r="8042">
          <cell r="V8042"/>
          <cell r="W8042"/>
          <cell r="X8042"/>
          <cell r="Y8042"/>
        </row>
        <row r="8043">
          <cell r="V8043"/>
          <cell r="W8043"/>
          <cell r="X8043"/>
          <cell r="Y8043"/>
        </row>
        <row r="8044">
          <cell r="V8044"/>
          <cell r="W8044"/>
          <cell r="X8044"/>
          <cell r="Y8044"/>
        </row>
        <row r="8045">
          <cell r="V8045"/>
          <cell r="W8045"/>
          <cell r="X8045"/>
          <cell r="Y8045"/>
        </row>
        <row r="8046">
          <cell r="V8046"/>
          <cell r="W8046"/>
          <cell r="X8046"/>
          <cell r="Y8046"/>
        </row>
        <row r="8047">
          <cell r="V8047"/>
          <cell r="W8047"/>
          <cell r="X8047"/>
          <cell r="Y8047"/>
        </row>
        <row r="8048">
          <cell r="V8048"/>
          <cell r="W8048"/>
          <cell r="X8048"/>
          <cell r="Y8048"/>
        </row>
        <row r="8049">
          <cell r="V8049"/>
          <cell r="W8049"/>
          <cell r="X8049"/>
          <cell r="Y8049"/>
        </row>
        <row r="8050">
          <cell r="V8050"/>
          <cell r="W8050"/>
          <cell r="X8050"/>
          <cell r="Y8050"/>
        </row>
        <row r="8051">
          <cell r="V8051"/>
          <cell r="W8051"/>
          <cell r="X8051"/>
          <cell r="Y8051"/>
        </row>
        <row r="8052">
          <cell r="V8052"/>
          <cell r="W8052"/>
          <cell r="X8052"/>
          <cell r="Y8052"/>
        </row>
        <row r="8053">
          <cell r="V8053"/>
          <cell r="W8053"/>
          <cell r="X8053"/>
          <cell r="Y8053"/>
        </row>
        <row r="8054">
          <cell r="V8054"/>
          <cell r="W8054"/>
          <cell r="X8054"/>
          <cell r="Y8054"/>
        </row>
        <row r="8055">
          <cell r="V8055"/>
          <cell r="W8055"/>
          <cell r="X8055"/>
          <cell r="Y8055"/>
        </row>
        <row r="8056">
          <cell r="V8056"/>
          <cell r="W8056"/>
          <cell r="X8056"/>
          <cell r="Y8056"/>
        </row>
        <row r="8057">
          <cell r="V8057"/>
          <cell r="W8057"/>
          <cell r="X8057"/>
          <cell r="Y8057"/>
        </row>
        <row r="8058">
          <cell r="V8058"/>
          <cell r="W8058"/>
          <cell r="X8058"/>
          <cell r="Y8058"/>
        </row>
        <row r="8059">
          <cell r="V8059"/>
          <cell r="W8059"/>
          <cell r="X8059"/>
          <cell r="Y8059"/>
        </row>
        <row r="8060">
          <cell r="V8060"/>
          <cell r="W8060"/>
          <cell r="X8060"/>
          <cell r="Y8060"/>
        </row>
        <row r="8061">
          <cell r="V8061"/>
          <cell r="W8061"/>
          <cell r="X8061"/>
          <cell r="Y8061"/>
        </row>
        <row r="8062">
          <cell r="V8062"/>
          <cell r="W8062"/>
          <cell r="X8062"/>
          <cell r="Y8062"/>
        </row>
        <row r="8063">
          <cell r="V8063"/>
          <cell r="W8063"/>
          <cell r="X8063"/>
          <cell r="Y8063"/>
        </row>
        <row r="8064">
          <cell r="V8064"/>
          <cell r="W8064"/>
          <cell r="X8064"/>
          <cell r="Y8064"/>
        </row>
        <row r="8065">
          <cell r="V8065"/>
          <cell r="W8065"/>
          <cell r="X8065"/>
          <cell r="Y8065"/>
        </row>
        <row r="8066">
          <cell r="V8066"/>
          <cell r="W8066"/>
          <cell r="X8066"/>
          <cell r="Y8066"/>
        </row>
        <row r="8067">
          <cell r="V8067"/>
          <cell r="W8067"/>
          <cell r="X8067"/>
          <cell r="Y8067"/>
        </row>
        <row r="8068">
          <cell r="V8068"/>
          <cell r="W8068"/>
          <cell r="X8068"/>
          <cell r="Y8068"/>
        </row>
        <row r="8069">
          <cell r="V8069"/>
          <cell r="W8069"/>
          <cell r="X8069"/>
          <cell r="Y8069"/>
        </row>
        <row r="8070">
          <cell r="V8070"/>
          <cell r="W8070"/>
          <cell r="X8070"/>
          <cell r="Y8070"/>
        </row>
        <row r="8071">
          <cell r="V8071"/>
          <cell r="W8071"/>
          <cell r="X8071"/>
          <cell r="Y8071"/>
        </row>
        <row r="8072">
          <cell r="V8072"/>
          <cell r="W8072"/>
          <cell r="X8072"/>
          <cell r="Y8072"/>
        </row>
        <row r="8073">
          <cell r="V8073"/>
          <cell r="W8073"/>
          <cell r="X8073"/>
          <cell r="Y8073"/>
        </row>
        <row r="8074">
          <cell r="V8074"/>
          <cell r="W8074"/>
          <cell r="X8074"/>
          <cell r="Y8074"/>
        </row>
        <row r="8075">
          <cell r="V8075"/>
          <cell r="W8075"/>
          <cell r="X8075"/>
          <cell r="Y8075"/>
        </row>
        <row r="8076">
          <cell r="V8076"/>
          <cell r="W8076"/>
          <cell r="X8076"/>
          <cell r="Y8076"/>
        </row>
        <row r="8077">
          <cell r="V8077"/>
          <cell r="W8077"/>
          <cell r="X8077"/>
          <cell r="Y8077"/>
        </row>
        <row r="8078">
          <cell r="V8078"/>
          <cell r="W8078"/>
          <cell r="X8078"/>
          <cell r="Y8078"/>
        </row>
        <row r="8079">
          <cell r="V8079"/>
          <cell r="W8079"/>
          <cell r="X8079"/>
          <cell r="Y8079"/>
        </row>
        <row r="8080">
          <cell r="V8080"/>
          <cell r="W8080"/>
          <cell r="X8080"/>
          <cell r="Y8080"/>
        </row>
        <row r="8081">
          <cell r="V8081"/>
          <cell r="W8081"/>
          <cell r="X8081"/>
          <cell r="Y8081"/>
        </row>
        <row r="8082">
          <cell r="V8082"/>
          <cell r="W8082"/>
          <cell r="X8082"/>
          <cell r="Y8082"/>
        </row>
        <row r="8083">
          <cell r="V8083"/>
          <cell r="W8083"/>
          <cell r="X8083"/>
          <cell r="Y8083"/>
        </row>
        <row r="8084">
          <cell r="V8084"/>
          <cell r="W8084"/>
          <cell r="X8084"/>
          <cell r="Y8084"/>
        </row>
        <row r="8085">
          <cell r="V8085"/>
          <cell r="W8085"/>
          <cell r="X8085"/>
          <cell r="Y8085"/>
        </row>
        <row r="8086">
          <cell r="V8086"/>
          <cell r="W8086"/>
          <cell r="X8086"/>
          <cell r="Y8086"/>
        </row>
        <row r="8087">
          <cell r="V8087"/>
          <cell r="W8087"/>
          <cell r="X8087"/>
          <cell r="Y8087"/>
        </row>
        <row r="8088">
          <cell r="V8088"/>
          <cell r="W8088"/>
          <cell r="X8088"/>
          <cell r="Y8088"/>
        </row>
        <row r="8089">
          <cell r="V8089"/>
          <cell r="W8089"/>
          <cell r="X8089"/>
          <cell r="Y8089"/>
        </row>
        <row r="8090">
          <cell r="V8090"/>
          <cell r="W8090"/>
          <cell r="X8090"/>
          <cell r="Y8090"/>
        </row>
        <row r="8091">
          <cell r="V8091"/>
          <cell r="W8091"/>
          <cell r="X8091"/>
          <cell r="Y8091"/>
        </row>
        <row r="8092">
          <cell r="V8092"/>
          <cell r="W8092"/>
          <cell r="X8092"/>
          <cell r="Y8092"/>
        </row>
        <row r="8093">
          <cell r="V8093"/>
          <cell r="W8093"/>
          <cell r="X8093"/>
          <cell r="Y8093"/>
        </row>
        <row r="8094">
          <cell r="V8094"/>
          <cell r="W8094"/>
          <cell r="X8094"/>
          <cell r="Y8094"/>
        </row>
        <row r="8095">
          <cell r="V8095"/>
          <cell r="W8095"/>
          <cell r="X8095"/>
          <cell r="Y8095"/>
        </row>
        <row r="8096">
          <cell r="V8096"/>
          <cell r="W8096"/>
          <cell r="X8096"/>
          <cell r="Y8096"/>
        </row>
        <row r="8097">
          <cell r="V8097"/>
          <cell r="W8097"/>
          <cell r="X8097"/>
          <cell r="Y8097"/>
        </row>
        <row r="8098">
          <cell r="V8098"/>
          <cell r="W8098"/>
          <cell r="X8098"/>
          <cell r="Y8098"/>
        </row>
        <row r="8099">
          <cell r="V8099"/>
          <cell r="W8099"/>
          <cell r="X8099"/>
          <cell r="Y8099"/>
        </row>
        <row r="8100">
          <cell r="V8100"/>
          <cell r="W8100"/>
          <cell r="X8100"/>
          <cell r="Y8100"/>
        </row>
        <row r="8101">
          <cell r="V8101"/>
          <cell r="W8101"/>
          <cell r="X8101"/>
          <cell r="Y8101"/>
        </row>
        <row r="8102">
          <cell r="V8102"/>
          <cell r="W8102"/>
          <cell r="X8102"/>
          <cell r="Y8102"/>
        </row>
        <row r="8103">
          <cell r="V8103"/>
          <cell r="W8103"/>
          <cell r="X8103"/>
          <cell r="Y8103"/>
        </row>
        <row r="8104">
          <cell r="V8104"/>
          <cell r="W8104"/>
          <cell r="X8104"/>
          <cell r="Y8104"/>
        </row>
        <row r="8105">
          <cell r="V8105"/>
          <cell r="W8105"/>
          <cell r="X8105"/>
          <cell r="Y8105"/>
        </row>
        <row r="8106">
          <cell r="V8106"/>
          <cell r="W8106"/>
          <cell r="X8106"/>
          <cell r="Y8106"/>
        </row>
        <row r="8107">
          <cell r="V8107"/>
          <cell r="W8107"/>
          <cell r="X8107"/>
          <cell r="Y8107"/>
        </row>
        <row r="8108">
          <cell r="V8108"/>
          <cell r="W8108"/>
          <cell r="X8108"/>
          <cell r="Y8108"/>
        </row>
        <row r="8109">
          <cell r="V8109"/>
          <cell r="W8109"/>
          <cell r="X8109"/>
          <cell r="Y8109"/>
        </row>
        <row r="8110">
          <cell r="V8110"/>
          <cell r="W8110"/>
          <cell r="X8110"/>
          <cell r="Y8110"/>
        </row>
        <row r="8111">
          <cell r="V8111"/>
          <cell r="W8111"/>
          <cell r="X8111"/>
          <cell r="Y8111"/>
        </row>
        <row r="8112">
          <cell r="V8112"/>
          <cell r="W8112"/>
          <cell r="X8112"/>
          <cell r="Y8112"/>
        </row>
        <row r="8113">
          <cell r="V8113"/>
          <cell r="W8113"/>
          <cell r="X8113"/>
          <cell r="Y8113"/>
        </row>
        <row r="8114">
          <cell r="V8114"/>
          <cell r="W8114"/>
          <cell r="X8114"/>
          <cell r="Y8114"/>
        </row>
        <row r="8115">
          <cell r="V8115"/>
          <cell r="W8115"/>
          <cell r="X8115"/>
          <cell r="Y8115"/>
        </row>
        <row r="8116">
          <cell r="V8116"/>
          <cell r="W8116"/>
          <cell r="X8116"/>
          <cell r="Y8116"/>
        </row>
        <row r="8117">
          <cell r="V8117"/>
          <cell r="W8117"/>
          <cell r="X8117"/>
          <cell r="Y8117"/>
        </row>
        <row r="8118">
          <cell r="V8118"/>
          <cell r="W8118"/>
          <cell r="X8118"/>
          <cell r="Y8118"/>
        </row>
        <row r="8119">
          <cell r="V8119"/>
          <cell r="W8119"/>
          <cell r="X8119"/>
          <cell r="Y8119"/>
        </row>
        <row r="8120">
          <cell r="V8120"/>
          <cell r="W8120"/>
          <cell r="X8120"/>
          <cell r="Y8120"/>
        </row>
        <row r="8121">
          <cell r="V8121"/>
          <cell r="W8121"/>
          <cell r="X8121"/>
          <cell r="Y8121"/>
        </row>
        <row r="8122">
          <cell r="V8122"/>
          <cell r="W8122"/>
          <cell r="X8122"/>
          <cell r="Y8122"/>
        </row>
        <row r="8123">
          <cell r="V8123"/>
          <cell r="W8123"/>
          <cell r="X8123"/>
          <cell r="Y8123"/>
        </row>
        <row r="8124">
          <cell r="V8124"/>
          <cell r="W8124"/>
          <cell r="X8124"/>
          <cell r="Y8124"/>
        </row>
        <row r="8125">
          <cell r="V8125"/>
          <cell r="W8125"/>
          <cell r="X8125"/>
          <cell r="Y8125"/>
        </row>
        <row r="8126">
          <cell r="V8126"/>
          <cell r="W8126"/>
          <cell r="X8126"/>
          <cell r="Y8126"/>
        </row>
        <row r="8127">
          <cell r="V8127"/>
          <cell r="W8127"/>
          <cell r="X8127"/>
          <cell r="Y8127"/>
        </row>
        <row r="8128">
          <cell r="V8128"/>
          <cell r="W8128"/>
          <cell r="X8128"/>
          <cell r="Y8128"/>
        </row>
        <row r="8129">
          <cell r="V8129"/>
          <cell r="W8129"/>
          <cell r="X8129"/>
          <cell r="Y8129"/>
        </row>
        <row r="8130">
          <cell r="V8130"/>
          <cell r="W8130"/>
          <cell r="X8130"/>
          <cell r="Y8130"/>
        </row>
        <row r="8131">
          <cell r="V8131"/>
          <cell r="W8131"/>
          <cell r="X8131"/>
          <cell r="Y8131"/>
        </row>
        <row r="8132">
          <cell r="V8132"/>
          <cell r="W8132"/>
          <cell r="X8132"/>
          <cell r="Y8132"/>
        </row>
        <row r="8133">
          <cell r="V8133"/>
          <cell r="W8133"/>
          <cell r="X8133"/>
          <cell r="Y8133"/>
        </row>
        <row r="8134">
          <cell r="V8134"/>
          <cell r="W8134"/>
          <cell r="X8134"/>
          <cell r="Y8134"/>
        </row>
        <row r="8135">
          <cell r="V8135"/>
          <cell r="W8135"/>
          <cell r="X8135"/>
          <cell r="Y8135"/>
        </row>
        <row r="8136">
          <cell r="V8136"/>
          <cell r="W8136"/>
          <cell r="X8136"/>
          <cell r="Y8136"/>
        </row>
        <row r="8137">
          <cell r="V8137"/>
          <cell r="W8137"/>
          <cell r="X8137"/>
          <cell r="Y8137"/>
        </row>
        <row r="8138">
          <cell r="V8138"/>
          <cell r="W8138"/>
          <cell r="X8138"/>
          <cell r="Y8138"/>
        </row>
        <row r="8139">
          <cell r="V8139"/>
          <cell r="W8139"/>
          <cell r="X8139"/>
          <cell r="Y8139"/>
        </row>
        <row r="8140">
          <cell r="V8140"/>
          <cell r="W8140"/>
          <cell r="X8140"/>
          <cell r="Y8140"/>
        </row>
        <row r="8141">
          <cell r="V8141"/>
          <cell r="W8141"/>
          <cell r="X8141"/>
          <cell r="Y8141"/>
        </row>
        <row r="8142">
          <cell r="V8142"/>
          <cell r="W8142"/>
          <cell r="X8142"/>
          <cell r="Y8142"/>
        </row>
        <row r="8143">
          <cell r="V8143"/>
          <cell r="W8143"/>
          <cell r="X8143"/>
          <cell r="Y8143"/>
        </row>
        <row r="8144">
          <cell r="V8144"/>
          <cell r="W8144"/>
          <cell r="X8144"/>
          <cell r="Y8144"/>
        </row>
        <row r="8145">
          <cell r="V8145"/>
          <cell r="W8145"/>
          <cell r="X8145"/>
          <cell r="Y8145"/>
        </row>
        <row r="8146">
          <cell r="V8146"/>
          <cell r="W8146"/>
          <cell r="X8146"/>
          <cell r="Y8146"/>
        </row>
        <row r="8147">
          <cell r="V8147"/>
          <cell r="W8147"/>
          <cell r="X8147"/>
          <cell r="Y8147"/>
        </row>
        <row r="8148">
          <cell r="V8148"/>
          <cell r="W8148"/>
          <cell r="X8148"/>
          <cell r="Y8148"/>
        </row>
        <row r="8149">
          <cell r="V8149"/>
          <cell r="W8149"/>
          <cell r="X8149"/>
          <cell r="Y8149"/>
        </row>
        <row r="8150">
          <cell r="V8150"/>
          <cell r="W8150"/>
          <cell r="X8150"/>
          <cell r="Y8150"/>
        </row>
        <row r="8151">
          <cell r="V8151"/>
          <cell r="W8151"/>
          <cell r="X8151"/>
          <cell r="Y8151"/>
        </row>
        <row r="8152">
          <cell r="V8152"/>
          <cell r="W8152"/>
          <cell r="X8152"/>
          <cell r="Y8152"/>
        </row>
        <row r="8153">
          <cell r="V8153"/>
          <cell r="W8153"/>
          <cell r="X8153"/>
          <cell r="Y8153"/>
        </row>
        <row r="8154">
          <cell r="V8154"/>
          <cell r="W8154"/>
          <cell r="X8154"/>
          <cell r="Y8154"/>
        </row>
        <row r="8155">
          <cell r="V8155"/>
          <cell r="W8155"/>
          <cell r="X8155"/>
          <cell r="Y8155"/>
        </row>
        <row r="8156">
          <cell r="V8156"/>
          <cell r="W8156"/>
          <cell r="X8156"/>
          <cell r="Y8156"/>
        </row>
        <row r="8157">
          <cell r="V8157"/>
          <cell r="W8157"/>
          <cell r="X8157"/>
          <cell r="Y8157"/>
        </row>
        <row r="8158">
          <cell r="V8158"/>
          <cell r="W8158"/>
          <cell r="X8158"/>
          <cell r="Y8158"/>
        </row>
        <row r="8159">
          <cell r="V8159"/>
          <cell r="W8159"/>
          <cell r="X8159"/>
          <cell r="Y8159"/>
        </row>
        <row r="8160">
          <cell r="V8160"/>
          <cell r="W8160"/>
          <cell r="X8160"/>
          <cell r="Y8160"/>
        </row>
        <row r="8161">
          <cell r="V8161"/>
          <cell r="W8161"/>
          <cell r="X8161"/>
          <cell r="Y8161"/>
        </row>
        <row r="8162">
          <cell r="V8162"/>
          <cell r="W8162"/>
          <cell r="X8162"/>
          <cell r="Y8162"/>
        </row>
        <row r="8163">
          <cell r="V8163"/>
          <cell r="W8163"/>
          <cell r="X8163"/>
          <cell r="Y8163"/>
        </row>
        <row r="8164">
          <cell r="V8164"/>
          <cell r="W8164"/>
          <cell r="X8164"/>
          <cell r="Y8164"/>
        </row>
        <row r="8165">
          <cell r="V8165"/>
          <cell r="W8165"/>
          <cell r="X8165"/>
          <cell r="Y8165"/>
        </row>
        <row r="8166">
          <cell r="V8166"/>
          <cell r="W8166"/>
          <cell r="X8166"/>
          <cell r="Y8166"/>
        </row>
        <row r="8167">
          <cell r="V8167"/>
          <cell r="W8167"/>
          <cell r="X8167"/>
          <cell r="Y8167"/>
        </row>
        <row r="8168">
          <cell r="V8168"/>
          <cell r="W8168"/>
          <cell r="X8168"/>
          <cell r="Y8168"/>
        </row>
        <row r="8169">
          <cell r="V8169"/>
          <cell r="W8169"/>
          <cell r="X8169"/>
          <cell r="Y8169"/>
        </row>
        <row r="8170">
          <cell r="V8170"/>
          <cell r="W8170"/>
          <cell r="X8170"/>
          <cell r="Y8170"/>
        </row>
        <row r="8171">
          <cell r="V8171"/>
          <cell r="W8171"/>
          <cell r="X8171"/>
          <cell r="Y8171"/>
        </row>
        <row r="8172">
          <cell r="V8172"/>
          <cell r="W8172"/>
          <cell r="X8172"/>
          <cell r="Y8172"/>
        </row>
        <row r="8173">
          <cell r="V8173"/>
          <cell r="W8173"/>
          <cell r="X8173"/>
          <cell r="Y8173"/>
        </row>
        <row r="8174">
          <cell r="V8174"/>
          <cell r="W8174"/>
          <cell r="X8174"/>
          <cell r="Y8174"/>
        </row>
        <row r="8175">
          <cell r="V8175"/>
          <cell r="W8175"/>
          <cell r="X8175"/>
          <cell r="Y8175"/>
        </row>
        <row r="8176">
          <cell r="V8176"/>
          <cell r="W8176"/>
          <cell r="X8176"/>
          <cell r="Y8176"/>
        </row>
        <row r="8177">
          <cell r="V8177"/>
          <cell r="W8177"/>
          <cell r="X8177"/>
          <cell r="Y8177"/>
        </row>
        <row r="8178">
          <cell r="V8178"/>
          <cell r="W8178"/>
          <cell r="X8178"/>
          <cell r="Y8178"/>
        </row>
        <row r="8179">
          <cell r="V8179"/>
          <cell r="W8179"/>
          <cell r="X8179"/>
          <cell r="Y8179"/>
        </row>
        <row r="8180">
          <cell r="V8180"/>
          <cell r="W8180"/>
          <cell r="X8180"/>
          <cell r="Y8180"/>
        </row>
        <row r="8181">
          <cell r="V8181"/>
          <cell r="W8181"/>
          <cell r="X8181"/>
          <cell r="Y8181"/>
        </row>
        <row r="8182">
          <cell r="V8182"/>
          <cell r="W8182"/>
          <cell r="X8182"/>
          <cell r="Y8182"/>
        </row>
        <row r="8183">
          <cell r="V8183"/>
          <cell r="W8183"/>
          <cell r="X8183"/>
          <cell r="Y8183"/>
        </row>
        <row r="8184">
          <cell r="V8184"/>
          <cell r="W8184"/>
          <cell r="X8184"/>
          <cell r="Y8184"/>
        </row>
        <row r="8185">
          <cell r="V8185"/>
          <cell r="W8185"/>
          <cell r="X8185"/>
          <cell r="Y8185"/>
        </row>
        <row r="8186">
          <cell r="V8186"/>
          <cell r="W8186"/>
          <cell r="X8186"/>
          <cell r="Y8186"/>
        </row>
        <row r="8187">
          <cell r="V8187"/>
          <cell r="W8187"/>
          <cell r="X8187"/>
          <cell r="Y8187"/>
        </row>
        <row r="8188">
          <cell r="V8188"/>
          <cell r="W8188"/>
          <cell r="X8188"/>
          <cell r="Y8188"/>
        </row>
        <row r="8189">
          <cell r="V8189"/>
          <cell r="W8189"/>
          <cell r="X8189"/>
          <cell r="Y8189"/>
        </row>
        <row r="8190">
          <cell r="V8190"/>
          <cell r="W8190"/>
          <cell r="X8190"/>
          <cell r="Y8190"/>
        </row>
        <row r="8191">
          <cell r="V8191"/>
          <cell r="W8191"/>
          <cell r="X8191"/>
          <cell r="Y8191"/>
        </row>
        <row r="8192">
          <cell r="V8192"/>
          <cell r="W8192"/>
          <cell r="X8192"/>
          <cell r="Y8192"/>
        </row>
        <row r="8193">
          <cell r="V8193"/>
          <cell r="W8193"/>
          <cell r="X8193"/>
          <cell r="Y8193"/>
        </row>
        <row r="8194">
          <cell r="V8194"/>
          <cell r="W8194"/>
          <cell r="X8194"/>
          <cell r="Y8194"/>
        </row>
        <row r="8195">
          <cell r="V8195"/>
          <cell r="W8195"/>
          <cell r="X8195"/>
          <cell r="Y8195"/>
        </row>
        <row r="8196">
          <cell r="V8196"/>
          <cell r="W8196"/>
          <cell r="X8196"/>
          <cell r="Y8196"/>
        </row>
        <row r="8197">
          <cell r="V8197"/>
          <cell r="W8197"/>
          <cell r="X8197"/>
          <cell r="Y8197"/>
        </row>
        <row r="8198">
          <cell r="V8198"/>
          <cell r="W8198"/>
          <cell r="X8198"/>
          <cell r="Y8198"/>
        </row>
        <row r="8199">
          <cell r="V8199"/>
          <cell r="W8199"/>
          <cell r="X8199"/>
          <cell r="Y8199"/>
        </row>
        <row r="8200">
          <cell r="V8200"/>
          <cell r="W8200"/>
          <cell r="X8200"/>
          <cell r="Y8200"/>
        </row>
        <row r="8201">
          <cell r="V8201"/>
          <cell r="W8201"/>
          <cell r="X8201"/>
          <cell r="Y8201"/>
        </row>
        <row r="8202">
          <cell r="V8202"/>
          <cell r="W8202"/>
          <cell r="X8202"/>
          <cell r="Y8202"/>
        </row>
        <row r="8203">
          <cell r="V8203"/>
          <cell r="W8203"/>
          <cell r="X8203"/>
          <cell r="Y8203"/>
        </row>
        <row r="8204">
          <cell r="V8204"/>
          <cell r="W8204"/>
          <cell r="X8204"/>
          <cell r="Y8204"/>
        </row>
        <row r="8205">
          <cell r="V8205"/>
          <cell r="W8205"/>
          <cell r="X8205"/>
          <cell r="Y8205"/>
        </row>
        <row r="8206">
          <cell r="V8206"/>
          <cell r="W8206"/>
          <cell r="X8206"/>
          <cell r="Y8206"/>
        </row>
        <row r="8207">
          <cell r="V8207"/>
          <cell r="W8207"/>
          <cell r="X8207"/>
          <cell r="Y8207"/>
        </row>
        <row r="8208">
          <cell r="V8208"/>
          <cell r="W8208"/>
          <cell r="X8208"/>
          <cell r="Y8208"/>
        </row>
        <row r="8209">
          <cell r="V8209"/>
          <cell r="W8209"/>
          <cell r="X8209"/>
          <cell r="Y8209"/>
        </row>
        <row r="8210">
          <cell r="V8210"/>
          <cell r="W8210"/>
          <cell r="X8210"/>
          <cell r="Y8210"/>
        </row>
        <row r="8211">
          <cell r="V8211"/>
          <cell r="W8211"/>
          <cell r="X8211"/>
          <cell r="Y8211"/>
        </row>
        <row r="8212">
          <cell r="V8212"/>
          <cell r="W8212"/>
          <cell r="X8212"/>
          <cell r="Y8212"/>
        </row>
        <row r="8213">
          <cell r="V8213"/>
          <cell r="W8213"/>
          <cell r="X8213"/>
          <cell r="Y8213"/>
        </row>
        <row r="8214">
          <cell r="V8214"/>
          <cell r="W8214"/>
          <cell r="X8214"/>
          <cell r="Y8214"/>
        </row>
        <row r="8215">
          <cell r="V8215"/>
          <cell r="W8215"/>
          <cell r="X8215"/>
          <cell r="Y8215"/>
        </row>
        <row r="8216">
          <cell r="V8216"/>
          <cell r="W8216"/>
          <cell r="X8216"/>
          <cell r="Y8216"/>
        </row>
        <row r="8217">
          <cell r="V8217"/>
          <cell r="W8217"/>
          <cell r="X8217"/>
          <cell r="Y8217"/>
        </row>
        <row r="8218">
          <cell r="V8218"/>
          <cell r="W8218"/>
          <cell r="X8218"/>
          <cell r="Y8218"/>
        </row>
        <row r="8219">
          <cell r="V8219"/>
          <cell r="W8219"/>
          <cell r="X8219"/>
          <cell r="Y8219"/>
        </row>
        <row r="8220">
          <cell r="V8220"/>
          <cell r="W8220"/>
          <cell r="X8220"/>
          <cell r="Y8220"/>
        </row>
        <row r="8221">
          <cell r="V8221"/>
          <cell r="W8221"/>
          <cell r="X8221"/>
          <cell r="Y8221"/>
        </row>
        <row r="8222">
          <cell r="V8222"/>
          <cell r="W8222"/>
          <cell r="X8222"/>
          <cell r="Y8222"/>
        </row>
        <row r="8223">
          <cell r="V8223"/>
          <cell r="W8223"/>
          <cell r="X8223"/>
          <cell r="Y8223"/>
        </row>
        <row r="8224">
          <cell r="V8224"/>
          <cell r="W8224"/>
          <cell r="X8224"/>
          <cell r="Y8224"/>
        </row>
        <row r="8225">
          <cell r="V8225"/>
          <cell r="W8225"/>
          <cell r="X8225"/>
          <cell r="Y8225"/>
        </row>
        <row r="8226">
          <cell r="V8226"/>
          <cell r="W8226"/>
          <cell r="X8226"/>
          <cell r="Y8226"/>
        </row>
        <row r="8227">
          <cell r="V8227"/>
          <cell r="W8227"/>
          <cell r="X8227"/>
          <cell r="Y8227"/>
        </row>
        <row r="8228">
          <cell r="V8228"/>
          <cell r="W8228"/>
          <cell r="X8228"/>
          <cell r="Y8228"/>
        </row>
        <row r="8229">
          <cell r="V8229"/>
          <cell r="W8229"/>
          <cell r="X8229"/>
          <cell r="Y8229"/>
        </row>
        <row r="8230">
          <cell r="V8230"/>
          <cell r="W8230"/>
          <cell r="X8230"/>
          <cell r="Y8230"/>
        </row>
        <row r="8231">
          <cell r="V8231"/>
          <cell r="W8231"/>
          <cell r="X8231"/>
          <cell r="Y8231"/>
        </row>
        <row r="8232">
          <cell r="V8232"/>
          <cell r="W8232"/>
          <cell r="X8232"/>
          <cell r="Y8232"/>
        </row>
        <row r="8233">
          <cell r="V8233"/>
          <cell r="W8233"/>
          <cell r="X8233"/>
          <cell r="Y8233"/>
        </row>
        <row r="8234">
          <cell r="V8234"/>
          <cell r="W8234"/>
          <cell r="X8234"/>
          <cell r="Y8234"/>
        </row>
        <row r="8235">
          <cell r="V8235"/>
          <cell r="W8235"/>
          <cell r="X8235"/>
          <cell r="Y8235"/>
        </row>
        <row r="8236">
          <cell r="V8236"/>
          <cell r="W8236"/>
          <cell r="X8236"/>
          <cell r="Y8236"/>
        </row>
        <row r="8237">
          <cell r="V8237"/>
          <cell r="W8237"/>
          <cell r="X8237"/>
          <cell r="Y8237"/>
        </row>
        <row r="8238">
          <cell r="V8238"/>
          <cell r="W8238"/>
          <cell r="X8238"/>
          <cell r="Y8238"/>
        </row>
        <row r="8239">
          <cell r="V8239"/>
          <cell r="W8239"/>
          <cell r="X8239"/>
          <cell r="Y8239"/>
        </row>
        <row r="8240">
          <cell r="V8240"/>
          <cell r="W8240"/>
          <cell r="X8240"/>
          <cell r="Y8240"/>
        </row>
        <row r="8241">
          <cell r="V8241"/>
          <cell r="W8241"/>
          <cell r="X8241"/>
          <cell r="Y8241"/>
        </row>
        <row r="8242">
          <cell r="V8242"/>
          <cell r="W8242"/>
          <cell r="X8242"/>
          <cell r="Y8242"/>
        </row>
        <row r="8243">
          <cell r="V8243"/>
          <cell r="W8243"/>
          <cell r="X8243"/>
          <cell r="Y8243"/>
        </row>
        <row r="8244">
          <cell r="V8244"/>
          <cell r="W8244"/>
          <cell r="X8244"/>
          <cell r="Y8244"/>
        </row>
        <row r="8245">
          <cell r="V8245"/>
          <cell r="W8245"/>
          <cell r="X8245"/>
          <cell r="Y8245"/>
        </row>
        <row r="8246">
          <cell r="V8246"/>
          <cell r="W8246"/>
          <cell r="X8246"/>
          <cell r="Y8246"/>
        </row>
        <row r="8247">
          <cell r="V8247"/>
          <cell r="W8247"/>
          <cell r="X8247"/>
          <cell r="Y8247"/>
        </row>
        <row r="8248">
          <cell r="V8248"/>
          <cell r="W8248"/>
          <cell r="X8248"/>
          <cell r="Y8248"/>
        </row>
        <row r="8249">
          <cell r="V8249"/>
          <cell r="W8249"/>
          <cell r="X8249"/>
          <cell r="Y8249"/>
        </row>
        <row r="8250">
          <cell r="V8250"/>
          <cell r="W8250"/>
          <cell r="X8250"/>
          <cell r="Y8250"/>
        </row>
        <row r="8251">
          <cell r="V8251"/>
          <cell r="W8251"/>
          <cell r="X8251"/>
          <cell r="Y8251"/>
        </row>
        <row r="8252">
          <cell r="V8252"/>
          <cell r="W8252"/>
          <cell r="X8252"/>
          <cell r="Y8252"/>
        </row>
        <row r="8253">
          <cell r="V8253"/>
          <cell r="W8253"/>
          <cell r="X8253"/>
          <cell r="Y8253"/>
        </row>
        <row r="8254">
          <cell r="V8254"/>
          <cell r="W8254"/>
          <cell r="X8254"/>
          <cell r="Y8254"/>
        </row>
        <row r="8255">
          <cell r="V8255"/>
          <cell r="W8255"/>
          <cell r="X8255"/>
          <cell r="Y8255"/>
        </row>
        <row r="8256">
          <cell r="V8256"/>
          <cell r="W8256"/>
          <cell r="X8256"/>
          <cell r="Y8256"/>
        </row>
        <row r="8257">
          <cell r="V8257"/>
          <cell r="W8257"/>
          <cell r="X8257"/>
          <cell r="Y8257"/>
        </row>
        <row r="8258">
          <cell r="V8258"/>
          <cell r="W8258"/>
          <cell r="X8258"/>
          <cell r="Y8258"/>
        </row>
        <row r="8259">
          <cell r="V8259"/>
          <cell r="W8259"/>
          <cell r="X8259"/>
          <cell r="Y8259"/>
        </row>
        <row r="8260">
          <cell r="V8260"/>
          <cell r="W8260"/>
          <cell r="X8260"/>
          <cell r="Y8260"/>
        </row>
        <row r="8261">
          <cell r="V8261"/>
          <cell r="W8261"/>
          <cell r="X8261"/>
          <cell r="Y8261"/>
        </row>
        <row r="8262">
          <cell r="V8262"/>
          <cell r="W8262"/>
          <cell r="X8262"/>
          <cell r="Y8262"/>
        </row>
        <row r="8263">
          <cell r="V8263"/>
          <cell r="W8263"/>
          <cell r="X8263"/>
          <cell r="Y8263"/>
        </row>
        <row r="8264">
          <cell r="V8264"/>
          <cell r="W8264"/>
          <cell r="X8264"/>
          <cell r="Y8264"/>
        </row>
        <row r="8265">
          <cell r="V8265"/>
          <cell r="W8265"/>
          <cell r="X8265"/>
          <cell r="Y8265"/>
        </row>
        <row r="8266">
          <cell r="V8266"/>
          <cell r="W8266"/>
          <cell r="X8266"/>
          <cell r="Y8266"/>
        </row>
        <row r="8267">
          <cell r="V8267"/>
          <cell r="W8267"/>
          <cell r="X8267"/>
          <cell r="Y8267"/>
        </row>
        <row r="8268">
          <cell r="V8268"/>
          <cell r="W8268"/>
          <cell r="X8268"/>
          <cell r="Y8268"/>
        </row>
        <row r="8269">
          <cell r="V8269"/>
          <cell r="W8269"/>
          <cell r="X8269"/>
          <cell r="Y8269"/>
        </row>
        <row r="8270">
          <cell r="V8270"/>
          <cell r="W8270"/>
          <cell r="X8270"/>
          <cell r="Y8270"/>
        </row>
        <row r="8271">
          <cell r="V8271"/>
          <cell r="W8271"/>
          <cell r="X8271"/>
          <cell r="Y8271"/>
        </row>
        <row r="8272">
          <cell r="V8272"/>
          <cell r="W8272"/>
          <cell r="X8272"/>
          <cell r="Y8272"/>
        </row>
        <row r="8273">
          <cell r="V8273"/>
          <cell r="W8273"/>
          <cell r="X8273"/>
          <cell r="Y8273"/>
        </row>
        <row r="8274">
          <cell r="V8274"/>
          <cell r="W8274"/>
          <cell r="X8274"/>
          <cell r="Y8274"/>
        </row>
        <row r="8275">
          <cell r="V8275"/>
          <cell r="W8275"/>
          <cell r="X8275"/>
          <cell r="Y8275"/>
        </row>
        <row r="8276">
          <cell r="V8276"/>
          <cell r="W8276"/>
          <cell r="X8276"/>
          <cell r="Y8276"/>
        </row>
        <row r="8277">
          <cell r="V8277"/>
          <cell r="W8277"/>
          <cell r="X8277"/>
          <cell r="Y8277"/>
        </row>
        <row r="8278">
          <cell r="V8278"/>
          <cell r="W8278"/>
          <cell r="X8278"/>
          <cell r="Y8278"/>
        </row>
        <row r="8279">
          <cell r="V8279"/>
          <cell r="W8279"/>
          <cell r="X8279"/>
          <cell r="Y8279"/>
        </row>
        <row r="8280">
          <cell r="V8280"/>
          <cell r="W8280"/>
          <cell r="X8280"/>
          <cell r="Y8280"/>
        </row>
        <row r="8281">
          <cell r="V8281"/>
          <cell r="W8281"/>
          <cell r="X8281"/>
          <cell r="Y8281"/>
        </row>
        <row r="8282">
          <cell r="V8282"/>
          <cell r="W8282"/>
          <cell r="X8282"/>
          <cell r="Y8282"/>
        </row>
        <row r="8283">
          <cell r="V8283"/>
          <cell r="W8283"/>
          <cell r="X8283"/>
          <cell r="Y8283"/>
        </row>
        <row r="8284">
          <cell r="V8284"/>
          <cell r="W8284"/>
          <cell r="X8284"/>
          <cell r="Y8284"/>
        </row>
        <row r="8285">
          <cell r="V8285"/>
          <cell r="W8285"/>
          <cell r="X8285"/>
          <cell r="Y8285"/>
        </row>
        <row r="8286">
          <cell r="V8286"/>
          <cell r="W8286"/>
          <cell r="X8286"/>
          <cell r="Y8286"/>
        </row>
        <row r="8287">
          <cell r="V8287"/>
          <cell r="W8287"/>
          <cell r="X8287"/>
          <cell r="Y8287"/>
        </row>
        <row r="8288">
          <cell r="V8288"/>
          <cell r="W8288"/>
          <cell r="X8288"/>
          <cell r="Y8288"/>
        </row>
        <row r="8289">
          <cell r="V8289"/>
          <cell r="W8289"/>
          <cell r="X8289"/>
          <cell r="Y8289"/>
        </row>
        <row r="8290">
          <cell r="V8290"/>
          <cell r="W8290"/>
          <cell r="X8290"/>
          <cell r="Y8290"/>
        </row>
        <row r="8291">
          <cell r="V8291"/>
          <cell r="W8291"/>
          <cell r="X8291"/>
          <cell r="Y8291"/>
        </row>
        <row r="8292">
          <cell r="V8292"/>
          <cell r="W8292"/>
          <cell r="X8292"/>
          <cell r="Y8292"/>
        </row>
        <row r="8293">
          <cell r="V8293"/>
          <cell r="W8293"/>
          <cell r="X8293"/>
          <cell r="Y8293"/>
        </row>
        <row r="8294">
          <cell r="V8294"/>
          <cell r="W8294"/>
          <cell r="X8294"/>
          <cell r="Y8294"/>
        </row>
        <row r="8295">
          <cell r="V8295"/>
          <cell r="W8295"/>
          <cell r="X8295"/>
          <cell r="Y8295"/>
        </row>
        <row r="8296">
          <cell r="V8296"/>
          <cell r="W8296"/>
          <cell r="X8296"/>
          <cell r="Y8296"/>
        </row>
        <row r="8297">
          <cell r="V8297"/>
          <cell r="W8297"/>
          <cell r="X8297"/>
          <cell r="Y8297"/>
        </row>
        <row r="8298">
          <cell r="V8298"/>
          <cell r="W8298"/>
          <cell r="X8298"/>
          <cell r="Y8298"/>
        </row>
        <row r="8299">
          <cell r="V8299"/>
          <cell r="W8299"/>
          <cell r="X8299"/>
          <cell r="Y8299"/>
        </row>
        <row r="8300">
          <cell r="V8300"/>
          <cell r="W8300"/>
          <cell r="X8300"/>
          <cell r="Y8300"/>
        </row>
        <row r="8301">
          <cell r="V8301"/>
          <cell r="W8301"/>
          <cell r="X8301"/>
          <cell r="Y8301"/>
        </row>
        <row r="8302">
          <cell r="V8302"/>
          <cell r="W8302"/>
          <cell r="X8302"/>
          <cell r="Y8302"/>
        </row>
        <row r="8303">
          <cell r="V8303"/>
          <cell r="W8303"/>
          <cell r="X8303"/>
          <cell r="Y8303"/>
        </row>
        <row r="8304">
          <cell r="V8304"/>
          <cell r="W8304"/>
          <cell r="X8304"/>
          <cell r="Y8304"/>
        </row>
        <row r="8305">
          <cell r="V8305"/>
          <cell r="W8305"/>
          <cell r="X8305"/>
          <cell r="Y8305"/>
        </row>
        <row r="8306">
          <cell r="V8306"/>
          <cell r="W8306"/>
          <cell r="X8306"/>
          <cell r="Y8306"/>
        </row>
        <row r="8307">
          <cell r="V8307"/>
          <cell r="W8307"/>
          <cell r="X8307"/>
          <cell r="Y8307"/>
        </row>
        <row r="8308">
          <cell r="V8308"/>
          <cell r="W8308"/>
          <cell r="X8308"/>
          <cell r="Y8308"/>
        </row>
        <row r="8309">
          <cell r="V8309"/>
          <cell r="W8309"/>
          <cell r="X8309"/>
          <cell r="Y8309"/>
        </row>
        <row r="8310">
          <cell r="V8310"/>
          <cell r="W8310"/>
          <cell r="X8310"/>
          <cell r="Y8310"/>
        </row>
        <row r="8311">
          <cell r="V8311"/>
          <cell r="W8311"/>
          <cell r="X8311"/>
          <cell r="Y8311"/>
        </row>
        <row r="8312">
          <cell r="V8312"/>
          <cell r="W8312"/>
          <cell r="X8312"/>
          <cell r="Y8312"/>
        </row>
        <row r="8313">
          <cell r="V8313"/>
          <cell r="W8313"/>
          <cell r="X8313"/>
          <cell r="Y8313"/>
        </row>
        <row r="8314">
          <cell r="V8314"/>
          <cell r="W8314"/>
          <cell r="X8314"/>
          <cell r="Y8314"/>
        </row>
        <row r="8315">
          <cell r="V8315"/>
          <cell r="W8315"/>
          <cell r="X8315"/>
          <cell r="Y8315"/>
        </row>
        <row r="8316">
          <cell r="V8316"/>
          <cell r="W8316"/>
          <cell r="X8316"/>
          <cell r="Y8316"/>
        </row>
        <row r="8317">
          <cell r="V8317"/>
          <cell r="W8317"/>
          <cell r="X8317"/>
          <cell r="Y8317"/>
        </row>
        <row r="8318">
          <cell r="V8318"/>
          <cell r="W8318"/>
          <cell r="X8318"/>
          <cell r="Y8318"/>
        </row>
        <row r="8319">
          <cell r="V8319"/>
          <cell r="W8319"/>
          <cell r="X8319"/>
          <cell r="Y8319"/>
        </row>
        <row r="8320">
          <cell r="V8320"/>
          <cell r="W8320"/>
          <cell r="X8320"/>
          <cell r="Y8320"/>
        </row>
        <row r="8321">
          <cell r="V8321"/>
          <cell r="W8321"/>
          <cell r="X8321"/>
          <cell r="Y8321"/>
        </row>
        <row r="8322">
          <cell r="V8322"/>
          <cell r="W8322"/>
          <cell r="X8322"/>
          <cell r="Y8322"/>
        </row>
        <row r="8323">
          <cell r="V8323"/>
          <cell r="W8323"/>
          <cell r="X8323"/>
          <cell r="Y8323"/>
        </row>
        <row r="8324">
          <cell r="V8324"/>
          <cell r="W8324"/>
          <cell r="X8324"/>
          <cell r="Y8324"/>
        </row>
        <row r="8325">
          <cell r="V8325"/>
          <cell r="W8325"/>
          <cell r="X8325"/>
          <cell r="Y8325"/>
        </row>
        <row r="8326">
          <cell r="V8326"/>
          <cell r="W8326"/>
          <cell r="X8326"/>
          <cell r="Y8326"/>
        </row>
        <row r="8327">
          <cell r="V8327"/>
          <cell r="W8327"/>
          <cell r="X8327"/>
          <cell r="Y8327"/>
        </row>
        <row r="8328">
          <cell r="V8328"/>
          <cell r="W8328"/>
          <cell r="X8328"/>
          <cell r="Y8328"/>
        </row>
        <row r="8329">
          <cell r="V8329"/>
          <cell r="W8329"/>
          <cell r="X8329"/>
          <cell r="Y8329"/>
        </row>
        <row r="8330">
          <cell r="V8330"/>
          <cell r="W8330"/>
          <cell r="X8330"/>
          <cell r="Y8330"/>
        </row>
        <row r="8331">
          <cell r="V8331"/>
          <cell r="W8331"/>
          <cell r="X8331"/>
          <cell r="Y8331"/>
        </row>
        <row r="8332">
          <cell r="V8332"/>
          <cell r="W8332"/>
          <cell r="X8332"/>
          <cell r="Y8332"/>
        </row>
        <row r="8333">
          <cell r="V8333"/>
          <cell r="W8333"/>
          <cell r="X8333"/>
          <cell r="Y8333"/>
        </row>
        <row r="8334">
          <cell r="V8334"/>
          <cell r="W8334"/>
          <cell r="X8334"/>
          <cell r="Y8334"/>
        </row>
        <row r="8335">
          <cell r="V8335"/>
          <cell r="W8335"/>
          <cell r="X8335"/>
          <cell r="Y8335"/>
        </row>
        <row r="8336">
          <cell r="V8336"/>
          <cell r="W8336"/>
          <cell r="X8336"/>
          <cell r="Y8336"/>
        </row>
        <row r="8337">
          <cell r="V8337"/>
          <cell r="W8337"/>
          <cell r="X8337"/>
          <cell r="Y8337"/>
        </row>
        <row r="8338">
          <cell r="V8338"/>
          <cell r="W8338"/>
          <cell r="X8338"/>
          <cell r="Y8338"/>
        </row>
        <row r="8339">
          <cell r="V8339"/>
          <cell r="W8339"/>
          <cell r="X8339"/>
          <cell r="Y8339"/>
        </row>
        <row r="8340">
          <cell r="V8340"/>
          <cell r="W8340"/>
          <cell r="X8340"/>
          <cell r="Y8340"/>
        </row>
        <row r="8341">
          <cell r="V8341"/>
          <cell r="W8341"/>
          <cell r="X8341"/>
          <cell r="Y8341"/>
        </row>
        <row r="8342">
          <cell r="V8342"/>
          <cell r="W8342"/>
          <cell r="X8342"/>
          <cell r="Y8342"/>
        </row>
        <row r="8343">
          <cell r="V8343"/>
          <cell r="W8343"/>
          <cell r="X8343"/>
          <cell r="Y8343"/>
        </row>
        <row r="8344">
          <cell r="V8344"/>
          <cell r="W8344"/>
          <cell r="X8344"/>
          <cell r="Y8344"/>
        </row>
        <row r="8345">
          <cell r="V8345"/>
          <cell r="W8345"/>
          <cell r="X8345"/>
          <cell r="Y8345"/>
        </row>
        <row r="8346">
          <cell r="V8346"/>
          <cell r="W8346"/>
          <cell r="X8346"/>
          <cell r="Y8346"/>
        </row>
        <row r="8347">
          <cell r="V8347"/>
          <cell r="W8347"/>
          <cell r="X8347"/>
          <cell r="Y8347"/>
        </row>
        <row r="8348">
          <cell r="V8348"/>
          <cell r="W8348"/>
          <cell r="X8348"/>
          <cell r="Y8348"/>
        </row>
        <row r="8349">
          <cell r="V8349"/>
          <cell r="W8349"/>
          <cell r="X8349"/>
          <cell r="Y8349"/>
        </row>
        <row r="8350">
          <cell r="V8350"/>
          <cell r="W8350"/>
          <cell r="X8350"/>
          <cell r="Y8350"/>
        </row>
        <row r="8351">
          <cell r="V8351"/>
          <cell r="W8351"/>
          <cell r="X8351"/>
          <cell r="Y8351"/>
        </row>
        <row r="8352">
          <cell r="V8352"/>
          <cell r="W8352"/>
          <cell r="X8352"/>
          <cell r="Y8352"/>
        </row>
        <row r="8353">
          <cell r="V8353"/>
          <cell r="W8353"/>
          <cell r="X8353"/>
          <cell r="Y8353"/>
        </row>
        <row r="8354">
          <cell r="V8354"/>
          <cell r="W8354"/>
          <cell r="X8354"/>
          <cell r="Y8354"/>
        </row>
        <row r="8355">
          <cell r="V8355"/>
          <cell r="W8355"/>
          <cell r="X8355"/>
          <cell r="Y8355"/>
        </row>
        <row r="8356">
          <cell r="V8356"/>
          <cell r="W8356"/>
          <cell r="X8356"/>
          <cell r="Y8356"/>
        </row>
        <row r="8357">
          <cell r="V8357"/>
          <cell r="W8357"/>
          <cell r="X8357"/>
          <cell r="Y8357"/>
        </row>
        <row r="8358">
          <cell r="V8358"/>
          <cell r="W8358"/>
          <cell r="X8358"/>
          <cell r="Y8358"/>
        </row>
        <row r="8359">
          <cell r="V8359"/>
          <cell r="W8359"/>
          <cell r="X8359"/>
          <cell r="Y8359"/>
        </row>
        <row r="8360">
          <cell r="V8360"/>
          <cell r="W8360"/>
          <cell r="X8360"/>
          <cell r="Y8360"/>
        </row>
        <row r="8361">
          <cell r="V8361"/>
          <cell r="W8361"/>
          <cell r="X8361"/>
          <cell r="Y8361"/>
        </row>
        <row r="8362">
          <cell r="V8362"/>
          <cell r="W8362"/>
          <cell r="X8362"/>
          <cell r="Y8362"/>
        </row>
        <row r="8363">
          <cell r="V8363"/>
          <cell r="W8363"/>
          <cell r="X8363"/>
          <cell r="Y8363"/>
        </row>
        <row r="8364">
          <cell r="V8364"/>
          <cell r="W8364"/>
          <cell r="X8364"/>
          <cell r="Y8364"/>
        </row>
        <row r="8365">
          <cell r="V8365"/>
          <cell r="W8365"/>
          <cell r="X8365"/>
          <cell r="Y8365"/>
        </row>
        <row r="8366">
          <cell r="V8366"/>
          <cell r="W8366"/>
          <cell r="X8366"/>
          <cell r="Y8366"/>
        </row>
        <row r="8367">
          <cell r="V8367"/>
          <cell r="W8367"/>
          <cell r="X8367"/>
          <cell r="Y8367"/>
        </row>
        <row r="8368">
          <cell r="V8368"/>
          <cell r="W8368"/>
          <cell r="X8368"/>
          <cell r="Y8368"/>
        </row>
        <row r="8369">
          <cell r="V8369"/>
          <cell r="W8369"/>
          <cell r="X8369"/>
          <cell r="Y8369"/>
        </row>
        <row r="8370">
          <cell r="V8370"/>
          <cell r="W8370"/>
          <cell r="X8370"/>
          <cell r="Y8370"/>
        </row>
        <row r="8371">
          <cell r="V8371"/>
          <cell r="W8371"/>
          <cell r="X8371"/>
          <cell r="Y8371"/>
        </row>
        <row r="8372">
          <cell r="V8372"/>
          <cell r="W8372"/>
          <cell r="X8372"/>
          <cell r="Y8372"/>
        </row>
        <row r="8373">
          <cell r="V8373"/>
          <cell r="W8373"/>
          <cell r="X8373"/>
          <cell r="Y8373"/>
        </row>
        <row r="8374">
          <cell r="V8374"/>
          <cell r="W8374"/>
          <cell r="X8374"/>
          <cell r="Y8374"/>
        </row>
        <row r="8375">
          <cell r="V8375"/>
          <cell r="W8375"/>
          <cell r="X8375"/>
          <cell r="Y8375"/>
        </row>
        <row r="8376">
          <cell r="V8376"/>
          <cell r="W8376"/>
          <cell r="X8376"/>
          <cell r="Y8376"/>
        </row>
        <row r="8377">
          <cell r="V8377"/>
          <cell r="W8377"/>
          <cell r="X8377"/>
          <cell r="Y8377"/>
        </row>
        <row r="8378">
          <cell r="V8378"/>
          <cell r="W8378"/>
          <cell r="X8378"/>
          <cell r="Y8378"/>
        </row>
        <row r="8379">
          <cell r="V8379"/>
          <cell r="W8379"/>
          <cell r="X8379"/>
          <cell r="Y8379"/>
        </row>
        <row r="8380">
          <cell r="V8380"/>
          <cell r="W8380"/>
          <cell r="X8380"/>
          <cell r="Y8380"/>
        </row>
        <row r="8381">
          <cell r="V8381"/>
          <cell r="W8381"/>
          <cell r="X8381"/>
          <cell r="Y8381"/>
        </row>
        <row r="8382">
          <cell r="V8382"/>
          <cell r="W8382"/>
          <cell r="X8382"/>
          <cell r="Y8382"/>
        </row>
        <row r="8383">
          <cell r="V8383"/>
          <cell r="W8383"/>
          <cell r="X8383"/>
          <cell r="Y8383"/>
        </row>
        <row r="8384">
          <cell r="V8384"/>
          <cell r="W8384"/>
          <cell r="X8384"/>
          <cell r="Y8384"/>
        </row>
        <row r="8385">
          <cell r="V8385"/>
          <cell r="W8385"/>
          <cell r="X8385"/>
          <cell r="Y8385"/>
        </row>
        <row r="8386">
          <cell r="V8386"/>
          <cell r="W8386"/>
          <cell r="X8386"/>
          <cell r="Y8386"/>
        </row>
        <row r="8387">
          <cell r="V8387"/>
          <cell r="W8387"/>
          <cell r="X8387"/>
          <cell r="Y8387"/>
        </row>
        <row r="8388">
          <cell r="V8388"/>
          <cell r="W8388"/>
          <cell r="X8388"/>
          <cell r="Y8388"/>
        </row>
        <row r="8389">
          <cell r="V8389"/>
          <cell r="W8389"/>
          <cell r="X8389"/>
          <cell r="Y8389"/>
        </row>
        <row r="8390">
          <cell r="V8390"/>
          <cell r="W8390"/>
          <cell r="X8390"/>
          <cell r="Y8390"/>
        </row>
        <row r="8391">
          <cell r="V8391"/>
          <cell r="W8391"/>
          <cell r="X8391"/>
          <cell r="Y8391"/>
        </row>
        <row r="8392">
          <cell r="V8392"/>
          <cell r="W8392"/>
          <cell r="X8392"/>
          <cell r="Y8392"/>
        </row>
        <row r="8393">
          <cell r="V8393"/>
          <cell r="W8393"/>
          <cell r="X8393"/>
          <cell r="Y8393"/>
        </row>
        <row r="8394">
          <cell r="V8394"/>
          <cell r="W8394"/>
          <cell r="X8394"/>
          <cell r="Y8394"/>
        </row>
        <row r="8395">
          <cell r="V8395"/>
          <cell r="W8395"/>
          <cell r="X8395"/>
          <cell r="Y8395"/>
        </row>
        <row r="8396">
          <cell r="V8396"/>
          <cell r="W8396"/>
          <cell r="X8396"/>
          <cell r="Y8396"/>
        </row>
        <row r="8397">
          <cell r="V8397"/>
          <cell r="W8397"/>
          <cell r="X8397"/>
          <cell r="Y8397"/>
        </row>
        <row r="8398">
          <cell r="V8398"/>
          <cell r="W8398"/>
          <cell r="X8398"/>
          <cell r="Y8398"/>
        </row>
        <row r="8399">
          <cell r="V8399"/>
          <cell r="W8399"/>
          <cell r="X8399"/>
          <cell r="Y8399"/>
        </row>
        <row r="8400">
          <cell r="V8400"/>
          <cell r="W8400"/>
          <cell r="X8400"/>
          <cell r="Y8400"/>
        </row>
        <row r="8401">
          <cell r="V8401"/>
          <cell r="W8401"/>
          <cell r="X8401"/>
          <cell r="Y8401"/>
        </row>
        <row r="8402">
          <cell r="V8402"/>
          <cell r="W8402"/>
          <cell r="X8402"/>
          <cell r="Y8402"/>
        </row>
        <row r="8403">
          <cell r="V8403"/>
          <cell r="W8403"/>
          <cell r="X8403"/>
          <cell r="Y8403"/>
        </row>
        <row r="8404">
          <cell r="V8404"/>
          <cell r="W8404"/>
          <cell r="X8404"/>
          <cell r="Y8404"/>
        </row>
        <row r="8405">
          <cell r="V8405"/>
          <cell r="W8405"/>
          <cell r="X8405"/>
          <cell r="Y8405"/>
        </row>
        <row r="8406">
          <cell r="V8406"/>
          <cell r="W8406"/>
          <cell r="X8406"/>
          <cell r="Y8406"/>
        </row>
        <row r="8407">
          <cell r="V8407"/>
          <cell r="W8407"/>
          <cell r="X8407"/>
          <cell r="Y8407"/>
        </row>
        <row r="8408">
          <cell r="V8408"/>
          <cell r="W8408"/>
          <cell r="X8408"/>
          <cell r="Y8408"/>
        </row>
        <row r="8409">
          <cell r="V8409"/>
          <cell r="W8409"/>
          <cell r="X8409"/>
          <cell r="Y8409"/>
        </row>
        <row r="8410">
          <cell r="V8410"/>
          <cell r="W8410"/>
          <cell r="X8410"/>
          <cell r="Y8410"/>
        </row>
        <row r="8411">
          <cell r="V8411"/>
          <cell r="W8411"/>
          <cell r="X8411"/>
          <cell r="Y8411"/>
        </row>
        <row r="8412">
          <cell r="V8412"/>
          <cell r="W8412"/>
          <cell r="X8412"/>
          <cell r="Y8412"/>
        </row>
        <row r="8413">
          <cell r="V8413"/>
          <cell r="W8413"/>
          <cell r="X8413"/>
          <cell r="Y8413"/>
        </row>
        <row r="8414">
          <cell r="V8414"/>
          <cell r="W8414"/>
          <cell r="X8414"/>
          <cell r="Y8414"/>
        </row>
        <row r="8415">
          <cell r="V8415"/>
          <cell r="W8415"/>
          <cell r="X8415"/>
          <cell r="Y8415"/>
        </row>
        <row r="8416">
          <cell r="V8416"/>
          <cell r="W8416"/>
          <cell r="X8416"/>
          <cell r="Y8416"/>
        </row>
        <row r="8417">
          <cell r="V8417"/>
          <cell r="W8417"/>
          <cell r="X8417"/>
          <cell r="Y8417"/>
        </row>
        <row r="8418">
          <cell r="V8418"/>
          <cell r="W8418"/>
          <cell r="X8418"/>
          <cell r="Y8418"/>
        </row>
        <row r="8419">
          <cell r="V8419"/>
          <cell r="W8419"/>
          <cell r="X8419"/>
          <cell r="Y8419"/>
        </row>
        <row r="8420">
          <cell r="V8420"/>
          <cell r="W8420"/>
          <cell r="X8420"/>
          <cell r="Y8420"/>
        </row>
        <row r="8421">
          <cell r="V8421"/>
          <cell r="W8421"/>
          <cell r="X8421"/>
          <cell r="Y8421"/>
        </row>
        <row r="8422">
          <cell r="V8422"/>
          <cell r="W8422"/>
          <cell r="X8422"/>
          <cell r="Y8422"/>
        </row>
        <row r="8423">
          <cell r="V8423"/>
          <cell r="W8423"/>
          <cell r="X8423"/>
          <cell r="Y8423"/>
        </row>
        <row r="8424">
          <cell r="V8424"/>
          <cell r="W8424"/>
          <cell r="X8424"/>
          <cell r="Y8424"/>
        </row>
        <row r="8425">
          <cell r="V8425"/>
          <cell r="W8425"/>
          <cell r="X8425"/>
          <cell r="Y8425"/>
        </row>
        <row r="8426">
          <cell r="V8426"/>
          <cell r="W8426"/>
          <cell r="X8426"/>
          <cell r="Y8426"/>
        </row>
        <row r="8427">
          <cell r="V8427"/>
          <cell r="W8427"/>
          <cell r="X8427"/>
          <cell r="Y8427"/>
        </row>
        <row r="8428">
          <cell r="V8428"/>
          <cell r="W8428"/>
          <cell r="X8428"/>
          <cell r="Y8428"/>
        </row>
        <row r="8429">
          <cell r="V8429"/>
          <cell r="W8429"/>
          <cell r="X8429"/>
          <cell r="Y8429"/>
        </row>
        <row r="8430">
          <cell r="V8430"/>
          <cell r="W8430"/>
          <cell r="X8430"/>
          <cell r="Y8430"/>
        </row>
        <row r="8431">
          <cell r="V8431"/>
          <cell r="W8431"/>
          <cell r="X8431"/>
          <cell r="Y8431"/>
        </row>
        <row r="8432">
          <cell r="V8432"/>
          <cell r="W8432"/>
          <cell r="X8432"/>
          <cell r="Y8432"/>
        </row>
        <row r="8433">
          <cell r="V8433"/>
          <cell r="W8433"/>
          <cell r="X8433"/>
          <cell r="Y8433"/>
        </row>
        <row r="8434">
          <cell r="V8434"/>
          <cell r="W8434"/>
          <cell r="X8434"/>
          <cell r="Y8434"/>
        </row>
        <row r="8435">
          <cell r="V8435"/>
          <cell r="W8435"/>
          <cell r="X8435"/>
          <cell r="Y8435"/>
        </row>
        <row r="8436">
          <cell r="V8436"/>
          <cell r="W8436"/>
          <cell r="X8436"/>
          <cell r="Y8436"/>
        </row>
        <row r="8437">
          <cell r="V8437"/>
          <cell r="W8437"/>
          <cell r="X8437"/>
          <cell r="Y8437"/>
        </row>
        <row r="8438">
          <cell r="V8438"/>
          <cell r="W8438"/>
          <cell r="X8438"/>
          <cell r="Y8438"/>
        </row>
        <row r="8439">
          <cell r="V8439"/>
          <cell r="W8439"/>
          <cell r="X8439"/>
          <cell r="Y8439"/>
        </row>
        <row r="8440">
          <cell r="V8440"/>
          <cell r="W8440"/>
          <cell r="X8440"/>
          <cell r="Y8440"/>
        </row>
        <row r="8441">
          <cell r="V8441"/>
          <cell r="W8441"/>
          <cell r="X8441"/>
          <cell r="Y8441"/>
        </row>
        <row r="8442">
          <cell r="V8442"/>
          <cell r="W8442"/>
          <cell r="X8442"/>
          <cell r="Y8442"/>
        </row>
        <row r="8443">
          <cell r="V8443"/>
          <cell r="W8443"/>
          <cell r="X8443"/>
          <cell r="Y8443"/>
        </row>
        <row r="8444">
          <cell r="V8444"/>
          <cell r="W8444"/>
          <cell r="X8444"/>
          <cell r="Y8444"/>
        </row>
        <row r="8445">
          <cell r="V8445"/>
          <cell r="W8445"/>
          <cell r="X8445"/>
          <cell r="Y8445"/>
        </row>
        <row r="8446">
          <cell r="V8446"/>
          <cell r="W8446"/>
          <cell r="X8446"/>
          <cell r="Y8446"/>
        </row>
        <row r="8447">
          <cell r="V8447"/>
          <cell r="W8447"/>
          <cell r="X8447"/>
          <cell r="Y8447"/>
        </row>
        <row r="8448">
          <cell r="V8448"/>
          <cell r="W8448"/>
          <cell r="X8448"/>
          <cell r="Y8448"/>
        </row>
        <row r="8449">
          <cell r="V8449"/>
          <cell r="W8449"/>
          <cell r="X8449"/>
          <cell r="Y8449"/>
        </row>
        <row r="8450">
          <cell r="V8450"/>
          <cell r="W8450"/>
          <cell r="X8450"/>
          <cell r="Y8450"/>
        </row>
        <row r="8451">
          <cell r="V8451"/>
          <cell r="W8451"/>
          <cell r="X8451"/>
          <cell r="Y8451"/>
        </row>
        <row r="8452">
          <cell r="V8452"/>
          <cell r="W8452"/>
          <cell r="X8452"/>
          <cell r="Y8452"/>
        </row>
        <row r="8453">
          <cell r="V8453"/>
          <cell r="W8453"/>
          <cell r="X8453"/>
          <cell r="Y8453"/>
        </row>
        <row r="8454">
          <cell r="V8454"/>
          <cell r="W8454"/>
          <cell r="X8454"/>
          <cell r="Y8454"/>
        </row>
        <row r="8455">
          <cell r="V8455"/>
          <cell r="W8455"/>
          <cell r="X8455"/>
          <cell r="Y8455"/>
        </row>
        <row r="8456">
          <cell r="V8456"/>
          <cell r="W8456"/>
          <cell r="X8456"/>
          <cell r="Y8456"/>
        </row>
        <row r="8457">
          <cell r="V8457"/>
          <cell r="W8457"/>
          <cell r="X8457"/>
          <cell r="Y8457"/>
        </row>
        <row r="8458">
          <cell r="V8458"/>
          <cell r="W8458"/>
          <cell r="X8458"/>
          <cell r="Y8458"/>
        </row>
        <row r="8459">
          <cell r="V8459"/>
          <cell r="W8459"/>
          <cell r="X8459"/>
          <cell r="Y8459"/>
        </row>
        <row r="8460">
          <cell r="V8460"/>
          <cell r="W8460"/>
          <cell r="X8460"/>
          <cell r="Y8460"/>
        </row>
        <row r="8461">
          <cell r="V8461"/>
          <cell r="W8461"/>
          <cell r="X8461"/>
          <cell r="Y8461"/>
        </row>
        <row r="8462">
          <cell r="V8462"/>
          <cell r="W8462"/>
          <cell r="X8462"/>
          <cell r="Y8462"/>
        </row>
        <row r="8463">
          <cell r="V8463"/>
          <cell r="W8463"/>
          <cell r="X8463"/>
          <cell r="Y8463"/>
        </row>
        <row r="8464">
          <cell r="V8464"/>
          <cell r="W8464"/>
          <cell r="X8464"/>
          <cell r="Y8464"/>
        </row>
        <row r="8465">
          <cell r="V8465"/>
          <cell r="W8465"/>
          <cell r="X8465"/>
          <cell r="Y8465"/>
        </row>
        <row r="8466">
          <cell r="V8466"/>
          <cell r="W8466"/>
          <cell r="X8466"/>
          <cell r="Y8466"/>
        </row>
        <row r="8467">
          <cell r="V8467"/>
          <cell r="W8467"/>
          <cell r="X8467"/>
          <cell r="Y8467"/>
        </row>
        <row r="8468">
          <cell r="V8468"/>
          <cell r="W8468"/>
          <cell r="X8468"/>
          <cell r="Y8468"/>
        </row>
        <row r="8469">
          <cell r="V8469"/>
          <cell r="W8469"/>
          <cell r="X8469"/>
          <cell r="Y8469"/>
        </row>
        <row r="8470">
          <cell r="V8470"/>
          <cell r="W8470"/>
          <cell r="X8470"/>
          <cell r="Y8470"/>
        </row>
        <row r="8471">
          <cell r="V8471"/>
          <cell r="W8471"/>
          <cell r="X8471"/>
          <cell r="Y8471"/>
        </row>
        <row r="8472">
          <cell r="V8472"/>
          <cell r="W8472"/>
          <cell r="X8472"/>
          <cell r="Y8472"/>
        </row>
        <row r="8473">
          <cell r="V8473"/>
          <cell r="W8473"/>
          <cell r="X8473"/>
          <cell r="Y8473"/>
        </row>
        <row r="8474">
          <cell r="V8474"/>
          <cell r="W8474"/>
          <cell r="X8474"/>
          <cell r="Y8474"/>
        </row>
        <row r="8475">
          <cell r="V8475"/>
          <cell r="W8475"/>
          <cell r="X8475"/>
          <cell r="Y8475"/>
        </row>
        <row r="8476">
          <cell r="V8476"/>
          <cell r="W8476"/>
          <cell r="X8476"/>
          <cell r="Y8476"/>
        </row>
        <row r="8477">
          <cell r="V8477"/>
          <cell r="W8477"/>
          <cell r="X8477"/>
          <cell r="Y8477"/>
        </row>
        <row r="8478">
          <cell r="V8478"/>
          <cell r="W8478"/>
          <cell r="X8478"/>
          <cell r="Y8478"/>
        </row>
        <row r="8479">
          <cell r="V8479"/>
          <cell r="W8479"/>
          <cell r="X8479"/>
          <cell r="Y8479"/>
        </row>
        <row r="8480">
          <cell r="V8480"/>
          <cell r="W8480"/>
          <cell r="X8480"/>
          <cell r="Y8480"/>
        </row>
        <row r="8481">
          <cell r="V8481"/>
          <cell r="W8481"/>
          <cell r="X8481"/>
          <cell r="Y8481"/>
        </row>
        <row r="8482">
          <cell r="V8482"/>
          <cell r="W8482"/>
          <cell r="X8482"/>
          <cell r="Y8482"/>
        </row>
        <row r="8483">
          <cell r="V8483"/>
          <cell r="W8483"/>
          <cell r="X8483"/>
          <cell r="Y8483"/>
        </row>
        <row r="8484">
          <cell r="V8484"/>
          <cell r="W8484"/>
          <cell r="X8484"/>
          <cell r="Y8484"/>
        </row>
        <row r="8485">
          <cell r="V8485"/>
          <cell r="W8485"/>
          <cell r="X8485"/>
          <cell r="Y8485"/>
        </row>
        <row r="8486">
          <cell r="V8486"/>
          <cell r="W8486"/>
          <cell r="X8486"/>
          <cell r="Y8486"/>
        </row>
        <row r="8487">
          <cell r="V8487"/>
          <cell r="W8487"/>
          <cell r="X8487"/>
          <cell r="Y8487"/>
        </row>
        <row r="8488">
          <cell r="V8488"/>
          <cell r="W8488"/>
          <cell r="X8488"/>
          <cell r="Y8488"/>
        </row>
        <row r="8489">
          <cell r="V8489"/>
          <cell r="W8489"/>
          <cell r="X8489"/>
          <cell r="Y8489"/>
        </row>
        <row r="8490">
          <cell r="V8490"/>
          <cell r="W8490"/>
          <cell r="X8490"/>
          <cell r="Y8490"/>
        </row>
        <row r="8491">
          <cell r="V8491"/>
          <cell r="W8491"/>
          <cell r="X8491"/>
          <cell r="Y8491"/>
        </row>
        <row r="8492">
          <cell r="V8492"/>
          <cell r="W8492"/>
          <cell r="X8492"/>
          <cell r="Y8492"/>
        </row>
        <row r="8493">
          <cell r="V8493"/>
          <cell r="W8493"/>
          <cell r="X8493"/>
          <cell r="Y8493"/>
        </row>
        <row r="8494">
          <cell r="V8494"/>
          <cell r="W8494"/>
          <cell r="X8494"/>
          <cell r="Y8494"/>
        </row>
        <row r="8495">
          <cell r="V8495"/>
          <cell r="W8495"/>
          <cell r="X8495"/>
          <cell r="Y8495"/>
        </row>
        <row r="8496">
          <cell r="V8496"/>
          <cell r="W8496"/>
          <cell r="X8496"/>
          <cell r="Y8496"/>
        </row>
        <row r="8497">
          <cell r="V8497"/>
          <cell r="W8497"/>
          <cell r="X8497"/>
          <cell r="Y8497"/>
        </row>
        <row r="8498">
          <cell r="V8498"/>
          <cell r="W8498"/>
          <cell r="X8498"/>
          <cell r="Y8498"/>
        </row>
        <row r="8499">
          <cell r="V8499"/>
          <cell r="W8499"/>
          <cell r="X8499"/>
          <cell r="Y8499"/>
        </row>
        <row r="8500">
          <cell r="V8500"/>
          <cell r="W8500"/>
          <cell r="X8500"/>
          <cell r="Y8500"/>
        </row>
        <row r="8501">
          <cell r="V8501"/>
          <cell r="W8501"/>
          <cell r="X8501"/>
          <cell r="Y8501"/>
        </row>
        <row r="8502">
          <cell r="V8502"/>
          <cell r="W8502"/>
          <cell r="X8502"/>
          <cell r="Y8502"/>
        </row>
        <row r="8503">
          <cell r="V8503"/>
          <cell r="W8503"/>
          <cell r="X8503"/>
          <cell r="Y8503"/>
        </row>
        <row r="8504">
          <cell r="V8504"/>
          <cell r="W8504"/>
          <cell r="X8504"/>
          <cell r="Y8504"/>
        </row>
        <row r="8505">
          <cell r="V8505"/>
          <cell r="W8505"/>
          <cell r="X8505"/>
          <cell r="Y8505"/>
        </row>
        <row r="8506">
          <cell r="V8506"/>
          <cell r="W8506"/>
          <cell r="X8506"/>
          <cell r="Y8506"/>
        </row>
        <row r="8507">
          <cell r="V8507"/>
          <cell r="W8507"/>
          <cell r="X8507"/>
          <cell r="Y8507"/>
        </row>
        <row r="8508">
          <cell r="V8508"/>
          <cell r="W8508"/>
          <cell r="X8508"/>
          <cell r="Y8508"/>
        </row>
        <row r="8509">
          <cell r="V8509"/>
          <cell r="W8509"/>
          <cell r="X8509"/>
          <cell r="Y8509"/>
        </row>
        <row r="8510">
          <cell r="V8510"/>
          <cell r="W8510"/>
          <cell r="X8510"/>
          <cell r="Y8510"/>
        </row>
        <row r="8511">
          <cell r="V8511"/>
          <cell r="W8511"/>
          <cell r="X8511"/>
          <cell r="Y8511"/>
        </row>
        <row r="8512">
          <cell r="V8512"/>
          <cell r="W8512"/>
          <cell r="X8512"/>
          <cell r="Y8512"/>
        </row>
        <row r="8513">
          <cell r="V8513"/>
          <cell r="W8513"/>
          <cell r="X8513"/>
          <cell r="Y8513"/>
        </row>
        <row r="8514">
          <cell r="V8514"/>
          <cell r="W8514"/>
          <cell r="X8514"/>
          <cell r="Y8514"/>
        </row>
        <row r="8515">
          <cell r="V8515"/>
          <cell r="W8515"/>
          <cell r="X8515"/>
          <cell r="Y8515"/>
        </row>
        <row r="8516">
          <cell r="V8516"/>
          <cell r="W8516"/>
          <cell r="X8516"/>
          <cell r="Y8516"/>
        </row>
        <row r="8517">
          <cell r="V8517"/>
          <cell r="W8517"/>
          <cell r="X8517"/>
          <cell r="Y8517"/>
        </row>
        <row r="8518">
          <cell r="V8518"/>
          <cell r="W8518"/>
          <cell r="X8518"/>
          <cell r="Y8518"/>
        </row>
        <row r="8519">
          <cell r="V8519"/>
          <cell r="W8519"/>
          <cell r="X8519"/>
          <cell r="Y8519"/>
        </row>
        <row r="8520">
          <cell r="V8520"/>
          <cell r="W8520"/>
          <cell r="X8520"/>
          <cell r="Y8520"/>
        </row>
        <row r="8521">
          <cell r="V8521"/>
          <cell r="W8521"/>
          <cell r="X8521"/>
          <cell r="Y8521"/>
        </row>
        <row r="8522">
          <cell r="V8522"/>
          <cell r="W8522"/>
          <cell r="X8522"/>
          <cell r="Y8522"/>
        </row>
        <row r="8523">
          <cell r="V8523"/>
          <cell r="W8523"/>
          <cell r="X8523"/>
          <cell r="Y8523"/>
        </row>
        <row r="8524">
          <cell r="V8524"/>
          <cell r="W8524"/>
          <cell r="X8524"/>
          <cell r="Y8524"/>
        </row>
        <row r="8525">
          <cell r="V8525"/>
          <cell r="W8525"/>
          <cell r="X8525"/>
          <cell r="Y8525"/>
        </row>
        <row r="8526">
          <cell r="V8526"/>
          <cell r="W8526"/>
          <cell r="X8526"/>
          <cell r="Y8526"/>
        </row>
        <row r="8527">
          <cell r="V8527"/>
          <cell r="W8527"/>
          <cell r="X8527"/>
          <cell r="Y8527"/>
        </row>
        <row r="8528">
          <cell r="V8528"/>
          <cell r="W8528"/>
          <cell r="X8528"/>
          <cell r="Y8528"/>
        </row>
        <row r="8529">
          <cell r="V8529"/>
          <cell r="W8529"/>
          <cell r="X8529"/>
          <cell r="Y8529"/>
        </row>
        <row r="8530">
          <cell r="V8530"/>
          <cell r="W8530"/>
          <cell r="X8530"/>
          <cell r="Y8530"/>
        </row>
        <row r="8531">
          <cell r="V8531"/>
          <cell r="W8531"/>
          <cell r="X8531"/>
          <cell r="Y8531"/>
        </row>
        <row r="8532">
          <cell r="V8532"/>
          <cell r="W8532"/>
          <cell r="X8532"/>
          <cell r="Y8532"/>
        </row>
        <row r="8533">
          <cell r="V8533"/>
          <cell r="W8533"/>
          <cell r="X8533"/>
          <cell r="Y8533"/>
        </row>
        <row r="8534">
          <cell r="V8534"/>
          <cell r="W8534"/>
          <cell r="X8534"/>
          <cell r="Y8534"/>
        </row>
        <row r="8535">
          <cell r="V8535"/>
          <cell r="W8535"/>
          <cell r="X8535"/>
          <cell r="Y8535"/>
        </row>
        <row r="8536">
          <cell r="V8536"/>
          <cell r="W8536"/>
          <cell r="X8536"/>
          <cell r="Y8536"/>
        </row>
        <row r="8537">
          <cell r="V8537"/>
          <cell r="W8537"/>
          <cell r="X8537"/>
          <cell r="Y8537"/>
        </row>
        <row r="8538">
          <cell r="V8538"/>
          <cell r="W8538"/>
          <cell r="X8538"/>
          <cell r="Y8538"/>
        </row>
        <row r="8539">
          <cell r="V8539"/>
          <cell r="W8539"/>
          <cell r="X8539"/>
          <cell r="Y8539"/>
        </row>
        <row r="8540">
          <cell r="V8540"/>
          <cell r="W8540"/>
          <cell r="X8540"/>
          <cell r="Y8540"/>
        </row>
        <row r="8541">
          <cell r="V8541"/>
          <cell r="W8541"/>
          <cell r="X8541"/>
          <cell r="Y8541"/>
        </row>
        <row r="8542">
          <cell r="V8542"/>
          <cell r="W8542"/>
          <cell r="X8542"/>
          <cell r="Y8542"/>
        </row>
        <row r="8543">
          <cell r="V8543"/>
          <cell r="W8543"/>
          <cell r="X8543"/>
          <cell r="Y8543"/>
        </row>
        <row r="8544">
          <cell r="V8544"/>
          <cell r="W8544"/>
          <cell r="X8544"/>
          <cell r="Y8544"/>
        </row>
        <row r="8545">
          <cell r="V8545"/>
          <cell r="W8545"/>
          <cell r="X8545"/>
          <cell r="Y8545"/>
        </row>
        <row r="8546">
          <cell r="V8546"/>
          <cell r="W8546"/>
          <cell r="X8546"/>
          <cell r="Y8546"/>
        </row>
        <row r="8547">
          <cell r="V8547"/>
          <cell r="W8547"/>
          <cell r="X8547"/>
          <cell r="Y8547"/>
        </row>
        <row r="8548">
          <cell r="V8548"/>
          <cell r="W8548"/>
          <cell r="X8548"/>
          <cell r="Y8548"/>
        </row>
        <row r="8549">
          <cell r="V8549"/>
          <cell r="W8549"/>
          <cell r="X8549"/>
          <cell r="Y8549"/>
        </row>
        <row r="8550">
          <cell r="V8550"/>
          <cell r="W8550"/>
          <cell r="X8550"/>
          <cell r="Y8550"/>
        </row>
        <row r="8551">
          <cell r="V8551"/>
          <cell r="W8551"/>
          <cell r="X8551"/>
          <cell r="Y8551"/>
        </row>
        <row r="8552">
          <cell r="V8552"/>
          <cell r="W8552"/>
          <cell r="X8552"/>
          <cell r="Y8552"/>
        </row>
        <row r="8553">
          <cell r="V8553"/>
          <cell r="W8553"/>
          <cell r="X8553"/>
          <cell r="Y8553"/>
        </row>
        <row r="8554">
          <cell r="V8554"/>
          <cell r="W8554"/>
          <cell r="X8554"/>
          <cell r="Y8554"/>
        </row>
        <row r="8555">
          <cell r="V8555"/>
          <cell r="W8555"/>
          <cell r="X8555"/>
          <cell r="Y8555"/>
        </row>
        <row r="8556">
          <cell r="V8556"/>
          <cell r="W8556"/>
          <cell r="X8556"/>
          <cell r="Y8556"/>
        </row>
        <row r="8557">
          <cell r="V8557"/>
          <cell r="W8557"/>
          <cell r="X8557"/>
          <cell r="Y8557"/>
        </row>
        <row r="8558">
          <cell r="V8558"/>
          <cell r="W8558"/>
          <cell r="X8558"/>
          <cell r="Y8558"/>
        </row>
        <row r="8559">
          <cell r="V8559"/>
          <cell r="W8559"/>
          <cell r="X8559"/>
          <cell r="Y8559"/>
        </row>
        <row r="8560">
          <cell r="V8560"/>
          <cell r="W8560"/>
          <cell r="X8560"/>
          <cell r="Y8560"/>
        </row>
        <row r="8561">
          <cell r="V8561"/>
          <cell r="W8561"/>
          <cell r="X8561"/>
          <cell r="Y8561"/>
        </row>
        <row r="8562">
          <cell r="V8562"/>
          <cell r="W8562"/>
          <cell r="X8562"/>
          <cell r="Y8562"/>
        </row>
        <row r="8563">
          <cell r="V8563"/>
          <cell r="W8563"/>
          <cell r="X8563"/>
          <cell r="Y8563"/>
        </row>
        <row r="8564">
          <cell r="V8564"/>
          <cell r="W8564"/>
          <cell r="X8564"/>
          <cell r="Y8564"/>
        </row>
        <row r="8565">
          <cell r="V8565"/>
          <cell r="W8565"/>
          <cell r="X8565"/>
          <cell r="Y8565"/>
        </row>
        <row r="8566">
          <cell r="V8566"/>
          <cell r="W8566"/>
          <cell r="X8566"/>
          <cell r="Y8566"/>
        </row>
        <row r="8567">
          <cell r="V8567"/>
          <cell r="W8567"/>
          <cell r="X8567"/>
          <cell r="Y8567"/>
        </row>
        <row r="8568">
          <cell r="V8568"/>
          <cell r="W8568"/>
          <cell r="X8568"/>
          <cell r="Y8568"/>
        </row>
        <row r="8569">
          <cell r="V8569"/>
          <cell r="W8569"/>
          <cell r="X8569"/>
          <cell r="Y8569"/>
        </row>
        <row r="8570">
          <cell r="V8570"/>
          <cell r="W8570"/>
          <cell r="X8570"/>
          <cell r="Y8570"/>
        </row>
        <row r="8571">
          <cell r="V8571"/>
          <cell r="W8571"/>
          <cell r="X8571"/>
          <cell r="Y8571"/>
        </row>
        <row r="8572">
          <cell r="V8572"/>
          <cell r="W8572"/>
          <cell r="X8572"/>
          <cell r="Y8572"/>
        </row>
        <row r="8573">
          <cell r="V8573"/>
          <cell r="W8573"/>
          <cell r="X8573"/>
          <cell r="Y8573"/>
        </row>
        <row r="8574">
          <cell r="V8574"/>
          <cell r="W8574"/>
          <cell r="X8574"/>
          <cell r="Y8574"/>
        </row>
        <row r="8575">
          <cell r="V8575"/>
          <cell r="W8575"/>
          <cell r="X8575"/>
          <cell r="Y8575"/>
        </row>
        <row r="8576">
          <cell r="V8576"/>
          <cell r="W8576"/>
          <cell r="X8576"/>
          <cell r="Y8576"/>
        </row>
        <row r="8577">
          <cell r="V8577"/>
          <cell r="W8577"/>
          <cell r="X8577"/>
          <cell r="Y8577"/>
        </row>
        <row r="8578">
          <cell r="V8578"/>
          <cell r="W8578"/>
          <cell r="X8578"/>
          <cell r="Y8578"/>
        </row>
        <row r="8579">
          <cell r="V8579"/>
          <cell r="W8579"/>
          <cell r="X8579"/>
          <cell r="Y8579"/>
        </row>
        <row r="8580">
          <cell r="V8580"/>
          <cell r="W8580"/>
          <cell r="X8580"/>
          <cell r="Y8580"/>
        </row>
        <row r="8581">
          <cell r="V8581"/>
          <cell r="W8581"/>
          <cell r="X8581"/>
          <cell r="Y8581"/>
        </row>
        <row r="8582">
          <cell r="V8582"/>
          <cell r="W8582"/>
          <cell r="X8582"/>
          <cell r="Y8582"/>
        </row>
        <row r="8583">
          <cell r="V8583"/>
          <cell r="W8583"/>
          <cell r="X8583"/>
          <cell r="Y8583"/>
        </row>
        <row r="8584">
          <cell r="V8584"/>
          <cell r="W8584"/>
          <cell r="X8584"/>
          <cell r="Y8584"/>
        </row>
        <row r="8585">
          <cell r="V8585"/>
          <cell r="W8585"/>
          <cell r="X8585"/>
          <cell r="Y8585"/>
        </row>
        <row r="8586">
          <cell r="V8586"/>
          <cell r="W8586"/>
          <cell r="X8586"/>
          <cell r="Y8586"/>
        </row>
        <row r="8587">
          <cell r="V8587"/>
          <cell r="W8587"/>
          <cell r="X8587"/>
          <cell r="Y8587"/>
        </row>
        <row r="8588">
          <cell r="V8588"/>
          <cell r="W8588"/>
          <cell r="X8588"/>
          <cell r="Y8588"/>
        </row>
        <row r="8589">
          <cell r="V8589"/>
          <cell r="W8589"/>
          <cell r="X8589"/>
          <cell r="Y8589"/>
        </row>
        <row r="8590">
          <cell r="V8590"/>
          <cell r="W8590"/>
          <cell r="X8590"/>
          <cell r="Y8590"/>
        </row>
        <row r="8591">
          <cell r="V8591"/>
          <cell r="W8591"/>
          <cell r="X8591"/>
          <cell r="Y8591"/>
        </row>
        <row r="8592">
          <cell r="V8592"/>
          <cell r="W8592"/>
          <cell r="X8592"/>
          <cell r="Y8592"/>
        </row>
        <row r="8593">
          <cell r="V8593"/>
          <cell r="W8593"/>
          <cell r="X8593"/>
          <cell r="Y8593"/>
        </row>
        <row r="8594">
          <cell r="V8594"/>
          <cell r="W8594"/>
          <cell r="X8594"/>
          <cell r="Y8594"/>
        </row>
        <row r="8595">
          <cell r="V8595"/>
          <cell r="W8595"/>
          <cell r="X8595"/>
          <cell r="Y8595"/>
        </row>
        <row r="8596">
          <cell r="V8596"/>
          <cell r="W8596"/>
          <cell r="X8596"/>
          <cell r="Y8596"/>
        </row>
        <row r="8597">
          <cell r="V8597"/>
          <cell r="W8597"/>
          <cell r="X8597"/>
          <cell r="Y8597"/>
        </row>
        <row r="8598">
          <cell r="V8598"/>
          <cell r="W8598"/>
          <cell r="X8598"/>
          <cell r="Y8598"/>
        </row>
        <row r="8599">
          <cell r="V8599"/>
          <cell r="W8599"/>
          <cell r="X8599"/>
          <cell r="Y8599"/>
        </row>
        <row r="8600">
          <cell r="V8600"/>
          <cell r="W8600"/>
          <cell r="X8600"/>
          <cell r="Y8600"/>
        </row>
        <row r="8601">
          <cell r="V8601"/>
          <cell r="W8601"/>
          <cell r="X8601"/>
          <cell r="Y8601"/>
        </row>
        <row r="8602">
          <cell r="V8602"/>
          <cell r="W8602"/>
          <cell r="X8602"/>
          <cell r="Y8602"/>
        </row>
        <row r="8603">
          <cell r="V8603"/>
          <cell r="W8603"/>
          <cell r="X8603"/>
          <cell r="Y8603"/>
        </row>
        <row r="8604">
          <cell r="V8604"/>
          <cell r="W8604"/>
          <cell r="X8604"/>
          <cell r="Y8604"/>
        </row>
        <row r="8605">
          <cell r="V8605"/>
          <cell r="W8605"/>
          <cell r="X8605"/>
          <cell r="Y8605"/>
        </row>
        <row r="8606">
          <cell r="V8606"/>
          <cell r="W8606"/>
          <cell r="X8606"/>
          <cell r="Y8606"/>
        </row>
        <row r="8607">
          <cell r="V8607"/>
          <cell r="W8607"/>
          <cell r="X8607"/>
          <cell r="Y8607"/>
        </row>
        <row r="8608">
          <cell r="V8608"/>
          <cell r="W8608"/>
          <cell r="X8608"/>
          <cell r="Y8608"/>
        </row>
        <row r="8609">
          <cell r="V8609"/>
          <cell r="W8609"/>
          <cell r="X8609"/>
          <cell r="Y8609"/>
        </row>
        <row r="8610">
          <cell r="V8610"/>
          <cell r="W8610"/>
          <cell r="X8610"/>
          <cell r="Y8610"/>
        </row>
        <row r="8611">
          <cell r="V8611"/>
          <cell r="W8611"/>
          <cell r="X8611"/>
          <cell r="Y8611"/>
        </row>
        <row r="8612">
          <cell r="V8612"/>
          <cell r="W8612"/>
          <cell r="X8612"/>
          <cell r="Y8612"/>
        </row>
        <row r="8613">
          <cell r="V8613"/>
          <cell r="W8613"/>
          <cell r="X8613"/>
          <cell r="Y8613"/>
        </row>
        <row r="8614">
          <cell r="V8614"/>
          <cell r="W8614"/>
          <cell r="X8614"/>
          <cell r="Y8614"/>
        </row>
        <row r="8615">
          <cell r="V8615"/>
          <cell r="W8615"/>
          <cell r="X8615"/>
          <cell r="Y8615"/>
        </row>
        <row r="8616">
          <cell r="V8616"/>
          <cell r="W8616"/>
          <cell r="X8616"/>
          <cell r="Y8616"/>
        </row>
        <row r="8617">
          <cell r="V8617"/>
          <cell r="W8617"/>
          <cell r="X8617"/>
          <cell r="Y8617"/>
        </row>
        <row r="8618">
          <cell r="V8618"/>
          <cell r="W8618"/>
          <cell r="X8618"/>
          <cell r="Y8618"/>
        </row>
        <row r="8619">
          <cell r="V8619"/>
          <cell r="W8619"/>
          <cell r="X8619"/>
          <cell r="Y8619"/>
        </row>
        <row r="8620">
          <cell r="V8620"/>
          <cell r="W8620"/>
          <cell r="X8620"/>
          <cell r="Y8620"/>
        </row>
        <row r="8621">
          <cell r="V8621"/>
          <cell r="W8621"/>
          <cell r="X8621"/>
          <cell r="Y8621"/>
        </row>
        <row r="8622">
          <cell r="V8622"/>
          <cell r="W8622"/>
          <cell r="X8622"/>
          <cell r="Y8622"/>
        </row>
        <row r="8623">
          <cell r="V8623"/>
          <cell r="W8623"/>
          <cell r="X8623"/>
          <cell r="Y8623"/>
        </row>
        <row r="8624">
          <cell r="V8624"/>
          <cell r="W8624"/>
          <cell r="X8624"/>
          <cell r="Y8624"/>
        </row>
        <row r="8625">
          <cell r="V8625"/>
          <cell r="W8625"/>
          <cell r="X8625"/>
          <cell r="Y8625"/>
        </row>
        <row r="8626">
          <cell r="V8626"/>
          <cell r="W8626"/>
          <cell r="X8626"/>
          <cell r="Y8626"/>
        </row>
        <row r="8627">
          <cell r="V8627"/>
          <cell r="W8627"/>
          <cell r="X8627"/>
          <cell r="Y8627"/>
        </row>
        <row r="8628">
          <cell r="V8628"/>
          <cell r="W8628"/>
          <cell r="X8628"/>
          <cell r="Y8628"/>
        </row>
        <row r="8629">
          <cell r="V8629"/>
          <cell r="W8629"/>
          <cell r="X8629"/>
          <cell r="Y8629"/>
        </row>
        <row r="8630">
          <cell r="V8630"/>
          <cell r="W8630"/>
          <cell r="X8630"/>
          <cell r="Y8630"/>
        </row>
        <row r="8631">
          <cell r="V8631"/>
          <cell r="W8631"/>
          <cell r="X8631"/>
          <cell r="Y8631"/>
        </row>
        <row r="8632">
          <cell r="V8632"/>
          <cell r="W8632"/>
          <cell r="X8632"/>
          <cell r="Y8632"/>
        </row>
        <row r="8633">
          <cell r="V8633"/>
          <cell r="W8633"/>
          <cell r="X8633"/>
          <cell r="Y8633"/>
        </row>
        <row r="8634">
          <cell r="V8634"/>
          <cell r="W8634"/>
          <cell r="X8634"/>
          <cell r="Y8634"/>
        </row>
        <row r="8635">
          <cell r="V8635"/>
          <cell r="W8635"/>
          <cell r="X8635"/>
          <cell r="Y8635"/>
        </row>
        <row r="8636">
          <cell r="V8636"/>
          <cell r="W8636"/>
          <cell r="X8636"/>
          <cell r="Y8636"/>
        </row>
        <row r="8637">
          <cell r="V8637"/>
          <cell r="W8637"/>
          <cell r="X8637"/>
          <cell r="Y8637"/>
        </row>
        <row r="8638">
          <cell r="V8638"/>
          <cell r="W8638"/>
          <cell r="X8638"/>
          <cell r="Y8638"/>
        </row>
        <row r="8639">
          <cell r="V8639"/>
          <cell r="W8639"/>
          <cell r="X8639"/>
          <cell r="Y8639"/>
        </row>
        <row r="8640">
          <cell r="V8640"/>
          <cell r="W8640"/>
          <cell r="X8640"/>
          <cell r="Y8640"/>
        </row>
        <row r="8641">
          <cell r="V8641"/>
          <cell r="W8641"/>
          <cell r="X8641"/>
          <cell r="Y8641"/>
        </row>
        <row r="8642">
          <cell r="V8642"/>
          <cell r="W8642"/>
          <cell r="X8642"/>
          <cell r="Y8642"/>
        </row>
        <row r="8643">
          <cell r="V8643"/>
          <cell r="W8643"/>
          <cell r="X8643"/>
          <cell r="Y8643"/>
        </row>
        <row r="8644">
          <cell r="V8644"/>
          <cell r="W8644"/>
          <cell r="X8644"/>
          <cell r="Y8644"/>
        </row>
        <row r="8645">
          <cell r="V8645"/>
          <cell r="W8645"/>
          <cell r="X8645"/>
          <cell r="Y8645"/>
        </row>
        <row r="8646">
          <cell r="V8646"/>
          <cell r="W8646"/>
          <cell r="X8646"/>
          <cell r="Y8646"/>
        </row>
        <row r="8647">
          <cell r="V8647"/>
          <cell r="W8647"/>
          <cell r="X8647"/>
          <cell r="Y8647"/>
        </row>
        <row r="8648">
          <cell r="V8648"/>
          <cell r="W8648"/>
          <cell r="X8648"/>
          <cell r="Y8648"/>
        </row>
        <row r="8649">
          <cell r="V8649"/>
          <cell r="W8649"/>
          <cell r="X8649"/>
          <cell r="Y8649"/>
        </row>
        <row r="8650">
          <cell r="V8650"/>
          <cell r="W8650"/>
          <cell r="X8650"/>
          <cell r="Y8650"/>
        </row>
        <row r="8651">
          <cell r="V8651"/>
          <cell r="W8651"/>
          <cell r="X8651"/>
          <cell r="Y8651"/>
        </row>
        <row r="8652">
          <cell r="V8652"/>
          <cell r="W8652"/>
          <cell r="X8652"/>
          <cell r="Y8652"/>
        </row>
        <row r="8653">
          <cell r="V8653"/>
          <cell r="W8653"/>
          <cell r="X8653"/>
          <cell r="Y8653"/>
        </row>
        <row r="8654">
          <cell r="V8654"/>
          <cell r="W8654"/>
          <cell r="X8654"/>
          <cell r="Y8654"/>
        </row>
        <row r="8655">
          <cell r="V8655"/>
          <cell r="W8655"/>
          <cell r="X8655"/>
          <cell r="Y8655"/>
        </row>
        <row r="8656">
          <cell r="V8656"/>
          <cell r="W8656"/>
          <cell r="X8656"/>
          <cell r="Y8656"/>
        </row>
        <row r="8657">
          <cell r="V8657"/>
          <cell r="W8657"/>
          <cell r="X8657"/>
          <cell r="Y8657"/>
        </row>
        <row r="8658">
          <cell r="V8658"/>
          <cell r="W8658"/>
          <cell r="X8658"/>
          <cell r="Y8658"/>
        </row>
        <row r="8659">
          <cell r="V8659"/>
          <cell r="W8659"/>
          <cell r="X8659"/>
          <cell r="Y8659"/>
        </row>
        <row r="8660">
          <cell r="V8660"/>
          <cell r="W8660"/>
          <cell r="X8660"/>
          <cell r="Y8660"/>
        </row>
        <row r="8661">
          <cell r="V8661"/>
          <cell r="W8661"/>
          <cell r="X8661"/>
          <cell r="Y8661"/>
        </row>
        <row r="8662">
          <cell r="V8662"/>
          <cell r="W8662"/>
          <cell r="X8662"/>
          <cell r="Y8662"/>
        </row>
        <row r="8663">
          <cell r="V8663"/>
          <cell r="W8663"/>
          <cell r="X8663"/>
          <cell r="Y8663"/>
        </row>
        <row r="8664">
          <cell r="V8664"/>
          <cell r="W8664"/>
          <cell r="X8664"/>
          <cell r="Y8664"/>
        </row>
        <row r="8665">
          <cell r="V8665"/>
          <cell r="W8665"/>
          <cell r="X8665"/>
          <cell r="Y8665"/>
        </row>
        <row r="8666">
          <cell r="V8666"/>
          <cell r="W8666"/>
          <cell r="X8666"/>
          <cell r="Y8666"/>
        </row>
        <row r="8667">
          <cell r="V8667"/>
          <cell r="W8667"/>
          <cell r="X8667"/>
          <cell r="Y8667"/>
        </row>
        <row r="8668">
          <cell r="V8668"/>
          <cell r="W8668"/>
          <cell r="X8668"/>
          <cell r="Y8668"/>
        </row>
        <row r="8669">
          <cell r="V8669"/>
          <cell r="W8669"/>
          <cell r="X8669"/>
          <cell r="Y8669"/>
        </row>
        <row r="8670">
          <cell r="V8670"/>
          <cell r="W8670"/>
          <cell r="X8670"/>
          <cell r="Y8670"/>
        </row>
        <row r="8671">
          <cell r="V8671"/>
          <cell r="W8671"/>
          <cell r="X8671"/>
          <cell r="Y8671"/>
        </row>
        <row r="8672">
          <cell r="V8672"/>
          <cell r="W8672"/>
          <cell r="X8672"/>
          <cell r="Y8672"/>
        </row>
        <row r="8673">
          <cell r="V8673"/>
          <cell r="W8673"/>
          <cell r="X8673"/>
          <cell r="Y8673"/>
        </row>
        <row r="8674">
          <cell r="V8674"/>
          <cell r="W8674"/>
          <cell r="X8674"/>
          <cell r="Y8674"/>
        </row>
        <row r="8675">
          <cell r="V8675"/>
          <cell r="W8675"/>
          <cell r="X8675"/>
          <cell r="Y8675"/>
        </row>
        <row r="8676">
          <cell r="V8676"/>
          <cell r="W8676"/>
          <cell r="X8676"/>
          <cell r="Y8676"/>
        </row>
        <row r="8677">
          <cell r="V8677"/>
          <cell r="W8677"/>
          <cell r="X8677"/>
          <cell r="Y8677"/>
        </row>
        <row r="8678">
          <cell r="V8678"/>
          <cell r="W8678"/>
          <cell r="X8678"/>
          <cell r="Y8678"/>
        </row>
        <row r="8679">
          <cell r="V8679"/>
          <cell r="W8679"/>
          <cell r="X8679"/>
          <cell r="Y8679"/>
        </row>
        <row r="8680">
          <cell r="V8680"/>
          <cell r="W8680"/>
          <cell r="X8680"/>
          <cell r="Y8680"/>
        </row>
        <row r="8681">
          <cell r="V8681"/>
          <cell r="W8681"/>
          <cell r="X8681"/>
          <cell r="Y8681"/>
        </row>
        <row r="8682">
          <cell r="V8682"/>
          <cell r="W8682"/>
          <cell r="X8682"/>
          <cell r="Y8682"/>
        </row>
        <row r="8683">
          <cell r="V8683"/>
          <cell r="W8683"/>
          <cell r="X8683"/>
          <cell r="Y8683"/>
        </row>
        <row r="8684">
          <cell r="V8684"/>
          <cell r="W8684"/>
          <cell r="X8684"/>
          <cell r="Y8684"/>
        </row>
        <row r="8685">
          <cell r="V8685"/>
          <cell r="W8685"/>
          <cell r="X8685"/>
          <cell r="Y8685"/>
        </row>
        <row r="8686">
          <cell r="V8686"/>
          <cell r="W8686"/>
          <cell r="X8686"/>
          <cell r="Y8686"/>
        </row>
        <row r="8687">
          <cell r="V8687"/>
          <cell r="W8687"/>
          <cell r="X8687"/>
          <cell r="Y8687"/>
        </row>
        <row r="8688">
          <cell r="V8688"/>
          <cell r="W8688"/>
          <cell r="X8688"/>
          <cell r="Y8688"/>
        </row>
        <row r="8689">
          <cell r="V8689"/>
          <cell r="W8689"/>
          <cell r="X8689"/>
          <cell r="Y8689"/>
        </row>
        <row r="8690">
          <cell r="V8690"/>
          <cell r="W8690"/>
          <cell r="X8690"/>
          <cell r="Y8690"/>
        </row>
        <row r="8691">
          <cell r="V8691"/>
          <cell r="W8691"/>
          <cell r="X8691"/>
          <cell r="Y8691"/>
        </row>
        <row r="8692">
          <cell r="V8692"/>
          <cell r="W8692"/>
          <cell r="X8692"/>
          <cell r="Y8692"/>
        </row>
        <row r="8693">
          <cell r="V8693"/>
          <cell r="W8693"/>
          <cell r="X8693"/>
          <cell r="Y8693"/>
        </row>
        <row r="8694">
          <cell r="V8694"/>
          <cell r="W8694"/>
          <cell r="X8694"/>
          <cell r="Y8694"/>
        </row>
        <row r="8695">
          <cell r="V8695"/>
          <cell r="W8695"/>
          <cell r="X8695"/>
          <cell r="Y8695"/>
        </row>
        <row r="8696">
          <cell r="V8696"/>
          <cell r="W8696"/>
          <cell r="X8696"/>
          <cell r="Y8696"/>
        </row>
        <row r="8697">
          <cell r="V8697"/>
          <cell r="W8697"/>
          <cell r="X8697"/>
          <cell r="Y8697"/>
        </row>
        <row r="8698">
          <cell r="V8698"/>
          <cell r="W8698"/>
          <cell r="X8698"/>
          <cell r="Y8698"/>
        </row>
        <row r="8699">
          <cell r="V8699"/>
          <cell r="W8699"/>
          <cell r="X8699"/>
          <cell r="Y8699"/>
        </row>
        <row r="8700">
          <cell r="V8700"/>
          <cell r="W8700"/>
          <cell r="X8700"/>
          <cell r="Y8700"/>
        </row>
        <row r="8701">
          <cell r="V8701"/>
          <cell r="W8701"/>
          <cell r="X8701"/>
          <cell r="Y8701"/>
        </row>
        <row r="8702">
          <cell r="V8702"/>
          <cell r="W8702"/>
          <cell r="X8702"/>
          <cell r="Y8702"/>
        </row>
        <row r="8703">
          <cell r="V8703"/>
          <cell r="W8703"/>
          <cell r="X8703"/>
          <cell r="Y8703"/>
        </row>
        <row r="8704">
          <cell r="V8704"/>
          <cell r="W8704"/>
          <cell r="X8704"/>
          <cell r="Y8704"/>
        </row>
        <row r="8705">
          <cell r="V8705"/>
          <cell r="W8705"/>
          <cell r="X8705"/>
          <cell r="Y8705"/>
        </row>
        <row r="8706">
          <cell r="V8706"/>
          <cell r="W8706"/>
          <cell r="X8706"/>
          <cell r="Y8706"/>
        </row>
        <row r="8707">
          <cell r="V8707"/>
          <cell r="W8707"/>
          <cell r="X8707"/>
          <cell r="Y8707"/>
        </row>
        <row r="8708">
          <cell r="V8708"/>
          <cell r="W8708"/>
          <cell r="X8708"/>
          <cell r="Y8708"/>
        </row>
        <row r="8709">
          <cell r="V8709"/>
          <cell r="W8709"/>
          <cell r="X8709"/>
          <cell r="Y8709"/>
        </row>
        <row r="8710">
          <cell r="V8710"/>
          <cell r="W8710"/>
          <cell r="X8710"/>
          <cell r="Y8710"/>
        </row>
        <row r="8711">
          <cell r="V8711"/>
          <cell r="W8711"/>
          <cell r="X8711"/>
          <cell r="Y8711"/>
        </row>
        <row r="8712">
          <cell r="V8712"/>
          <cell r="W8712"/>
          <cell r="X8712"/>
          <cell r="Y8712"/>
        </row>
        <row r="8713">
          <cell r="V8713"/>
          <cell r="W8713"/>
          <cell r="X8713"/>
          <cell r="Y8713"/>
        </row>
        <row r="8714">
          <cell r="V8714"/>
          <cell r="W8714"/>
          <cell r="X8714"/>
          <cell r="Y8714"/>
        </row>
        <row r="8715">
          <cell r="V8715"/>
          <cell r="W8715"/>
          <cell r="X8715"/>
          <cell r="Y8715"/>
        </row>
        <row r="8716">
          <cell r="V8716"/>
          <cell r="W8716"/>
          <cell r="X8716"/>
          <cell r="Y8716"/>
        </row>
        <row r="8717">
          <cell r="V8717"/>
          <cell r="W8717"/>
          <cell r="X8717"/>
          <cell r="Y8717"/>
        </row>
        <row r="8718">
          <cell r="V8718"/>
          <cell r="W8718"/>
          <cell r="X8718"/>
          <cell r="Y8718"/>
        </row>
        <row r="8719">
          <cell r="V8719"/>
          <cell r="W8719"/>
          <cell r="X8719"/>
          <cell r="Y8719"/>
        </row>
        <row r="8720">
          <cell r="V8720"/>
          <cell r="W8720"/>
          <cell r="X8720"/>
          <cell r="Y8720"/>
        </row>
        <row r="8721">
          <cell r="V8721"/>
          <cell r="W8721"/>
          <cell r="X8721"/>
          <cell r="Y8721"/>
        </row>
        <row r="8722">
          <cell r="V8722"/>
          <cell r="W8722"/>
          <cell r="X8722"/>
          <cell r="Y8722"/>
        </row>
        <row r="8723">
          <cell r="V8723"/>
          <cell r="W8723"/>
          <cell r="X8723"/>
          <cell r="Y8723"/>
        </row>
        <row r="8724">
          <cell r="V8724"/>
          <cell r="W8724"/>
          <cell r="X8724"/>
          <cell r="Y8724"/>
        </row>
        <row r="8725">
          <cell r="V8725"/>
          <cell r="W8725"/>
          <cell r="X8725"/>
          <cell r="Y8725"/>
        </row>
        <row r="8726">
          <cell r="V8726"/>
          <cell r="W8726"/>
          <cell r="X8726"/>
          <cell r="Y8726"/>
        </row>
        <row r="8727">
          <cell r="V8727"/>
          <cell r="W8727"/>
          <cell r="X8727"/>
          <cell r="Y8727"/>
        </row>
        <row r="8728">
          <cell r="V8728"/>
          <cell r="W8728"/>
          <cell r="X8728"/>
          <cell r="Y8728"/>
        </row>
        <row r="8729">
          <cell r="V8729"/>
          <cell r="W8729"/>
          <cell r="X8729"/>
          <cell r="Y8729"/>
        </row>
        <row r="8730">
          <cell r="V8730"/>
          <cell r="W8730"/>
          <cell r="X8730"/>
          <cell r="Y8730"/>
        </row>
        <row r="8731">
          <cell r="V8731"/>
          <cell r="W8731"/>
          <cell r="X8731"/>
          <cell r="Y8731"/>
        </row>
        <row r="8732">
          <cell r="V8732"/>
          <cell r="W8732"/>
          <cell r="X8732"/>
          <cell r="Y8732"/>
        </row>
        <row r="8733">
          <cell r="V8733"/>
          <cell r="W8733"/>
          <cell r="X8733"/>
          <cell r="Y8733"/>
        </row>
        <row r="8734">
          <cell r="V8734"/>
          <cell r="W8734"/>
          <cell r="X8734"/>
          <cell r="Y8734"/>
        </row>
        <row r="8735">
          <cell r="V8735"/>
          <cell r="W8735"/>
          <cell r="X8735"/>
          <cell r="Y8735"/>
        </row>
        <row r="8736">
          <cell r="V8736"/>
          <cell r="W8736"/>
          <cell r="X8736"/>
          <cell r="Y8736"/>
        </row>
        <row r="8737">
          <cell r="V8737"/>
          <cell r="W8737"/>
          <cell r="X8737"/>
          <cell r="Y8737"/>
        </row>
        <row r="8738">
          <cell r="V8738"/>
          <cell r="W8738"/>
          <cell r="X8738"/>
          <cell r="Y8738"/>
        </row>
        <row r="8739">
          <cell r="V8739"/>
          <cell r="W8739"/>
          <cell r="X8739"/>
          <cell r="Y8739"/>
        </row>
        <row r="8740">
          <cell r="V8740"/>
          <cell r="W8740"/>
          <cell r="X8740"/>
          <cell r="Y8740"/>
        </row>
        <row r="8741">
          <cell r="V8741"/>
          <cell r="W8741"/>
          <cell r="X8741"/>
          <cell r="Y8741"/>
        </row>
        <row r="8742">
          <cell r="V8742"/>
          <cell r="W8742"/>
          <cell r="X8742"/>
          <cell r="Y8742"/>
        </row>
        <row r="8743">
          <cell r="V8743"/>
          <cell r="W8743"/>
          <cell r="X8743"/>
          <cell r="Y8743"/>
        </row>
        <row r="8744">
          <cell r="V8744"/>
          <cell r="W8744"/>
          <cell r="X8744"/>
          <cell r="Y8744"/>
        </row>
        <row r="8745">
          <cell r="V8745"/>
          <cell r="W8745"/>
          <cell r="X8745"/>
          <cell r="Y8745"/>
        </row>
        <row r="8746">
          <cell r="V8746"/>
          <cell r="W8746"/>
          <cell r="X8746"/>
          <cell r="Y8746"/>
        </row>
        <row r="8747">
          <cell r="V8747"/>
          <cell r="W8747"/>
          <cell r="X8747"/>
          <cell r="Y8747"/>
        </row>
        <row r="8748">
          <cell r="V8748"/>
          <cell r="W8748"/>
          <cell r="X8748"/>
          <cell r="Y8748"/>
        </row>
        <row r="8749">
          <cell r="V8749"/>
          <cell r="W8749"/>
          <cell r="X8749"/>
          <cell r="Y8749"/>
        </row>
        <row r="8750">
          <cell r="V8750"/>
          <cell r="W8750"/>
          <cell r="X8750"/>
          <cell r="Y8750"/>
        </row>
        <row r="8751">
          <cell r="V8751"/>
          <cell r="W8751"/>
          <cell r="X8751"/>
          <cell r="Y8751"/>
        </row>
        <row r="8752">
          <cell r="V8752"/>
          <cell r="W8752"/>
          <cell r="X8752"/>
          <cell r="Y8752"/>
        </row>
        <row r="8753">
          <cell r="V8753"/>
          <cell r="W8753"/>
          <cell r="X8753"/>
          <cell r="Y8753"/>
        </row>
        <row r="8754">
          <cell r="V8754"/>
          <cell r="W8754"/>
          <cell r="X8754"/>
          <cell r="Y8754"/>
        </row>
        <row r="8755">
          <cell r="V8755"/>
          <cell r="W8755"/>
          <cell r="X8755"/>
          <cell r="Y8755"/>
        </row>
        <row r="8756">
          <cell r="V8756"/>
          <cell r="W8756"/>
          <cell r="X8756"/>
          <cell r="Y8756"/>
        </row>
        <row r="8757">
          <cell r="V8757"/>
          <cell r="W8757"/>
          <cell r="X8757"/>
          <cell r="Y8757"/>
        </row>
        <row r="8758">
          <cell r="V8758"/>
          <cell r="W8758"/>
          <cell r="X8758"/>
          <cell r="Y8758"/>
        </row>
        <row r="8759">
          <cell r="V8759"/>
          <cell r="W8759"/>
          <cell r="X8759"/>
          <cell r="Y8759"/>
        </row>
        <row r="8760">
          <cell r="V8760"/>
          <cell r="W8760"/>
          <cell r="X8760"/>
          <cell r="Y8760"/>
        </row>
        <row r="8761">
          <cell r="V8761"/>
          <cell r="W8761"/>
          <cell r="X8761"/>
          <cell r="Y8761"/>
        </row>
        <row r="8762">
          <cell r="V8762"/>
          <cell r="W8762"/>
          <cell r="X8762"/>
          <cell r="Y8762"/>
        </row>
        <row r="8763">
          <cell r="V8763"/>
          <cell r="W8763"/>
          <cell r="X8763"/>
          <cell r="Y8763"/>
        </row>
        <row r="8764">
          <cell r="V8764"/>
          <cell r="W8764"/>
          <cell r="X8764"/>
          <cell r="Y8764"/>
        </row>
        <row r="8765">
          <cell r="V8765"/>
          <cell r="W8765"/>
          <cell r="X8765"/>
          <cell r="Y8765"/>
        </row>
        <row r="8766">
          <cell r="V8766"/>
          <cell r="W8766"/>
          <cell r="X8766"/>
          <cell r="Y8766"/>
        </row>
        <row r="8767">
          <cell r="V8767"/>
          <cell r="W8767"/>
          <cell r="X8767"/>
          <cell r="Y8767"/>
        </row>
        <row r="8768">
          <cell r="V8768"/>
          <cell r="W8768"/>
          <cell r="X8768"/>
          <cell r="Y8768"/>
        </row>
        <row r="8769">
          <cell r="V8769"/>
          <cell r="W8769"/>
          <cell r="X8769"/>
          <cell r="Y8769"/>
        </row>
        <row r="8770">
          <cell r="V8770"/>
          <cell r="W8770"/>
          <cell r="X8770"/>
          <cell r="Y8770"/>
        </row>
        <row r="8771">
          <cell r="V8771"/>
          <cell r="W8771"/>
          <cell r="X8771"/>
          <cell r="Y8771"/>
        </row>
        <row r="8772">
          <cell r="V8772"/>
          <cell r="W8772"/>
          <cell r="X8772"/>
          <cell r="Y8772"/>
        </row>
        <row r="8773">
          <cell r="V8773"/>
          <cell r="W8773"/>
          <cell r="X8773"/>
          <cell r="Y8773"/>
        </row>
        <row r="8774">
          <cell r="V8774"/>
          <cell r="W8774"/>
          <cell r="X8774"/>
          <cell r="Y8774"/>
        </row>
        <row r="8775">
          <cell r="V8775"/>
          <cell r="W8775"/>
          <cell r="X8775"/>
          <cell r="Y8775"/>
        </row>
        <row r="8776">
          <cell r="V8776"/>
          <cell r="W8776"/>
          <cell r="X8776"/>
          <cell r="Y8776"/>
        </row>
        <row r="8777">
          <cell r="V8777"/>
          <cell r="W8777"/>
          <cell r="X8777"/>
          <cell r="Y8777"/>
        </row>
        <row r="8778">
          <cell r="V8778"/>
          <cell r="W8778"/>
          <cell r="X8778"/>
          <cell r="Y8778"/>
        </row>
        <row r="8779">
          <cell r="V8779"/>
          <cell r="W8779"/>
          <cell r="X8779"/>
          <cell r="Y8779"/>
        </row>
        <row r="8780">
          <cell r="V8780"/>
          <cell r="W8780"/>
          <cell r="X8780"/>
          <cell r="Y8780"/>
        </row>
        <row r="8781">
          <cell r="V8781"/>
          <cell r="W8781"/>
          <cell r="X8781"/>
          <cell r="Y8781"/>
        </row>
        <row r="8782">
          <cell r="V8782"/>
          <cell r="W8782"/>
          <cell r="X8782"/>
          <cell r="Y8782"/>
        </row>
        <row r="8783">
          <cell r="V8783"/>
          <cell r="W8783"/>
          <cell r="X8783"/>
          <cell r="Y8783"/>
        </row>
        <row r="8784">
          <cell r="V8784"/>
          <cell r="W8784"/>
          <cell r="X8784"/>
          <cell r="Y8784"/>
        </row>
        <row r="8785">
          <cell r="V8785"/>
          <cell r="W8785"/>
          <cell r="X8785"/>
          <cell r="Y8785"/>
        </row>
        <row r="8786">
          <cell r="V8786"/>
          <cell r="W8786"/>
          <cell r="X8786"/>
          <cell r="Y8786"/>
        </row>
        <row r="8787">
          <cell r="V8787"/>
          <cell r="W8787"/>
          <cell r="X8787"/>
          <cell r="Y8787"/>
        </row>
        <row r="8788">
          <cell r="V8788"/>
          <cell r="W8788"/>
          <cell r="X8788"/>
          <cell r="Y8788"/>
        </row>
        <row r="8789">
          <cell r="V8789"/>
          <cell r="W8789"/>
          <cell r="X8789"/>
          <cell r="Y8789"/>
        </row>
        <row r="8790">
          <cell r="V8790"/>
          <cell r="W8790"/>
          <cell r="X8790"/>
          <cell r="Y8790"/>
        </row>
        <row r="8791">
          <cell r="V8791"/>
          <cell r="W8791"/>
          <cell r="X8791"/>
          <cell r="Y8791"/>
        </row>
        <row r="8792">
          <cell r="V8792"/>
          <cell r="W8792"/>
          <cell r="X8792"/>
          <cell r="Y8792"/>
        </row>
        <row r="8793">
          <cell r="V8793"/>
          <cell r="W8793"/>
          <cell r="X8793"/>
          <cell r="Y8793"/>
        </row>
        <row r="8794">
          <cell r="V8794"/>
          <cell r="W8794"/>
          <cell r="X8794"/>
          <cell r="Y8794"/>
        </row>
        <row r="8795">
          <cell r="V8795"/>
          <cell r="W8795"/>
          <cell r="X8795"/>
          <cell r="Y8795"/>
        </row>
        <row r="8796">
          <cell r="V8796"/>
          <cell r="W8796"/>
          <cell r="X8796"/>
          <cell r="Y8796"/>
        </row>
        <row r="8797">
          <cell r="V8797"/>
          <cell r="W8797"/>
          <cell r="X8797"/>
          <cell r="Y8797"/>
        </row>
        <row r="8798">
          <cell r="V8798"/>
          <cell r="W8798"/>
          <cell r="X8798"/>
          <cell r="Y8798"/>
        </row>
        <row r="8799">
          <cell r="V8799"/>
          <cell r="W8799"/>
          <cell r="X8799"/>
          <cell r="Y8799"/>
        </row>
        <row r="8800">
          <cell r="V8800"/>
          <cell r="W8800"/>
          <cell r="X8800"/>
          <cell r="Y8800"/>
        </row>
        <row r="8801">
          <cell r="V8801"/>
          <cell r="W8801"/>
          <cell r="X8801"/>
          <cell r="Y8801"/>
        </row>
        <row r="8802">
          <cell r="V8802"/>
          <cell r="W8802"/>
          <cell r="X8802"/>
          <cell r="Y8802"/>
        </row>
        <row r="8803">
          <cell r="V8803"/>
          <cell r="W8803"/>
          <cell r="X8803"/>
          <cell r="Y8803"/>
        </row>
        <row r="8804">
          <cell r="V8804"/>
          <cell r="W8804"/>
          <cell r="X8804"/>
          <cell r="Y8804"/>
        </row>
        <row r="8805">
          <cell r="V8805"/>
          <cell r="W8805"/>
          <cell r="X8805"/>
          <cell r="Y8805"/>
        </row>
        <row r="8806">
          <cell r="V8806"/>
          <cell r="W8806"/>
          <cell r="X8806"/>
          <cell r="Y8806"/>
        </row>
        <row r="8807">
          <cell r="V8807"/>
          <cell r="W8807"/>
          <cell r="X8807"/>
          <cell r="Y8807"/>
        </row>
        <row r="8808">
          <cell r="V8808"/>
          <cell r="W8808"/>
          <cell r="X8808"/>
          <cell r="Y8808"/>
        </row>
        <row r="8809">
          <cell r="V8809"/>
          <cell r="W8809"/>
          <cell r="X8809"/>
          <cell r="Y8809"/>
        </row>
        <row r="8810">
          <cell r="V8810"/>
          <cell r="W8810"/>
          <cell r="X8810"/>
          <cell r="Y8810"/>
        </row>
        <row r="8811">
          <cell r="V8811"/>
          <cell r="W8811"/>
          <cell r="X8811"/>
          <cell r="Y8811"/>
        </row>
        <row r="8812">
          <cell r="V8812"/>
          <cell r="W8812"/>
          <cell r="X8812"/>
          <cell r="Y8812"/>
        </row>
        <row r="8813">
          <cell r="V8813"/>
          <cell r="W8813"/>
          <cell r="X8813"/>
          <cell r="Y8813"/>
        </row>
        <row r="8814">
          <cell r="V8814"/>
          <cell r="W8814"/>
          <cell r="X8814"/>
          <cell r="Y8814"/>
        </row>
        <row r="8815">
          <cell r="V8815"/>
          <cell r="W8815"/>
          <cell r="X8815"/>
          <cell r="Y8815"/>
        </row>
        <row r="8816">
          <cell r="V8816"/>
          <cell r="W8816"/>
          <cell r="X8816"/>
          <cell r="Y8816"/>
        </row>
        <row r="8817">
          <cell r="V8817"/>
          <cell r="W8817"/>
          <cell r="X8817"/>
          <cell r="Y8817"/>
        </row>
        <row r="8818">
          <cell r="V8818"/>
          <cell r="W8818"/>
          <cell r="X8818"/>
          <cell r="Y8818"/>
        </row>
        <row r="8819">
          <cell r="V8819"/>
          <cell r="W8819"/>
          <cell r="X8819"/>
          <cell r="Y8819"/>
        </row>
        <row r="8820">
          <cell r="V8820"/>
          <cell r="W8820"/>
          <cell r="X8820"/>
          <cell r="Y8820"/>
        </row>
        <row r="8821">
          <cell r="V8821"/>
          <cell r="W8821"/>
          <cell r="X8821"/>
          <cell r="Y8821"/>
        </row>
        <row r="8822">
          <cell r="V8822"/>
          <cell r="W8822"/>
          <cell r="X8822"/>
          <cell r="Y8822"/>
        </row>
        <row r="8823">
          <cell r="V8823"/>
          <cell r="W8823"/>
          <cell r="X8823"/>
          <cell r="Y8823"/>
        </row>
        <row r="8824">
          <cell r="V8824"/>
          <cell r="W8824"/>
          <cell r="X8824"/>
          <cell r="Y8824"/>
        </row>
        <row r="8825">
          <cell r="V8825"/>
          <cell r="W8825"/>
          <cell r="X8825"/>
          <cell r="Y8825"/>
        </row>
        <row r="8826">
          <cell r="V8826"/>
          <cell r="W8826"/>
          <cell r="X8826"/>
          <cell r="Y8826"/>
        </row>
        <row r="8827">
          <cell r="V8827"/>
          <cell r="W8827"/>
          <cell r="X8827"/>
          <cell r="Y8827"/>
        </row>
        <row r="8828">
          <cell r="V8828"/>
          <cell r="W8828"/>
          <cell r="X8828"/>
          <cell r="Y8828"/>
        </row>
        <row r="8829">
          <cell r="V8829"/>
          <cell r="W8829"/>
          <cell r="X8829"/>
          <cell r="Y8829"/>
        </row>
        <row r="8830">
          <cell r="V8830"/>
          <cell r="W8830"/>
          <cell r="X8830"/>
          <cell r="Y8830"/>
        </row>
        <row r="8831">
          <cell r="V8831"/>
          <cell r="W8831"/>
          <cell r="X8831"/>
          <cell r="Y8831"/>
        </row>
        <row r="8832">
          <cell r="V8832"/>
          <cell r="W8832"/>
          <cell r="X8832"/>
          <cell r="Y8832"/>
        </row>
        <row r="8833">
          <cell r="V8833"/>
          <cell r="W8833"/>
          <cell r="X8833"/>
          <cell r="Y8833"/>
        </row>
        <row r="8834">
          <cell r="V8834"/>
          <cell r="W8834"/>
          <cell r="X8834"/>
          <cell r="Y8834"/>
        </row>
        <row r="8835">
          <cell r="V8835"/>
          <cell r="W8835"/>
          <cell r="X8835"/>
          <cell r="Y8835"/>
        </row>
        <row r="8836">
          <cell r="V8836"/>
          <cell r="W8836"/>
          <cell r="X8836"/>
          <cell r="Y8836"/>
        </row>
        <row r="8837">
          <cell r="V8837"/>
          <cell r="W8837"/>
          <cell r="X8837"/>
          <cell r="Y8837"/>
        </row>
        <row r="8838">
          <cell r="V8838"/>
          <cell r="W8838"/>
          <cell r="X8838"/>
          <cell r="Y8838"/>
        </row>
        <row r="8839">
          <cell r="V8839"/>
          <cell r="W8839"/>
          <cell r="X8839"/>
          <cell r="Y8839"/>
        </row>
        <row r="8840">
          <cell r="V8840"/>
          <cell r="W8840"/>
          <cell r="X8840"/>
          <cell r="Y8840"/>
        </row>
        <row r="8841">
          <cell r="V8841"/>
          <cell r="W8841"/>
          <cell r="X8841"/>
          <cell r="Y8841"/>
        </row>
        <row r="8842">
          <cell r="V8842"/>
          <cell r="W8842"/>
          <cell r="X8842"/>
          <cell r="Y8842"/>
        </row>
        <row r="8843">
          <cell r="V8843"/>
          <cell r="W8843"/>
          <cell r="X8843"/>
          <cell r="Y8843"/>
        </row>
        <row r="8844">
          <cell r="V8844"/>
          <cell r="W8844"/>
          <cell r="X8844"/>
          <cell r="Y8844"/>
        </row>
        <row r="8845">
          <cell r="V8845"/>
          <cell r="W8845"/>
          <cell r="X8845"/>
          <cell r="Y8845"/>
        </row>
        <row r="8846">
          <cell r="V8846"/>
          <cell r="W8846"/>
          <cell r="X8846"/>
          <cell r="Y8846"/>
        </row>
        <row r="8847">
          <cell r="V8847"/>
          <cell r="W8847"/>
          <cell r="X8847"/>
          <cell r="Y8847"/>
        </row>
        <row r="8848">
          <cell r="V8848"/>
          <cell r="W8848"/>
          <cell r="X8848"/>
          <cell r="Y8848"/>
        </row>
        <row r="8849">
          <cell r="V8849"/>
          <cell r="W8849"/>
          <cell r="X8849"/>
          <cell r="Y8849"/>
        </row>
        <row r="8850">
          <cell r="V8850"/>
          <cell r="W8850"/>
          <cell r="X8850"/>
          <cell r="Y8850"/>
        </row>
        <row r="8851">
          <cell r="V8851"/>
          <cell r="W8851"/>
          <cell r="X8851"/>
          <cell r="Y8851"/>
        </row>
        <row r="8852">
          <cell r="V8852"/>
          <cell r="W8852"/>
          <cell r="X8852"/>
          <cell r="Y8852"/>
        </row>
        <row r="8853">
          <cell r="V8853"/>
          <cell r="W8853"/>
          <cell r="X8853"/>
          <cell r="Y8853"/>
        </row>
        <row r="8854">
          <cell r="V8854"/>
          <cell r="W8854"/>
          <cell r="X8854"/>
          <cell r="Y8854"/>
        </row>
        <row r="8855">
          <cell r="V8855"/>
          <cell r="W8855"/>
          <cell r="X8855"/>
          <cell r="Y8855"/>
        </row>
        <row r="8856">
          <cell r="V8856"/>
          <cell r="W8856"/>
          <cell r="X8856"/>
          <cell r="Y8856"/>
        </row>
        <row r="8857">
          <cell r="V8857"/>
          <cell r="W8857"/>
          <cell r="X8857"/>
          <cell r="Y8857"/>
        </row>
        <row r="8858">
          <cell r="V8858"/>
          <cell r="W8858"/>
          <cell r="X8858"/>
          <cell r="Y8858"/>
        </row>
        <row r="8859">
          <cell r="V8859"/>
          <cell r="W8859"/>
          <cell r="X8859"/>
          <cell r="Y8859"/>
        </row>
        <row r="8860">
          <cell r="V8860"/>
          <cell r="W8860"/>
          <cell r="X8860"/>
          <cell r="Y8860"/>
        </row>
        <row r="8861">
          <cell r="V8861"/>
          <cell r="W8861"/>
          <cell r="X8861"/>
          <cell r="Y8861"/>
        </row>
        <row r="8862">
          <cell r="V8862"/>
          <cell r="W8862"/>
          <cell r="X8862"/>
          <cell r="Y8862"/>
        </row>
        <row r="8863">
          <cell r="V8863"/>
          <cell r="W8863"/>
          <cell r="X8863"/>
          <cell r="Y8863"/>
        </row>
        <row r="8864">
          <cell r="V8864"/>
          <cell r="W8864"/>
          <cell r="X8864"/>
          <cell r="Y8864"/>
        </row>
        <row r="8865">
          <cell r="V8865"/>
          <cell r="W8865"/>
          <cell r="X8865"/>
          <cell r="Y8865"/>
        </row>
        <row r="8866">
          <cell r="V8866"/>
          <cell r="W8866"/>
          <cell r="X8866"/>
          <cell r="Y8866"/>
        </row>
        <row r="8867">
          <cell r="V8867"/>
          <cell r="W8867"/>
          <cell r="X8867"/>
          <cell r="Y8867"/>
        </row>
        <row r="8868">
          <cell r="V8868"/>
          <cell r="W8868"/>
          <cell r="X8868"/>
          <cell r="Y8868"/>
        </row>
        <row r="8869">
          <cell r="V8869"/>
          <cell r="W8869"/>
          <cell r="X8869"/>
          <cell r="Y8869"/>
        </row>
        <row r="8870">
          <cell r="V8870"/>
          <cell r="W8870"/>
          <cell r="X8870"/>
          <cell r="Y8870"/>
        </row>
        <row r="8871">
          <cell r="V8871"/>
          <cell r="W8871"/>
          <cell r="X8871"/>
          <cell r="Y8871"/>
        </row>
        <row r="8872">
          <cell r="V8872"/>
          <cell r="W8872"/>
          <cell r="X8872"/>
          <cell r="Y8872"/>
        </row>
        <row r="8873">
          <cell r="V8873"/>
          <cell r="W8873"/>
          <cell r="X8873"/>
          <cell r="Y8873"/>
        </row>
        <row r="8874">
          <cell r="V8874"/>
          <cell r="W8874"/>
          <cell r="X8874"/>
          <cell r="Y8874"/>
        </row>
        <row r="8875">
          <cell r="V8875"/>
          <cell r="W8875"/>
          <cell r="X8875"/>
          <cell r="Y8875"/>
        </row>
        <row r="8876">
          <cell r="V8876"/>
          <cell r="W8876"/>
          <cell r="X8876"/>
          <cell r="Y8876"/>
        </row>
        <row r="8877">
          <cell r="V8877"/>
          <cell r="W8877"/>
          <cell r="X8877"/>
          <cell r="Y8877"/>
        </row>
        <row r="8878">
          <cell r="V8878"/>
          <cell r="W8878"/>
          <cell r="X8878"/>
          <cell r="Y8878"/>
        </row>
        <row r="8879">
          <cell r="V8879"/>
          <cell r="W8879"/>
          <cell r="X8879"/>
          <cell r="Y8879"/>
        </row>
        <row r="8880">
          <cell r="V8880"/>
          <cell r="W8880"/>
          <cell r="X8880"/>
          <cell r="Y8880"/>
        </row>
        <row r="8881">
          <cell r="V8881"/>
          <cell r="W8881"/>
          <cell r="X8881"/>
          <cell r="Y8881"/>
        </row>
        <row r="8882">
          <cell r="V8882"/>
          <cell r="W8882"/>
          <cell r="X8882"/>
          <cell r="Y8882"/>
        </row>
        <row r="8883">
          <cell r="V8883"/>
          <cell r="W8883"/>
          <cell r="X8883"/>
          <cell r="Y8883"/>
        </row>
        <row r="8884">
          <cell r="V8884"/>
          <cell r="W8884"/>
          <cell r="X8884"/>
          <cell r="Y8884"/>
        </row>
        <row r="8885">
          <cell r="V8885"/>
          <cell r="W8885"/>
          <cell r="X8885"/>
          <cell r="Y8885"/>
        </row>
        <row r="8886">
          <cell r="V8886"/>
          <cell r="W8886"/>
          <cell r="X8886"/>
          <cell r="Y8886"/>
        </row>
        <row r="8887">
          <cell r="V8887"/>
          <cell r="W8887"/>
          <cell r="X8887"/>
          <cell r="Y8887"/>
        </row>
        <row r="8888">
          <cell r="V8888"/>
          <cell r="W8888"/>
          <cell r="X8888"/>
          <cell r="Y8888"/>
        </row>
        <row r="8889">
          <cell r="V8889"/>
          <cell r="W8889"/>
          <cell r="X8889"/>
          <cell r="Y8889"/>
        </row>
        <row r="8890">
          <cell r="V8890"/>
          <cell r="W8890"/>
          <cell r="X8890"/>
          <cell r="Y8890"/>
        </row>
        <row r="8891">
          <cell r="V8891"/>
          <cell r="W8891"/>
          <cell r="X8891"/>
          <cell r="Y8891"/>
        </row>
        <row r="8892">
          <cell r="V8892"/>
          <cell r="W8892"/>
          <cell r="X8892"/>
          <cell r="Y8892"/>
        </row>
        <row r="8893">
          <cell r="V8893"/>
          <cell r="W8893"/>
          <cell r="X8893"/>
          <cell r="Y8893"/>
        </row>
        <row r="8894">
          <cell r="V8894"/>
          <cell r="W8894"/>
          <cell r="X8894"/>
          <cell r="Y8894"/>
        </row>
        <row r="8895">
          <cell r="V8895"/>
          <cell r="W8895"/>
          <cell r="X8895"/>
          <cell r="Y8895"/>
        </row>
        <row r="8896">
          <cell r="V8896"/>
          <cell r="W8896"/>
          <cell r="X8896"/>
          <cell r="Y8896"/>
        </row>
        <row r="8897">
          <cell r="V8897"/>
          <cell r="W8897"/>
          <cell r="X8897"/>
          <cell r="Y8897"/>
        </row>
        <row r="8898">
          <cell r="V8898"/>
          <cell r="W8898"/>
          <cell r="X8898"/>
          <cell r="Y8898"/>
        </row>
        <row r="8899">
          <cell r="V8899"/>
          <cell r="W8899"/>
          <cell r="X8899"/>
          <cell r="Y8899"/>
        </row>
        <row r="8900">
          <cell r="V8900"/>
          <cell r="W8900"/>
          <cell r="X8900"/>
          <cell r="Y8900"/>
        </row>
        <row r="8901">
          <cell r="V8901"/>
          <cell r="W8901"/>
          <cell r="X8901"/>
          <cell r="Y8901"/>
        </row>
        <row r="8902">
          <cell r="V8902"/>
          <cell r="W8902"/>
          <cell r="X8902"/>
          <cell r="Y8902"/>
        </row>
        <row r="8903">
          <cell r="V8903"/>
          <cell r="W8903"/>
          <cell r="X8903"/>
          <cell r="Y8903"/>
        </row>
        <row r="8904">
          <cell r="V8904"/>
          <cell r="W8904"/>
          <cell r="X8904"/>
          <cell r="Y8904"/>
        </row>
        <row r="8905">
          <cell r="V8905"/>
          <cell r="W8905"/>
          <cell r="X8905"/>
          <cell r="Y8905"/>
        </row>
        <row r="8906">
          <cell r="V8906"/>
          <cell r="W8906"/>
          <cell r="X8906"/>
          <cell r="Y8906"/>
        </row>
        <row r="8907">
          <cell r="V8907"/>
          <cell r="W8907"/>
          <cell r="X8907"/>
          <cell r="Y8907"/>
        </row>
        <row r="8908">
          <cell r="V8908"/>
          <cell r="W8908"/>
          <cell r="X8908"/>
          <cell r="Y8908"/>
        </row>
        <row r="8909">
          <cell r="V8909"/>
          <cell r="W8909"/>
          <cell r="X8909"/>
          <cell r="Y8909"/>
        </row>
        <row r="8910">
          <cell r="V8910"/>
          <cell r="W8910"/>
          <cell r="X8910"/>
          <cell r="Y8910"/>
        </row>
        <row r="8911">
          <cell r="V8911"/>
          <cell r="W8911"/>
          <cell r="X8911"/>
          <cell r="Y8911"/>
        </row>
        <row r="8912">
          <cell r="V8912"/>
          <cell r="W8912"/>
          <cell r="X8912"/>
          <cell r="Y8912"/>
        </row>
        <row r="8913">
          <cell r="V8913"/>
          <cell r="W8913"/>
          <cell r="X8913"/>
          <cell r="Y8913"/>
        </row>
        <row r="8914">
          <cell r="V8914"/>
          <cell r="W8914"/>
          <cell r="X8914"/>
          <cell r="Y8914"/>
        </row>
        <row r="8915">
          <cell r="V8915"/>
          <cell r="W8915"/>
          <cell r="X8915"/>
          <cell r="Y8915"/>
        </row>
        <row r="8916">
          <cell r="V8916"/>
          <cell r="W8916"/>
          <cell r="X8916"/>
          <cell r="Y8916"/>
        </row>
        <row r="8917">
          <cell r="V8917"/>
          <cell r="W8917"/>
          <cell r="X8917"/>
          <cell r="Y8917"/>
        </row>
        <row r="8918">
          <cell r="V8918"/>
          <cell r="W8918"/>
          <cell r="X8918"/>
          <cell r="Y8918"/>
        </row>
        <row r="8919">
          <cell r="V8919"/>
          <cell r="W8919"/>
          <cell r="X8919"/>
          <cell r="Y8919"/>
        </row>
        <row r="8920">
          <cell r="V8920"/>
          <cell r="W8920"/>
          <cell r="X8920"/>
          <cell r="Y8920"/>
        </row>
        <row r="8921">
          <cell r="V8921"/>
          <cell r="W8921"/>
          <cell r="X8921"/>
          <cell r="Y8921"/>
        </row>
        <row r="8922">
          <cell r="V8922"/>
          <cell r="W8922"/>
          <cell r="X8922"/>
          <cell r="Y8922"/>
        </row>
        <row r="8923">
          <cell r="V8923"/>
          <cell r="W8923"/>
          <cell r="X8923"/>
          <cell r="Y8923"/>
        </row>
        <row r="8924">
          <cell r="V8924"/>
          <cell r="W8924"/>
          <cell r="X8924"/>
          <cell r="Y8924"/>
        </row>
        <row r="8925">
          <cell r="V8925"/>
          <cell r="W8925"/>
          <cell r="X8925"/>
          <cell r="Y8925"/>
        </row>
        <row r="8926">
          <cell r="V8926"/>
          <cell r="W8926"/>
          <cell r="X8926"/>
          <cell r="Y8926"/>
        </row>
        <row r="8927">
          <cell r="V8927"/>
          <cell r="W8927"/>
          <cell r="X8927"/>
          <cell r="Y8927"/>
        </row>
        <row r="8928">
          <cell r="V8928"/>
          <cell r="W8928"/>
          <cell r="X8928"/>
          <cell r="Y8928"/>
        </row>
        <row r="8929">
          <cell r="V8929"/>
          <cell r="W8929"/>
          <cell r="X8929"/>
          <cell r="Y8929"/>
        </row>
        <row r="8930">
          <cell r="V8930"/>
          <cell r="W8930"/>
          <cell r="X8930"/>
          <cell r="Y8930"/>
        </row>
        <row r="8931">
          <cell r="V8931"/>
          <cell r="W8931"/>
          <cell r="X8931"/>
          <cell r="Y8931"/>
        </row>
        <row r="8932">
          <cell r="V8932"/>
          <cell r="W8932"/>
          <cell r="X8932"/>
          <cell r="Y8932"/>
        </row>
        <row r="8933">
          <cell r="V8933"/>
          <cell r="W8933"/>
          <cell r="X8933"/>
          <cell r="Y8933"/>
        </row>
        <row r="8934">
          <cell r="V8934"/>
          <cell r="W8934"/>
          <cell r="X8934"/>
          <cell r="Y8934"/>
        </row>
        <row r="8935">
          <cell r="V8935"/>
          <cell r="W8935"/>
          <cell r="X8935"/>
          <cell r="Y8935"/>
        </row>
        <row r="8936">
          <cell r="V8936"/>
          <cell r="W8936"/>
          <cell r="X8936"/>
          <cell r="Y8936"/>
        </row>
        <row r="8937">
          <cell r="V8937"/>
          <cell r="W8937"/>
          <cell r="X8937"/>
          <cell r="Y8937"/>
        </row>
        <row r="8938">
          <cell r="V8938"/>
          <cell r="W8938"/>
          <cell r="X8938"/>
          <cell r="Y8938"/>
        </row>
        <row r="8939">
          <cell r="V8939"/>
          <cell r="W8939"/>
          <cell r="X8939"/>
          <cell r="Y8939"/>
        </row>
        <row r="8940">
          <cell r="V8940"/>
          <cell r="W8940"/>
          <cell r="X8940"/>
          <cell r="Y8940"/>
        </row>
        <row r="8941">
          <cell r="V8941"/>
          <cell r="W8941"/>
          <cell r="X8941"/>
          <cell r="Y8941"/>
        </row>
        <row r="8942">
          <cell r="V8942"/>
          <cell r="W8942"/>
          <cell r="X8942"/>
          <cell r="Y8942"/>
        </row>
        <row r="8943">
          <cell r="V8943"/>
          <cell r="W8943"/>
          <cell r="X8943"/>
          <cell r="Y8943"/>
        </row>
        <row r="8944">
          <cell r="V8944"/>
          <cell r="W8944"/>
          <cell r="X8944"/>
          <cell r="Y8944"/>
        </row>
        <row r="8945">
          <cell r="V8945"/>
          <cell r="W8945"/>
          <cell r="X8945"/>
          <cell r="Y8945"/>
        </row>
        <row r="8946">
          <cell r="V8946"/>
          <cell r="W8946"/>
          <cell r="X8946"/>
          <cell r="Y8946"/>
        </row>
        <row r="8947">
          <cell r="V8947"/>
          <cell r="W8947"/>
          <cell r="X8947"/>
          <cell r="Y8947"/>
        </row>
        <row r="8948">
          <cell r="V8948"/>
          <cell r="W8948"/>
          <cell r="X8948"/>
          <cell r="Y8948"/>
        </row>
        <row r="8949">
          <cell r="V8949"/>
          <cell r="W8949"/>
          <cell r="X8949"/>
          <cell r="Y8949"/>
        </row>
        <row r="8950">
          <cell r="V8950"/>
          <cell r="W8950"/>
          <cell r="X8950"/>
          <cell r="Y8950"/>
        </row>
        <row r="8951">
          <cell r="V8951"/>
          <cell r="W8951"/>
          <cell r="X8951"/>
          <cell r="Y8951"/>
        </row>
        <row r="8952">
          <cell r="V8952"/>
          <cell r="W8952"/>
          <cell r="X8952"/>
          <cell r="Y8952"/>
        </row>
        <row r="8953">
          <cell r="V8953"/>
          <cell r="W8953"/>
          <cell r="X8953"/>
          <cell r="Y8953"/>
        </row>
        <row r="8954">
          <cell r="V8954"/>
          <cell r="W8954"/>
          <cell r="X8954"/>
          <cell r="Y8954"/>
        </row>
        <row r="8955">
          <cell r="V8955"/>
          <cell r="W8955"/>
          <cell r="X8955"/>
          <cell r="Y8955"/>
        </row>
        <row r="8956">
          <cell r="V8956"/>
          <cell r="W8956"/>
          <cell r="X8956"/>
          <cell r="Y8956"/>
        </row>
        <row r="8957">
          <cell r="V8957"/>
          <cell r="W8957"/>
          <cell r="X8957"/>
          <cell r="Y8957"/>
        </row>
        <row r="8958">
          <cell r="V8958"/>
          <cell r="W8958"/>
          <cell r="X8958"/>
          <cell r="Y8958"/>
        </row>
        <row r="8959">
          <cell r="V8959"/>
          <cell r="W8959"/>
          <cell r="X8959"/>
          <cell r="Y8959"/>
        </row>
        <row r="8960">
          <cell r="V8960"/>
          <cell r="W8960"/>
          <cell r="X8960"/>
          <cell r="Y8960"/>
        </row>
        <row r="8961">
          <cell r="V8961"/>
          <cell r="W8961"/>
          <cell r="X8961"/>
          <cell r="Y8961"/>
        </row>
        <row r="8962">
          <cell r="V8962"/>
          <cell r="W8962"/>
          <cell r="X8962"/>
          <cell r="Y8962"/>
        </row>
        <row r="8963">
          <cell r="V8963"/>
          <cell r="W8963"/>
          <cell r="X8963"/>
          <cell r="Y8963"/>
        </row>
        <row r="8964">
          <cell r="V8964"/>
          <cell r="W8964"/>
          <cell r="X8964"/>
          <cell r="Y8964"/>
        </row>
        <row r="8965">
          <cell r="V8965"/>
          <cell r="W8965"/>
          <cell r="X8965"/>
          <cell r="Y8965"/>
        </row>
        <row r="8966">
          <cell r="V8966"/>
          <cell r="W8966"/>
          <cell r="X8966"/>
          <cell r="Y8966"/>
        </row>
        <row r="8967">
          <cell r="V8967"/>
          <cell r="W8967"/>
          <cell r="X8967"/>
          <cell r="Y8967"/>
        </row>
        <row r="8968">
          <cell r="V8968"/>
          <cell r="W8968"/>
          <cell r="X8968"/>
          <cell r="Y8968"/>
        </row>
        <row r="8969">
          <cell r="V8969"/>
          <cell r="W8969"/>
          <cell r="X8969"/>
          <cell r="Y8969"/>
        </row>
        <row r="8970">
          <cell r="V8970"/>
          <cell r="W8970"/>
          <cell r="X8970"/>
          <cell r="Y8970"/>
        </row>
        <row r="8971">
          <cell r="V8971"/>
          <cell r="W8971"/>
          <cell r="X8971"/>
          <cell r="Y8971"/>
        </row>
        <row r="8972">
          <cell r="V8972"/>
          <cell r="W8972"/>
          <cell r="X8972"/>
          <cell r="Y8972"/>
        </row>
        <row r="8973">
          <cell r="V8973"/>
          <cell r="W8973"/>
          <cell r="X8973"/>
          <cell r="Y8973"/>
        </row>
        <row r="8974">
          <cell r="V8974"/>
          <cell r="W8974"/>
          <cell r="X8974"/>
          <cell r="Y8974"/>
        </row>
        <row r="8975">
          <cell r="V8975"/>
          <cell r="W8975"/>
          <cell r="X8975"/>
          <cell r="Y8975"/>
        </row>
        <row r="8976">
          <cell r="V8976"/>
          <cell r="W8976"/>
          <cell r="X8976"/>
          <cell r="Y8976"/>
        </row>
        <row r="8977">
          <cell r="V8977"/>
          <cell r="W8977"/>
          <cell r="X8977"/>
          <cell r="Y8977"/>
        </row>
        <row r="8978">
          <cell r="V8978"/>
          <cell r="W8978"/>
          <cell r="X8978"/>
          <cell r="Y8978"/>
        </row>
        <row r="8979">
          <cell r="V8979"/>
          <cell r="W8979"/>
          <cell r="X8979"/>
          <cell r="Y8979"/>
        </row>
        <row r="8980">
          <cell r="V8980"/>
          <cell r="W8980"/>
          <cell r="X8980"/>
          <cell r="Y8980"/>
        </row>
        <row r="8981">
          <cell r="V8981"/>
          <cell r="W8981"/>
          <cell r="X8981"/>
          <cell r="Y8981"/>
        </row>
        <row r="8982">
          <cell r="V8982"/>
          <cell r="W8982"/>
          <cell r="X8982"/>
          <cell r="Y8982"/>
        </row>
        <row r="8983">
          <cell r="V8983"/>
          <cell r="W8983"/>
          <cell r="X8983"/>
          <cell r="Y8983"/>
        </row>
        <row r="8984">
          <cell r="V8984"/>
          <cell r="W8984"/>
          <cell r="X8984"/>
          <cell r="Y8984"/>
        </row>
        <row r="8985">
          <cell r="V8985"/>
          <cell r="W8985"/>
          <cell r="X8985"/>
          <cell r="Y8985"/>
        </row>
        <row r="8986">
          <cell r="V8986"/>
          <cell r="W8986"/>
          <cell r="X8986"/>
          <cell r="Y8986"/>
        </row>
        <row r="8987">
          <cell r="V8987"/>
          <cell r="W8987"/>
          <cell r="X8987"/>
          <cell r="Y8987"/>
        </row>
        <row r="8988">
          <cell r="V8988"/>
          <cell r="W8988"/>
          <cell r="X8988"/>
          <cell r="Y8988"/>
        </row>
        <row r="8989">
          <cell r="V8989"/>
          <cell r="W8989"/>
          <cell r="X8989"/>
          <cell r="Y8989"/>
        </row>
        <row r="8990">
          <cell r="V8990"/>
          <cell r="W8990"/>
          <cell r="X8990"/>
          <cell r="Y8990"/>
        </row>
        <row r="8991">
          <cell r="V8991"/>
          <cell r="W8991"/>
          <cell r="X8991"/>
          <cell r="Y8991"/>
        </row>
        <row r="8992">
          <cell r="V8992"/>
          <cell r="W8992"/>
          <cell r="X8992"/>
          <cell r="Y8992"/>
        </row>
        <row r="8993">
          <cell r="V8993"/>
          <cell r="W8993"/>
          <cell r="X8993"/>
          <cell r="Y8993"/>
        </row>
        <row r="8994">
          <cell r="V8994"/>
          <cell r="W8994"/>
          <cell r="X8994"/>
          <cell r="Y8994"/>
        </row>
        <row r="8995">
          <cell r="V8995"/>
          <cell r="W8995"/>
          <cell r="X8995"/>
          <cell r="Y8995"/>
        </row>
        <row r="8996">
          <cell r="V8996"/>
          <cell r="W8996"/>
          <cell r="X8996"/>
          <cell r="Y8996"/>
        </row>
        <row r="8997">
          <cell r="V8997"/>
          <cell r="W8997"/>
          <cell r="X8997"/>
          <cell r="Y8997"/>
        </row>
        <row r="8998">
          <cell r="V8998"/>
          <cell r="W8998"/>
          <cell r="X8998"/>
          <cell r="Y8998"/>
        </row>
        <row r="8999">
          <cell r="V8999"/>
          <cell r="W8999"/>
          <cell r="X8999"/>
          <cell r="Y8999"/>
        </row>
        <row r="9000">
          <cell r="V9000"/>
          <cell r="W9000"/>
          <cell r="X9000"/>
          <cell r="Y9000"/>
        </row>
        <row r="9001">
          <cell r="V9001"/>
          <cell r="W9001"/>
          <cell r="X9001"/>
          <cell r="Y9001"/>
        </row>
        <row r="9002">
          <cell r="V9002"/>
          <cell r="W9002"/>
          <cell r="X9002"/>
          <cell r="Y9002"/>
        </row>
        <row r="9003">
          <cell r="V9003"/>
          <cell r="W9003"/>
          <cell r="X9003"/>
          <cell r="Y9003"/>
        </row>
        <row r="9004">
          <cell r="V9004"/>
          <cell r="W9004"/>
          <cell r="X9004"/>
          <cell r="Y9004"/>
        </row>
        <row r="9005">
          <cell r="V9005"/>
          <cell r="W9005"/>
          <cell r="X9005"/>
          <cell r="Y9005"/>
        </row>
        <row r="9006">
          <cell r="V9006"/>
          <cell r="W9006"/>
          <cell r="X9006"/>
          <cell r="Y9006"/>
        </row>
        <row r="9007">
          <cell r="V9007"/>
          <cell r="W9007"/>
          <cell r="X9007"/>
          <cell r="Y9007"/>
        </row>
        <row r="9008">
          <cell r="V9008"/>
          <cell r="W9008"/>
          <cell r="X9008"/>
          <cell r="Y9008"/>
        </row>
        <row r="9009">
          <cell r="V9009"/>
          <cell r="W9009"/>
          <cell r="X9009"/>
          <cell r="Y9009"/>
        </row>
        <row r="9010">
          <cell r="V9010"/>
          <cell r="W9010"/>
          <cell r="X9010"/>
          <cell r="Y9010"/>
        </row>
        <row r="9011">
          <cell r="V9011"/>
          <cell r="W9011"/>
          <cell r="X9011"/>
          <cell r="Y9011"/>
        </row>
        <row r="9012">
          <cell r="V9012"/>
          <cell r="W9012"/>
          <cell r="X9012"/>
          <cell r="Y9012"/>
        </row>
        <row r="9013">
          <cell r="V9013"/>
          <cell r="W9013"/>
          <cell r="X9013"/>
          <cell r="Y9013"/>
        </row>
        <row r="9014">
          <cell r="V9014"/>
          <cell r="W9014"/>
          <cell r="X9014"/>
          <cell r="Y9014"/>
        </row>
        <row r="9015">
          <cell r="V9015"/>
          <cell r="W9015"/>
          <cell r="X9015"/>
          <cell r="Y9015"/>
        </row>
        <row r="9016">
          <cell r="V9016"/>
          <cell r="W9016"/>
          <cell r="X9016"/>
          <cell r="Y9016"/>
        </row>
        <row r="9017">
          <cell r="V9017"/>
          <cell r="W9017"/>
          <cell r="X9017"/>
          <cell r="Y9017"/>
        </row>
        <row r="9018">
          <cell r="V9018"/>
          <cell r="W9018"/>
          <cell r="X9018"/>
          <cell r="Y9018"/>
        </row>
        <row r="9019">
          <cell r="V9019"/>
          <cell r="W9019"/>
          <cell r="X9019"/>
          <cell r="Y9019"/>
        </row>
        <row r="9020">
          <cell r="V9020"/>
          <cell r="W9020"/>
          <cell r="X9020"/>
          <cell r="Y9020"/>
        </row>
        <row r="9021">
          <cell r="V9021"/>
          <cell r="W9021"/>
          <cell r="X9021"/>
          <cell r="Y9021"/>
        </row>
        <row r="9022">
          <cell r="V9022"/>
          <cell r="W9022"/>
          <cell r="X9022"/>
          <cell r="Y9022"/>
        </row>
        <row r="9023">
          <cell r="V9023"/>
          <cell r="W9023"/>
          <cell r="X9023"/>
          <cell r="Y9023"/>
        </row>
        <row r="9024">
          <cell r="V9024"/>
          <cell r="W9024"/>
          <cell r="X9024"/>
          <cell r="Y9024"/>
        </row>
        <row r="9025">
          <cell r="V9025"/>
          <cell r="W9025"/>
          <cell r="X9025"/>
          <cell r="Y9025"/>
        </row>
        <row r="9026">
          <cell r="V9026"/>
          <cell r="W9026"/>
          <cell r="X9026"/>
          <cell r="Y9026"/>
        </row>
        <row r="9027">
          <cell r="V9027"/>
          <cell r="W9027"/>
          <cell r="X9027"/>
          <cell r="Y9027"/>
        </row>
        <row r="9028">
          <cell r="V9028"/>
          <cell r="W9028"/>
          <cell r="X9028"/>
          <cell r="Y9028"/>
        </row>
        <row r="9029">
          <cell r="V9029"/>
          <cell r="W9029"/>
          <cell r="X9029"/>
          <cell r="Y9029"/>
        </row>
        <row r="9030">
          <cell r="V9030"/>
          <cell r="W9030"/>
          <cell r="X9030"/>
          <cell r="Y9030"/>
        </row>
        <row r="9031">
          <cell r="V9031"/>
          <cell r="W9031"/>
          <cell r="X9031"/>
          <cell r="Y9031"/>
        </row>
        <row r="9032">
          <cell r="V9032"/>
          <cell r="W9032"/>
          <cell r="X9032"/>
          <cell r="Y9032"/>
        </row>
        <row r="9033">
          <cell r="V9033"/>
          <cell r="W9033"/>
          <cell r="X9033"/>
          <cell r="Y9033"/>
        </row>
        <row r="9034">
          <cell r="V9034"/>
          <cell r="W9034"/>
          <cell r="X9034"/>
          <cell r="Y9034"/>
        </row>
        <row r="9035">
          <cell r="V9035"/>
          <cell r="W9035"/>
          <cell r="X9035"/>
          <cell r="Y9035"/>
        </row>
        <row r="9036">
          <cell r="V9036"/>
          <cell r="W9036"/>
          <cell r="X9036"/>
          <cell r="Y9036"/>
        </row>
        <row r="9037">
          <cell r="V9037"/>
          <cell r="W9037"/>
          <cell r="X9037"/>
          <cell r="Y9037"/>
        </row>
        <row r="9038">
          <cell r="V9038"/>
          <cell r="W9038"/>
          <cell r="X9038"/>
          <cell r="Y9038"/>
        </row>
        <row r="9039">
          <cell r="V9039"/>
          <cell r="W9039"/>
          <cell r="X9039"/>
          <cell r="Y9039"/>
        </row>
        <row r="9040">
          <cell r="V9040"/>
          <cell r="W9040"/>
          <cell r="X9040"/>
          <cell r="Y9040"/>
        </row>
        <row r="9041">
          <cell r="V9041"/>
          <cell r="W9041"/>
          <cell r="X9041"/>
          <cell r="Y9041"/>
        </row>
        <row r="9042">
          <cell r="V9042"/>
          <cell r="W9042"/>
          <cell r="X9042"/>
          <cell r="Y9042"/>
        </row>
        <row r="9043">
          <cell r="V9043"/>
          <cell r="W9043"/>
          <cell r="X9043"/>
          <cell r="Y9043"/>
        </row>
        <row r="9044">
          <cell r="V9044"/>
          <cell r="W9044"/>
          <cell r="X9044"/>
          <cell r="Y9044"/>
        </row>
        <row r="9045">
          <cell r="V9045"/>
          <cell r="W9045"/>
          <cell r="X9045"/>
          <cell r="Y9045"/>
        </row>
        <row r="9046">
          <cell r="V9046"/>
          <cell r="W9046"/>
          <cell r="X9046"/>
          <cell r="Y9046"/>
        </row>
        <row r="9047">
          <cell r="V9047"/>
          <cell r="W9047"/>
          <cell r="X9047"/>
          <cell r="Y9047"/>
        </row>
        <row r="9048">
          <cell r="V9048"/>
          <cell r="W9048"/>
          <cell r="X9048"/>
          <cell r="Y9048"/>
        </row>
        <row r="9049">
          <cell r="V9049"/>
          <cell r="W9049"/>
          <cell r="X9049"/>
          <cell r="Y9049"/>
        </row>
        <row r="9050">
          <cell r="V9050"/>
          <cell r="W9050"/>
          <cell r="X9050"/>
          <cell r="Y9050"/>
        </row>
        <row r="9051">
          <cell r="V9051"/>
          <cell r="W9051"/>
          <cell r="X9051"/>
          <cell r="Y9051"/>
        </row>
        <row r="9052">
          <cell r="V9052"/>
          <cell r="W9052"/>
          <cell r="X9052"/>
          <cell r="Y9052"/>
        </row>
        <row r="9053">
          <cell r="V9053"/>
          <cell r="W9053"/>
          <cell r="X9053"/>
          <cell r="Y9053"/>
        </row>
        <row r="9054">
          <cell r="V9054"/>
          <cell r="W9054"/>
          <cell r="X9054"/>
          <cell r="Y9054"/>
        </row>
        <row r="9055">
          <cell r="V9055"/>
          <cell r="W9055"/>
          <cell r="X9055"/>
          <cell r="Y9055"/>
        </row>
        <row r="9056">
          <cell r="V9056"/>
          <cell r="W9056"/>
          <cell r="X9056"/>
          <cell r="Y9056"/>
        </row>
        <row r="9057">
          <cell r="V9057"/>
          <cell r="W9057"/>
          <cell r="X9057"/>
          <cell r="Y9057"/>
        </row>
        <row r="9058">
          <cell r="V9058"/>
          <cell r="W9058"/>
          <cell r="X9058"/>
          <cell r="Y9058"/>
        </row>
        <row r="9059">
          <cell r="V9059"/>
          <cell r="W9059"/>
          <cell r="X9059"/>
          <cell r="Y9059"/>
        </row>
        <row r="9060">
          <cell r="V9060"/>
          <cell r="W9060"/>
          <cell r="X9060"/>
          <cell r="Y9060"/>
        </row>
        <row r="9061">
          <cell r="V9061"/>
          <cell r="W9061"/>
          <cell r="X9061"/>
          <cell r="Y9061"/>
        </row>
        <row r="9062">
          <cell r="V9062"/>
          <cell r="W9062"/>
          <cell r="X9062"/>
          <cell r="Y9062"/>
        </row>
        <row r="9063">
          <cell r="V9063"/>
          <cell r="W9063"/>
          <cell r="X9063"/>
          <cell r="Y9063"/>
        </row>
        <row r="9064">
          <cell r="V9064"/>
          <cell r="W9064"/>
          <cell r="X9064"/>
          <cell r="Y9064"/>
        </row>
        <row r="9065">
          <cell r="V9065"/>
          <cell r="W9065"/>
          <cell r="X9065"/>
          <cell r="Y9065"/>
        </row>
        <row r="9066">
          <cell r="V9066"/>
          <cell r="W9066"/>
          <cell r="X9066"/>
          <cell r="Y9066"/>
        </row>
        <row r="9067">
          <cell r="V9067"/>
          <cell r="W9067"/>
          <cell r="X9067"/>
          <cell r="Y9067"/>
        </row>
        <row r="9068">
          <cell r="V9068"/>
          <cell r="W9068"/>
          <cell r="X9068"/>
          <cell r="Y9068"/>
        </row>
        <row r="9069">
          <cell r="V9069"/>
          <cell r="W9069"/>
          <cell r="X9069"/>
          <cell r="Y9069"/>
        </row>
        <row r="9070">
          <cell r="V9070"/>
          <cell r="W9070"/>
          <cell r="X9070"/>
          <cell r="Y9070"/>
        </row>
        <row r="9071">
          <cell r="V9071"/>
          <cell r="W9071"/>
          <cell r="X9071"/>
          <cell r="Y9071"/>
        </row>
        <row r="9072">
          <cell r="V9072"/>
          <cell r="W9072"/>
          <cell r="X9072"/>
          <cell r="Y9072"/>
        </row>
        <row r="9073">
          <cell r="V9073"/>
          <cell r="W9073"/>
          <cell r="X9073"/>
          <cell r="Y9073"/>
        </row>
        <row r="9074">
          <cell r="V9074"/>
          <cell r="W9074"/>
          <cell r="X9074"/>
          <cell r="Y9074"/>
        </row>
        <row r="9075">
          <cell r="V9075"/>
          <cell r="W9075"/>
          <cell r="X9075"/>
          <cell r="Y9075"/>
        </row>
        <row r="9076">
          <cell r="V9076"/>
          <cell r="W9076"/>
          <cell r="X9076"/>
          <cell r="Y9076"/>
        </row>
        <row r="9077">
          <cell r="V9077"/>
          <cell r="W9077"/>
          <cell r="X9077"/>
          <cell r="Y9077"/>
        </row>
        <row r="9078">
          <cell r="V9078"/>
          <cell r="W9078"/>
          <cell r="X9078"/>
          <cell r="Y9078"/>
        </row>
        <row r="9079">
          <cell r="V9079"/>
          <cell r="W9079"/>
          <cell r="X9079"/>
          <cell r="Y9079"/>
        </row>
        <row r="9080">
          <cell r="V9080"/>
          <cell r="W9080"/>
          <cell r="X9080"/>
          <cell r="Y9080"/>
        </row>
        <row r="9081">
          <cell r="V9081"/>
          <cell r="W9081"/>
          <cell r="X9081"/>
          <cell r="Y9081"/>
        </row>
        <row r="9082">
          <cell r="V9082"/>
          <cell r="W9082"/>
          <cell r="X9082"/>
          <cell r="Y9082"/>
        </row>
        <row r="9083">
          <cell r="V9083"/>
          <cell r="W9083"/>
          <cell r="X9083"/>
          <cell r="Y9083"/>
        </row>
        <row r="9084">
          <cell r="V9084"/>
          <cell r="W9084"/>
          <cell r="X9084"/>
          <cell r="Y9084"/>
        </row>
        <row r="9085">
          <cell r="V9085"/>
          <cell r="W9085"/>
          <cell r="X9085"/>
          <cell r="Y9085"/>
        </row>
        <row r="9086">
          <cell r="V9086"/>
          <cell r="W9086"/>
          <cell r="X9086"/>
          <cell r="Y9086"/>
        </row>
        <row r="9087">
          <cell r="V9087"/>
          <cell r="W9087"/>
          <cell r="X9087"/>
          <cell r="Y9087"/>
        </row>
        <row r="9088">
          <cell r="V9088"/>
          <cell r="W9088"/>
          <cell r="X9088"/>
          <cell r="Y9088"/>
        </row>
        <row r="9089">
          <cell r="V9089"/>
          <cell r="W9089"/>
          <cell r="X9089"/>
          <cell r="Y9089"/>
        </row>
        <row r="9090">
          <cell r="V9090"/>
          <cell r="W9090"/>
          <cell r="X9090"/>
          <cell r="Y9090"/>
        </row>
        <row r="9091">
          <cell r="V9091"/>
          <cell r="W9091"/>
          <cell r="X9091"/>
          <cell r="Y9091"/>
        </row>
        <row r="9092">
          <cell r="V9092"/>
          <cell r="W9092"/>
          <cell r="X9092"/>
          <cell r="Y9092"/>
        </row>
        <row r="9093">
          <cell r="V9093"/>
          <cell r="W9093"/>
          <cell r="X9093"/>
          <cell r="Y9093"/>
        </row>
        <row r="9094">
          <cell r="V9094"/>
          <cell r="W9094"/>
          <cell r="X9094"/>
          <cell r="Y9094"/>
        </row>
        <row r="9095">
          <cell r="V9095"/>
          <cell r="W9095"/>
          <cell r="X9095"/>
          <cell r="Y9095"/>
        </row>
        <row r="9096">
          <cell r="V9096"/>
          <cell r="W9096"/>
          <cell r="X9096"/>
          <cell r="Y9096"/>
        </row>
        <row r="9097">
          <cell r="V9097"/>
          <cell r="W9097"/>
          <cell r="X9097"/>
          <cell r="Y9097"/>
        </row>
        <row r="9098">
          <cell r="V9098"/>
          <cell r="W9098"/>
          <cell r="X9098"/>
          <cell r="Y9098"/>
        </row>
        <row r="9099">
          <cell r="V9099"/>
          <cell r="W9099"/>
          <cell r="X9099"/>
          <cell r="Y9099"/>
        </row>
        <row r="9100">
          <cell r="V9100"/>
          <cell r="W9100"/>
          <cell r="X9100"/>
          <cell r="Y9100"/>
        </row>
        <row r="9101">
          <cell r="V9101"/>
          <cell r="W9101"/>
          <cell r="X9101"/>
          <cell r="Y9101"/>
        </row>
        <row r="9102">
          <cell r="V9102"/>
          <cell r="W9102"/>
          <cell r="X9102"/>
          <cell r="Y9102"/>
        </row>
        <row r="9103">
          <cell r="V9103"/>
          <cell r="W9103"/>
          <cell r="X9103"/>
          <cell r="Y9103"/>
        </row>
        <row r="9104">
          <cell r="V9104"/>
          <cell r="W9104"/>
          <cell r="X9104"/>
          <cell r="Y9104"/>
        </row>
        <row r="9105">
          <cell r="V9105"/>
          <cell r="W9105"/>
          <cell r="X9105"/>
          <cell r="Y9105"/>
        </row>
        <row r="9106">
          <cell r="V9106"/>
          <cell r="W9106"/>
          <cell r="X9106"/>
          <cell r="Y9106"/>
        </row>
        <row r="9107">
          <cell r="V9107"/>
          <cell r="W9107"/>
          <cell r="X9107"/>
          <cell r="Y9107"/>
        </row>
        <row r="9108">
          <cell r="V9108"/>
          <cell r="W9108"/>
          <cell r="X9108"/>
          <cell r="Y9108"/>
        </row>
        <row r="9109">
          <cell r="V9109"/>
          <cell r="W9109"/>
          <cell r="X9109"/>
          <cell r="Y9109"/>
        </row>
        <row r="9110">
          <cell r="V9110"/>
          <cell r="W9110"/>
          <cell r="X9110"/>
          <cell r="Y9110"/>
        </row>
        <row r="9111">
          <cell r="V9111"/>
          <cell r="W9111"/>
          <cell r="X9111"/>
          <cell r="Y9111"/>
        </row>
        <row r="9112">
          <cell r="V9112"/>
          <cell r="W9112"/>
          <cell r="X9112"/>
          <cell r="Y9112"/>
        </row>
        <row r="9113">
          <cell r="V9113"/>
          <cell r="W9113"/>
          <cell r="X9113"/>
          <cell r="Y9113"/>
        </row>
        <row r="9114">
          <cell r="V9114"/>
          <cell r="W9114"/>
          <cell r="X9114"/>
          <cell r="Y9114"/>
        </row>
        <row r="9115">
          <cell r="V9115"/>
          <cell r="W9115"/>
          <cell r="X9115"/>
          <cell r="Y9115"/>
        </row>
        <row r="9116">
          <cell r="V9116"/>
          <cell r="W9116"/>
          <cell r="X9116"/>
          <cell r="Y9116"/>
        </row>
        <row r="9117">
          <cell r="V9117"/>
          <cell r="W9117"/>
          <cell r="X9117"/>
          <cell r="Y9117"/>
        </row>
        <row r="9118">
          <cell r="V9118"/>
          <cell r="W9118"/>
          <cell r="X9118"/>
          <cell r="Y9118"/>
        </row>
        <row r="9119">
          <cell r="V9119"/>
          <cell r="W9119"/>
          <cell r="X9119"/>
          <cell r="Y9119"/>
        </row>
        <row r="9120">
          <cell r="V9120"/>
          <cell r="W9120"/>
          <cell r="X9120"/>
          <cell r="Y9120"/>
        </row>
        <row r="9121">
          <cell r="V9121"/>
          <cell r="W9121"/>
          <cell r="X9121"/>
          <cell r="Y9121"/>
        </row>
        <row r="9122">
          <cell r="V9122"/>
          <cell r="W9122"/>
          <cell r="X9122"/>
          <cell r="Y9122"/>
        </row>
        <row r="9123">
          <cell r="V9123"/>
          <cell r="W9123"/>
          <cell r="X9123"/>
          <cell r="Y9123"/>
        </row>
        <row r="9124">
          <cell r="V9124"/>
          <cell r="W9124"/>
          <cell r="X9124"/>
          <cell r="Y9124"/>
        </row>
        <row r="9125">
          <cell r="V9125"/>
          <cell r="W9125"/>
          <cell r="X9125"/>
          <cell r="Y9125"/>
        </row>
        <row r="9126">
          <cell r="V9126"/>
          <cell r="W9126"/>
          <cell r="X9126"/>
          <cell r="Y9126"/>
        </row>
        <row r="9127">
          <cell r="V9127"/>
          <cell r="W9127"/>
          <cell r="X9127"/>
          <cell r="Y9127"/>
        </row>
        <row r="9128">
          <cell r="V9128"/>
          <cell r="W9128"/>
          <cell r="X9128"/>
          <cell r="Y9128"/>
        </row>
        <row r="9129">
          <cell r="V9129"/>
          <cell r="W9129"/>
          <cell r="X9129"/>
          <cell r="Y9129"/>
        </row>
        <row r="9130">
          <cell r="V9130"/>
          <cell r="W9130"/>
          <cell r="X9130"/>
          <cell r="Y9130"/>
        </row>
        <row r="9131">
          <cell r="V9131"/>
          <cell r="W9131"/>
          <cell r="X9131"/>
          <cell r="Y9131"/>
        </row>
        <row r="9132">
          <cell r="V9132"/>
          <cell r="W9132"/>
          <cell r="X9132"/>
          <cell r="Y9132"/>
        </row>
        <row r="9133">
          <cell r="V9133"/>
          <cell r="W9133"/>
          <cell r="X9133"/>
          <cell r="Y9133"/>
        </row>
        <row r="9134">
          <cell r="V9134"/>
          <cell r="W9134"/>
          <cell r="X9134"/>
          <cell r="Y9134"/>
        </row>
        <row r="9135">
          <cell r="V9135"/>
          <cell r="W9135"/>
          <cell r="X9135"/>
          <cell r="Y9135"/>
        </row>
        <row r="9136">
          <cell r="V9136"/>
          <cell r="W9136"/>
          <cell r="X9136"/>
          <cell r="Y9136"/>
        </row>
        <row r="9137">
          <cell r="V9137"/>
          <cell r="W9137"/>
          <cell r="X9137"/>
          <cell r="Y9137"/>
        </row>
        <row r="9138">
          <cell r="V9138"/>
          <cell r="W9138"/>
          <cell r="X9138"/>
          <cell r="Y9138"/>
        </row>
        <row r="9139">
          <cell r="V9139"/>
          <cell r="W9139"/>
          <cell r="X9139"/>
          <cell r="Y9139"/>
        </row>
        <row r="9140">
          <cell r="V9140"/>
          <cell r="W9140"/>
          <cell r="X9140"/>
          <cell r="Y9140"/>
        </row>
        <row r="9141">
          <cell r="V9141"/>
          <cell r="W9141"/>
          <cell r="X9141"/>
          <cell r="Y9141"/>
        </row>
        <row r="9142">
          <cell r="V9142"/>
          <cell r="W9142"/>
          <cell r="X9142"/>
          <cell r="Y9142"/>
        </row>
        <row r="9143">
          <cell r="V9143"/>
          <cell r="W9143"/>
          <cell r="X9143"/>
          <cell r="Y9143"/>
        </row>
        <row r="9144">
          <cell r="V9144"/>
          <cell r="W9144"/>
          <cell r="X9144"/>
          <cell r="Y9144"/>
        </row>
        <row r="9145">
          <cell r="V9145"/>
          <cell r="W9145"/>
          <cell r="X9145"/>
          <cell r="Y9145"/>
        </row>
        <row r="9146">
          <cell r="V9146"/>
          <cell r="W9146"/>
          <cell r="X9146"/>
          <cell r="Y9146"/>
        </row>
        <row r="9147">
          <cell r="V9147"/>
          <cell r="W9147"/>
          <cell r="X9147"/>
          <cell r="Y9147"/>
        </row>
        <row r="9148">
          <cell r="V9148"/>
          <cell r="W9148"/>
          <cell r="X9148"/>
          <cell r="Y9148"/>
        </row>
        <row r="9149">
          <cell r="V9149"/>
          <cell r="W9149"/>
          <cell r="X9149"/>
          <cell r="Y9149"/>
        </row>
        <row r="9150">
          <cell r="V9150"/>
          <cell r="W9150"/>
          <cell r="X9150"/>
          <cell r="Y9150"/>
        </row>
        <row r="9151">
          <cell r="V9151"/>
          <cell r="W9151"/>
          <cell r="X9151"/>
          <cell r="Y9151"/>
        </row>
        <row r="9152">
          <cell r="V9152"/>
          <cell r="W9152"/>
          <cell r="X9152"/>
          <cell r="Y9152"/>
        </row>
        <row r="9153">
          <cell r="V9153"/>
          <cell r="W9153"/>
          <cell r="X9153"/>
          <cell r="Y9153"/>
        </row>
        <row r="9154">
          <cell r="V9154"/>
          <cell r="W9154"/>
          <cell r="X9154"/>
          <cell r="Y9154"/>
        </row>
        <row r="9155">
          <cell r="V9155"/>
          <cell r="W9155"/>
          <cell r="X9155"/>
          <cell r="Y9155"/>
        </row>
        <row r="9156">
          <cell r="V9156"/>
          <cell r="W9156"/>
          <cell r="X9156"/>
          <cell r="Y9156"/>
        </row>
        <row r="9157">
          <cell r="V9157"/>
          <cell r="W9157"/>
          <cell r="X9157"/>
          <cell r="Y9157"/>
        </row>
        <row r="9158">
          <cell r="V9158"/>
          <cell r="W9158"/>
          <cell r="X9158"/>
          <cell r="Y9158"/>
        </row>
        <row r="9159">
          <cell r="V9159"/>
          <cell r="W9159"/>
          <cell r="X9159"/>
          <cell r="Y9159"/>
        </row>
        <row r="9160">
          <cell r="V9160"/>
          <cell r="W9160"/>
          <cell r="X9160"/>
          <cell r="Y9160"/>
        </row>
        <row r="9161">
          <cell r="V9161"/>
          <cell r="W9161"/>
          <cell r="X9161"/>
          <cell r="Y9161"/>
        </row>
        <row r="9162">
          <cell r="V9162"/>
          <cell r="W9162"/>
          <cell r="X9162"/>
          <cell r="Y9162"/>
        </row>
        <row r="9163">
          <cell r="V9163"/>
          <cell r="W9163"/>
          <cell r="X9163"/>
          <cell r="Y9163"/>
        </row>
        <row r="9164">
          <cell r="V9164"/>
          <cell r="W9164"/>
          <cell r="X9164"/>
          <cell r="Y9164"/>
        </row>
        <row r="9165">
          <cell r="V9165"/>
          <cell r="W9165"/>
          <cell r="X9165"/>
          <cell r="Y9165"/>
        </row>
        <row r="9166">
          <cell r="V9166"/>
          <cell r="W9166"/>
          <cell r="X9166"/>
          <cell r="Y9166"/>
        </row>
        <row r="9167">
          <cell r="V9167"/>
          <cell r="W9167"/>
          <cell r="X9167"/>
          <cell r="Y9167"/>
        </row>
        <row r="9168">
          <cell r="V9168"/>
          <cell r="W9168"/>
          <cell r="X9168"/>
          <cell r="Y9168"/>
        </row>
        <row r="9169">
          <cell r="V9169"/>
          <cell r="W9169"/>
          <cell r="X9169"/>
          <cell r="Y9169"/>
        </row>
        <row r="9170">
          <cell r="V9170"/>
          <cell r="W9170"/>
          <cell r="X9170"/>
          <cell r="Y9170"/>
        </row>
        <row r="9171">
          <cell r="V9171"/>
          <cell r="W9171"/>
          <cell r="X9171"/>
          <cell r="Y9171"/>
        </row>
        <row r="9172">
          <cell r="V9172"/>
          <cell r="W9172"/>
          <cell r="X9172"/>
          <cell r="Y9172"/>
        </row>
        <row r="9173">
          <cell r="V9173"/>
          <cell r="W9173"/>
          <cell r="X9173"/>
          <cell r="Y9173"/>
        </row>
        <row r="9174">
          <cell r="V9174"/>
          <cell r="W9174"/>
          <cell r="X9174"/>
          <cell r="Y9174"/>
        </row>
        <row r="9175">
          <cell r="V9175"/>
          <cell r="W9175"/>
          <cell r="X9175"/>
          <cell r="Y9175"/>
        </row>
        <row r="9176">
          <cell r="V9176"/>
          <cell r="W9176"/>
          <cell r="X9176"/>
          <cell r="Y9176"/>
        </row>
        <row r="9177">
          <cell r="V9177"/>
          <cell r="W9177"/>
          <cell r="X9177"/>
          <cell r="Y9177"/>
        </row>
        <row r="9178">
          <cell r="V9178"/>
          <cell r="W9178"/>
          <cell r="X9178"/>
          <cell r="Y9178"/>
        </row>
        <row r="9179">
          <cell r="V9179"/>
          <cell r="W9179"/>
          <cell r="X9179"/>
          <cell r="Y9179"/>
        </row>
        <row r="9180">
          <cell r="V9180"/>
          <cell r="W9180"/>
          <cell r="X9180"/>
          <cell r="Y9180"/>
        </row>
        <row r="9181">
          <cell r="V9181"/>
          <cell r="W9181"/>
          <cell r="X9181"/>
          <cell r="Y9181"/>
        </row>
        <row r="9182">
          <cell r="V9182"/>
          <cell r="W9182"/>
          <cell r="X9182"/>
          <cell r="Y9182"/>
        </row>
        <row r="9183">
          <cell r="V9183"/>
          <cell r="W9183"/>
          <cell r="X9183"/>
          <cell r="Y9183"/>
        </row>
        <row r="9184">
          <cell r="V9184"/>
          <cell r="W9184"/>
          <cell r="X9184"/>
          <cell r="Y9184"/>
        </row>
        <row r="9185">
          <cell r="V9185"/>
          <cell r="W9185"/>
          <cell r="X9185"/>
          <cell r="Y9185"/>
        </row>
        <row r="9186">
          <cell r="V9186"/>
          <cell r="W9186"/>
          <cell r="X9186"/>
          <cell r="Y9186"/>
        </row>
        <row r="9187">
          <cell r="V9187"/>
          <cell r="W9187"/>
          <cell r="X9187"/>
          <cell r="Y9187"/>
        </row>
        <row r="9188">
          <cell r="V9188"/>
          <cell r="W9188"/>
          <cell r="X9188"/>
          <cell r="Y9188"/>
        </row>
        <row r="9189">
          <cell r="V9189"/>
          <cell r="W9189"/>
          <cell r="X9189"/>
          <cell r="Y9189"/>
        </row>
        <row r="9190">
          <cell r="V9190"/>
          <cell r="W9190"/>
          <cell r="X9190"/>
          <cell r="Y9190"/>
        </row>
        <row r="9191">
          <cell r="V9191"/>
          <cell r="W9191"/>
          <cell r="X9191"/>
          <cell r="Y9191"/>
        </row>
        <row r="9192">
          <cell r="V9192"/>
          <cell r="W9192"/>
          <cell r="X9192"/>
          <cell r="Y9192"/>
        </row>
        <row r="9193">
          <cell r="V9193"/>
          <cell r="W9193"/>
          <cell r="X9193"/>
          <cell r="Y9193"/>
        </row>
        <row r="9194">
          <cell r="V9194"/>
          <cell r="W9194"/>
          <cell r="X9194"/>
          <cell r="Y9194"/>
        </row>
        <row r="9195">
          <cell r="V9195"/>
          <cell r="W9195"/>
          <cell r="X9195"/>
          <cell r="Y9195"/>
        </row>
        <row r="9196">
          <cell r="V9196"/>
          <cell r="W9196"/>
          <cell r="X9196"/>
          <cell r="Y9196"/>
        </row>
        <row r="9197">
          <cell r="V9197"/>
          <cell r="W9197"/>
          <cell r="X9197"/>
          <cell r="Y9197"/>
        </row>
        <row r="9198">
          <cell r="V9198"/>
          <cell r="W9198"/>
          <cell r="X9198"/>
          <cell r="Y9198"/>
        </row>
        <row r="9199">
          <cell r="V9199"/>
          <cell r="W9199"/>
          <cell r="X9199"/>
          <cell r="Y9199"/>
        </row>
        <row r="9200">
          <cell r="V9200"/>
          <cell r="W9200"/>
          <cell r="X9200"/>
          <cell r="Y9200"/>
        </row>
        <row r="9201">
          <cell r="V9201"/>
          <cell r="W9201"/>
          <cell r="X9201"/>
          <cell r="Y9201"/>
        </row>
        <row r="9202">
          <cell r="V9202"/>
          <cell r="W9202"/>
          <cell r="X9202"/>
          <cell r="Y9202"/>
        </row>
        <row r="9203">
          <cell r="V9203"/>
          <cell r="W9203"/>
          <cell r="X9203"/>
          <cell r="Y9203"/>
        </row>
        <row r="9204">
          <cell r="V9204"/>
          <cell r="W9204"/>
          <cell r="X9204"/>
          <cell r="Y9204"/>
        </row>
        <row r="9205">
          <cell r="V9205"/>
          <cell r="W9205"/>
          <cell r="X9205"/>
          <cell r="Y9205"/>
        </row>
        <row r="9206">
          <cell r="V9206"/>
          <cell r="W9206"/>
          <cell r="X9206"/>
          <cell r="Y9206"/>
        </row>
        <row r="9207">
          <cell r="V9207"/>
          <cell r="W9207"/>
          <cell r="X9207"/>
          <cell r="Y9207"/>
        </row>
        <row r="9208">
          <cell r="V9208"/>
          <cell r="W9208"/>
          <cell r="X9208"/>
          <cell r="Y9208"/>
        </row>
        <row r="9209">
          <cell r="V9209"/>
          <cell r="W9209"/>
          <cell r="X9209"/>
          <cell r="Y9209"/>
        </row>
        <row r="9210">
          <cell r="V9210"/>
          <cell r="W9210"/>
          <cell r="X9210"/>
          <cell r="Y9210"/>
        </row>
        <row r="9211">
          <cell r="V9211"/>
          <cell r="W9211"/>
          <cell r="X9211"/>
          <cell r="Y9211"/>
        </row>
        <row r="9212">
          <cell r="V9212"/>
          <cell r="W9212"/>
          <cell r="X9212"/>
          <cell r="Y9212"/>
        </row>
        <row r="9213">
          <cell r="V9213"/>
          <cell r="W9213"/>
          <cell r="X9213"/>
          <cell r="Y9213"/>
        </row>
        <row r="9214">
          <cell r="V9214"/>
          <cell r="W9214"/>
          <cell r="X9214"/>
          <cell r="Y9214"/>
        </row>
        <row r="9215">
          <cell r="V9215"/>
          <cell r="W9215"/>
          <cell r="X9215"/>
          <cell r="Y9215"/>
        </row>
        <row r="9216">
          <cell r="V9216"/>
          <cell r="W9216"/>
          <cell r="X9216"/>
          <cell r="Y9216"/>
        </row>
        <row r="9217">
          <cell r="V9217"/>
          <cell r="W9217"/>
          <cell r="X9217"/>
          <cell r="Y9217"/>
        </row>
        <row r="9218">
          <cell r="V9218"/>
          <cell r="W9218"/>
          <cell r="X9218"/>
          <cell r="Y9218"/>
        </row>
        <row r="9219">
          <cell r="V9219"/>
          <cell r="W9219"/>
          <cell r="X9219"/>
          <cell r="Y9219"/>
        </row>
        <row r="9220">
          <cell r="V9220"/>
          <cell r="W9220"/>
          <cell r="X9220"/>
          <cell r="Y9220"/>
        </row>
        <row r="9221">
          <cell r="V9221"/>
          <cell r="W9221"/>
          <cell r="X9221"/>
          <cell r="Y9221"/>
        </row>
        <row r="9222">
          <cell r="V9222"/>
          <cell r="W9222"/>
          <cell r="X9222"/>
          <cell r="Y9222"/>
        </row>
        <row r="9223">
          <cell r="V9223"/>
          <cell r="W9223"/>
          <cell r="X9223"/>
          <cell r="Y9223"/>
        </row>
        <row r="9224">
          <cell r="V9224"/>
          <cell r="W9224"/>
          <cell r="X9224"/>
          <cell r="Y9224"/>
        </row>
        <row r="9225">
          <cell r="V9225"/>
          <cell r="W9225"/>
          <cell r="X9225"/>
          <cell r="Y9225"/>
        </row>
        <row r="9226">
          <cell r="V9226"/>
          <cell r="W9226"/>
          <cell r="X9226"/>
          <cell r="Y9226"/>
        </row>
        <row r="9227">
          <cell r="V9227"/>
          <cell r="W9227"/>
          <cell r="X9227"/>
          <cell r="Y9227"/>
        </row>
        <row r="9228">
          <cell r="V9228"/>
          <cell r="W9228"/>
          <cell r="X9228"/>
          <cell r="Y9228"/>
        </row>
        <row r="9229">
          <cell r="V9229"/>
          <cell r="W9229"/>
          <cell r="X9229"/>
          <cell r="Y9229"/>
        </row>
        <row r="9230">
          <cell r="V9230"/>
          <cell r="W9230"/>
          <cell r="X9230"/>
          <cell r="Y9230"/>
        </row>
        <row r="9231">
          <cell r="V9231"/>
          <cell r="W9231"/>
          <cell r="X9231"/>
          <cell r="Y9231"/>
        </row>
        <row r="9232">
          <cell r="V9232"/>
          <cell r="W9232"/>
          <cell r="X9232"/>
          <cell r="Y9232"/>
        </row>
        <row r="9233">
          <cell r="V9233"/>
          <cell r="W9233"/>
          <cell r="X9233"/>
          <cell r="Y9233"/>
        </row>
        <row r="9234">
          <cell r="V9234"/>
          <cell r="W9234"/>
          <cell r="X9234"/>
          <cell r="Y9234"/>
        </row>
        <row r="9235">
          <cell r="V9235"/>
          <cell r="W9235"/>
          <cell r="X9235"/>
          <cell r="Y9235"/>
        </row>
        <row r="9236">
          <cell r="V9236"/>
          <cell r="W9236"/>
          <cell r="X9236"/>
          <cell r="Y9236"/>
        </row>
        <row r="9237">
          <cell r="V9237"/>
          <cell r="W9237"/>
          <cell r="X9237"/>
          <cell r="Y9237"/>
        </row>
        <row r="9238">
          <cell r="V9238"/>
          <cell r="W9238"/>
          <cell r="X9238"/>
          <cell r="Y9238"/>
        </row>
        <row r="9239">
          <cell r="V9239"/>
          <cell r="W9239"/>
          <cell r="X9239"/>
          <cell r="Y9239"/>
        </row>
        <row r="9240">
          <cell r="V9240"/>
          <cell r="W9240"/>
          <cell r="X9240"/>
          <cell r="Y9240"/>
        </row>
        <row r="9241">
          <cell r="V9241"/>
          <cell r="W9241"/>
          <cell r="X9241"/>
          <cell r="Y9241"/>
        </row>
        <row r="9242">
          <cell r="V9242"/>
          <cell r="W9242"/>
          <cell r="X9242"/>
          <cell r="Y9242"/>
        </row>
        <row r="9243">
          <cell r="V9243"/>
          <cell r="W9243"/>
          <cell r="X9243"/>
          <cell r="Y9243"/>
        </row>
        <row r="9244">
          <cell r="V9244"/>
          <cell r="W9244"/>
          <cell r="X9244"/>
          <cell r="Y9244"/>
        </row>
        <row r="9245">
          <cell r="V9245"/>
          <cell r="W9245"/>
          <cell r="X9245"/>
          <cell r="Y9245"/>
        </row>
        <row r="9246">
          <cell r="V9246"/>
          <cell r="W9246"/>
          <cell r="X9246"/>
          <cell r="Y9246"/>
        </row>
        <row r="9247">
          <cell r="V9247"/>
          <cell r="W9247"/>
          <cell r="X9247"/>
          <cell r="Y9247"/>
        </row>
        <row r="9248">
          <cell r="V9248"/>
          <cell r="W9248"/>
          <cell r="X9248"/>
          <cell r="Y9248"/>
        </row>
        <row r="9249">
          <cell r="V9249"/>
          <cell r="W9249"/>
          <cell r="X9249"/>
          <cell r="Y9249"/>
        </row>
        <row r="9250">
          <cell r="V9250"/>
          <cell r="W9250"/>
          <cell r="X9250"/>
          <cell r="Y9250"/>
        </row>
        <row r="9251">
          <cell r="V9251"/>
          <cell r="W9251"/>
          <cell r="X9251"/>
          <cell r="Y9251"/>
        </row>
        <row r="9252">
          <cell r="V9252"/>
          <cell r="W9252"/>
          <cell r="X9252"/>
          <cell r="Y9252"/>
        </row>
        <row r="9253">
          <cell r="V9253"/>
          <cell r="W9253"/>
          <cell r="X9253"/>
          <cell r="Y9253"/>
        </row>
        <row r="9254">
          <cell r="V9254"/>
          <cell r="W9254"/>
          <cell r="X9254"/>
          <cell r="Y9254"/>
        </row>
        <row r="9255">
          <cell r="V9255"/>
          <cell r="W9255"/>
          <cell r="X9255"/>
          <cell r="Y9255"/>
        </row>
        <row r="9256">
          <cell r="V9256"/>
          <cell r="W9256"/>
          <cell r="X9256"/>
          <cell r="Y9256"/>
        </row>
        <row r="9257">
          <cell r="V9257"/>
          <cell r="W9257"/>
          <cell r="X9257"/>
          <cell r="Y9257"/>
        </row>
        <row r="9258">
          <cell r="V9258"/>
          <cell r="W9258"/>
          <cell r="X9258"/>
          <cell r="Y9258"/>
        </row>
        <row r="9259">
          <cell r="V9259"/>
          <cell r="W9259"/>
          <cell r="X9259"/>
          <cell r="Y9259"/>
        </row>
        <row r="9260">
          <cell r="V9260"/>
          <cell r="W9260"/>
          <cell r="X9260"/>
          <cell r="Y9260"/>
        </row>
        <row r="9261">
          <cell r="V9261"/>
          <cell r="W9261"/>
          <cell r="X9261"/>
          <cell r="Y9261"/>
        </row>
        <row r="9262">
          <cell r="V9262"/>
          <cell r="W9262"/>
          <cell r="X9262"/>
          <cell r="Y9262"/>
        </row>
        <row r="9263">
          <cell r="V9263"/>
          <cell r="W9263"/>
          <cell r="X9263"/>
          <cell r="Y9263"/>
        </row>
        <row r="9264">
          <cell r="V9264"/>
          <cell r="W9264"/>
          <cell r="X9264"/>
          <cell r="Y9264"/>
        </row>
        <row r="9265">
          <cell r="V9265"/>
          <cell r="W9265"/>
          <cell r="X9265"/>
          <cell r="Y9265"/>
        </row>
        <row r="9266">
          <cell r="V9266"/>
          <cell r="W9266"/>
          <cell r="X9266"/>
          <cell r="Y9266"/>
        </row>
        <row r="9267">
          <cell r="V9267"/>
          <cell r="W9267"/>
          <cell r="X9267"/>
          <cell r="Y9267"/>
        </row>
        <row r="9268">
          <cell r="V9268"/>
          <cell r="W9268"/>
          <cell r="X9268"/>
          <cell r="Y9268"/>
        </row>
        <row r="9269">
          <cell r="V9269"/>
          <cell r="W9269"/>
          <cell r="X9269"/>
          <cell r="Y9269"/>
        </row>
        <row r="9270">
          <cell r="V9270"/>
          <cell r="W9270"/>
          <cell r="X9270"/>
          <cell r="Y9270"/>
        </row>
        <row r="9271">
          <cell r="V9271"/>
          <cell r="W9271"/>
          <cell r="X9271"/>
          <cell r="Y9271"/>
        </row>
        <row r="9272">
          <cell r="V9272"/>
          <cell r="W9272"/>
          <cell r="X9272"/>
          <cell r="Y9272"/>
        </row>
        <row r="9273">
          <cell r="V9273"/>
          <cell r="W9273"/>
          <cell r="X9273"/>
          <cell r="Y9273"/>
        </row>
        <row r="9274">
          <cell r="V9274"/>
          <cell r="W9274"/>
          <cell r="X9274"/>
          <cell r="Y9274"/>
        </row>
        <row r="9275">
          <cell r="V9275"/>
          <cell r="W9275"/>
          <cell r="X9275"/>
          <cell r="Y9275"/>
        </row>
        <row r="9276">
          <cell r="V9276"/>
          <cell r="W9276"/>
          <cell r="X9276"/>
          <cell r="Y9276"/>
        </row>
        <row r="9277">
          <cell r="V9277"/>
          <cell r="W9277"/>
          <cell r="X9277"/>
          <cell r="Y9277"/>
        </row>
        <row r="9278">
          <cell r="V9278"/>
          <cell r="W9278"/>
          <cell r="X9278"/>
          <cell r="Y9278"/>
        </row>
        <row r="9279">
          <cell r="V9279"/>
          <cell r="W9279"/>
          <cell r="X9279"/>
          <cell r="Y9279"/>
        </row>
        <row r="9280">
          <cell r="V9280"/>
          <cell r="W9280"/>
          <cell r="X9280"/>
          <cell r="Y9280"/>
        </row>
        <row r="9281">
          <cell r="V9281"/>
          <cell r="W9281"/>
          <cell r="X9281"/>
          <cell r="Y9281"/>
        </row>
        <row r="9282">
          <cell r="V9282"/>
          <cell r="W9282"/>
          <cell r="X9282"/>
          <cell r="Y9282"/>
        </row>
        <row r="9283">
          <cell r="V9283"/>
          <cell r="W9283"/>
          <cell r="X9283"/>
          <cell r="Y9283"/>
        </row>
        <row r="9284">
          <cell r="V9284"/>
          <cell r="W9284"/>
          <cell r="X9284"/>
          <cell r="Y9284"/>
        </row>
        <row r="9285">
          <cell r="V9285"/>
          <cell r="W9285"/>
          <cell r="X9285"/>
          <cell r="Y9285"/>
        </row>
        <row r="9286">
          <cell r="V9286"/>
          <cell r="W9286"/>
          <cell r="X9286"/>
          <cell r="Y9286"/>
        </row>
        <row r="9287">
          <cell r="V9287"/>
          <cell r="W9287"/>
          <cell r="X9287"/>
          <cell r="Y9287"/>
        </row>
        <row r="9288">
          <cell r="V9288"/>
          <cell r="W9288"/>
          <cell r="X9288"/>
          <cell r="Y9288"/>
        </row>
        <row r="9289">
          <cell r="V9289"/>
          <cell r="W9289"/>
          <cell r="X9289"/>
          <cell r="Y9289"/>
        </row>
        <row r="9290">
          <cell r="V9290"/>
          <cell r="W9290"/>
          <cell r="X9290"/>
          <cell r="Y9290"/>
        </row>
        <row r="9291">
          <cell r="V9291"/>
          <cell r="W9291"/>
          <cell r="X9291"/>
          <cell r="Y9291"/>
        </row>
        <row r="9292">
          <cell r="V9292"/>
          <cell r="W9292"/>
          <cell r="X9292"/>
          <cell r="Y9292"/>
        </row>
        <row r="9293">
          <cell r="V9293"/>
          <cell r="W9293"/>
          <cell r="X9293"/>
          <cell r="Y9293"/>
        </row>
        <row r="9294">
          <cell r="V9294"/>
          <cell r="W9294"/>
          <cell r="X9294"/>
          <cell r="Y9294"/>
        </row>
        <row r="9295">
          <cell r="V9295"/>
          <cell r="W9295"/>
          <cell r="X9295"/>
          <cell r="Y9295"/>
        </row>
        <row r="9296">
          <cell r="V9296"/>
          <cell r="W9296"/>
          <cell r="X9296"/>
          <cell r="Y9296"/>
        </row>
        <row r="9297">
          <cell r="V9297"/>
          <cell r="W9297"/>
          <cell r="X9297"/>
          <cell r="Y9297"/>
        </row>
        <row r="9298">
          <cell r="V9298"/>
          <cell r="W9298"/>
          <cell r="X9298"/>
          <cell r="Y9298"/>
        </row>
        <row r="9299">
          <cell r="V9299"/>
          <cell r="W9299"/>
          <cell r="X9299"/>
          <cell r="Y9299"/>
        </row>
        <row r="9300">
          <cell r="V9300"/>
          <cell r="W9300"/>
          <cell r="X9300"/>
          <cell r="Y9300"/>
        </row>
        <row r="9301">
          <cell r="V9301"/>
          <cell r="W9301"/>
          <cell r="X9301"/>
          <cell r="Y9301"/>
        </row>
        <row r="9302">
          <cell r="V9302"/>
          <cell r="W9302"/>
          <cell r="X9302"/>
          <cell r="Y9302"/>
        </row>
        <row r="9303">
          <cell r="V9303"/>
          <cell r="W9303"/>
          <cell r="X9303"/>
          <cell r="Y9303"/>
        </row>
        <row r="9304">
          <cell r="V9304"/>
          <cell r="W9304"/>
          <cell r="X9304"/>
          <cell r="Y9304"/>
        </row>
        <row r="9305">
          <cell r="V9305"/>
          <cell r="W9305"/>
          <cell r="X9305"/>
          <cell r="Y9305"/>
        </row>
        <row r="9306">
          <cell r="V9306"/>
          <cell r="W9306"/>
          <cell r="X9306"/>
          <cell r="Y9306"/>
        </row>
        <row r="9307">
          <cell r="V9307"/>
          <cell r="W9307"/>
          <cell r="X9307"/>
          <cell r="Y9307"/>
        </row>
        <row r="9308">
          <cell r="V9308"/>
          <cell r="W9308"/>
          <cell r="X9308"/>
          <cell r="Y9308"/>
        </row>
        <row r="9309">
          <cell r="V9309"/>
          <cell r="W9309"/>
          <cell r="X9309"/>
          <cell r="Y9309"/>
        </row>
        <row r="9310">
          <cell r="V9310"/>
          <cell r="W9310"/>
          <cell r="X9310"/>
          <cell r="Y9310"/>
        </row>
        <row r="9311">
          <cell r="V9311"/>
          <cell r="W9311"/>
          <cell r="X9311"/>
          <cell r="Y9311"/>
        </row>
        <row r="9312">
          <cell r="V9312"/>
          <cell r="W9312"/>
          <cell r="X9312"/>
          <cell r="Y9312"/>
        </row>
        <row r="9313">
          <cell r="V9313"/>
          <cell r="W9313"/>
          <cell r="X9313"/>
          <cell r="Y9313"/>
        </row>
        <row r="9314">
          <cell r="V9314"/>
          <cell r="W9314"/>
          <cell r="X9314"/>
          <cell r="Y9314"/>
        </row>
        <row r="9315">
          <cell r="V9315"/>
          <cell r="W9315"/>
          <cell r="X9315"/>
          <cell r="Y9315"/>
        </row>
        <row r="9316">
          <cell r="V9316"/>
          <cell r="W9316"/>
          <cell r="X9316"/>
          <cell r="Y9316"/>
        </row>
        <row r="9317">
          <cell r="V9317"/>
          <cell r="W9317"/>
          <cell r="X9317"/>
          <cell r="Y9317"/>
        </row>
        <row r="9318">
          <cell r="V9318"/>
          <cell r="W9318"/>
          <cell r="X9318"/>
          <cell r="Y9318"/>
        </row>
        <row r="9319">
          <cell r="V9319"/>
          <cell r="W9319"/>
          <cell r="X9319"/>
          <cell r="Y9319"/>
        </row>
        <row r="9320">
          <cell r="V9320"/>
          <cell r="W9320"/>
          <cell r="X9320"/>
          <cell r="Y9320"/>
        </row>
        <row r="9321">
          <cell r="V9321"/>
          <cell r="W9321"/>
          <cell r="X9321"/>
          <cell r="Y9321"/>
        </row>
        <row r="9322">
          <cell r="V9322"/>
          <cell r="W9322"/>
          <cell r="X9322"/>
          <cell r="Y9322"/>
        </row>
        <row r="9323">
          <cell r="V9323"/>
          <cell r="W9323"/>
          <cell r="X9323"/>
          <cell r="Y9323"/>
        </row>
        <row r="9324">
          <cell r="V9324"/>
          <cell r="W9324"/>
          <cell r="X9324"/>
          <cell r="Y9324"/>
        </row>
        <row r="9325">
          <cell r="V9325"/>
          <cell r="W9325"/>
          <cell r="X9325"/>
          <cell r="Y9325"/>
        </row>
        <row r="9326">
          <cell r="V9326"/>
          <cell r="W9326"/>
          <cell r="X9326"/>
          <cell r="Y9326"/>
        </row>
        <row r="9327">
          <cell r="V9327"/>
          <cell r="W9327"/>
          <cell r="X9327"/>
          <cell r="Y9327"/>
        </row>
        <row r="9328">
          <cell r="V9328"/>
          <cell r="W9328"/>
          <cell r="X9328"/>
          <cell r="Y9328"/>
        </row>
        <row r="9329">
          <cell r="V9329"/>
          <cell r="W9329"/>
          <cell r="X9329"/>
          <cell r="Y9329"/>
        </row>
        <row r="9330">
          <cell r="V9330"/>
          <cell r="W9330"/>
          <cell r="X9330"/>
          <cell r="Y9330"/>
        </row>
        <row r="9331">
          <cell r="V9331"/>
          <cell r="W9331"/>
          <cell r="X9331"/>
          <cell r="Y9331"/>
        </row>
        <row r="9332">
          <cell r="V9332"/>
          <cell r="W9332"/>
          <cell r="X9332"/>
          <cell r="Y9332"/>
        </row>
        <row r="9333">
          <cell r="V9333"/>
          <cell r="W9333"/>
          <cell r="X9333"/>
          <cell r="Y9333"/>
        </row>
        <row r="9334">
          <cell r="V9334"/>
          <cell r="W9334"/>
          <cell r="X9334"/>
          <cell r="Y9334"/>
        </row>
        <row r="9335">
          <cell r="V9335"/>
          <cell r="W9335"/>
          <cell r="X9335"/>
          <cell r="Y9335"/>
        </row>
        <row r="9336">
          <cell r="V9336"/>
          <cell r="W9336"/>
          <cell r="X9336"/>
          <cell r="Y9336"/>
        </row>
        <row r="9337">
          <cell r="V9337"/>
          <cell r="W9337"/>
          <cell r="X9337"/>
          <cell r="Y9337"/>
        </row>
        <row r="9338">
          <cell r="V9338"/>
          <cell r="W9338"/>
          <cell r="X9338"/>
          <cell r="Y9338"/>
        </row>
        <row r="9339">
          <cell r="V9339"/>
          <cell r="W9339"/>
          <cell r="X9339"/>
          <cell r="Y9339"/>
        </row>
        <row r="9340">
          <cell r="V9340"/>
          <cell r="W9340"/>
          <cell r="X9340"/>
          <cell r="Y9340"/>
        </row>
        <row r="9341">
          <cell r="V9341"/>
          <cell r="W9341"/>
          <cell r="X9341"/>
          <cell r="Y9341"/>
        </row>
        <row r="9342">
          <cell r="V9342"/>
          <cell r="W9342"/>
          <cell r="X9342"/>
          <cell r="Y9342"/>
        </row>
        <row r="9343">
          <cell r="V9343"/>
          <cell r="W9343"/>
          <cell r="X9343"/>
          <cell r="Y9343"/>
        </row>
        <row r="9344">
          <cell r="V9344"/>
          <cell r="W9344"/>
          <cell r="X9344"/>
          <cell r="Y9344"/>
        </row>
        <row r="9345">
          <cell r="V9345"/>
          <cell r="W9345"/>
          <cell r="X9345"/>
          <cell r="Y9345"/>
        </row>
        <row r="9346">
          <cell r="V9346"/>
          <cell r="W9346"/>
          <cell r="X9346"/>
          <cell r="Y9346"/>
        </row>
        <row r="9347">
          <cell r="V9347"/>
          <cell r="W9347"/>
          <cell r="X9347"/>
          <cell r="Y9347"/>
        </row>
        <row r="9348">
          <cell r="V9348"/>
          <cell r="W9348"/>
          <cell r="X9348"/>
          <cell r="Y9348"/>
        </row>
        <row r="9349">
          <cell r="V9349"/>
          <cell r="W9349"/>
          <cell r="X9349"/>
          <cell r="Y9349"/>
        </row>
        <row r="9350">
          <cell r="V9350"/>
          <cell r="W9350"/>
          <cell r="X9350"/>
          <cell r="Y9350"/>
        </row>
        <row r="9351">
          <cell r="V9351"/>
          <cell r="W9351"/>
          <cell r="X9351"/>
          <cell r="Y9351"/>
        </row>
        <row r="9352">
          <cell r="V9352"/>
          <cell r="W9352"/>
          <cell r="X9352"/>
          <cell r="Y9352"/>
        </row>
        <row r="9353">
          <cell r="V9353"/>
          <cell r="W9353"/>
          <cell r="X9353"/>
          <cell r="Y9353"/>
        </row>
        <row r="9354">
          <cell r="V9354"/>
          <cell r="W9354"/>
          <cell r="X9354"/>
          <cell r="Y9354"/>
        </row>
        <row r="9355">
          <cell r="V9355"/>
          <cell r="W9355"/>
          <cell r="X9355"/>
          <cell r="Y9355"/>
        </row>
        <row r="9356">
          <cell r="V9356"/>
          <cell r="W9356"/>
          <cell r="X9356"/>
          <cell r="Y9356"/>
        </row>
        <row r="9357">
          <cell r="V9357"/>
          <cell r="W9357"/>
          <cell r="X9357"/>
          <cell r="Y9357"/>
        </row>
        <row r="9358">
          <cell r="V9358"/>
          <cell r="W9358"/>
          <cell r="X9358"/>
          <cell r="Y9358"/>
        </row>
        <row r="9359">
          <cell r="V9359"/>
          <cell r="W9359"/>
          <cell r="X9359"/>
          <cell r="Y9359"/>
        </row>
        <row r="9360">
          <cell r="V9360"/>
          <cell r="W9360"/>
          <cell r="X9360"/>
          <cell r="Y9360"/>
        </row>
        <row r="9361">
          <cell r="V9361"/>
          <cell r="W9361"/>
          <cell r="X9361"/>
          <cell r="Y9361"/>
        </row>
        <row r="9362">
          <cell r="V9362"/>
          <cell r="W9362"/>
          <cell r="X9362"/>
          <cell r="Y9362"/>
        </row>
        <row r="9363">
          <cell r="V9363"/>
          <cell r="W9363"/>
          <cell r="X9363"/>
          <cell r="Y9363"/>
        </row>
        <row r="9364">
          <cell r="V9364"/>
          <cell r="W9364"/>
          <cell r="X9364"/>
          <cell r="Y9364"/>
        </row>
        <row r="9365">
          <cell r="V9365"/>
          <cell r="W9365"/>
          <cell r="X9365"/>
          <cell r="Y9365"/>
        </row>
        <row r="9366">
          <cell r="V9366"/>
          <cell r="W9366"/>
          <cell r="X9366"/>
          <cell r="Y9366"/>
        </row>
        <row r="9367">
          <cell r="V9367"/>
          <cell r="W9367"/>
          <cell r="X9367"/>
          <cell r="Y9367"/>
        </row>
        <row r="9368">
          <cell r="V9368"/>
          <cell r="W9368"/>
          <cell r="X9368"/>
          <cell r="Y9368"/>
        </row>
        <row r="9369">
          <cell r="V9369"/>
          <cell r="W9369"/>
          <cell r="X9369"/>
          <cell r="Y9369"/>
        </row>
        <row r="9370">
          <cell r="V9370"/>
          <cell r="W9370"/>
          <cell r="X9370"/>
          <cell r="Y9370"/>
        </row>
        <row r="9371">
          <cell r="V9371"/>
          <cell r="W9371"/>
          <cell r="X9371"/>
          <cell r="Y9371"/>
        </row>
        <row r="9372">
          <cell r="V9372"/>
          <cell r="W9372"/>
          <cell r="X9372"/>
          <cell r="Y9372"/>
        </row>
        <row r="9373">
          <cell r="V9373"/>
          <cell r="W9373"/>
          <cell r="X9373"/>
          <cell r="Y9373"/>
        </row>
        <row r="9374">
          <cell r="V9374"/>
          <cell r="W9374"/>
          <cell r="X9374"/>
          <cell r="Y9374"/>
        </row>
        <row r="9375">
          <cell r="V9375"/>
          <cell r="W9375"/>
          <cell r="X9375"/>
          <cell r="Y9375"/>
        </row>
        <row r="9376">
          <cell r="V9376"/>
          <cell r="W9376"/>
          <cell r="X9376"/>
          <cell r="Y9376"/>
        </row>
        <row r="9377">
          <cell r="V9377"/>
          <cell r="W9377"/>
          <cell r="X9377"/>
          <cell r="Y9377"/>
        </row>
        <row r="9378">
          <cell r="V9378"/>
          <cell r="W9378"/>
          <cell r="X9378"/>
          <cell r="Y9378"/>
        </row>
        <row r="9379">
          <cell r="V9379"/>
          <cell r="W9379"/>
          <cell r="X9379"/>
          <cell r="Y9379"/>
        </row>
        <row r="9380">
          <cell r="V9380"/>
          <cell r="W9380"/>
          <cell r="X9380"/>
          <cell r="Y9380"/>
        </row>
        <row r="9381">
          <cell r="V9381"/>
          <cell r="W9381"/>
          <cell r="X9381"/>
          <cell r="Y9381"/>
        </row>
        <row r="9382">
          <cell r="V9382"/>
          <cell r="W9382"/>
          <cell r="X9382"/>
          <cell r="Y9382"/>
        </row>
        <row r="9383">
          <cell r="V9383"/>
          <cell r="W9383"/>
          <cell r="X9383"/>
          <cell r="Y9383"/>
        </row>
        <row r="9384">
          <cell r="V9384"/>
          <cell r="W9384"/>
          <cell r="X9384"/>
          <cell r="Y9384"/>
        </row>
        <row r="9385">
          <cell r="V9385"/>
          <cell r="W9385"/>
          <cell r="X9385"/>
          <cell r="Y9385"/>
        </row>
        <row r="9386">
          <cell r="V9386"/>
          <cell r="W9386"/>
          <cell r="X9386"/>
          <cell r="Y9386"/>
        </row>
        <row r="9387">
          <cell r="V9387"/>
          <cell r="W9387"/>
          <cell r="X9387"/>
          <cell r="Y9387"/>
        </row>
        <row r="9388">
          <cell r="V9388"/>
          <cell r="W9388"/>
          <cell r="X9388"/>
          <cell r="Y9388"/>
        </row>
        <row r="9389">
          <cell r="V9389"/>
          <cell r="W9389"/>
          <cell r="X9389"/>
          <cell r="Y9389"/>
        </row>
        <row r="9390">
          <cell r="V9390"/>
          <cell r="W9390"/>
          <cell r="X9390"/>
          <cell r="Y9390"/>
        </row>
        <row r="9391">
          <cell r="V9391"/>
          <cell r="W9391"/>
          <cell r="X9391"/>
          <cell r="Y9391"/>
        </row>
        <row r="9392">
          <cell r="V9392"/>
          <cell r="W9392"/>
          <cell r="X9392"/>
          <cell r="Y9392"/>
        </row>
        <row r="9393">
          <cell r="V9393"/>
          <cell r="W9393"/>
          <cell r="X9393"/>
          <cell r="Y9393"/>
        </row>
        <row r="9394">
          <cell r="V9394"/>
          <cell r="W9394"/>
          <cell r="X9394"/>
          <cell r="Y9394"/>
        </row>
        <row r="9395">
          <cell r="V9395"/>
          <cell r="W9395"/>
          <cell r="X9395"/>
          <cell r="Y9395"/>
        </row>
        <row r="9396">
          <cell r="V9396"/>
          <cell r="W9396"/>
          <cell r="X9396"/>
          <cell r="Y9396"/>
        </row>
        <row r="9397">
          <cell r="V9397"/>
          <cell r="W9397"/>
          <cell r="X9397"/>
          <cell r="Y9397"/>
        </row>
        <row r="9398">
          <cell r="V9398"/>
          <cell r="W9398"/>
          <cell r="X9398"/>
          <cell r="Y9398"/>
        </row>
        <row r="9399">
          <cell r="V9399"/>
          <cell r="W9399"/>
          <cell r="X9399"/>
          <cell r="Y9399"/>
        </row>
        <row r="9400">
          <cell r="V9400"/>
          <cell r="W9400"/>
          <cell r="X9400"/>
          <cell r="Y9400"/>
        </row>
        <row r="9401">
          <cell r="V9401"/>
          <cell r="W9401"/>
          <cell r="X9401"/>
          <cell r="Y9401"/>
        </row>
        <row r="9402">
          <cell r="V9402"/>
          <cell r="W9402"/>
          <cell r="X9402"/>
          <cell r="Y9402"/>
        </row>
        <row r="9403">
          <cell r="V9403"/>
          <cell r="W9403"/>
          <cell r="X9403"/>
          <cell r="Y9403"/>
        </row>
        <row r="9404">
          <cell r="V9404"/>
          <cell r="W9404"/>
          <cell r="X9404"/>
          <cell r="Y9404"/>
        </row>
        <row r="9405">
          <cell r="V9405"/>
          <cell r="W9405"/>
          <cell r="X9405"/>
          <cell r="Y9405"/>
        </row>
        <row r="9406">
          <cell r="V9406"/>
          <cell r="W9406"/>
          <cell r="X9406"/>
          <cell r="Y9406"/>
        </row>
        <row r="9407">
          <cell r="V9407"/>
          <cell r="W9407"/>
          <cell r="X9407"/>
          <cell r="Y9407"/>
        </row>
        <row r="9408">
          <cell r="V9408"/>
          <cell r="W9408"/>
          <cell r="X9408"/>
          <cell r="Y9408"/>
        </row>
        <row r="9409">
          <cell r="V9409"/>
          <cell r="W9409"/>
          <cell r="X9409"/>
          <cell r="Y9409"/>
        </row>
        <row r="9410">
          <cell r="V9410"/>
          <cell r="W9410"/>
          <cell r="X9410"/>
          <cell r="Y9410"/>
        </row>
        <row r="9411">
          <cell r="V9411"/>
          <cell r="W9411"/>
          <cell r="X9411"/>
          <cell r="Y9411"/>
        </row>
        <row r="9412">
          <cell r="V9412"/>
          <cell r="W9412"/>
          <cell r="X9412"/>
          <cell r="Y9412"/>
        </row>
        <row r="9413">
          <cell r="V9413"/>
          <cell r="W9413"/>
          <cell r="X9413"/>
          <cell r="Y9413"/>
        </row>
        <row r="9414">
          <cell r="V9414"/>
          <cell r="W9414"/>
          <cell r="X9414"/>
          <cell r="Y9414"/>
        </row>
        <row r="9415">
          <cell r="V9415"/>
          <cell r="W9415"/>
          <cell r="X9415"/>
          <cell r="Y9415"/>
        </row>
        <row r="9416">
          <cell r="V9416"/>
          <cell r="W9416"/>
          <cell r="X9416"/>
          <cell r="Y9416"/>
        </row>
        <row r="9417">
          <cell r="V9417"/>
          <cell r="W9417"/>
          <cell r="X9417"/>
          <cell r="Y9417"/>
        </row>
        <row r="9418">
          <cell r="V9418"/>
          <cell r="W9418"/>
          <cell r="X9418"/>
          <cell r="Y9418"/>
        </row>
        <row r="9419">
          <cell r="V9419"/>
          <cell r="W9419"/>
          <cell r="X9419"/>
          <cell r="Y9419"/>
        </row>
        <row r="9420">
          <cell r="V9420"/>
          <cell r="W9420"/>
          <cell r="X9420"/>
          <cell r="Y9420"/>
        </row>
        <row r="9421">
          <cell r="V9421"/>
          <cell r="W9421"/>
          <cell r="X9421"/>
          <cell r="Y9421"/>
        </row>
        <row r="9422">
          <cell r="V9422"/>
          <cell r="W9422"/>
          <cell r="X9422"/>
          <cell r="Y9422"/>
        </row>
        <row r="9423">
          <cell r="V9423"/>
          <cell r="W9423"/>
          <cell r="X9423"/>
          <cell r="Y9423"/>
        </row>
        <row r="9424">
          <cell r="V9424"/>
          <cell r="W9424"/>
          <cell r="X9424"/>
          <cell r="Y9424"/>
        </row>
        <row r="9425">
          <cell r="V9425"/>
          <cell r="W9425"/>
          <cell r="X9425"/>
          <cell r="Y9425"/>
        </row>
        <row r="9426">
          <cell r="V9426"/>
          <cell r="W9426"/>
          <cell r="X9426"/>
          <cell r="Y9426"/>
        </row>
        <row r="9427">
          <cell r="V9427"/>
          <cell r="W9427"/>
          <cell r="X9427"/>
          <cell r="Y9427"/>
        </row>
        <row r="9428">
          <cell r="V9428"/>
          <cell r="W9428"/>
          <cell r="X9428"/>
          <cell r="Y9428"/>
        </row>
        <row r="9429">
          <cell r="V9429"/>
          <cell r="W9429"/>
          <cell r="X9429"/>
          <cell r="Y9429"/>
        </row>
        <row r="9430">
          <cell r="V9430"/>
          <cell r="W9430"/>
          <cell r="X9430"/>
          <cell r="Y9430"/>
        </row>
        <row r="9431">
          <cell r="V9431"/>
          <cell r="W9431"/>
          <cell r="X9431"/>
          <cell r="Y9431"/>
        </row>
        <row r="9432">
          <cell r="V9432"/>
          <cell r="W9432"/>
          <cell r="X9432"/>
          <cell r="Y9432"/>
        </row>
        <row r="9433">
          <cell r="V9433"/>
          <cell r="W9433"/>
          <cell r="X9433"/>
          <cell r="Y9433"/>
        </row>
        <row r="9434">
          <cell r="V9434"/>
          <cell r="W9434"/>
          <cell r="X9434"/>
          <cell r="Y9434"/>
        </row>
        <row r="9435">
          <cell r="V9435"/>
          <cell r="W9435"/>
          <cell r="X9435"/>
          <cell r="Y9435"/>
        </row>
        <row r="9436">
          <cell r="V9436"/>
          <cell r="W9436"/>
          <cell r="X9436"/>
          <cell r="Y9436"/>
        </row>
        <row r="9437">
          <cell r="V9437"/>
          <cell r="W9437"/>
          <cell r="X9437"/>
          <cell r="Y9437"/>
        </row>
        <row r="9438">
          <cell r="V9438"/>
          <cell r="W9438"/>
          <cell r="X9438"/>
          <cell r="Y9438"/>
        </row>
        <row r="9439">
          <cell r="V9439"/>
          <cell r="W9439"/>
          <cell r="X9439"/>
          <cell r="Y9439"/>
        </row>
        <row r="9440">
          <cell r="V9440"/>
          <cell r="W9440"/>
          <cell r="X9440"/>
          <cell r="Y9440"/>
        </row>
        <row r="9441">
          <cell r="V9441"/>
          <cell r="W9441"/>
          <cell r="X9441"/>
          <cell r="Y9441"/>
        </row>
        <row r="9442">
          <cell r="V9442"/>
          <cell r="W9442"/>
          <cell r="X9442"/>
          <cell r="Y9442"/>
        </row>
        <row r="9443">
          <cell r="V9443"/>
          <cell r="W9443"/>
          <cell r="X9443"/>
          <cell r="Y9443"/>
        </row>
        <row r="9444">
          <cell r="V9444"/>
          <cell r="W9444"/>
          <cell r="X9444"/>
          <cell r="Y9444"/>
        </row>
        <row r="9445">
          <cell r="V9445"/>
          <cell r="W9445"/>
          <cell r="X9445"/>
          <cell r="Y9445"/>
        </row>
        <row r="9446">
          <cell r="V9446"/>
          <cell r="W9446"/>
          <cell r="X9446"/>
          <cell r="Y9446"/>
        </row>
        <row r="9447">
          <cell r="V9447"/>
          <cell r="W9447"/>
          <cell r="X9447"/>
          <cell r="Y9447"/>
        </row>
        <row r="9448">
          <cell r="V9448"/>
          <cell r="W9448"/>
          <cell r="X9448"/>
          <cell r="Y9448"/>
        </row>
        <row r="9449">
          <cell r="V9449"/>
          <cell r="W9449"/>
          <cell r="X9449"/>
          <cell r="Y9449"/>
        </row>
        <row r="9450">
          <cell r="V9450"/>
          <cell r="W9450"/>
          <cell r="X9450"/>
          <cell r="Y9450"/>
        </row>
        <row r="9451">
          <cell r="V9451"/>
          <cell r="W9451"/>
          <cell r="X9451"/>
          <cell r="Y9451"/>
        </row>
        <row r="9452">
          <cell r="V9452"/>
          <cell r="W9452"/>
          <cell r="X9452"/>
          <cell r="Y9452"/>
        </row>
        <row r="9453">
          <cell r="V9453"/>
          <cell r="W9453"/>
          <cell r="X9453"/>
          <cell r="Y9453"/>
        </row>
        <row r="9454">
          <cell r="V9454"/>
          <cell r="W9454"/>
          <cell r="X9454"/>
          <cell r="Y9454"/>
        </row>
        <row r="9455">
          <cell r="V9455"/>
          <cell r="W9455"/>
          <cell r="X9455"/>
          <cell r="Y9455"/>
        </row>
        <row r="9456">
          <cell r="V9456"/>
          <cell r="W9456"/>
          <cell r="X9456"/>
          <cell r="Y9456"/>
        </row>
        <row r="9457">
          <cell r="V9457"/>
          <cell r="W9457"/>
          <cell r="X9457"/>
          <cell r="Y9457"/>
        </row>
        <row r="9458">
          <cell r="V9458"/>
          <cell r="W9458"/>
          <cell r="X9458"/>
          <cell r="Y9458"/>
        </row>
        <row r="9459">
          <cell r="V9459"/>
          <cell r="W9459"/>
          <cell r="X9459"/>
          <cell r="Y9459"/>
        </row>
        <row r="9460">
          <cell r="V9460"/>
          <cell r="W9460"/>
          <cell r="X9460"/>
          <cell r="Y9460"/>
        </row>
        <row r="9461">
          <cell r="V9461"/>
          <cell r="W9461"/>
          <cell r="X9461"/>
          <cell r="Y9461"/>
        </row>
        <row r="9462">
          <cell r="V9462"/>
          <cell r="W9462"/>
          <cell r="X9462"/>
          <cell r="Y9462"/>
        </row>
        <row r="9463">
          <cell r="V9463"/>
          <cell r="W9463"/>
          <cell r="X9463"/>
          <cell r="Y9463"/>
        </row>
        <row r="9464">
          <cell r="V9464"/>
          <cell r="W9464"/>
          <cell r="X9464"/>
          <cell r="Y9464"/>
        </row>
        <row r="9465">
          <cell r="V9465"/>
          <cell r="W9465"/>
          <cell r="X9465"/>
          <cell r="Y9465"/>
        </row>
        <row r="9466">
          <cell r="V9466"/>
          <cell r="W9466"/>
          <cell r="X9466"/>
          <cell r="Y9466"/>
        </row>
        <row r="9467">
          <cell r="V9467"/>
          <cell r="W9467"/>
          <cell r="X9467"/>
          <cell r="Y9467"/>
        </row>
        <row r="9468">
          <cell r="V9468"/>
          <cell r="W9468"/>
          <cell r="X9468"/>
          <cell r="Y9468"/>
        </row>
        <row r="9469">
          <cell r="V9469"/>
          <cell r="W9469"/>
          <cell r="X9469"/>
          <cell r="Y9469"/>
        </row>
        <row r="9470">
          <cell r="V9470"/>
          <cell r="W9470"/>
          <cell r="X9470"/>
          <cell r="Y9470"/>
        </row>
        <row r="9471">
          <cell r="V9471"/>
          <cell r="W9471"/>
          <cell r="X9471"/>
          <cell r="Y9471"/>
        </row>
        <row r="9472">
          <cell r="V9472"/>
          <cell r="W9472"/>
          <cell r="X9472"/>
          <cell r="Y9472"/>
        </row>
        <row r="9473">
          <cell r="V9473"/>
          <cell r="W9473"/>
          <cell r="X9473"/>
          <cell r="Y9473"/>
        </row>
        <row r="9474">
          <cell r="V9474"/>
          <cell r="W9474"/>
          <cell r="X9474"/>
          <cell r="Y9474"/>
        </row>
        <row r="9475">
          <cell r="V9475"/>
          <cell r="W9475"/>
          <cell r="X9475"/>
          <cell r="Y9475"/>
        </row>
        <row r="9476">
          <cell r="V9476"/>
          <cell r="W9476"/>
          <cell r="X9476"/>
          <cell r="Y9476"/>
        </row>
        <row r="9477">
          <cell r="V9477"/>
          <cell r="W9477"/>
          <cell r="X9477"/>
          <cell r="Y9477"/>
        </row>
        <row r="9478">
          <cell r="V9478"/>
          <cell r="W9478"/>
          <cell r="X9478"/>
          <cell r="Y9478"/>
        </row>
        <row r="9479">
          <cell r="V9479"/>
          <cell r="W9479"/>
          <cell r="X9479"/>
          <cell r="Y9479"/>
        </row>
        <row r="9480">
          <cell r="V9480"/>
          <cell r="W9480"/>
          <cell r="X9480"/>
          <cell r="Y9480"/>
        </row>
        <row r="9481">
          <cell r="V9481"/>
          <cell r="W9481"/>
          <cell r="X9481"/>
          <cell r="Y9481"/>
        </row>
        <row r="9482">
          <cell r="V9482"/>
          <cell r="W9482"/>
          <cell r="X9482"/>
          <cell r="Y9482"/>
        </row>
        <row r="9483">
          <cell r="V9483"/>
          <cell r="W9483"/>
          <cell r="X9483"/>
          <cell r="Y9483"/>
        </row>
        <row r="9484">
          <cell r="V9484"/>
          <cell r="W9484"/>
          <cell r="X9484"/>
          <cell r="Y9484"/>
        </row>
        <row r="9485">
          <cell r="V9485"/>
          <cell r="W9485"/>
          <cell r="X9485"/>
          <cell r="Y9485"/>
        </row>
        <row r="9486">
          <cell r="V9486"/>
          <cell r="W9486"/>
          <cell r="X9486"/>
          <cell r="Y9486"/>
        </row>
        <row r="9487">
          <cell r="V9487"/>
          <cell r="W9487"/>
          <cell r="X9487"/>
          <cell r="Y9487"/>
        </row>
        <row r="9488">
          <cell r="V9488"/>
          <cell r="W9488"/>
          <cell r="X9488"/>
          <cell r="Y9488"/>
        </row>
        <row r="9489">
          <cell r="V9489"/>
          <cell r="W9489"/>
          <cell r="X9489"/>
          <cell r="Y9489"/>
        </row>
        <row r="9490">
          <cell r="V9490"/>
          <cell r="W9490"/>
          <cell r="X9490"/>
          <cell r="Y9490"/>
        </row>
        <row r="9491">
          <cell r="V9491"/>
          <cell r="W9491"/>
          <cell r="X9491"/>
          <cell r="Y9491"/>
        </row>
        <row r="9492">
          <cell r="V9492"/>
          <cell r="W9492"/>
          <cell r="X9492"/>
          <cell r="Y9492"/>
        </row>
        <row r="9493">
          <cell r="V9493"/>
          <cell r="W9493"/>
          <cell r="X9493"/>
          <cell r="Y9493"/>
        </row>
        <row r="9494">
          <cell r="V9494"/>
          <cell r="W9494"/>
          <cell r="X9494"/>
          <cell r="Y9494"/>
        </row>
        <row r="9495">
          <cell r="V9495"/>
          <cell r="W9495"/>
          <cell r="X9495"/>
          <cell r="Y9495"/>
        </row>
        <row r="9496">
          <cell r="V9496"/>
          <cell r="W9496"/>
          <cell r="X9496"/>
          <cell r="Y9496"/>
        </row>
        <row r="9497">
          <cell r="V9497"/>
          <cell r="W9497"/>
          <cell r="X9497"/>
          <cell r="Y9497"/>
        </row>
        <row r="9498">
          <cell r="V9498"/>
          <cell r="W9498"/>
          <cell r="X9498"/>
          <cell r="Y9498"/>
        </row>
        <row r="9499">
          <cell r="V9499"/>
          <cell r="W9499"/>
          <cell r="X9499"/>
          <cell r="Y9499"/>
        </row>
        <row r="9500">
          <cell r="V9500"/>
          <cell r="W9500"/>
          <cell r="X9500"/>
          <cell r="Y9500"/>
        </row>
        <row r="9501">
          <cell r="V9501"/>
          <cell r="W9501"/>
          <cell r="X9501"/>
          <cell r="Y9501"/>
        </row>
        <row r="9502">
          <cell r="V9502"/>
          <cell r="W9502"/>
          <cell r="X9502"/>
          <cell r="Y9502"/>
        </row>
        <row r="9503">
          <cell r="V9503"/>
          <cell r="W9503"/>
          <cell r="X9503"/>
          <cell r="Y9503"/>
        </row>
        <row r="9504">
          <cell r="V9504"/>
          <cell r="W9504"/>
          <cell r="X9504"/>
          <cell r="Y9504"/>
        </row>
        <row r="9505">
          <cell r="V9505"/>
          <cell r="W9505"/>
          <cell r="X9505"/>
          <cell r="Y9505"/>
        </row>
        <row r="9506">
          <cell r="V9506"/>
          <cell r="W9506"/>
          <cell r="X9506"/>
          <cell r="Y9506"/>
        </row>
        <row r="9507">
          <cell r="V9507"/>
          <cell r="W9507"/>
          <cell r="X9507"/>
          <cell r="Y9507"/>
        </row>
        <row r="9508">
          <cell r="V9508"/>
          <cell r="W9508"/>
          <cell r="X9508"/>
          <cell r="Y9508"/>
        </row>
        <row r="9509">
          <cell r="V9509"/>
          <cell r="W9509"/>
          <cell r="X9509"/>
          <cell r="Y9509"/>
        </row>
        <row r="9510">
          <cell r="V9510"/>
          <cell r="W9510"/>
          <cell r="X9510"/>
          <cell r="Y9510"/>
        </row>
        <row r="9511">
          <cell r="V9511"/>
          <cell r="W9511"/>
          <cell r="X9511"/>
          <cell r="Y9511"/>
        </row>
        <row r="9512">
          <cell r="V9512"/>
          <cell r="W9512"/>
          <cell r="X9512"/>
          <cell r="Y9512"/>
        </row>
        <row r="9513">
          <cell r="V9513"/>
          <cell r="W9513"/>
          <cell r="X9513"/>
          <cell r="Y9513"/>
        </row>
        <row r="9514">
          <cell r="V9514"/>
          <cell r="W9514"/>
          <cell r="X9514"/>
          <cell r="Y9514"/>
        </row>
        <row r="9515">
          <cell r="V9515"/>
          <cell r="W9515"/>
          <cell r="X9515"/>
          <cell r="Y9515"/>
        </row>
        <row r="9516">
          <cell r="V9516"/>
          <cell r="W9516"/>
          <cell r="X9516"/>
          <cell r="Y9516"/>
        </row>
        <row r="9517">
          <cell r="V9517"/>
          <cell r="W9517"/>
          <cell r="X9517"/>
          <cell r="Y9517"/>
        </row>
        <row r="9518">
          <cell r="V9518"/>
          <cell r="W9518"/>
          <cell r="X9518"/>
          <cell r="Y9518"/>
        </row>
        <row r="9519">
          <cell r="V9519"/>
          <cell r="W9519"/>
          <cell r="X9519"/>
          <cell r="Y9519"/>
        </row>
        <row r="9520">
          <cell r="V9520"/>
          <cell r="W9520"/>
          <cell r="X9520"/>
          <cell r="Y9520"/>
        </row>
        <row r="9521">
          <cell r="V9521"/>
          <cell r="W9521"/>
          <cell r="X9521"/>
          <cell r="Y9521"/>
        </row>
        <row r="9522">
          <cell r="V9522"/>
          <cell r="W9522"/>
          <cell r="X9522"/>
          <cell r="Y9522"/>
        </row>
        <row r="9523">
          <cell r="V9523"/>
          <cell r="W9523"/>
          <cell r="X9523"/>
          <cell r="Y9523"/>
        </row>
        <row r="9524">
          <cell r="V9524"/>
          <cell r="W9524"/>
          <cell r="X9524"/>
          <cell r="Y9524"/>
        </row>
        <row r="9525">
          <cell r="V9525"/>
          <cell r="W9525"/>
          <cell r="X9525"/>
          <cell r="Y9525"/>
        </row>
        <row r="9526">
          <cell r="V9526"/>
          <cell r="W9526"/>
          <cell r="X9526"/>
          <cell r="Y9526"/>
        </row>
        <row r="9527">
          <cell r="V9527"/>
          <cell r="W9527"/>
          <cell r="X9527"/>
          <cell r="Y9527"/>
        </row>
        <row r="9528">
          <cell r="V9528"/>
          <cell r="W9528"/>
          <cell r="X9528"/>
          <cell r="Y9528"/>
        </row>
        <row r="9529">
          <cell r="V9529"/>
          <cell r="W9529"/>
          <cell r="X9529"/>
          <cell r="Y9529"/>
        </row>
        <row r="9530">
          <cell r="V9530"/>
          <cell r="W9530"/>
          <cell r="X9530"/>
          <cell r="Y9530"/>
        </row>
        <row r="9531">
          <cell r="V9531"/>
          <cell r="W9531"/>
          <cell r="X9531"/>
          <cell r="Y9531"/>
        </row>
        <row r="9532">
          <cell r="V9532"/>
          <cell r="W9532"/>
          <cell r="X9532"/>
          <cell r="Y9532"/>
        </row>
        <row r="9533">
          <cell r="V9533"/>
          <cell r="W9533"/>
          <cell r="X9533"/>
          <cell r="Y9533"/>
        </row>
        <row r="9534">
          <cell r="V9534"/>
          <cell r="W9534"/>
          <cell r="X9534"/>
          <cell r="Y9534"/>
        </row>
        <row r="9535">
          <cell r="V9535"/>
          <cell r="W9535"/>
          <cell r="X9535"/>
          <cell r="Y9535"/>
        </row>
        <row r="9536">
          <cell r="V9536"/>
          <cell r="W9536"/>
          <cell r="X9536"/>
          <cell r="Y9536"/>
        </row>
        <row r="9537">
          <cell r="V9537"/>
          <cell r="W9537"/>
          <cell r="X9537"/>
          <cell r="Y9537"/>
        </row>
        <row r="9538">
          <cell r="V9538"/>
          <cell r="W9538"/>
          <cell r="X9538"/>
          <cell r="Y9538"/>
        </row>
        <row r="9539">
          <cell r="V9539"/>
          <cell r="W9539"/>
          <cell r="X9539"/>
          <cell r="Y9539"/>
        </row>
        <row r="9540">
          <cell r="V9540"/>
          <cell r="W9540"/>
          <cell r="X9540"/>
          <cell r="Y9540"/>
        </row>
        <row r="9541">
          <cell r="V9541"/>
          <cell r="W9541"/>
          <cell r="X9541"/>
          <cell r="Y9541"/>
        </row>
        <row r="9542">
          <cell r="V9542"/>
          <cell r="W9542"/>
          <cell r="X9542"/>
          <cell r="Y9542"/>
        </row>
        <row r="9543">
          <cell r="V9543"/>
          <cell r="W9543"/>
          <cell r="X9543"/>
          <cell r="Y9543"/>
        </row>
        <row r="9544">
          <cell r="V9544"/>
          <cell r="W9544"/>
          <cell r="X9544"/>
          <cell r="Y9544"/>
        </row>
        <row r="9545">
          <cell r="V9545"/>
          <cell r="W9545"/>
          <cell r="X9545"/>
          <cell r="Y9545"/>
        </row>
        <row r="9546">
          <cell r="V9546"/>
          <cell r="W9546"/>
          <cell r="X9546"/>
          <cell r="Y9546"/>
        </row>
        <row r="9547">
          <cell r="V9547"/>
          <cell r="W9547"/>
          <cell r="X9547"/>
          <cell r="Y9547"/>
        </row>
        <row r="9548">
          <cell r="V9548"/>
          <cell r="W9548"/>
          <cell r="X9548"/>
          <cell r="Y9548"/>
        </row>
        <row r="9549">
          <cell r="V9549"/>
          <cell r="W9549"/>
          <cell r="X9549"/>
          <cell r="Y9549"/>
        </row>
        <row r="9550">
          <cell r="V9550"/>
          <cell r="W9550"/>
          <cell r="X9550"/>
          <cell r="Y9550"/>
        </row>
        <row r="9551">
          <cell r="V9551"/>
          <cell r="W9551"/>
          <cell r="X9551"/>
          <cell r="Y9551"/>
        </row>
        <row r="9552">
          <cell r="V9552"/>
          <cell r="W9552"/>
          <cell r="X9552"/>
          <cell r="Y9552"/>
        </row>
        <row r="9553">
          <cell r="V9553"/>
          <cell r="W9553"/>
          <cell r="X9553"/>
          <cell r="Y9553"/>
        </row>
        <row r="9554">
          <cell r="V9554"/>
          <cell r="W9554"/>
          <cell r="X9554"/>
          <cell r="Y9554"/>
        </row>
        <row r="9555">
          <cell r="V9555"/>
          <cell r="W9555"/>
          <cell r="X9555"/>
          <cell r="Y9555"/>
        </row>
        <row r="9556">
          <cell r="V9556"/>
          <cell r="W9556"/>
          <cell r="X9556"/>
          <cell r="Y9556"/>
        </row>
        <row r="9557">
          <cell r="V9557"/>
          <cell r="W9557"/>
          <cell r="X9557"/>
          <cell r="Y9557"/>
        </row>
        <row r="9558">
          <cell r="V9558"/>
          <cell r="W9558"/>
          <cell r="X9558"/>
          <cell r="Y9558"/>
        </row>
        <row r="9559">
          <cell r="V9559"/>
          <cell r="W9559"/>
          <cell r="X9559"/>
          <cell r="Y9559"/>
        </row>
        <row r="9560">
          <cell r="V9560"/>
          <cell r="W9560"/>
          <cell r="X9560"/>
          <cell r="Y9560"/>
        </row>
        <row r="9561">
          <cell r="V9561"/>
          <cell r="W9561"/>
          <cell r="X9561"/>
          <cell r="Y9561"/>
        </row>
        <row r="9562">
          <cell r="V9562"/>
          <cell r="W9562"/>
          <cell r="X9562"/>
          <cell r="Y9562"/>
        </row>
        <row r="9563">
          <cell r="V9563"/>
          <cell r="W9563"/>
          <cell r="X9563"/>
          <cell r="Y9563"/>
        </row>
        <row r="9564">
          <cell r="V9564"/>
          <cell r="W9564"/>
          <cell r="X9564"/>
          <cell r="Y9564"/>
        </row>
        <row r="9565">
          <cell r="V9565"/>
          <cell r="W9565"/>
          <cell r="X9565"/>
          <cell r="Y9565"/>
        </row>
        <row r="9566">
          <cell r="V9566"/>
          <cell r="W9566"/>
          <cell r="X9566"/>
          <cell r="Y9566"/>
        </row>
        <row r="9567">
          <cell r="V9567"/>
          <cell r="W9567"/>
          <cell r="X9567"/>
          <cell r="Y9567"/>
        </row>
        <row r="9568">
          <cell r="V9568"/>
          <cell r="W9568"/>
          <cell r="X9568"/>
          <cell r="Y9568"/>
        </row>
        <row r="9569">
          <cell r="V9569"/>
          <cell r="W9569"/>
          <cell r="X9569"/>
          <cell r="Y9569"/>
        </row>
        <row r="9570">
          <cell r="V9570"/>
          <cell r="W9570"/>
          <cell r="X9570"/>
          <cell r="Y9570"/>
        </row>
        <row r="9571">
          <cell r="V9571"/>
          <cell r="W9571"/>
          <cell r="X9571"/>
          <cell r="Y9571"/>
        </row>
        <row r="9572">
          <cell r="V9572"/>
          <cell r="W9572"/>
          <cell r="X9572"/>
          <cell r="Y9572"/>
        </row>
        <row r="9573">
          <cell r="V9573"/>
          <cell r="W9573"/>
          <cell r="X9573"/>
          <cell r="Y9573"/>
        </row>
        <row r="9574">
          <cell r="V9574"/>
          <cell r="W9574"/>
          <cell r="X9574"/>
          <cell r="Y9574"/>
        </row>
        <row r="9575">
          <cell r="V9575"/>
          <cell r="W9575"/>
          <cell r="X9575"/>
          <cell r="Y9575"/>
        </row>
        <row r="9576">
          <cell r="V9576"/>
          <cell r="W9576"/>
          <cell r="X9576"/>
          <cell r="Y9576"/>
        </row>
        <row r="9577">
          <cell r="V9577"/>
          <cell r="W9577"/>
          <cell r="X9577"/>
          <cell r="Y9577"/>
        </row>
        <row r="9578">
          <cell r="V9578"/>
          <cell r="W9578"/>
          <cell r="X9578"/>
          <cell r="Y9578"/>
        </row>
        <row r="9579">
          <cell r="V9579"/>
          <cell r="W9579"/>
          <cell r="X9579"/>
          <cell r="Y9579"/>
        </row>
        <row r="9580">
          <cell r="V9580"/>
          <cell r="W9580"/>
          <cell r="X9580"/>
          <cell r="Y9580"/>
        </row>
        <row r="9581">
          <cell r="V9581"/>
          <cell r="W9581"/>
          <cell r="X9581"/>
          <cell r="Y9581"/>
        </row>
        <row r="9582">
          <cell r="V9582"/>
          <cell r="W9582"/>
          <cell r="X9582"/>
          <cell r="Y9582"/>
        </row>
        <row r="9583">
          <cell r="V9583"/>
          <cell r="W9583"/>
          <cell r="X9583"/>
          <cell r="Y9583"/>
        </row>
        <row r="9584">
          <cell r="V9584"/>
          <cell r="W9584"/>
          <cell r="X9584"/>
          <cell r="Y9584"/>
        </row>
        <row r="9585">
          <cell r="V9585"/>
          <cell r="W9585"/>
          <cell r="X9585"/>
          <cell r="Y9585"/>
        </row>
        <row r="9586">
          <cell r="V9586"/>
          <cell r="W9586"/>
          <cell r="X9586"/>
          <cell r="Y9586"/>
        </row>
        <row r="9587">
          <cell r="V9587"/>
          <cell r="W9587"/>
          <cell r="X9587"/>
          <cell r="Y9587"/>
        </row>
        <row r="9588">
          <cell r="V9588"/>
          <cell r="W9588"/>
          <cell r="X9588"/>
          <cell r="Y9588"/>
        </row>
        <row r="9589">
          <cell r="V9589"/>
          <cell r="W9589"/>
          <cell r="X9589"/>
          <cell r="Y9589"/>
        </row>
        <row r="9590">
          <cell r="V9590"/>
          <cell r="W9590"/>
          <cell r="X9590"/>
          <cell r="Y9590"/>
        </row>
        <row r="9591">
          <cell r="V9591"/>
          <cell r="W9591"/>
          <cell r="X9591"/>
          <cell r="Y9591"/>
        </row>
        <row r="9592">
          <cell r="V9592"/>
          <cell r="W9592"/>
          <cell r="X9592"/>
          <cell r="Y9592"/>
        </row>
        <row r="9593">
          <cell r="V9593"/>
          <cell r="W9593"/>
          <cell r="X9593"/>
          <cell r="Y9593"/>
        </row>
        <row r="9594">
          <cell r="V9594"/>
          <cell r="W9594"/>
          <cell r="X9594"/>
          <cell r="Y9594"/>
        </row>
        <row r="9595">
          <cell r="V9595"/>
          <cell r="W9595"/>
          <cell r="X9595"/>
          <cell r="Y9595"/>
        </row>
        <row r="9596">
          <cell r="V9596"/>
          <cell r="W9596"/>
          <cell r="X9596"/>
          <cell r="Y9596"/>
        </row>
        <row r="9597">
          <cell r="V9597"/>
          <cell r="W9597"/>
          <cell r="X9597"/>
          <cell r="Y9597"/>
        </row>
        <row r="9598">
          <cell r="V9598"/>
          <cell r="W9598"/>
          <cell r="X9598"/>
          <cell r="Y9598"/>
        </row>
        <row r="9599">
          <cell r="V9599"/>
          <cell r="W9599"/>
          <cell r="X9599"/>
          <cell r="Y9599"/>
        </row>
        <row r="9600">
          <cell r="V9600"/>
          <cell r="W9600"/>
          <cell r="X9600"/>
          <cell r="Y9600"/>
        </row>
        <row r="9601">
          <cell r="V9601"/>
          <cell r="W9601"/>
          <cell r="X9601"/>
          <cell r="Y9601"/>
        </row>
        <row r="9602">
          <cell r="V9602"/>
          <cell r="W9602"/>
          <cell r="X9602"/>
          <cell r="Y9602"/>
        </row>
        <row r="9603">
          <cell r="V9603"/>
          <cell r="W9603"/>
          <cell r="X9603"/>
          <cell r="Y9603"/>
        </row>
        <row r="9604">
          <cell r="V9604"/>
          <cell r="W9604"/>
          <cell r="X9604"/>
          <cell r="Y9604"/>
        </row>
        <row r="9605">
          <cell r="V9605"/>
          <cell r="W9605"/>
          <cell r="X9605"/>
          <cell r="Y9605"/>
        </row>
        <row r="9606">
          <cell r="V9606"/>
          <cell r="W9606"/>
          <cell r="X9606"/>
          <cell r="Y9606"/>
        </row>
        <row r="9607">
          <cell r="V9607"/>
          <cell r="W9607"/>
          <cell r="X9607"/>
          <cell r="Y9607"/>
        </row>
        <row r="9608">
          <cell r="V9608"/>
          <cell r="W9608"/>
          <cell r="X9608"/>
          <cell r="Y9608"/>
        </row>
        <row r="9609">
          <cell r="V9609"/>
          <cell r="W9609"/>
          <cell r="X9609"/>
          <cell r="Y9609"/>
        </row>
        <row r="9610">
          <cell r="V9610"/>
          <cell r="W9610"/>
          <cell r="X9610"/>
          <cell r="Y9610"/>
        </row>
        <row r="9611">
          <cell r="V9611"/>
          <cell r="W9611"/>
          <cell r="X9611"/>
          <cell r="Y9611"/>
        </row>
        <row r="9612">
          <cell r="V9612"/>
          <cell r="W9612"/>
          <cell r="X9612"/>
          <cell r="Y9612"/>
        </row>
        <row r="9613">
          <cell r="V9613"/>
          <cell r="W9613"/>
          <cell r="X9613"/>
          <cell r="Y9613"/>
        </row>
        <row r="9614">
          <cell r="V9614"/>
          <cell r="W9614"/>
          <cell r="X9614"/>
          <cell r="Y9614"/>
        </row>
        <row r="9615">
          <cell r="V9615"/>
          <cell r="W9615"/>
          <cell r="X9615"/>
          <cell r="Y9615"/>
        </row>
        <row r="9616">
          <cell r="V9616"/>
          <cell r="W9616"/>
          <cell r="X9616"/>
          <cell r="Y9616"/>
        </row>
        <row r="9617">
          <cell r="V9617"/>
          <cell r="W9617"/>
          <cell r="X9617"/>
          <cell r="Y9617"/>
        </row>
        <row r="9618">
          <cell r="V9618"/>
          <cell r="W9618"/>
          <cell r="X9618"/>
          <cell r="Y9618"/>
        </row>
        <row r="9619">
          <cell r="V9619"/>
          <cell r="W9619"/>
          <cell r="X9619"/>
          <cell r="Y9619"/>
        </row>
        <row r="9620">
          <cell r="V9620"/>
          <cell r="W9620"/>
          <cell r="X9620"/>
          <cell r="Y9620"/>
        </row>
        <row r="9621">
          <cell r="V9621"/>
          <cell r="W9621"/>
          <cell r="X9621"/>
          <cell r="Y9621"/>
        </row>
        <row r="9622">
          <cell r="V9622"/>
          <cell r="W9622"/>
          <cell r="X9622"/>
          <cell r="Y9622"/>
        </row>
        <row r="9623">
          <cell r="V9623"/>
          <cell r="W9623"/>
          <cell r="X9623"/>
          <cell r="Y9623"/>
        </row>
        <row r="9624">
          <cell r="V9624"/>
          <cell r="W9624"/>
          <cell r="X9624"/>
          <cell r="Y9624"/>
        </row>
        <row r="9625">
          <cell r="V9625"/>
          <cell r="W9625"/>
          <cell r="X9625"/>
          <cell r="Y9625"/>
        </row>
        <row r="9626">
          <cell r="V9626"/>
          <cell r="W9626"/>
          <cell r="X9626"/>
          <cell r="Y9626"/>
        </row>
        <row r="9627">
          <cell r="V9627"/>
          <cell r="W9627"/>
          <cell r="X9627"/>
          <cell r="Y9627"/>
        </row>
        <row r="9628">
          <cell r="V9628"/>
          <cell r="W9628"/>
          <cell r="X9628"/>
          <cell r="Y9628"/>
        </row>
        <row r="9629">
          <cell r="V9629"/>
          <cell r="W9629"/>
          <cell r="X9629"/>
          <cell r="Y9629"/>
        </row>
        <row r="9630">
          <cell r="V9630"/>
          <cell r="W9630"/>
          <cell r="X9630"/>
          <cell r="Y9630"/>
        </row>
        <row r="9631">
          <cell r="V9631"/>
          <cell r="W9631"/>
          <cell r="X9631"/>
          <cell r="Y9631"/>
        </row>
        <row r="9632">
          <cell r="V9632"/>
          <cell r="W9632"/>
          <cell r="X9632"/>
          <cell r="Y9632"/>
        </row>
        <row r="9633">
          <cell r="V9633"/>
          <cell r="W9633"/>
          <cell r="X9633"/>
          <cell r="Y9633"/>
        </row>
        <row r="9634">
          <cell r="V9634"/>
          <cell r="W9634"/>
          <cell r="X9634"/>
          <cell r="Y9634"/>
        </row>
        <row r="9635">
          <cell r="V9635"/>
          <cell r="W9635"/>
          <cell r="X9635"/>
          <cell r="Y9635"/>
        </row>
        <row r="9636">
          <cell r="V9636"/>
          <cell r="W9636"/>
          <cell r="X9636"/>
          <cell r="Y9636"/>
        </row>
        <row r="9637">
          <cell r="V9637"/>
          <cell r="W9637"/>
          <cell r="X9637"/>
          <cell r="Y9637"/>
        </row>
        <row r="9638">
          <cell r="V9638"/>
          <cell r="W9638"/>
          <cell r="X9638"/>
          <cell r="Y9638"/>
        </row>
        <row r="9639">
          <cell r="V9639"/>
          <cell r="W9639"/>
          <cell r="X9639"/>
          <cell r="Y9639"/>
        </row>
        <row r="9640">
          <cell r="V9640"/>
          <cell r="W9640"/>
          <cell r="X9640"/>
          <cell r="Y9640"/>
        </row>
        <row r="9641">
          <cell r="V9641"/>
          <cell r="W9641"/>
          <cell r="X9641"/>
          <cell r="Y9641"/>
        </row>
        <row r="9642">
          <cell r="V9642"/>
          <cell r="W9642"/>
          <cell r="X9642"/>
          <cell r="Y9642"/>
        </row>
        <row r="9643">
          <cell r="V9643"/>
          <cell r="W9643"/>
          <cell r="X9643"/>
          <cell r="Y9643"/>
        </row>
        <row r="9644">
          <cell r="V9644"/>
          <cell r="W9644"/>
          <cell r="X9644"/>
          <cell r="Y9644"/>
        </row>
        <row r="9645">
          <cell r="V9645"/>
          <cell r="W9645"/>
          <cell r="X9645"/>
          <cell r="Y9645"/>
        </row>
        <row r="9646">
          <cell r="V9646"/>
          <cell r="W9646"/>
          <cell r="X9646"/>
          <cell r="Y9646"/>
        </row>
        <row r="9647">
          <cell r="V9647"/>
          <cell r="W9647"/>
          <cell r="X9647"/>
          <cell r="Y9647"/>
        </row>
        <row r="9648">
          <cell r="V9648"/>
          <cell r="W9648"/>
          <cell r="X9648"/>
          <cell r="Y9648"/>
        </row>
        <row r="9649">
          <cell r="V9649"/>
          <cell r="W9649"/>
          <cell r="X9649"/>
          <cell r="Y9649"/>
        </row>
        <row r="9650">
          <cell r="V9650"/>
          <cell r="W9650"/>
          <cell r="X9650"/>
          <cell r="Y9650"/>
        </row>
        <row r="9651">
          <cell r="V9651"/>
          <cell r="W9651"/>
          <cell r="X9651"/>
          <cell r="Y9651"/>
        </row>
        <row r="9652">
          <cell r="V9652"/>
          <cell r="W9652"/>
          <cell r="X9652"/>
          <cell r="Y9652"/>
        </row>
        <row r="9653">
          <cell r="V9653"/>
          <cell r="W9653"/>
          <cell r="X9653"/>
          <cell r="Y9653"/>
        </row>
        <row r="9654">
          <cell r="V9654"/>
          <cell r="W9654"/>
          <cell r="X9654"/>
          <cell r="Y9654"/>
        </row>
        <row r="9655">
          <cell r="V9655"/>
          <cell r="W9655"/>
          <cell r="X9655"/>
          <cell r="Y9655"/>
        </row>
        <row r="9656">
          <cell r="V9656"/>
          <cell r="W9656"/>
          <cell r="X9656"/>
          <cell r="Y9656"/>
        </row>
        <row r="9657">
          <cell r="V9657"/>
          <cell r="W9657"/>
          <cell r="X9657"/>
          <cell r="Y9657"/>
        </row>
        <row r="9658">
          <cell r="V9658"/>
          <cell r="W9658"/>
          <cell r="X9658"/>
          <cell r="Y9658"/>
        </row>
        <row r="9659">
          <cell r="V9659"/>
          <cell r="W9659"/>
          <cell r="X9659"/>
          <cell r="Y9659"/>
        </row>
        <row r="9660">
          <cell r="V9660"/>
          <cell r="W9660"/>
          <cell r="X9660"/>
          <cell r="Y9660"/>
        </row>
        <row r="9661">
          <cell r="V9661"/>
          <cell r="W9661"/>
          <cell r="X9661"/>
          <cell r="Y9661"/>
        </row>
        <row r="9662">
          <cell r="V9662"/>
          <cell r="W9662"/>
          <cell r="X9662"/>
          <cell r="Y9662"/>
        </row>
        <row r="9663">
          <cell r="V9663"/>
          <cell r="W9663"/>
          <cell r="X9663"/>
          <cell r="Y9663"/>
        </row>
        <row r="9664">
          <cell r="V9664"/>
          <cell r="W9664"/>
          <cell r="X9664"/>
          <cell r="Y9664"/>
        </row>
        <row r="9665">
          <cell r="V9665"/>
          <cell r="W9665"/>
          <cell r="X9665"/>
          <cell r="Y9665"/>
        </row>
        <row r="9666">
          <cell r="V9666"/>
          <cell r="W9666"/>
          <cell r="X9666"/>
          <cell r="Y9666"/>
        </row>
        <row r="9667">
          <cell r="V9667"/>
          <cell r="W9667"/>
          <cell r="X9667"/>
          <cell r="Y9667"/>
        </row>
        <row r="9668">
          <cell r="V9668"/>
          <cell r="W9668"/>
          <cell r="X9668"/>
          <cell r="Y9668"/>
        </row>
        <row r="9669">
          <cell r="V9669"/>
          <cell r="W9669"/>
          <cell r="X9669"/>
          <cell r="Y9669"/>
        </row>
        <row r="9670">
          <cell r="V9670"/>
          <cell r="W9670"/>
          <cell r="X9670"/>
          <cell r="Y9670"/>
        </row>
        <row r="9671">
          <cell r="V9671"/>
          <cell r="W9671"/>
          <cell r="X9671"/>
          <cell r="Y9671"/>
        </row>
        <row r="9672">
          <cell r="V9672"/>
          <cell r="W9672"/>
          <cell r="X9672"/>
          <cell r="Y9672"/>
        </row>
        <row r="9673">
          <cell r="V9673"/>
          <cell r="W9673"/>
          <cell r="X9673"/>
          <cell r="Y9673"/>
        </row>
        <row r="9674">
          <cell r="V9674"/>
          <cell r="W9674"/>
          <cell r="X9674"/>
          <cell r="Y9674"/>
        </row>
        <row r="9675">
          <cell r="V9675"/>
          <cell r="W9675"/>
          <cell r="X9675"/>
          <cell r="Y9675"/>
        </row>
        <row r="9676">
          <cell r="V9676"/>
          <cell r="W9676"/>
          <cell r="X9676"/>
          <cell r="Y9676"/>
        </row>
        <row r="9677">
          <cell r="V9677"/>
          <cell r="W9677"/>
          <cell r="X9677"/>
          <cell r="Y9677"/>
        </row>
        <row r="9678">
          <cell r="V9678"/>
          <cell r="W9678"/>
          <cell r="X9678"/>
          <cell r="Y9678"/>
        </row>
        <row r="9679">
          <cell r="V9679"/>
          <cell r="W9679"/>
          <cell r="X9679"/>
          <cell r="Y9679"/>
        </row>
        <row r="9680">
          <cell r="V9680"/>
          <cell r="W9680"/>
          <cell r="X9680"/>
          <cell r="Y9680"/>
        </row>
        <row r="9681">
          <cell r="V9681"/>
          <cell r="W9681"/>
          <cell r="X9681"/>
          <cell r="Y9681"/>
        </row>
        <row r="9682">
          <cell r="V9682"/>
          <cell r="W9682"/>
          <cell r="X9682"/>
          <cell r="Y9682"/>
        </row>
        <row r="9683">
          <cell r="V9683"/>
          <cell r="W9683"/>
          <cell r="X9683"/>
          <cell r="Y9683"/>
        </row>
        <row r="9684">
          <cell r="V9684"/>
          <cell r="W9684"/>
          <cell r="X9684"/>
          <cell r="Y9684"/>
        </row>
        <row r="9685">
          <cell r="V9685"/>
          <cell r="W9685"/>
          <cell r="X9685"/>
          <cell r="Y9685"/>
        </row>
        <row r="9686">
          <cell r="V9686"/>
          <cell r="W9686"/>
          <cell r="X9686"/>
          <cell r="Y9686"/>
        </row>
        <row r="9687">
          <cell r="V9687"/>
          <cell r="W9687"/>
          <cell r="X9687"/>
          <cell r="Y9687"/>
        </row>
        <row r="9688">
          <cell r="V9688"/>
          <cell r="W9688"/>
          <cell r="X9688"/>
          <cell r="Y9688"/>
        </row>
        <row r="9689">
          <cell r="V9689"/>
          <cell r="W9689"/>
          <cell r="X9689"/>
          <cell r="Y9689"/>
        </row>
        <row r="9690">
          <cell r="V9690"/>
          <cell r="W9690"/>
          <cell r="X9690"/>
          <cell r="Y9690"/>
        </row>
        <row r="9691">
          <cell r="V9691"/>
          <cell r="W9691"/>
          <cell r="X9691"/>
          <cell r="Y9691"/>
        </row>
        <row r="9692">
          <cell r="V9692"/>
          <cell r="W9692"/>
          <cell r="X9692"/>
          <cell r="Y9692"/>
        </row>
        <row r="9693">
          <cell r="V9693"/>
          <cell r="W9693"/>
          <cell r="X9693"/>
          <cell r="Y9693"/>
        </row>
        <row r="9694">
          <cell r="V9694"/>
          <cell r="W9694"/>
          <cell r="X9694"/>
          <cell r="Y9694"/>
        </row>
        <row r="9695">
          <cell r="V9695"/>
          <cell r="W9695"/>
          <cell r="X9695"/>
          <cell r="Y9695"/>
        </row>
        <row r="9696">
          <cell r="V9696"/>
          <cell r="W9696"/>
          <cell r="X9696"/>
          <cell r="Y9696"/>
        </row>
        <row r="9697">
          <cell r="V9697"/>
          <cell r="W9697"/>
          <cell r="X9697"/>
          <cell r="Y9697"/>
        </row>
        <row r="9698">
          <cell r="V9698"/>
          <cell r="W9698"/>
          <cell r="X9698"/>
          <cell r="Y9698"/>
        </row>
        <row r="9699">
          <cell r="V9699"/>
          <cell r="W9699"/>
          <cell r="X9699"/>
          <cell r="Y9699"/>
        </row>
        <row r="9700">
          <cell r="V9700"/>
          <cell r="W9700"/>
          <cell r="X9700"/>
          <cell r="Y9700"/>
        </row>
        <row r="9701">
          <cell r="V9701"/>
          <cell r="W9701"/>
          <cell r="X9701"/>
          <cell r="Y9701"/>
        </row>
        <row r="9702">
          <cell r="V9702"/>
          <cell r="W9702"/>
          <cell r="X9702"/>
          <cell r="Y9702"/>
        </row>
        <row r="9703">
          <cell r="V9703"/>
          <cell r="W9703"/>
          <cell r="X9703"/>
          <cell r="Y9703"/>
        </row>
        <row r="9704">
          <cell r="V9704"/>
          <cell r="W9704"/>
          <cell r="X9704"/>
          <cell r="Y9704"/>
        </row>
        <row r="9705">
          <cell r="V9705"/>
          <cell r="W9705"/>
          <cell r="X9705"/>
          <cell r="Y9705"/>
        </row>
        <row r="9706">
          <cell r="V9706"/>
          <cell r="W9706"/>
          <cell r="X9706"/>
          <cell r="Y9706"/>
        </row>
        <row r="9707">
          <cell r="V9707"/>
          <cell r="W9707"/>
          <cell r="X9707"/>
          <cell r="Y9707"/>
        </row>
        <row r="9708">
          <cell r="V9708"/>
          <cell r="W9708"/>
          <cell r="X9708"/>
          <cell r="Y9708"/>
        </row>
        <row r="9709">
          <cell r="V9709"/>
          <cell r="W9709"/>
          <cell r="X9709"/>
          <cell r="Y9709"/>
        </row>
        <row r="9710">
          <cell r="V9710"/>
          <cell r="W9710"/>
          <cell r="X9710"/>
          <cell r="Y9710"/>
        </row>
        <row r="9711">
          <cell r="V9711"/>
          <cell r="W9711"/>
          <cell r="X9711"/>
          <cell r="Y9711"/>
        </row>
        <row r="9712">
          <cell r="V9712"/>
          <cell r="W9712"/>
          <cell r="X9712"/>
          <cell r="Y9712"/>
        </row>
        <row r="9713">
          <cell r="V9713"/>
          <cell r="W9713"/>
          <cell r="X9713"/>
          <cell r="Y9713"/>
        </row>
        <row r="9714">
          <cell r="V9714"/>
          <cell r="W9714"/>
          <cell r="X9714"/>
          <cell r="Y9714"/>
        </row>
        <row r="9715">
          <cell r="V9715"/>
          <cell r="W9715"/>
          <cell r="X9715"/>
          <cell r="Y9715"/>
        </row>
        <row r="9716">
          <cell r="V9716"/>
          <cell r="W9716"/>
          <cell r="X9716"/>
          <cell r="Y9716"/>
        </row>
        <row r="9717">
          <cell r="V9717"/>
          <cell r="W9717"/>
          <cell r="X9717"/>
          <cell r="Y9717"/>
        </row>
        <row r="9718">
          <cell r="V9718"/>
          <cell r="W9718"/>
          <cell r="X9718"/>
          <cell r="Y9718"/>
        </row>
        <row r="9719">
          <cell r="V9719"/>
          <cell r="W9719"/>
          <cell r="X9719"/>
          <cell r="Y9719"/>
        </row>
        <row r="9720">
          <cell r="V9720"/>
          <cell r="W9720"/>
          <cell r="X9720"/>
          <cell r="Y9720"/>
        </row>
        <row r="9721">
          <cell r="V9721"/>
          <cell r="W9721"/>
          <cell r="X9721"/>
          <cell r="Y9721"/>
        </row>
        <row r="9722">
          <cell r="V9722"/>
          <cell r="W9722"/>
          <cell r="X9722"/>
          <cell r="Y9722"/>
        </row>
        <row r="9723">
          <cell r="V9723"/>
          <cell r="W9723"/>
          <cell r="X9723"/>
          <cell r="Y9723"/>
        </row>
        <row r="9724">
          <cell r="V9724"/>
          <cell r="W9724"/>
          <cell r="X9724"/>
          <cell r="Y9724"/>
        </row>
        <row r="9725">
          <cell r="V9725"/>
          <cell r="W9725"/>
          <cell r="X9725"/>
          <cell r="Y9725"/>
        </row>
        <row r="9726">
          <cell r="V9726"/>
          <cell r="W9726"/>
          <cell r="X9726"/>
          <cell r="Y9726"/>
        </row>
        <row r="9727">
          <cell r="V9727"/>
          <cell r="W9727"/>
          <cell r="X9727"/>
          <cell r="Y9727"/>
        </row>
        <row r="9728">
          <cell r="V9728"/>
          <cell r="W9728"/>
          <cell r="X9728"/>
          <cell r="Y9728"/>
        </row>
        <row r="9729">
          <cell r="V9729"/>
          <cell r="W9729"/>
          <cell r="X9729"/>
          <cell r="Y9729"/>
        </row>
        <row r="9730">
          <cell r="V9730"/>
          <cell r="W9730"/>
          <cell r="X9730"/>
          <cell r="Y9730"/>
        </row>
        <row r="9731">
          <cell r="V9731"/>
          <cell r="W9731"/>
          <cell r="X9731"/>
          <cell r="Y9731"/>
        </row>
        <row r="9732">
          <cell r="V9732"/>
          <cell r="W9732"/>
          <cell r="X9732"/>
          <cell r="Y9732"/>
        </row>
        <row r="9733">
          <cell r="V9733"/>
          <cell r="W9733"/>
          <cell r="X9733"/>
          <cell r="Y9733"/>
        </row>
        <row r="9734">
          <cell r="V9734"/>
          <cell r="W9734"/>
          <cell r="X9734"/>
          <cell r="Y9734"/>
        </row>
        <row r="9735">
          <cell r="V9735"/>
          <cell r="W9735"/>
          <cell r="X9735"/>
          <cell r="Y9735"/>
        </row>
        <row r="9736">
          <cell r="V9736"/>
          <cell r="W9736"/>
          <cell r="X9736"/>
          <cell r="Y9736"/>
        </row>
        <row r="9737">
          <cell r="V9737"/>
          <cell r="W9737"/>
          <cell r="X9737"/>
          <cell r="Y9737"/>
        </row>
        <row r="9738">
          <cell r="V9738"/>
          <cell r="W9738"/>
          <cell r="X9738"/>
          <cell r="Y9738"/>
        </row>
        <row r="9739">
          <cell r="V9739"/>
          <cell r="W9739"/>
          <cell r="X9739"/>
          <cell r="Y9739"/>
        </row>
        <row r="9740">
          <cell r="V9740"/>
          <cell r="W9740"/>
          <cell r="X9740"/>
          <cell r="Y9740"/>
        </row>
        <row r="9741">
          <cell r="V9741"/>
          <cell r="W9741"/>
          <cell r="X9741"/>
          <cell r="Y9741"/>
        </row>
        <row r="9742">
          <cell r="V9742"/>
          <cell r="W9742"/>
          <cell r="X9742"/>
          <cell r="Y9742"/>
        </row>
        <row r="9743">
          <cell r="V9743"/>
          <cell r="W9743"/>
          <cell r="X9743"/>
          <cell r="Y9743"/>
        </row>
        <row r="9744">
          <cell r="V9744"/>
          <cell r="W9744"/>
          <cell r="X9744"/>
          <cell r="Y9744"/>
        </row>
        <row r="9745">
          <cell r="V9745"/>
          <cell r="W9745"/>
          <cell r="X9745"/>
          <cell r="Y9745"/>
        </row>
        <row r="9746">
          <cell r="V9746"/>
          <cell r="W9746"/>
          <cell r="X9746"/>
          <cell r="Y9746"/>
        </row>
        <row r="9747">
          <cell r="V9747"/>
          <cell r="W9747"/>
          <cell r="X9747"/>
          <cell r="Y9747"/>
        </row>
        <row r="9748">
          <cell r="V9748"/>
          <cell r="W9748"/>
          <cell r="X9748"/>
          <cell r="Y9748"/>
        </row>
        <row r="9749">
          <cell r="V9749"/>
          <cell r="W9749"/>
          <cell r="X9749"/>
          <cell r="Y9749"/>
        </row>
        <row r="9750">
          <cell r="V9750"/>
          <cell r="W9750"/>
          <cell r="X9750"/>
          <cell r="Y9750"/>
        </row>
        <row r="9751">
          <cell r="V9751"/>
          <cell r="W9751"/>
          <cell r="X9751"/>
          <cell r="Y9751"/>
        </row>
        <row r="9752">
          <cell r="V9752"/>
          <cell r="W9752"/>
          <cell r="X9752"/>
          <cell r="Y9752"/>
        </row>
        <row r="9753">
          <cell r="V9753"/>
          <cell r="W9753"/>
          <cell r="X9753"/>
          <cell r="Y9753"/>
        </row>
        <row r="9754">
          <cell r="V9754"/>
          <cell r="W9754"/>
          <cell r="X9754"/>
          <cell r="Y9754"/>
        </row>
        <row r="9755">
          <cell r="V9755"/>
          <cell r="W9755"/>
          <cell r="X9755"/>
          <cell r="Y9755"/>
        </row>
        <row r="9756">
          <cell r="V9756"/>
          <cell r="W9756"/>
          <cell r="X9756"/>
          <cell r="Y9756"/>
        </row>
        <row r="9757">
          <cell r="V9757"/>
          <cell r="W9757"/>
          <cell r="X9757"/>
          <cell r="Y9757"/>
        </row>
        <row r="9758">
          <cell r="V9758"/>
          <cell r="W9758"/>
          <cell r="X9758"/>
          <cell r="Y9758"/>
        </row>
        <row r="9759">
          <cell r="V9759"/>
          <cell r="W9759"/>
          <cell r="X9759"/>
          <cell r="Y9759"/>
        </row>
        <row r="9760">
          <cell r="V9760"/>
          <cell r="W9760"/>
          <cell r="X9760"/>
          <cell r="Y9760"/>
        </row>
        <row r="9761">
          <cell r="V9761"/>
          <cell r="W9761"/>
          <cell r="X9761"/>
          <cell r="Y9761"/>
        </row>
        <row r="9762">
          <cell r="V9762"/>
          <cell r="W9762"/>
          <cell r="X9762"/>
          <cell r="Y9762"/>
        </row>
        <row r="9763">
          <cell r="V9763"/>
          <cell r="W9763"/>
          <cell r="X9763"/>
          <cell r="Y9763"/>
        </row>
        <row r="9764">
          <cell r="V9764"/>
          <cell r="W9764"/>
          <cell r="X9764"/>
          <cell r="Y9764"/>
        </row>
        <row r="9765">
          <cell r="V9765"/>
          <cell r="W9765"/>
          <cell r="X9765"/>
          <cell r="Y9765"/>
        </row>
        <row r="9766">
          <cell r="V9766"/>
          <cell r="W9766"/>
          <cell r="X9766"/>
          <cell r="Y9766"/>
        </row>
        <row r="9767">
          <cell r="V9767"/>
          <cell r="W9767"/>
          <cell r="X9767"/>
          <cell r="Y9767"/>
        </row>
        <row r="9768">
          <cell r="V9768"/>
          <cell r="W9768"/>
          <cell r="X9768"/>
          <cell r="Y9768"/>
        </row>
        <row r="9769">
          <cell r="V9769"/>
          <cell r="W9769"/>
          <cell r="X9769"/>
          <cell r="Y9769"/>
        </row>
        <row r="9770">
          <cell r="V9770"/>
          <cell r="W9770"/>
          <cell r="X9770"/>
          <cell r="Y9770"/>
        </row>
        <row r="9771">
          <cell r="V9771"/>
          <cell r="W9771"/>
          <cell r="X9771"/>
          <cell r="Y9771"/>
        </row>
        <row r="9772">
          <cell r="V9772"/>
          <cell r="W9772"/>
          <cell r="X9772"/>
          <cell r="Y9772"/>
        </row>
        <row r="9773">
          <cell r="V9773"/>
          <cell r="W9773"/>
          <cell r="X9773"/>
          <cell r="Y9773"/>
        </row>
        <row r="9774">
          <cell r="V9774"/>
          <cell r="W9774"/>
          <cell r="X9774"/>
          <cell r="Y9774"/>
        </row>
        <row r="9775">
          <cell r="V9775"/>
          <cell r="W9775"/>
          <cell r="X9775"/>
          <cell r="Y9775"/>
        </row>
        <row r="9776">
          <cell r="V9776"/>
          <cell r="W9776"/>
          <cell r="X9776"/>
          <cell r="Y9776"/>
        </row>
        <row r="9777">
          <cell r="V9777"/>
          <cell r="W9777"/>
          <cell r="X9777"/>
          <cell r="Y9777"/>
        </row>
        <row r="9778">
          <cell r="V9778"/>
          <cell r="W9778"/>
          <cell r="X9778"/>
          <cell r="Y9778"/>
        </row>
        <row r="9779">
          <cell r="V9779"/>
          <cell r="W9779"/>
          <cell r="X9779"/>
          <cell r="Y9779"/>
        </row>
        <row r="9780">
          <cell r="V9780"/>
          <cell r="W9780"/>
          <cell r="X9780"/>
          <cell r="Y9780"/>
        </row>
        <row r="9781">
          <cell r="V9781"/>
          <cell r="W9781"/>
          <cell r="X9781"/>
          <cell r="Y9781"/>
        </row>
        <row r="9782">
          <cell r="V9782"/>
          <cell r="W9782"/>
          <cell r="X9782"/>
          <cell r="Y9782"/>
        </row>
        <row r="9783">
          <cell r="V9783"/>
          <cell r="W9783"/>
          <cell r="X9783"/>
          <cell r="Y9783"/>
        </row>
        <row r="9784">
          <cell r="V9784"/>
          <cell r="W9784"/>
          <cell r="X9784"/>
          <cell r="Y9784"/>
        </row>
        <row r="9785">
          <cell r="V9785"/>
          <cell r="W9785"/>
          <cell r="X9785"/>
          <cell r="Y9785"/>
        </row>
        <row r="9786">
          <cell r="V9786"/>
          <cell r="W9786"/>
          <cell r="X9786"/>
          <cell r="Y9786"/>
        </row>
        <row r="9787">
          <cell r="V9787"/>
          <cell r="W9787"/>
          <cell r="X9787"/>
          <cell r="Y9787"/>
        </row>
        <row r="9788">
          <cell r="V9788"/>
          <cell r="W9788"/>
          <cell r="X9788"/>
          <cell r="Y9788"/>
        </row>
        <row r="9789">
          <cell r="V9789"/>
          <cell r="W9789"/>
          <cell r="X9789"/>
          <cell r="Y9789"/>
        </row>
        <row r="9790">
          <cell r="V9790"/>
          <cell r="W9790"/>
          <cell r="X9790"/>
          <cell r="Y9790"/>
        </row>
        <row r="9791">
          <cell r="V9791"/>
          <cell r="W9791"/>
          <cell r="X9791"/>
          <cell r="Y9791"/>
        </row>
        <row r="9792">
          <cell r="V9792"/>
          <cell r="W9792"/>
          <cell r="X9792"/>
          <cell r="Y9792"/>
        </row>
        <row r="9793">
          <cell r="V9793"/>
          <cell r="W9793"/>
          <cell r="X9793"/>
          <cell r="Y9793"/>
        </row>
        <row r="9794">
          <cell r="V9794"/>
          <cell r="W9794"/>
          <cell r="X9794"/>
          <cell r="Y9794"/>
        </row>
        <row r="9795">
          <cell r="V9795"/>
          <cell r="W9795"/>
          <cell r="X9795"/>
          <cell r="Y9795"/>
        </row>
        <row r="9796">
          <cell r="V9796"/>
          <cell r="W9796"/>
          <cell r="X9796"/>
          <cell r="Y9796"/>
        </row>
        <row r="9797">
          <cell r="V9797"/>
          <cell r="W9797"/>
          <cell r="X9797"/>
          <cell r="Y9797"/>
        </row>
        <row r="9798">
          <cell r="V9798"/>
          <cell r="W9798"/>
          <cell r="X9798"/>
          <cell r="Y9798"/>
        </row>
        <row r="9799">
          <cell r="V9799"/>
          <cell r="W9799"/>
          <cell r="X9799"/>
          <cell r="Y9799"/>
        </row>
        <row r="9800">
          <cell r="V9800"/>
          <cell r="W9800"/>
          <cell r="X9800"/>
          <cell r="Y9800"/>
        </row>
        <row r="9801">
          <cell r="V9801"/>
          <cell r="W9801"/>
          <cell r="X9801"/>
          <cell r="Y9801"/>
        </row>
        <row r="9802">
          <cell r="V9802"/>
          <cell r="W9802"/>
          <cell r="X9802"/>
          <cell r="Y9802"/>
        </row>
        <row r="9803">
          <cell r="V9803"/>
          <cell r="W9803"/>
          <cell r="X9803"/>
          <cell r="Y9803"/>
        </row>
        <row r="9804">
          <cell r="V9804"/>
          <cell r="W9804"/>
          <cell r="X9804"/>
          <cell r="Y9804"/>
        </row>
        <row r="9805">
          <cell r="V9805"/>
          <cell r="W9805"/>
          <cell r="X9805"/>
          <cell r="Y9805"/>
        </row>
        <row r="9806">
          <cell r="V9806"/>
          <cell r="W9806"/>
          <cell r="X9806"/>
          <cell r="Y9806"/>
        </row>
        <row r="9807">
          <cell r="V9807"/>
          <cell r="W9807"/>
          <cell r="X9807"/>
          <cell r="Y9807"/>
        </row>
        <row r="9808">
          <cell r="V9808"/>
          <cell r="W9808"/>
          <cell r="X9808"/>
          <cell r="Y9808"/>
        </row>
        <row r="9809">
          <cell r="V9809"/>
          <cell r="W9809"/>
          <cell r="X9809"/>
          <cell r="Y9809"/>
        </row>
        <row r="9810">
          <cell r="V9810"/>
          <cell r="W9810"/>
          <cell r="X9810"/>
          <cell r="Y9810"/>
        </row>
        <row r="9811">
          <cell r="V9811"/>
          <cell r="W9811"/>
          <cell r="X9811"/>
          <cell r="Y9811"/>
        </row>
        <row r="9812">
          <cell r="V9812"/>
          <cell r="W9812"/>
          <cell r="X9812"/>
          <cell r="Y9812"/>
        </row>
        <row r="9813">
          <cell r="V9813"/>
          <cell r="W9813"/>
          <cell r="X9813"/>
          <cell r="Y9813"/>
        </row>
        <row r="9814">
          <cell r="V9814"/>
          <cell r="W9814"/>
          <cell r="X9814"/>
          <cell r="Y9814"/>
        </row>
        <row r="9815">
          <cell r="V9815"/>
          <cell r="W9815"/>
          <cell r="X9815"/>
          <cell r="Y9815"/>
        </row>
        <row r="9816">
          <cell r="V9816"/>
          <cell r="W9816"/>
          <cell r="X9816"/>
          <cell r="Y9816"/>
        </row>
        <row r="9817">
          <cell r="V9817"/>
          <cell r="W9817"/>
          <cell r="X9817"/>
          <cell r="Y9817"/>
        </row>
        <row r="9818">
          <cell r="V9818"/>
          <cell r="W9818"/>
          <cell r="X9818"/>
          <cell r="Y9818"/>
        </row>
        <row r="9819">
          <cell r="V9819"/>
          <cell r="W9819"/>
          <cell r="X9819"/>
          <cell r="Y9819"/>
        </row>
        <row r="9820">
          <cell r="V9820"/>
          <cell r="W9820"/>
          <cell r="X9820"/>
          <cell r="Y9820"/>
        </row>
        <row r="9821">
          <cell r="V9821"/>
          <cell r="W9821"/>
          <cell r="X9821"/>
          <cell r="Y9821"/>
        </row>
        <row r="9822">
          <cell r="V9822"/>
          <cell r="W9822"/>
          <cell r="X9822"/>
          <cell r="Y9822"/>
        </row>
        <row r="9823">
          <cell r="V9823"/>
          <cell r="W9823"/>
          <cell r="X9823"/>
          <cell r="Y9823"/>
        </row>
        <row r="9824">
          <cell r="V9824"/>
          <cell r="W9824"/>
          <cell r="X9824"/>
          <cell r="Y9824"/>
        </row>
        <row r="9825">
          <cell r="V9825"/>
          <cell r="W9825"/>
          <cell r="X9825"/>
          <cell r="Y9825"/>
        </row>
        <row r="9826">
          <cell r="V9826"/>
          <cell r="W9826"/>
          <cell r="X9826"/>
          <cell r="Y9826"/>
        </row>
        <row r="9827">
          <cell r="V9827"/>
          <cell r="W9827"/>
          <cell r="X9827"/>
          <cell r="Y9827"/>
        </row>
        <row r="9828">
          <cell r="V9828"/>
          <cell r="W9828"/>
          <cell r="X9828"/>
          <cell r="Y9828"/>
        </row>
        <row r="9829">
          <cell r="V9829"/>
          <cell r="W9829"/>
          <cell r="X9829"/>
          <cell r="Y9829"/>
        </row>
        <row r="9830">
          <cell r="V9830"/>
          <cell r="W9830"/>
          <cell r="X9830"/>
          <cell r="Y9830"/>
        </row>
        <row r="9831">
          <cell r="V9831"/>
          <cell r="W9831"/>
          <cell r="X9831"/>
          <cell r="Y9831"/>
        </row>
        <row r="9832">
          <cell r="V9832"/>
          <cell r="W9832"/>
          <cell r="X9832"/>
          <cell r="Y9832"/>
        </row>
        <row r="9833">
          <cell r="V9833"/>
          <cell r="W9833"/>
          <cell r="X9833"/>
          <cell r="Y9833"/>
        </row>
        <row r="9834">
          <cell r="V9834"/>
          <cell r="W9834"/>
          <cell r="X9834"/>
          <cell r="Y9834"/>
        </row>
        <row r="9835">
          <cell r="V9835"/>
          <cell r="W9835"/>
          <cell r="X9835"/>
          <cell r="Y9835"/>
        </row>
        <row r="9836">
          <cell r="V9836"/>
          <cell r="W9836"/>
          <cell r="X9836"/>
          <cell r="Y9836"/>
        </row>
        <row r="9837">
          <cell r="V9837"/>
          <cell r="W9837"/>
          <cell r="X9837"/>
          <cell r="Y9837"/>
        </row>
        <row r="9838">
          <cell r="V9838"/>
          <cell r="W9838"/>
          <cell r="X9838"/>
          <cell r="Y9838"/>
        </row>
        <row r="9839">
          <cell r="V9839"/>
          <cell r="W9839"/>
          <cell r="X9839"/>
          <cell r="Y9839"/>
        </row>
        <row r="9840">
          <cell r="V9840"/>
          <cell r="W9840"/>
          <cell r="X9840"/>
          <cell r="Y9840"/>
        </row>
        <row r="9841">
          <cell r="V9841"/>
          <cell r="W9841"/>
          <cell r="X9841"/>
          <cell r="Y9841"/>
        </row>
        <row r="9842">
          <cell r="V9842"/>
          <cell r="W9842"/>
          <cell r="X9842"/>
          <cell r="Y9842"/>
        </row>
        <row r="9843">
          <cell r="V9843"/>
          <cell r="W9843"/>
          <cell r="X9843"/>
          <cell r="Y9843"/>
        </row>
        <row r="9844">
          <cell r="V9844"/>
          <cell r="W9844"/>
          <cell r="X9844"/>
          <cell r="Y9844"/>
        </row>
        <row r="9845">
          <cell r="V9845"/>
          <cell r="W9845"/>
          <cell r="X9845"/>
          <cell r="Y9845"/>
        </row>
        <row r="9846">
          <cell r="V9846"/>
          <cell r="W9846"/>
          <cell r="X9846"/>
          <cell r="Y9846"/>
        </row>
        <row r="9847">
          <cell r="V9847"/>
          <cell r="W9847"/>
          <cell r="X9847"/>
          <cell r="Y9847"/>
        </row>
        <row r="9848">
          <cell r="V9848"/>
          <cell r="W9848"/>
          <cell r="X9848"/>
          <cell r="Y9848"/>
        </row>
        <row r="9849">
          <cell r="V9849"/>
          <cell r="W9849"/>
          <cell r="X9849"/>
          <cell r="Y9849"/>
        </row>
        <row r="9850">
          <cell r="V9850"/>
          <cell r="W9850"/>
          <cell r="X9850"/>
          <cell r="Y9850"/>
        </row>
        <row r="9851">
          <cell r="V9851"/>
          <cell r="W9851"/>
          <cell r="X9851"/>
          <cell r="Y9851"/>
        </row>
        <row r="9852">
          <cell r="V9852"/>
          <cell r="W9852"/>
          <cell r="X9852"/>
          <cell r="Y9852"/>
        </row>
        <row r="9853">
          <cell r="V9853"/>
          <cell r="W9853"/>
          <cell r="X9853"/>
          <cell r="Y9853"/>
        </row>
        <row r="9854">
          <cell r="V9854"/>
          <cell r="W9854"/>
          <cell r="X9854"/>
          <cell r="Y9854"/>
        </row>
        <row r="9855">
          <cell r="V9855"/>
          <cell r="W9855"/>
          <cell r="X9855"/>
          <cell r="Y9855"/>
        </row>
        <row r="9856">
          <cell r="V9856"/>
          <cell r="W9856"/>
          <cell r="X9856"/>
          <cell r="Y9856"/>
        </row>
        <row r="9857">
          <cell r="V9857"/>
          <cell r="W9857"/>
          <cell r="X9857"/>
          <cell r="Y9857"/>
        </row>
        <row r="9858">
          <cell r="V9858"/>
          <cell r="W9858"/>
          <cell r="X9858"/>
          <cell r="Y9858"/>
        </row>
        <row r="9859">
          <cell r="V9859"/>
          <cell r="W9859"/>
          <cell r="X9859"/>
          <cell r="Y9859"/>
        </row>
        <row r="9860">
          <cell r="V9860"/>
          <cell r="W9860"/>
          <cell r="X9860"/>
          <cell r="Y9860"/>
        </row>
        <row r="9861">
          <cell r="V9861"/>
          <cell r="W9861"/>
          <cell r="X9861"/>
          <cell r="Y9861"/>
        </row>
        <row r="9862">
          <cell r="V9862"/>
          <cell r="W9862"/>
          <cell r="X9862"/>
          <cell r="Y9862"/>
        </row>
        <row r="9863">
          <cell r="V9863"/>
          <cell r="W9863"/>
          <cell r="X9863"/>
          <cell r="Y9863"/>
        </row>
        <row r="9864">
          <cell r="V9864"/>
          <cell r="W9864"/>
          <cell r="X9864"/>
          <cell r="Y9864"/>
        </row>
        <row r="9865">
          <cell r="V9865"/>
          <cell r="W9865"/>
          <cell r="X9865"/>
          <cell r="Y9865"/>
        </row>
        <row r="9866">
          <cell r="V9866"/>
          <cell r="W9866"/>
          <cell r="X9866"/>
          <cell r="Y9866"/>
        </row>
        <row r="9867">
          <cell r="V9867"/>
          <cell r="W9867"/>
          <cell r="X9867"/>
          <cell r="Y9867"/>
        </row>
        <row r="9868">
          <cell r="V9868"/>
          <cell r="W9868"/>
          <cell r="X9868"/>
          <cell r="Y9868"/>
        </row>
        <row r="9869">
          <cell r="V9869"/>
          <cell r="W9869"/>
          <cell r="X9869"/>
          <cell r="Y9869"/>
        </row>
        <row r="9870">
          <cell r="V9870"/>
          <cell r="W9870"/>
          <cell r="X9870"/>
          <cell r="Y9870"/>
        </row>
        <row r="9871">
          <cell r="V9871"/>
          <cell r="W9871"/>
          <cell r="X9871"/>
          <cell r="Y9871"/>
        </row>
        <row r="9872">
          <cell r="V9872"/>
          <cell r="W9872"/>
          <cell r="X9872"/>
          <cell r="Y9872"/>
        </row>
        <row r="9873">
          <cell r="V9873"/>
          <cell r="W9873"/>
          <cell r="X9873"/>
          <cell r="Y9873"/>
        </row>
        <row r="9874">
          <cell r="V9874"/>
          <cell r="W9874"/>
          <cell r="X9874"/>
          <cell r="Y9874"/>
        </row>
        <row r="9875">
          <cell r="V9875"/>
          <cell r="W9875"/>
          <cell r="X9875"/>
          <cell r="Y9875"/>
        </row>
        <row r="9876">
          <cell r="V9876"/>
          <cell r="W9876"/>
          <cell r="X9876"/>
          <cell r="Y9876"/>
        </row>
        <row r="9877">
          <cell r="V9877"/>
          <cell r="W9877"/>
          <cell r="X9877"/>
          <cell r="Y9877"/>
        </row>
        <row r="9878">
          <cell r="V9878"/>
          <cell r="W9878"/>
          <cell r="X9878"/>
          <cell r="Y9878"/>
        </row>
        <row r="9879">
          <cell r="V9879"/>
          <cell r="W9879"/>
          <cell r="X9879"/>
          <cell r="Y9879"/>
        </row>
        <row r="9880">
          <cell r="V9880"/>
          <cell r="W9880"/>
          <cell r="X9880"/>
          <cell r="Y9880"/>
        </row>
        <row r="9881">
          <cell r="V9881"/>
          <cell r="W9881"/>
          <cell r="X9881"/>
          <cell r="Y9881"/>
        </row>
        <row r="9882">
          <cell r="V9882"/>
          <cell r="W9882"/>
          <cell r="X9882"/>
          <cell r="Y9882"/>
        </row>
        <row r="9883">
          <cell r="V9883"/>
          <cell r="W9883"/>
          <cell r="X9883"/>
          <cell r="Y9883"/>
        </row>
        <row r="9884">
          <cell r="V9884"/>
          <cell r="W9884"/>
          <cell r="X9884"/>
          <cell r="Y9884"/>
        </row>
        <row r="9885">
          <cell r="V9885"/>
          <cell r="W9885"/>
          <cell r="X9885"/>
          <cell r="Y9885"/>
        </row>
        <row r="9886">
          <cell r="V9886"/>
          <cell r="W9886"/>
          <cell r="X9886"/>
          <cell r="Y9886"/>
        </row>
        <row r="9887">
          <cell r="V9887"/>
          <cell r="W9887"/>
          <cell r="X9887"/>
          <cell r="Y9887"/>
        </row>
        <row r="9888">
          <cell r="V9888"/>
          <cell r="W9888"/>
          <cell r="X9888"/>
          <cell r="Y9888"/>
        </row>
        <row r="9889">
          <cell r="V9889"/>
          <cell r="W9889"/>
          <cell r="X9889"/>
          <cell r="Y9889"/>
        </row>
        <row r="9890">
          <cell r="V9890"/>
          <cell r="W9890"/>
          <cell r="X9890"/>
          <cell r="Y9890"/>
        </row>
        <row r="9891">
          <cell r="V9891"/>
          <cell r="W9891"/>
          <cell r="X9891"/>
          <cell r="Y9891"/>
        </row>
        <row r="9892">
          <cell r="V9892"/>
          <cell r="W9892"/>
          <cell r="X9892"/>
          <cell r="Y9892"/>
        </row>
        <row r="9893">
          <cell r="V9893"/>
          <cell r="W9893"/>
          <cell r="X9893"/>
          <cell r="Y9893"/>
        </row>
        <row r="9894">
          <cell r="V9894"/>
          <cell r="W9894"/>
          <cell r="X9894"/>
          <cell r="Y9894"/>
        </row>
        <row r="9895">
          <cell r="V9895"/>
          <cell r="W9895"/>
          <cell r="X9895"/>
          <cell r="Y9895"/>
        </row>
        <row r="9896">
          <cell r="V9896"/>
          <cell r="W9896"/>
          <cell r="X9896"/>
          <cell r="Y9896"/>
        </row>
        <row r="9897">
          <cell r="V9897"/>
          <cell r="W9897"/>
          <cell r="X9897"/>
          <cell r="Y9897"/>
        </row>
        <row r="9898">
          <cell r="V9898"/>
          <cell r="W9898"/>
          <cell r="X9898"/>
          <cell r="Y9898"/>
        </row>
        <row r="9899">
          <cell r="V9899"/>
          <cell r="W9899"/>
          <cell r="X9899"/>
          <cell r="Y9899"/>
        </row>
        <row r="9900">
          <cell r="V9900"/>
          <cell r="W9900"/>
          <cell r="X9900"/>
          <cell r="Y9900"/>
        </row>
        <row r="9901">
          <cell r="V9901"/>
          <cell r="W9901"/>
          <cell r="X9901"/>
          <cell r="Y9901"/>
        </row>
        <row r="9902">
          <cell r="V9902"/>
          <cell r="W9902"/>
          <cell r="X9902"/>
          <cell r="Y9902"/>
        </row>
        <row r="9903">
          <cell r="V9903"/>
          <cell r="W9903"/>
          <cell r="X9903"/>
          <cell r="Y9903"/>
        </row>
        <row r="9904">
          <cell r="V9904"/>
          <cell r="W9904"/>
          <cell r="X9904"/>
          <cell r="Y9904"/>
        </row>
        <row r="9905">
          <cell r="V9905"/>
          <cell r="W9905"/>
          <cell r="X9905"/>
          <cell r="Y9905"/>
        </row>
        <row r="9906">
          <cell r="V9906"/>
          <cell r="W9906"/>
          <cell r="X9906"/>
          <cell r="Y9906"/>
        </row>
        <row r="9907">
          <cell r="V9907"/>
          <cell r="W9907"/>
          <cell r="X9907"/>
          <cell r="Y9907"/>
        </row>
        <row r="9908">
          <cell r="V9908"/>
          <cell r="W9908"/>
          <cell r="X9908"/>
          <cell r="Y9908"/>
        </row>
        <row r="9909">
          <cell r="V9909"/>
          <cell r="W9909"/>
          <cell r="X9909"/>
          <cell r="Y9909"/>
        </row>
        <row r="9910">
          <cell r="V9910"/>
          <cell r="W9910"/>
          <cell r="X9910"/>
          <cell r="Y9910"/>
        </row>
        <row r="9911">
          <cell r="V9911"/>
          <cell r="W9911"/>
          <cell r="X9911"/>
          <cell r="Y9911"/>
        </row>
        <row r="9912">
          <cell r="V9912"/>
          <cell r="W9912"/>
          <cell r="X9912"/>
          <cell r="Y9912"/>
        </row>
        <row r="9913">
          <cell r="V9913"/>
          <cell r="W9913"/>
          <cell r="X9913"/>
          <cell r="Y9913"/>
        </row>
        <row r="9914">
          <cell r="V9914"/>
          <cell r="W9914"/>
          <cell r="X9914"/>
          <cell r="Y9914"/>
        </row>
        <row r="9915">
          <cell r="V9915"/>
          <cell r="W9915"/>
          <cell r="X9915"/>
          <cell r="Y9915"/>
        </row>
        <row r="9916">
          <cell r="V9916"/>
          <cell r="W9916"/>
          <cell r="X9916"/>
          <cell r="Y9916"/>
        </row>
        <row r="9917">
          <cell r="V9917"/>
          <cell r="W9917"/>
          <cell r="X9917"/>
          <cell r="Y9917"/>
        </row>
        <row r="9918">
          <cell r="V9918"/>
          <cell r="W9918"/>
          <cell r="X9918"/>
          <cell r="Y9918"/>
        </row>
        <row r="9919">
          <cell r="V9919"/>
          <cell r="W9919"/>
          <cell r="X9919"/>
          <cell r="Y9919"/>
        </row>
        <row r="9920">
          <cell r="V9920"/>
          <cell r="W9920"/>
          <cell r="X9920"/>
          <cell r="Y9920"/>
        </row>
        <row r="9921">
          <cell r="V9921"/>
          <cell r="W9921"/>
          <cell r="X9921"/>
          <cell r="Y9921"/>
        </row>
        <row r="9922">
          <cell r="V9922"/>
          <cell r="W9922"/>
          <cell r="X9922"/>
          <cell r="Y9922"/>
        </row>
        <row r="9923">
          <cell r="V9923"/>
          <cell r="W9923"/>
          <cell r="X9923"/>
          <cell r="Y9923"/>
        </row>
        <row r="9924">
          <cell r="V9924"/>
          <cell r="W9924"/>
          <cell r="X9924"/>
          <cell r="Y9924"/>
        </row>
        <row r="9925">
          <cell r="V9925"/>
          <cell r="W9925"/>
          <cell r="X9925"/>
          <cell r="Y9925"/>
        </row>
        <row r="9926">
          <cell r="V9926"/>
          <cell r="W9926"/>
          <cell r="X9926"/>
          <cell r="Y9926"/>
        </row>
        <row r="9927">
          <cell r="V9927"/>
          <cell r="W9927"/>
          <cell r="X9927"/>
          <cell r="Y9927"/>
        </row>
        <row r="9928">
          <cell r="V9928"/>
          <cell r="W9928"/>
          <cell r="X9928"/>
          <cell r="Y9928"/>
        </row>
        <row r="9929">
          <cell r="V9929"/>
          <cell r="W9929"/>
          <cell r="X9929"/>
          <cell r="Y9929"/>
        </row>
        <row r="9930">
          <cell r="V9930"/>
          <cell r="W9930"/>
          <cell r="X9930"/>
          <cell r="Y9930"/>
        </row>
        <row r="9931">
          <cell r="V9931"/>
          <cell r="W9931"/>
          <cell r="X9931"/>
          <cell r="Y9931"/>
        </row>
        <row r="9932">
          <cell r="V9932"/>
          <cell r="W9932"/>
          <cell r="X9932"/>
          <cell r="Y9932"/>
        </row>
        <row r="9933">
          <cell r="V9933"/>
          <cell r="W9933"/>
          <cell r="X9933"/>
          <cell r="Y9933"/>
        </row>
        <row r="9934">
          <cell r="V9934"/>
          <cell r="W9934"/>
          <cell r="X9934"/>
          <cell r="Y9934"/>
        </row>
        <row r="9935">
          <cell r="V9935"/>
          <cell r="W9935"/>
          <cell r="X9935"/>
          <cell r="Y9935"/>
        </row>
        <row r="9936">
          <cell r="V9936"/>
          <cell r="W9936"/>
          <cell r="X9936"/>
          <cell r="Y9936"/>
        </row>
        <row r="9937">
          <cell r="V9937"/>
          <cell r="W9937"/>
          <cell r="X9937"/>
          <cell r="Y9937"/>
        </row>
        <row r="9938">
          <cell r="V9938"/>
          <cell r="W9938"/>
          <cell r="X9938"/>
          <cell r="Y9938"/>
        </row>
        <row r="9939">
          <cell r="V9939"/>
          <cell r="W9939"/>
          <cell r="X9939"/>
          <cell r="Y9939"/>
        </row>
        <row r="9940">
          <cell r="V9940"/>
          <cell r="W9940"/>
          <cell r="X9940"/>
          <cell r="Y9940"/>
        </row>
        <row r="9941">
          <cell r="V9941"/>
          <cell r="W9941"/>
          <cell r="X9941"/>
          <cell r="Y9941"/>
        </row>
        <row r="9942">
          <cell r="V9942"/>
          <cell r="W9942"/>
          <cell r="X9942"/>
          <cell r="Y9942"/>
        </row>
        <row r="9943">
          <cell r="V9943"/>
          <cell r="W9943"/>
          <cell r="X9943"/>
          <cell r="Y9943"/>
        </row>
        <row r="9944">
          <cell r="V9944"/>
          <cell r="W9944"/>
          <cell r="X9944"/>
          <cell r="Y9944"/>
        </row>
        <row r="9945">
          <cell r="V9945"/>
          <cell r="W9945"/>
          <cell r="X9945"/>
          <cell r="Y9945"/>
        </row>
        <row r="9946">
          <cell r="V9946"/>
          <cell r="W9946"/>
          <cell r="X9946"/>
          <cell r="Y9946"/>
        </row>
        <row r="9947">
          <cell r="V9947"/>
          <cell r="W9947"/>
          <cell r="X9947"/>
          <cell r="Y9947"/>
        </row>
        <row r="9948">
          <cell r="V9948"/>
          <cell r="W9948"/>
          <cell r="X9948"/>
          <cell r="Y9948"/>
        </row>
        <row r="9949">
          <cell r="V9949"/>
          <cell r="W9949"/>
          <cell r="X9949"/>
          <cell r="Y9949"/>
        </row>
        <row r="9950">
          <cell r="V9950"/>
          <cell r="W9950"/>
          <cell r="X9950"/>
          <cell r="Y9950"/>
        </row>
        <row r="9951">
          <cell r="V9951"/>
          <cell r="W9951"/>
          <cell r="X9951"/>
          <cell r="Y9951"/>
        </row>
        <row r="9952">
          <cell r="V9952"/>
          <cell r="W9952"/>
          <cell r="X9952"/>
          <cell r="Y9952"/>
        </row>
        <row r="9953">
          <cell r="V9953"/>
          <cell r="W9953"/>
          <cell r="X9953"/>
          <cell r="Y9953"/>
        </row>
        <row r="9954">
          <cell r="V9954"/>
          <cell r="W9954"/>
          <cell r="X9954"/>
          <cell r="Y9954"/>
        </row>
        <row r="9955">
          <cell r="V9955"/>
          <cell r="W9955"/>
          <cell r="X9955"/>
          <cell r="Y9955"/>
        </row>
        <row r="9956">
          <cell r="V9956"/>
          <cell r="W9956"/>
          <cell r="X9956"/>
          <cell r="Y9956"/>
        </row>
        <row r="9957">
          <cell r="V9957"/>
          <cell r="W9957"/>
          <cell r="X9957"/>
          <cell r="Y9957"/>
        </row>
        <row r="9958">
          <cell r="V9958"/>
          <cell r="W9958"/>
          <cell r="X9958"/>
          <cell r="Y9958"/>
        </row>
        <row r="9959">
          <cell r="V9959"/>
          <cell r="W9959"/>
          <cell r="X9959"/>
          <cell r="Y9959"/>
        </row>
        <row r="9960">
          <cell r="V9960"/>
          <cell r="W9960"/>
          <cell r="X9960"/>
          <cell r="Y9960"/>
        </row>
        <row r="9961">
          <cell r="V9961"/>
          <cell r="W9961"/>
          <cell r="X9961"/>
          <cell r="Y9961"/>
        </row>
        <row r="9962">
          <cell r="V9962"/>
          <cell r="W9962"/>
          <cell r="X9962"/>
          <cell r="Y9962"/>
        </row>
        <row r="9963">
          <cell r="V9963"/>
          <cell r="W9963"/>
          <cell r="X9963"/>
          <cell r="Y9963"/>
        </row>
        <row r="9964">
          <cell r="V9964"/>
          <cell r="W9964"/>
          <cell r="X9964"/>
          <cell r="Y9964"/>
        </row>
        <row r="9965">
          <cell r="V9965"/>
          <cell r="W9965"/>
          <cell r="X9965"/>
          <cell r="Y9965"/>
        </row>
        <row r="9966">
          <cell r="V9966"/>
          <cell r="W9966"/>
          <cell r="X9966"/>
          <cell r="Y9966"/>
        </row>
        <row r="9967">
          <cell r="V9967"/>
          <cell r="W9967"/>
          <cell r="X9967"/>
          <cell r="Y9967"/>
        </row>
        <row r="9968">
          <cell r="V9968"/>
          <cell r="W9968"/>
          <cell r="X9968"/>
          <cell r="Y9968"/>
        </row>
        <row r="9969">
          <cell r="V9969"/>
          <cell r="W9969"/>
          <cell r="X9969"/>
          <cell r="Y9969"/>
        </row>
        <row r="9970">
          <cell r="V9970"/>
          <cell r="W9970"/>
          <cell r="X9970"/>
          <cell r="Y9970"/>
        </row>
        <row r="9971">
          <cell r="V9971"/>
          <cell r="W9971"/>
          <cell r="X9971"/>
          <cell r="Y9971"/>
        </row>
        <row r="9972">
          <cell r="V9972"/>
          <cell r="W9972"/>
          <cell r="X9972"/>
          <cell r="Y9972"/>
        </row>
        <row r="9973">
          <cell r="V9973"/>
          <cell r="W9973"/>
          <cell r="X9973"/>
          <cell r="Y9973"/>
        </row>
        <row r="9974">
          <cell r="V9974"/>
          <cell r="W9974"/>
          <cell r="X9974"/>
          <cell r="Y9974"/>
        </row>
        <row r="9975">
          <cell r="V9975"/>
          <cell r="W9975"/>
          <cell r="X9975"/>
          <cell r="Y9975"/>
        </row>
        <row r="9976">
          <cell r="V9976"/>
          <cell r="W9976"/>
          <cell r="X9976"/>
          <cell r="Y9976"/>
        </row>
        <row r="9977">
          <cell r="V9977"/>
          <cell r="W9977"/>
          <cell r="X9977"/>
          <cell r="Y9977"/>
        </row>
        <row r="9978">
          <cell r="V9978"/>
          <cell r="W9978"/>
          <cell r="X9978"/>
          <cell r="Y9978"/>
        </row>
        <row r="9979">
          <cell r="V9979"/>
          <cell r="W9979"/>
          <cell r="X9979"/>
          <cell r="Y9979"/>
        </row>
        <row r="9980">
          <cell r="V9980"/>
          <cell r="W9980"/>
          <cell r="X9980"/>
          <cell r="Y9980"/>
        </row>
        <row r="9981">
          <cell r="V9981"/>
          <cell r="W9981"/>
          <cell r="X9981"/>
          <cell r="Y9981"/>
        </row>
        <row r="9982">
          <cell r="V9982"/>
          <cell r="W9982"/>
          <cell r="X9982"/>
          <cell r="Y9982"/>
        </row>
        <row r="9983">
          <cell r="V9983"/>
          <cell r="W9983"/>
          <cell r="X9983"/>
          <cell r="Y9983"/>
        </row>
        <row r="9984">
          <cell r="V9984"/>
          <cell r="W9984"/>
          <cell r="X9984"/>
          <cell r="Y9984"/>
        </row>
        <row r="9985">
          <cell r="V9985"/>
          <cell r="W9985"/>
          <cell r="X9985"/>
          <cell r="Y9985"/>
        </row>
        <row r="9986">
          <cell r="V9986"/>
          <cell r="W9986"/>
          <cell r="X9986"/>
          <cell r="Y9986"/>
        </row>
        <row r="9987">
          <cell r="V9987"/>
          <cell r="W9987"/>
          <cell r="X9987"/>
          <cell r="Y9987"/>
        </row>
        <row r="9988">
          <cell r="V9988"/>
          <cell r="W9988"/>
          <cell r="X9988"/>
          <cell r="Y9988"/>
        </row>
        <row r="9989">
          <cell r="V9989"/>
          <cell r="W9989"/>
          <cell r="X9989"/>
          <cell r="Y9989"/>
        </row>
        <row r="9990">
          <cell r="V9990"/>
          <cell r="W9990"/>
          <cell r="X9990"/>
          <cell r="Y9990"/>
        </row>
        <row r="9991">
          <cell r="V9991"/>
          <cell r="W9991"/>
          <cell r="X9991"/>
          <cell r="Y9991"/>
        </row>
        <row r="9992">
          <cell r="V9992"/>
          <cell r="W9992"/>
          <cell r="X9992"/>
          <cell r="Y9992"/>
        </row>
        <row r="9993">
          <cell r="V9993"/>
          <cell r="W9993"/>
          <cell r="X9993"/>
          <cell r="Y9993"/>
        </row>
        <row r="9994">
          <cell r="V9994"/>
          <cell r="W9994"/>
          <cell r="X9994"/>
          <cell r="Y9994"/>
        </row>
        <row r="9995">
          <cell r="V9995"/>
          <cell r="W9995"/>
          <cell r="X9995"/>
          <cell r="Y9995"/>
        </row>
        <row r="9996">
          <cell r="V9996"/>
          <cell r="W9996"/>
          <cell r="X9996"/>
          <cell r="Y9996"/>
        </row>
        <row r="9997">
          <cell r="V9997"/>
          <cell r="W9997"/>
          <cell r="X9997"/>
          <cell r="Y9997"/>
        </row>
        <row r="9998">
          <cell r="V9998"/>
          <cell r="W9998"/>
          <cell r="X9998"/>
          <cell r="Y9998"/>
        </row>
        <row r="9999">
          <cell r="V9999"/>
          <cell r="W9999"/>
          <cell r="X9999"/>
          <cell r="Y9999"/>
        </row>
        <row r="10000">
          <cell r="V10000"/>
          <cell r="W10000"/>
          <cell r="X10000"/>
          <cell r="Y10000"/>
        </row>
        <row r="10001">
          <cell r="V10001"/>
          <cell r="W10001"/>
          <cell r="X10001"/>
          <cell r="Y10001"/>
        </row>
        <row r="10002">
          <cell r="V10002"/>
          <cell r="W10002"/>
          <cell r="X10002"/>
          <cell r="Y10002"/>
        </row>
        <row r="10003">
          <cell r="V10003"/>
          <cell r="W10003"/>
          <cell r="X10003"/>
          <cell r="Y10003"/>
        </row>
        <row r="10004">
          <cell r="V10004"/>
          <cell r="W10004"/>
          <cell r="X10004"/>
          <cell r="Y10004"/>
        </row>
        <row r="10005">
          <cell r="V10005"/>
          <cell r="W10005"/>
          <cell r="X10005"/>
          <cell r="Y10005"/>
        </row>
        <row r="10006">
          <cell r="V10006"/>
          <cell r="W10006"/>
          <cell r="X10006"/>
          <cell r="Y10006"/>
        </row>
        <row r="10007">
          <cell r="V10007"/>
          <cell r="W10007"/>
          <cell r="X10007"/>
          <cell r="Y10007"/>
        </row>
        <row r="10008">
          <cell r="V10008"/>
          <cell r="W10008"/>
          <cell r="X10008"/>
          <cell r="Y10008"/>
        </row>
        <row r="10009">
          <cell r="V10009"/>
          <cell r="W10009"/>
          <cell r="X10009"/>
          <cell r="Y10009"/>
        </row>
        <row r="10010">
          <cell r="V10010"/>
          <cell r="W10010"/>
          <cell r="X10010"/>
          <cell r="Y10010"/>
        </row>
        <row r="10011">
          <cell r="V10011"/>
          <cell r="W10011"/>
          <cell r="X10011"/>
          <cell r="Y10011"/>
        </row>
        <row r="10012">
          <cell r="V10012"/>
          <cell r="W10012"/>
          <cell r="X10012"/>
          <cell r="Y10012"/>
        </row>
        <row r="10013">
          <cell r="V10013"/>
          <cell r="W10013"/>
          <cell r="X10013"/>
          <cell r="Y10013"/>
        </row>
        <row r="10014">
          <cell r="V10014"/>
          <cell r="W10014"/>
          <cell r="X10014"/>
          <cell r="Y10014"/>
        </row>
        <row r="10015">
          <cell r="V10015"/>
          <cell r="W10015"/>
          <cell r="X10015"/>
          <cell r="Y10015"/>
        </row>
        <row r="10016">
          <cell r="V10016"/>
          <cell r="W10016"/>
          <cell r="X10016"/>
          <cell r="Y10016"/>
        </row>
        <row r="10017">
          <cell r="V10017"/>
          <cell r="W10017"/>
          <cell r="X10017"/>
          <cell r="Y10017"/>
        </row>
        <row r="10018">
          <cell r="V10018"/>
          <cell r="W10018"/>
          <cell r="X10018"/>
          <cell r="Y10018"/>
        </row>
        <row r="10019">
          <cell r="V10019"/>
          <cell r="W10019"/>
          <cell r="X10019"/>
          <cell r="Y10019"/>
        </row>
        <row r="10020">
          <cell r="V10020"/>
          <cell r="W10020"/>
          <cell r="X10020"/>
          <cell r="Y10020"/>
        </row>
        <row r="10021">
          <cell r="V10021"/>
          <cell r="W10021"/>
          <cell r="X10021"/>
          <cell r="Y10021"/>
        </row>
        <row r="10022">
          <cell r="V10022"/>
          <cell r="W10022"/>
          <cell r="X10022"/>
          <cell r="Y10022"/>
        </row>
        <row r="10023">
          <cell r="V10023"/>
          <cell r="W10023"/>
          <cell r="X10023"/>
          <cell r="Y10023"/>
        </row>
        <row r="10024">
          <cell r="V10024"/>
          <cell r="W10024"/>
          <cell r="X10024"/>
          <cell r="Y10024"/>
        </row>
        <row r="10025">
          <cell r="V10025"/>
          <cell r="W10025"/>
          <cell r="X10025"/>
          <cell r="Y10025"/>
        </row>
        <row r="10026">
          <cell r="V10026"/>
          <cell r="W10026"/>
          <cell r="X10026"/>
          <cell r="Y10026"/>
        </row>
        <row r="10027">
          <cell r="V10027"/>
          <cell r="W10027"/>
          <cell r="X10027"/>
          <cell r="Y10027"/>
        </row>
        <row r="10028">
          <cell r="V10028"/>
          <cell r="W10028"/>
          <cell r="X10028"/>
          <cell r="Y10028"/>
        </row>
        <row r="10029">
          <cell r="V10029"/>
          <cell r="W10029"/>
          <cell r="X10029"/>
          <cell r="Y10029"/>
        </row>
        <row r="10030">
          <cell r="V10030"/>
          <cell r="W10030"/>
          <cell r="X10030"/>
          <cell r="Y10030"/>
        </row>
        <row r="10031">
          <cell r="V10031"/>
          <cell r="W10031"/>
          <cell r="X10031"/>
          <cell r="Y10031"/>
        </row>
        <row r="10032">
          <cell r="V10032"/>
          <cell r="W10032"/>
          <cell r="X10032"/>
          <cell r="Y10032"/>
        </row>
        <row r="10033">
          <cell r="V10033"/>
          <cell r="W10033"/>
          <cell r="X10033"/>
          <cell r="Y10033"/>
        </row>
        <row r="10034">
          <cell r="V10034"/>
          <cell r="W10034"/>
          <cell r="X10034"/>
          <cell r="Y10034"/>
        </row>
        <row r="10035">
          <cell r="V10035"/>
          <cell r="W10035"/>
          <cell r="X10035"/>
          <cell r="Y10035"/>
        </row>
        <row r="10036">
          <cell r="V10036"/>
          <cell r="W10036"/>
          <cell r="X10036"/>
          <cell r="Y10036"/>
        </row>
        <row r="10037">
          <cell r="V10037"/>
          <cell r="W10037"/>
          <cell r="X10037"/>
          <cell r="Y10037"/>
        </row>
        <row r="10038">
          <cell r="V10038"/>
          <cell r="W10038"/>
          <cell r="X10038"/>
          <cell r="Y10038"/>
        </row>
        <row r="10039">
          <cell r="V10039"/>
          <cell r="W10039"/>
          <cell r="X10039"/>
          <cell r="Y10039"/>
        </row>
        <row r="10040">
          <cell r="V10040"/>
          <cell r="W10040"/>
          <cell r="X10040"/>
          <cell r="Y10040"/>
        </row>
        <row r="10041">
          <cell r="V10041"/>
          <cell r="W10041"/>
          <cell r="X10041"/>
          <cell r="Y10041"/>
        </row>
        <row r="10042">
          <cell r="V10042"/>
          <cell r="W10042"/>
          <cell r="X10042"/>
          <cell r="Y10042"/>
        </row>
        <row r="10043">
          <cell r="V10043"/>
          <cell r="W10043"/>
          <cell r="X10043"/>
          <cell r="Y10043"/>
        </row>
        <row r="10044">
          <cell r="V10044"/>
          <cell r="W10044"/>
          <cell r="X10044"/>
          <cell r="Y10044"/>
        </row>
        <row r="10045">
          <cell r="V10045"/>
          <cell r="W10045"/>
          <cell r="X10045"/>
          <cell r="Y10045"/>
        </row>
        <row r="10046">
          <cell r="V10046"/>
          <cell r="W10046"/>
          <cell r="X10046"/>
          <cell r="Y10046"/>
        </row>
        <row r="10047">
          <cell r="V10047"/>
          <cell r="W10047"/>
          <cell r="X10047"/>
          <cell r="Y10047"/>
        </row>
        <row r="10048">
          <cell r="V10048"/>
          <cell r="W10048"/>
          <cell r="X10048"/>
          <cell r="Y10048"/>
        </row>
        <row r="10049">
          <cell r="V10049"/>
          <cell r="W10049"/>
          <cell r="X10049"/>
          <cell r="Y10049"/>
        </row>
        <row r="10050">
          <cell r="V10050"/>
          <cell r="W10050"/>
          <cell r="X10050"/>
          <cell r="Y10050"/>
        </row>
        <row r="10051">
          <cell r="V10051"/>
          <cell r="W10051"/>
          <cell r="X10051"/>
          <cell r="Y10051"/>
        </row>
        <row r="10052">
          <cell r="V10052"/>
          <cell r="W10052"/>
          <cell r="X10052"/>
          <cell r="Y10052"/>
        </row>
        <row r="10053">
          <cell r="V10053"/>
          <cell r="W10053"/>
          <cell r="X10053"/>
          <cell r="Y10053"/>
        </row>
        <row r="10054">
          <cell r="V10054"/>
          <cell r="W10054"/>
          <cell r="X10054"/>
          <cell r="Y10054"/>
        </row>
        <row r="10055">
          <cell r="V10055"/>
          <cell r="W10055"/>
          <cell r="X10055"/>
          <cell r="Y10055"/>
        </row>
        <row r="10056">
          <cell r="V10056"/>
          <cell r="W10056"/>
          <cell r="X10056"/>
          <cell r="Y10056"/>
        </row>
        <row r="10057">
          <cell r="V10057"/>
          <cell r="W10057"/>
          <cell r="X10057"/>
          <cell r="Y10057"/>
        </row>
        <row r="10058">
          <cell r="V10058"/>
          <cell r="W10058"/>
          <cell r="X10058"/>
          <cell r="Y10058"/>
        </row>
        <row r="10059">
          <cell r="V10059"/>
          <cell r="W10059"/>
          <cell r="X10059"/>
          <cell r="Y10059"/>
        </row>
        <row r="10060">
          <cell r="V10060"/>
          <cell r="W10060"/>
          <cell r="X10060"/>
          <cell r="Y10060"/>
        </row>
        <row r="10061">
          <cell r="V10061"/>
          <cell r="W10061"/>
          <cell r="X10061"/>
          <cell r="Y10061"/>
        </row>
        <row r="10062">
          <cell r="V10062"/>
          <cell r="W10062"/>
          <cell r="X10062"/>
          <cell r="Y10062"/>
        </row>
        <row r="10063">
          <cell r="V10063"/>
          <cell r="W10063"/>
          <cell r="X10063"/>
          <cell r="Y10063"/>
        </row>
        <row r="10064">
          <cell r="V10064"/>
          <cell r="W10064"/>
          <cell r="X10064"/>
          <cell r="Y10064"/>
        </row>
        <row r="10065">
          <cell r="V10065"/>
          <cell r="W10065"/>
          <cell r="X10065"/>
          <cell r="Y10065"/>
        </row>
        <row r="10066">
          <cell r="V10066"/>
          <cell r="W10066"/>
          <cell r="X10066"/>
          <cell r="Y10066"/>
        </row>
        <row r="10067">
          <cell r="V10067"/>
          <cell r="W10067"/>
          <cell r="X10067"/>
          <cell r="Y10067"/>
        </row>
        <row r="10068">
          <cell r="V10068"/>
          <cell r="W10068"/>
          <cell r="X10068"/>
          <cell r="Y10068"/>
        </row>
        <row r="10069">
          <cell r="V10069"/>
          <cell r="W10069"/>
          <cell r="X10069"/>
          <cell r="Y10069"/>
        </row>
        <row r="10070">
          <cell r="V10070"/>
          <cell r="W10070"/>
          <cell r="X10070"/>
          <cell r="Y10070"/>
        </row>
        <row r="10071">
          <cell r="V10071"/>
          <cell r="W10071"/>
          <cell r="X10071"/>
          <cell r="Y10071"/>
        </row>
        <row r="10072">
          <cell r="V10072"/>
          <cell r="W10072"/>
          <cell r="X10072"/>
          <cell r="Y10072"/>
        </row>
        <row r="10073">
          <cell r="V10073"/>
          <cell r="W10073"/>
          <cell r="X10073"/>
          <cell r="Y10073"/>
        </row>
        <row r="10074">
          <cell r="V10074"/>
          <cell r="W10074"/>
          <cell r="X10074"/>
          <cell r="Y10074"/>
        </row>
        <row r="10075">
          <cell r="V10075"/>
          <cell r="W10075"/>
          <cell r="X10075"/>
          <cell r="Y10075"/>
        </row>
        <row r="10076">
          <cell r="V10076"/>
          <cell r="W10076"/>
          <cell r="X10076"/>
          <cell r="Y10076"/>
        </row>
        <row r="10077">
          <cell r="V10077"/>
          <cell r="W10077"/>
          <cell r="X10077"/>
          <cell r="Y10077"/>
        </row>
        <row r="10078">
          <cell r="V10078"/>
          <cell r="W10078"/>
          <cell r="X10078"/>
          <cell r="Y10078"/>
        </row>
        <row r="10079">
          <cell r="V10079"/>
          <cell r="W10079"/>
          <cell r="X10079"/>
          <cell r="Y10079"/>
        </row>
        <row r="10080">
          <cell r="V10080"/>
          <cell r="W10080"/>
          <cell r="X10080"/>
          <cell r="Y10080"/>
        </row>
        <row r="10081">
          <cell r="V10081"/>
          <cell r="W10081"/>
          <cell r="X10081"/>
          <cell r="Y10081"/>
        </row>
        <row r="10082">
          <cell r="V10082"/>
          <cell r="W10082"/>
          <cell r="X10082"/>
          <cell r="Y10082"/>
        </row>
        <row r="10083">
          <cell r="V10083"/>
          <cell r="W10083"/>
          <cell r="X10083"/>
          <cell r="Y10083"/>
        </row>
        <row r="10084">
          <cell r="V10084"/>
          <cell r="W10084"/>
          <cell r="X10084"/>
          <cell r="Y10084"/>
        </row>
        <row r="10085">
          <cell r="V10085"/>
          <cell r="W10085"/>
          <cell r="X10085"/>
          <cell r="Y10085"/>
        </row>
        <row r="10086">
          <cell r="V10086"/>
          <cell r="W10086"/>
          <cell r="X10086"/>
          <cell r="Y10086"/>
        </row>
        <row r="10087">
          <cell r="V10087"/>
          <cell r="W10087"/>
          <cell r="X10087"/>
          <cell r="Y10087"/>
        </row>
        <row r="10088">
          <cell r="V10088"/>
          <cell r="W10088"/>
          <cell r="X10088"/>
          <cell r="Y10088"/>
        </row>
        <row r="10089">
          <cell r="V10089"/>
          <cell r="W10089"/>
          <cell r="X10089"/>
          <cell r="Y10089"/>
        </row>
        <row r="10090">
          <cell r="V10090"/>
          <cell r="W10090"/>
          <cell r="X10090"/>
          <cell r="Y10090"/>
        </row>
        <row r="10091">
          <cell r="V10091"/>
          <cell r="W10091"/>
          <cell r="X10091"/>
          <cell r="Y10091"/>
        </row>
        <row r="10092">
          <cell r="V10092"/>
          <cell r="W10092"/>
          <cell r="X10092"/>
          <cell r="Y10092"/>
        </row>
        <row r="10093">
          <cell r="V10093"/>
          <cell r="W10093"/>
          <cell r="X10093"/>
          <cell r="Y10093"/>
        </row>
        <row r="10094">
          <cell r="V10094"/>
          <cell r="W10094"/>
          <cell r="X10094"/>
          <cell r="Y10094"/>
        </row>
        <row r="10095">
          <cell r="V10095"/>
          <cell r="W10095"/>
          <cell r="X10095"/>
          <cell r="Y10095"/>
        </row>
        <row r="10096">
          <cell r="V10096"/>
          <cell r="W10096"/>
          <cell r="X10096"/>
          <cell r="Y10096"/>
        </row>
        <row r="10097">
          <cell r="V10097"/>
          <cell r="W10097"/>
          <cell r="X10097"/>
          <cell r="Y10097"/>
        </row>
        <row r="10098">
          <cell r="V10098"/>
          <cell r="W10098"/>
          <cell r="X10098"/>
          <cell r="Y10098"/>
        </row>
        <row r="10099">
          <cell r="V10099"/>
          <cell r="W10099"/>
          <cell r="X10099"/>
          <cell r="Y10099"/>
        </row>
        <row r="10100">
          <cell r="V10100"/>
          <cell r="W10100"/>
          <cell r="X10100"/>
          <cell r="Y10100"/>
        </row>
        <row r="10101">
          <cell r="V10101"/>
          <cell r="W10101"/>
          <cell r="X10101"/>
          <cell r="Y10101"/>
        </row>
        <row r="10102">
          <cell r="V10102"/>
          <cell r="W10102"/>
          <cell r="X10102"/>
          <cell r="Y10102"/>
        </row>
        <row r="10103">
          <cell r="V10103"/>
          <cell r="W10103"/>
          <cell r="X10103"/>
          <cell r="Y10103"/>
        </row>
        <row r="10104">
          <cell r="V10104"/>
          <cell r="W10104"/>
          <cell r="X10104"/>
          <cell r="Y10104"/>
        </row>
        <row r="10105">
          <cell r="V10105"/>
          <cell r="W10105"/>
          <cell r="X10105"/>
          <cell r="Y10105"/>
        </row>
        <row r="10106">
          <cell r="V10106"/>
          <cell r="W10106"/>
          <cell r="X10106"/>
          <cell r="Y10106"/>
        </row>
        <row r="10107">
          <cell r="V10107"/>
          <cell r="W10107"/>
          <cell r="X10107"/>
          <cell r="Y10107"/>
        </row>
        <row r="10108">
          <cell r="V10108"/>
          <cell r="W10108"/>
          <cell r="X10108"/>
          <cell r="Y10108"/>
        </row>
        <row r="10109">
          <cell r="V10109"/>
          <cell r="W10109"/>
          <cell r="X10109"/>
          <cell r="Y10109"/>
        </row>
        <row r="10110">
          <cell r="V10110"/>
          <cell r="W10110"/>
          <cell r="X10110"/>
          <cell r="Y10110"/>
        </row>
        <row r="10111">
          <cell r="V10111"/>
          <cell r="W10111"/>
          <cell r="X10111"/>
          <cell r="Y10111"/>
        </row>
        <row r="10112">
          <cell r="V10112"/>
          <cell r="W10112"/>
          <cell r="X10112"/>
          <cell r="Y10112"/>
        </row>
        <row r="10113">
          <cell r="V10113"/>
          <cell r="W10113"/>
          <cell r="X10113"/>
          <cell r="Y10113"/>
        </row>
        <row r="10114">
          <cell r="V10114"/>
          <cell r="W10114"/>
          <cell r="X10114"/>
          <cell r="Y10114"/>
        </row>
        <row r="10115">
          <cell r="V10115"/>
          <cell r="W10115"/>
          <cell r="X10115"/>
          <cell r="Y10115"/>
        </row>
        <row r="10116">
          <cell r="V10116"/>
          <cell r="W10116"/>
          <cell r="X10116"/>
          <cell r="Y10116"/>
        </row>
        <row r="10117">
          <cell r="V10117"/>
          <cell r="W10117"/>
          <cell r="X10117"/>
          <cell r="Y10117"/>
        </row>
        <row r="10118">
          <cell r="V10118"/>
          <cell r="W10118"/>
          <cell r="X10118"/>
          <cell r="Y10118"/>
        </row>
        <row r="10119">
          <cell r="V10119"/>
          <cell r="W10119"/>
          <cell r="X10119"/>
          <cell r="Y10119"/>
        </row>
        <row r="10120">
          <cell r="V10120"/>
          <cell r="W10120"/>
          <cell r="X10120"/>
          <cell r="Y10120"/>
        </row>
        <row r="10121">
          <cell r="V10121"/>
          <cell r="W10121"/>
          <cell r="X10121"/>
          <cell r="Y10121"/>
        </row>
        <row r="10122">
          <cell r="V10122"/>
          <cell r="W10122"/>
          <cell r="X10122"/>
          <cell r="Y10122"/>
        </row>
        <row r="10123">
          <cell r="V10123"/>
          <cell r="W10123"/>
          <cell r="X10123"/>
          <cell r="Y10123"/>
        </row>
        <row r="10124">
          <cell r="V10124"/>
          <cell r="W10124"/>
          <cell r="X10124"/>
          <cell r="Y10124"/>
        </row>
        <row r="10125">
          <cell r="V10125"/>
          <cell r="W10125"/>
          <cell r="X10125"/>
          <cell r="Y10125"/>
        </row>
        <row r="10126">
          <cell r="V10126"/>
          <cell r="W10126"/>
          <cell r="X10126"/>
          <cell r="Y10126"/>
        </row>
        <row r="10127">
          <cell r="V10127"/>
          <cell r="W10127"/>
          <cell r="X10127"/>
          <cell r="Y10127"/>
        </row>
        <row r="10128">
          <cell r="V10128"/>
          <cell r="W10128"/>
          <cell r="X10128"/>
          <cell r="Y10128"/>
        </row>
        <row r="10129">
          <cell r="V10129"/>
          <cell r="W10129"/>
          <cell r="X10129"/>
          <cell r="Y10129"/>
        </row>
        <row r="10130">
          <cell r="V10130"/>
          <cell r="W10130"/>
          <cell r="X10130"/>
          <cell r="Y10130"/>
        </row>
        <row r="10131">
          <cell r="V10131"/>
          <cell r="W10131"/>
          <cell r="X10131"/>
          <cell r="Y10131"/>
        </row>
        <row r="10132">
          <cell r="V10132"/>
          <cell r="W10132"/>
          <cell r="X10132"/>
          <cell r="Y10132"/>
        </row>
        <row r="10133">
          <cell r="V10133"/>
          <cell r="W10133"/>
          <cell r="X10133"/>
          <cell r="Y10133"/>
        </row>
        <row r="10134">
          <cell r="V10134"/>
          <cell r="W10134"/>
          <cell r="X10134"/>
          <cell r="Y10134"/>
        </row>
        <row r="10135">
          <cell r="V10135"/>
          <cell r="W10135"/>
          <cell r="X10135"/>
          <cell r="Y10135"/>
        </row>
        <row r="10136">
          <cell r="V10136"/>
          <cell r="W10136"/>
          <cell r="X10136"/>
          <cell r="Y10136"/>
        </row>
        <row r="10137">
          <cell r="V10137"/>
          <cell r="W10137"/>
          <cell r="X10137"/>
          <cell r="Y10137"/>
        </row>
        <row r="10138">
          <cell r="V10138"/>
          <cell r="W10138"/>
          <cell r="X10138"/>
          <cell r="Y10138"/>
        </row>
        <row r="10139">
          <cell r="V10139"/>
          <cell r="W10139"/>
          <cell r="X10139"/>
          <cell r="Y10139"/>
        </row>
        <row r="10140">
          <cell r="V10140"/>
          <cell r="W10140"/>
          <cell r="X10140"/>
          <cell r="Y10140"/>
        </row>
        <row r="10141">
          <cell r="V10141"/>
          <cell r="W10141"/>
          <cell r="X10141"/>
          <cell r="Y10141"/>
        </row>
        <row r="10142">
          <cell r="V10142"/>
          <cell r="W10142"/>
          <cell r="X10142"/>
          <cell r="Y10142"/>
        </row>
        <row r="10143">
          <cell r="V10143"/>
          <cell r="W10143"/>
          <cell r="X10143"/>
          <cell r="Y10143"/>
        </row>
        <row r="10144">
          <cell r="V10144"/>
          <cell r="W10144"/>
          <cell r="X10144"/>
          <cell r="Y10144"/>
        </row>
        <row r="10145">
          <cell r="V10145"/>
          <cell r="W10145"/>
          <cell r="X10145"/>
          <cell r="Y10145"/>
        </row>
        <row r="10146">
          <cell r="V10146"/>
          <cell r="W10146"/>
          <cell r="X10146"/>
          <cell r="Y10146"/>
        </row>
        <row r="10147">
          <cell r="V10147"/>
          <cell r="W10147"/>
          <cell r="X10147"/>
          <cell r="Y10147"/>
        </row>
        <row r="10148">
          <cell r="V10148"/>
          <cell r="W10148"/>
          <cell r="X10148"/>
          <cell r="Y10148"/>
        </row>
        <row r="10149">
          <cell r="V10149"/>
          <cell r="W10149"/>
          <cell r="X10149"/>
          <cell r="Y10149"/>
        </row>
        <row r="10150">
          <cell r="V10150"/>
          <cell r="W10150"/>
          <cell r="X10150"/>
          <cell r="Y10150"/>
        </row>
        <row r="10151">
          <cell r="V10151"/>
          <cell r="W10151"/>
          <cell r="X10151"/>
          <cell r="Y10151"/>
        </row>
        <row r="10152">
          <cell r="V10152"/>
          <cell r="W10152"/>
          <cell r="X10152"/>
          <cell r="Y10152"/>
        </row>
        <row r="10153">
          <cell r="V10153"/>
          <cell r="W10153"/>
          <cell r="X10153"/>
          <cell r="Y10153"/>
        </row>
        <row r="10154">
          <cell r="V10154"/>
          <cell r="W10154"/>
          <cell r="X10154"/>
          <cell r="Y10154"/>
        </row>
        <row r="10155">
          <cell r="V10155"/>
          <cell r="W10155"/>
          <cell r="X10155"/>
          <cell r="Y10155"/>
        </row>
        <row r="10156">
          <cell r="V10156"/>
          <cell r="W10156"/>
          <cell r="X10156"/>
          <cell r="Y10156"/>
        </row>
        <row r="10157">
          <cell r="V10157"/>
          <cell r="W10157"/>
          <cell r="X10157"/>
          <cell r="Y10157"/>
        </row>
        <row r="10158">
          <cell r="V10158"/>
          <cell r="W10158"/>
          <cell r="X10158"/>
          <cell r="Y10158"/>
        </row>
        <row r="10159">
          <cell r="V10159"/>
          <cell r="W10159"/>
          <cell r="X10159"/>
          <cell r="Y10159"/>
        </row>
        <row r="10160">
          <cell r="V10160"/>
          <cell r="W10160"/>
          <cell r="X10160"/>
          <cell r="Y10160"/>
        </row>
        <row r="10161">
          <cell r="V10161"/>
          <cell r="W10161"/>
          <cell r="X10161"/>
          <cell r="Y10161"/>
        </row>
        <row r="10162">
          <cell r="V10162"/>
          <cell r="W10162"/>
          <cell r="X10162"/>
          <cell r="Y10162"/>
        </row>
        <row r="10163">
          <cell r="V10163"/>
          <cell r="W10163"/>
          <cell r="X10163"/>
          <cell r="Y10163"/>
        </row>
        <row r="10164">
          <cell r="V10164"/>
          <cell r="W10164"/>
          <cell r="X10164"/>
          <cell r="Y10164"/>
        </row>
        <row r="10165">
          <cell r="V10165"/>
          <cell r="W10165"/>
          <cell r="X10165"/>
          <cell r="Y10165"/>
        </row>
        <row r="10166">
          <cell r="V10166"/>
          <cell r="W10166"/>
          <cell r="X10166"/>
          <cell r="Y10166"/>
        </row>
        <row r="10167">
          <cell r="V10167"/>
          <cell r="W10167"/>
          <cell r="X10167"/>
          <cell r="Y10167"/>
        </row>
        <row r="10168">
          <cell r="V10168"/>
          <cell r="W10168"/>
          <cell r="X10168"/>
          <cell r="Y10168"/>
        </row>
        <row r="10169">
          <cell r="V10169"/>
          <cell r="W10169"/>
          <cell r="X10169"/>
          <cell r="Y10169"/>
        </row>
        <row r="10170">
          <cell r="V10170"/>
          <cell r="W10170"/>
          <cell r="X10170"/>
          <cell r="Y10170"/>
        </row>
        <row r="10171">
          <cell r="V10171"/>
          <cell r="W10171"/>
          <cell r="X10171"/>
          <cell r="Y10171"/>
        </row>
        <row r="10172">
          <cell r="V10172"/>
          <cell r="W10172"/>
          <cell r="X10172"/>
          <cell r="Y10172"/>
        </row>
        <row r="10173">
          <cell r="V10173"/>
          <cell r="W10173"/>
          <cell r="X10173"/>
          <cell r="Y10173"/>
        </row>
        <row r="10174">
          <cell r="V10174"/>
          <cell r="W10174"/>
          <cell r="X10174"/>
          <cell r="Y10174"/>
        </row>
        <row r="10175">
          <cell r="V10175"/>
          <cell r="W10175"/>
          <cell r="X10175"/>
          <cell r="Y10175"/>
        </row>
        <row r="10176">
          <cell r="V10176"/>
          <cell r="W10176"/>
          <cell r="X10176"/>
          <cell r="Y10176"/>
        </row>
        <row r="10177">
          <cell r="V10177"/>
          <cell r="W10177"/>
          <cell r="X10177"/>
          <cell r="Y10177"/>
        </row>
        <row r="10178">
          <cell r="V10178"/>
          <cell r="W10178"/>
          <cell r="X10178"/>
          <cell r="Y10178"/>
        </row>
        <row r="10179">
          <cell r="V10179"/>
          <cell r="W10179"/>
          <cell r="X10179"/>
          <cell r="Y10179"/>
        </row>
        <row r="10180">
          <cell r="V10180"/>
          <cell r="W10180"/>
          <cell r="X10180"/>
          <cell r="Y10180"/>
        </row>
        <row r="10181">
          <cell r="V10181"/>
          <cell r="W10181"/>
          <cell r="X10181"/>
          <cell r="Y10181"/>
        </row>
        <row r="10182">
          <cell r="V10182"/>
          <cell r="W10182"/>
          <cell r="X10182"/>
          <cell r="Y10182"/>
        </row>
        <row r="10183">
          <cell r="V10183"/>
          <cell r="W10183"/>
          <cell r="X10183"/>
          <cell r="Y10183"/>
        </row>
        <row r="10184">
          <cell r="V10184"/>
          <cell r="W10184"/>
          <cell r="X10184"/>
          <cell r="Y10184"/>
        </row>
        <row r="10185">
          <cell r="V10185"/>
          <cell r="W10185"/>
          <cell r="X10185"/>
          <cell r="Y10185"/>
        </row>
        <row r="10186">
          <cell r="V10186"/>
          <cell r="W10186"/>
          <cell r="X10186"/>
          <cell r="Y10186"/>
        </row>
        <row r="10187">
          <cell r="V10187"/>
          <cell r="W10187"/>
          <cell r="X10187"/>
          <cell r="Y10187"/>
        </row>
        <row r="10188">
          <cell r="V10188"/>
          <cell r="W10188"/>
          <cell r="X10188"/>
          <cell r="Y10188"/>
        </row>
        <row r="10189">
          <cell r="V10189"/>
          <cell r="W10189"/>
          <cell r="X10189"/>
          <cell r="Y10189"/>
        </row>
        <row r="10190">
          <cell r="V10190"/>
          <cell r="W10190"/>
          <cell r="X10190"/>
          <cell r="Y10190"/>
        </row>
        <row r="10191">
          <cell r="V10191"/>
          <cell r="W10191"/>
          <cell r="X10191"/>
          <cell r="Y10191"/>
        </row>
        <row r="10192">
          <cell r="V10192"/>
          <cell r="W10192"/>
          <cell r="X10192"/>
          <cell r="Y10192"/>
        </row>
        <row r="10193">
          <cell r="V10193"/>
          <cell r="W10193"/>
          <cell r="X10193"/>
          <cell r="Y10193"/>
        </row>
        <row r="10194">
          <cell r="V10194"/>
          <cell r="W10194"/>
          <cell r="X10194"/>
          <cell r="Y10194"/>
        </row>
        <row r="10195">
          <cell r="V10195"/>
          <cell r="W10195"/>
          <cell r="X10195"/>
          <cell r="Y10195"/>
        </row>
        <row r="10196">
          <cell r="V10196"/>
          <cell r="W10196"/>
          <cell r="X10196"/>
          <cell r="Y10196"/>
        </row>
        <row r="10197">
          <cell r="V10197"/>
          <cell r="W10197"/>
          <cell r="X10197"/>
          <cell r="Y10197"/>
        </row>
        <row r="10198">
          <cell r="V10198"/>
          <cell r="W10198"/>
          <cell r="X10198"/>
          <cell r="Y10198"/>
        </row>
        <row r="10199">
          <cell r="V10199"/>
          <cell r="W10199"/>
          <cell r="X10199"/>
          <cell r="Y10199"/>
        </row>
        <row r="10200">
          <cell r="V10200"/>
          <cell r="W10200"/>
          <cell r="X10200"/>
          <cell r="Y10200"/>
        </row>
        <row r="10201">
          <cell r="V10201"/>
          <cell r="W10201"/>
          <cell r="X10201"/>
          <cell r="Y10201"/>
        </row>
        <row r="10202">
          <cell r="V10202"/>
          <cell r="W10202"/>
          <cell r="X10202"/>
          <cell r="Y10202"/>
        </row>
        <row r="10203">
          <cell r="V10203"/>
          <cell r="W10203"/>
          <cell r="X10203"/>
          <cell r="Y10203"/>
        </row>
        <row r="10204">
          <cell r="V10204"/>
          <cell r="W10204"/>
          <cell r="X10204"/>
          <cell r="Y10204"/>
        </row>
        <row r="10205">
          <cell r="V10205"/>
          <cell r="W10205"/>
          <cell r="X10205"/>
          <cell r="Y10205"/>
        </row>
        <row r="10206">
          <cell r="V10206"/>
          <cell r="W10206"/>
          <cell r="X10206"/>
          <cell r="Y10206"/>
        </row>
        <row r="10207">
          <cell r="V10207"/>
          <cell r="W10207"/>
          <cell r="X10207"/>
          <cell r="Y10207"/>
        </row>
        <row r="10208">
          <cell r="V10208"/>
          <cell r="W10208"/>
          <cell r="X10208"/>
          <cell r="Y10208"/>
        </row>
        <row r="10209">
          <cell r="V10209"/>
          <cell r="W10209"/>
          <cell r="X10209"/>
          <cell r="Y10209"/>
        </row>
        <row r="10210">
          <cell r="V10210"/>
          <cell r="W10210"/>
          <cell r="X10210"/>
          <cell r="Y10210"/>
        </row>
        <row r="10211">
          <cell r="V10211"/>
          <cell r="W10211"/>
          <cell r="X10211"/>
          <cell r="Y10211"/>
        </row>
        <row r="10212">
          <cell r="V10212"/>
          <cell r="W10212"/>
          <cell r="X10212"/>
          <cell r="Y10212"/>
        </row>
        <row r="10213">
          <cell r="V10213"/>
          <cell r="W10213"/>
          <cell r="X10213"/>
          <cell r="Y10213"/>
        </row>
        <row r="10214">
          <cell r="V10214"/>
          <cell r="W10214"/>
          <cell r="X10214"/>
          <cell r="Y10214"/>
        </row>
        <row r="10215">
          <cell r="V10215"/>
          <cell r="W10215"/>
          <cell r="X10215"/>
          <cell r="Y10215"/>
        </row>
        <row r="10216">
          <cell r="V10216"/>
          <cell r="W10216"/>
          <cell r="X10216"/>
          <cell r="Y10216"/>
        </row>
        <row r="10217">
          <cell r="V10217"/>
          <cell r="W10217"/>
          <cell r="X10217"/>
          <cell r="Y10217"/>
        </row>
        <row r="10218">
          <cell r="V10218"/>
          <cell r="W10218"/>
          <cell r="X10218"/>
          <cell r="Y10218"/>
        </row>
        <row r="10219">
          <cell r="V10219"/>
          <cell r="W10219"/>
          <cell r="X10219"/>
          <cell r="Y10219"/>
        </row>
        <row r="10220">
          <cell r="V10220"/>
          <cell r="W10220"/>
          <cell r="X10220"/>
          <cell r="Y10220"/>
        </row>
        <row r="10221">
          <cell r="V10221"/>
          <cell r="W10221"/>
          <cell r="X10221"/>
          <cell r="Y10221"/>
        </row>
        <row r="10222">
          <cell r="V10222"/>
          <cell r="W10222"/>
          <cell r="X10222"/>
          <cell r="Y10222"/>
        </row>
        <row r="10223">
          <cell r="V10223"/>
          <cell r="W10223"/>
          <cell r="X10223"/>
          <cell r="Y10223"/>
        </row>
        <row r="10224">
          <cell r="V10224"/>
          <cell r="W10224"/>
          <cell r="X10224"/>
          <cell r="Y10224"/>
        </row>
        <row r="10225">
          <cell r="V10225"/>
          <cell r="W10225"/>
          <cell r="X10225"/>
          <cell r="Y10225"/>
        </row>
        <row r="10226">
          <cell r="V10226"/>
          <cell r="W10226"/>
          <cell r="X10226"/>
          <cell r="Y10226"/>
        </row>
        <row r="10227">
          <cell r="V10227"/>
          <cell r="W10227"/>
          <cell r="X10227"/>
          <cell r="Y10227"/>
        </row>
        <row r="10228">
          <cell r="V10228"/>
          <cell r="W10228"/>
          <cell r="X10228"/>
          <cell r="Y10228"/>
        </row>
        <row r="10229">
          <cell r="V10229"/>
          <cell r="W10229"/>
          <cell r="X10229"/>
          <cell r="Y10229"/>
        </row>
        <row r="10230">
          <cell r="V10230"/>
          <cell r="W10230"/>
          <cell r="X10230"/>
          <cell r="Y10230"/>
        </row>
        <row r="10231">
          <cell r="V10231"/>
          <cell r="W10231"/>
          <cell r="X10231"/>
          <cell r="Y10231"/>
        </row>
        <row r="10232">
          <cell r="V10232"/>
          <cell r="W10232"/>
          <cell r="X10232"/>
          <cell r="Y10232"/>
        </row>
        <row r="10233">
          <cell r="V10233"/>
          <cell r="W10233"/>
          <cell r="X10233"/>
          <cell r="Y10233"/>
        </row>
        <row r="10234">
          <cell r="V10234"/>
          <cell r="W10234"/>
          <cell r="X10234"/>
          <cell r="Y10234"/>
        </row>
        <row r="10235">
          <cell r="V10235"/>
          <cell r="W10235"/>
          <cell r="X10235"/>
          <cell r="Y10235"/>
        </row>
        <row r="10236">
          <cell r="V10236"/>
          <cell r="W10236"/>
          <cell r="X10236"/>
          <cell r="Y10236"/>
        </row>
        <row r="10237">
          <cell r="V10237"/>
          <cell r="W10237"/>
          <cell r="X10237"/>
          <cell r="Y10237"/>
        </row>
        <row r="10238">
          <cell r="V10238"/>
          <cell r="W10238"/>
          <cell r="X10238"/>
          <cell r="Y10238"/>
        </row>
        <row r="10239">
          <cell r="V10239"/>
          <cell r="W10239"/>
          <cell r="X10239"/>
          <cell r="Y10239"/>
        </row>
        <row r="10240">
          <cell r="V10240"/>
          <cell r="W10240"/>
          <cell r="X10240"/>
          <cell r="Y10240"/>
        </row>
        <row r="10241">
          <cell r="V10241"/>
          <cell r="W10241"/>
          <cell r="X10241"/>
          <cell r="Y10241"/>
        </row>
        <row r="10242">
          <cell r="V10242"/>
          <cell r="W10242"/>
          <cell r="X10242"/>
          <cell r="Y10242"/>
        </row>
        <row r="10243">
          <cell r="V10243"/>
          <cell r="W10243"/>
          <cell r="X10243"/>
          <cell r="Y10243"/>
        </row>
        <row r="10244">
          <cell r="V10244"/>
          <cell r="W10244"/>
          <cell r="X10244"/>
          <cell r="Y10244"/>
        </row>
        <row r="10245">
          <cell r="V10245"/>
          <cell r="W10245"/>
          <cell r="X10245"/>
          <cell r="Y10245"/>
        </row>
        <row r="10246">
          <cell r="V10246"/>
          <cell r="W10246"/>
          <cell r="X10246"/>
          <cell r="Y10246"/>
        </row>
        <row r="10247">
          <cell r="V10247"/>
          <cell r="W10247"/>
          <cell r="X10247"/>
          <cell r="Y10247"/>
        </row>
        <row r="10248">
          <cell r="V10248"/>
          <cell r="W10248"/>
          <cell r="X10248"/>
          <cell r="Y10248"/>
        </row>
        <row r="10249">
          <cell r="V10249"/>
          <cell r="W10249"/>
          <cell r="X10249"/>
          <cell r="Y10249"/>
        </row>
        <row r="10250">
          <cell r="V10250"/>
          <cell r="W10250"/>
          <cell r="X10250"/>
          <cell r="Y10250"/>
        </row>
        <row r="10251">
          <cell r="V10251"/>
          <cell r="W10251"/>
          <cell r="X10251"/>
          <cell r="Y10251"/>
        </row>
        <row r="10252">
          <cell r="V10252"/>
          <cell r="W10252"/>
          <cell r="X10252"/>
          <cell r="Y10252"/>
        </row>
        <row r="10253">
          <cell r="V10253"/>
          <cell r="W10253"/>
          <cell r="X10253"/>
          <cell r="Y10253"/>
        </row>
        <row r="10254">
          <cell r="V10254"/>
          <cell r="W10254"/>
          <cell r="X10254"/>
          <cell r="Y10254"/>
        </row>
        <row r="10255">
          <cell r="V10255"/>
          <cell r="W10255"/>
          <cell r="X10255"/>
          <cell r="Y10255"/>
        </row>
        <row r="10256">
          <cell r="V10256"/>
          <cell r="W10256"/>
          <cell r="X10256"/>
          <cell r="Y10256"/>
        </row>
        <row r="10257">
          <cell r="V10257"/>
          <cell r="W10257"/>
          <cell r="X10257"/>
          <cell r="Y10257"/>
        </row>
        <row r="10258">
          <cell r="V10258"/>
          <cell r="W10258"/>
          <cell r="X10258"/>
          <cell r="Y10258"/>
        </row>
        <row r="10259">
          <cell r="V10259"/>
          <cell r="W10259"/>
          <cell r="X10259"/>
          <cell r="Y10259"/>
        </row>
        <row r="10260">
          <cell r="V10260"/>
          <cell r="W10260"/>
          <cell r="X10260"/>
          <cell r="Y10260"/>
        </row>
        <row r="10261">
          <cell r="V10261"/>
          <cell r="W10261"/>
          <cell r="X10261"/>
          <cell r="Y10261"/>
        </row>
        <row r="10262">
          <cell r="V10262"/>
          <cell r="W10262"/>
          <cell r="X10262"/>
          <cell r="Y10262"/>
        </row>
        <row r="10263">
          <cell r="V10263"/>
          <cell r="W10263"/>
          <cell r="X10263"/>
          <cell r="Y10263"/>
        </row>
        <row r="10264">
          <cell r="V10264"/>
          <cell r="W10264"/>
          <cell r="X10264"/>
          <cell r="Y10264"/>
        </row>
        <row r="10265">
          <cell r="V10265"/>
          <cell r="W10265"/>
          <cell r="X10265"/>
          <cell r="Y10265"/>
        </row>
        <row r="10266">
          <cell r="V10266"/>
          <cell r="W10266"/>
          <cell r="X10266"/>
          <cell r="Y10266"/>
        </row>
        <row r="10267">
          <cell r="V10267"/>
          <cell r="W10267"/>
          <cell r="X10267"/>
          <cell r="Y10267"/>
        </row>
        <row r="10268">
          <cell r="V10268"/>
          <cell r="W10268"/>
          <cell r="X10268"/>
          <cell r="Y10268"/>
        </row>
        <row r="10269">
          <cell r="V10269"/>
          <cell r="W10269"/>
          <cell r="X10269"/>
          <cell r="Y10269"/>
        </row>
        <row r="10270">
          <cell r="V10270"/>
          <cell r="W10270"/>
          <cell r="X10270"/>
          <cell r="Y10270"/>
        </row>
        <row r="10271">
          <cell r="V10271"/>
          <cell r="W10271"/>
          <cell r="X10271"/>
          <cell r="Y10271"/>
        </row>
        <row r="10272">
          <cell r="V10272"/>
          <cell r="W10272"/>
          <cell r="X10272"/>
          <cell r="Y10272"/>
        </row>
        <row r="10273">
          <cell r="V10273"/>
          <cell r="W10273"/>
          <cell r="X10273"/>
          <cell r="Y10273"/>
        </row>
        <row r="10274">
          <cell r="V10274"/>
          <cell r="W10274"/>
          <cell r="X10274"/>
          <cell r="Y10274"/>
        </row>
        <row r="10275">
          <cell r="V10275"/>
          <cell r="W10275"/>
          <cell r="X10275"/>
          <cell r="Y10275"/>
        </row>
        <row r="10276">
          <cell r="V10276"/>
          <cell r="W10276"/>
          <cell r="X10276"/>
          <cell r="Y10276"/>
        </row>
        <row r="10277">
          <cell r="V10277"/>
          <cell r="W10277"/>
          <cell r="X10277"/>
          <cell r="Y10277"/>
        </row>
        <row r="10278">
          <cell r="V10278"/>
          <cell r="W10278"/>
          <cell r="X10278"/>
          <cell r="Y10278"/>
        </row>
        <row r="10279">
          <cell r="V10279"/>
          <cell r="W10279"/>
          <cell r="X10279"/>
          <cell r="Y10279"/>
        </row>
        <row r="10280">
          <cell r="V10280"/>
          <cell r="W10280"/>
          <cell r="X10280"/>
          <cell r="Y10280"/>
        </row>
        <row r="10281">
          <cell r="V10281"/>
          <cell r="W10281"/>
          <cell r="X10281"/>
          <cell r="Y10281"/>
        </row>
        <row r="10282">
          <cell r="V10282"/>
          <cell r="W10282"/>
          <cell r="X10282"/>
          <cell r="Y10282"/>
        </row>
        <row r="10283">
          <cell r="V10283"/>
          <cell r="W10283"/>
          <cell r="X10283"/>
          <cell r="Y10283"/>
        </row>
        <row r="10284">
          <cell r="V10284"/>
          <cell r="W10284"/>
          <cell r="X10284"/>
          <cell r="Y10284"/>
        </row>
        <row r="10285">
          <cell r="V10285"/>
          <cell r="W10285"/>
          <cell r="X10285"/>
          <cell r="Y10285"/>
        </row>
        <row r="10286">
          <cell r="V10286"/>
          <cell r="W10286"/>
          <cell r="X10286"/>
          <cell r="Y10286"/>
        </row>
        <row r="10287">
          <cell r="V10287"/>
          <cell r="W10287"/>
          <cell r="X10287"/>
          <cell r="Y10287"/>
        </row>
        <row r="10288">
          <cell r="V10288"/>
          <cell r="W10288"/>
          <cell r="X10288"/>
          <cell r="Y10288"/>
        </row>
        <row r="10289">
          <cell r="V10289"/>
          <cell r="W10289"/>
          <cell r="X10289"/>
          <cell r="Y10289"/>
        </row>
        <row r="10290">
          <cell r="V10290"/>
          <cell r="W10290"/>
          <cell r="X10290"/>
          <cell r="Y10290"/>
        </row>
        <row r="10291">
          <cell r="V10291"/>
          <cell r="W10291"/>
          <cell r="X10291"/>
          <cell r="Y10291"/>
        </row>
        <row r="10292">
          <cell r="V10292"/>
          <cell r="W10292"/>
          <cell r="X10292"/>
          <cell r="Y10292"/>
        </row>
        <row r="10293">
          <cell r="V10293"/>
          <cell r="W10293"/>
          <cell r="X10293"/>
          <cell r="Y10293"/>
        </row>
        <row r="10294">
          <cell r="V10294"/>
          <cell r="W10294"/>
          <cell r="X10294"/>
          <cell r="Y10294"/>
        </row>
        <row r="10295">
          <cell r="V10295"/>
          <cell r="W10295"/>
          <cell r="X10295"/>
          <cell r="Y10295"/>
        </row>
        <row r="10296">
          <cell r="V10296"/>
          <cell r="W10296"/>
          <cell r="X10296"/>
          <cell r="Y10296"/>
        </row>
        <row r="10297">
          <cell r="V10297"/>
          <cell r="W10297"/>
          <cell r="X10297"/>
          <cell r="Y10297"/>
        </row>
        <row r="10298">
          <cell r="V10298"/>
          <cell r="W10298"/>
          <cell r="X10298"/>
          <cell r="Y10298"/>
        </row>
        <row r="10299">
          <cell r="V10299"/>
          <cell r="W10299"/>
          <cell r="X10299"/>
          <cell r="Y10299"/>
        </row>
        <row r="10300">
          <cell r="V10300"/>
          <cell r="W10300"/>
          <cell r="X10300"/>
          <cell r="Y10300"/>
        </row>
        <row r="10301">
          <cell r="V10301"/>
          <cell r="W10301"/>
          <cell r="X10301"/>
          <cell r="Y10301"/>
        </row>
        <row r="10302">
          <cell r="V10302"/>
          <cell r="W10302"/>
          <cell r="X10302"/>
          <cell r="Y10302"/>
        </row>
        <row r="10303">
          <cell r="V10303"/>
          <cell r="W10303"/>
          <cell r="X10303"/>
          <cell r="Y10303"/>
        </row>
        <row r="10304">
          <cell r="V10304"/>
          <cell r="W10304"/>
          <cell r="X10304"/>
          <cell r="Y10304"/>
        </row>
        <row r="10305">
          <cell r="V10305"/>
          <cell r="W10305"/>
          <cell r="X10305"/>
          <cell r="Y10305"/>
        </row>
        <row r="10306">
          <cell r="V10306"/>
          <cell r="W10306"/>
          <cell r="X10306"/>
          <cell r="Y10306"/>
        </row>
        <row r="10307">
          <cell r="V10307"/>
          <cell r="W10307"/>
          <cell r="X10307"/>
          <cell r="Y10307"/>
        </row>
        <row r="10308">
          <cell r="V10308"/>
          <cell r="W10308"/>
          <cell r="X10308"/>
          <cell r="Y10308"/>
        </row>
        <row r="10309">
          <cell r="V10309"/>
          <cell r="W10309"/>
          <cell r="X10309"/>
          <cell r="Y10309"/>
        </row>
        <row r="10310">
          <cell r="V10310"/>
          <cell r="W10310"/>
          <cell r="X10310"/>
          <cell r="Y10310"/>
        </row>
        <row r="10311">
          <cell r="V10311"/>
          <cell r="W10311"/>
          <cell r="X10311"/>
          <cell r="Y10311"/>
        </row>
        <row r="10312">
          <cell r="V10312"/>
          <cell r="W10312"/>
          <cell r="X10312"/>
          <cell r="Y10312"/>
        </row>
        <row r="10313">
          <cell r="V10313"/>
          <cell r="W10313"/>
          <cell r="X10313"/>
          <cell r="Y10313"/>
        </row>
        <row r="10314">
          <cell r="V10314"/>
          <cell r="W10314"/>
          <cell r="X10314"/>
          <cell r="Y10314"/>
        </row>
        <row r="10315">
          <cell r="V10315"/>
          <cell r="W10315"/>
          <cell r="X10315"/>
          <cell r="Y10315"/>
        </row>
        <row r="10316">
          <cell r="V10316"/>
          <cell r="W10316"/>
          <cell r="X10316"/>
          <cell r="Y10316"/>
        </row>
        <row r="10317">
          <cell r="V10317"/>
          <cell r="W10317"/>
          <cell r="X10317"/>
          <cell r="Y10317"/>
        </row>
        <row r="10318">
          <cell r="V10318"/>
          <cell r="W10318"/>
          <cell r="X10318"/>
          <cell r="Y10318"/>
        </row>
        <row r="10319">
          <cell r="V10319"/>
          <cell r="W10319"/>
          <cell r="X10319"/>
          <cell r="Y10319"/>
        </row>
        <row r="10320">
          <cell r="V10320"/>
          <cell r="W10320"/>
          <cell r="X10320"/>
          <cell r="Y10320"/>
        </row>
        <row r="10321">
          <cell r="V10321"/>
          <cell r="W10321"/>
          <cell r="X10321"/>
          <cell r="Y10321"/>
        </row>
        <row r="10322">
          <cell r="V10322"/>
          <cell r="W10322"/>
          <cell r="X10322"/>
          <cell r="Y10322"/>
        </row>
        <row r="10323">
          <cell r="V10323"/>
          <cell r="W10323"/>
          <cell r="X10323"/>
          <cell r="Y10323"/>
        </row>
        <row r="10324">
          <cell r="V10324"/>
          <cell r="W10324"/>
          <cell r="X10324"/>
          <cell r="Y10324"/>
        </row>
        <row r="10325">
          <cell r="V10325"/>
          <cell r="W10325"/>
          <cell r="X10325"/>
          <cell r="Y10325"/>
        </row>
        <row r="10326">
          <cell r="V10326"/>
          <cell r="W10326"/>
          <cell r="X10326"/>
          <cell r="Y10326"/>
        </row>
        <row r="10327">
          <cell r="V10327"/>
          <cell r="W10327"/>
          <cell r="X10327"/>
          <cell r="Y10327"/>
        </row>
        <row r="10328">
          <cell r="V10328"/>
          <cell r="W10328"/>
          <cell r="X10328"/>
          <cell r="Y10328"/>
        </row>
        <row r="10329">
          <cell r="V10329"/>
          <cell r="W10329"/>
          <cell r="X10329"/>
          <cell r="Y10329"/>
        </row>
        <row r="10330">
          <cell r="V10330"/>
          <cell r="W10330"/>
          <cell r="X10330"/>
          <cell r="Y10330"/>
        </row>
        <row r="10331">
          <cell r="V10331"/>
          <cell r="W10331"/>
          <cell r="X10331"/>
          <cell r="Y10331"/>
        </row>
        <row r="10332">
          <cell r="V10332"/>
          <cell r="W10332"/>
          <cell r="X10332"/>
          <cell r="Y10332"/>
        </row>
        <row r="10333">
          <cell r="V10333"/>
          <cell r="W10333"/>
          <cell r="X10333"/>
          <cell r="Y10333"/>
        </row>
        <row r="10334">
          <cell r="V10334"/>
          <cell r="W10334"/>
          <cell r="X10334"/>
          <cell r="Y10334"/>
        </row>
        <row r="10335">
          <cell r="V10335"/>
          <cell r="W10335"/>
          <cell r="X10335"/>
          <cell r="Y10335"/>
        </row>
        <row r="10336">
          <cell r="V10336"/>
          <cell r="W10336"/>
          <cell r="X10336"/>
          <cell r="Y10336"/>
        </row>
        <row r="10337">
          <cell r="V10337"/>
          <cell r="W10337"/>
          <cell r="X10337"/>
          <cell r="Y10337"/>
        </row>
        <row r="10338">
          <cell r="V10338"/>
          <cell r="W10338"/>
          <cell r="X10338"/>
          <cell r="Y10338"/>
        </row>
        <row r="10339">
          <cell r="V10339"/>
          <cell r="W10339"/>
          <cell r="X10339"/>
          <cell r="Y10339"/>
        </row>
        <row r="10340">
          <cell r="V10340"/>
          <cell r="W10340"/>
          <cell r="X10340"/>
          <cell r="Y10340"/>
        </row>
        <row r="10341">
          <cell r="V10341"/>
          <cell r="W10341"/>
          <cell r="X10341"/>
          <cell r="Y10341"/>
        </row>
        <row r="10342">
          <cell r="V10342"/>
          <cell r="W10342"/>
          <cell r="X10342"/>
          <cell r="Y10342"/>
        </row>
        <row r="10343">
          <cell r="V10343"/>
          <cell r="W10343"/>
          <cell r="X10343"/>
          <cell r="Y10343"/>
        </row>
        <row r="10344">
          <cell r="V10344"/>
          <cell r="W10344"/>
          <cell r="X10344"/>
          <cell r="Y10344"/>
        </row>
        <row r="10345">
          <cell r="V10345"/>
          <cell r="W10345"/>
          <cell r="X10345"/>
          <cell r="Y10345"/>
        </row>
        <row r="10346">
          <cell r="V10346"/>
          <cell r="W10346"/>
          <cell r="X10346"/>
          <cell r="Y10346"/>
        </row>
        <row r="10347">
          <cell r="V10347"/>
          <cell r="W10347"/>
          <cell r="X10347"/>
          <cell r="Y10347"/>
        </row>
        <row r="10348">
          <cell r="V10348"/>
          <cell r="W10348"/>
          <cell r="X10348"/>
          <cell r="Y10348"/>
        </row>
        <row r="10349">
          <cell r="V10349"/>
          <cell r="W10349"/>
          <cell r="X10349"/>
          <cell r="Y10349"/>
        </row>
        <row r="10350">
          <cell r="V10350"/>
          <cell r="W10350"/>
          <cell r="X10350"/>
          <cell r="Y10350"/>
        </row>
        <row r="10351">
          <cell r="V10351"/>
          <cell r="W10351"/>
          <cell r="X10351"/>
          <cell r="Y10351"/>
        </row>
        <row r="10352">
          <cell r="V10352"/>
          <cell r="W10352"/>
          <cell r="X10352"/>
          <cell r="Y10352"/>
        </row>
        <row r="10353">
          <cell r="V10353"/>
          <cell r="W10353"/>
          <cell r="X10353"/>
          <cell r="Y10353"/>
        </row>
        <row r="10354">
          <cell r="V10354"/>
          <cell r="W10354"/>
          <cell r="X10354"/>
          <cell r="Y10354"/>
        </row>
        <row r="10355">
          <cell r="V10355"/>
          <cell r="W10355"/>
          <cell r="X10355"/>
          <cell r="Y10355"/>
        </row>
        <row r="10356">
          <cell r="V10356"/>
          <cell r="W10356"/>
          <cell r="X10356"/>
          <cell r="Y10356"/>
        </row>
        <row r="10357">
          <cell r="V10357"/>
          <cell r="W10357"/>
          <cell r="X10357"/>
          <cell r="Y10357"/>
        </row>
        <row r="10358">
          <cell r="V10358"/>
          <cell r="W10358"/>
          <cell r="X10358"/>
          <cell r="Y10358"/>
        </row>
        <row r="10359">
          <cell r="V10359"/>
          <cell r="W10359"/>
          <cell r="X10359"/>
          <cell r="Y10359"/>
        </row>
        <row r="10360">
          <cell r="V10360"/>
          <cell r="W10360"/>
          <cell r="X10360"/>
          <cell r="Y10360"/>
        </row>
        <row r="10361">
          <cell r="V10361"/>
          <cell r="W10361"/>
          <cell r="X10361"/>
          <cell r="Y10361"/>
        </row>
        <row r="10362">
          <cell r="V10362"/>
          <cell r="W10362"/>
          <cell r="X10362"/>
          <cell r="Y10362"/>
        </row>
        <row r="10363">
          <cell r="V10363"/>
          <cell r="W10363"/>
          <cell r="X10363"/>
          <cell r="Y10363"/>
        </row>
        <row r="10364">
          <cell r="V10364"/>
          <cell r="W10364"/>
          <cell r="X10364"/>
          <cell r="Y10364"/>
        </row>
        <row r="10365">
          <cell r="V10365"/>
          <cell r="W10365"/>
          <cell r="X10365"/>
          <cell r="Y10365"/>
        </row>
        <row r="10366">
          <cell r="V10366"/>
          <cell r="W10366"/>
          <cell r="X10366"/>
          <cell r="Y10366"/>
        </row>
        <row r="10367">
          <cell r="V10367"/>
          <cell r="W10367"/>
          <cell r="X10367"/>
          <cell r="Y10367"/>
        </row>
        <row r="10368">
          <cell r="V10368"/>
          <cell r="W10368"/>
          <cell r="X10368"/>
          <cell r="Y10368"/>
        </row>
        <row r="10369">
          <cell r="V10369"/>
          <cell r="W10369"/>
          <cell r="X10369"/>
          <cell r="Y10369"/>
        </row>
        <row r="10370">
          <cell r="V10370"/>
          <cell r="W10370"/>
          <cell r="X10370"/>
          <cell r="Y10370"/>
        </row>
        <row r="10371">
          <cell r="V10371"/>
          <cell r="W10371"/>
          <cell r="X10371"/>
          <cell r="Y10371"/>
        </row>
        <row r="10372">
          <cell r="V10372"/>
          <cell r="W10372"/>
          <cell r="X10372"/>
          <cell r="Y10372"/>
        </row>
        <row r="10373">
          <cell r="V10373"/>
          <cell r="W10373"/>
          <cell r="X10373"/>
          <cell r="Y10373"/>
        </row>
        <row r="10374">
          <cell r="V10374"/>
          <cell r="W10374"/>
          <cell r="X10374"/>
          <cell r="Y10374"/>
        </row>
        <row r="10375">
          <cell r="V10375"/>
          <cell r="W10375"/>
          <cell r="X10375"/>
          <cell r="Y10375"/>
        </row>
        <row r="10376">
          <cell r="V10376"/>
          <cell r="W10376"/>
          <cell r="X10376"/>
          <cell r="Y10376"/>
        </row>
        <row r="10377">
          <cell r="V10377"/>
          <cell r="W10377"/>
          <cell r="X10377"/>
          <cell r="Y10377"/>
        </row>
        <row r="10378">
          <cell r="V10378"/>
          <cell r="W10378"/>
          <cell r="X10378"/>
          <cell r="Y10378"/>
        </row>
        <row r="10379">
          <cell r="V10379"/>
          <cell r="W10379"/>
          <cell r="X10379"/>
          <cell r="Y10379"/>
        </row>
        <row r="10380">
          <cell r="V10380"/>
          <cell r="W10380"/>
          <cell r="X10380"/>
          <cell r="Y10380"/>
        </row>
        <row r="10381">
          <cell r="V10381"/>
          <cell r="W10381"/>
          <cell r="X10381"/>
          <cell r="Y10381"/>
        </row>
        <row r="10382">
          <cell r="V10382"/>
          <cell r="W10382"/>
          <cell r="X10382"/>
          <cell r="Y10382"/>
        </row>
        <row r="10383">
          <cell r="V10383"/>
          <cell r="W10383"/>
          <cell r="X10383"/>
          <cell r="Y10383"/>
        </row>
        <row r="10384">
          <cell r="V10384"/>
          <cell r="W10384"/>
          <cell r="X10384"/>
          <cell r="Y10384"/>
        </row>
        <row r="10385">
          <cell r="V10385"/>
          <cell r="W10385"/>
          <cell r="X10385"/>
          <cell r="Y10385"/>
        </row>
        <row r="10386">
          <cell r="V10386"/>
          <cell r="W10386"/>
          <cell r="X10386"/>
          <cell r="Y10386"/>
        </row>
        <row r="10387">
          <cell r="V10387"/>
          <cell r="W10387"/>
          <cell r="X10387"/>
          <cell r="Y10387"/>
        </row>
        <row r="10388">
          <cell r="V10388"/>
          <cell r="W10388"/>
          <cell r="X10388"/>
          <cell r="Y10388"/>
        </row>
        <row r="10389">
          <cell r="V10389"/>
          <cell r="W10389"/>
          <cell r="X10389"/>
          <cell r="Y10389"/>
        </row>
        <row r="10390">
          <cell r="V10390"/>
          <cell r="W10390"/>
          <cell r="X10390"/>
          <cell r="Y10390"/>
        </row>
        <row r="10391">
          <cell r="V10391"/>
          <cell r="W10391"/>
          <cell r="X10391"/>
          <cell r="Y10391"/>
        </row>
        <row r="10392">
          <cell r="V10392"/>
          <cell r="W10392"/>
          <cell r="X10392"/>
          <cell r="Y10392"/>
        </row>
        <row r="10393">
          <cell r="V10393"/>
          <cell r="W10393"/>
          <cell r="X10393"/>
          <cell r="Y10393"/>
        </row>
        <row r="10394">
          <cell r="V10394"/>
          <cell r="W10394"/>
          <cell r="X10394"/>
          <cell r="Y10394"/>
        </row>
        <row r="10395">
          <cell r="V10395"/>
          <cell r="W10395"/>
          <cell r="X10395"/>
          <cell r="Y10395"/>
        </row>
        <row r="10396">
          <cell r="V10396"/>
          <cell r="W10396"/>
          <cell r="X10396"/>
          <cell r="Y10396"/>
        </row>
        <row r="10397">
          <cell r="V10397"/>
          <cell r="W10397"/>
          <cell r="X10397"/>
          <cell r="Y10397"/>
        </row>
        <row r="10398">
          <cell r="V10398"/>
          <cell r="W10398"/>
          <cell r="X10398"/>
          <cell r="Y10398"/>
        </row>
        <row r="10399">
          <cell r="V10399"/>
          <cell r="W10399"/>
          <cell r="X10399"/>
          <cell r="Y10399"/>
        </row>
        <row r="10400">
          <cell r="V10400"/>
          <cell r="W10400"/>
          <cell r="X10400"/>
          <cell r="Y10400"/>
        </row>
        <row r="10401">
          <cell r="V10401"/>
          <cell r="W10401"/>
          <cell r="X10401"/>
          <cell r="Y10401"/>
        </row>
        <row r="10402">
          <cell r="V10402"/>
          <cell r="W10402"/>
          <cell r="X10402"/>
          <cell r="Y10402"/>
        </row>
        <row r="10403">
          <cell r="V10403"/>
          <cell r="W10403"/>
          <cell r="X10403"/>
          <cell r="Y10403"/>
        </row>
        <row r="10404">
          <cell r="V10404"/>
          <cell r="W10404"/>
          <cell r="X10404"/>
          <cell r="Y10404"/>
        </row>
        <row r="10405">
          <cell r="V10405"/>
          <cell r="W10405"/>
          <cell r="X10405"/>
          <cell r="Y10405"/>
        </row>
        <row r="10406">
          <cell r="V10406"/>
          <cell r="W10406"/>
          <cell r="X10406"/>
          <cell r="Y10406"/>
        </row>
        <row r="10407">
          <cell r="V10407"/>
          <cell r="W10407"/>
          <cell r="X10407"/>
          <cell r="Y10407"/>
        </row>
        <row r="10408">
          <cell r="V10408"/>
          <cell r="W10408"/>
          <cell r="X10408"/>
          <cell r="Y10408"/>
        </row>
        <row r="10409">
          <cell r="V10409"/>
          <cell r="W10409"/>
          <cell r="X10409"/>
          <cell r="Y10409"/>
        </row>
        <row r="10410">
          <cell r="V10410"/>
          <cell r="W10410"/>
          <cell r="X10410"/>
          <cell r="Y10410"/>
        </row>
        <row r="10411">
          <cell r="V10411"/>
          <cell r="W10411"/>
          <cell r="X10411"/>
          <cell r="Y10411"/>
        </row>
        <row r="10412">
          <cell r="V10412"/>
          <cell r="W10412"/>
          <cell r="X10412"/>
          <cell r="Y10412"/>
        </row>
        <row r="10413">
          <cell r="V10413"/>
          <cell r="W10413"/>
          <cell r="X10413"/>
          <cell r="Y10413"/>
        </row>
        <row r="10414">
          <cell r="V10414"/>
          <cell r="W10414"/>
          <cell r="X10414"/>
          <cell r="Y10414"/>
        </row>
        <row r="10415">
          <cell r="V10415"/>
          <cell r="W10415"/>
          <cell r="X10415"/>
          <cell r="Y10415"/>
        </row>
        <row r="10416">
          <cell r="V10416"/>
          <cell r="W10416"/>
          <cell r="X10416"/>
          <cell r="Y10416"/>
        </row>
        <row r="10417">
          <cell r="V10417"/>
          <cell r="W10417"/>
          <cell r="X10417"/>
          <cell r="Y10417"/>
        </row>
        <row r="10418">
          <cell r="V10418"/>
          <cell r="W10418"/>
          <cell r="X10418"/>
          <cell r="Y10418"/>
        </row>
        <row r="10419">
          <cell r="V10419"/>
          <cell r="W10419"/>
          <cell r="X10419"/>
          <cell r="Y10419"/>
        </row>
        <row r="10420">
          <cell r="V10420"/>
          <cell r="W10420"/>
          <cell r="X10420"/>
          <cell r="Y10420"/>
        </row>
        <row r="10421">
          <cell r="V10421"/>
          <cell r="W10421"/>
          <cell r="X10421"/>
          <cell r="Y10421"/>
        </row>
        <row r="10422">
          <cell r="V10422"/>
          <cell r="W10422"/>
          <cell r="X10422"/>
          <cell r="Y10422"/>
        </row>
        <row r="10423">
          <cell r="V10423"/>
          <cell r="W10423"/>
          <cell r="X10423"/>
          <cell r="Y10423"/>
        </row>
        <row r="10424">
          <cell r="V10424"/>
          <cell r="W10424"/>
          <cell r="X10424"/>
          <cell r="Y10424"/>
        </row>
        <row r="10425">
          <cell r="V10425"/>
          <cell r="W10425"/>
          <cell r="X10425"/>
          <cell r="Y10425"/>
        </row>
        <row r="10426">
          <cell r="V10426"/>
          <cell r="W10426"/>
          <cell r="X10426"/>
          <cell r="Y10426"/>
        </row>
        <row r="10427">
          <cell r="V10427"/>
          <cell r="W10427"/>
          <cell r="X10427"/>
          <cell r="Y10427"/>
        </row>
        <row r="10428">
          <cell r="V10428"/>
          <cell r="W10428"/>
          <cell r="X10428"/>
          <cell r="Y10428"/>
        </row>
        <row r="10429">
          <cell r="V10429"/>
          <cell r="W10429"/>
          <cell r="X10429"/>
          <cell r="Y10429"/>
        </row>
        <row r="10430">
          <cell r="V10430"/>
          <cell r="W10430"/>
          <cell r="X10430"/>
          <cell r="Y10430"/>
        </row>
        <row r="10431">
          <cell r="V10431"/>
          <cell r="W10431"/>
          <cell r="X10431"/>
          <cell r="Y10431"/>
        </row>
        <row r="10432">
          <cell r="V10432"/>
          <cell r="W10432"/>
          <cell r="X10432"/>
          <cell r="Y10432"/>
        </row>
        <row r="10433">
          <cell r="V10433"/>
          <cell r="W10433"/>
          <cell r="X10433"/>
          <cell r="Y10433"/>
        </row>
        <row r="10434">
          <cell r="V10434"/>
          <cell r="W10434"/>
          <cell r="X10434"/>
          <cell r="Y10434"/>
        </row>
        <row r="10435">
          <cell r="V10435"/>
          <cell r="W10435"/>
          <cell r="X10435"/>
          <cell r="Y10435"/>
        </row>
        <row r="10436">
          <cell r="V10436"/>
          <cell r="W10436"/>
          <cell r="X10436"/>
          <cell r="Y10436"/>
        </row>
        <row r="10437">
          <cell r="V10437"/>
          <cell r="W10437"/>
          <cell r="X10437"/>
          <cell r="Y10437"/>
        </row>
        <row r="10438">
          <cell r="V10438"/>
          <cell r="W10438"/>
          <cell r="X10438"/>
          <cell r="Y10438"/>
        </row>
        <row r="10439">
          <cell r="V10439"/>
          <cell r="W10439"/>
          <cell r="X10439"/>
          <cell r="Y10439"/>
        </row>
        <row r="10440">
          <cell r="V10440"/>
          <cell r="W10440"/>
          <cell r="X10440"/>
          <cell r="Y10440"/>
        </row>
        <row r="10441">
          <cell r="V10441"/>
          <cell r="W10441"/>
          <cell r="X10441"/>
          <cell r="Y10441"/>
        </row>
        <row r="10442">
          <cell r="V10442"/>
          <cell r="W10442"/>
          <cell r="X10442"/>
          <cell r="Y10442"/>
        </row>
        <row r="10443">
          <cell r="V10443"/>
          <cell r="W10443"/>
          <cell r="X10443"/>
          <cell r="Y10443"/>
        </row>
        <row r="10444">
          <cell r="V10444"/>
          <cell r="W10444"/>
          <cell r="X10444"/>
          <cell r="Y10444"/>
        </row>
        <row r="10445">
          <cell r="V10445"/>
          <cell r="W10445"/>
          <cell r="X10445"/>
          <cell r="Y10445"/>
        </row>
        <row r="10446">
          <cell r="V10446"/>
          <cell r="W10446"/>
          <cell r="X10446"/>
          <cell r="Y10446"/>
        </row>
        <row r="10447">
          <cell r="V10447"/>
          <cell r="W10447"/>
          <cell r="X10447"/>
          <cell r="Y10447"/>
        </row>
        <row r="10448">
          <cell r="V10448"/>
          <cell r="W10448"/>
          <cell r="X10448"/>
          <cell r="Y10448"/>
        </row>
        <row r="10449">
          <cell r="V10449"/>
          <cell r="W10449"/>
          <cell r="X10449"/>
          <cell r="Y10449"/>
        </row>
        <row r="10450">
          <cell r="V10450"/>
          <cell r="W10450"/>
          <cell r="X10450"/>
          <cell r="Y10450"/>
        </row>
        <row r="10451">
          <cell r="V10451"/>
          <cell r="W10451"/>
          <cell r="X10451"/>
          <cell r="Y10451"/>
        </row>
        <row r="10452">
          <cell r="V10452"/>
          <cell r="W10452"/>
          <cell r="X10452"/>
          <cell r="Y10452"/>
        </row>
        <row r="10453">
          <cell r="V10453"/>
          <cell r="W10453"/>
          <cell r="X10453"/>
          <cell r="Y10453"/>
        </row>
        <row r="10454">
          <cell r="V10454"/>
          <cell r="W10454"/>
          <cell r="X10454"/>
          <cell r="Y10454"/>
        </row>
        <row r="10455">
          <cell r="V10455"/>
          <cell r="W10455"/>
          <cell r="X10455"/>
          <cell r="Y10455"/>
        </row>
        <row r="10456">
          <cell r="V10456"/>
          <cell r="W10456"/>
          <cell r="X10456"/>
          <cell r="Y10456"/>
        </row>
        <row r="10457">
          <cell r="V10457"/>
          <cell r="W10457"/>
          <cell r="X10457"/>
          <cell r="Y10457"/>
        </row>
        <row r="10458">
          <cell r="V10458"/>
          <cell r="W10458"/>
          <cell r="X10458"/>
          <cell r="Y10458"/>
        </row>
        <row r="10459">
          <cell r="V10459"/>
          <cell r="W10459"/>
          <cell r="X10459"/>
          <cell r="Y10459"/>
        </row>
        <row r="10460">
          <cell r="V10460"/>
          <cell r="W10460"/>
          <cell r="X10460"/>
          <cell r="Y10460"/>
        </row>
        <row r="10461">
          <cell r="V10461"/>
          <cell r="W10461"/>
          <cell r="X10461"/>
          <cell r="Y10461"/>
        </row>
        <row r="10462">
          <cell r="V10462"/>
          <cell r="W10462"/>
          <cell r="X10462"/>
          <cell r="Y10462"/>
        </row>
        <row r="10463">
          <cell r="V10463"/>
          <cell r="W10463"/>
          <cell r="X10463"/>
          <cell r="Y10463"/>
        </row>
        <row r="10464">
          <cell r="V10464"/>
          <cell r="W10464"/>
          <cell r="X10464"/>
          <cell r="Y10464"/>
        </row>
        <row r="10465">
          <cell r="V10465"/>
          <cell r="W10465"/>
          <cell r="X10465"/>
          <cell r="Y10465"/>
        </row>
        <row r="10466">
          <cell r="V10466"/>
          <cell r="W10466"/>
          <cell r="X10466"/>
          <cell r="Y10466"/>
        </row>
        <row r="10467">
          <cell r="V10467"/>
          <cell r="W10467"/>
          <cell r="X10467"/>
          <cell r="Y10467"/>
        </row>
        <row r="10468">
          <cell r="V10468"/>
          <cell r="W10468"/>
          <cell r="X10468"/>
          <cell r="Y10468"/>
        </row>
        <row r="10469">
          <cell r="V10469"/>
          <cell r="W10469"/>
          <cell r="X10469"/>
          <cell r="Y10469"/>
        </row>
        <row r="10470">
          <cell r="V10470"/>
          <cell r="W10470"/>
          <cell r="X10470"/>
          <cell r="Y10470"/>
        </row>
        <row r="10471">
          <cell r="V10471"/>
          <cell r="W10471"/>
          <cell r="X10471"/>
          <cell r="Y10471"/>
        </row>
        <row r="10472">
          <cell r="V10472"/>
          <cell r="W10472"/>
          <cell r="X10472"/>
          <cell r="Y10472"/>
        </row>
        <row r="10473">
          <cell r="V10473"/>
          <cell r="W10473"/>
          <cell r="X10473"/>
          <cell r="Y10473"/>
        </row>
        <row r="10474">
          <cell r="V10474"/>
          <cell r="W10474"/>
          <cell r="X10474"/>
          <cell r="Y10474"/>
        </row>
        <row r="10475">
          <cell r="V10475"/>
          <cell r="W10475"/>
          <cell r="X10475"/>
          <cell r="Y10475"/>
        </row>
        <row r="10476">
          <cell r="V10476"/>
          <cell r="W10476"/>
          <cell r="X10476"/>
          <cell r="Y10476"/>
        </row>
        <row r="10477">
          <cell r="V10477"/>
          <cell r="W10477"/>
          <cell r="X10477"/>
          <cell r="Y10477"/>
        </row>
        <row r="10478">
          <cell r="V10478"/>
          <cell r="W10478"/>
          <cell r="X10478"/>
          <cell r="Y10478"/>
        </row>
        <row r="10479">
          <cell r="V10479"/>
          <cell r="W10479"/>
          <cell r="X10479"/>
          <cell r="Y10479"/>
        </row>
        <row r="10480">
          <cell r="V10480"/>
          <cell r="W10480"/>
          <cell r="X10480"/>
          <cell r="Y10480"/>
        </row>
        <row r="10481">
          <cell r="V10481"/>
          <cell r="W10481"/>
          <cell r="X10481"/>
          <cell r="Y10481"/>
        </row>
        <row r="10482">
          <cell r="V10482"/>
          <cell r="W10482"/>
          <cell r="X10482"/>
          <cell r="Y10482"/>
        </row>
        <row r="10483">
          <cell r="V10483"/>
          <cell r="W10483"/>
          <cell r="X10483"/>
          <cell r="Y10483"/>
        </row>
        <row r="10484">
          <cell r="V10484"/>
          <cell r="W10484"/>
          <cell r="X10484"/>
          <cell r="Y10484"/>
        </row>
        <row r="10485">
          <cell r="V10485"/>
          <cell r="W10485"/>
          <cell r="X10485"/>
          <cell r="Y10485"/>
        </row>
        <row r="10486">
          <cell r="V10486"/>
          <cell r="W10486"/>
          <cell r="X10486"/>
          <cell r="Y10486"/>
        </row>
        <row r="10487">
          <cell r="V10487"/>
          <cell r="W10487"/>
          <cell r="X10487"/>
          <cell r="Y10487"/>
        </row>
        <row r="10488">
          <cell r="V10488"/>
          <cell r="W10488"/>
          <cell r="X10488"/>
          <cell r="Y10488"/>
        </row>
        <row r="10489">
          <cell r="V10489"/>
          <cell r="W10489"/>
          <cell r="X10489"/>
          <cell r="Y10489"/>
        </row>
        <row r="10490">
          <cell r="V10490"/>
          <cell r="W10490"/>
          <cell r="X10490"/>
          <cell r="Y10490"/>
        </row>
        <row r="10491">
          <cell r="V10491"/>
          <cell r="W10491"/>
          <cell r="X10491"/>
          <cell r="Y10491"/>
        </row>
        <row r="10492">
          <cell r="V10492"/>
          <cell r="W10492"/>
          <cell r="X10492"/>
          <cell r="Y10492"/>
        </row>
        <row r="10493">
          <cell r="V10493"/>
          <cell r="W10493"/>
          <cell r="X10493"/>
          <cell r="Y10493"/>
        </row>
        <row r="10494">
          <cell r="V10494"/>
          <cell r="W10494"/>
          <cell r="X10494"/>
          <cell r="Y10494"/>
        </row>
        <row r="10495">
          <cell r="V10495"/>
          <cell r="W10495"/>
          <cell r="X10495"/>
          <cell r="Y10495"/>
        </row>
        <row r="10496">
          <cell r="V10496"/>
          <cell r="W10496"/>
          <cell r="X10496"/>
          <cell r="Y10496"/>
        </row>
        <row r="10497">
          <cell r="V10497"/>
          <cell r="W10497"/>
          <cell r="X10497"/>
          <cell r="Y10497"/>
        </row>
        <row r="10498">
          <cell r="V10498"/>
          <cell r="W10498"/>
          <cell r="X10498"/>
          <cell r="Y10498"/>
        </row>
        <row r="10499">
          <cell r="V10499"/>
          <cell r="W10499"/>
          <cell r="X10499"/>
          <cell r="Y10499"/>
        </row>
        <row r="10500">
          <cell r="V10500"/>
          <cell r="W10500"/>
          <cell r="X10500"/>
          <cell r="Y10500"/>
        </row>
        <row r="10501">
          <cell r="V10501"/>
          <cell r="W10501"/>
          <cell r="X10501"/>
          <cell r="Y10501"/>
        </row>
        <row r="10502">
          <cell r="V10502"/>
          <cell r="W10502"/>
          <cell r="X10502"/>
          <cell r="Y10502"/>
        </row>
        <row r="10503">
          <cell r="V10503"/>
          <cell r="W10503"/>
          <cell r="X10503"/>
          <cell r="Y10503"/>
        </row>
        <row r="10504">
          <cell r="V10504"/>
          <cell r="W10504"/>
          <cell r="X10504"/>
          <cell r="Y10504"/>
        </row>
        <row r="10505">
          <cell r="V10505"/>
          <cell r="W10505"/>
          <cell r="X10505"/>
          <cell r="Y10505"/>
        </row>
        <row r="10506">
          <cell r="V10506"/>
          <cell r="W10506"/>
          <cell r="X10506"/>
          <cell r="Y10506"/>
        </row>
        <row r="10507">
          <cell r="V10507"/>
          <cell r="W10507"/>
          <cell r="X10507"/>
          <cell r="Y10507"/>
        </row>
        <row r="10508">
          <cell r="V10508"/>
          <cell r="W10508"/>
          <cell r="X10508"/>
          <cell r="Y10508"/>
        </row>
        <row r="10509">
          <cell r="V10509"/>
          <cell r="W10509"/>
          <cell r="X10509"/>
          <cell r="Y10509"/>
        </row>
        <row r="10510">
          <cell r="V10510"/>
          <cell r="W10510"/>
          <cell r="X10510"/>
          <cell r="Y10510"/>
        </row>
        <row r="10511">
          <cell r="V10511"/>
          <cell r="W10511"/>
          <cell r="X10511"/>
          <cell r="Y10511"/>
        </row>
        <row r="10512">
          <cell r="V10512"/>
          <cell r="W10512"/>
          <cell r="X10512"/>
          <cell r="Y10512"/>
        </row>
        <row r="10513">
          <cell r="V10513"/>
          <cell r="W10513"/>
          <cell r="X10513"/>
          <cell r="Y10513"/>
        </row>
        <row r="10514">
          <cell r="V10514"/>
          <cell r="W10514"/>
          <cell r="X10514"/>
          <cell r="Y10514"/>
        </row>
        <row r="10515">
          <cell r="V10515"/>
          <cell r="W10515"/>
          <cell r="X10515"/>
          <cell r="Y10515"/>
        </row>
        <row r="10516">
          <cell r="V10516"/>
          <cell r="W10516"/>
          <cell r="X10516"/>
          <cell r="Y10516"/>
        </row>
        <row r="10517">
          <cell r="V10517"/>
          <cell r="W10517"/>
          <cell r="X10517"/>
          <cell r="Y10517"/>
        </row>
        <row r="10518">
          <cell r="V10518"/>
          <cell r="W10518"/>
          <cell r="X10518"/>
          <cell r="Y10518"/>
        </row>
        <row r="10519">
          <cell r="V10519"/>
          <cell r="W10519"/>
          <cell r="X10519"/>
          <cell r="Y10519"/>
        </row>
        <row r="10520">
          <cell r="V10520"/>
          <cell r="W10520"/>
          <cell r="X10520"/>
          <cell r="Y10520"/>
        </row>
        <row r="10521">
          <cell r="V10521"/>
          <cell r="W10521"/>
          <cell r="X10521"/>
          <cell r="Y10521"/>
        </row>
        <row r="10522">
          <cell r="V10522"/>
          <cell r="W10522"/>
          <cell r="X10522"/>
          <cell r="Y10522"/>
        </row>
        <row r="10523">
          <cell r="V10523"/>
          <cell r="W10523"/>
          <cell r="X10523"/>
          <cell r="Y10523"/>
        </row>
        <row r="10524">
          <cell r="V10524"/>
          <cell r="W10524"/>
          <cell r="X10524"/>
          <cell r="Y10524"/>
        </row>
        <row r="10525">
          <cell r="V10525"/>
          <cell r="W10525"/>
          <cell r="X10525"/>
          <cell r="Y10525"/>
        </row>
        <row r="10526">
          <cell r="V10526"/>
          <cell r="W10526"/>
          <cell r="X10526"/>
          <cell r="Y10526"/>
        </row>
        <row r="10527">
          <cell r="V10527"/>
          <cell r="W10527"/>
          <cell r="X10527"/>
          <cell r="Y10527"/>
        </row>
        <row r="10528">
          <cell r="V10528"/>
          <cell r="W10528"/>
          <cell r="X10528"/>
          <cell r="Y10528"/>
        </row>
        <row r="10529">
          <cell r="V10529"/>
          <cell r="W10529"/>
          <cell r="X10529"/>
          <cell r="Y10529"/>
        </row>
        <row r="10530">
          <cell r="V10530"/>
          <cell r="W10530"/>
          <cell r="X10530"/>
          <cell r="Y10530"/>
        </row>
        <row r="10531">
          <cell r="V10531"/>
          <cell r="W10531"/>
          <cell r="X10531"/>
          <cell r="Y10531"/>
        </row>
        <row r="10532">
          <cell r="V10532"/>
          <cell r="W10532"/>
          <cell r="X10532"/>
          <cell r="Y10532"/>
        </row>
        <row r="10533">
          <cell r="V10533"/>
          <cell r="W10533"/>
          <cell r="X10533"/>
          <cell r="Y10533"/>
        </row>
        <row r="10534">
          <cell r="V10534"/>
          <cell r="W10534"/>
          <cell r="X10534"/>
          <cell r="Y10534"/>
        </row>
        <row r="10535">
          <cell r="V10535"/>
          <cell r="W10535"/>
          <cell r="X10535"/>
          <cell r="Y10535"/>
        </row>
        <row r="10536">
          <cell r="V10536"/>
          <cell r="W10536"/>
          <cell r="X10536"/>
          <cell r="Y10536"/>
        </row>
        <row r="10537">
          <cell r="V10537"/>
          <cell r="W10537"/>
          <cell r="X10537"/>
          <cell r="Y10537"/>
        </row>
        <row r="10538">
          <cell r="V10538"/>
          <cell r="W10538"/>
          <cell r="X10538"/>
          <cell r="Y10538"/>
        </row>
        <row r="10539">
          <cell r="V10539"/>
          <cell r="W10539"/>
          <cell r="X10539"/>
          <cell r="Y10539"/>
        </row>
        <row r="10540">
          <cell r="V10540"/>
          <cell r="W10540"/>
          <cell r="X10540"/>
          <cell r="Y10540"/>
        </row>
        <row r="10541">
          <cell r="V10541"/>
          <cell r="W10541"/>
          <cell r="X10541"/>
          <cell r="Y10541"/>
        </row>
        <row r="10542">
          <cell r="V10542"/>
          <cell r="W10542"/>
          <cell r="X10542"/>
          <cell r="Y10542"/>
        </row>
        <row r="10543">
          <cell r="V10543"/>
          <cell r="W10543"/>
          <cell r="X10543"/>
          <cell r="Y10543"/>
        </row>
        <row r="10544">
          <cell r="V10544"/>
          <cell r="W10544"/>
          <cell r="X10544"/>
          <cell r="Y10544"/>
        </row>
        <row r="10545">
          <cell r="V10545"/>
          <cell r="W10545"/>
          <cell r="X10545"/>
          <cell r="Y10545"/>
        </row>
        <row r="10546">
          <cell r="V10546"/>
          <cell r="W10546"/>
          <cell r="X10546"/>
          <cell r="Y10546"/>
        </row>
        <row r="10547">
          <cell r="V10547"/>
          <cell r="W10547"/>
          <cell r="X10547"/>
          <cell r="Y10547"/>
        </row>
        <row r="10548">
          <cell r="V10548"/>
          <cell r="W10548"/>
          <cell r="X10548"/>
          <cell r="Y10548"/>
        </row>
        <row r="10549">
          <cell r="V10549"/>
          <cell r="W10549"/>
          <cell r="X10549"/>
          <cell r="Y10549"/>
        </row>
        <row r="10550">
          <cell r="V10550"/>
          <cell r="W10550"/>
          <cell r="X10550"/>
          <cell r="Y10550"/>
        </row>
        <row r="10551">
          <cell r="V10551"/>
          <cell r="W10551"/>
          <cell r="X10551"/>
          <cell r="Y10551"/>
        </row>
        <row r="10552">
          <cell r="V10552"/>
          <cell r="W10552"/>
          <cell r="X10552"/>
          <cell r="Y10552"/>
        </row>
        <row r="10553">
          <cell r="V10553"/>
          <cell r="W10553"/>
          <cell r="X10553"/>
          <cell r="Y10553"/>
        </row>
        <row r="10554">
          <cell r="V10554"/>
          <cell r="W10554"/>
          <cell r="X10554"/>
          <cell r="Y10554"/>
        </row>
        <row r="10555">
          <cell r="V10555"/>
          <cell r="W10555"/>
          <cell r="X10555"/>
          <cell r="Y10555"/>
        </row>
        <row r="10556">
          <cell r="V10556"/>
          <cell r="W10556"/>
          <cell r="X10556"/>
          <cell r="Y10556"/>
        </row>
        <row r="10557">
          <cell r="V10557"/>
          <cell r="W10557"/>
          <cell r="X10557"/>
          <cell r="Y10557"/>
        </row>
        <row r="10558">
          <cell r="V10558"/>
          <cell r="W10558"/>
          <cell r="X10558"/>
          <cell r="Y10558"/>
        </row>
        <row r="10559">
          <cell r="V10559"/>
          <cell r="W10559"/>
          <cell r="X10559"/>
          <cell r="Y10559"/>
        </row>
        <row r="10560">
          <cell r="V10560"/>
          <cell r="W10560"/>
          <cell r="X10560"/>
          <cell r="Y10560"/>
        </row>
        <row r="10561">
          <cell r="V10561"/>
          <cell r="W10561"/>
          <cell r="X10561"/>
          <cell r="Y10561"/>
        </row>
        <row r="10562">
          <cell r="V10562"/>
          <cell r="W10562"/>
          <cell r="X10562"/>
          <cell r="Y10562"/>
        </row>
        <row r="10563">
          <cell r="V10563"/>
          <cell r="W10563"/>
          <cell r="X10563"/>
          <cell r="Y10563"/>
        </row>
        <row r="10564">
          <cell r="V10564"/>
          <cell r="W10564"/>
          <cell r="X10564"/>
          <cell r="Y10564"/>
        </row>
        <row r="10565">
          <cell r="V10565"/>
          <cell r="W10565"/>
          <cell r="X10565"/>
          <cell r="Y10565"/>
        </row>
        <row r="10566">
          <cell r="V10566"/>
          <cell r="W10566"/>
          <cell r="X10566"/>
          <cell r="Y10566"/>
        </row>
        <row r="10567">
          <cell r="V10567"/>
          <cell r="W10567"/>
          <cell r="X10567"/>
          <cell r="Y10567"/>
        </row>
        <row r="10568">
          <cell r="V10568"/>
          <cell r="W10568"/>
          <cell r="X10568"/>
          <cell r="Y10568"/>
        </row>
        <row r="10569">
          <cell r="V10569"/>
          <cell r="W10569"/>
          <cell r="X10569"/>
          <cell r="Y10569"/>
        </row>
        <row r="10570">
          <cell r="V10570"/>
          <cell r="W10570"/>
          <cell r="X10570"/>
          <cell r="Y10570"/>
        </row>
        <row r="10571">
          <cell r="V10571"/>
          <cell r="W10571"/>
          <cell r="X10571"/>
          <cell r="Y10571"/>
        </row>
        <row r="10572">
          <cell r="V10572"/>
          <cell r="W10572"/>
          <cell r="X10572"/>
          <cell r="Y10572"/>
        </row>
        <row r="10573">
          <cell r="V10573"/>
          <cell r="W10573"/>
          <cell r="X10573"/>
          <cell r="Y10573"/>
        </row>
        <row r="10574">
          <cell r="V10574"/>
          <cell r="W10574"/>
          <cell r="X10574"/>
          <cell r="Y10574"/>
        </row>
        <row r="10575">
          <cell r="V10575"/>
          <cell r="W10575"/>
          <cell r="X10575"/>
          <cell r="Y10575"/>
        </row>
        <row r="10576">
          <cell r="V10576"/>
          <cell r="W10576"/>
          <cell r="X10576"/>
          <cell r="Y10576"/>
        </row>
        <row r="10577">
          <cell r="V10577"/>
          <cell r="W10577"/>
          <cell r="X10577"/>
          <cell r="Y10577"/>
        </row>
        <row r="10578">
          <cell r="V10578"/>
          <cell r="W10578"/>
          <cell r="X10578"/>
          <cell r="Y10578"/>
        </row>
        <row r="10579">
          <cell r="V10579"/>
          <cell r="W10579"/>
          <cell r="X10579"/>
          <cell r="Y10579"/>
        </row>
        <row r="10580">
          <cell r="V10580"/>
          <cell r="W10580"/>
          <cell r="X10580"/>
          <cell r="Y10580"/>
        </row>
        <row r="10581">
          <cell r="V10581"/>
          <cell r="W10581"/>
          <cell r="X10581"/>
          <cell r="Y10581"/>
        </row>
        <row r="10582">
          <cell r="V10582"/>
          <cell r="W10582"/>
          <cell r="X10582"/>
          <cell r="Y10582"/>
        </row>
        <row r="10583">
          <cell r="V10583"/>
          <cell r="W10583"/>
          <cell r="X10583"/>
          <cell r="Y10583"/>
        </row>
        <row r="10584">
          <cell r="V10584"/>
          <cell r="W10584"/>
          <cell r="X10584"/>
          <cell r="Y10584"/>
        </row>
        <row r="10585">
          <cell r="V10585"/>
          <cell r="W10585"/>
          <cell r="X10585"/>
          <cell r="Y10585"/>
        </row>
        <row r="10586">
          <cell r="V10586"/>
          <cell r="W10586"/>
          <cell r="X10586"/>
          <cell r="Y10586"/>
        </row>
        <row r="10587">
          <cell r="V10587"/>
          <cell r="W10587"/>
          <cell r="X10587"/>
          <cell r="Y10587"/>
        </row>
        <row r="10588">
          <cell r="V10588"/>
          <cell r="W10588"/>
          <cell r="X10588"/>
          <cell r="Y10588"/>
        </row>
        <row r="10589">
          <cell r="V10589"/>
          <cell r="W10589"/>
          <cell r="X10589"/>
          <cell r="Y10589"/>
        </row>
        <row r="10590">
          <cell r="V10590"/>
          <cell r="W10590"/>
          <cell r="X10590"/>
          <cell r="Y10590"/>
        </row>
        <row r="10591">
          <cell r="V10591"/>
          <cell r="W10591"/>
          <cell r="X10591"/>
          <cell r="Y10591"/>
        </row>
        <row r="10592">
          <cell r="V10592"/>
          <cell r="W10592"/>
          <cell r="X10592"/>
          <cell r="Y10592"/>
        </row>
        <row r="10593">
          <cell r="V10593"/>
          <cell r="W10593"/>
          <cell r="X10593"/>
          <cell r="Y10593"/>
        </row>
        <row r="10594">
          <cell r="V10594"/>
          <cell r="W10594"/>
          <cell r="X10594"/>
          <cell r="Y10594"/>
        </row>
        <row r="10595">
          <cell r="V10595"/>
          <cell r="W10595"/>
          <cell r="X10595"/>
          <cell r="Y10595"/>
        </row>
        <row r="10596">
          <cell r="V10596"/>
          <cell r="W10596"/>
          <cell r="X10596"/>
          <cell r="Y10596"/>
        </row>
        <row r="10597">
          <cell r="V10597"/>
          <cell r="W10597"/>
          <cell r="X10597"/>
          <cell r="Y10597"/>
        </row>
        <row r="10598">
          <cell r="V10598"/>
          <cell r="W10598"/>
          <cell r="X10598"/>
          <cell r="Y10598"/>
        </row>
        <row r="10599">
          <cell r="V10599"/>
          <cell r="W10599"/>
          <cell r="X10599"/>
          <cell r="Y10599"/>
        </row>
        <row r="10600">
          <cell r="V10600"/>
          <cell r="W10600"/>
          <cell r="X10600"/>
          <cell r="Y10600"/>
        </row>
        <row r="10601">
          <cell r="V10601"/>
          <cell r="W10601"/>
          <cell r="X10601"/>
          <cell r="Y10601"/>
        </row>
        <row r="10602">
          <cell r="V10602"/>
          <cell r="W10602"/>
          <cell r="X10602"/>
          <cell r="Y10602"/>
        </row>
        <row r="10603">
          <cell r="V10603"/>
          <cell r="W10603"/>
          <cell r="X10603"/>
          <cell r="Y10603"/>
        </row>
        <row r="10604">
          <cell r="V10604"/>
          <cell r="W10604"/>
          <cell r="X10604"/>
          <cell r="Y10604"/>
        </row>
        <row r="10605">
          <cell r="V10605"/>
          <cell r="W10605"/>
          <cell r="X10605"/>
          <cell r="Y10605"/>
        </row>
        <row r="10606">
          <cell r="V10606"/>
          <cell r="W10606"/>
          <cell r="X10606"/>
          <cell r="Y10606"/>
        </row>
        <row r="10607">
          <cell r="V10607"/>
          <cell r="W10607"/>
          <cell r="X10607"/>
          <cell r="Y10607"/>
        </row>
        <row r="10608">
          <cell r="V10608"/>
          <cell r="W10608"/>
          <cell r="X10608"/>
          <cell r="Y10608"/>
        </row>
        <row r="10609">
          <cell r="V10609"/>
          <cell r="W10609"/>
          <cell r="X10609"/>
          <cell r="Y10609"/>
        </row>
        <row r="10610">
          <cell r="V10610"/>
          <cell r="W10610"/>
          <cell r="X10610"/>
          <cell r="Y10610"/>
        </row>
        <row r="10611">
          <cell r="V10611"/>
          <cell r="W10611"/>
          <cell r="X10611"/>
          <cell r="Y10611"/>
        </row>
        <row r="10612">
          <cell r="V10612"/>
          <cell r="W10612"/>
          <cell r="X10612"/>
          <cell r="Y10612"/>
        </row>
        <row r="10613">
          <cell r="V10613"/>
          <cell r="W10613"/>
          <cell r="X10613"/>
          <cell r="Y10613"/>
        </row>
        <row r="10614">
          <cell r="V10614"/>
          <cell r="W10614"/>
          <cell r="X10614"/>
          <cell r="Y10614"/>
        </row>
        <row r="10615">
          <cell r="V10615"/>
          <cell r="W10615"/>
          <cell r="X10615"/>
          <cell r="Y10615"/>
        </row>
        <row r="10616">
          <cell r="V10616"/>
          <cell r="W10616"/>
          <cell r="X10616"/>
          <cell r="Y10616"/>
        </row>
        <row r="10617">
          <cell r="V10617"/>
          <cell r="W10617"/>
          <cell r="X10617"/>
          <cell r="Y10617"/>
        </row>
        <row r="10618">
          <cell r="V10618"/>
          <cell r="W10618"/>
          <cell r="X10618"/>
          <cell r="Y10618"/>
        </row>
        <row r="10619">
          <cell r="V10619"/>
          <cell r="W10619"/>
          <cell r="X10619"/>
          <cell r="Y10619"/>
        </row>
        <row r="10620">
          <cell r="V10620"/>
          <cell r="W10620"/>
          <cell r="X10620"/>
          <cell r="Y10620"/>
        </row>
        <row r="10621">
          <cell r="V10621"/>
          <cell r="W10621"/>
          <cell r="X10621"/>
          <cell r="Y10621"/>
        </row>
        <row r="10622">
          <cell r="V10622"/>
          <cell r="W10622"/>
          <cell r="X10622"/>
          <cell r="Y10622"/>
        </row>
        <row r="10623">
          <cell r="V10623"/>
          <cell r="W10623"/>
          <cell r="X10623"/>
          <cell r="Y10623"/>
        </row>
        <row r="10624">
          <cell r="V10624"/>
          <cell r="W10624"/>
          <cell r="X10624"/>
          <cell r="Y10624"/>
        </row>
        <row r="10625">
          <cell r="V10625"/>
          <cell r="W10625"/>
          <cell r="X10625"/>
          <cell r="Y10625"/>
        </row>
        <row r="10626">
          <cell r="V10626"/>
          <cell r="W10626"/>
          <cell r="X10626"/>
          <cell r="Y10626"/>
        </row>
        <row r="10627">
          <cell r="V10627"/>
          <cell r="W10627"/>
          <cell r="X10627"/>
          <cell r="Y10627"/>
        </row>
        <row r="10628">
          <cell r="V10628"/>
          <cell r="W10628"/>
          <cell r="X10628"/>
          <cell r="Y10628"/>
        </row>
        <row r="10629">
          <cell r="V10629"/>
          <cell r="W10629"/>
          <cell r="X10629"/>
          <cell r="Y10629"/>
        </row>
        <row r="10630">
          <cell r="V10630"/>
          <cell r="W10630"/>
          <cell r="X10630"/>
          <cell r="Y10630"/>
        </row>
        <row r="10631">
          <cell r="V10631"/>
          <cell r="W10631"/>
          <cell r="X10631"/>
          <cell r="Y10631"/>
        </row>
        <row r="10632">
          <cell r="V10632"/>
          <cell r="W10632"/>
          <cell r="X10632"/>
          <cell r="Y10632"/>
        </row>
        <row r="10633">
          <cell r="V10633"/>
          <cell r="W10633"/>
          <cell r="X10633"/>
          <cell r="Y10633"/>
        </row>
        <row r="10634">
          <cell r="V10634"/>
          <cell r="W10634"/>
          <cell r="X10634"/>
          <cell r="Y10634"/>
        </row>
        <row r="10635">
          <cell r="V10635"/>
          <cell r="W10635"/>
          <cell r="X10635"/>
          <cell r="Y10635"/>
        </row>
        <row r="10636">
          <cell r="V10636"/>
          <cell r="W10636"/>
          <cell r="X10636"/>
          <cell r="Y10636"/>
        </row>
        <row r="10637">
          <cell r="V10637"/>
          <cell r="W10637"/>
          <cell r="X10637"/>
          <cell r="Y10637"/>
        </row>
        <row r="10638">
          <cell r="V10638"/>
          <cell r="W10638"/>
          <cell r="X10638"/>
          <cell r="Y10638"/>
        </row>
        <row r="10639">
          <cell r="V10639"/>
          <cell r="W10639"/>
          <cell r="X10639"/>
          <cell r="Y10639"/>
        </row>
        <row r="10640">
          <cell r="V10640"/>
          <cell r="W10640"/>
          <cell r="X10640"/>
          <cell r="Y10640"/>
        </row>
        <row r="10641">
          <cell r="V10641"/>
          <cell r="W10641"/>
          <cell r="X10641"/>
          <cell r="Y10641"/>
        </row>
        <row r="10642">
          <cell r="V10642"/>
          <cell r="W10642"/>
          <cell r="X10642"/>
          <cell r="Y10642"/>
        </row>
        <row r="10643">
          <cell r="V10643"/>
          <cell r="W10643"/>
          <cell r="X10643"/>
          <cell r="Y10643"/>
        </row>
        <row r="10644">
          <cell r="V10644"/>
          <cell r="W10644"/>
          <cell r="X10644"/>
          <cell r="Y10644"/>
        </row>
        <row r="10645">
          <cell r="V10645"/>
          <cell r="W10645"/>
          <cell r="X10645"/>
          <cell r="Y10645"/>
        </row>
        <row r="10646">
          <cell r="V10646"/>
          <cell r="W10646"/>
          <cell r="X10646"/>
          <cell r="Y10646"/>
        </row>
        <row r="10647">
          <cell r="V10647"/>
          <cell r="W10647"/>
          <cell r="X10647"/>
          <cell r="Y10647"/>
        </row>
        <row r="10648">
          <cell r="V10648"/>
          <cell r="W10648"/>
          <cell r="X10648"/>
          <cell r="Y10648"/>
        </row>
        <row r="10649">
          <cell r="V10649"/>
          <cell r="W10649"/>
          <cell r="X10649"/>
          <cell r="Y10649"/>
        </row>
        <row r="10650">
          <cell r="V10650"/>
          <cell r="W10650"/>
          <cell r="X10650"/>
          <cell r="Y10650"/>
        </row>
        <row r="10651">
          <cell r="V10651"/>
          <cell r="W10651"/>
          <cell r="X10651"/>
          <cell r="Y10651"/>
        </row>
        <row r="10652">
          <cell r="V10652"/>
          <cell r="W10652"/>
          <cell r="X10652"/>
          <cell r="Y10652"/>
        </row>
        <row r="10653">
          <cell r="V10653"/>
          <cell r="W10653"/>
          <cell r="X10653"/>
          <cell r="Y10653"/>
        </row>
        <row r="10654">
          <cell r="V10654"/>
          <cell r="W10654"/>
          <cell r="X10654"/>
          <cell r="Y10654"/>
        </row>
        <row r="10655">
          <cell r="V10655"/>
          <cell r="W10655"/>
          <cell r="X10655"/>
          <cell r="Y10655"/>
        </row>
        <row r="10656">
          <cell r="V10656"/>
          <cell r="W10656"/>
          <cell r="X10656"/>
          <cell r="Y10656"/>
        </row>
        <row r="10657">
          <cell r="V10657"/>
          <cell r="W10657"/>
          <cell r="X10657"/>
          <cell r="Y10657"/>
        </row>
        <row r="10658">
          <cell r="V10658"/>
          <cell r="W10658"/>
          <cell r="X10658"/>
          <cell r="Y10658"/>
        </row>
        <row r="10659">
          <cell r="V10659"/>
          <cell r="W10659"/>
          <cell r="X10659"/>
          <cell r="Y10659"/>
        </row>
        <row r="10660">
          <cell r="V10660"/>
          <cell r="W10660"/>
          <cell r="X10660"/>
          <cell r="Y10660"/>
        </row>
        <row r="10661">
          <cell r="V10661"/>
          <cell r="W10661"/>
          <cell r="X10661"/>
          <cell r="Y10661"/>
        </row>
        <row r="10662">
          <cell r="V10662"/>
          <cell r="W10662"/>
          <cell r="X10662"/>
          <cell r="Y10662"/>
        </row>
        <row r="10663">
          <cell r="V10663"/>
          <cell r="W10663"/>
          <cell r="X10663"/>
          <cell r="Y10663"/>
        </row>
        <row r="10664">
          <cell r="V10664"/>
          <cell r="W10664"/>
          <cell r="X10664"/>
          <cell r="Y10664"/>
        </row>
        <row r="10665">
          <cell r="V10665"/>
          <cell r="W10665"/>
          <cell r="X10665"/>
          <cell r="Y10665"/>
        </row>
        <row r="10666">
          <cell r="V10666"/>
          <cell r="W10666"/>
          <cell r="X10666"/>
          <cell r="Y10666"/>
        </row>
        <row r="10667">
          <cell r="V10667"/>
          <cell r="W10667"/>
          <cell r="X10667"/>
          <cell r="Y10667"/>
        </row>
        <row r="10668">
          <cell r="V10668"/>
          <cell r="W10668"/>
          <cell r="X10668"/>
          <cell r="Y10668"/>
        </row>
        <row r="10669">
          <cell r="V10669"/>
          <cell r="W10669"/>
          <cell r="X10669"/>
          <cell r="Y10669"/>
        </row>
        <row r="10670">
          <cell r="V10670"/>
          <cell r="W10670"/>
          <cell r="X10670"/>
          <cell r="Y10670"/>
        </row>
        <row r="10671">
          <cell r="V10671"/>
          <cell r="W10671"/>
          <cell r="X10671"/>
          <cell r="Y10671"/>
        </row>
        <row r="10672">
          <cell r="V10672"/>
          <cell r="W10672"/>
          <cell r="X10672"/>
          <cell r="Y10672"/>
        </row>
        <row r="10673">
          <cell r="V10673"/>
          <cell r="W10673"/>
          <cell r="X10673"/>
          <cell r="Y10673"/>
        </row>
        <row r="10674">
          <cell r="V10674"/>
          <cell r="W10674"/>
          <cell r="X10674"/>
          <cell r="Y10674"/>
        </row>
        <row r="10675">
          <cell r="V10675"/>
          <cell r="W10675"/>
          <cell r="X10675"/>
          <cell r="Y10675"/>
        </row>
        <row r="10676">
          <cell r="V10676"/>
          <cell r="W10676"/>
          <cell r="X10676"/>
          <cell r="Y10676"/>
        </row>
        <row r="10677">
          <cell r="V10677"/>
          <cell r="W10677"/>
          <cell r="X10677"/>
          <cell r="Y10677"/>
        </row>
        <row r="10678">
          <cell r="V10678"/>
          <cell r="W10678"/>
          <cell r="X10678"/>
          <cell r="Y10678"/>
        </row>
        <row r="10679">
          <cell r="V10679"/>
          <cell r="W10679"/>
          <cell r="X10679"/>
          <cell r="Y10679"/>
        </row>
        <row r="10680">
          <cell r="V10680"/>
          <cell r="W10680"/>
          <cell r="X10680"/>
          <cell r="Y10680"/>
        </row>
        <row r="10681">
          <cell r="V10681"/>
          <cell r="W10681"/>
          <cell r="X10681"/>
          <cell r="Y10681"/>
        </row>
        <row r="10682">
          <cell r="V10682"/>
          <cell r="W10682"/>
          <cell r="X10682"/>
          <cell r="Y10682"/>
        </row>
        <row r="10683">
          <cell r="V10683"/>
          <cell r="W10683"/>
          <cell r="X10683"/>
          <cell r="Y10683"/>
        </row>
        <row r="10684">
          <cell r="V10684"/>
          <cell r="W10684"/>
          <cell r="X10684"/>
          <cell r="Y10684"/>
        </row>
        <row r="10685">
          <cell r="V10685"/>
          <cell r="W10685"/>
          <cell r="X10685"/>
          <cell r="Y10685"/>
        </row>
        <row r="10686">
          <cell r="V10686"/>
          <cell r="W10686"/>
          <cell r="X10686"/>
          <cell r="Y10686"/>
        </row>
        <row r="10687">
          <cell r="V10687"/>
          <cell r="W10687"/>
          <cell r="X10687"/>
          <cell r="Y10687"/>
        </row>
        <row r="10688">
          <cell r="V10688"/>
          <cell r="W10688"/>
          <cell r="X10688"/>
          <cell r="Y10688"/>
        </row>
        <row r="10689">
          <cell r="V10689"/>
          <cell r="W10689"/>
          <cell r="X10689"/>
          <cell r="Y10689"/>
        </row>
        <row r="10690">
          <cell r="V10690"/>
          <cell r="W10690"/>
          <cell r="X10690"/>
          <cell r="Y10690"/>
        </row>
        <row r="10691">
          <cell r="V10691"/>
          <cell r="W10691"/>
          <cell r="X10691"/>
          <cell r="Y10691"/>
        </row>
        <row r="10692">
          <cell r="V10692"/>
          <cell r="W10692"/>
          <cell r="X10692"/>
          <cell r="Y10692"/>
        </row>
        <row r="10693">
          <cell r="V10693"/>
          <cell r="W10693"/>
          <cell r="X10693"/>
          <cell r="Y10693"/>
        </row>
        <row r="10694">
          <cell r="V10694"/>
          <cell r="W10694"/>
          <cell r="X10694"/>
          <cell r="Y10694"/>
        </row>
        <row r="10695">
          <cell r="V10695"/>
          <cell r="W10695"/>
          <cell r="X10695"/>
          <cell r="Y10695"/>
        </row>
        <row r="10696">
          <cell r="V10696"/>
          <cell r="W10696"/>
          <cell r="X10696"/>
          <cell r="Y10696"/>
        </row>
        <row r="10697">
          <cell r="V10697"/>
          <cell r="W10697"/>
          <cell r="X10697"/>
          <cell r="Y10697"/>
        </row>
        <row r="10698">
          <cell r="V10698"/>
          <cell r="W10698"/>
          <cell r="X10698"/>
          <cell r="Y10698"/>
        </row>
        <row r="10699">
          <cell r="V10699"/>
          <cell r="W10699"/>
          <cell r="X10699"/>
          <cell r="Y10699"/>
        </row>
        <row r="10700">
          <cell r="V10700"/>
          <cell r="W10700"/>
          <cell r="X10700"/>
          <cell r="Y10700"/>
        </row>
        <row r="10701">
          <cell r="V10701"/>
          <cell r="W10701"/>
          <cell r="X10701"/>
          <cell r="Y10701"/>
        </row>
        <row r="10702">
          <cell r="V10702"/>
          <cell r="W10702"/>
          <cell r="X10702"/>
          <cell r="Y10702"/>
        </row>
        <row r="10703">
          <cell r="V10703"/>
          <cell r="W10703"/>
          <cell r="X10703"/>
          <cell r="Y10703"/>
        </row>
        <row r="10704">
          <cell r="V10704"/>
          <cell r="W10704"/>
          <cell r="X10704"/>
          <cell r="Y10704"/>
        </row>
        <row r="10705">
          <cell r="V10705"/>
          <cell r="W10705"/>
          <cell r="X10705"/>
          <cell r="Y10705"/>
        </row>
        <row r="10706">
          <cell r="V10706"/>
          <cell r="W10706"/>
          <cell r="X10706"/>
          <cell r="Y10706"/>
        </row>
        <row r="10707">
          <cell r="V10707"/>
          <cell r="W10707"/>
          <cell r="X10707"/>
          <cell r="Y10707"/>
        </row>
        <row r="10708">
          <cell r="V10708"/>
          <cell r="W10708"/>
          <cell r="X10708"/>
          <cell r="Y10708"/>
        </row>
        <row r="10709">
          <cell r="V10709"/>
          <cell r="W10709"/>
          <cell r="X10709"/>
          <cell r="Y10709"/>
        </row>
        <row r="10710">
          <cell r="V10710"/>
          <cell r="W10710"/>
          <cell r="X10710"/>
          <cell r="Y10710"/>
        </row>
        <row r="10711">
          <cell r="V10711"/>
          <cell r="W10711"/>
          <cell r="X10711"/>
          <cell r="Y10711"/>
        </row>
        <row r="10712">
          <cell r="V10712"/>
          <cell r="W10712"/>
          <cell r="X10712"/>
          <cell r="Y10712"/>
        </row>
        <row r="10713">
          <cell r="V10713"/>
          <cell r="W10713"/>
          <cell r="X10713"/>
          <cell r="Y10713"/>
        </row>
        <row r="10714">
          <cell r="V10714"/>
          <cell r="W10714"/>
          <cell r="X10714"/>
          <cell r="Y10714"/>
        </row>
        <row r="10715">
          <cell r="V10715"/>
          <cell r="W10715"/>
          <cell r="X10715"/>
          <cell r="Y10715"/>
        </row>
        <row r="10716">
          <cell r="V10716"/>
          <cell r="W10716"/>
          <cell r="X10716"/>
          <cell r="Y10716"/>
        </row>
        <row r="10717">
          <cell r="V10717"/>
          <cell r="W10717"/>
          <cell r="X10717"/>
          <cell r="Y10717"/>
        </row>
        <row r="10718">
          <cell r="V10718"/>
          <cell r="W10718"/>
          <cell r="X10718"/>
          <cell r="Y10718"/>
        </row>
        <row r="10719">
          <cell r="V10719"/>
          <cell r="W10719"/>
          <cell r="X10719"/>
          <cell r="Y10719"/>
        </row>
        <row r="10720">
          <cell r="V10720"/>
          <cell r="W10720"/>
          <cell r="X10720"/>
          <cell r="Y10720"/>
        </row>
        <row r="10721">
          <cell r="V10721"/>
          <cell r="W10721"/>
          <cell r="X10721"/>
          <cell r="Y10721"/>
        </row>
        <row r="10722">
          <cell r="V10722"/>
          <cell r="W10722"/>
          <cell r="X10722"/>
          <cell r="Y10722"/>
        </row>
        <row r="10723">
          <cell r="V10723"/>
          <cell r="W10723"/>
          <cell r="X10723"/>
          <cell r="Y10723"/>
        </row>
        <row r="10724">
          <cell r="V10724"/>
          <cell r="W10724"/>
          <cell r="X10724"/>
          <cell r="Y10724"/>
        </row>
        <row r="10725">
          <cell r="V10725"/>
          <cell r="W10725"/>
          <cell r="X10725"/>
          <cell r="Y10725"/>
        </row>
        <row r="10726">
          <cell r="V10726"/>
          <cell r="W10726"/>
          <cell r="X10726"/>
          <cell r="Y10726"/>
        </row>
        <row r="10727">
          <cell r="V10727"/>
          <cell r="W10727"/>
          <cell r="X10727"/>
          <cell r="Y10727"/>
        </row>
        <row r="10728">
          <cell r="V10728"/>
          <cell r="W10728"/>
          <cell r="X10728"/>
          <cell r="Y10728"/>
        </row>
        <row r="10729">
          <cell r="V10729"/>
          <cell r="W10729"/>
          <cell r="X10729"/>
          <cell r="Y10729"/>
        </row>
        <row r="10730">
          <cell r="V10730"/>
          <cell r="W10730"/>
          <cell r="X10730"/>
          <cell r="Y10730"/>
        </row>
        <row r="10731">
          <cell r="V10731"/>
          <cell r="W10731"/>
          <cell r="X10731"/>
          <cell r="Y10731"/>
        </row>
        <row r="10732">
          <cell r="V10732"/>
          <cell r="W10732"/>
          <cell r="X10732"/>
          <cell r="Y10732"/>
        </row>
        <row r="10733">
          <cell r="V10733"/>
          <cell r="W10733"/>
          <cell r="X10733"/>
          <cell r="Y10733"/>
        </row>
        <row r="10734">
          <cell r="V10734"/>
          <cell r="W10734"/>
          <cell r="X10734"/>
          <cell r="Y10734"/>
        </row>
        <row r="10735">
          <cell r="V10735"/>
          <cell r="W10735"/>
          <cell r="X10735"/>
          <cell r="Y10735"/>
        </row>
        <row r="10736">
          <cell r="V10736"/>
          <cell r="W10736"/>
          <cell r="X10736"/>
          <cell r="Y10736"/>
        </row>
        <row r="10737">
          <cell r="V10737"/>
          <cell r="W10737"/>
          <cell r="X10737"/>
          <cell r="Y10737"/>
        </row>
        <row r="10738">
          <cell r="V10738"/>
          <cell r="W10738"/>
          <cell r="X10738"/>
          <cell r="Y10738"/>
        </row>
        <row r="10739">
          <cell r="V10739"/>
          <cell r="W10739"/>
          <cell r="X10739"/>
          <cell r="Y10739"/>
        </row>
        <row r="10740">
          <cell r="V10740"/>
          <cell r="W10740"/>
          <cell r="X10740"/>
          <cell r="Y10740"/>
        </row>
        <row r="10741">
          <cell r="V10741"/>
          <cell r="W10741"/>
          <cell r="X10741"/>
          <cell r="Y10741"/>
        </row>
        <row r="10742">
          <cell r="V10742"/>
          <cell r="W10742"/>
          <cell r="X10742"/>
          <cell r="Y10742"/>
        </row>
        <row r="10743">
          <cell r="V10743"/>
          <cell r="W10743"/>
          <cell r="X10743"/>
          <cell r="Y10743"/>
        </row>
        <row r="10744">
          <cell r="V10744"/>
          <cell r="W10744"/>
          <cell r="X10744"/>
          <cell r="Y10744"/>
        </row>
        <row r="10745">
          <cell r="V10745"/>
          <cell r="W10745"/>
          <cell r="X10745"/>
          <cell r="Y10745"/>
        </row>
        <row r="10746">
          <cell r="V10746"/>
          <cell r="W10746"/>
          <cell r="X10746"/>
          <cell r="Y10746"/>
        </row>
        <row r="10747">
          <cell r="V10747"/>
          <cell r="W10747"/>
          <cell r="X10747"/>
          <cell r="Y10747"/>
        </row>
        <row r="10748">
          <cell r="V10748"/>
          <cell r="W10748"/>
          <cell r="X10748"/>
          <cell r="Y10748"/>
        </row>
        <row r="10749">
          <cell r="V10749"/>
          <cell r="W10749"/>
          <cell r="X10749"/>
          <cell r="Y10749"/>
        </row>
        <row r="10750">
          <cell r="V10750"/>
          <cell r="W10750"/>
          <cell r="X10750"/>
          <cell r="Y10750"/>
        </row>
        <row r="10751">
          <cell r="V10751"/>
          <cell r="W10751"/>
          <cell r="X10751"/>
          <cell r="Y10751"/>
        </row>
        <row r="10752">
          <cell r="V10752"/>
          <cell r="W10752"/>
          <cell r="X10752"/>
          <cell r="Y10752"/>
        </row>
        <row r="10753">
          <cell r="V10753"/>
          <cell r="W10753"/>
          <cell r="X10753"/>
          <cell r="Y10753"/>
        </row>
        <row r="10754">
          <cell r="V10754"/>
          <cell r="W10754"/>
          <cell r="X10754"/>
          <cell r="Y10754"/>
        </row>
        <row r="10755">
          <cell r="V10755"/>
          <cell r="W10755"/>
          <cell r="X10755"/>
          <cell r="Y10755"/>
        </row>
        <row r="10756">
          <cell r="V10756"/>
          <cell r="W10756"/>
          <cell r="X10756"/>
          <cell r="Y10756"/>
        </row>
        <row r="10757">
          <cell r="V10757"/>
          <cell r="W10757"/>
          <cell r="X10757"/>
          <cell r="Y10757"/>
        </row>
        <row r="10758">
          <cell r="V10758"/>
          <cell r="W10758"/>
          <cell r="X10758"/>
          <cell r="Y10758"/>
        </row>
        <row r="10759">
          <cell r="V10759"/>
          <cell r="W10759"/>
          <cell r="X10759"/>
          <cell r="Y10759"/>
        </row>
        <row r="10760">
          <cell r="V10760"/>
          <cell r="W10760"/>
          <cell r="X10760"/>
          <cell r="Y10760"/>
        </row>
        <row r="10761">
          <cell r="V10761"/>
          <cell r="W10761"/>
          <cell r="X10761"/>
          <cell r="Y10761"/>
        </row>
        <row r="10762">
          <cell r="V10762"/>
          <cell r="W10762"/>
          <cell r="X10762"/>
          <cell r="Y10762"/>
        </row>
        <row r="10763">
          <cell r="V10763"/>
          <cell r="W10763"/>
          <cell r="X10763"/>
          <cell r="Y10763"/>
        </row>
        <row r="10764">
          <cell r="V10764"/>
          <cell r="W10764"/>
          <cell r="X10764"/>
          <cell r="Y10764"/>
        </row>
        <row r="10765">
          <cell r="V10765"/>
          <cell r="W10765"/>
          <cell r="X10765"/>
          <cell r="Y10765"/>
        </row>
        <row r="10766">
          <cell r="V10766"/>
          <cell r="W10766"/>
          <cell r="X10766"/>
          <cell r="Y10766"/>
        </row>
        <row r="10767">
          <cell r="V10767"/>
          <cell r="W10767"/>
          <cell r="X10767"/>
          <cell r="Y10767"/>
        </row>
        <row r="10768">
          <cell r="V10768"/>
          <cell r="W10768"/>
          <cell r="X10768"/>
          <cell r="Y10768"/>
        </row>
        <row r="10769">
          <cell r="V10769"/>
          <cell r="W10769"/>
          <cell r="X10769"/>
          <cell r="Y10769"/>
        </row>
        <row r="10770">
          <cell r="V10770"/>
          <cell r="W10770"/>
          <cell r="X10770"/>
          <cell r="Y10770"/>
        </row>
        <row r="10771">
          <cell r="V10771"/>
          <cell r="W10771"/>
          <cell r="X10771"/>
          <cell r="Y10771"/>
        </row>
        <row r="10772">
          <cell r="V10772"/>
          <cell r="W10772"/>
          <cell r="X10772"/>
          <cell r="Y10772"/>
        </row>
        <row r="10773">
          <cell r="V10773"/>
          <cell r="W10773"/>
          <cell r="X10773"/>
          <cell r="Y10773"/>
        </row>
        <row r="10774">
          <cell r="V10774"/>
          <cell r="W10774"/>
          <cell r="X10774"/>
          <cell r="Y10774"/>
        </row>
        <row r="10775">
          <cell r="V10775"/>
          <cell r="W10775"/>
          <cell r="X10775"/>
          <cell r="Y10775"/>
        </row>
        <row r="10776">
          <cell r="V10776"/>
          <cell r="W10776"/>
          <cell r="X10776"/>
          <cell r="Y10776"/>
        </row>
        <row r="10777">
          <cell r="V10777"/>
          <cell r="W10777"/>
          <cell r="X10777"/>
          <cell r="Y10777"/>
        </row>
        <row r="10778">
          <cell r="V10778"/>
          <cell r="W10778"/>
          <cell r="X10778"/>
          <cell r="Y10778"/>
        </row>
        <row r="10779">
          <cell r="V10779"/>
          <cell r="W10779"/>
          <cell r="X10779"/>
          <cell r="Y10779"/>
        </row>
        <row r="10780">
          <cell r="V10780"/>
          <cell r="W10780"/>
          <cell r="X10780"/>
          <cell r="Y10780"/>
        </row>
        <row r="10781">
          <cell r="V10781"/>
          <cell r="W10781"/>
          <cell r="X10781"/>
          <cell r="Y10781"/>
        </row>
        <row r="10782">
          <cell r="V10782"/>
          <cell r="W10782"/>
          <cell r="X10782"/>
          <cell r="Y10782"/>
        </row>
        <row r="10783">
          <cell r="V10783"/>
          <cell r="W10783"/>
          <cell r="X10783"/>
          <cell r="Y10783"/>
        </row>
        <row r="10784">
          <cell r="V10784"/>
          <cell r="W10784"/>
          <cell r="X10784"/>
          <cell r="Y10784"/>
        </row>
        <row r="10785">
          <cell r="V10785"/>
          <cell r="W10785"/>
          <cell r="X10785"/>
          <cell r="Y10785"/>
        </row>
        <row r="10786">
          <cell r="V10786"/>
          <cell r="W10786"/>
          <cell r="X10786"/>
          <cell r="Y10786"/>
        </row>
        <row r="10787">
          <cell r="V10787"/>
          <cell r="W10787"/>
          <cell r="X10787"/>
          <cell r="Y10787"/>
        </row>
        <row r="10788">
          <cell r="V10788"/>
          <cell r="W10788"/>
          <cell r="X10788"/>
          <cell r="Y10788"/>
        </row>
        <row r="10789">
          <cell r="V10789"/>
          <cell r="W10789"/>
          <cell r="X10789"/>
          <cell r="Y10789"/>
        </row>
        <row r="10790">
          <cell r="V10790"/>
          <cell r="W10790"/>
          <cell r="X10790"/>
          <cell r="Y10790"/>
        </row>
        <row r="10791">
          <cell r="V10791"/>
          <cell r="W10791"/>
          <cell r="X10791"/>
          <cell r="Y10791"/>
        </row>
        <row r="10792">
          <cell r="V10792"/>
          <cell r="W10792"/>
          <cell r="X10792"/>
          <cell r="Y10792"/>
        </row>
        <row r="10793">
          <cell r="V10793"/>
          <cell r="W10793"/>
          <cell r="X10793"/>
          <cell r="Y10793"/>
        </row>
        <row r="10794">
          <cell r="V10794"/>
          <cell r="W10794"/>
          <cell r="X10794"/>
          <cell r="Y10794"/>
        </row>
        <row r="10795">
          <cell r="V10795"/>
          <cell r="W10795"/>
          <cell r="X10795"/>
          <cell r="Y10795"/>
        </row>
        <row r="10796">
          <cell r="V10796"/>
          <cell r="W10796"/>
          <cell r="X10796"/>
          <cell r="Y10796"/>
        </row>
        <row r="10797">
          <cell r="V10797"/>
          <cell r="W10797"/>
          <cell r="X10797"/>
          <cell r="Y10797"/>
        </row>
        <row r="10798">
          <cell r="V10798"/>
          <cell r="W10798"/>
          <cell r="X10798"/>
          <cell r="Y10798"/>
        </row>
        <row r="10799">
          <cell r="V10799"/>
          <cell r="W10799"/>
          <cell r="X10799"/>
          <cell r="Y10799"/>
        </row>
        <row r="10800">
          <cell r="V10800"/>
          <cell r="W10800"/>
          <cell r="X10800"/>
          <cell r="Y10800"/>
        </row>
        <row r="10801">
          <cell r="V10801"/>
          <cell r="W10801"/>
          <cell r="X10801"/>
          <cell r="Y10801"/>
        </row>
        <row r="10802">
          <cell r="V10802"/>
          <cell r="W10802"/>
          <cell r="X10802"/>
          <cell r="Y10802"/>
        </row>
        <row r="10803">
          <cell r="V10803"/>
          <cell r="W10803"/>
          <cell r="X10803"/>
          <cell r="Y10803"/>
        </row>
        <row r="10804">
          <cell r="V10804"/>
          <cell r="W10804"/>
          <cell r="X10804"/>
          <cell r="Y10804"/>
        </row>
        <row r="10805">
          <cell r="V10805"/>
          <cell r="W10805"/>
          <cell r="X10805"/>
          <cell r="Y10805"/>
        </row>
        <row r="10806">
          <cell r="V10806"/>
          <cell r="W10806"/>
          <cell r="X10806"/>
          <cell r="Y10806"/>
        </row>
        <row r="10807">
          <cell r="V10807"/>
          <cell r="W10807"/>
          <cell r="X10807"/>
          <cell r="Y10807"/>
        </row>
        <row r="10808">
          <cell r="V10808"/>
          <cell r="W10808"/>
          <cell r="X10808"/>
          <cell r="Y10808"/>
        </row>
        <row r="10809">
          <cell r="V10809"/>
          <cell r="W10809"/>
          <cell r="X10809"/>
          <cell r="Y10809"/>
        </row>
        <row r="10810">
          <cell r="V10810"/>
          <cell r="W10810"/>
          <cell r="X10810"/>
          <cell r="Y10810"/>
        </row>
        <row r="10811">
          <cell r="V10811"/>
          <cell r="W10811"/>
          <cell r="X10811"/>
          <cell r="Y10811"/>
        </row>
        <row r="10812">
          <cell r="V10812"/>
          <cell r="W10812"/>
          <cell r="X10812"/>
          <cell r="Y10812"/>
        </row>
        <row r="10813">
          <cell r="V10813"/>
          <cell r="W10813"/>
          <cell r="X10813"/>
          <cell r="Y10813"/>
        </row>
        <row r="10814">
          <cell r="V10814"/>
          <cell r="W10814"/>
          <cell r="X10814"/>
          <cell r="Y10814"/>
        </row>
        <row r="10815">
          <cell r="V10815"/>
          <cell r="W10815"/>
          <cell r="X10815"/>
          <cell r="Y10815"/>
        </row>
        <row r="10816">
          <cell r="V10816"/>
          <cell r="W10816"/>
          <cell r="X10816"/>
          <cell r="Y10816"/>
        </row>
        <row r="10817">
          <cell r="V10817"/>
          <cell r="W10817"/>
          <cell r="X10817"/>
          <cell r="Y10817"/>
        </row>
        <row r="10818">
          <cell r="V10818"/>
          <cell r="W10818"/>
          <cell r="X10818"/>
          <cell r="Y10818"/>
        </row>
        <row r="10819">
          <cell r="V10819"/>
          <cell r="W10819"/>
          <cell r="X10819"/>
          <cell r="Y10819"/>
        </row>
        <row r="10820">
          <cell r="V10820"/>
          <cell r="W10820"/>
          <cell r="X10820"/>
          <cell r="Y10820"/>
        </row>
        <row r="10821">
          <cell r="V10821"/>
          <cell r="W10821"/>
          <cell r="X10821"/>
          <cell r="Y10821"/>
        </row>
        <row r="10822">
          <cell r="V10822"/>
          <cell r="W10822"/>
          <cell r="X10822"/>
          <cell r="Y10822"/>
        </row>
        <row r="10823">
          <cell r="V10823"/>
          <cell r="W10823"/>
          <cell r="X10823"/>
          <cell r="Y10823"/>
        </row>
        <row r="10824">
          <cell r="V10824"/>
          <cell r="W10824"/>
          <cell r="X10824"/>
          <cell r="Y10824"/>
        </row>
        <row r="10825">
          <cell r="V10825"/>
          <cell r="W10825"/>
          <cell r="X10825"/>
          <cell r="Y10825"/>
        </row>
        <row r="10826">
          <cell r="V10826"/>
          <cell r="W10826"/>
          <cell r="X10826"/>
          <cell r="Y10826"/>
        </row>
        <row r="10827">
          <cell r="V10827"/>
          <cell r="W10827"/>
          <cell r="X10827"/>
          <cell r="Y10827"/>
        </row>
        <row r="10828">
          <cell r="V10828"/>
          <cell r="W10828"/>
          <cell r="X10828"/>
          <cell r="Y10828"/>
        </row>
        <row r="10829">
          <cell r="V10829"/>
          <cell r="W10829"/>
          <cell r="X10829"/>
          <cell r="Y10829"/>
        </row>
        <row r="10830">
          <cell r="V10830"/>
          <cell r="W10830"/>
          <cell r="X10830"/>
          <cell r="Y10830"/>
        </row>
        <row r="10831">
          <cell r="V10831"/>
          <cell r="W10831"/>
          <cell r="X10831"/>
          <cell r="Y10831"/>
        </row>
        <row r="10832">
          <cell r="V10832"/>
          <cell r="W10832"/>
          <cell r="X10832"/>
          <cell r="Y10832"/>
        </row>
        <row r="10833">
          <cell r="V10833"/>
          <cell r="W10833"/>
          <cell r="X10833"/>
          <cell r="Y10833"/>
        </row>
        <row r="10834">
          <cell r="V10834"/>
          <cell r="W10834"/>
          <cell r="X10834"/>
          <cell r="Y10834"/>
        </row>
        <row r="10835">
          <cell r="V10835"/>
          <cell r="W10835"/>
          <cell r="X10835"/>
          <cell r="Y10835"/>
        </row>
        <row r="10836">
          <cell r="V10836"/>
          <cell r="W10836"/>
          <cell r="X10836"/>
          <cell r="Y10836"/>
        </row>
        <row r="10837">
          <cell r="V10837"/>
          <cell r="W10837"/>
          <cell r="X10837"/>
          <cell r="Y10837"/>
        </row>
        <row r="10838">
          <cell r="V10838"/>
          <cell r="W10838"/>
          <cell r="X10838"/>
          <cell r="Y10838"/>
        </row>
        <row r="10839">
          <cell r="V10839"/>
          <cell r="W10839"/>
          <cell r="X10839"/>
          <cell r="Y10839"/>
        </row>
        <row r="10840">
          <cell r="V10840"/>
          <cell r="W10840"/>
          <cell r="X10840"/>
          <cell r="Y10840"/>
        </row>
        <row r="10841">
          <cell r="V10841"/>
          <cell r="W10841"/>
          <cell r="X10841"/>
          <cell r="Y10841"/>
        </row>
        <row r="10842">
          <cell r="V10842"/>
          <cell r="W10842"/>
          <cell r="X10842"/>
          <cell r="Y10842"/>
        </row>
        <row r="10843">
          <cell r="V10843"/>
          <cell r="W10843"/>
          <cell r="X10843"/>
          <cell r="Y10843"/>
        </row>
        <row r="10844">
          <cell r="V10844"/>
          <cell r="W10844"/>
          <cell r="X10844"/>
          <cell r="Y10844"/>
        </row>
        <row r="10845">
          <cell r="V10845"/>
          <cell r="W10845"/>
          <cell r="X10845"/>
          <cell r="Y10845"/>
        </row>
        <row r="10846">
          <cell r="V10846"/>
          <cell r="W10846"/>
          <cell r="X10846"/>
          <cell r="Y10846"/>
        </row>
        <row r="10847">
          <cell r="V10847"/>
          <cell r="W10847"/>
          <cell r="X10847"/>
          <cell r="Y10847"/>
        </row>
        <row r="10848">
          <cell r="V10848"/>
          <cell r="W10848"/>
          <cell r="X10848"/>
          <cell r="Y10848"/>
        </row>
        <row r="10849">
          <cell r="V10849"/>
          <cell r="W10849"/>
          <cell r="X10849"/>
          <cell r="Y10849"/>
        </row>
        <row r="10850">
          <cell r="V10850"/>
          <cell r="W10850"/>
          <cell r="X10850"/>
          <cell r="Y10850"/>
        </row>
        <row r="10851">
          <cell r="V10851"/>
          <cell r="W10851"/>
          <cell r="X10851"/>
          <cell r="Y10851"/>
        </row>
        <row r="10852">
          <cell r="V10852"/>
          <cell r="W10852"/>
          <cell r="X10852"/>
          <cell r="Y10852"/>
        </row>
        <row r="10853">
          <cell r="V10853"/>
          <cell r="W10853"/>
          <cell r="X10853"/>
          <cell r="Y10853"/>
        </row>
        <row r="10854">
          <cell r="V10854"/>
          <cell r="W10854"/>
          <cell r="X10854"/>
          <cell r="Y10854"/>
        </row>
        <row r="10855">
          <cell r="V10855"/>
          <cell r="W10855"/>
          <cell r="X10855"/>
          <cell r="Y10855"/>
        </row>
        <row r="10856">
          <cell r="V10856"/>
          <cell r="W10856"/>
          <cell r="X10856"/>
          <cell r="Y10856"/>
        </row>
        <row r="10857">
          <cell r="V10857"/>
          <cell r="W10857"/>
          <cell r="X10857"/>
          <cell r="Y10857"/>
        </row>
        <row r="10858">
          <cell r="V10858"/>
          <cell r="W10858"/>
          <cell r="X10858"/>
          <cell r="Y10858"/>
        </row>
        <row r="10859">
          <cell r="V10859"/>
          <cell r="W10859"/>
          <cell r="X10859"/>
          <cell r="Y10859"/>
        </row>
        <row r="10860">
          <cell r="V10860"/>
          <cell r="W10860"/>
          <cell r="X10860"/>
          <cell r="Y10860"/>
        </row>
        <row r="10861">
          <cell r="V10861"/>
          <cell r="W10861"/>
          <cell r="X10861"/>
          <cell r="Y10861"/>
        </row>
        <row r="10862">
          <cell r="V10862"/>
          <cell r="W10862"/>
          <cell r="X10862"/>
          <cell r="Y10862"/>
        </row>
        <row r="10863">
          <cell r="V10863"/>
          <cell r="W10863"/>
          <cell r="X10863"/>
          <cell r="Y10863"/>
        </row>
        <row r="10864">
          <cell r="V10864"/>
          <cell r="W10864"/>
          <cell r="X10864"/>
          <cell r="Y10864"/>
        </row>
        <row r="10865">
          <cell r="V10865"/>
          <cell r="W10865"/>
          <cell r="X10865"/>
          <cell r="Y10865"/>
        </row>
        <row r="10866">
          <cell r="V10866"/>
          <cell r="W10866"/>
          <cell r="X10866"/>
          <cell r="Y10866"/>
        </row>
        <row r="10867">
          <cell r="V10867"/>
          <cell r="W10867"/>
          <cell r="X10867"/>
          <cell r="Y10867"/>
        </row>
        <row r="10868">
          <cell r="V10868"/>
          <cell r="W10868"/>
          <cell r="X10868"/>
          <cell r="Y10868"/>
        </row>
        <row r="10869">
          <cell r="V10869"/>
          <cell r="W10869"/>
          <cell r="X10869"/>
          <cell r="Y10869"/>
        </row>
        <row r="10870">
          <cell r="V10870"/>
          <cell r="W10870"/>
          <cell r="X10870"/>
          <cell r="Y10870"/>
        </row>
        <row r="10871">
          <cell r="V10871"/>
          <cell r="W10871"/>
          <cell r="X10871"/>
          <cell r="Y10871"/>
        </row>
        <row r="10872">
          <cell r="V10872"/>
          <cell r="W10872"/>
          <cell r="X10872"/>
          <cell r="Y10872"/>
        </row>
        <row r="10873">
          <cell r="V10873"/>
          <cell r="W10873"/>
          <cell r="X10873"/>
          <cell r="Y10873"/>
        </row>
        <row r="10874">
          <cell r="V10874"/>
          <cell r="W10874"/>
          <cell r="X10874"/>
          <cell r="Y10874"/>
        </row>
        <row r="10875">
          <cell r="V10875"/>
          <cell r="W10875"/>
          <cell r="X10875"/>
          <cell r="Y10875"/>
        </row>
        <row r="10876">
          <cell r="V10876"/>
          <cell r="W10876"/>
          <cell r="X10876"/>
          <cell r="Y10876"/>
        </row>
        <row r="10877">
          <cell r="V10877"/>
          <cell r="W10877"/>
          <cell r="X10877"/>
          <cell r="Y10877"/>
        </row>
        <row r="10878">
          <cell r="V10878"/>
          <cell r="W10878"/>
          <cell r="X10878"/>
          <cell r="Y10878"/>
        </row>
        <row r="10879">
          <cell r="V10879"/>
          <cell r="W10879"/>
          <cell r="X10879"/>
          <cell r="Y10879"/>
        </row>
        <row r="10880">
          <cell r="V10880"/>
          <cell r="W10880"/>
          <cell r="X10880"/>
          <cell r="Y10880"/>
        </row>
        <row r="10881">
          <cell r="V10881"/>
          <cell r="W10881"/>
          <cell r="X10881"/>
          <cell r="Y10881"/>
        </row>
        <row r="10882">
          <cell r="V10882"/>
          <cell r="W10882"/>
          <cell r="X10882"/>
          <cell r="Y10882"/>
        </row>
        <row r="10883">
          <cell r="V10883"/>
          <cell r="W10883"/>
          <cell r="X10883"/>
          <cell r="Y10883"/>
        </row>
        <row r="10884">
          <cell r="V10884"/>
          <cell r="W10884"/>
          <cell r="X10884"/>
          <cell r="Y10884"/>
        </row>
        <row r="10885">
          <cell r="V10885"/>
          <cell r="W10885"/>
          <cell r="X10885"/>
          <cell r="Y10885"/>
        </row>
        <row r="10886">
          <cell r="V10886"/>
          <cell r="W10886"/>
          <cell r="X10886"/>
          <cell r="Y10886"/>
        </row>
        <row r="10887">
          <cell r="V10887"/>
          <cell r="W10887"/>
          <cell r="X10887"/>
          <cell r="Y10887"/>
        </row>
        <row r="10888">
          <cell r="V10888"/>
          <cell r="W10888"/>
          <cell r="X10888"/>
          <cell r="Y10888"/>
        </row>
        <row r="10889">
          <cell r="V10889"/>
          <cell r="W10889"/>
          <cell r="X10889"/>
          <cell r="Y10889"/>
        </row>
        <row r="10890">
          <cell r="V10890"/>
          <cell r="W10890"/>
          <cell r="X10890"/>
          <cell r="Y10890"/>
        </row>
        <row r="10891">
          <cell r="V10891"/>
          <cell r="W10891"/>
          <cell r="X10891"/>
          <cell r="Y10891"/>
        </row>
        <row r="10892">
          <cell r="V10892"/>
          <cell r="W10892"/>
          <cell r="X10892"/>
          <cell r="Y10892"/>
        </row>
        <row r="10893">
          <cell r="V10893"/>
          <cell r="W10893"/>
          <cell r="X10893"/>
          <cell r="Y10893"/>
        </row>
        <row r="10894">
          <cell r="V10894"/>
          <cell r="W10894"/>
          <cell r="X10894"/>
          <cell r="Y10894"/>
        </row>
        <row r="10895">
          <cell r="V10895"/>
          <cell r="W10895"/>
          <cell r="X10895"/>
          <cell r="Y10895"/>
        </row>
        <row r="10896">
          <cell r="V10896"/>
          <cell r="W10896"/>
          <cell r="X10896"/>
          <cell r="Y10896"/>
        </row>
        <row r="10897">
          <cell r="V10897"/>
          <cell r="W10897"/>
          <cell r="X10897"/>
          <cell r="Y10897"/>
        </row>
        <row r="10898">
          <cell r="V10898"/>
          <cell r="W10898"/>
          <cell r="X10898"/>
          <cell r="Y10898"/>
        </row>
        <row r="10899">
          <cell r="V10899"/>
          <cell r="W10899"/>
          <cell r="X10899"/>
          <cell r="Y10899"/>
        </row>
        <row r="10900">
          <cell r="V10900"/>
          <cell r="W10900"/>
          <cell r="X10900"/>
          <cell r="Y10900"/>
        </row>
        <row r="10901">
          <cell r="V10901"/>
          <cell r="W10901"/>
          <cell r="X10901"/>
          <cell r="Y10901"/>
        </row>
        <row r="10902">
          <cell r="V10902"/>
          <cell r="W10902"/>
          <cell r="X10902"/>
          <cell r="Y10902"/>
        </row>
        <row r="10903">
          <cell r="V10903"/>
          <cell r="W10903"/>
          <cell r="X10903"/>
          <cell r="Y10903"/>
        </row>
        <row r="10904">
          <cell r="V10904"/>
          <cell r="W10904"/>
          <cell r="X10904"/>
          <cell r="Y10904"/>
        </row>
        <row r="10905">
          <cell r="V10905"/>
          <cell r="W10905"/>
          <cell r="X10905"/>
          <cell r="Y10905"/>
        </row>
        <row r="10906">
          <cell r="V10906"/>
          <cell r="W10906"/>
          <cell r="X10906"/>
          <cell r="Y10906"/>
        </row>
        <row r="10907">
          <cell r="V10907"/>
          <cell r="W10907"/>
          <cell r="X10907"/>
          <cell r="Y10907"/>
        </row>
        <row r="10908">
          <cell r="V10908"/>
          <cell r="W10908"/>
          <cell r="X10908"/>
          <cell r="Y10908"/>
        </row>
        <row r="10909">
          <cell r="V10909"/>
          <cell r="W10909"/>
          <cell r="X10909"/>
          <cell r="Y10909"/>
        </row>
        <row r="10910">
          <cell r="V10910"/>
          <cell r="W10910"/>
          <cell r="X10910"/>
          <cell r="Y10910"/>
        </row>
        <row r="10911">
          <cell r="V10911"/>
          <cell r="W10911"/>
          <cell r="X10911"/>
          <cell r="Y10911"/>
        </row>
        <row r="10912">
          <cell r="V10912"/>
          <cell r="W10912"/>
          <cell r="X10912"/>
          <cell r="Y10912"/>
        </row>
        <row r="10913">
          <cell r="V10913"/>
          <cell r="W10913"/>
          <cell r="X10913"/>
          <cell r="Y10913"/>
        </row>
        <row r="10914">
          <cell r="V10914"/>
          <cell r="W10914"/>
          <cell r="X10914"/>
          <cell r="Y10914"/>
        </row>
        <row r="10915">
          <cell r="V10915"/>
          <cell r="W10915"/>
          <cell r="X10915"/>
          <cell r="Y10915"/>
        </row>
        <row r="10916">
          <cell r="V10916"/>
          <cell r="W10916"/>
          <cell r="X10916"/>
          <cell r="Y10916"/>
        </row>
        <row r="10917">
          <cell r="V10917"/>
          <cell r="W10917"/>
          <cell r="X10917"/>
          <cell r="Y10917"/>
        </row>
        <row r="10918">
          <cell r="V10918"/>
          <cell r="W10918"/>
          <cell r="X10918"/>
          <cell r="Y10918"/>
        </row>
        <row r="10919">
          <cell r="V10919"/>
          <cell r="W10919"/>
          <cell r="X10919"/>
          <cell r="Y10919"/>
        </row>
        <row r="10920">
          <cell r="V10920"/>
          <cell r="W10920"/>
          <cell r="X10920"/>
          <cell r="Y10920"/>
        </row>
        <row r="10921">
          <cell r="V10921"/>
          <cell r="W10921"/>
          <cell r="X10921"/>
          <cell r="Y10921"/>
        </row>
        <row r="10922">
          <cell r="V10922"/>
          <cell r="W10922"/>
          <cell r="X10922"/>
          <cell r="Y10922"/>
        </row>
        <row r="10923">
          <cell r="V10923"/>
          <cell r="W10923"/>
          <cell r="X10923"/>
          <cell r="Y10923"/>
        </row>
        <row r="10924">
          <cell r="V10924"/>
          <cell r="W10924"/>
          <cell r="X10924"/>
          <cell r="Y10924"/>
        </row>
        <row r="10925">
          <cell r="V10925"/>
          <cell r="W10925"/>
          <cell r="X10925"/>
          <cell r="Y10925"/>
        </row>
        <row r="10926">
          <cell r="V10926"/>
          <cell r="W10926"/>
          <cell r="X10926"/>
          <cell r="Y10926"/>
        </row>
        <row r="10927">
          <cell r="V10927"/>
          <cell r="W10927"/>
          <cell r="X10927"/>
          <cell r="Y10927"/>
        </row>
        <row r="10928">
          <cell r="V10928"/>
          <cell r="W10928"/>
          <cell r="X10928"/>
          <cell r="Y10928"/>
        </row>
        <row r="10929">
          <cell r="V10929"/>
          <cell r="W10929"/>
          <cell r="X10929"/>
          <cell r="Y10929"/>
        </row>
        <row r="10930">
          <cell r="V10930"/>
          <cell r="W10930"/>
          <cell r="X10930"/>
          <cell r="Y10930"/>
        </row>
        <row r="10931">
          <cell r="V10931"/>
          <cell r="W10931"/>
          <cell r="X10931"/>
          <cell r="Y10931"/>
        </row>
        <row r="10932">
          <cell r="V10932"/>
          <cell r="W10932"/>
          <cell r="X10932"/>
          <cell r="Y10932"/>
        </row>
        <row r="10933">
          <cell r="V10933"/>
          <cell r="W10933"/>
          <cell r="X10933"/>
          <cell r="Y10933"/>
        </row>
        <row r="10934">
          <cell r="V10934"/>
          <cell r="W10934"/>
          <cell r="X10934"/>
          <cell r="Y10934"/>
        </row>
        <row r="10935">
          <cell r="V10935"/>
          <cell r="W10935"/>
          <cell r="X10935"/>
          <cell r="Y10935"/>
        </row>
        <row r="10936">
          <cell r="V10936"/>
          <cell r="W10936"/>
          <cell r="X10936"/>
          <cell r="Y10936"/>
        </row>
        <row r="10937">
          <cell r="V10937"/>
          <cell r="W10937"/>
          <cell r="X10937"/>
          <cell r="Y10937"/>
        </row>
        <row r="10938">
          <cell r="V10938"/>
          <cell r="W10938"/>
          <cell r="X10938"/>
          <cell r="Y10938"/>
        </row>
        <row r="10939">
          <cell r="V10939"/>
          <cell r="W10939"/>
          <cell r="X10939"/>
          <cell r="Y10939"/>
        </row>
        <row r="10940">
          <cell r="V10940"/>
          <cell r="W10940"/>
          <cell r="X10940"/>
          <cell r="Y10940"/>
        </row>
        <row r="10941">
          <cell r="V10941"/>
          <cell r="W10941"/>
          <cell r="X10941"/>
          <cell r="Y10941"/>
        </row>
        <row r="10942">
          <cell r="V10942"/>
          <cell r="W10942"/>
          <cell r="X10942"/>
          <cell r="Y10942"/>
        </row>
        <row r="10943">
          <cell r="V10943"/>
          <cell r="W10943"/>
          <cell r="X10943"/>
          <cell r="Y10943"/>
        </row>
        <row r="10944">
          <cell r="V10944"/>
          <cell r="W10944"/>
          <cell r="X10944"/>
          <cell r="Y10944"/>
        </row>
        <row r="10945">
          <cell r="V10945"/>
          <cell r="W10945"/>
          <cell r="X10945"/>
          <cell r="Y10945"/>
        </row>
        <row r="10946">
          <cell r="V10946"/>
          <cell r="W10946"/>
          <cell r="X10946"/>
          <cell r="Y10946"/>
        </row>
        <row r="10947">
          <cell r="V10947"/>
          <cell r="W10947"/>
          <cell r="X10947"/>
          <cell r="Y10947"/>
        </row>
        <row r="10948">
          <cell r="V10948"/>
          <cell r="W10948"/>
          <cell r="X10948"/>
          <cell r="Y10948"/>
        </row>
        <row r="10949">
          <cell r="V10949"/>
          <cell r="W10949"/>
          <cell r="X10949"/>
          <cell r="Y10949"/>
        </row>
        <row r="10950">
          <cell r="V10950"/>
          <cell r="W10950"/>
          <cell r="X10950"/>
          <cell r="Y10950"/>
        </row>
        <row r="10951">
          <cell r="V10951"/>
          <cell r="W10951"/>
          <cell r="X10951"/>
          <cell r="Y10951"/>
        </row>
        <row r="10952">
          <cell r="V10952"/>
          <cell r="W10952"/>
          <cell r="X10952"/>
          <cell r="Y10952"/>
        </row>
        <row r="10953">
          <cell r="V10953"/>
          <cell r="W10953"/>
          <cell r="X10953"/>
          <cell r="Y10953"/>
        </row>
        <row r="10954">
          <cell r="V10954"/>
          <cell r="W10954"/>
          <cell r="X10954"/>
          <cell r="Y10954"/>
        </row>
        <row r="10955">
          <cell r="V10955"/>
          <cell r="W10955"/>
          <cell r="X10955"/>
          <cell r="Y10955"/>
        </row>
        <row r="10956">
          <cell r="V10956"/>
          <cell r="W10956"/>
          <cell r="X10956"/>
          <cell r="Y10956"/>
        </row>
        <row r="10957">
          <cell r="V10957"/>
          <cell r="W10957"/>
          <cell r="X10957"/>
          <cell r="Y10957"/>
        </row>
        <row r="10958">
          <cell r="V10958"/>
          <cell r="W10958"/>
          <cell r="X10958"/>
          <cell r="Y10958"/>
        </row>
        <row r="10959">
          <cell r="V10959"/>
          <cell r="W10959"/>
          <cell r="X10959"/>
          <cell r="Y10959"/>
        </row>
        <row r="10960">
          <cell r="V10960"/>
          <cell r="W10960"/>
          <cell r="X10960"/>
          <cell r="Y10960"/>
        </row>
        <row r="10961">
          <cell r="V10961"/>
          <cell r="W10961"/>
          <cell r="X10961"/>
          <cell r="Y10961"/>
        </row>
        <row r="10962">
          <cell r="V10962"/>
          <cell r="W10962"/>
          <cell r="X10962"/>
          <cell r="Y10962"/>
        </row>
        <row r="10963">
          <cell r="V10963"/>
          <cell r="W10963"/>
          <cell r="X10963"/>
          <cell r="Y10963"/>
        </row>
        <row r="10964">
          <cell r="V10964"/>
          <cell r="W10964"/>
          <cell r="X10964"/>
          <cell r="Y10964"/>
        </row>
        <row r="10965">
          <cell r="V10965"/>
          <cell r="W10965"/>
          <cell r="X10965"/>
          <cell r="Y10965"/>
        </row>
        <row r="10966">
          <cell r="V10966"/>
          <cell r="W10966"/>
          <cell r="X10966"/>
          <cell r="Y10966"/>
        </row>
        <row r="10967">
          <cell r="V10967"/>
          <cell r="W10967"/>
          <cell r="X10967"/>
          <cell r="Y10967"/>
        </row>
        <row r="10968">
          <cell r="V10968"/>
          <cell r="W10968"/>
          <cell r="X10968"/>
          <cell r="Y10968"/>
        </row>
        <row r="10969">
          <cell r="V10969"/>
          <cell r="W10969"/>
          <cell r="X10969"/>
          <cell r="Y10969"/>
        </row>
        <row r="10970">
          <cell r="V10970"/>
          <cell r="W10970"/>
          <cell r="X10970"/>
          <cell r="Y10970"/>
        </row>
        <row r="10971">
          <cell r="V10971"/>
          <cell r="W10971"/>
          <cell r="X10971"/>
          <cell r="Y10971"/>
        </row>
        <row r="10972">
          <cell r="V10972"/>
          <cell r="W10972"/>
          <cell r="X10972"/>
          <cell r="Y10972"/>
        </row>
        <row r="10973">
          <cell r="V10973"/>
          <cell r="W10973"/>
          <cell r="X10973"/>
          <cell r="Y10973"/>
        </row>
        <row r="10974">
          <cell r="V10974"/>
          <cell r="W10974"/>
          <cell r="X10974"/>
          <cell r="Y10974"/>
        </row>
        <row r="10975">
          <cell r="V10975"/>
          <cell r="W10975"/>
          <cell r="X10975"/>
          <cell r="Y10975"/>
        </row>
        <row r="10976">
          <cell r="V10976"/>
          <cell r="W10976"/>
          <cell r="X10976"/>
          <cell r="Y10976"/>
        </row>
        <row r="10977">
          <cell r="V10977"/>
          <cell r="W10977"/>
          <cell r="X10977"/>
          <cell r="Y10977"/>
        </row>
        <row r="10978">
          <cell r="V10978"/>
          <cell r="W10978"/>
          <cell r="X10978"/>
          <cell r="Y10978"/>
        </row>
        <row r="10979">
          <cell r="V10979"/>
          <cell r="W10979"/>
          <cell r="X10979"/>
          <cell r="Y10979"/>
        </row>
        <row r="10980">
          <cell r="V10980"/>
          <cell r="W10980"/>
          <cell r="X10980"/>
          <cell r="Y10980"/>
        </row>
        <row r="10981">
          <cell r="V10981"/>
          <cell r="W10981"/>
          <cell r="X10981"/>
          <cell r="Y10981"/>
        </row>
        <row r="10982">
          <cell r="V10982"/>
          <cell r="W10982"/>
          <cell r="X10982"/>
          <cell r="Y10982"/>
        </row>
        <row r="10983">
          <cell r="V10983"/>
          <cell r="W10983"/>
          <cell r="X10983"/>
          <cell r="Y10983"/>
        </row>
        <row r="10984">
          <cell r="V10984"/>
          <cell r="W10984"/>
          <cell r="X10984"/>
          <cell r="Y10984"/>
        </row>
        <row r="10985">
          <cell r="V10985"/>
          <cell r="W10985"/>
          <cell r="X10985"/>
          <cell r="Y10985"/>
        </row>
        <row r="10986">
          <cell r="V10986"/>
          <cell r="W10986"/>
          <cell r="X10986"/>
          <cell r="Y10986"/>
        </row>
        <row r="10987">
          <cell r="V10987"/>
          <cell r="W10987"/>
          <cell r="X10987"/>
          <cell r="Y10987"/>
        </row>
        <row r="10988">
          <cell r="V10988"/>
          <cell r="W10988"/>
          <cell r="X10988"/>
          <cell r="Y10988"/>
        </row>
        <row r="10989">
          <cell r="V10989"/>
          <cell r="W10989"/>
          <cell r="X10989"/>
          <cell r="Y10989"/>
        </row>
        <row r="10990">
          <cell r="V10990"/>
          <cell r="W10990"/>
          <cell r="X10990"/>
          <cell r="Y10990"/>
        </row>
        <row r="10991">
          <cell r="V10991"/>
          <cell r="W10991"/>
          <cell r="X10991"/>
          <cell r="Y10991"/>
        </row>
        <row r="10992">
          <cell r="V10992"/>
          <cell r="W10992"/>
          <cell r="X10992"/>
          <cell r="Y10992"/>
        </row>
        <row r="10993">
          <cell r="V10993"/>
          <cell r="W10993"/>
          <cell r="X10993"/>
          <cell r="Y10993"/>
        </row>
        <row r="10994">
          <cell r="V10994"/>
          <cell r="W10994"/>
          <cell r="X10994"/>
          <cell r="Y10994"/>
        </row>
        <row r="10995">
          <cell r="V10995"/>
          <cell r="W10995"/>
          <cell r="X10995"/>
          <cell r="Y10995"/>
        </row>
        <row r="10996">
          <cell r="V10996"/>
          <cell r="W10996"/>
          <cell r="X10996"/>
          <cell r="Y10996"/>
        </row>
        <row r="10997">
          <cell r="V10997"/>
          <cell r="W10997"/>
          <cell r="X10997"/>
          <cell r="Y10997"/>
        </row>
        <row r="10998">
          <cell r="V10998"/>
          <cell r="W10998"/>
          <cell r="X10998"/>
          <cell r="Y10998"/>
        </row>
        <row r="10999">
          <cell r="V10999"/>
          <cell r="W10999"/>
          <cell r="X10999"/>
          <cell r="Y10999"/>
        </row>
        <row r="11000">
          <cell r="V11000"/>
          <cell r="W11000"/>
          <cell r="X11000"/>
          <cell r="Y11000"/>
        </row>
        <row r="11001">
          <cell r="V11001"/>
          <cell r="W11001"/>
          <cell r="X11001"/>
          <cell r="Y11001"/>
        </row>
        <row r="11002">
          <cell r="V11002"/>
          <cell r="W11002"/>
          <cell r="X11002"/>
          <cell r="Y11002"/>
        </row>
        <row r="11003">
          <cell r="V11003"/>
          <cell r="W11003"/>
          <cell r="X11003"/>
          <cell r="Y11003"/>
        </row>
        <row r="11004">
          <cell r="V11004"/>
          <cell r="W11004"/>
          <cell r="X11004"/>
          <cell r="Y11004"/>
        </row>
        <row r="11005">
          <cell r="V11005"/>
          <cell r="W11005"/>
          <cell r="X11005"/>
          <cell r="Y11005"/>
        </row>
        <row r="11006">
          <cell r="V11006"/>
          <cell r="W11006"/>
          <cell r="X11006"/>
          <cell r="Y11006"/>
        </row>
        <row r="11007">
          <cell r="V11007"/>
          <cell r="W11007"/>
          <cell r="X11007"/>
          <cell r="Y11007"/>
        </row>
        <row r="11008">
          <cell r="V11008"/>
          <cell r="W11008"/>
          <cell r="X11008"/>
          <cell r="Y11008"/>
        </row>
        <row r="11009">
          <cell r="V11009"/>
          <cell r="W11009"/>
          <cell r="X11009"/>
          <cell r="Y11009"/>
        </row>
        <row r="11010">
          <cell r="V11010"/>
          <cell r="W11010"/>
          <cell r="X11010"/>
          <cell r="Y11010"/>
        </row>
        <row r="11011">
          <cell r="V11011"/>
          <cell r="W11011"/>
          <cell r="X11011"/>
          <cell r="Y11011"/>
        </row>
        <row r="11012">
          <cell r="V11012"/>
          <cell r="W11012"/>
          <cell r="X11012"/>
          <cell r="Y11012"/>
        </row>
        <row r="11013">
          <cell r="V11013"/>
          <cell r="W11013"/>
          <cell r="X11013"/>
          <cell r="Y11013"/>
        </row>
        <row r="11014">
          <cell r="V11014"/>
          <cell r="W11014"/>
          <cell r="X11014"/>
          <cell r="Y11014"/>
        </row>
        <row r="11015">
          <cell r="V11015"/>
          <cell r="W11015"/>
          <cell r="X11015"/>
          <cell r="Y11015"/>
        </row>
        <row r="11016">
          <cell r="V11016"/>
          <cell r="W11016"/>
          <cell r="X11016"/>
          <cell r="Y11016"/>
        </row>
        <row r="11017">
          <cell r="V11017"/>
          <cell r="W11017"/>
          <cell r="X11017"/>
          <cell r="Y11017"/>
        </row>
        <row r="11018">
          <cell r="V11018"/>
          <cell r="W11018"/>
          <cell r="X11018"/>
          <cell r="Y11018"/>
        </row>
        <row r="11019">
          <cell r="V11019"/>
          <cell r="W11019"/>
          <cell r="X11019"/>
          <cell r="Y11019"/>
        </row>
        <row r="11020">
          <cell r="V11020"/>
          <cell r="W11020"/>
          <cell r="X11020"/>
          <cell r="Y11020"/>
        </row>
        <row r="11021">
          <cell r="V11021"/>
          <cell r="W11021"/>
          <cell r="X11021"/>
          <cell r="Y11021"/>
        </row>
        <row r="11022">
          <cell r="V11022"/>
          <cell r="W11022"/>
          <cell r="X11022"/>
          <cell r="Y11022"/>
        </row>
        <row r="11023">
          <cell r="V11023"/>
          <cell r="W11023"/>
          <cell r="X11023"/>
          <cell r="Y11023"/>
        </row>
        <row r="11024">
          <cell r="V11024"/>
          <cell r="W11024"/>
          <cell r="X11024"/>
          <cell r="Y11024"/>
        </row>
        <row r="11025">
          <cell r="V11025"/>
          <cell r="W11025"/>
          <cell r="X11025"/>
          <cell r="Y11025"/>
        </row>
        <row r="11026">
          <cell r="V11026"/>
          <cell r="W11026"/>
          <cell r="X11026"/>
          <cell r="Y11026"/>
        </row>
        <row r="11027">
          <cell r="V11027"/>
          <cell r="W11027"/>
          <cell r="X11027"/>
          <cell r="Y11027"/>
        </row>
        <row r="11028">
          <cell r="V11028"/>
          <cell r="W11028"/>
          <cell r="X11028"/>
          <cell r="Y11028"/>
        </row>
        <row r="11029">
          <cell r="V11029"/>
          <cell r="W11029"/>
          <cell r="X11029"/>
          <cell r="Y11029"/>
        </row>
        <row r="11030">
          <cell r="V11030"/>
          <cell r="W11030"/>
          <cell r="X11030"/>
          <cell r="Y11030"/>
        </row>
        <row r="11031">
          <cell r="V11031"/>
          <cell r="W11031"/>
          <cell r="X11031"/>
          <cell r="Y11031"/>
        </row>
        <row r="11032">
          <cell r="V11032"/>
          <cell r="W11032"/>
          <cell r="X11032"/>
          <cell r="Y11032"/>
        </row>
        <row r="11033">
          <cell r="V11033"/>
          <cell r="W11033"/>
          <cell r="X11033"/>
          <cell r="Y11033"/>
        </row>
        <row r="11034">
          <cell r="V11034"/>
          <cell r="W11034"/>
          <cell r="X11034"/>
          <cell r="Y11034"/>
        </row>
        <row r="11035">
          <cell r="V11035"/>
          <cell r="W11035"/>
          <cell r="X11035"/>
          <cell r="Y11035"/>
        </row>
        <row r="11036">
          <cell r="V11036"/>
          <cell r="W11036"/>
          <cell r="X11036"/>
          <cell r="Y11036"/>
        </row>
        <row r="11037">
          <cell r="V11037"/>
          <cell r="W11037"/>
          <cell r="X11037"/>
          <cell r="Y11037"/>
        </row>
        <row r="11038">
          <cell r="V11038"/>
          <cell r="W11038"/>
          <cell r="X11038"/>
          <cell r="Y11038"/>
        </row>
        <row r="11039">
          <cell r="V11039"/>
          <cell r="W11039"/>
          <cell r="X11039"/>
          <cell r="Y11039"/>
        </row>
        <row r="11040">
          <cell r="V11040"/>
          <cell r="W11040"/>
          <cell r="X11040"/>
          <cell r="Y11040"/>
        </row>
        <row r="11041">
          <cell r="V11041"/>
          <cell r="W11041"/>
          <cell r="X11041"/>
          <cell r="Y11041"/>
        </row>
        <row r="11042">
          <cell r="V11042"/>
          <cell r="W11042"/>
          <cell r="X11042"/>
          <cell r="Y11042"/>
        </row>
        <row r="11043">
          <cell r="V11043"/>
          <cell r="W11043"/>
          <cell r="X11043"/>
          <cell r="Y11043"/>
        </row>
        <row r="11044">
          <cell r="V11044"/>
          <cell r="W11044"/>
          <cell r="X11044"/>
          <cell r="Y11044"/>
        </row>
        <row r="11045">
          <cell r="V11045"/>
          <cell r="W11045"/>
          <cell r="X11045"/>
          <cell r="Y11045"/>
        </row>
        <row r="11046">
          <cell r="V11046"/>
          <cell r="W11046"/>
          <cell r="X11046"/>
          <cell r="Y11046"/>
        </row>
        <row r="11047">
          <cell r="V11047"/>
          <cell r="W11047"/>
          <cell r="X11047"/>
          <cell r="Y11047"/>
        </row>
        <row r="11048">
          <cell r="V11048"/>
          <cell r="W11048"/>
          <cell r="X11048"/>
          <cell r="Y11048"/>
        </row>
        <row r="11049">
          <cell r="V11049"/>
          <cell r="W11049"/>
          <cell r="X11049"/>
          <cell r="Y11049"/>
        </row>
        <row r="11050">
          <cell r="V11050"/>
          <cell r="W11050"/>
          <cell r="X11050"/>
          <cell r="Y11050"/>
        </row>
        <row r="11051">
          <cell r="V11051"/>
          <cell r="W11051"/>
          <cell r="X11051"/>
          <cell r="Y11051"/>
        </row>
        <row r="11052">
          <cell r="V11052"/>
          <cell r="W11052"/>
          <cell r="X11052"/>
          <cell r="Y11052"/>
        </row>
        <row r="11053">
          <cell r="V11053"/>
          <cell r="W11053"/>
          <cell r="X11053"/>
          <cell r="Y11053"/>
        </row>
        <row r="11054">
          <cell r="V11054"/>
          <cell r="W11054"/>
          <cell r="X11054"/>
          <cell r="Y11054"/>
        </row>
        <row r="11055">
          <cell r="V11055"/>
          <cell r="W11055"/>
          <cell r="X11055"/>
          <cell r="Y11055"/>
        </row>
        <row r="11056">
          <cell r="V11056"/>
          <cell r="W11056"/>
          <cell r="X11056"/>
          <cell r="Y11056"/>
        </row>
        <row r="11057">
          <cell r="V11057"/>
          <cell r="W11057"/>
          <cell r="X11057"/>
          <cell r="Y11057"/>
        </row>
        <row r="11058">
          <cell r="V11058"/>
          <cell r="W11058"/>
          <cell r="X11058"/>
          <cell r="Y11058"/>
        </row>
        <row r="11059">
          <cell r="V11059"/>
          <cell r="W11059"/>
          <cell r="X11059"/>
          <cell r="Y11059"/>
        </row>
        <row r="11060">
          <cell r="V11060"/>
          <cell r="W11060"/>
          <cell r="X11060"/>
          <cell r="Y11060"/>
        </row>
        <row r="11061">
          <cell r="V11061"/>
          <cell r="W11061"/>
          <cell r="X11061"/>
          <cell r="Y11061"/>
        </row>
        <row r="11062">
          <cell r="V11062"/>
          <cell r="W11062"/>
          <cell r="X11062"/>
          <cell r="Y11062"/>
        </row>
        <row r="11063">
          <cell r="V11063"/>
          <cell r="W11063"/>
          <cell r="X11063"/>
          <cell r="Y11063"/>
        </row>
        <row r="11064">
          <cell r="V11064"/>
          <cell r="W11064"/>
          <cell r="X11064"/>
          <cell r="Y11064"/>
        </row>
        <row r="11065">
          <cell r="V11065"/>
          <cell r="W11065"/>
          <cell r="X11065"/>
          <cell r="Y11065"/>
        </row>
        <row r="11066">
          <cell r="V11066"/>
          <cell r="W11066"/>
          <cell r="X11066"/>
          <cell r="Y11066"/>
        </row>
        <row r="11067">
          <cell r="V11067"/>
          <cell r="W11067"/>
          <cell r="X11067"/>
          <cell r="Y11067"/>
        </row>
        <row r="11068">
          <cell r="V11068"/>
          <cell r="W11068"/>
          <cell r="X11068"/>
          <cell r="Y11068"/>
        </row>
        <row r="11069">
          <cell r="V11069"/>
          <cell r="W11069"/>
          <cell r="X11069"/>
          <cell r="Y11069"/>
        </row>
        <row r="11070">
          <cell r="V11070"/>
          <cell r="W11070"/>
          <cell r="X11070"/>
          <cell r="Y11070"/>
        </row>
        <row r="11071">
          <cell r="V11071"/>
          <cell r="W11071"/>
          <cell r="X11071"/>
          <cell r="Y11071"/>
        </row>
        <row r="11072">
          <cell r="V11072"/>
          <cell r="W11072"/>
          <cell r="X11072"/>
          <cell r="Y11072"/>
        </row>
        <row r="11073">
          <cell r="V11073"/>
          <cell r="W11073"/>
          <cell r="X11073"/>
          <cell r="Y11073"/>
        </row>
        <row r="11074">
          <cell r="V11074"/>
          <cell r="W11074"/>
          <cell r="X11074"/>
          <cell r="Y11074"/>
        </row>
        <row r="11075">
          <cell r="V11075"/>
          <cell r="W11075"/>
          <cell r="X11075"/>
          <cell r="Y11075"/>
        </row>
        <row r="11076">
          <cell r="V11076"/>
          <cell r="W11076"/>
          <cell r="X11076"/>
          <cell r="Y11076"/>
        </row>
        <row r="11077">
          <cell r="V11077"/>
          <cell r="W11077"/>
          <cell r="X11077"/>
          <cell r="Y11077"/>
        </row>
        <row r="11078">
          <cell r="V11078"/>
          <cell r="W11078"/>
          <cell r="X11078"/>
          <cell r="Y11078"/>
        </row>
        <row r="11079">
          <cell r="V11079"/>
          <cell r="W11079"/>
          <cell r="X11079"/>
          <cell r="Y11079"/>
        </row>
        <row r="11080">
          <cell r="V11080"/>
          <cell r="W11080"/>
          <cell r="X11080"/>
          <cell r="Y11080"/>
        </row>
        <row r="11081">
          <cell r="V11081"/>
          <cell r="W11081"/>
          <cell r="X11081"/>
          <cell r="Y11081"/>
        </row>
        <row r="11082">
          <cell r="V11082"/>
          <cell r="W11082"/>
          <cell r="X11082"/>
          <cell r="Y11082"/>
        </row>
        <row r="11083">
          <cell r="V11083"/>
          <cell r="W11083"/>
          <cell r="X11083"/>
          <cell r="Y11083"/>
        </row>
        <row r="11084">
          <cell r="V11084"/>
          <cell r="W11084"/>
          <cell r="X11084"/>
          <cell r="Y11084"/>
        </row>
        <row r="11085">
          <cell r="V11085"/>
          <cell r="W11085"/>
          <cell r="X11085"/>
          <cell r="Y11085"/>
        </row>
        <row r="11086">
          <cell r="V11086"/>
          <cell r="W11086"/>
          <cell r="X11086"/>
          <cell r="Y11086"/>
        </row>
        <row r="11087">
          <cell r="V11087"/>
          <cell r="W11087"/>
          <cell r="X11087"/>
          <cell r="Y11087"/>
        </row>
        <row r="11088">
          <cell r="V11088"/>
          <cell r="W11088"/>
          <cell r="X11088"/>
          <cell r="Y11088"/>
        </row>
        <row r="11089">
          <cell r="V11089"/>
          <cell r="W11089"/>
          <cell r="X11089"/>
          <cell r="Y11089"/>
        </row>
        <row r="11090">
          <cell r="V11090"/>
          <cell r="W11090"/>
          <cell r="X11090"/>
          <cell r="Y11090"/>
        </row>
        <row r="11091">
          <cell r="V11091"/>
          <cell r="W11091"/>
          <cell r="X11091"/>
          <cell r="Y11091"/>
        </row>
        <row r="11092">
          <cell r="V11092"/>
          <cell r="W11092"/>
          <cell r="X11092"/>
          <cell r="Y11092"/>
        </row>
        <row r="11093">
          <cell r="V11093"/>
          <cell r="W11093"/>
          <cell r="X11093"/>
          <cell r="Y11093"/>
        </row>
        <row r="11094">
          <cell r="V11094"/>
          <cell r="W11094"/>
          <cell r="X11094"/>
          <cell r="Y11094"/>
        </row>
        <row r="11095">
          <cell r="V11095"/>
          <cell r="W11095"/>
          <cell r="X11095"/>
          <cell r="Y11095"/>
        </row>
        <row r="11096">
          <cell r="V11096"/>
          <cell r="W11096"/>
          <cell r="X11096"/>
          <cell r="Y11096"/>
        </row>
        <row r="11097">
          <cell r="V11097"/>
          <cell r="W11097"/>
          <cell r="X11097"/>
          <cell r="Y11097"/>
        </row>
        <row r="11098">
          <cell r="V11098"/>
          <cell r="W11098"/>
          <cell r="X11098"/>
          <cell r="Y11098"/>
        </row>
        <row r="11099">
          <cell r="V11099"/>
          <cell r="W11099"/>
          <cell r="X11099"/>
          <cell r="Y11099"/>
        </row>
        <row r="11100">
          <cell r="V11100"/>
          <cell r="W11100"/>
          <cell r="X11100"/>
          <cell r="Y11100"/>
        </row>
        <row r="11101">
          <cell r="V11101"/>
          <cell r="W11101"/>
          <cell r="X11101"/>
          <cell r="Y11101"/>
        </row>
        <row r="11102">
          <cell r="V11102"/>
          <cell r="W11102"/>
          <cell r="X11102"/>
          <cell r="Y11102"/>
        </row>
        <row r="11103">
          <cell r="V11103"/>
          <cell r="W11103"/>
          <cell r="X11103"/>
          <cell r="Y11103"/>
        </row>
        <row r="11104">
          <cell r="V11104"/>
          <cell r="W11104"/>
          <cell r="X11104"/>
          <cell r="Y11104"/>
        </row>
        <row r="11105">
          <cell r="V11105"/>
          <cell r="W11105"/>
          <cell r="X11105"/>
          <cell r="Y11105"/>
        </row>
        <row r="11106">
          <cell r="V11106"/>
          <cell r="W11106"/>
          <cell r="X11106"/>
          <cell r="Y11106"/>
        </row>
        <row r="11107">
          <cell r="V11107"/>
          <cell r="W11107"/>
          <cell r="X11107"/>
          <cell r="Y11107"/>
        </row>
        <row r="11108">
          <cell r="V11108"/>
          <cell r="W11108"/>
          <cell r="X11108"/>
          <cell r="Y11108"/>
        </row>
        <row r="11109">
          <cell r="V11109"/>
          <cell r="W11109"/>
          <cell r="X11109"/>
          <cell r="Y11109"/>
        </row>
        <row r="11110">
          <cell r="V11110"/>
          <cell r="W11110"/>
          <cell r="X11110"/>
          <cell r="Y11110"/>
        </row>
        <row r="11111">
          <cell r="V11111"/>
          <cell r="W11111"/>
          <cell r="X11111"/>
          <cell r="Y11111"/>
        </row>
        <row r="11112">
          <cell r="V11112"/>
          <cell r="W11112"/>
          <cell r="X11112"/>
          <cell r="Y11112"/>
        </row>
        <row r="11113">
          <cell r="V11113"/>
          <cell r="W11113"/>
          <cell r="X11113"/>
          <cell r="Y11113"/>
        </row>
        <row r="11114">
          <cell r="V11114"/>
          <cell r="W11114"/>
          <cell r="X11114"/>
          <cell r="Y11114"/>
        </row>
        <row r="11115">
          <cell r="V11115"/>
          <cell r="W11115"/>
          <cell r="X11115"/>
          <cell r="Y11115"/>
        </row>
        <row r="11116">
          <cell r="V11116"/>
          <cell r="W11116"/>
          <cell r="X11116"/>
          <cell r="Y11116"/>
        </row>
        <row r="11117">
          <cell r="V11117"/>
          <cell r="W11117"/>
          <cell r="X11117"/>
          <cell r="Y11117"/>
        </row>
        <row r="11118">
          <cell r="V11118"/>
          <cell r="W11118"/>
          <cell r="X11118"/>
          <cell r="Y11118"/>
        </row>
        <row r="11119">
          <cell r="V11119"/>
          <cell r="W11119"/>
          <cell r="X11119"/>
          <cell r="Y11119"/>
        </row>
        <row r="11120">
          <cell r="V11120"/>
          <cell r="W11120"/>
          <cell r="X11120"/>
          <cell r="Y11120"/>
        </row>
        <row r="11121">
          <cell r="V11121"/>
          <cell r="W11121"/>
          <cell r="X11121"/>
          <cell r="Y11121"/>
        </row>
        <row r="11122">
          <cell r="V11122"/>
          <cell r="W11122"/>
          <cell r="X11122"/>
          <cell r="Y11122"/>
        </row>
        <row r="11123">
          <cell r="V11123"/>
          <cell r="W11123"/>
          <cell r="X11123"/>
          <cell r="Y11123"/>
        </row>
        <row r="11124">
          <cell r="V11124"/>
          <cell r="W11124"/>
          <cell r="X11124"/>
          <cell r="Y11124"/>
        </row>
        <row r="11125">
          <cell r="V11125"/>
          <cell r="W11125"/>
          <cell r="X11125"/>
          <cell r="Y11125"/>
        </row>
        <row r="11126">
          <cell r="V11126"/>
          <cell r="W11126"/>
          <cell r="X11126"/>
          <cell r="Y11126"/>
        </row>
        <row r="11127">
          <cell r="V11127"/>
          <cell r="W11127"/>
          <cell r="X11127"/>
          <cell r="Y11127"/>
        </row>
        <row r="11128">
          <cell r="V11128"/>
          <cell r="W11128"/>
          <cell r="X11128"/>
          <cell r="Y11128"/>
        </row>
        <row r="11129">
          <cell r="V11129"/>
          <cell r="W11129"/>
          <cell r="X11129"/>
          <cell r="Y11129"/>
        </row>
        <row r="11130">
          <cell r="V11130"/>
          <cell r="W11130"/>
          <cell r="X11130"/>
          <cell r="Y11130"/>
        </row>
        <row r="11131">
          <cell r="V11131"/>
          <cell r="W11131"/>
          <cell r="X11131"/>
          <cell r="Y11131"/>
        </row>
        <row r="11132">
          <cell r="V11132"/>
          <cell r="W11132"/>
          <cell r="X11132"/>
          <cell r="Y11132"/>
        </row>
        <row r="11133">
          <cell r="V11133"/>
          <cell r="W11133"/>
          <cell r="X11133"/>
          <cell r="Y11133"/>
        </row>
        <row r="11134">
          <cell r="V11134"/>
          <cell r="W11134"/>
          <cell r="X11134"/>
          <cell r="Y11134"/>
        </row>
        <row r="11135">
          <cell r="V11135"/>
          <cell r="W11135"/>
          <cell r="X11135"/>
          <cell r="Y11135"/>
        </row>
        <row r="11136">
          <cell r="V11136"/>
          <cell r="W11136"/>
          <cell r="X11136"/>
          <cell r="Y11136"/>
        </row>
        <row r="11137">
          <cell r="V11137"/>
          <cell r="W11137"/>
          <cell r="X11137"/>
          <cell r="Y11137"/>
        </row>
        <row r="11138">
          <cell r="V11138"/>
          <cell r="W11138"/>
          <cell r="X11138"/>
          <cell r="Y11138"/>
        </row>
        <row r="11139">
          <cell r="V11139"/>
          <cell r="W11139"/>
          <cell r="X11139"/>
          <cell r="Y11139"/>
        </row>
        <row r="11140">
          <cell r="V11140"/>
          <cell r="W11140"/>
          <cell r="X11140"/>
          <cell r="Y11140"/>
        </row>
        <row r="11141">
          <cell r="V11141"/>
          <cell r="W11141"/>
          <cell r="X11141"/>
          <cell r="Y11141"/>
        </row>
        <row r="11142">
          <cell r="V11142"/>
          <cell r="W11142"/>
          <cell r="X11142"/>
          <cell r="Y11142"/>
        </row>
        <row r="11143">
          <cell r="V11143"/>
          <cell r="W11143"/>
          <cell r="X11143"/>
          <cell r="Y11143"/>
        </row>
        <row r="11144">
          <cell r="V11144"/>
          <cell r="W11144"/>
          <cell r="X11144"/>
          <cell r="Y11144"/>
        </row>
        <row r="11145">
          <cell r="V11145"/>
          <cell r="W11145"/>
          <cell r="X11145"/>
          <cell r="Y11145"/>
        </row>
        <row r="11146">
          <cell r="V11146"/>
          <cell r="W11146"/>
          <cell r="X11146"/>
          <cell r="Y11146"/>
        </row>
        <row r="11147">
          <cell r="V11147"/>
          <cell r="W11147"/>
          <cell r="X11147"/>
          <cell r="Y11147"/>
        </row>
        <row r="11148">
          <cell r="V11148"/>
          <cell r="W11148"/>
          <cell r="X11148"/>
          <cell r="Y11148"/>
        </row>
        <row r="11149">
          <cell r="V11149"/>
          <cell r="W11149"/>
          <cell r="X11149"/>
          <cell r="Y11149"/>
        </row>
        <row r="11150">
          <cell r="V11150"/>
          <cell r="W11150"/>
          <cell r="X11150"/>
          <cell r="Y11150"/>
        </row>
        <row r="11151">
          <cell r="V11151"/>
          <cell r="W11151"/>
          <cell r="X11151"/>
          <cell r="Y11151"/>
        </row>
        <row r="11152">
          <cell r="V11152"/>
          <cell r="W11152"/>
          <cell r="X11152"/>
          <cell r="Y11152"/>
        </row>
        <row r="11153">
          <cell r="V11153"/>
          <cell r="W11153"/>
          <cell r="X11153"/>
          <cell r="Y11153"/>
        </row>
        <row r="11154">
          <cell r="V11154"/>
          <cell r="W11154"/>
          <cell r="X11154"/>
          <cell r="Y11154"/>
        </row>
        <row r="11155">
          <cell r="V11155"/>
          <cell r="W11155"/>
          <cell r="X11155"/>
          <cell r="Y11155"/>
        </row>
        <row r="11156">
          <cell r="V11156"/>
          <cell r="W11156"/>
          <cell r="X11156"/>
          <cell r="Y11156"/>
        </row>
        <row r="11157">
          <cell r="V11157"/>
          <cell r="W11157"/>
          <cell r="X11157"/>
          <cell r="Y11157"/>
        </row>
        <row r="11158">
          <cell r="V11158"/>
          <cell r="W11158"/>
          <cell r="X11158"/>
          <cell r="Y11158"/>
        </row>
        <row r="11159">
          <cell r="V11159"/>
          <cell r="W11159"/>
          <cell r="X11159"/>
          <cell r="Y11159"/>
        </row>
        <row r="11160">
          <cell r="V11160"/>
          <cell r="W11160"/>
          <cell r="X11160"/>
          <cell r="Y11160"/>
        </row>
        <row r="11161">
          <cell r="V11161"/>
          <cell r="W11161"/>
          <cell r="X11161"/>
          <cell r="Y11161"/>
        </row>
        <row r="11162">
          <cell r="V11162"/>
          <cell r="W11162"/>
          <cell r="X11162"/>
          <cell r="Y11162"/>
        </row>
        <row r="11163">
          <cell r="V11163"/>
          <cell r="W11163"/>
          <cell r="X11163"/>
          <cell r="Y11163"/>
        </row>
        <row r="11164">
          <cell r="V11164"/>
          <cell r="W11164"/>
          <cell r="X11164"/>
          <cell r="Y11164"/>
        </row>
        <row r="11165">
          <cell r="V11165"/>
          <cell r="W11165"/>
          <cell r="X11165"/>
          <cell r="Y11165"/>
        </row>
        <row r="11166">
          <cell r="V11166"/>
          <cell r="W11166"/>
          <cell r="X11166"/>
          <cell r="Y11166"/>
        </row>
        <row r="11167">
          <cell r="V11167"/>
          <cell r="W11167"/>
          <cell r="X11167"/>
          <cell r="Y11167"/>
        </row>
        <row r="11168">
          <cell r="V11168"/>
          <cell r="W11168"/>
          <cell r="X11168"/>
          <cell r="Y11168"/>
        </row>
        <row r="11169">
          <cell r="V11169"/>
          <cell r="W11169"/>
          <cell r="X11169"/>
          <cell r="Y11169"/>
        </row>
        <row r="11170">
          <cell r="V11170"/>
          <cell r="W11170"/>
          <cell r="X11170"/>
          <cell r="Y11170"/>
        </row>
        <row r="11171">
          <cell r="V11171"/>
          <cell r="W11171"/>
          <cell r="X11171"/>
          <cell r="Y11171"/>
        </row>
        <row r="11172">
          <cell r="V11172"/>
          <cell r="W11172"/>
          <cell r="X11172"/>
          <cell r="Y11172"/>
        </row>
        <row r="11173">
          <cell r="V11173"/>
          <cell r="W11173"/>
          <cell r="X11173"/>
          <cell r="Y11173"/>
        </row>
        <row r="11174">
          <cell r="V11174"/>
          <cell r="W11174"/>
          <cell r="X11174"/>
          <cell r="Y11174"/>
        </row>
        <row r="11175">
          <cell r="V11175"/>
          <cell r="W11175"/>
          <cell r="X11175"/>
          <cell r="Y11175"/>
        </row>
        <row r="11176">
          <cell r="V11176"/>
          <cell r="W11176"/>
          <cell r="X11176"/>
          <cell r="Y11176"/>
        </row>
        <row r="11177">
          <cell r="V11177"/>
          <cell r="W11177"/>
          <cell r="X11177"/>
          <cell r="Y11177"/>
        </row>
        <row r="11178">
          <cell r="V11178"/>
          <cell r="W11178"/>
          <cell r="X11178"/>
          <cell r="Y11178"/>
        </row>
        <row r="11179">
          <cell r="V11179"/>
          <cell r="W11179"/>
          <cell r="X11179"/>
          <cell r="Y11179"/>
        </row>
        <row r="11180">
          <cell r="V11180"/>
          <cell r="W11180"/>
          <cell r="X11180"/>
          <cell r="Y11180"/>
        </row>
        <row r="11181">
          <cell r="V11181"/>
          <cell r="W11181"/>
          <cell r="X11181"/>
          <cell r="Y11181"/>
        </row>
        <row r="11182">
          <cell r="V11182"/>
          <cell r="W11182"/>
          <cell r="X11182"/>
          <cell r="Y11182"/>
        </row>
        <row r="11183">
          <cell r="V11183"/>
          <cell r="W11183"/>
          <cell r="X11183"/>
          <cell r="Y11183"/>
        </row>
        <row r="11184">
          <cell r="V11184"/>
          <cell r="W11184"/>
          <cell r="X11184"/>
          <cell r="Y11184"/>
        </row>
        <row r="11185">
          <cell r="V11185"/>
          <cell r="W11185"/>
          <cell r="X11185"/>
          <cell r="Y11185"/>
        </row>
        <row r="11186">
          <cell r="V11186"/>
          <cell r="W11186"/>
          <cell r="X11186"/>
          <cell r="Y11186"/>
        </row>
        <row r="11187">
          <cell r="V11187"/>
          <cell r="W11187"/>
          <cell r="X11187"/>
          <cell r="Y11187"/>
        </row>
        <row r="11188">
          <cell r="V11188"/>
          <cell r="W11188"/>
          <cell r="X11188"/>
          <cell r="Y11188"/>
        </row>
        <row r="11189">
          <cell r="V11189"/>
          <cell r="W11189"/>
          <cell r="X11189"/>
          <cell r="Y11189"/>
        </row>
        <row r="11190">
          <cell r="V11190"/>
          <cell r="W11190"/>
          <cell r="X11190"/>
          <cell r="Y11190"/>
        </row>
        <row r="11191">
          <cell r="V11191"/>
          <cell r="W11191"/>
          <cell r="X11191"/>
          <cell r="Y11191"/>
        </row>
        <row r="11192">
          <cell r="V11192"/>
          <cell r="W11192"/>
          <cell r="X11192"/>
          <cell r="Y11192"/>
        </row>
        <row r="11193">
          <cell r="V11193"/>
          <cell r="W11193"/>
          <cell r="X11193"/>
          <cell r="Y11193"/>
        </row>
        <row r="11194">
          <cell r="V11194"/>
          <cell r="W11194"/>
          <cell r="X11194"/>
          <cell r="Y11194"/>
        </row>
        <row r="11195">
          <cell r="V11195"/>
          <cell r="W11195"/>
          <cell r="X11195"/>
          <cell r="Y11195"/>
        </row>
        <row r="11196">
          <cell r="V11196"/>
          <cell r="W11196"/>
          <cell r="X11196"/>
          <cell r="Y11196"/>
        </row>
        <row r="11197">
          <cell r="V11197"/>
          <cell r="W11197"/>
          <cell r="X11197"/>
          <cell r="Y11197"/>
        </row>
        <row r="11198">
          <cell r="V11198"/>
          <cell r="W11198"/>
          <cell r="X11198"/>
          <cell r="Y11198"/>
        </row>
        <row r="11199">
          <cell r="V11199"/>
          <cell r="W11199"/>
          <cell r="X11199"/>
          <cell r="Y11199"/>
        </row>
        <row r="11200">
          <cell r="V11200"/>
          <cell r="W11200"/>
          <cell r="X11200"/>
          <cell r="Y11200"/>
        </row>
        <row r="11201">
          <cell r="V11201"/>
          <cell r="W11201"/>
          <cell r="X11201"/>
          <cell r="Y11201"/>
        </row>
        <row r="11202">
          <cell r="V11202"/>
          <cell r="W11202"/>
          <cell r="X11202"/>
          <cell r="Y11202"/>
        </row>
        <row r="11203">
          <cell r="V11203"/>
          <cell r="W11203"/>
          <cell r="X11203"/>
          <cell r="Y11203"/>
        </row>
        <row r="11204">
          <cell r="V11204"/>
          <cell r="W11204"/>
          <cell r="X11204"/>
          <cell r="Y11204"/>
        </row>
        <row r="11205">
          <cell r="V11205"/>
          <cell r="W11205"/>
          <cell r="X11205"/>
          <cell r="Y11205"/>
        </row>
        <row r="11206">
          <cell r="V11206"/>
          <cell r="W11206"/>
          <cell r="X11206"/>
          <cell r="Y11206"/>
        </row>
        <row r="11207">
          <cell r="V11207"/>
          <cell r="W11207"/>
          <cell r="X11207"/>
          <cell r="Y11207"/>
        </row>
        <row r="11208">
          <cell r="V11208"/>
          <cell r="W11208"/>
          <cell r="X11208"/>
          <cell r="Y11208"/>
        </row>
        <row r="11209">
          <cell r="V11209"/>
          <cell r="W11209"/>
          <cell r="X11209"/>
          <cell r="Y11209"/>
        </row>
        <row r="11210">
          <cell r="V11210"/>
          <cell r="W11210"/>
          <cell r="X11210"/>
          <cell r="Y11210"/>
        </row>
        <row r="11211">
          <cell r="V11211"/>
          <cell r="W11211"/>
          <cell r="X11211"/>
          <cell r="Y11211"/>
        </row>
        <row r="11212">
          <cell r="V11212"/>
          <cell r="W11212"/>
          <cell r="X11212"/>
          <cell r="Y11212"/>
        </row>
        <row r="11213">
          <cell r="V11213"/>
          <cell r="W11213"/>
          <cell r="X11213"/>
          <cell r="Y11213"/>
        </row>
        <row r="11214">
          <cell r="V11214"/>
          <cell r="W11214"/>
          <cell r="X11214"/>
          <cell r="Y11214"/>
        </row>
        <row r="11215">
          <cell r="V11215"/>
          <cell r="W11215"/>
          <cell r="X11215"/>
          <cell r="Y11215"/>
        </row>
        <row r="11216">
          <cell r="V11216"/>
          <cell r="W11216"/>
          <cell r="X11216"/>
          <cell r="Y11216"/>
        </row>
        <row r="11217">
          <cell r="V11217"/>
          <cell r="W11217"/>
          <cell r="X11217"/>
          <cell r="Y11217"/>
        </row>
        <row r="11218">
          <cell r="V11218"/>
          <cell r="W11218"/>
          <cell r="X11218"/>
          <cell r="Y11218"/>
        </row>
        <row r="11219">
          <cell r="V11219"/>
          <cell r="W11219"/>
          <cell r="X11219"/>
          <cell r="Y11219"/>
        </row>
        <row r="11220">
          <cell r="V11220"/>
          <cell r="W11220"/>
          <cell r="X11220"/>
          <cell r="Y11220"/>
        </row>
        <row r="11221">
          <cell r="V11221"/>
          <cell r="W11221"/>
          <cell r="X11221"/>
          <cell r="Y11221"/>
        </row>
        <row r="11222">
          <cell r="V11222"/>
          <cell r="W11222"/>
          <cell r="X11222"/>
          <cell r="Y11222"/>
        </row>
        <row r="11223">
          <cell r="V11223"/>
          <cell r="W11223"/>
          <cell r="X11223"/>
          <cell r="Y11223"/>
        </row>
        <row r="11224">
          <cell r="V11224"/>
          <cell r="W11224"/>
          <cell r="X11224"/>
          <cell r="Y11224"/>
        </row>
        <row r="11225">
          <cell r="V11225"/>
          <cell r="W11225"/>
          <cell r="X11225"/>
          <cell r="Y11225"/>
        </row>
        <row r="11226">
          <cell r="V11226"/>
          <cell r="W11226"/>
          <cell r="X11226"/>
          <cell r="Y11226"/>
        </row>
        <row r="11227">
          <cell r="V11227"/>
          <cell r="W11227"/>
          <cell r="X11227"/>
          <cell r="Y11227"/>
        </row>
        <row r="11228">
          <cell r="V11228"/>
          <cell r="W11228"/>
          <cell r="X11228"/>
          <cell r="Y11228"/>
        </row>
        <row r="11229">
          <cell r="V11229"/>
          <cell r="W11229"/>
          <cell r="X11229"/>
          <cell r="Y11229"/>
        </row>
        <row r="11230">
          <cell r="V11230"/>
          <cell r="W11230"/>
          <cell r="X11230"/>
          <cell r="Y11230"/>
        </row>
        <row r="11231">
          <cell r="V11231"/>
          <cell r="W11231"/>
          <cell r="X11231"/>
          <cell r="Y11231"/>
        </row>
        <row r="11232">
          <cell r="V11232"/>
          <cell r="W11232"/>
          <cell r="X11232"/>
          <cell r="Y11232"/>
        </row>
        <row r="11233">
          <cell r="V11233"/>
          <cell r="W11233"/>
          <cell r="X11233"/>
          <cell r="Y11233"/>
        </row>
        <row r="11234">
          <cell r="V11234"/>
          <cell r="W11234"/>
          <cell r="X11234"/>
          <cell r="Y11234"/>
        </row>
        <row r="11235">
          <cell r="V11235"/>
          <cell r="W11235"/>
          <cell r="X11235"/>
          <cell r="Y11235"/>
        </row>
        <row r="11236">
          <cell r="V11236"/>
          <cell r="W11236"/>
          <cell r="X11236"/>
          <cell r="Y11236"/>
        </row>
        <row r="11237">
          <cell r="V11237"/>
          <cell r="W11237"/>
          <cell r="X11237"/>
          <cell r="Y11237"/>
        </row>
        <row r="11238">
          <cell r="V11238"/>
          <cell r="W11238"/>
          <cell r="X11238"/>
          <cell r="Y11238"/>
        </row>
        <row r="11239">
          <cell r="V11239"/>
          <cell r="W11239"/>
          <cell r="X11239"/>
          <cell r="Y11239"/>
        </row>
        <row r="11240">
          <cell r="V11240"/>
          <cell r="W11240"/>
          <cell r="X11240"/>
          <cell r="Y11240"/>
        </row>
        <row r="11241">
          <cell r="V11241"/>
          <cell r="W11241"/>
          <cell r="X11241"/>
          <cell r="Y11241"/>
        </row>
        <row r="11242">
          <cell r="V11242"/>
          <cell r="W11242"/>
          <cell r="X11242"/>
          <cell r="Y11242"/>
        </row>
        <row r="11243">
          <cell r="V11243"/>
          <cell r="W11243"/>
          <cell r="X11243"/>
          <cell r="Y11243"/>
        </row>
        <row r="11244">
          <cell r="V11244"/>
          <cell r="W11244"/>
          <cell r="X11244"/>
          <cell r="Y11244"/>
        </row>
        <row r="11245">
          <cell r="V11245"/>
          <cell r="W11245"/>
          <cell r="X11245"/>
          <cell r="Y11245"/>
        </row>
        <row r="11246">
          <cell r="V11246"/>
          <cell r="W11246"/>
          <cell r="X11246"/>
          <cell r="Y11246"/>
        </row>
        <row r="11247">
          <cell r="V11247"/>
          <cell r="W11247"/>
          <cell r="X11247"/>
          <cell r="Y11247"/>
        </row>
        <row r="11248">
          <cell r="V11248"/>
          <cell r="W11248"/>
          <cell r="X11248"/>
          <cell r="Y11248"/>
        </row>
        <row r="11249">
          <cell r="V11249"/>
          <cell r="W11249"/>
          <cell r="X11249"/>
          <cell r="Y11249"/>
        </row>
        <row r="11250">
          <cell r="V11250"/>
          <cell r="W11250"/>
          <cell r="X11250"/>
          <cell r="Y11250"/>
        </row>
        <row r="11251">
          <cell r="V11251"/>
          <cell r="W11251"/>
          <cell r="X11251"/>
          <cell r="Y11251"/>
        </row>
        <row r="11252">
          <cell r="V11252"/>
          <cell r="W11252"/>
          <cell r="X11252"/>
          <cell r="Y11252"/>
        </row>
        <row r="11253">
          <cell r="V11253"/>
          <cell r="W11253"/>
          <cell r="X11253"/>
          <cell r="Y11253"/>
        </row>
        <row r="11254">
          <cell r="V11254"/>
          <cell r="W11254"/>
          <cell r="X11254"/>
          <cell r="Y11254"/>
        </row>
        <row r="11255">
          <cell r="V11255"/>
          <cell r="W11255"/>
          <cell r="X11255"/>
          <cell r="Y11255"/>
        </row>
        <row r="11256">
          <cell r="V11256"/>
          <cell r="W11256"/>
          <cell r="X11256"/>
          <cell r="Y11256"/>
        </row>
        <row r="11257">
          <cell r="V11257"/>
          <cell r="W11257"/>
          <cell r="X11257"/>
          <cell r="Y11257"/>
        </row>
        <row r="11258">
          <cell r="V11258"/>
          <cell r="W11258"/>
          <cell r="X11258"/>
          <cell r="Y11258"/>
        </row>
        <row r="11259">
          <cell r="V11259"/>
          <cell r="W11259"/>
          <cell r="X11259"/>
          <cell r="Y11259"/>
        </row>
        <row r="11260">
          <cell r="V11260"/>
          <cell r="W11260"/>
          <cell r="X11260"/>
          <cell r="Y11260"/>
        </row>
        <row r="11261">
          <cell r="V11261"/>
          <cell r="W11261"/>
          <cell r="X11261"/>
          <cell r="Y11261"/>
        </row>
        <row r="11262">
          <cell r="V11262"/>
          <cell r="W11262"/>
          <cell r="X11262"/>
          <cell r="Y11262"/>
        </row>
        <row r="11263">
          <cell r="V11263"/>
          <cell r="W11263"/>
          <cell r="X11263"/>
          <cell r="Y11263"/>
        </row>
        <row r="11264">
          <cell r="V11264"/>
          <cell r="W11264"/>
          <cell r="X11264"/>
          <cell r="Y11264"/>
        </row>
        <row r="11265">
          <cell r="V11265"/>
          <cell r="W11265"/>
          <cell r="X11265"/>
          <cell r="Y11265"/>
        </row>
        <row r="11266">
          <cell r="V11266"/>
          <cell r="W11266"/>
          <cell r="X11266"/>
          <cell r="Y11266"/>
        </row>
        <row r="11267">
          <cell r="V11267"/>
          <cell r="W11267"/>
          <cell r="X11267"/>
          <cell r="Y11267"/>
        </row>
        <row r="11268">
          <cell r="V11268"/>
          <cell r="W11268"/>
          <cell r="X11268"/>
          <cell r="Y11268"/>
        </row>
        <row r="11269">
          <cell r="V11269"/>
          <cell r="W11269"/>
          <cell r="X11269"/>
          <cell r="Y11269"/>
        </row>
        <row r="11270">
          <cell r="V11270"/>
          <cell r="W11270"/>
          <cell r="X11270"/>
          <cell r="Y11270"/>
        </row>
        <row r="11271">
          <cell r="V11271"/>
          <cell r="W11271"/>
          <cell r="X11271"/>
          <cell r="Y11271"/>
        </row>
        <row r="11272">
          <cell r="V11272"/>
          <cell r="W11272"/>
          <cell r="X11272"/>
          <cell r="Y11272"/>
        </row>
        <row r="11273">
          <cell r="V11273"/>
          <cell r="W11273"/>
          <cell r="X11273"/>
          <cell r="Y11273"/>
        </row>
        <row r="11274">
          <cell r="V11274"/>
          <cell r="W11274"/>
          <cell r="X11274"/>
          <cell r="Y11274"/>
        </row>
        <row r="11275">
          <cell r="V11275"/>
          <cell r="W11275"/>
          <cell r="X11275"/>
          <cell r="Y11275"/>
        </row>
        <row r="11276">
          <cell r="V11276"/>
          <cell r="W11276"/>
          <cell r="X11276"/>
          <cell r="Y11276"/>
        </row>
        <row r="11277">
          <cell r="V11277"/>
          <cell r="W11277"/>
          <cell r="X11277"/>
          <cell r="Y11277"/>
        </row>
        <row r="11278">
          <cell r="V11278"/>
          <cell r="W11278"/>
          <cell r="X11278"/>
          <cell r="Y11278"/>
        </row>
        <row r="11279">
          <cell r="V11279"/>
          <cell r="W11279"/>
          <cell r="X11279"/>
          <cell r="Y11279"/>
        </row>
        <row r="11280">
          <cell r="V11280"/>
          <cell r="W11280"/>
          <cell r="X11280"/>
          <cell r="Y11280"/>
        </row>
        <row r="11281">
          <cell r="V11281"/>
          <cell r="W11281"/>
          <cell r="X11281"/>
          <cell r="Y11281"/>
        </row>
        <row r="11282">
          <cell r="V11282"/>
          <cell r="W11282"/>
          <cell r="X11282"/>
          <cell r="Y11282"/>
        </row>
        <row r="11283">
          <cell r="V11283"/>
          <cell r="W11283"/>
          <cell r="X11283"/>
          <cell r="Y11283"/>
        </row>
        <row r="11284">
          <cell r="V11284"/>
          <cell r="W11284"/>
          <cell r="X11284"/>
          <cell r="Y11284"/>
        </row>
        <row r="11285">
          <cell r="V11285"/>
          <cell r="W11285"/>
          <cell r="X11285"/>
          <cell r="Y11285"/>
        </row>
        <row r="11286">
          <cell r="V11286"/>
          <cell r="W11286"/>
          <cell r="X11286"/>
          <cell r="Y11286"/>
        </row>
        <row r="11287">
          <cell r="V11287"/>
          <cell r="W11287"/>
          <cell r="X11287"/>
          <cell r="Y11287"/>
        </row>
        <row r="11288">
          <cell r="V11288"/>
          <cell r="W11288"/>
          <cell r="X11288"/>
          <cell r="Y11288"/>
        </row>
        <row r="11289">
          <cell r="V11289"/>
          <cell r="W11289"/>
          <cell r="X11289"/>
          <cell r="Y11289"/>
        </row>
        <row r="11290">
          <cell r="V11290"/>
          <cell r="W11290"/>
          <cell r="X11290"/>
          <cell r="Y11290"/>
        </row>
        <row r="11291">
          <cell r="V11291"/>
          <cell r="W11291"/>
          <cell r="X11291"/>
          <cell r="Y11291"/>
        </row>
        <row r="11292">
          <cell r="V11292"/>
          <cell r="W11292"/>
          <cell r="X11292"/>
          <cell r="Y11292"/>
        </row>
        <row r="11293">
          <cell r="V11293"/>
          <cell r="W11293"/>
          <cell r="X11293"/>
          <cell r="Y11293"/>
        </row>
        <row r="11294">
          <cell r="V11294"/>
          <cell r="W11294"/>
          <cell r="X11294"/>
          <cell r="Y11294"/>
        </row>
        <row r="11295">
          <cell r="V11295"/>
          <cell r="W11295"/>
          <cell r="X11295"/>
          <cell r="Y11295"/>
        </row>
        <row r="11296">
          <cell r="V11296"/>
          <cell r="W11296"/>
          <cell r="X11296"/>
          <cell r="Y11296"/>
        </row>
        <row r="11297">
          <cell r="V11297"/>
          <cell r="W11297"/>
          <cell r="X11297"/>
          <cell r="Y11297"/>
        </row>
        <row r="11298">
          <cell r="V11298"/>
          <cell r="W11298"/>
          <cell r="X11298"/>
          <cell r="Y11298"/>
        </row>
        <row r="11299">
          <cell r="V11299"/>
          <cell r="W11299"/>
          <cell r="X11299"/>
          <cell r="Y11299"/>
        </row>
        <row r="11300">
          <cell r="V11300"/>
          <cell r="W11300"/>
          <cell r="X11300"/>
          <cell r="Y11300"/>
        </row>
        <row r="11301">
          <cell r="V11301"/>
          <cell r="W11301"/>
          <cell r="X11301"/>
          <cell r="Y11301"/>
        </row>
        <row r="11302">
          <cell r="V11302"/>
          <cell r="W11302"/>
          <cell r="X11302"/>
          <cell r="Y11302"/>
        </row>
        <row r="11303">
          <cell r="V11303"/>
          <cell r="W11303"/>
          <cell r="X11303"/>
          <cell r="Y11303"/>
        </row>
        <row r="11304">
          <cell r="V11304"/>
          <cell r="W11304"/>
          <cell r="X11304"/>
          <cell r="Y11304"/>
        </row>
        <row r="11305">
          <cell r="V11305"/>
          <cell r="W11305"/>
          <cell r="X11305"/>
          <cell r="Y11305"/>
        </row>
        <row r="11306">
          <cell r="V11306"/>
          <cell r="W11306"/>
          <cell r="X11306"/>
          <cell r="Y11306"/>
        </row>
        <row r="11307">
          <cell r="V11307"/>
          <cell r="W11307"/>
          <cell r="X11307"/>
          <cell r="Y11307"/>
        </row>
        <row r="11308">
          <cell r="V11308"/>
          <cell r="W11308"/>
          <cell r="X11308"/>
          <cell r="Y11308"/>
        </row>
        <row r="11309">
          <cell r="V11309"/>
          <cell r="W11309"/>
          <cell r="X11309"/>
          <cell r="Y11309"/>
        </row>
        <row r="11310">
          <cell r="V11310"/>
          <cell r="W11310"/>
          <cell r="X11310"/>
          <cell r="Y11310"/>
        </row>
        <row r="11311">
          <cell r="V11311"/>
          <cell r="W11311"/>
          <cell r="X11311"/>
          <cell r="Y11311"/>
        </row>
        <row r="11312">
          <cell r="V11312"/>
          <cell r="W11312"/>
          <cell r="X11312"/>
          <cell r="Y11312"/>
        </row>
        <row r="11313">
          <cell r="V11313"/>
          <cell r="W11313"/>
          <cell r="X11313"/>
          <cell r="Y11313"/>
        </row>
        <row r="11314">
          <cell r="V11314"/>
          <cell r="W11314"/>
          <cell r="X11314"/>
          <cell r="Y11314"/>
        </row>
        <row r="11315">
          <cell r="V11315"/>
          <cell r="W11315"/>
          <cell r="X11315"/>
          <cell r="Y11315"/>
        </row>
        <row r="11316">
          <cell r="V11316"/>
          <cell r="W11316"/>
          <cell r="X11316"/>
          <cell r="Y11316"/>
        </row>
        <row r="11317">
          <cell r="V11317"/>
          <cell r="W11317"/>
          <cell r="X11317"/>
          <cell r="Y11317"/>
        </row>
        <row r="11318">
          <cell r="V11318"/>
          <cell r="W11318"/>
          <cell r="X11318"/>
          <cell r="Y11318"/>
        </row>
        <row r="11319">
          <cell r="V11319"/>
          <cell r="W11319"/>
          <cell r="X11319"/>
          <cell r="Y11319"/>
        </row>
        <row r="11320">
          <cell r="V11320"/>
          <cell r="W11320"/>
          <cell r="X11320"/>
          <cell r="Y11320"/>
        </row>
        <row r="11321">
          <cell r="V11321"/>
          <cell r="W11321"/>
          <cell r="X11321"/>
          <cell r="Y11321"/>
        </row>
        <row r="11322">
          <cell r="V11322"/>
          <cell r="W11322"/>
          <cell r="X11322"/>
          <cell r="Y11322"/>
        </row>
        <row r="11323">
          <cell r="V11323"/>
          <cell r="W11323"/>
          <cell r="X11323"/>
          <cell r="Y11323"/>
        </row>
        <row r="11324">
          <cell r="V11324"/>
          <cell r="W11324"/>
          <cell r="X11324"/>
          <cell r="Y11324"/>
        </row>
        <row r="11325">
          <cell r="V11325"/>
          <cell r="W11325"/>
          <cell r="X11325"/>
          <cell r="Y11325"/>
        </row>
        <row r="11326">
          <cell r="V11326"/>
          <cell r="W11326"/>
          <cell r="X11326"/>
          <cell r="Y11326"/>
        </row>
        <row r="11327">
          <cell r="V11327"/>
          <cell r="W11327"/>
          <cell r="X11327"/>
          <cell r="Y11327"/>
        </row>
        <row r="11328">
          <cell r="V11328"/>
          <cell r="W11328"/>
          <cell r="X11328"/>
          <cell r="Y11328"/>
        </row>
        <row r="11329">
          <cell r="V11329"/>
          <cell r="W11329"/>
          <cell r="X11329"/>
          <cell r="Y11329"/>
        </row>
        <row r="11330">
          <cell r="V11330"/>
          <cell r="W11330"/>
          <cell r="X11330"/>
          <cell r="Y11330"/>
        </row>
        <row r="11331">
          <cell r="V11331"/>
          <cell r="W11331"/>
          <cell r="X11331"/>
          <cell r="Y11331"/>
        </row>
        <row r="11332">
          <cell r="V11332"/>
          <cell r="W11332"/>
          <cell r="X11332"/>
          <cell r="Y11332"/>
        </row>
        <row r="11333">
          <cell r="V11333"/>
          <cell r="W11333"/>
          <cell r="X11333"/>
          <cell r="Y11333"/>
        </row>
        <row r="11334">
          <cell r="V11334"/>
          <cell r="W11334"/>
          <cell r="X11334"/>
          <cell r="Y11334"/>
        </row>
        <row r="11335">
          <cell r="V11335"/>
          <cell r="W11335"/>
          <cell r="X11335"/>
          <cell r="Y11335"/>
        </row>
        <row r="11336">
          <cell r="V11336"/>
          <cell r="W11336"/>
          <cell r="X11336"/>
          <cell r="Y11336"/>
        </row>
        <row r="11337">
          <cell r="V11337"/>
          <cell r="W11337"/>
          <cell r="X11337"/>
          <cell r="Y11337"/>
        </row>
        <row r="11338">
          <cell r="V11338"/>
          <cell r="W11338"/>
          <cell r="X11338"/>
          <cell r="Y11338"/>
        </row>
        <row r="11339">
          <cell r="V11339"/>
          <cell r="W11339"/>
          <cell r="X11339"/>
          <cell r="Y11339"/>
        </row>
        <row r="11340">
          <cell r="V11340"/>
          <cell r="W11340"/>
          <cell r="X11340"/>
          <cell r="Y11340"/>
        </row>
        <row r="11341">
          <cell r="V11341"/>
          <cell r="W11341"/>
          <cell r="X11341"/>
          <cell r="Y11341"/>
        </row>
        <row r="11342">
          <cell r="V11342"/>
          <cell r="W11342"/>
          <cell r="X11342"/>
          <cell r="Y11342"/>
        </row>
        <row r="11343">
          <cell r="V11343"/>
          <cell r="W11343"/>
          <cell r="X11343"/>
          <cell r="Y11343"/>
        </row>
        <row r="11344">
          <cell r="V11344"/>
          <cell r="W11344"/>
          <cell r="X11344"/>
          <cell r="Y11344"/>
        </row>
        <row r="11345">
          <cell r="V11345"/>
          <cell r="W11345"/>
          <cell r="X11345"/>
          <cell r="Y11345"/>
        </row>
        <row r="11346">
          <cell r="V11346"/>
          <cell r="W11346"/>
          <cell r="X11346"/>
          <cell r="Y11346"/>
        </row>
        <row r="11347">
          <cell r="V11347"/>
          <cell r="W11347"/>
          <cell r="X11347"/>
          <cell r="Y11347"/>
        </row>
        <row r="11348">
          <cell r="V11348"/>
          <cell r="W11348"/>
          <cell r="X11348"/>
          <cell r="Y11348"/>
        </row>
        <row r="11349">
          <cell r="V11349"/>
          <cell r="W11349"/>
          <cell r="X11349"/>
          <cell r="Y11349"/>
        </row>
        <row r="11350">
          <cell r="V11350"/>
          <cell r="W11350"/>
          <cell r="X11350"/>
          <cell r="Y11350"/>
        </row>
        <row r="11351">
          <cell r="V11351"/>
          <cell r="W11351"/>
          <cell r="X11351"/>
          <cell r="Y11351"/>
        </row>
        <row r="11352">
          <cell r="V11352"/>
          <cell r="W11352"/>
          <cell r="X11352"/>
          <cell r="Y11352"/>
        </row>
        <row r="11353">
          <cell r="V11353"/>
          <cell r="W11353"/>
          <cell r="X11353"/>
          <cell r="Y11353"/>
        </row>
        <row r="11354">
          <cell r="V11354"/>
          <cell r="W11354"/>
          <cell r="X11354"/>
          <cell r="Y11354"/>
        </row>
        <row r="11355">
          <cell r="V11355"/>
          <cell r="W11355"/>
          <cell r="X11355"/>
          <cell r="Y11355"/>
        </row>
        <row r="11356">
          <cell r="V11356"/>
          <cell r="W11356"/>
          <cell r="X11356"/>
          <cell r="Y11356"/>
        </row>
        <row r="11357">
          <cell r="V11357"/>
          <cell r="W11357"/>
          <cell r="X11357"/>
          <cell r="Y11357"/>
        </row>
        <row r="11358">
          <cell r="V11358"/>
          <cell r="W11358"/>
          <cell r="X11358"/>
          <cell r="Y11358"/>
        </row>
        <row r="11359">
          <cell r="V11359"/>
          <cell r="W11359"/>
          <cell r="X11359"/>
          <cell r="Y11359"/>
        </row>
        <row r="11360">
          <cell r="V11360"/>
          <cell r="W11360"/>
          <cell r="X11360"/>
          <cell r="Y11360"/>
        </row>
        <row r="11361">
          <cell r="V11361"/>
          <cell r="W11361"/>
          <cell r="X11361"/>
          <cell r="Y11361"/>
        </row>
        <row r="11362">
          <cell r="V11362"/>
          <cell r="W11362"/>
          <cell r="X11362"/>
          <cell r="Y11362"/>
        </row>
        <row r="11363">
          <cell r="V11363"/>
          <cell r="W11363"/>
          <cell r="X11363"/>
          <cell r="Y11363"/>
        </row>
        <row r="11364">
          <cell r="V11364"/>
          <cell r="W11364"/>
          <cell r="X11364"/>
          <cell r="Y11364"/>
        </row>
        <row r="11365">
          <cell r="V11365"/>
          <cell r="W11365"/>
          <cell r="X11365"/>
          <cell r="Y11365"/>
        </row>
        <row r="11366">
          <cell r="V11366"/>
          <cell r="W11366"/>
          <cell r="X11366"/>
          <cell r="Y11366"/>
        </row>
        <row r="11367">
          <cell r="V11367"/>
          <cell r="W11367"/>
          <cell r="X11367"/>
          <cell r="Y11367"/>
        </row>
        <row r="11368">
          <cell r="V11368"/>
          <cell r="W11368"/>
          <cell r="X11368"/>
          <cell r="Y11368"/>
        </row>
        <row r="11369">
          <cell r="V11369"/>
          <cell r="W11369"/>
          <cell r="X11369"/>
          <cell r="Y11369"/>
        </row>
        <row r="11370">
          <cell r="V11370"/>
          <cell r="W11370"/>
          <cell r="X11370"/>
          <cell r="Y11370"/>
        </row>
        <row r="11371">
          <cell r="V11371"/>
          <cell r="W11371"/>
          <cell r="X11371"/>
          <cell r="Y11371"/>
        </row>
        <row r="11372">
          <cell r="V11372"/>
          <cell r="W11372"/>
          <cell r="X11372"/>
          <cell r="Y11372"/>
        </row>
        <row r="11373">
          <cell r="V11373"/>
          <cell r="W11373"/>
          <cell r="X11373"/>
          <cell r="Y11373"/>
        </row>
        <row r="11374">
          <cell r="V11374"/>
          <cell r="W11374"/>
          <cell r="X11374"/>
          <cell r="Y11374"/>
        </row>
        <row r="11375">
          <cell r="V11375"/>
          <cell r="W11375"/>
          <cell r="X11375"/>
          <cell r="Y11375"/>
        </row>
        <row r="11376">
          <cell r="V11376"/>
          <cell r="W11376"/>
          <cell r="X11376"/>
          <cell r="Y11376"/>
        </row>
        <row r="11377">
          <cell r="V11377"/>
          <cell r="W11377"/>
          <cell r="X11377"/>
          <cell r="Y11377"/>
        </row>
        <row r="11378">
          <cell r="V11378"/>
          <cell r="W11378"/>
          <cell r="X11378"/>
          <cell r="Y11378"/>
        </row>
        <row r="11379">
          <cell r="V11379"/>
          <cell r="W11379"/>
          <cell r="X11379"/>
          <cell r="Y11379"/>
        </row>
        <row r="11380">
          <cell r="V11380"/>
          <cell r="W11380"/>
          <cell r="X11380"/>
          <cell r="Y11380"/>
        </row>
        <row r="11381">
          <cell r="V11381"/>
          <cell r="W11381"/>
          <cell r="X11381"/>
          <cell r="Y11381"/>
        </row>
        <row r="11382">
          <cell r="V11382"/>
          <cell r="W11382"/>
          <cell r="X11382"/>
          <cell r="Y11382"/>
        </row>
        <row r="11383">
          <cell r="V11383"/>
          <cell r="W11383"/>
          <cell r="X11383"/>
          <cell r="Y11383"/>
        </row>
        <row r="11384">
          <cell r="V11384"/>
          <cell r="W11384"/>
          <cell r="X11384"/>
          <cell r="Y11384"/>
        </row>
        <row r="11385">
          <cell r="V11385"/>
          <cell r="W11385"/>
          <cell r="X11385"/>
          <cell r="Y11385"/>
        </row>
        <row r="11386">
          <cell r="V11386"/>
          <cell r="W11386"/>
          <cell r="X11386"/>
          <cell r="Y11386"/>
        </row>
        <row r="11387">
          <cell r="V11387"/>
          <cell r="W11387"/>
          <cell r="X11387"/>
          <cell r="Y11387"/>
        </row>
        <row r="11388">
          <cell r="V11388"/>
          <cell r="W11388"/>
          <cell r="X11388"/>
          <cell r="Y11388"/>
        </row>
        <row r="11389">
          <cell r="V11389"/>
          <cell r="W11389"/>
          <cell r="X11389"/>
          <cell r="Y11389"/>
        </row>
        <row r="11390">
          <cell r="V11390"/>
          <cell r="W11390"/>
          <cell r="X11390"/>
          <cell r="Y11390"/>
        </row>
        <row r="11391">
          <cell r="V11391"/>
          <cell r="W11391"/>
          <cell r="X11391"/>
          <cell r="Y11391"/>
        </row>
        <row r="11392">
          <cell r="V11392"/>
          <cell r="W11392"/>
          <cell r="X11392"/>
          <cell r="Y11392"/>
        </row>
        <row r="11393">
          <cell r="V11393"/>
          <cell r="W11393"/>
          <cell r="X11393"/>
          <cell r="Y11393"/>
        </row>
        <row r="11394">
          <cell r="V11394"/>
          <cell r="W11394"/>
          <cell r="X11394"/>
          <cell r="Y11394"/>
        </row>
        <row r="11395">
          <cell r="V11395"/>
          <cell r="W11395"/>
          <cell r="X11395"/>
          <cell r="Y11395"/>
        </row>
        <row r="11396">
          <cell r="V11396"/>
          <cell r="W11396"/>
          <cell r="X11396"/>
          <cell r="Y11396"/>
        </row>
        <row r="11397">
          <cell r="V11397"/>
          <cell r="W11397"/>
          <cell r="X11397"/>
          <cell r="Y11397"/>
        </row>
        <row r="11398">
          <cell r="V11398"/>
          <cell r="W11398"/>
          <cell r="X11398"/>
          <cell r="Y11398"/>
        </row>
        <row r="11399">
          <cell r="V11399"/>
          <cell r="W11399"/>
          <cell r="X11399"/>
          <cell r="Y11399"/>
        </row>
        <row r="11400">
          <cell r="V11400"/>
          <cell r="W11400"/>
          <cell r="X11400"/>
          <cell r="Y11400"/>
        </row>
        <row r="11401">
          <cell r="V11401"/>
          <cell r="W11401"/>
          <cell r="X11401"/>
          <cell r="Y11401"/>
        </row>
        <row r="11402">
          <cell r="V11402"/>
          <cell r="W11402"/>
          <cell r="X11402"/>
          <cell r="Y11402"/>
        </row>
        <row r="11403">
          <cell r="V11403"/>
          <cell r="W11403"/>
          <cell r="X11403"/>
          <cell r="Y11403"/>
        </row>
        <row r="11404">
          <cell r="V11404"/>
          <cell r="W11404"/>
          <cell r="X11404"/>
          <cell r="Y11404"/>
        </row>
        <row r="11405">
          <cell r="V11405"/>
          <cell r="W11405"/>
          <cell r="X11405"/>
          <cell r="Y11405"/>
        </row>
        <row r="11406">
          <cell r="V11406"/>
          <cell r="W11406"/>
          <cell r="X11406"/>
          <cell r="Y11406"/>
        </row>
        <row r="11407">
          <cell r="V11407"/>
          <cell r="W11407"/>
          <cell r="X11407"/>
          <cell r="Y11407"/>
        </row>
        <row r="11408">
          <cell r="V11408"/>
          <cell r="W11408"/>
          <cell r="X11408"/>
          <cell r="Y11408"/>
        </row>
        <row r="11409">
          <cell r="V11409"/>
          <cell r="W11409"/>
          <cell r="X11409"/>
          <cell r="Y11409"/>
        </row>
        <row r="11410">
          <cell r="V11410"/>
          <cell r="W11410"/>
          <cell r="X11410"/>
          <cell r="Y11410"/>
        </row>
        <row r="11411">
          <cell r="V11411"/>
          <cell r="W11411"/>
          <cell r="X11411"/>
          <cell r="Y11411"/>
        </row>
        <row r="11412">
          <cell r="V11412"/>
          <cell r="W11412"/>
          <cell r="X11412"/>
          <cell r="Y11412"/>
        </row>
        <row r="11413">
          <cell r="V11413"/>
          <cell r="W11413"/>
          <cell r="X11413"/>
          <cell r="Y11413"/>
        </row>
        <row r="11414">
          <cell r="V11414"/>
          <cell r="W11414"/>
          <cell r="X11414"/>
          <cell r="Y11414"/>
        </row>
        <row r="11415">
          <cell r="V11415"/>
          <cell r="W11415"/>
          <cell r="X11415"/>
          <cell r="Y11415"/>
        </row>
        <row r="11416">
          <cell r="V11416"/>
          <cell r="W11416"/>
          <cell r="X11416"/>
          <cell r="Y11416"/>
        </row>
        <row r="11417">
          <cell r="V11417"/>
          <cell r="W11417"/>
          <cell r="X11417"/>
          <cell r="Y11417"/>
        </row>
        <row r="11418">
          <cell r="V11418"/>
          <cell r="W11418"/>
          <cell r="X11418"/>
          <cell r="Y11418"/>
        </row>
        <row r="11419">
          <cell r="V11419"/>
          <cell r="W11419"/>
          <cell r="X11419"/>
          <cell r="Y11419"/>
        </row>
        <row r="11420">
          <cell r="V11420"/>
          <cell r="W11420"/>
          <cell r="X11420"/>
          <cell r="Y11420"/>
        </row>
        <row r="11421">
          <cell r="V11421"/>
          <cell r="W11421"/>
          <cell r="X11421"/>
          <cell r="Y11421"/>
        </row>
        <row r="11422">
          <cell r="V11422"/>
          <cell r="W11422"/>
          <cell r="X11422"/>
          <cell r="Y11422"/>
        </row>
        <row r="11423">
          <cell r="V11423"/>
          <cell r="W11423"/>
          <cell r="X11423"/>
          <cell r="Y11423"/>
        </row>
        <row r="11424">
          <cell r="V11424"/>
          <cell r="W11424"/>
          <cell r="X11424"/>
          <cell r="Y11424"/>
        </row>
        <row r="11425">
          <cell r="V11425"/>
          <cell r="W11425"/>
          <cell r="X11425"/>
          <cell r="Y11425"/>
        </row>
        <row r="11426">
          <cell r="V11426"/>
          <cell r="W11426"/>
          <cell r="X11426"/>
          <cell r="Y11426"/>
        </row>
        <row r="11427">
          <cell r="V11427"/>
          <cell r="W11427"/>
          <cell r="X11427"/>
          <cell r="Y11427"/>
        </row>
        <row r="11428">
          <cell r="V11428"/>
          <cell r="W11428"/>
          <cell r="X11428"/>
          <cell r="Y11428"/>
        </row>
        <row r="11429">
          <cell r="V11429"/>
          <cell r="W11429"/>
          <cell r="X11429"/>
          <cell r="Y11429"/>
        </row>
        <row r="11430">
          <cell r="V11430"/>
          <cell r="W11430"/>
          <cell r="X11430"/>
          <cell r="Y11430"/>
        </row>
        <row r="11431">
          <cell r="V11431"/>
          <cell r="W11431"/>
          <cell r="X11431"/>
          <cell r="Y11431"/>
        </row>
        <row r="11432">
          <cell r="V11432"/>
          <cell r="W11432"/>
          <cell r="X11432"/>
          <cell r="Y11432"/>
        </row>
        <row r="11433">
          <cell r="V11433"/>
          <cell r="W11433"/>
          <cell r="X11433"/>
          <cell r="Y11433"/>
        </row>
        <row r="11434">
          <cell r="V11434"/>
          <cell r="W11434"/>
          <cell r="X11434"/>
          <cell r="Y11434"/>
        </row>
        <row r="11435">
          <cell r="V11435"/>
          <cell r="W11435"/>
          <cell r="X11435"/>
          <cell r="Y11435"/>
        </row>
        <row r="11436">
          <cell r="V11436"/>
          <cell r="W11436"/>
          <cell r="X11436"/>
          <cell r="Y11436"/>
        </row>
        <row r="11437">
          <cell r="V11437"/>
          <cell r="W11437"/>
          <cell r="X11437"/>
          <cell r="Y11437"/>
        </row>
        <row r="11438">
          <cell r="V11438"/>
          <cell r="W11438"/>
          <cell r="X11438"/>
          <cell r="Y11438"/>
        </row>
        <row r="11439">
          <cell r="V11439"/>
          <cell r="W11439"/>
          <cell r="X11439"/>
          <cell r="Y11439"/>
        </row>
        <row r="11440">
          <cell r="V11440"/>
          <cell r="W11440"/>
          <cell r="X11440"/>
          <cell r="Y11440"/>
        </row>
        <row r="11441">
          <cell r="V11441"/>
          <cell r="W11441"/>
          <cell r="X11441"/>
          <cell r="Y11441"/>
        </row>
        <row r="11442">
          <cell r="V11442"/>
          <cell r="W11442"/>
          <cell r="X11442"/>
          <cell r="Y11442"/>
        </row>
        <row r="11443">
          <cell r="V11443"/>
          <cell r="W11443"/>
          <cell r="X11443"/>
          <cell r="Y11443"/>
        </row>
        <row r="11444">
          <cell r="V11444"/>
          <cell r="W11444"/>
          <cell r="X11444"/>
          <cell r="Y11444"/>
        </row>
        <row r="11445">
          <cell r="V11445"/>
          <cell r="W11445"/>
          <cell r="X11445"/>
          <cell r="Y11445"/>
        </row>
        <row r="11446">
          <cell r="V11446"/>
          <cell r="W11446"/>
          <cell r="X11446"/>
          <cell r="Y11446"/>
        </row>
        <row r="11447">
          <cell r="V11447"/>
          <cell r="W11447"/>
          <cell r="X11447"/>
          <cell r="Y11447"/>
        </row>
        <row r="11448">
          <cell r="V11448"/>
          <cell r="W11448"/>
          <cell r="X11448"/>
          <cell r="Y11448"/>
        </row>
        <row r="11449">
          <cell r="V11449"/>
          <cell r="W11449"/>
          <cell r="X11449"/>
          <cell r="Y11449"/>
        </row>
        <row r="11450">
          <cell r="V11450"/>
          <cell r="W11450"/>
          <cell r="X11450"/>
          <cell r="Y11450"/>
        </row>
        <row r="11451">
          <cell r="V11451"/>
          <cell r="W11451"/>
          <cell r="X11451"/>
          <cell r="Y11451"/>
        </row>
        <row r="11452">
          <cell r="V11452"/>
          <cell r="W11452"/>
          <cell r="X11452"/>
          <cell r="Y11452"/>
        </row>
        <row r="11453">
          <cell r="V11453"/>
          <cell r="W11453"/>
          <cell r="X11453"/>
          <cell r="Y11453"/>
        </row>
        <row r="11454">
          <cell r="V11454"/>
          <cell r="W11454"/>
          <cell r="X11454"/>
          <cell r="Y11454"/>
        </row>
        <row r="11455">
          <cell r="V11455"/>
          <cell r="W11455"/>
          <cell r="X11455"/>
          <cell r="Y11455"/>
        </row>
        <row r="11456">
          <cell r="V11456"/>
          <cell r="W11456"/>
          <cell r="X11456"/>
          <cell r="Y11456"/>
        </row>
        <row r="11457">
          <cell r="V11457"/>
          <cell r="W11457"/>
          <cell r="X11457"/>
          <cell r="Y11457"/>
        </row>
        <row r="11458">
          <cell r="V11458"/>
          <cell r="W11458"/>
          <cell r="X11458"/>
          <cell r="Y11458"/>
        </row>
        <row r="11459">
          <cell r="V11459"/>
          <cell r="W11459"/>
          <cell r="X11459"/>
          <cell r="Y11459"/>
        </row>
        <row r="11460">
          <cell r="V11460"/>
          <cell r="W11460"/>
          <cell r="X11460"/>
          <cell r="Y11460"/>
        </row>
        <row r="11461">
          <cell r="V11461"/>
          <cell r="W11461"/>
          <cell r="X11461"/>
          <cell r="Y11461"/>
        </row>
        <row r="11462">
          <cell r="V11462"/>
          <cell r="W11462"/>
          <cell r="X11462"/>
          <cell r="Y11462"/>
        </row>
        <row r="11463">
          <cell r="V11463"/>
          <cell r="W11463"/>
          <cell r="X11463"/>
          <cell r="Y11463"/>
        </row>
        <row r="11464">
          <cell r="V11464"/>
          <cell r="W11464"/>
          <cell r="X11464"/>
          <cell r="Y11464"/>
        </row>
        <row r="11465">
          <cell r="V11465"/>
          <cell r="W11465"/>
          <cell r="X11465"/>
          <cell r="Y11465"/>
        </row>
        <row r="11466">
          <cell r="V11466"/>
          <cell r="W11466"/>
          <cell r="X11466"/>
          <cell r="Y11466"/>
        </row>
        <row r="11467">
          <cell r="V11467"/>
          <cell r="W11467"/>
          <cell r="X11467"/>
          <cell r="Y11467"/>
        </row>
        <row r="11468">
          <cell r="V11468"/>
          <cell r="W11468"/>
          <cell r="X11468"/>
          <cell r="Y11468"/>
        </row>
        <row r="11469">
          <cell r="V11469"/>
          <cell r="W11469"/>
          <cell r="X11469"/>
          <cell r="Y11469"/>
        </row>
        <row r="11470">
          <cell r="V11470"/>
          <cell r="W11470"/>
          <cell r="X11470"/>
          <cell r="Y11470"/>
        </row>
        <row r="11471">
          <cell r="V11471"/>
          <cell r="W11471"/>
          <cell r="X11471"/>
          <cell r="Y11471"/>
        </row>
        <row r="11472">
          <cell r="V11472"/>
          <cell r="W11472"/>
          <cell r="X11472"/>
          <cell r="Y11472"/>
        </row>
        <row r="11473">
          <cell r="V11473"/>
          <cell r="W11473"/>
          <cell r="X11473"/>
          <cell r="Y11473"/>
        </row>
        <row r="11474">
          <cell r="V11474"/>
          <cell r="W11474"/>
          <cell r="X11474"/>
          <cell r="Y11474"/>
        </row>
        <row r="11475">
          <cell r="V11475"/>
          <cell r="W11475"/>
          <cell r="X11475"/>
          <cell r="Y11475"/>
        </row>
        <row r="11476">
          <cell r="V11476"/>
          <cell r="W11476"/>
          <cell r="X11476"/>
          <cell r="Y11476"/>
        </row>
        <row r="11477">
          <cell r="V11477"/>
          <cell r="W11477"/>
          <cell r="X11477"/>
          <cell r="Y11477"/>
        </row>
        <row r="11478">
          <cell r="V11478"/>
          <cell r="W11478"/>
          <cell r="X11478"/>
          <cell r="Y11478"/>
        </row>
        <row r="11479">
          <cell r="V11479"/>
          <cell r="W11479"/>
          <cell r="X11479"/>
          <cell r="Y11479"/>
        </row>
        <row r="11480">
          <cell r="V11480"/>
          <cell r="W11480"/>
          <cell r="X11480"/>
          <cell r="Y11480"/>
        </row>
        <row r="11481">
          <cell r="V11481"/>
          <cell r="W11481"/>
          <cell r="X11481"/>
          <cell r="Y11481"/>
        </row>
        <row r="11482">
          <cell r="V11482"/>
          <cell r="W11482"/>
          <cell r="X11482"/>
          <cell r="Y11482"/>
        </row>
        <row r="11483">
          <cell r="V11483"/>
          <cell r="W11483"/>
          <cell r="X11483"/>
          <cell r="Y11483"/>
        </row>
        <row r="11484">
          <cell r="V11484"/>
          <cell r="W11484"/>
          <cell r="X11484"/>
          <cell r="Y11484"/>
        </row>
        <row r="11485">
          <cell r="V11485"/>
          <cell r="W11485"/>
          <cell r="X11485"/>
          <cell r="Y11485"/>
        </row>
        <row r="11486">
          <cell r="V11486"/>
          <cell r="W11486"/>
          <cell r="X11486"/>
          <cell r="Y11486"/>
        </row>
        <row r="11487">
          <cell r="V11487"/>
          <cell r="W11487"/>
          <cell r="X11487"/>
          <cell r="Y11487"/>
        </row>
        <row r="11488">
          <cell r="V11488"/>
          <cell r="W11488"/>
          <cell r="X11488"/>
          <cell r="Y11488"/>
        </row>
        <row r="11489">
          <cell r="V11489"/>
          <cell r="W11489"/>
          <cell r="X11489"/>
          <cell r="Y11489"/>
        </row>
        <row r="11490">
          <cell r="V11490"/>
          <cell r="W11490"/>
          <cell r="X11490"/>
          <cell r="Y11490"/>
        </row>
        <row r="11491">
          <cell r="V11491"/>
          <cell r="W11491"/>
          <cell r="X11491"/>
          <cell r="Y11491"/>
        </row>
        <row r="11492">
          <cell r="V11492"/>
          <cell r="W11492"/>
          <cell r="X11492"/>
          <cell r="Y11492"/>
        </row>
        <row r="11493">
          <cell r="V11493"/>
          <cell r="W11493"/>
          <cell r="X11493"/>
          <cell r="Y11493"/>
        </row>
        <row r="11494">
          <cell r="V11494"/>
          <cell r="W11494"/>
          <cell r="X11494"/>
          <cell r="Y11494"/>
        </row>
        <row r="11495">
          <cell r="V11495"/>
          <cell r="W11495"/>
          <cell r="X11495"/>
          <cell r="Y11495"/>
        </row>
        <row r="11496">
          <cell r="V11496"/>
          <cell r="W11496"/>
          <cell r="X11496"/>
          <cell r="Y11496"/>
        </row>
        <row r="11497">
          <cell r="V11497"/>
          <cell r="W11497"/>
          <cell r="X11497"/>
          <cell r="Y11497"/>
        </row>
        <row r="11498">
          <cell r="V11498"/>
          <cell r="W11498"/>
          <cell r="X11498"/>
          <cell r="Y11498"/>
        </row>
        <row r="11499">
          <cell r="V11499"/>
          <cell r="W11499"/>
          <cell r="X11499"/>
          <cell r="Y11499"/>
        </row>
        <row r="11500">
          <cell r="V11500"/>
          <cell r="W11500"/>
          <cell r="X11500"/>
          <cell r="Y11500"/>
        </row>
        <row r="11501">
          <cell r="V11501"/>
          <cell r="W11501"/>
          <cell r="X11501"/>
          <cell r="Y11501"/>
        </row>
        <row r="11502">
          <cell r="V11502"/>
          <cell r="W11502"/>
          <cell r="X11502"/>
          <cell r="Y11502"/>
        </row>
        <row r="11503">
          <cell r="V11503"/>
          <cell r="W11503"/>
          <cell r="X11503"/>
          <cell r="Y11503"/>
        </row>
        <row r="11504">
          <cell r="V11504"/>
          <cell r="W11504"/>
          <cell r="X11504"/>
          <cell r="Y11504"/>
        </row>
        <row r="11505">
          <cell r="V11505"/>
          <cell r="W11505"/>
          <cell r="X11505"/>
          <cell r="Y11505"/>
        </row>
        <row r="11506">
          <cell r="V11506"/>
          <cell r="W11506"/>
          <cell r="X11506"/>
          <cell r="Y11506"/>
        </row>
        <row r="11507">
          <cell r="V11507"/>
          <cell r="W11507"/>
          <cell r="X11507"/>
          <cell r="Y11507"/>
        </row>
        <row r="11508">
          <cell r="V11508"/>
          <cell r="W11508"/>
          <cell r="X11508"/>
          <cell r="Y11508"/>
        </row>
        <row r="11509">
          <cell r="V11509"/>
          <cell r="W11509"/>
          <cell r="X11509"/>
          <cell r="Y11509"/>
        </row>
        <row r="11510">
          <cell r="V11510"/>
          <cell r="W11510"/>
          <cell r="X11510"/>
          <cell r="Y11510"/>
        </row>
        <row r="11511">
          <cell r="V11511"/>
          <cell r="W11511"/>
          <cell r="X11511"/>
          <cell r="Y11511"/>
        </row>
        <row r="11512">
          <cell r="V11512"/>
          <cell r="W11512"/>
          <cell r="X11512"/>
          <cell r="Y11512"/>
        </row>
        <row r="11513">
          <cell r="V11513"/>
          <cell r="W11513"/>
          <cell r="X11513"/>
          <cell r="Y11513"/>
        </row>
        <row r="11514">
          <cell r="V11514"/>
          <cell r="W11514"/>
          <cell r="X11514"/>
          <cell r="Y11514"/>
        </row>
        <row r="11515">
          <cell r="V11515"/>
          <cell r="W11515"/>
          <cell r="X11515"/>
          <cell r="Y11515"/>
        </row>
        <row r="11516">
          <cell r="V11516"/>
          <cell r="W11516"/>
          <cell r="X11516"/>
          <cell r="Y11516"/>
        </row>
        <row r="11517">
          <cell r="V11517"/>
          <cell r="W11517"/>
          <cell r="X11517"/>
          <cell r="Y11517"/>
        </row>
        <row r="11518">
          <cell r="V11518"/>
          <cell r="W11518"/>
          <cell r="X11518"/>
          <cell r="Y11518"/>
        </row>
        <row r="11519">
          <cell r="V11519"/>
          <cell r="W11519"/>
          <cell r="X11519"/>
          <cell r="Y11519"/>
        </row>
        <row r="11520">
          <cell r="V11520"/>
          <cell r="W11520"/>
          <cell r="X11520"/>
          <cell r="Y11520"/>
        </row>
        <row r="11521">
          <cell r="V11521"/>
          <cell r="W11521"/>
          <cell r="X11521"/>
          <cell r="Y11521"/>
        </row>
        <row r="11522">
          <cell r="V11522"/>
          <cell r="W11522"/>
          <cell r="X11522"/>
          <cell r="Y11522"/>
        </row>
        <row r="11523">
          <cell r="V11523"/>
          <cell r="W11523"/>
          <cell r="X11523"/>
          <cell r="Y11523"/>
        </row>
        <row r="11524">
          <cell r="V11524"/>
          <cell r="W11524"/>
          <cell r="X11524"/>
          <cell r="Y11524"/>
        </row>
        <row r="11525">
          <cell r="V11525"/>
          <cell r="W11525"/>
          <cell r="X11525"/>
          <cell r="Y11525"/>
        </row>
        <row r="11526">
          <cell r="V11526"/>
          <cell r="W11526"/>
          <cell r="X11526"/>
          <cell r="Y11526"/>
        </row>
        <row r="11527">
          <cell r="V11527"/>
          <cell r="W11527"/>
          <cell r="X11527"/>
          <cell r="Y11527"/>
        </row>
        <row r="11528">
          <cell r="V11528"/>
          <cell r="W11528"/>
          <cell r="X11528"/>
          <cell r="Y11528"/>
        </row>
        <row r="11529">
          <cell r="V11529"/>
          <cell r="W11529"/>
          <cell r="X11529"/>
          <cell r="Y11529"/>
        </row>
        <row r="11530">
          <cell r="V11530"/>
          <cell r="W11530"/>
          <cell r="X11530"/>
          <cell r="Y11530"/>
        </row>
        <row r="11531">
          <cell r="V11531"/>
          <cell r="W11531"/>
          <cell r="X11531"/>
          <cell r="Y11531"/>
        </row>
        <row r="11532">
          <cell r="V11532"/>
          <cell r="W11532"/>
          <cell r="X11532"/>
          <cell r="Y11532"/>
        </row>
        <row r="11533">
          <cell r="V11533"/>
          <cell r="W11533"/>
          <cell r="X11533"/>
          <cell r="Y11533"/>
        </row>
        <row r="11534">
          <cell r="V11534"/>
          <cell r="W11534"/>
          <cell r="X11534"/>
          <cell r="Y11534"/>
        </row>
        <row r="11535">
          <cell r="V11535"/>
          <cell r="W11535"/>
          <cell r="X11535"/>
          <cell r="Y11535"/>
        </row>
        <row r="11536">
          <cell r="V11536"/>
          <cell r="W11536"/>
          <cell r="X11536"/>
          <cell r="Y11536"/>
        </row>
        <row r="11537">
          <cell r="V11537"/>
          <cell r="W11537"/>
          <cell r="X11537"/>
          <cell r="Y11537"/>
        </row>
        <row r="11538">
          <cell r="V11538"/>
          <cell r="W11538"/>
          <cell r="X11538"/>
          <cell r="Y11538"/>
        </row>
        <row r="11539">
          <cell r="V11539"/>
          <cell r="W11539"/>
          <cell r="X11539"/>
          <cell r="Y11539"/>
        </row>
        <row r="11540">
          <cell r="V11540"/>
          <cell r="W11540"/>
          <cell r="X11540"/>
          <cell r="Y11540"/>
        </row>
        <row r="11541">
          <cell r="V11541"/>
          <cell r="W11541"/>
          <cell r="X11541"/>
          <cell r="Y11541"/>
        </row>
        <row r="11542">
          <cell r="V11542"/>
          <cell r="W11542"/>
          <cell r="X11542"/>
          <cell r="Y11542"/>
        </row>
        <row r="11543">
          <cell r="V11543"/>
          <cell r="W11543"/>
          <cell r="X11543"/>
          <cell r="Y11543"/>
        </row>
        <row r="11544">
          <cell r="V11544"/>
          <cell r="W11544"/>
          <cell r="X11544"/>
          <cell r="Y11544"/>
        </row>
        <row r="11545">
          <cell r="V11545"/>
          <cell r="W11545"/>
          <cell r="X11545"/>
          <cell r="Y11545"/>
        </row>
        <row r="11546">
          <cell r="V11546"/>
          <cell r="W11546"/>
          <cell r="X11546"/>
          <cell r="Y11546"/>
        </row>
        <row r="11547">
          <cell r="V11547"/>
          <cell r="W11547"/>
          <cell r="X11547"/>
          <cell r="Y11547"/>
        </row>
        <row r="11548">
          <cell r="V11548"/>
          <cell r="W11548"/>
          <cell r="X11548"/>
          <cell r="Y11548"/>
        </row>
        <row r="11549">
          <cell r="V11549"/>
          <cell r="W11549"/>
          <cell r="X11549"/>
          <cell r="Y11549"/>
        </row>
        <row r="11550">
          <cell r="V11550"/>
          <cell r="W11550"/>
          <cell r="X11550"/>
          <cell r="Y11550"/>
        </row>
        <row r="11551">
          <cell r="V11551"/>
          <cell r="W11551"/>
          <cell r="X11551"/>
          <cell r="Y11551"/>
        </row>
        <row r="11552">
          <cell r="V11552"/>
          <cell r="W11552"/>
          <cell r="X11552"/>
          <cell r="Y11552"/>
        </row>
        <row r="11553">
          <cell r="V11553"/>
          <cell r="W11553"/>
          <cell r="X11553"/>
          <cell r="Y11553"/>
        </row>
        <row r="11554">
          <cell r="V11554"/>
          <cell r="W11554"/>
          <cell r="X11554"/>
          <cell r="Y11554"/>
        </row>
        <row r="11555">
          <cell r="V11555"/>
          <cell r="W11555"/>
          <cell r="X11555"/>
          <cell r="Y11555"/>
        </row>
        <row r="11556">
          <cell r="V11556"/>
          <cell r="W11556"/>
          <cell r="X11556"/>
          <cell r="Y11556"/>
        </row>
        <row r="11557">
          <cell r="V11557"/>
          <cell r="W11557"/>
          <cell r="X11557"/>
          <cell r="Y11557"/>
        </row>
        <row r="11558">
          <cell r="V11558"/>
          <cell r="W11558"/>
          <cell r="X11558"/>
          <cell r="Y11558"/>
        </row>
        <row r="11559">
          <cell r="V11559"/>
          <cell r="W11559"/>
          <cell r="X11559"/>
          <cell r="Y11559"/>
        </row>
        <row r="11560">
          <cell r="V11560"/>
          <cell r="W11560"/>
          <cell r="X11560"/>
          <cell r="Y11560"/>
        </row>
        <row r="11561">
          <cell r="V11561"/>
          <cell r="W11561"/>
          <cell r="X11561"/>
          <cell r="Y11561"/>
        </row>
        <row r="11562">
          <cell r="V11562"/>
          <cell r="W11562"/>
          <cell r="X11562"/>
          <cell r="Y11562"/>
        </row>
        <row r="11563">
          <cell r="V11563"/>
          <cell r="W11563"/>
          <cell r="X11563"/>
          <cell r="Y11563"/>
        </row>
        <row r="11564">
          <cell r="V11564"/>
          <cell r="W11564"/>
          <cell r="X11564"/>
          <cell r="Y11564"/>
        </row>
        <row r="11565">
          <cell r="V11565"/>
          <cell r="W11565"/>
          <cell r="X11565"/>
          <cell r="Y11565"/>
        </row>
        <row r="11566">
          <cell r="V11566"/>
          <cell r="W11566"/>
          <cell r="X11566"/>
          <cell r="Y11566"/>
        </row>
        <row r="11567">
          <cell r="V11567"/>
          <cell r="W11567"/>
          <cell r="X11567"/>
          <cell r="Y11567"/>
        </row>
        <row r="11568">
          <cell r="V11568"/>
          <cell r="W11568"/>
          <cell r="X11568"/>
          <cell r="Y11568"/>
        </row>
        <row r="11569">
          <cell r="V11569"/>
          <cell r="W11569"/>
          <cell r="X11569"/>
          <cell r="Y11569"/>
        </row>
        <row r="11570">
          <cell r="V11570"/>
          <cell r="W11570"/>
          <cell r="X11570"/>
          <cell r="Y11570"/>
        </row>
        <row r="11571">
          <cell r="V11571"/>
          <cell r="W11571"/>
          <cell r="X11571"/>
          <cell r="Y11571"/>
        </row>
        <row r="11572">
          <cell r="V11572"/>
          <cell r="W11572"/>
          <cell r="X11572"/>
          <cell r="Y11572"/>
        </row>
        <row r="11573">
          <cell r="V11573"/>
          <cell r="W11573"/>
          <cell r="X11573"/>
          <cell r="Y11573"/>
        </row>
        <row r="11574">
          <cell r="V11574"/>
          <cell r="W11574"/>
          <cell r="X11574"/>
          <cell r="Y11574"/>
        </row>
        <row r="11575">
          <cell r="V11575"/>
          <cell r="W11575"/>
          <cell r="X11575"/>
          <cell r="Y11575"/>
        </row>
        <row r="11576">
          <cell r="V11576"/>
          <cell r="W11576"/>
          <cell r="X11576"/>
          <cell r="Y11576"/>
        </row>
        <row r="11577">
          <cell r="V11577"/>
          <cell r="W11577"/>
          <cell r="X11577"/>
          <cell r="Y11577"/>
        </row>
        <row r="11578">
          <cell r="V11578"/>
          <cell r="W11578"/>
          <cell r="X11578"/>
          <cell r="Y11578"/>
        </row>
        <row r="11579">
          <cell r="V11579"/>
          <cell r="W11579"/>
          <cell r="X11579"/>
          <cell r="Y11579"/>
        </row>
        <row r="11580">
          <cell r="V11580"/>
          <cell r="W11580"/>
          <cell r="X11580"/>
          <cell r="Y11580"/>
        </row>
        <row r="11581">
          <cell r="V11581"/>
          <cell r="W11581"/>
          <cell r="X11581"/>
          <cell r="Y11581"/>
        </row>
        <row r="11582">
          <cell r="V11582"/>
          <cell r="W11582"/>
          <cell r="X11582"/>
          <cell r="Y11582"/>
        </row>
        <row r="11583">
          <cell r="V11583"/>
          <cell r="W11583"/>
          <cell r="X11583"/>
          <cell r="Y11583"/>
        </row>
        <row r="11584">
          <cell r="V11584"/>
          <cell r="W11584"/>
          <cell r="X11584"/>
          <cell r="Y11584"/>
        </row>
        <row r="11585">
          <cell r="V11585"/>
          <cell r="W11585"/>
          <cell r="X11585"/>
          <cell r="Y11585"/>
        </row>
        <row r="11586">
          <cell r="V11586"/>
          <cell r="W11586"/>
          <cell r="X11586"/>
          <cell r="Y11586"/>
        </row>
        <row r="11587">
          <cell r="V11587"/>
          <cell r="W11587"/>
          <cell r="X11587"/>
          <cell r="Y11587"/>
        </row>
        <row r="11588">
          <cell r="V11588"/>
          <cell r="W11588"/>
          <cell r="X11588"/>
          <cell r="Y11588"/>
        </row>
        <row r="11589">
          <cell r="V11589"/>
          <cell r="W11589"/>
          <cell r="X11589"/>
          <cell r="Y11589"/>
        </row>
        <row r="11590">
          <cell r="V11590"/>
          <cell r="W11590"/>
          <cell r="X11590"/>
          <cell r="Y11590"/>
        </row>
        <row r="11591">
          <cell r="V11591"/>
          <cell r="W11591"/>
          <cell r="X11591"/>
          <cell r="Y11591"/>
        </row>
        <row r="11592">
          <cell r="V11592"/>
          <cell r="W11592"/>
          <cell r="X11592"/>
          <cell r="Y11592"/>
        </row>
        <row r="11593">
          <cell r="V11593"/>
          <cell r="W11593"/>
          <cell r="X11593"/>
          <cell r="Y11593"/>
        </row>
        <row r="11594">
          <cell r="V11594"/>
          <cell r="W11594"/>
          <cell r="X11594"/>
          <cell r="Y11594"/>
        </row>
        <row r="11595">
          <cell r="V11595"/>
          <cell r="W11595"/>
          <cell r="X11595"/>
          <cell r="Y11595"/>
        </row>
        <row r="11596">
          <cell r="V11596"/>
          <cell r="W11596"/>
          <cell r="X11596"/>
          <cell r="Y11596"/>
        </row>
        <row r="11597">
          <cell r="V11597"/>
          <cell r="W11597"/>
          <cell r="X11597"/>
          <cell r="Y11597"/>
        </row>
        <row r="11598">
          <cell r="V11598"/>
          <cell r="W11598"/>
          <cell r="X11598"/>
          <cell r="Y11598"/>
        </row>
        <row r="11599">
          <cell r="V11599"/>
          <cell r="W11599"/>
          <cell r="X11599"/>
          <cell r="Y11599"/>
        </row>
        <row r="11600">
          <cell r="V11600"/>
          <cell r="W11600"/>
          <cell r="X11600"/>
          <cell r="Y11600"/>
        </row>
        <row r="11601">
          <cell r="V11601"/>
          <cell r="W11601"/>
          <cell r="X11601"/>
          <cell r="Y11601"/>
        </row>
        <row r="11602">
          <cell r="V11602"/>
          <cell r="W11602"/>
          <cell r="X11602"/>
          <cell r="Y11602"/>
        </row>
        <row r="11603">
          <cell r="V11603"/>
          <cell r="W11603"/>
          <cell r="X11603"/>
          <cell r="Y11603"/>
        </row>
        <row r="11604">
          <cell r="V11604"/>
          <cell r="W11604"/>
          <cell r="X11604"/>
          <cell r="Y11604"/>
        </row>
        <row r="11605">
          <cell r="V11605"/>
          <cell r="W11605"/>
          <cell r="X11605"/>
          <cell r="Y11605"/>
        </row>
        <row r="11606">
          <cell r="V11606"/>
          <cell r="W11606"/>
          <cell r="X11606"/>
          <cell r="Y11606"/>
        </row>
        <row r="11607">
          <cell r="V11607"/>
          <cell r="W11607"/>
          <cell r="X11607"/>
          <cell r="Y11607"/>
        </row>
        <row r="11608">
          <cell r="V11608"/>
          <cell r="W11608"/>
          <cell r="X11608"/>
          <cell r="Y11608"/>
        </row>
        <row r="11609">
          <cell r="V11609"/>
          <cell r="W11609"/>
          <cell r="X11609"/>
          <cell r="Y11609"/>
        </row>
        <row r="11610">
          <cell r="V11610"/>
          <cell r="W11610"/>
          <cell r="X11610"/>
          <cell r="Y11610"/>
        </row>
        <row r="11611">
          <cell r="V11611"/>
          <cell r="W11611"/>
          <cell r="X11611"/>
          <cell r="Y11611"/>
        </row>
        <row r="11612">
          <cell r="V11612"/>
          <cell r="W11612"/>
          <cell r="X11612"/>
          <cell r="Y11612"/>
        </row>
        <row r="11613">
          <cell r="V11613"/>
          <cell r="W11613"/>
          <cell r="X11613"/>
          <cell r="Y11613"/>
        </row>
        <row r="11614">
          <cell r="V11614"/>
          <cell r="W11614"/>
          <cell r="X11614"/>
          <cell r="Y11614"/>
        </row>
        <row r="11615">
          <cell r="V11615"/>
          <cell r="W11615"/>
          <cell r="X11615"/>
          <cell r="Y11615"/>
        </row>
        <row r="11616">
          <cell r="V11616"/>
          <cell r="W11616"/>
          <cell r="X11616"/>
          <cell r="Y11616"/>
        </row>
        <row r="11617">
          <cell r="V11617"/>
          <cell r="W11617"/>
          <cell r="X11617"/>
          <cell r="Y11617"/>
        </row>
        <row r="11618">
          <cell r="V11618"/>
          <cell r="W11618"/>
          <cell r="X11618"/>
          <cell r="Y11618"/>
        </row>
        <row r="11619">
          <cell r="V11619"/>
          <cell r="W11619"/>
          <cell r="X11619"/>
          <cell r="Y11619"/>
        </row>
        <row r="11620">
          <cell r="V11620"/>
          <cell r="W11620"/>
          <cell r="X11620"/>
          <cell r="Y11620"/>
        </row>
        <row r="11621">
          <cell r="V11621"/>
          <cell r="W11621"/>
          <cell r="X11621"/>
          <cell r="Y11621"/>
        </row>
        <row r="11622">
          <cell r="V11622"/>
          <cell r="W11622"/>
          <cell r="X11622"/>
          <cell r="Y11622"/>
        </row>
        <row r="11623">
          <cell r="V11623"/>
          <cell r="W11623"/>
          <cell r="X11623"/>
          <cell r="Y11623"/>
        </row>
        <row r="11624">
          <cell r="V11624"/>
          <cell r="W11624"/>
          <cell r="X11624"/>
          <cell r="Y11624"/>
        </row>
        <row r="11625">
          <cell r="V11625"/>
          <cell r="W11625"/>
          <cell r="X11625"/>
          <cell r="Y11625"/>
        </row>
        <row r="11626">
          <cell r="V11626"/>
          <cell r="W11626"/>
          <cell r="X11626"/>
          <cell r="Y11626"/>
        </row>
        <row r="11627">
          <cell r="V11627"/>
          <cell r="W11627"/>
          <cell r="X11627"/>
          <cell r="Y11627"/>
        </row>
        <row r="11628">
          <cell r="V11628"/>
          <cell r="W11628"/>
          <cell r="X11628"/>
          <cell r="Y11628"/>
        </row>
        <row r="11629">
          <cell r="V11629"/>
          <cell r="W11629"/>
          <cell r="X11629"/>
          <cell r="Y11629"/>
        </row>
        <row r="11630">
          <cell r="V11630"/>
          <cell r="W11630"/>
          <cell r="X11630"/>
          <cell r="Y11630"/>
        </row>
        <row r="11631">
          <cell r="V11631"/>
          <cell r="W11631"/>
          <cell r="X11631"/>
          <cell r="Y11631"/>
        </row>
        <row r="11632">
          <cell r="V11632"/>
          <cell r="W11632"/>
          <cell r="X11632"/>
          <cell r="Y11632"/>
        </row>
        <row r="11633">
          <cell r="V11633"/>
          <cell r="W11633"/>
          <cell r="X11633"/>
          <cell r="Y11633"/>
        </row>
        <row r="11634">
          <cell r="V11634"/>
          <cell r="W11634"/>
          <cell r="X11634"/>
          <cell r="Y11634"/>
        </row>
        <row r="11635">
          <cell r="V11635"/>
          <cell r="W11635"/>
          <cell r="X11635"/>
          <cell r="Y11635"/>
        </row>
        <row r="11636">
          <cell r="V11636"/>
          <cell r="W11636"/>
          <cell r="X11636"/>
          <cell r="Y11636"/>
        </row>
        <row r="11637">
          <cell r="V11637"/>
          <cell r="W11637"/>
          <cell r="X11637"/>
          <cell r="Y11637"/>
        </row>
        <row r="11638">
          <cell r="V11638"/>
          <cell r="W11638"/>
          <cell r="X11638"/>
          <cell r="Y11638"/>
        </row>
        <row r="11639">
          <cell r="V11639"/>
          <cell r="W11639"/>
          <cell r="X11639"/>
          <cell r="Y11639"/>
        </row>
        <row r="11640">
          <cell r="V11640"/>
          <cell r="W11640"/>
          <cell r="X11640"/>
          <cell r="Y11640"/>
        </row>
        <row r="11641">
          <cell r="V11641"/>
          <cell r="W11641"/>
          <cell r="X11641"/>
          <cell r="Y11641"/>
        </row>
        <row r="11642">
          <cell r="V11642"/>
          <cell r="W11642"/>
          <cell r="X11642"/>
          <cell r="Y11642"/>
        </row>
        <row r="11643">
          <cell r="V11643"/>
          <cell r="W11643"/>
          <cell r="X11643"/>
          <cell r="Y11643"/>
        </row>
        <row r="11644">
          <cell r="V11644"/>
          <cell r="W11644"/>
          <cell r="X11644"/>
          <cell r="Y11644"/>
        </row>
        <row r="11645">
          <cell r="V11645"/>
          <cell r="W11645"/>
          <cell r="X11645"/>
          <cell r="Y11645"/>
        </row>
        <row r="11646">
          <cell r="V11646"/>
          <cell r="W11646"/>
          <cell r="X11646"/>
          <cell r="Y11646"/>
        </row>
        <row r="11647">
          <cell r="V11647"/>
          <cell r="W11647"/>
          <cell r="X11647"/>
          <cell r="Y11647"/>
        </row>
        <row r="11648">
          <cell r="V11648"/>
          <cell r="W11648"/>
          <cell r="X11648"/>
          <cell r="Y11648"/>
        </row>
        <row r="11649">
          <cell r="V11649"/>
          <cell r="W11649"/>
          <cell r="X11649"/>
          <cell r="Y11649"/>
        </row>
        <row r="11650">
          <cell r="V11650"/>
          <cell r="W11650"/>
          <cell r="X11650"/>
          <cell r="Y11650"/>
        </row>
        <row r="11651">
          <cell r="V11651"/>
          <cell r="W11651"/>
          <cell r="X11651"/>
          <cell r="Y11651"/>
        </row>
        <row r="11652">
          <cell r="V11652"/>
          <cell r="W11652"/>
          <cell r="X11652"/>
          <cell r="Y11652"/>
        </row>
        <row r="11653">
          <cell r="V11653"/>
          <cell r="W11653"/>
          <cell r="X11653"/>
          <cell r="Y11653"/>
        </row>
        <row r="11654">
          <cell r="V11654"/>
          <cell r="W11654"/>
          <cell r="X11654"/>
          <cell r="Y11654"/>
        </row>
        <row r="11655">
          <cell r="V11655"/>
          <cell r="W11655"/>
          <cell r="X11655"/>
          <cell r="Y11655"/>
        </row>
        <row r="11656">
          <cell r="V11656"/>
          <cell r="W11656"/>
          <cell r="X11656"/>
          <cell r="Y11656"/>
        </row>
        <row r="11657">
          <cell r="V11657"/>
          <cell r="W11657"/>
          <cell r="X11657"/>
          <cell r="Y11657"/>
        </row>
        <row r="11658">
          <cell r="V11658"/>
          <cell r="W11658"/>
          <cell r="X11658"/>
          <cell r="Y11658"/>
        </row>
        <row r="11659">
          <cell r="V11659"/>
          <cell r="W11659"/>
          <cell r="X11659"/>
          <cell r="Y11659"/>
        </row>
        <row r="11660">
          <cell r="V11660"/>
          <cell r="W11660"/>
          <cell r="X11660"/>
          <cell r="Y11660"/>
        </row>
        <row r="11661">
          <cell r="V11661"/>
          <cell r="W11661"/>
          <cell r="X11661"/>
          <cell r="Y11661"/>
        </row>
        <row r="11662">
          <cell r="V11662"/>
          <cell r="W11662"/>
          <cell r="X11662"/>
          <cell r="Y11662"/>
        </row>
        <row r="11663">
          <cell r="V11663"/>
          <cell r="W11663"/>
          <cell r="X11663"/>
          <cell r="Y11663"/>
        </row>
        <row r="11664">
          <cell r="V11664"/>
          <cell r="W11664"/>
          <cell r="X11664"/>
          <cell r="Y11664"/>
        </row>
        <row r="11665">
          <cell r="V11665"/>
          <cell r="W11665"/>
          <cell r="X11665"/>
          <cell r="Y11665"/>
        </row>
        <row r="11666">
          <cell r="V11666"/>
          <cell r="W11666"/>
          <cell r="X11666"/>
          <cell r="Y11666"/>
        </row>
        <row r="11667">
          <cell r="V11667"/>
          <cell r="W11667"/>
          <cell r="X11667"/>
          <cell r="Y11667"/>
        </row>
        <row r="11668">
          <cell r="V11668"/>
          <cell r="W11668"/>
          <cell r="X11668"/>
          <cell r="Y11668"/>
        </row>
        <row r="11669">
          <cell r="V11669"/>
          <cell r="W11669"/>
          <cell r="X11669"/>
          <cell r="Y11669"/>
        </row>
        <row r="11670">
          <cell r="V11670"/>
          <cell r="W11670"/>
          <cell r="X11670"/>
          <cell r="Y11670"/>
        </row>
        <row r="11671">
          <cell r="V11671"/>
          <cell r="W11671"/>
          <cell r="X11671"/>
          <cell r="Y11671"/>
        </row>
        <row r="11672">
          <cell r="V11672"/>
          <cell r="W11672"/>
          <cell r="X11672"/>
          <cell r="Y11672"/>
        </row>
        <row r="11673">
          <cell r="V11673"/>
          <cell r="W11673"/>
          <cell r="X11673"/>
          <cell r="Y11673"/>
        </row>
        <row r="11674">
          <cell r="V11674"/>
          <cell r="W11674"/>
          <cell r="X11674"/>
          <cell r="Y11674"/>
        </row>
        <row r="11675">
          <cell r="V11675"/>
          <cell r="W11675"/>
          <cell r="X11675"/>
          <cell r="Y11675"/>
        </row>
        <row r="11676">
          <cell r="V11676"/>
          <cell r="W11676"/>
          <cell r="X11676"/>
          <cell r="Y11676"/>
        </row>
        <row r="11677">
          <cell r="V11677"/>
          <cell r="W11677"/>
          <cell r="X11677"/>
          <cell r="Y11677"/>
        </row>
        <row r="11678">
          <cell r="V11678"/>
          <cell r="W11678"/>
          <cell r="X11678"/>
          <cell r="Y11678"/>
        </row>
        <row r="11679">
          <cell r="V11679"/>
          <cell r="W11679"/>
          <cell r="X11679"/>
          <cell r="Y11679"/>
        </row>
        <row r="11680">
          <cell r="V11680"/>
          <cell r="W11680"/>
          <cell r="X11680"/>
          <cell r="Y11680"/>
        </row>
        <row r="11681">
          <cell r="V11681"/>
          <cell r="W11681"/>
          <cell r="X11681"/>
          <cell r="Y11681"/>
        </row>
        <row r="11682">
          <cell r="V11682"/>
          <cell r="W11682"/>
          <cell r="X11682"/>
          <cell r="Y11682"/>
        </row>
        <row r="11683">
          <cell r="V11683"/>
          <cell r="W11683"/>
          <cell r="X11683"/>
          <cell r="Y11683"/>
        </row>
        <row r="11684">
          <cell r="V11684"/>
          <cell r="W11684"/>
          <cell r="X11684"/>
          <cell r="Y11684"/>
        </row>
        <row r="11685">
          <cell r="V11685"/>
          <cell r="W11685"/>
          <cell r="X11685"/>
          <cell r="Y11685"/>
        </row>
        <row r="11686">
          <cell r="V11686"/>
          <cell r="W11686"/>
          <cell r="X11686"/>
          <cell r="Y11686"/>
        </row>
        <row r="11687">
          <cell r="V11687"/>
          <cell r="W11687"/>
          <cell r="X11687"/>
          <cell r="Y11687"/>
        </row>
        <row r="11688">
          <cell r="V11688"/>
          <cell r="W11688"/>
          <cell r="X11688"/>
          <cell r="Y11688"/>
        </row>
        <row r="11689">
          <cell r="V11689"/>
          <cell r="W11689"/>
          <cell r="X11689"/>
          <cell r="Y11689"/>
        </row>
        <row r="11690">
          <cell r="V11690"/>
          <cell r="W11690"/>
          <cell r="X11690"/>
          <cell r="Y11690"/>
        </row>
        <row r="11691">
          <cell r="V11691"/>
          <cell r="W11691"/>
          <cell r="X11691"/>
          <cell r="Y11691"/>
        </row>
        <row r="11692">
          <cell r="V11692"/>
          <cell r="W11692"/>
          <cell r="X11692"/>
          <cell r="Y11692"/>
        </row>
        <row r="11693">
          <cell r="V11693"/>
          <cell r="W11693"/>
          <cell r="X11693"/>
          <cell r="Y11693"/>
        </row>
        <row r="11694">
          <cell r="V11694"/>
          <cell r="W11694"/>
          <cell r="X11694"/>
          <cell r="Y11694"/>
        </row>
        <row r="11695">
          <cell r="V11695"/>
          <cell r="W11695"/>
          <cell r="X11695"/>
          <cell r="Y11695"/>
        </row>
        <row r="11696">
          <cell r="V11696"/>
          <cell r="W11696"/>
          <cell r="X11696"/>
          <cell r="Y11696"/>
        </row>
        <row r="11697">
          <cell r="V11697"/>
          <cell r="W11697"/>
          <cell r="X11697"/>
          <cell r="Y11697"/>
        </row>
        <row r="11698">
          <cell r="V11698"/>
          <cell r="W11698"/>
          <cell r="X11698"/>
          <cell r="Y11698"/>
        </row>
        <row r="11699">
          <cell r="V11699"/>
          <cell r="W11699"/>
          <cell r="X11699"/>
          <cell r="Y11699"/>
        </row>
        <row r="11700">
          <cell r="V11700"/>
          <cell r="W11700"/>
          <cell r="X11700"/>
          <cell r="Y11700"/>
        </row>
        <row r="11701">
          <cell r="V11701"/>
          <cell r="W11701"/>
          <cell r="X11701"/>
          <cell r="Y11701"/>
        </row>
        <row r="11702">
          <cell r="V11702"/>
          <cell r="W11702"/>
          <cell r="X11702"/>
          <cell r="Y11702"/>
        </row>
        <row r="11703">
          <cell r="V11703"/>
          <cell r="W11703"/>
          <cell r="X11703"/>
          <cell r="Y11703"/>
        </row>
        <row r="11704">
          <cell r="V11704"/>
          <cell r="W11704"/>
          <cell r="X11704"/>
          <cell r="Y11704"/>
        </row>
        <row r="11705">
          <cell r="V11705"/>
          <cell r="W11705"/>
          <cell r="X11705"/>
          <cell r="Y11705"/>
        </row>
        <row r="11706">
          <cell r="V11706"/>
          <cell r="W11706"/>
          <cell r="X11706"/>
          <cell r="Y11706"/>
        </row>
        <row r="11707">
          <cell r="V11707"/>
          <cell r="W11707"/>
          <cell r="X11707"/>
          <cell r="Y11707"/>
        </row>
        <row r="11708">
          <cell r="V11708"/>
          <cell r="W11708"/>
          <cell r="X11708"/>
          <cell r="Y11708"/>
        </row>
        <row r="11709">
          <cell r="V11709"/>
          <cell r="W11709"/>
          <cell r="X11709"/>
          <cell r="Y11709"/>
        </row>
        <row r="11710">
          <cell r="V11710"/>
          <cell r="W11710"/>
          <cell r="X11710"/>
          <cell r="Y11710"/>
        </row>
        <row r="11711">
          <cell r="V11711"/>
          <cell r="W11711"/>
          <cell r="X11711"/>
          <cell r="Y11711"/>
        </row>
        <row r="11712">
          <cell r="V11712"/>
          <cell r="W11712"/>
          <cell r="X11712"/>
          <cell r="Y11712"/>
        </row>
        <row r="11713">
          <cell r="V11713"/>
          <cell r="W11713"/>
          <cell r="X11713"/>
          <cell r="Y11713"/>
        </row>
        <row r="11714">
          <cell r="V11714"/>
          <cell r="W11714"/>
          <cell r="X11714"/>
          <cell r="Y11714"/>
        </row>
        <row r="11715">
          <cell r="V11715"/>
          <cell r="W11715"/>
          <cell r="X11715"/>
          <cell r="Y11715"/>
        </row>
        <row r="11716">
          <cell r="V11716"/>
          <cell r="W11716"/>
          <cell r="X11716"/>
          <cell r="Y11716"/>
        </row>
        <row r="11717">
          <cell r="V11717"/>
          <cell r="W11717"/>
          <cell r="X11717"/>
          <cell r="Y11717"/>
        </row>
        <row r="11718">
          <cell r="V11718"/>
          <cell r="W11718"/>
          <cell r="X11718"/>
          <cell r="Y11718"/>
        </row>
        <row r="11719">
          <cell r="V11719"/>
          <cell r="W11719"/>
          <cell r="X11719"/>
          <cell r="Y11719"/>
        </row>
        <row r="11720">
          <cell r="V11720"/>
          <cell r="W11720"/>
          <cell r="X11720"/>
          <cell r="Y11720"/>
        </row>
        <row r="11721">
          <cell r="V11721"/>
          <cell r="W11721"/>
          <cell r="X11721"/>
          <cell r="Y11721"/>
        </row>
        <row r="11722">
          <cell r="V11722"/>
          <cell r="W11722"/>
          <cell r="X11722"/>
          <cell r="Y11722"/>
        </row>
        <row r="11723">
          <cell r="V11723"/>
          <cell r="W11723"/>
          <cell r="X11723"/>
          <cell r="Y11723"/>
        </row>
        <row r="11724">
          <cell r="V11724"/>
          <cell r="W11724"/>
          <cell r="X11724"/>
          <cell r="Y11724"/>
        </row>
        <row r="11725">
          <cell r="V11725"/>
          <cell r="W11725"/>
          <cell r="X11725"/>
          <cell r="Y11725"/>
        </row>
        <row r="11726">
          <cell r="V11726"/>
          <cell r="W11726"/>
          <cell r="X11726"/>
          <cell r="Y11726"/>
        </row>
        <row r="11727">
          <cell r="V11727"/>
          <cell r="W11727"/>
          <cell r="X11727"/>
          <cell r="Y11727"/>
        </row>
        <row r="11728">
          <cell r="V11728"/>
          <cell r="W11728"/>
          <cell r="X11728"/>
          <cell r="Y11728"/>
        </row>
        <row r="11729">
          <cell r="V11729"/>
          <cell r="W11729"/>
          <cell r="X11729"/>
          <cell r="Y11729"/>
        </row>
        <row r="11730">
          <cell r="V11730"/>
          <cell r="W11730"/>
          <cell r="X11730"/>
          <cell r="Y11730"/>
        </row>
        <row r="11731">
          <cell r="V11731"/>
          <cell r="W11731"/>
          <cell r="X11731"/>
          <cell r="Y11731"/>
        </row>
        <row r="11732">
          <cell r="V11732"/>
          <cell r="W11732"/>
          <cell r="X11732"/>
          <cell r="Y11732"/>
        </row>
        <row r="11733">
          <cell r="V11733"/>
          <cell r="W11733"/>
          <cell r="X11733"/>
          <cell r="Y11733"/>
        </row>
        <row r="11734">
          <cell r="V11734"/>
          <cell r="W11734"/>
          <cell r="X11734"/>
          <cell r="Y11734"/>
        </row>
        <row r="11735">
          <cell r="V11735"/>
          <cell r="W11735"/>
          <cell r="X11735"/>
          <cell r="Y11735"/>
        </row>
        <row r="11736">
          <cell r="V11736"/>
          <cell r="W11736"/>
          <cell r="X11736"/>
          <cell r="Y11736"/>
        </row>
        <row r="11737">
          <cell r="V11737"/>
          <cell r="W11737"/>
          <cell r="X11737"/>
          <cell r="Y11737"/>
        </row>
        <row r="11738">
          <cell r="V11738"/>
          <cell r="W11738"/>
          <cell r="X11738"/>
          <cell r="Y11738"/>
        </row>
        <row r="11739">
          <cell r="V11739"/>
          <cell r="W11739"/>
          <cell r="X11739"/>
          <cell r="Y11739"/>
        </row>
        <row r="11740">
          <cell r="V11740"/>
          <cell r="W11740"/>
          <cell r="X11740"/>
          <cell r="Y11740"/>
        </row>
        <row r="11741">
          <cell r="V11741"/>
          <cell r="W11741"/>
          <cell r="X11741"/>
          <cell r="Y11741"/>
        </row>
        <row r="11742">
          <cell r="V11742"/>
          <cell r="W11742"/>
          <cell r="X11742"/>
          <cell r="Y11742"/>
        </row>
        <row r="11743">
          <cell r="V11743"/>
          <cell r="W11743"/>
          <cell r="X11743"/>
          <cell r="Y11743"/>
        </row>
        <row r="11744">
          <cell r="V11744"/>
          <cell r="W11744"/>
          <cell r="X11744"/>
          <cell r="Y11744"/>
        </row>
        <row r="11745">
          <cell r="V11745"/>
          <cell r="W11745"/>
          <cell r="X11745"/>
          <cell r="Y11745"/>
        </row>
        <row r="11746">
          <cell r="V11746"/>
          <cell r="W11746"/>
          <cell r="X11746"/>
          <cell r="Y11746"/>
        </row>
        <row r="11747">
          <cell r="V11747"/>
          <cell r="W11747"/>
          <cell r="X11747"/>
          <cell r="Y11747"/>
        </row>
        <row r="11748">
          <cell r="V11748"/>
          <cell r="W11748"/>
          <cell r="X11748"/>
          <cell r="Y11748"/>
        </row>
        <row r="11749">
          <cell r="V11749"/>
          <cell r="W11749"/>
          <cell r="X11749"/>
          <cell r="Y11749"/>
        </row>
        <row r="11750">
          <cell r="V11750"/>
          <cell r="W11750"/>
          <cell r="X11750"/>
          <cell r="Y11750"/>
        </row>
        <row r="11751">
          <cell r="V11751"/>
          <cell r="W11751"/>
          <cell r="X11751"/>
          <cell r="Y11751"/>
        </row>
        <row r="11752">
          <cell r="V11752"/>
          <cell r="W11752"/>
          <cell r="X11752"/>
          <cell r="Y11752"/>
        </row>
        <row r="11753">
          <cell r="V11753"/>
          <cell r="W11753"/>
          <cell r="X11753"/>
          <cell r="Y11753"/>
        </row>
        <row r="11754">
          <cell r="V11754"/>
          <cell r="W11754"/>
          <cell r="X11754"/>
          <cell r="Y11754"/>
        </row>
        <row r="11755">
          <cell r="V11755"/>
          <cell r="W11755"/>
          <cell r="X11755"/>
          <cell r="Y11755"/>
        </row>
        <row r="11756">
          <cell r="V11756"/>
          <cell r="W11756"/>
          <cell r="X11756"/>
          <cell r="Y11756"/>
        </row>
        <row r="11757">
          <cell r="V11757"/>
          <cell r="W11757"/>
          <cell r="X11757"/>
          <cell r="Y11757"/>
        </row>
        <row r="11758">
          <cell r="V11758"/>
          <cell r="W11758"/>
          <cell r="X11758"/>
          <cell r="Y11758"/>
        </row>
        <row r="11759">
          <cell r="V11759"/>
          <cell r="W11759"/>
          <cell r="X11759"/>
          <cell r="Y11759"/>
        </row>
        <row r="11760">
          <cell r="V11760"/>
          <cell r="W11760"/>
          <cell r="X11760"/>
          <cell r="Y11760"/>
        </row>
        <row r="11761">
          <cell r="V11761"/>
          <cell r="W11761"/>
          <cell r="X11761"/>
          <cell r="Y11761"/>
        </row>
        <row r="11762">
          <cell r="V11762"/>
          <cell r="W11762"/>
          <cell r="X11762"/>
          <cell r="Y11762"/>
        </row>
        <row r="11763">
          <cell r="V11763"/>
          <cell r="W11763"/>
          <cell r="X11763"/>
          <cell r="Y11763"/>
        </row>
        <row r="11764">
          <cell r="V11764"/>
          <cell r="W11764"/>
          <cell r="X11764"/>
          <cell r="Y11764"/>
        </row>
        <row r="11765">
          <cell r="V11765"/>
          <cell r="W11765"/>
          <cell r="X11765"/>
          <cell r="Y11765"/>
        </row>
        <row r="11766">
          <cell r="V11766"/>
          <cell r="W11766"/>
          <cell r="X11766"/>
          <cell r="Y11766"/>
        </row>
        <row r="11767">
          <cell r="V11767"/>
          <cell r="W11767"/>
          <cell r="X11767"/>
          <cell r="Y11767"/>
        </row>
        <row r="11768">
          <cell r="V11768"/>
          <cell r="W11768"/>
          <cell r="X11768"/>
          <cell r="Y11768"/>
        </row>
        <row r="11769">
          <cell r="V11769"/>
          <cell r="W11769"/>
          <cell r="X11769"/>
          <cell r="Y11769"/>
        </row>
        <row r="11770">
          <cell r="V11770"/>
          <cell r="W11770"/>
          <cell r="X11770"/>
          <cell r="Y11770"/>
        </row>
        <row r="11771">
          <cell r="V11771"/>
          <cell r="W11771"/>
          <cell r="X11771"/>
          <cell r="Y11771"/>
        </row>
        <row r="11772">
          <cell r="V11772"/>
          <cell r="W11772"/>
          <cell r="X11772"/>
          <cell r="Y11772"/>
        </row>
        <row r="11773">
          <cell r="V11773"/>
          <cell r="W11773"/>
          <cell r="X11773"/>
          <cell r="Y11773"/>
        </row>
        <row r="11774">
          <cell r="V11774"/>
          <cell r="W11774"/>
          <cell r="X11774"/>
          <cell r="Y11774"/>
        </row>
        <row r="11775">
          <cell r="V11775"/>
          <cell r="W11775"/>
          <cell r="X11775"/>
          <cell r="Y11775"/>
        </row>
        <row r="11776">
          <cell r="V11776"/>
          <cell r="W11776"/>
          <cell r="X11776"/>
          <cell r="Y11776"/>
        </row>
        <row r="11777">
          <cell r="V11777"/>
          <cell r="W11777"/>
          <cell r="X11777"/>
          <cell r="Y11777"/>
        </row>
        <row r="11778">
          <cell r="V11778"/>
          <cell r="W11778"/>
          <cell r="X11778"/>
          <cell r="Y11778"/>
        </row>
        <row r="11779">
          <cell r="V11779"/>
          <cell r="W11779"/>
          <cell r="X11779"/>
          <cell r="Y11779"/>
        </row>
        <row r="11780">
          <cell r="V11780"/>
          <cell r="W11780"/>
          <cell r="X11780"/>
          <cell r="Y11780"/>
        </row>
        <row r="11781">
          <cell r="V11781"/>
          <cell r="W11781"/>
          <cell r="X11781"/>
          <cell r="Y11781"/>
        </row>
        <row r="11782">
          <cell r="V11782"/>
          <cell r="W11782"/>
          <cell r="X11782"/>
          <cell r="Y11782"/>
        </row>
        <row r="11783">
          <cell r="V11783"/>
          <cell r="W11783"/>
          <cell r="X11783"/>
          <cell r="Y11783"/>
        </row>
        <row r="11784">
          <cell r="V11784"/>
          <cell r="W11784"/>
          <cell r="X11784"/>
          <cell r="Y11784"/>
        </row>
        <row r="11785">
          <cell r="V11785"/>
          <cell r="W11785"/>
          <cell r="X11785"/>
          <cell r="Y11785"/>
        </row>
        <row r="11786">
          <cell r="V11786"/>
          <cell r="W11786"/>
          <cell r="X11786"/>
          <cell r="Y11786"/>
        </row>
        <row r="11787">
          <cell r="V11787"/>
          <cell r="W11787"/>
          <cell r="X11787"/>
          <cell r="Y11787"/>
        </row>
        <row r="11788">
          <cell r="V11788"/>
          <cell r="W11788"/>
          <cell r="X11788"/>
          <cell r="Y11788"/>
        </row>
        <row r="11789">
          <cell r="V11789"/>
          <cell r="W11789"/>
          <cell r="X11789"/>
          <cell r="Y11789"/>
        </row>
        <row r="11790">
          <cell r="V11790"/>
          <cell r="W11790"/>
          <cell r="X11790"/>
          <cell r="Y11790"/>
        </row>
        <row r="11791">
          <cell r="V11791"/>
          <cell r="W11791"/>
          <cell r="X11791"/>
          <cell r="Y11791"/>
        </row>
        <row r="11792">
          <cell r="V11792"/>
          <cell r="W11792"/>
          <cell r="X11792"/>
          <cell r="Y11792"/>
        </row>
        <row r="11793">
          <cell r="V11793"/>
          <cell r="W11793"/>
          <cell r="X11793"/>
          <cell r="Y11793"/>
        </row>
        <row r="11794">
          <cell r="V11794"/>
          <cell r="W11794"/>
          <cell r="X11794"/>
          <cell r="Y11794"/>
        </row>
        <row r="11795">
          <cell r="V11795"/>
          <cell r="W11795"/>
          <cell r="X11795"/>
          <cell r="Y11795"/>
        </row>
        <row r="11796">
          <cell r="V11796"/>
          <cell r="W11796"/>
          <cell r="X11796"/>
          <cell r="Y11796"/>
        </row>
        <row r="11797">
          <cell r="V11797"/>
          <cell r="W11797"/>
          <cell r="X11797"/>
          <cell r="Y11797"/>
        </row>
        <row r="11798">
          <cell r="V11798"/>
          <cell r="W11798"/>
          <cell r="X11798"/>
          <cell r="Y11798"/>
        </row>
        <row r="11799">
          <cell r="V11799"/>
          <cell r="W11799"/>
          <cell r="X11799"/>
          <cell r="Y11799"/>
        </row>
        <row r="11800">
          <cell r="V11800"/>
          <cell r="W11800"/>
          <cell r="X11800"/>
          <cell r="Y11800"/>
        </row>
        <row r="11801">
          <cell r="V11801"/>
          <cell r="W11801"/>
          <cell r="X11801"/>
          <cell r="Y11801"/>
        </row>
        <row r="11802">
          <cell r="V11802"/>
          <cell r="W11802"/>
          <cell r="X11802"/>
          <cell r="Y11802"/>
        </row>
        <row r="11803">
          <cell r="V11803"/>
          <cell r="W11803"/>
          <cell r="X11803"/>
          <cell r="Y11803"/>
        </row>
        <row r="11804">
          <cell r="V11804"/>
          <cell r="W11804"/>
          <cell r="X11804"/>
          <cell r="Y11804"/>
        </row>
        <row r="11805">
          <cell r="V11805"/>
          <cell r="W11805"/>
          <cell r="X11805"/>
          <cell r="Y11805"/>
        </row>
        <row r="11806">
          <cell r="V11806"/>
          <cell r="W11806"/>
          <cell r="X11806"/>
          <cell r="Y11806"/>
        </row>
        <row r="11807">
          <cell r="V11807"/>
          <cell r="W11807"/>
          <cell r="X11807"/>
          <cell r="Y11807"/>
        </row>
        <row r="11808">
          <cell r="V11808"/>
          <cell r="W11808"/>
          <cell r="X11808"/>
          <cell r="Y11808"/>
        </row>
        <row r="11809">
          <cell r="V11809"/>
          <cell r="W11809"/>
          <cell r="X11809"/>
          <cell r="Y11809"/>
        </row>
        <row r="11810">
          <cell r="V11810"/>
          <cell r="W11810"/>
          <cell r="X11810"/>
          <cell r="Y11810"/>
        </row>
        <row r="11811">
          <cell r="V11811"/>
          <cell r="W11811"/>
          <cell r="X11811"/>
          <cell r="Y11811"/>
        </row>
        <row r="11812">
          <cell r="V11812"/>
          <cell r="W11812"/>
          <cell r="X11812"/>
          <cell r="Y11812"/>
        </row>
        <row r="11813">
          <cell r="V11813"/>
          <cell r="W11813"/>
          <cell r="X11813"/>
          <cell r="Y11813"/>
        </row>
        <row r="11814">
          <cell r="V11814"/>
          <cell r="W11814"/>
          <cell r="X11814"/>
          <cell r="Y11814"/>
        </row>
        <row r="11815">
          <cell r="V11815"/>
          <cell r="W11815"/>
          <cell r="X11815"/>
          <cell r="Y11815"/>
        </row>
        <row r="11816">
          <cell r="V11816"/>
          <cell r="W11816"/>
          <cell r="X11816"/>
          <cell r="Y11816"/>
        </row>
        <row r="11817">
          <cell r="V11817"/>
          <cell r="W11817"/>
          <cell r="X11817"/>
          <cell r="Y11817"/>
        </row>
        <row r="11818">
          <cell r="V11818"/>
          <cell r="W11818"/>
          <cell r="X11818"/>
          <cell r="Y11818"/>
        </row>
        <row r="11819">
          <cell r="V11819"/>
          <cell r="W11819"/>
          <cell r="X11819"/>
          <cell r="Y11819"/>
        </row>
        <row r="11820">
          <cell r="V11820"/>
          <cell r="W11820"/>
          <cell r="X11820"/>
          <cell r="Y11820"/>
        </row>
        <row r="11821">
          <cell r="V11821"/>
          <cell r="W11821"/>
          <cell r="X11821"/>
          <cell r="Y11821"/>
        </row>
        <row r="11822">
          <cell r="V11822"/>
          <cell r="W11822"/>
          <cell r="X11822"/>
          <cell r="Y11822"/>
        </row>
        <row r="11823">
          <cell r="V11823"/>
          <cell r="W11823"/>
          <cell r="X11823"/>
          <cell r="Y11823"/>
        </row>
        <row r="11824">
          <cell r="V11824"/>
          <cell r="W11824"/>
          <cell r="X11824"/>
          <cell r="Y11824"/>
        </row>
        <row r="11825">
          <cell r="V11825"/>
          <cell r="W11825"/>
          <cell r="X11825"/>
          <cell r="Y11825"/>
        </row>
        <row r="11826">
          <cell r="V11826"/>
          <cell r="W11826"/>
          <cell r="X11826"/>
          <cell r="Y11826"/>
        </row>
        <row r="11827">
          <cell r="V11827"/>
          <cell r="W11827"/>
          <cell r="X11827"/>
          <cell r="Y11827"/>
        </row>
        <row r="11828">
          <cell r="V11828"/>
          <cell r="W11828"/>
          <cell r="X11828"/>
          <cell r="Y11828"/>
        </row>
        <row r="11829">
          <cell r="V11829"/>
          <cell r="W11829"/>
          <cell r="X11829"/>
          <cell r="Y11829"/>
        </row>
        <row r="11830">
          <cell r="V11830"/>
          <cell r="W11830"/>
          <cell r="X11830"/>
          <cell r="Y11830"/>
        </row>
        <row r="11831">
          <cell r="V11831"/>
          <cell r="W11831"/>
          <cell r="X11831"/>
          <cell r="Y11831"/>
        </row>
        <row r="11832">
          <cell r="V11832"/>
          <cell r="W11832"/>
          <cell r="X11832"/>
          <cell r="Y11832"/>
        </row>
        <row r="11833">
          <cell r="V11833"/>
          <cell r="W11833"/>
          <cell r="X11833"/>
          <cell r="Y11833"/>
        </row>
        <row r="11834">
          <cell r="V11834"/>
          <cell r="W11834"/>
          <cell r="X11834"/>
          <cell r="Y11834"/>
        </row>
        <row r="11835">
          <cell r="V11835"/>
          <cell r="W11835"/>
          <cell r="X11835"/>
          <cell r="Y11835"/>
        </row>
        <row r="11836">
          <cell r="V11836"/>
          <cell r="W11836"/>
          <cell r="X11836"/>
          <cell r="Y11836"/>
        </row>
        <row r="11837">
          <cell r="V11837"/>
          <cell r="W11837"/>
          <cell r="X11837"/>
          <cell r="Y11837"/>
        </row>
        <row r="11838">
          <cell r="V11838"/>
          <cell r="W11838"/>
          <cell r="X11838"/>
          <cell r="Y11838"/>
        </row>
        <row r="11839">
          <cell r="V11839"/>
          <cell r="W11839"/>
          <cell r="X11839"/>
          <cell r="Y11839"/>
        </row>
        <row r="11840">
          <cell r="V11840"/>
          <cell r="W11840"/>
          <cell r="X11840"/>
          <cell r="Y11840"/>
        </row>
        <row r="11841">
          <cell r="V11841"/>
          <cell r="W11841"/>
          <cell r="X11841"/>
          <cell r="Y11841"/>
        </row>
        <row r="11842">
          <cell r="V11842"/>
          <cell r="W11842"/>
          <cell r="X11842"/>
          <cell r="Y11842"/>
        </row>
        <row r="11843">
          <cell r="V11843"/>
          <cell r="W11843"/>
          <cell r="X11843"/>
          <cell r="Y11843"/>
        </row>
        <row r="11844">
          <cell r="V11844"/>
          <cell r="W11844"/>
          <cell r="X11844"/>
          <cell r="Y11844"/>
        </row>
        <row r="11845">
          <cell r="V11845"/>
          <cell r="W11845"/>
          <cell r="X11845"/>
          <cell r="Y11845"/>
        </row>
        <row r="11846">
          <cell r="V11846"/>
          <cell r="W11846"/>
          <cell r="X11846"/>
          <cell r="Y11846"/>
        </row>
        <row r="11847">
          <cell r="V11847"/>
          <cell r="W11847"/>
          <cell r="X11847"/>
          <cell r="Y11847"/>
        </row>
        <row r="11848">
          <cell r="V11848"/>
          <cell r="W11848"/>
          <cell r="X11848"/>
          <cell r="Y11848"/>
        </row>
        <row r="11849">
          <cell r="V11849"/>
          <cell r="W11849"/>
          <cell r="X11849"/>
          <cell r="Y11849"/>
        </row>
        <row r="11850">
          <cell r="V11850"/>
          <cell r="W11850"/>
          <cell r="X11850"/>
          <cell r="Y11850"/>
        </row>
        <row r="11851">
          <cell r="V11851"/>
          <cell r="W11851"/>
          <cell r="X11851"/>
          <cell r="Y11851"/>
        </row>
        <row r="11852">
          <cell r="V11852"/>
          <cell r="W11852"/>
          <cell r="X11852"/>
          <cell r="Y11852"/>
        </row>
        <row r="11853">
          <cell r="V11853"/>
          <cell r="W11853"/>
          <cell r="X11853"/>
          <cell r="Y11853"/>
        </row>
        <row r="11854">
          <cell r="V11854"/>
          <cell r="W11854"/>
          <cell r="X11854"/>
          <cell r="Y11854"/>
        </row>
        <row r="11855">
          <cell r="V11855"/>
          <cell r="W11855"/>
          <cell r="X11855"/>
          <cell r="Y11855"/>
        </row>
        <row r="11856">
          <cell r="V11856"/>
          <cell r="W11856"/>
          <cell r="X11856"/>
          <cell r="Y11856"/>
        </row>
        <row r="11857">
          <cell r="V11857"/>
          <cell r="W11857"/>
          <cell r="X11857"/>
          <cell r="Y11857"/>
        </row>
        <row r="11858">
          <cell r="V11858"/>
          <cell r="W11858"/>
          <cell r="X11858"/>
          <cell r="Y11858"/>
        </row>
        <row r="11859">
          <cell r="V11859"/>
          <cell r="W11859"/>
          <cell r="X11859"/>
          <cell r="Y11859"/>
        </row>
        <row r="11860">
          <cell r="V11860"/>
          <cell r="W11860"/>
          <cell r="X11860"/>
          <cell r="Y11860"/>
        </row>
        <row r="11861">
          <cell r="V11861"/>
          <cell r="W11861"/>
          <cell r="X11861"/>
          <cell r="Y11861"/>
        </row>
        <row r="11862">
          <cell r="V11862"/>
          <cell r="W11862"/>
          <cell r="X11862"/>
          <cell r="Y11862"/>
        </row>
        <row r="11863">
          <cell r="V11863"/>
          <cell r="W11863"/>
          <cell r="X11863"/>
          <cell r="Y11863"/>
        </row>
        <row r="11864">
          <cell r="V11864"/>
          <cell r="W11864"/>
          <cell r="X11864"/>
          <cell r="Y11864"/>
        </row>
        <row r="11865">
          <cell r="V11865"/>
          <cell r="W11865"/>
          <cell r="X11865"/>
          <cell r="Y11865"/>
        </row>
        <row r="11866">
          <cell r="V11866"/>
          <cell r="W11866"/>
          <cell r="X11866"/>
          <cell r="Y11866"/>
        </row>
        <row r="11867">
          <cell r="V11867"/>
          <cell r="W11867"/>
          <cell r="X11867"/>
          <cell r="Y11867"/>
        </row>
        <row r="11868">
          <cell r="V11868"/>
          <cell r="W11868"/>
          <cell r="X11868"/>
          <cell r="Y11868"/>
        </row>
        <row r="11869">
          <cell r="V11869"/>
          <cell r="W11869"/>
          <cell r="X11869"/>
          <cell r="Y11869"/>
        </row>
        <row r="11870">
          <cell r="V11870"/>
          <cell r="W11870"/>
          <cell r="X11870"/>
          <cell r="Y11870"/>
        </row>
        <row r="11871">
          <cell r="V11871"/>
          <cell r="W11871"/>
          <cell r="X11871"/>
          <cell r="Y11871"/>
        </row>
        <row r="11872">
          <cell r="V11872"/>
          <cell r="W11872"/>
          <cell r="X11872"/>
          <cell r="Y11872"/>
        </row>
        <row r="11873">
          <cell r="V11873"/>
          <cell r="W11873"/>
          <cell r="X11873"/>
          <cell r="Y11873"/>
        </row>
        <row r="11874">
          <cell r="V11874"/>
          <cell r="W11874"/>
          <cell r="X11874"/>
          <cell r="Y11874"/>
        </row>
        <row r="11875">
          <cell r="V11875"/>
          <cell r="W11875"/>
          <cell r="X11875"/>
          <cell r="Y11875"/>
        </row>
        <row r="11876">
          <cell r="V11876"/>
          <cell r="W11876"/>
          <cell r="X11876"/>
          <cell r="Y11876"/>
        </row>
        <row r="11877">
          <cell r="V11877"/>
          <cell r="W11877"/>
          <cell r="X11877"/>
          <cell r="Y11877"/>
        </row>
        <row r="11878">
          <cell r="V11878"/>
          <cell r="W11878"/>
          <cell r="X11878"/>
          <cell r="Y11878"/>
        </row>
        <row r="11879">
          <cell r="V11879"/>
          <cell r="W11879"/>
          <cell r="X11879"/>
          <cell r="Y11879"/>
        </row>
        <row r="11880">
          <cell r="V11880"/>
          <cell r="W11880"/>
          <cell r="X11880"/>
          <cell r="Y11880"/>
        </row>
        <row r="11881">
          <cell r="V11881"/>
          <cell r="W11881"/>
          <cell r="X11881"/>
          <cell r="Y11881"/>
        </row>
        <row r="11882">
          <cell r="V11882"/>
          <cell r="W11882"/>
          <cell r="X11882"/>
          <cell r="Y11882"/>
        </row>
        <row r="11883">
          <cell r="V11883"/>
          <cell r="W11883"/>
          <cell r="X11883"/>
          <cell r="Y11883"/>
        </row>
        <row r="11884">
          <cell r="V11884"/>
          <cell r="W11884"/>
          <cell r="X11884"/>
          <cell r="Y11884"/>
        </row>
        <row r="11885">
          <cell r="V11885"/>
          <cell r="W11885"/>
          <cell r="X11885"/>
          <cell r="Y11885"/>
        </row>
        <row r="11886">
          <cell r="V11886"/>
          <cell r="W11886"/>
          <cell r="X11886"/>
          <cell r="Y11886"/>
        </row>
        <row r="11887">
          <cell r="V11887"/>
          <cell r="W11887"/>
          <cell r="X11887"/>
          <cell r="Y11887"/>
        </row>
        <row r="11888">
          <cell r="V11888"/>
          <cell r="W11888"/>
          <cell r="X11888"/>
          <cell r="Y11888"/>
        </row>
        <row r="11889">
          <cell r="V11889"/>
          <cell r="W11889"/>
          <cell r="X11889"/>
          <cell r="Y11889"/>
        </row>
        <row r="11890">
          <cell r="V11890"/>
          <cell r="W11890"/>
          <cell r="X11890"/>
          <cell r="Y11890"/>
        </row>
        <row r="11891">
          <cell r="V11891"/>
          <cell r="W11891"/>
          <cell r="X11891"/>
          <cell r="Y11891"/>
        </row>
        <row r="11892">
          <cell r="V11892"/>
          <cell r="W11892"/>
          <cell r="X11892"/>
          <cell r="Y11892"/>
        </row>
        <row r="11893">
          <cell r="V11893"/>
          <cell r="W11893"/>
          <cell r="X11893"/>
          <cell r="Y11893"/>
        </row>
        <row r="11894">
          <cell r="V11894"/>
          <cell r="W11894"/>
          <cell r="X11894"/>
          <cell r="Y11894"/>
        </row>
        <row r="11895">
          <cell r="V11895"/>
          <cell r="W11895"/>
          <cell r="X11895"/>
          <cell r="Y11895"/>
        </row>
        <row r="11896">
          <cell r="V11896"/>
          <cell r="W11896"/>
          <cell r="X11896"/>
          <cell r="Y11896"/>
        </row>
        <row r="11897">
          <cell r="V11897"/>
          <cell r="W11897"/>
          <cell r="X11897"/>
          <cell r="Y11897"/>
        </row>
        <row r="11898">
          <cell r="V11898"/>
          <cell r="W11898"/>
          <cell r="X11898"/>
          <cell r="Y11898"/>
        </row>
        <row r="11899">
          <cell r="V11899"/>
          <cell r="W11899"/>
          <cell r="X11899"/>
          <cell r="Y11899"/>
        </row>
        <row r="11900">
          <cell r="V11900"/>
          <cell r="W11900"/>
          <cell r="X11900"/>
          <cell r="Y11900"/>
        </row>
        <row r="11901">
          <cell r="V11901"/>
          <cell r="W11901"/>
          <cell r="X11901"/>
          <cell r="Y11901"/>
        </row>
        <row r="11902">
          <cell r="V11902"/>
          <cell r="W11902"/>
          <cell r="X11902"/>
          <cell r="Y11902"/>
        </row>
        <row r="11903">
          <cell r="V11903"/>
          <cell r="W11903"/>
          <cell r="X11903"/>
          <cell r="Y11903"/>
        </row>
        <row r="11904">
          <cell r="V11904"/>
          <cell r="W11904"/>
          <cell r="X11904"/>
          <cell r="Y11904"/>
        </row>
        <row r="11905">
          <cell r="V11905"/>
          <cell r="W11905"/>
          <cell r="X11905"/>
          <cell r="Y11905"/>
        </row>
        <row r="11906">
          <cell r="V11906"/>
          <cell r="W11906"/>
          <cell r="X11906"/>
          <cell r="Y11906"/>
        </row>
        <row r="11907">
          <cell r="V11907"/>
          <cell r="W11907"/>
          <cell r="X11907"/>
          <cell r="Y11907"/>
        </row>
        <row r="11908">
          <cell r="V11908"/>
          <cell r="W11908"/>
          <cell r="X11908"/>
          <cell r="Y11908"/>
        </row>
        <row r="11909">
          <cell r="V11909"/>
          <cell r="W11909"/>
          <cell r="X11909"/>
          <cell r="Y11909"/>
        </row>
        <row r="11910">
          <cell r="V11910"/>
          <cell r="W11910"/>
          <cell r="X11910"/>
          <cell r="Y11910"/>
        </row>
        <row r="11911">
          <cell r="V11911"/>
          <cell r="W11911"/>
          <cell r="X11911"/>
          <cell r="Y11911"/>
        </row>
        <row r="11912">
          <cell r="V11912"/>
          <cell r="W11912"/>
          <cell r="X11912"/>
          <cell r="Y11912"/>
        </row>
        <row r="11913">
          <cell r="V11913"/>
          <cell r="W11913"/>
          <cell r="X11913"/>
          <cell r="Y11913"/>
        </row>
        <row r="11914">
          <cell r="V11914"/>
          <cell r="W11914"/>
          <cell r="X11914"/>
          <cell r="Y11914"/>
        </row>
        <row r="11915">
          <cell r="V11915"/>
          <cell r="W11915"/>
          <cell r="X11915"/>
          <cell r="Y11915"/>
        </row>
        <row r="11916">
          <cell r="V11916"/>
          <cell r="W11916"/>
          <cell r="X11916"/>
          <cell r="Y11916"/>
        </row>
        <row r="11917">
          <cell r="V11917"/>
          <cell r="W11917"/>
          <cell r="X11917"/>
          <cell r="Y11917"/>
        </row>
        <row r="11918">
          <cell r="V11918"/>
          <cell r="W11918"/>
          <cell r="X11918"/>
          <cell r="Y11918"/>
        </row>
        <row r="11919">
          <cell r="V11919"/>
          <cell r="W11919"/>
          <cell r="X11919"/>
          <cell r="Y11919"/>
        </row>
        <row r="11920">
          <cell r="V11920"/>
          <cell r="W11920"/>
          <cell r="X11920"/>
          <cell r="Y11920"/>
        </row>
        <row r="11921">
          <cell r="V11921"/>
          <cell r="W11921"/>
          <cell r="X11921"/>
          <cell r="Y11921"/>
        </row>
        <row r="11922">
          <cell r="V11922"/>
          <cell r="W11922"/>
          <cell r="X11922"/>
          <cell r="Y11922"/>
        </row>
        <row r="11923">
          <cell r="V11923"/>
          <cell r="W11923"/>
          <cell r="X11923"/>
          <cell r="Y11923"/>
        </row>
        <row r="11924">
          <cell r="V11924"/>
          <cell r="W11924"/>
          <cell r="X11924"/>
          <cell r="Y11924"/>
        </row>
        <row r="11925">
          <cell r="V11925"/>
          <cell r="W11925"/>
          <cell r="X11925"/>
          <cell r="Y11925"/>
        </row>
        <row r="11926">
          <cell r="V11926"/>
          <cell r="W11926"/>
          <cell r="X11926"/>
          <cell r="Y11926"/>
        </row>
        <row r="11927">
          <cell r="V11927"/>
          <cell r="W11927"/>
          <cell r="X11927"/>
          <cell r="Y11927"/>
        </row>
        <row r="11928">
          <cell r="V11928"/>
          <cell r="W11928"/>
          <cell r="X11928"/>
          <cell r="Y11928"/>
        </row>
        <row r="11929">
          <cell r="V11929"/>
          <cell r="W11929"/>
          <cell r="X11929"/>
          <cell r="Y11929"/>
        </row>
        <row r="11930">
          <cell r="V11930"/>
          <cell r="W11930"/>
          <cell r="X11930"/>
          <cell r="Y11930"/>
        </row>
        <row r="11931">
          <cell r="V11931"/>
          <cell r="W11931"/>
          <cell r="X11931"/>
          <cell r="Y11931"/>
        </row>
        <row r="11932">
          <cell r="V11932"/>
          <cell r="W11932"/>
          <cell r="X11932"/>
          <cell r="Y11932"/>
        </row>
        <row r="11933">
          <cell r="V11933"/>
          <cell r="W11933"/>
          <cell r="X11933"/>
          <cell r="Y11933"/>
        </row>
        <row r="11934">
          <cell r="V11934"/>
          <cell r="W11934"/>
          <cell r="X11934"/>
          <cell r="Y11934"/>
        </row>
        <row r="11935">
          <cell r="V11935"/>
          <cell r="W11935"/>
          <cell r="X11935"/>
          <cell r="Y11935"/>
        </row>
        <row r="11936">
          <cell r="V11936"/>
          <cell r="W11936"/>
          <cell r="X11936"/>
          <cell r="Y11936"/>
        </row>
        <row r="11937">
          <cell r="V11937"/>
          <cell r="W11937"/>
          <cell r="X11937"/>
          <cell r="Y11937"/>
        </row>
        <row r="11938">
          <cell r="V11938"/>
          <cell r="W11938"/>
          <cell r="X11938"/>
          <cell r="Y11938"/>
        </row>
        <row r="11939">
          <cell r="V11939"/>
          <cell r="W11939"/>
          <cell r="X11939"/>
          <cell r="Y11939"/>
        </row>
        <row r="11940">
          <cell r="V11940"/>
          <cell r="W11940"/>
          <cell r="X11940"/>
          <cell r="Y11940"/>
        </row>
        <row r="11941">
          <cell r="V11941"/>
          <cell r="W11941"/>
          <cell r="X11941"/>
          <cell r="Y11941"/>
        </row>
        <row r="11942">
          <cell r="V11942"/>
          <cell r="W11942"/>
          <cell r="X11942"/>
          <cell r="Y11942"/>
        </row>
        <row r="11943">
          <cell r="V11943"/>
          <cell r="W11943"/>
          <cell r="X11943"/>
          <cell r="Y11943"/>
        </row>
        <row r="11944">
          <cell r="V11944"/>
          <cell r="W11944"/>
          <cell r="X11944"/>
          <cell r="Y11944"/>
        </row>
        <row r="11945">
          <cell r="V11945"/>
          <cell r="W11945"/>
          <cell r="X11945"/>
          <cell r="Y11945"/>
        </row>
        <row r="11946">
          <cell r="V11946"/>
          <cell r="W11946"/>
          <cell r="X11946"/>
          <cell r="Y11946"/>
        </row>
        <row r="11947">
          <cell r="V11947"/>
          <cell r="W11947"/>
          <cell r="X11947"/>
          <cell r="Y11947"/>
        </row>
        <row r="11948">
          <cell r="V11948"/>
          <cell r="W11948"/>
          <cell r="X11948"/>
          <cell r="Y11948"/>
        </row>
        <row r="11949">
          <cell r="V11949"/>
          <cell r="W11949"/>
          <cell r="X11949"/>
          <cell r="Y11949"/>
        </row>
        <row r="11950">
          <cell r="V11950"/>
          <cell r="W11950"/>
          <cell r="X11950"/>
          <cell r="Y11950"/>
        </row>
        <row r="11951">
          <cell r="V11951"/>
          <cell r="W11951"/>
          <cell r="X11951"/>
          <cell r="Y11951"/>
        </row>
        <row r="11952">
          <cell r="V11952"/>
          <cell r="W11952"/>
          <cell r="X11952"/>
          <cell r="Y11952"/>
        </row>
        <row r="11953">
          <cell r="V11953"/>
          <cell r="W11953"/>
          <cell r="X11953"/>
          <cell r="Y11953"/>
        </row>
        <row r="11954">
          <cell r="V11954"/>
          <cell r="W11954"/>
          <cell r="X11954"/>
          <cell r="Y11954"/>
        </row>
        <row r="11955">
          <cell r="V11955"/>
          <cell r="W11955"/>
          <cell r="X11955"/>
          <cell r="Y11955"/>
        </row>
        <row r="11956">
          <cell r="V11956"/>
          <cell r="W11956"/>
          <cell r="X11956"/>
          <cell r="Y11956"/>
        </row>
        <row r="11957">
          <cell r="V11957"/>
          <cell r="W11957"/>
          <cell r="X11957"/>
          <cell r="Y11957"/>
        </row>
        <row r="11958">
          <cell r="V11958"/>
          <cell r="W11958"/>
          <cell r="X11958"/>
          <cell r="Y11958"/>
        </row>
        <row r="11959">
          <cell r="V11959"/>
          <cell r="W11959"/>
          <cell r="X11959"/>
          <cell r="Y11959"/>
        </row>
        <row r="11960">
          <cell r="V11960"/>
          <cell r="W11960"/>
          <cell r="X11960"/>
          <cell r="Y11960"/>
        </row>
        <row r="11961">
          <cell r="V11961"/>
          <cell r="W11961"/>
          <cell r="X11961"/>
          <cell r="Y11961"/>
        </row>
        <row r="11962">
          <cell r="V11962"/>
          <cell r="W11962"/>
          <cell r="X11962"/>
          <cell r="Y11962"/>
        </row>
        <row r="11963">
          <cell r="V11963"/>
          <cell r="W11963"/>
          <cell r="X11963"/>
          <cell r="Y11963"/>
        </row>
        <row r="11964">
          <cell r="V11964"/>
          <cell r="W11964"/>
          <cell r="X11964"/>
          <cell r="Y11964"/>
        </row>
        <row r="11965">
          <cell r="V11965"/>
          <cell r="W11965"/>
          <cell r="X11965"/>
          <cell r="Y11965"/>
        </row>
        <row r="11966">
          <cell r="V11966"/>
          <cell r="W11966"/>
          <cell r="X11966"/>
          <cell r="Y11966"/>
        </row>
        <row r="11967">
          <cell r="V11967"/>
          <cell r="W11967"/>
          <cell r="X11967"/>
          <cell r="Y11967"/>
        </row>
        <row r="11968">
          <cell r="V11968"/>
          <cell r="W11968"/>
          <cell r="X11968"/>
          <cell r="Y11968"/>
        </row>
        <row r="11969">
          <cell r="V11969"/>
          <cell r="W11969"/>
          <cell r="X11969"/>
          <cell r="Y11969"/>
        </row>
        <row r="11970">
          <cell r="V11970"/>
          <cell r="W11970"/>
          <cell r="X11970"/>
          <cell r="Y11970"/>
        </row>
        <row r="11971">
          <cell r="V11971"/>
          <cell r="W11971"/>
          <cell r="X11971"/>
          <cell r="Y11971"/>
        </row>
        <row r="11972">
          <cell r="V11972"/>
          <cell r="W11972"/>
          <cell r="X11972"/>
          <cell r="Y11972"/>
        </row>
        <row r="11973">
          <cell r="V11973"/>
          <cell r="W11973"/>
          <cell r="X11973"/>
          <cell r="Y11973"/>
        </row>
        <row r="11974">
          <cell r="V11974"/>
          <cell r="W11974"/>
          <cell r="X11974"/>
          <cell r="Y11974"/>
        </row>
        <row r="11975">
          <cell r="V11975"/>
          <cell r="W11975"/>
          <cell r="X11975"/>
          <cell r="Y11975"/>
        </row>
        <row r="11976">
          <cell r="V11976"/>
          <cell r="W11976"/>
          <cell r="X11976"/>
          <cell r="Y11976"/>
        </row>
        <row r="11977">
          <cell r="V11977"/>
          <cell r="W11977"/>
          <cell r="X11977"/>
          <cell r="Y11977"/>
        </row>
        <row r="11978">
          <cell r="V11978"/>
          <cell r="W11978"/>
          <cell r="X11978"/>
          <cell r="Y11978"/>
        </row>
        <row r="11979">
          <cell r="V11979"/>
          <cell r="W11979"/>
          <cell r="X11979"/>
          <cell r="Y11979"/>
        </row>
        <row r="11980">
          <cell r="V11980"/>
          <cell r="W11980"/>
          <cell r="X11980"/>
          <cell r="Y11980"/>
        </row>
        <row r="11981">
          <cell r="V11981"/>
          <cell r="W11981"/>
          <cell r="X11981"/>
          <cell r="Y11981"/>
        </row>
        <row r="11982">
          <cell r="V11982"/>
          <cell r="W11982"/>
          <cell r="X11982"/>
          <cell r="Y11982"/>
        </row>
        <row r="11983">
          <cell r="V11983"/>
          <cell r="W11983"/>
          <cell r="X11983"/>
          <cell r="Y11983"/>
        </row>
        <row r="11984">
          <cell r="V11984"/>
          <cell r="W11984"/>
          <cell r="X11984"/>
          <cell r="Y11984"/>
        </row>
        <row r="11985">
          <cell r="V11985"/>
          <cell r="W11985"/>
          <cell r="X11985"/>
          <cell r="Y11985"/>
        </row>
        <row r="11986">
          <cell r="V11986"/>
          <cell r="W11986"/>
          <cell r="X11986"/>
          <cell r="Y11986"/>
        </row>
        <row r="11987">
          <cell r="V11987"/>
          <cell r="W11987"/>
          <cell r="X11987"/>
          <cell r="Y11987"/>
        </row>
        <row r="11988">
          <cell r="V11988"/>
          <cell r="W11988"/>
          <cell r="X11988"/>
          <cell r="Y11988"/>
        </row>
        <row r="11989">
          <cell r="V11989"/>
          <cell r="W11989"/>
          <cell r="X11989"/>
          <cell r="Y11989"/>
        </row>
        <row r="11990">
          <cell r="V11990"/>
          <cell r="W11990"/>
          <cell r="X11990"/>
          <cell r="Y11990"/>
        </row>
        <row r="11991">
          <cell r="V11991"/>
          <cell r="W11991"/>
          <cell r="X11991"/>
          <cell r="Y11991"/>
        </row>
        <row r="11992">
          <cell r="V11992"/>
          <cell r="W11992"/>
          <cell r="X11992"/>
          <cell r="Y11992"/>
        </row>
        <row r="11993">
          <cell r="V11993"/>
          <cell r="W11993"/>
          <cell r="X11993"/>
          <cell r="Y11993"/>
        </row>
        <row r="11994">
          <cell r="V11994"/>
          <cell r="W11994"/>
          <cell r="X11994"/>
          <cell r="Y11994"/>
        </row>
        <row r="11995">
          <cell r="V11995"/>
          <cell r="W11995"/>
          <cell r="X11995"/>
          <cell r="Y11995"/>
        </row>
        <row r="11996">
          <cell r="V11996"/>
          <cell r="W11996"/>
          <cell r="X11996"/>
          <cell r="Y11996"/>
        </row>
        <row r="11997">
          <cell r="V11997"/>
          <cell r="W11997"/>
          <cell r="X11997"/>
          <cell r="Y11997"/>
        </row>
        <row r="11998">
          <cell r="V11998"/>
          <cell r="W11998"/>
          <cell r="X11998"/>
          <cell r="Y11998"/>
        </row>
        <row r="11999">
          <cell r="V11999"/>
          <cell r="W11999"/>
          <cell r="X11999"/>
          <cell r="Y11999"/>
        </row>
        <row r="12000">
          <cell r="V12000"/>
          <cell r="W12000"/>
          <cell r="X12000"/>
          <cell r="Y12000"/>
        </row>
        <row r="12001">
          <cell r="V12001"/>
          <cell r="W12001"/>
          <cell r="X12001"/>
          <cell r="Y12001"/>
        </row>
        <row r="12002">
          <cell r="V12002"/>
          <cell r="W12002"/>
          <cell r="X12002"/>
          <cell r="Y12002"/>
        </row>
        <row r="12003">
          <cell r="V12003"/>
          <cell r="W12003"/>
          <cell r="X12003"/>
          <cell r="Y12003"/>
        </row>
        <row r="12004">
          <cell r="V12004"/>
          <cell r="W12004"/>
          <cell r="X12004"/>
          <cell r="Y12004"/>
        </row>
        <row r="12005">
          <cell r="V12005"/>
          <cell r="W12005"/>
          <cell r="X12005"/>
          <cell r="Y12005"/>
        </row>
        <row r="12006">
          <cell r="V12006"/>
          <cell r="W12006"/>
          <cell r="X12006"/>
          <cell r="Y12006"/>
        </row>
        <row r="12007">
          <cell r="V12007"/>
          <cell r="W12007"/>
          <cell r="X12007"/>
          <cell r="Y12007"/>
        </row>
        <row r="12008">
          <cell r="V12008"/>
          <cell r="W12008"/>
          <cell r="X12008"/>
          <cell r="Y12008"/>
        </row>
        <row r="12009">
          <cell r="V12009"/>
          <cell r="W12009"/>
          <cell r="X12009"/>
          <cell r="Y12009"/>
        </row>
        <row r="12010">
          <cell r="V12010"/>
          <cell r="W12010"/>
          <cell r="X12010"/>
          <cell r="Y12010"/>
        </row>
        <row r="12011">
          <cell r="V12011"/>
          <cell r="W12011"/>
          <cell r="X12011"/>
          <cell r="Y12011"/>
        </row>
        <row r="12012">
          <cell r="V12012"/>
          <cell r="W12012"/>
          <cell r="X12012"/>
          <cell r="Y12012"/>
        </row>
        <row r="12013">
          <cell r="V12013"/>
          <cell r="W12013"/>
          <cell r="X12013"/>
          <cell r="Y12013"/>
        </row>
        <row r="12014">
          <cell r="V12014"/>
          <cell r="W12014"/>
          <cell r="X12014"/>
          <cell r="Y12014"/>
        </row>
        <row r="12015">
          <cell r="V12015"/>
          <cell r="W12015"/>
          <cell r="X12015"/>
          <cell r="Y12015"/>
        </row>
        <row r="12016">
          <cell r="V12016"/>
          <cell r="W12016"/>
          <cell r="X12016"/>
          <cell r="Y12016"/>
        </row>
        <row r="12017">
          <cell r="V12017"/>
          <cell r="W12017"/>
          <cell r="X12017"/>
          <cell r="Y12017"/>
        </row>
        <row r="12018">
          <cell r="V12018"/>
          <cell r="W12018"/>
          <cell r="X12018"/>
          <cell r="Y12018"/>
        </row>
        <row r="12019">
          <cell r="V12019"/>
          <cell r="W12019"/>
          <cell r="X12019"/>
          <cell r="Y12019"/>
        </row>
        <row r="12020">
          <cell r="V12020"/>
          <cell r="W12020"/>
          <cell r="X12020"/>
          <cell r="Y12020"/>
        </row>
        <row r="12021">
          <cell r="V12021"/>
          <cell r="W12021"/>
          <cell r="X12021"/>
          <cell r="Y12021"/>
        </row>
        <row r="12022">
          <cell r="V12022"/>
          <cell r="W12022"/>
          <cell r="X12022"/>
          <cell r="Y12022"/>
        </row>
        <row r="12023">
          <cell r="V12023"/>
          <cell r="W12023"/>
          <cell r="X12023"/>
          <cell r="Y12023"/>
        </row>
        <row r="12024">
          <cell r="V12024"/>
          <cell r="W12024"/>
          <cell r="X12024"/>
          <cell r="Y12024"/>
        </row>
        <row r="12025">
          <cell r="V12025"/>
          <cell r="W12025"/>
          <cell r="X12025"/>
          <cell r="Y12025"/>
        </row>
        <row r="12026">
          <cell r="V12026"/>
          <cell r="W12026"/>
          <cell r="X12026"/>
          <cell r="Y12026"/>
        </row>
        <row r="12027">
          <cell r="V12027"/>
          <cell r="W12027"/>
          <cell r="X12027"/>
          <cell r="Y12027"/>
        </row>
        <row r="12028">
          <cell r="V12028"/>
          <cell r="W12028"/>
          <cell r="X12028"/>
          <cell r="Y12028"/>
        </row>
        <row r="12029">
          <cell r="V12029"/>
          <cell r="W12029"/>
          <cell r="X12029"/>
          <cell r="Y12029"/>
        </row>
        <row r="12030">
          <cell r="V12030"/>
          <cell r="W12030"/>
          <cell r="X12030"/>
          <cell r="Y12030"/>
        </row>
        <row r="12031">
          <cell r="V12031"/>
          <cell r="W12031"/>
          <cell r="X12031"/>
          <cell r="Y12031"/>
        </row>
        <row r="12032">
          <cell r="V12032"/>
          <cell r="W12032"/>
          <cell r="X12032"/>
          <cell r="Y12032"/>
        </row>
        <row r="12033">
          <cell r="V12033"/>
          <cell r="W12033"/>
          <cell r="X12033"/>
          <cell r="Y12033"/>
        </row>
        <row r="12034">
          <cell r="V12034"/>
          <cell r="W12034"/>
          <cell r="X12034"/>
          <cell r="Y12034"/>
        </row>
        <row r="12035">
          <cell r="V12035"/>
          <cell r="W12035"/>
          <cell r="X12035"/>
          <cell r="Y12035"/>
        </row>
        <row r="12036">
          <cell r="V12036"/>
          <cell r="W12036"/>
          <cell r="X12036"/>
          <cell r="Y12036"/>
        </row>
        <row r="12037">
          <cell r="V12037"/>
          <cell r="W12037"/>
          <cell r="X12037"/>
          <cell r="Y12037"/>
        </row>
        <row r="12038">
          <cell r="V12038"/>
          <cell r="W12038"/>
          <cell r="X12038"/>
          <cell r="Y12038"/>
        </row>
        <row r="12039">
          <cell r="V12039"/>
          <cell r="W12039"/>
          <cell r="X12039"/>
          <cell r="Y12039"/>
        </row>
        <row r="12040">
          <cell r="V12040"/>
          <cell r="W12040"/>
          <cell r="X12040"/>
          <cell r="Y12040"/>
        </row>
        <row r="12041">
          <cell r="V12041"/>
          <cell r="W12041"/>
          <cell r="X12041"/>
          <cell r="Y12041"/>
        </row>
        <row r="12042">
          <cell r="V12042"/>
          <cell r="W12042"/>
          <cell r="X12042"/>
          <cell r="Y12042"/>
        </row>
        <row r="12043">
          <cell r="V12043"/>
          <cell r="W12043"/>
          <cell r="X12043"/>
          <cell r="Y12043"/>
        </row>
        <row r="12044">
          <cell r="V12044"/>
          <cell r="W12044"/>
          <cell r="X12044"/>
          <cell r="Y12044"/>
        </row>
        <row r="12045">
          <cell r="V12045"/>
          <cell r="W12045"/>
          <cell r="X12045"/>
          <cell r="Y12045"/>
        </row>
        <row r="12046">
          <cell r="V12046"/>
          <cell r="W12046"/>
          <cell r="X12046"/>
          <cell r="Y12046"/>
        </row>
        <row r="12047">
          <cell r="V12047"/>
          <cell r="W12047"/>
          <cell r="X12047"/>
          <cell r="Y12047"/>
        </row>
        <row r="12048">
          <cell r="V12048"/>
          <cell r="W12048"/>
          <cell r="X12048"/>
          <cell r="Y12048"/>
        </row>
        <row r="12049">
          <cell r="V12049"/>
          <cell r="W12049"/>
          <cell r="X12049"/>
          <cell r="Y12049"/>
        </row>
        <row r="12050">
          <cell r="V12050"/>
          <cell r="W12050"/>
          <cell r="X12050"/>
          <cell r="Y12050"/>
        </row>
        <row r="12051">
          <cell r="V12051"/>
          <cell r="W12051"/>
          <cell r="X12051"/>
          <cell r="Y12051"/>
        </row>
        <row r="12052">
          <cell r="V12052"/>
          <cell r="W12052"/>
          <cell r="X12052"/>
          <cell r="Y12052"/>
        </row>
        <row r="12053">
          <cell r="V12053"/>
          <cell r="W12053"/>
          <cell r="X12053"/>
          <cell r="Y12053"/>
        </row>
        <row r="12054">
          <cell r="V12054"/>
          <cell r="W12054"/>
          <cell r="X12054"/>
          <cell r="Y12054"/>
        </row>
        <row r="12055">
          <cell r="V12055"/>
          <cell r="W12055"/>
          <cell r="X12055"/>
          <cell r="Y12055"/>
        </row>
        <row r="12056">
          <cell r="V12056"/>
          <cell r="W12056"/>
          <cell r="X12056"/>
          <cell r="Y12056"/>
        </row>
        <row r="12057">
          <cell r="V12057"/>
          <cell r="W12057"/>
          <cell r="X12057"/>
          <cell r="Y12057"/>
        </row>
        <row r="12058">
          <cell r="V12058"/>
          <cell r="W12058"/>
          <cell r="X12058"/>
          <cell r="Y12058"/>
        </row>
        <row r="12059">
          <cell r="V12059"/>
          <cell r="W12059"/>
          <cell r="X12059"/>
          <cell r="Y12059"/>
        </row>
        <row r="12060">
          <cell r="V12060"/>
          <cell r="W12060"/>
          <cell r="X12060"/>
          <cell r="Y12060"/>
        </row>
        <row r="12061">
          <cell r="V12061"/>
          <cell r="W12061"/>
          <cell r="X12061"/>
          <cell r="Y12061"/>
        </row>
        <row r="12062">
          <cell r="V12062"/>
          <cell r="W12062"/>
          <cell r="X12062"/>
          <cell r="Y12062"/>
        </row>
        <row r="12063">
          <cell r="V12063"/>
          <cell r="W12063"/>
          <cell r="X12063"/>
          <cell r="Y12063"/>
        </row>
        <row r="12064">
          <cell r="V12064"/>
          <cell r="W12064"/>
          <cell r="X12064"/>
          <cell r="Y12064"/>
        </row>
        <row r="12065">
          <cell r="V12065"/>
          <cell r="W12065"/>
          <cell r="X12065"/>
          <cell r="Y12065"/>
        </row>
        <row r="12066">
          <cell r="V12066"/>
          <cell r="W12066"/>
          <cell r="X12066"/>
          <cell r="Y12066"/>
        </row>
        <row r="12067">
          <cell r="V12067"/>
          <cell r="W12067"/>
          <cell r="X12067"/>
          <cell r="Y12067"/>
        </row>
        <row r="12068">
          <cell r="V12068"/>
          <cell r="W12068"/>
          <cell r="X12068"/>
          <cell r="Y12068"/>
        </row>
        <row r="12069">
          <cell r="V12069"/>
          <cell r="W12069"/>
          <cell r="X12069"/>
          <cell r="Y12069"/>
        </row>
        <row r="12070">
          <cell r="V12070"/>
          <cell r="W12070"/>
          <cell r="X12070"/>
          <cell r="Y12070"/>
        </row>
        <row r="12071">
          <cell r="V12071"/>
          <cell r="W12071"/>
          <cell r="X12071"/>
          <cell r="Y12071"/>
        </row>
        <row r="12072">
          <cell r="V12072"/>
          <cell r="W12072"/>
          <cell r="X12072"/>
          <cell r="Y12072"/>
        </row>
        <row r="12073">
          <cell r="V12073"/>
          <cell r="W12073"/>
          <cell r="X12073"/>
          <cell r="Y12073"/>
        </row>
        <row r="12074">
          <cell r="V12074"/>
          <cell r="W12074"/>
          <cell r="X12074"/>
          <cell r="Y12074"/>
        </row>
        <row r="12075">
          <cell r="V12075"/>
          <cell r="W12075"/>
          <cell r="X12075"/>
          <cell r="Y12075"/>
        </row>
        <row r="12076">
          <cell r="V12076"/>
          <cell r="W12076"/>
          <cell r="X12076"/>
          <cell r="Y12076"/>
        </row>
        <row r="12077">
          <cell r="V12077"/>
          <cell r="W12077"/>
          <cell r="X12077"/>
          <cell r="Y12077"/>
        </row>
        <row r="12078">
          <cell r="V12078"/>
          <cell r="W12078"/>
          <cell r="X12078"/>
          <cell r="Y12078"/>
        </row>
        <row r="12079">
          <cell r="V12079"/>
          <cell r="W12079"/>
          <cell r="X12079"/>
          <cell r="Y12079"/>
        </row>
        <row r="12080">
          <cell r="V12080"/>
          <cell r="W12080"/>
          <cell r="X12080"/>
          <cell r="Y12080"/>
        </row>
        <row r="12081">
          <cell r="V12081"/>
          <cell r="W12081"/>
          <cell r="X12081"/>
          <cell r="Y12081"/>
        </row>
        <row r="12082">
          <cell r="V12082"/>
          <cell r="W12082"/>
          <cell r="X12082"/>
          <cell r="Y12082"/>
        </row>
        <row r="12083">
          <cell r="V12083"/>
          <cell r="W12083"/>
          <cell r="X12083"/>
          <cell r="Y12083"/>
        </row>
        <row r="12084">
          <cell r="V12084"/>
          <cell r="W12084"/>
          <cell r="X12084"/>
          <cell r="Y12084"/>
        </row>
        <row r="12085">
          <cell r="V12085"/>
          <cell r="W12085"/>
          <cell r="X12085"/>
          <cell r="Y12085"/>
        </row>
        <row r="12086">
          <cell r="V12086"/>
          <cell r="W12086"/>
          <cell r="X12086"/>
          <cell r="Y12086"/>
        </row>
        <row r="12087">
          <cell r="V12087"/>
          <cell r="W12087"/>
          <cell r="X12087"/>
          <cell r="Y12087"/>
        </row>
        <row r="12088">
          <cell r="V12088"/>
          <cell r="W12088"/>
          <cell r="X12088"/>
          <cell r="Y12088"/>
        </row>
        <row r="12089">
          <cell r="V12089"/>
          <cell r="W12089"/>
          <cell r="X12089"/>
          <cell r="Y12089"/>
        </row>
        <row r="12090">
          <cell r="V12090"/>
          <cell r="W12090"/>
          <cell r="X12090"/>
          <cell r="Y12090"/>
        </row>
        <row r="12091">
          <cell r="V12091"/>
          <cell r="W12091"/>
          <cell r="X12091"/>
          <cell r="Y12091"/>
        </row>
        <row r="12092">
          <cell r="V12092"/>
          <cell r="W12092"/>
          <cell r="X12092"/>
          <cell r="Y12092"/>
        </row>
        <row r="12093">
          <cell r="V12093"/>
          <cell r="W12093"/>
          <cell r="X12093"/>
          <cell r="Y12093"/>
        </row>
        <row r="12094">
          <cell r="V12094"/>
          <cell r="W12094"/>
          <cell r="X12094"/>
          <cell r="Y12094"/>
        </row>
        <row r="12095">
          <cell r="V12095"/>
          <cell r="W12095"/>
          <cell r="X12095"/>
          <cell r="Y12095"/>
        </row>
        <row r="12096">
          <cell r="V12096"/>
          <cell r="W12096"/>
          <cell r="X12096"/>
          <cell r="Y12096"/>
        </row>
        <row r="12097">
          <cell r="V12097"/>
          <cell r="W12097"/>
          <cell r="X12097"/>
          <cell r="Y12097"/>
        </row>
        <row r="12098">
          <cell r="V12098"/>
          <cell r="W12098"/>
          <cell r="X12098"/>
          <cell r="Y12098"/>
        </row>
        <row r="12099">
          <cell r="V12099"/>
          <cell r="W12099"/>
          <cell r="X12099"/>
          <cell r="Y12099"/>
        </row>
        <row r="12100">
          <cell r="V12100"/>
          <cell r="W12100"/>
          <cell r="X12100"/>
          <cell r="Y12100"/>
        </row>
        <row r="12101">
          <cell r="V12101"/>
          <cell r="W12101"/>
          <cell r="X12101"/>
          <cell r="Y12101"/>
        </row>
        <row r="12102">
          <cell r="V12102"/>
          <cell r="W12102"/>
          <cell r="X12102"/>
          <cell r="Y12102"/>
        </row>
        <row r="12103">
          <cell r="V12103"/>
          <cell r="W12103"/>
          <cell r="X12103"/>
          <cell r="Y12103"/>
        </row>
        <row r="12104">
          <cell r="V12104"/>
          <cell r="W12104"/>
          <cell r="X12104"/>
          <cell r="Y12104"/>
        </row>
        <row r="12105">
          <cell r="V12105"/>
          <cell r="W12105"/>
          <cell r="X12105"/>
          <cell r="Y12105"/>
        </row>
        <row r="12106">
          <cell r="V12106"/>
          <cell r="W12106"/>
          <cell r="X12106"/>
          <cell r="Y12106"/>
        </row>
        <row r="12107">
          <cell r="V12107"/>
          <cell r="W12107"/>
          <cell r="X12107"/>
          <cell r="Y12107"/>
        </row>
        <row r="12108">
          <cell r="V12108"/>
          <cell r="W12108"/>
          <cell r="X12108"/>
          <cell r="Y12108"/>
        </row>
        <row r="12109">
          <cell r="V12109"/>
          <cell r="W12109"/>
          <cell r="X12109"/>
          <cell r="Y12109"/>
        </row>
        <row r="12110">
          <cell r="V12110"/>
          <cell r="W12110"/>
          <cell r="X12110"/>
          <cell r="Y12110"/>
        </row>
        <row r="12111">
          <cell r="V12111"/>
          <cell r="W12111"/>
          <cell r="X12111"/>
          <cell r="Y12111"/>
        </row>
        <row r="12112">
          <cell r="V12112"/>
          <cell r="W12112"/>
          <cell r="X12112"/>
          <cell r="Y12112"/>
        </row>
        <row r="12113">
          <cell r="V12113"/>
          <cell r="W12113"/>
          <cell r="X12113"/>
          <cell r="Y12113"/>
        </row>
        <row r="12114">
          <cell r="V12114"/>
          <cell r="W12114"/>
          <cell r="X12114"/>
          <cell r="Y12114"/>
        </row>
        <row r="12115">
          <cell r="V12115"/>
          <cell r="W12115"/>
          <cell r="X12115"/>
          <cell r="Y12115"/>
        </row>
        <row r="12116">
          <cell r="V12116"/>
          <cell r="W12116"/>
          <cell r="X12116"/>
          <cell r="Y12116"/>
        </row>
        <row r="12117">
          <cell r="V12117"/>
          <cell r="W12117"/>
          <cell r="X12117"/>
          <cell r="Y12117"/>
        </row>
        <row r="12118">
          <cell r="V12118"/>
          <cell r="W12118"/>
          <cell r="X12118"/>
          <cell r="Y12118"/>
        </row>
        <row r="12119">
          <cell r="V12119"/>
          <cell r="W12119"/>
          <cell r="X12119"/>
          <cell r="Y12119"/>
        </row>
        <row r="12120">
          <cell r="V12120"/>
          <cell r="W12120"/>
          <cell r="X12120"/>
          <cell r="Y12120"/>
        </row>
        <row r="12121">
          <cell r="V12121"/>
          <cell r="W12121"/>
          <cell r="X12121"/>
          <cell r="Y12121"/>
        </row>
        <row r="12122">
          <cell r="V12122"/>
          <cell r="W12122"/>
          <cell r="X12122"/>
          <cell r="Y12122"/>
        </row>
        <row r="12123">
          <cell r="V12123"/>
          <cell r="W12123"/>
          <cell r="X12123"/>
          <cell r="Y12123"/>
        </row>
        <row r="12124">
          <cell r="V12124"/>
          <cell r="W12124"/>
          <cell r="X12124"/>
          <cell r="Y12124"/>
        </row>
        <row r="12125">
          <cell r="V12125"/>
          <cell r="W12125"/>
          <cell r="X12125"/>
          <cell r="Y12125"/>
        </row>
        <row r="12126">
          <cell r="V12126"/>
          <cell r="W12126"/>
          <cell r="X12126"/>
          <cell r="Y12126"/>
        </row>
        <row r="12127">
          <cell r="V12127"/>
          <cell r="W12127"/>
          <cell r="X12127"/>
          <cell r="Y12127"/>
        </row>
        <row r="12128">
          <cell r="V12128"/>
          <cell r="W12128"/>
          <cell r="X12128"/>
          <cell r="Y12128"/>
        </row>
        <row r="12129">
          <cell r="V12129"/>
          <cell r="W12129"/>
          <cell r="X12129"/>
          <cell r="Y12129"/>
        </row>
        <row r="12130">
          <cell r="V12130"/>
          <cell r="W12130"/>
          <cell r="X12130"/>
          <cell r="Y12130"/>
        </row>
        <row r="12131">
          <cell r="V12131"/>
          <cell r="W12131"/>
          <cell r="X12131"/>
          <cell r="Y12131"/>
        </row>
        <row r="12132">
          <cell r="V12132"/>
          <cell r="W12132"/>
          <cell r="X12132"/>
          <cell r="Y12132"/>
        </row>
        <row r="12133">
          <cell r="V12133"/>
          <cell r="W12133"/>
          <cell r="X12133"/>
          <cell r="Y12133"/>
        </row>
        <row r="12134">
          <cell r="V12134"/>
          <cell r="W12134"/>
          <cell r="X12134"/>
          <cell r="Y12134"/>
        </row>
        <row r="12135">
          <cell r="V12135"/>
          <cell r="W12135"/>
          <cell r="X12135"/>
          <cell r="Y12135"/>
        </row>
        <row r="12136">
          <cell r="V12136"/>
          <cell r="W12136"/>
          <cell r="X12136"/>
          <cell r="Y12136"/>
        </row>
        <row r="12137">
          <cell r="V12137"/>
          <cell r="W12137"/>
          <cell r="X12137"/>
          <cell r="Y12137"/>
        </row>
        <row r="12138">
          <cell r="V12138"/>
          <cell r="W12138"/>
          <cell r="X12138"/>
          <cell r="Y12138"/>
        </row>
        <row r="12139">
          <cell r="V12139"/>
          <cell r="W12139"/>
          <cell r="X12139"/>
          <cell r="Y12139"/>
        </row>
        <row r="12140">
          <cell r="V12140"/>
          <cell r="W12140"/>
          <cell r="X12140"/>
          <cell r="Y12140"/>
        </row>
        <row r="12141">
          <cell r="V12141"/>
          <cell r="W12141"/>
          <cell r="X12141"/>
          <cell r="Y12141"/>
        </row>
        <row r="12142">
          <cell r="V12142"/>
          <cell r="W12142"/>
          <cell r="X12142"/>
          <cell r="Y12142"/>
        </row>
        <row r="12143">
          <cell r="V12143"/>
          <cell r="W12143"/>
          <cell r="X12143"/>
          <cell r="Y12143"/>
        </row>
        <row r="12144">
          <cell r="V12144"/>
          <cell r="W12144"/>
          <cell r="X12144"/>
          <cell r="Y12144"/>
        </row>
        <row r="12145">
          <cell r="V12145"/>
          <cell r="W12145"/>
          <cell r="X12145"/>
          <cell r="Y12145"/>
        </row>
        <row r="12146">
          <cell r="V12146"/>
          <cell r="W12146"/>
          <cell r="X12146"/>
          <cell r="Y12146"/>
        </row>
        <row r="12147">
          <cell r="V12147"/>
          <cell r="W12147"/>
          <cell r="X12147"/>
          <cell r="Y12147"/>
        </row>
        <row r="12148">
          <cell r="V12148"/>
          <cell r="W12148"/>
          <cell r="X12148"/>
          <cell r="Y12148"/>
        </row>
        <row r="12149">
          <cell r="V12149"/>
          <cell r="W12149"/>
          <cell r="X12149"/>
          <cell r="Y12149"/>
        </row>
        <row r="12150">
          <cell r="V12150"/>
          <cell r="W12150"/>
          <cell r="X12150"/>
          <cell r="Y12150"/>
        </row>
        <row r="12151">
          <cell r="V12151"/>
          <cell r="W12151"/>
          <cell r="X12151"/>
          <cell r="Y12151"/>
        </row>
        <row r="12152">
          <cell r="V12152"/>
          <cell r="W12152"/>
          <cell r="X12152"/>
          <cell r="Y12152"/>
        </row>
        <row r="12153">
          <cell r="V12153"/>
          <cell r="W12153"/>
          <cell r="X12153"/>
          <cell r="Y12153"/>
        </row>
        <row r="12154">
          <cell r="V12154"/>
          <cell r="W12154"/>
          <cell r="X12154"/>
          <cell r="Y12154"/>
        </row>
        <row r="12155">
          <cell r="V12155"/>
          <cell r="W12155"/>
          <cell r="X12155"/>
          <cell r="Y12155"/>
        </row>
        <row r="12156">
          <cell r="V12156"/>
          <cell r="W12156"/>
          <cell r="X12156"/>
          <cell r="Y12156"/>
        </row>
        <row r="12157">
          <cell r="V12157"/>
          <cell r="W12157"/>
          <cell r="X12157"/>
          <cell r="Y12157"/>
        </row>
        <row r="12158">
          <cell r="V12158"/>
          <cell r="W12158"/>
          <cell r="X12158"/>
          <cell r="Y12158"/>
        </row>
        <row r="12159">
          <cell r="V12159"/>
          <cell r="W12159"/>
          <cell r="X12159"/>
          <cell r="Y12159"/>
        </row>
        <row r="12160">
          <cell r="V12160"/>
          <cell r="W12160"/>
          <cell r="X12160"/>
          <cell r="Y12160"/>
        </row>
        <row r="12161">
          <cell r="V12161"/>
          <cell r="W12161"/>
          <cell r="X12161"/>
          <cell r="Y12161"/>
        </row>
        <row r="12162">
          <cell r="V12162"/>
          <cell r="W12162"/>
          <cell r="X12162"/>
          <cell r="Y12162"/>
        </row>
        <row r="12163">
          <cell r="V12163"/>
          <cell r="W12163"/>
          <cell r="X12163"/>
          <cell r="Y12163"/>
        </row>
        <row r="12164">
          <cell r="V12164"/>
          <cell r="W12164"/>
          <cell r="X12164"/>
          <cell r="Y12164"/>
        </row>
        <row r="12165">
          <cell r="V12165"/>
          <cell r="W12165"/>
          <cell r="X12165"/>
          <cell r="Y12165"/>
        </row>
        <row r="12166">
          <cell r="V12166"/>
          <cell r="W12166"/>
          <cell r="X12166"/>
          <cell r="Y12166"/>
        </row>
        <row r="12167">
          <cell r="V12167"/>
          <cell r="W12167"/>
          <cell r="X12167"/>
          <cell r="Y12167"/>
        </row>
        <row r="12168">
          <cell r="V12168"/>
          <cell r="W12168"/>
          <cell r="X12168"/>
          <cell r="Y12168"/>
        </row>
        <row r="12169">
          <cell r="V12169"/>
          <cell r="W12169"/>
          <cell r="X12169"/>
          <cell r="Y12169"/>
        </row>
        <row r="12170">
          <cell r="V12170"/>
          <cell r="W12170"/>
          <cell r="X12170"/>
          <cell r="Y12170"/>
        </row>
        <row r="12171">
          <cell r="V12171"/>
          <cell r="W12171"/>
          <cell r="X12171"/>
          <cell r="Y12171"/>
        </row>
        <row r="12172">
          <cell r="V12172"/>
          <cell r="W12172"/>
          <cell r="X12172"/>
          <cell r="Y12172"/>
        </row>
        <row r="12173">
          <cell r="V12173"/>
          <cell r="W12173"/>
          <cell r="X12173"/>
          <cell r="Y12173"/>
        </row>
        <row r="12174">
          <cell r="V12174"/>
          <cell r="W12174"/>
          <cell r="X12174"/>
          <cell r="Y12174"/>
        </row>
        <row r="12175">
          <cell r="V12175"/>
          <cell r="W12175"/>
          <cell r="X12175"/>
          <cell r="Y12175"/>
        </row>
        <row r="12176">
          <cell r="V12176"/>
          <cell r="W12176"/>
          <cell r="X12176"/>
          <cell r="Y12176"/>
        </row>
        <row r="12177">
          <cell r="V12177"/>
          <cell r="W12177"/>
          <cell r="X12177"/>
          <cell r="Y12177"/>
        </row>
        <row r="12178">
          <cell r="V12178"/>
          <cell r="W12178"/>
          <cell r="X12178"/>
          <cell r="Y12178"/>
        </row>
        <row r="12179">
          <cell r="V12179"/>
          <cell r="W12179"/>
          <cell r="X12179"/>
          <cell r="Y12179"/>
        </row>
        <row r="12180">
          <cell r="V12180"/>
          <cell r="W12180"/>
          <cell r="X12180"/>
          <cell r="Y12180"/>
        </row>
        <row r="12181">
          <cell r="V12181"/>
          <cell r="W12181"/>
          <cell r="X12181"/>
          <cell r="Y12181"/>
        </row>
        <row r="12182">
          <cell r="V12182"/>
          <cell r="W12182"/>
          <cell r="X12182"/>
          <cell r="Y12182"/>
        </row>
        <row r="12183">
          <cell r="V12183"/>
          <cell r="W12183"/>
          <cell r="X12183"/>
          <cell r="Y12183"/>
        </row>
        <row r="12184">
          <cell r="V12184"/>
          <cell r="W12184"/>
          <cell r="X12184"/>
          <cell r="Y12184"/>
        </row>
        <row r="12185">
          <cell r="V12185"/>
          <cell r="W12185"/>
          <cell r="X12185"/>
          <cell r="Y12185"/>
        </row>
        <row r="12186">
          <cell r="V12186"/>
          <cell r="W12186"/>
          <cell r="X12186"/>
          <cell r="Y12186"/>
        </row>
        <row r="12187">
          <cell r="V12187"/>
          <cell r="W12187"/>
          <cell r="X12187"/>
          <cell r="Y12187"/>
        </row>
        <row r="12188">
          <cell r="V12188"/>
          <cell r="W12188"/>
          <cell r="X12188"/>
          <cell r="Y12188"/>
        </row>
        <row r="12189">
          <cell r="V12189"/>
          <cell r="W12189"/>
          <cell r="X12189"/>
          <cell r="Y12189"/>
        </row>
        <row r="12190">
          <cell r="V12190"/>
          <cell r="W12190"/>
          <cell r="X12190"/>
          <cell r="Y12190"/>
        </row>
        <row r="12191">
          <cell r="V12191"/>
          <cell r="W12191"/>
          <cell r="X12191"/>
          <cell r="Y12191"/>
        </row>
        <row r="12192">
          <cell r="V12192"/>
          <cell r="W12192"/>
          <cell r="X12192"/>
          <cell r="Y12192"/>
        </row>
        <row r="12193">
          <cell r="V12193"/>
          <cell r="W12193"/>
          <cell r="X12193"/>
          <cell r="Y12193"/>
        </row>
        <row r="12194">
          <cell r="V12194"/>
          <cell r="W12194"/>
          <cell r="X12194"/>
          <cell r="Y12194"/>
        </row>
        <row r="12195">
          <cell r="V12195"/>
          <cell r="W12195"/>
          <cell r="X12195"/>
          <cell r="Y12195"/>
        </row>
        <row r="12196">
          <cell r="V12196"/>
          <cell r="W12196"/>
          <cell r="X12196"/>
          <cell r="Y12196"/>
        </row>
        <row r="12197">
          <cell r="V12197"/>
          <cell r="W12197"/>
          <cell r="X12197"/>
          <cell r="Y12197"/>
        </row>
        <row r="12198">
          <cell r="V12198"/>
          <cell r="W12198"/>
          <cell r="X12198"/>
          <cell r="Y12198"/>
        </row>
        <row r="12199">
          <cell r="V12199"/>
          <cell r="W12199"/>
          <cell r="X12199"/>
          <cell r="Y12199"/>
        </row>
        <row r="12200">
          <cell r="V12200"/>
          <cell r="W12200"/>
          <cell r="X12200"/>
          <cell r="Y12200"/>
        </row>
        <row r="12201">
          <cell r="V12201"/>
          <cell r="W12201"/>
          <cell r="X12201"/>
          <cell r="Y12201"/>
        </row>
        <row r="12202">
          <cell r="V12202"/>
          <cell r="W12202"/>
          <cell r="X12202"/>
          <cell r="Y12202"/>
        </row>
        <row r="12203">
          <cell r="V12203"/>
          <cell r="W12203"/>
          <cell r="X12203"/>
          <cell r="Y12203"/>
        </row>
        <row r="12204">
          <cell r="V12204"/>
          <cell r="W12204"/>
          <cell r="X12204"/>
          <cell r="Y12204"/>
        </row>
        <row r="12205">
          <cell r="V12205"/>
          <cell r="W12205"/>
          <cell r="X12205"/>
          <cell r="Y12205"/>
        </row>
        <row r="12206">
          <cell r="V12206"/>
          <cell r="W12206"/>
          <cell r="X12206"/>
          <cell r="Y12206"/>
        </row>
        <row r="12207">
          <cell r="V12207"/>
          <cell r="W12207"/>
          <cell r="X12207"/>
          <cell r="Y12207"/>
        </row>
        <row r="12208">
          <cell r="V12208"/>
          <cell r="W12208"/>
          <cell r="X12208"/>
          <cell r="Y12208"/>
        </row>
        <row r="12209">
          <cell r="V12209"/>
          <cell r="W12209"/>
          <cell r="X12209"/>
          <cell r="Y12209"/>
        </row>
        <row r="12210">
          <cell r="V12210"/>
          <cell r="W12210"/>
          <cell r="X12210"/>
          <cell r="Y12210"/>
        </row>
        <row r="12211">
          <cell r="V12211"/>
          <cell r="W12211"/>
          <cell r="X12211"/>
          <cell r="Y12211"/>
        </row>
        <row r="12212">
          <cell r="V12212"/>
          <cell r="W12212"/>
          <cell r="X12212"/>
          <cell r="Y12212"/>
        </row>
        <row r="12213">
          <cell r="V12213"/>
          <cell r="W12213"/>
          <cell r="X12213"/>
          <cell r="Y12213"/>
        </row>
        <row r="12214">
          <cell r="V12214"/>
          <cell r="W12214"/>
          <cell r="X12214"/>
          <cell r="Y12214"/>
        </row>
        <row r="12215">
          <cell r="V12215"/>
          <cell r="W12215"/>
          <cell r="X12215"/>
          <cell r="Y12215"/>
        </row>
        <row r="12216">
          <cell r="V12216"/>
          <cell r="W12216"/>
          <cell r="X12216"/>
          <cell r="Y12216"/>
        </row>
        <row r="12217">
          <cell r="V12217"/>
          <cell r="W12217"/>
          <cell r="X12217"/>
          <cell r="Y12217"/>
        </row>
        <row r="12218">
          <cell r="V12218"/>
          <cell r="W12218"/>
          <cell r="X12218"/>
          <cell r="Y12218"/>
        </row>
        <row r="12219">
          <cell r="V12219"/>
          <cell r="W12219"/>
          <cell r="X12219"/>
          <cell r="Y12219"/>
        </row>
        <row r="12220">
          <cell r="V12220"/>
          <cell r="W12220"/>
          <cell r="X12220"/>
          <cell r="Y12220"/>
        </row>
        <row r="12221">
          <cell r="V12221"/>
          <cell r="W12221"/>
          <cell r="X12221"/>
          <cell r="Y12221"/>
        </row>
        <row r="12222">
          <cell r="V12222"/>
          <cell r="W12222"/>
          <cell r="X12222"/>
          <cell r="Y12222"/>
        </row>
        <row r="12223">
          <cell r="V12223"/>
          <cell r="W12223"/>
          <cell r="X12223"/>
          <cell r="Y12223"/>
        </row>
        <row r="12224">
          <cell r="V12224"/>
          <cell r="W12224"/>
          <cell r="X12224"/>
          <cell r="Y12224"/>
        </row>
        <row r="12225">
          <cell r="V12225"/>
          <cell r="W12225"/>
          <cell r="X12225"/>
          <cell r="Y12225"/>
        </row>
        <row r="12226">
          <cell r="V12226"/>
          <cell r="W12226"/>
          <cell r="X12226"/>
          <cell r="Y12226"/>
        </row>
        <row r="12227">
          <cell r="V12227"/>
          <cell r="W12227"/>
          <cell r="X12227"/>
          <cell r="Y12227"/>
        </row>
        <row r="12228">
          <cell r="V12228"/>
          <cell r="W12228"/>
          <cell r="X12228"/>
          <cell r="Y12228"/>
        </row>
        <row r="12229">
          <cell r="V12229"/>
          <cell r="W12229"/>
          <cell r="X12229"/>
          <cell r="Y12229"/>
        </row>
        <row r="12230">
          <cell r="V12230"/>
          <cell r="W12230"/>
          <cell r="X12230"/>
          <cell r="Y12230"/>
        </row>
        <row r="12231">
          <cell r="V12231"/>
          <cell r="W12231"/>
          <cell r="X12231"/>
          <cell r="Y12231"/>
        </row>
        <row r="12232">
          <cell r="V12232"/>
          <cell r="W12232"/>
          <cell r="X12232"/>
          <cell r="Y12232"/>
        </row>
        <row r="12233">
          <cell r="V12233"/>
          <cell r="W12233"/>
          <cell r="X12233"/>
          <cell r="Y12233"/>
        </row>
        <row r="12234">
          <cell r="V12234"/>
          <cell r="W12234"/>
          <cell r="X12234"/>
          <cell r="Y12234"/>
        </row>
        <row r="12235">
          <cell r="V12235"/>
          <cell r="W12235"/>
          <cell r="X12235"/>
          <cell r="Y12235"/>
        </row>
        <row r="12236">
          <cell r="V12236"/>
          <cell r="W12236"/>
          <cell r="X12236"/>
          <cell r="Y12236"/>
        </row>
        <row r="12237">
          <cell r="V12237"/>
          <cell r="W12237"/>
          <cell r="X12237"/>
          <cell r="Y12237"/>
        </row>
        <row r="12238">
          <cell r="V12238"/>
          <cell r="W12238"/>
          <cell r="X12238"/>
          <cell r="Y12238"/>
        </row>
        <row r="12239">
          <cell r="V12239"/>
          <cell r="W12239"/>
          <cell r="X12239"/>
          <cell r="Y12239"/>
        </row>
        <row r="12240">
          <cell r="V12240"/>
          <cell r="W12240"/>
          <cell r="X12240"/>
          <cell r="Y12240"/>
        </row>
        <row r="12241">
          <cell r="V12241"/>
          <cell r="W12241"/>
          <cell r="X12241"/>
          <cell r="Y12241"/>
        </row>
        <row r="12242">
          <cell r="V12242"/>
          <cell r="W12242"/>
          <cell r="X12242"/>
          <cell r="Y12242"/>
        </row>
        <row r="12243">
          <cell r="V12243"/>
          <cell r="W12243"/>
          <cell r="X12243"/>
          <cell r="Y12243"/>
        </row>
        <row r="12244">
          <cell r="V12244"/>
          <cell r="W12244"/>
          <cell r="X12244"/>
          <cell r="Y12244"/>
        </row>
        <row r="12245">
          <cell r="V12245"/>
          <cell r="W12245"/>
          <cell r="X12245"/>
          <cell r="Y12245"/>
        </row>
        <row r="12246">
          <cell r="V12246"/>
          <cell r="W12246"/>
          <cell r="X12246"/>
          <cell r="Y12246"/>
        </row>
        <row r="12247">
          <cell r="V12247"/>
          <cell r="W12247"/>
          <cell r="X12247"/>
          <cell r="Y12247"/>
        </row>
        <row r="12248">
          <cell r="V12248"/>
          <cell r="W12248"/>
          <cell r="X12248"/>
          <cell r="Y12248"/>
        </row>
        <row r="12249">
          <cell r="V12249"/>
          <cell r="W12249"/>
          <cell r="X12249"/>
          <cell r="Y12249"/>
        </row>
        <row r="12250">
          <cell r="V12250"/>
          <cell r="W12250"/>
          <cell r="X12250"/>
          <cell r="Y12250"/>
        </row>
        <row r="12251">
          <cell r="V12251"/>
          <cell r="W12251"/>
          <cell r="X12251"/>
          <cell r="Y12251"/>
        </row>
        <row r="12252">
          <cell r="V12252"/>
          <cell r="W12252"/>
          <cell r="X12252"/>
          <cell r="Y12252"/>
        </row>
        <row r="12253">
          <cell r="V12253"/>
          <cell r="W12253"/>
          <cell r="X12253"/>
          <cell r="Y12253"/>
        </row>
        <row r="12254">
          <cell r="V12254"/>
          <cell r="W12254"/>
          <cell r="X12254"/>
          <cell r="Y12254"/>
        </row>
        <row r="12255">
          <cell r="V12255"/>
          <cell r="W12255"/>
          <cell r="X12255"/>
          <cell r="Y12255"/>
        </row>
        <row r="12256">
          <cell r="V12256"/>
          <cell r="W12256"/>
          <cell r="X12256"/>
          <cell r="Y12256"/>
        </row>
        <row r="12257">
          <cell r="V12257"/>
          <cell r="W12257"/>
          <cell r="X12257"/>
          <cell r="Y12257"/>
        </row>
        <row r="12258">
          <cell r="V12258"/>
          <cell r="W12258"/>
          <cell r="X12258"/>
          <cell r="Y12258"/>
        </row>
        <row r="12259">
          <cell r="V12259"/>
          <cell r="W12259"/>
          <cell r="X12259"/>
          <cell r="Y12259"/>
        </row>
        <row r="12260">
          <cell r="V12260"/>
          <cell r="W12260"/>
          <cell r="X12260"/>
          <cell r="Y12260"/>
        </row>
        <row r="12261">
          <cell r="V12261"/>
          <cell r="W12261"/>
          <cell r="X12261"/>
          <cell r="Y12261"/>
        </row>
        <row r="12262">
          <cell r="V12262"/>
          <cell r="W12262"/>
          <cell r="X12262"/>
          <cell r="Y12262"/>
        </row>
        <row r="12263">
          <cell r="V12263"/>
          <cell r="W12263"/>
          <cell r="X12263"/>
          <cell r="Y12263"/>
        </row>
        <row r="12264">
          <cell r="V12264"/>
          <cell r="W12264"/>
          <cell r="X12264"/>
          <cell r="Y12264"/>
        </row>
        <row r="12265">
          <cell r="V12265"/>
          <cell r="W12265"/>
          <cell r="X12265"/>
          <cell r="Y12265"/>
        </row>
        <row r="12266">
          <cell r="V12266"/>
          <cell r="W12266"/>
          <cell r="X12266"/>
          <cell r="Y12266"/>
        </row>
        <row r="12267">
          <cell r="V12267"/>
          <cell r="W12267"/>
          <cell r="X12267"/>
          <cell r="Y12267"/>
        </row>
        <row r="12268">
          <cell r="V12268"/>
          <cell r="W12268"/>
          <cell r="X12268"/>
          <cell r="Y12268"/>
        </row>
        <row r="12269">
          <cell r="V12269"/>
          <cell r="W12269"/>
          <cell r="X12269"/>
          <cell r="Y12269"/>
        </row>
        <row r="12270">
          <cell r="V12270"/>
          <cell r="W12270"/>
          <cell r="X12270"/>
          <cell r="Y12270"/>
        </row>
        <row r="12271">
          <cell r="V12271"/>
          <cell r="W12271"/>
          <cell r="X12271"/>
          <cell r="Y12271"/>
        </row>
        <row r="12272">
          <cell r="V12272"/>
          <cell r="W12272"/>
          <cell r="X12272"/>
          <cell r="Y12272"/>
        </row>
        <row r="12273">
          <cell r="V12273"/>
          <cell r="W12273"/>
          <cell r="X12273"/>
          <cell r="Y12273"/>
        </row>
        <row r="12274">
          <cell r="V12274"/>
          <cell r="W12274"/>
          <cell r="X12274"/>
          <cell r="Y12274"/>
        </row>
        <row r="12275">
          <cell r="V12275"/>
          <cell r="W12275"/>
          <cell r="X12275"/>
          <cell r="Y12275"/>
        </row>
        <row r="12276">
          <cell r="V12276"/>
          <cell r="W12276"/>
          <cell r="X12276"/>
          <cell r="Y12276"/>
        </row>
        <row r="12277">
          <cell r="V12277"/>
          <cell r="W12277"/>
          <cell r="X12277"/>
          <cell r="Y12277"/>
        </row>
        <row r="12278">
          <cell r="V12278"/>
          <cell r="W12278"/>
          <cell r="X12278"/>
          <cell r="Y12278"/>
        </row>
        <row r="12279">
          <cell r="V12279"/>
          <cell r="W12279"/>
          <cell r="X12279"/>
          <cell r="Y12279"/>
        </row>
        <row r="12280">
          <cell r="V12280"/>
          <cell r="W12280"/>
          <cell r="X12280"/>
          <cell r="Y12280"/>
        </row>
        <row r="12281">
          <cell r="V12281"/>
          <cell r="W12281"/>
          <cell r="X12281"/>
          <cell r="Y12281"/>
        </row>
        <row r="12282">
          <cell r="V12282"/>
          <cell r="W12282"/>
          <cell r="X12282"/>
          <cell r="Y12282"/>
        </row>
        <row r="12283">
          <cell r="V12283"/>
          <cell r="W12283"/>
          <cell r="X12283"/>
          <cell r="Y12283"/>
        </row>
        <row r="12284">
          <cell r="V12284"/>
          <cell r="W12284"/>
          <cell r="X12284"/>
          <cell r="Y12284"/>
        </row>
        <row r="12285">
          <cell r="V12285"/>
          <cell r="W12285"/>
          <cell r="X12285"/>
          <cell r="Y12285"/>
        </row>
        <row r="12286">
          <cell r="V12286"/>
          <cell r="W12286"/>
          <cell r="X12286"/>
          <cell r="Y12286"/>
        </row>
        <row r="12287">
          <cell r="V12287"/>
          <cell r="W12287"/>
          <cell r="X12287"/>
          <cell r="Y12287"/>
        </row>
        <row r="12288">
          <cell r="V12288"/>
          <cell r="W12288"/>
          <cell r="X12288"/>
          <cell r="Y12288"/>
        </row>
        <row r="12289">
          <cell r="V12289"/>
          <cell r="W12289"/>
          <cell r="X12289"/>
          <cell r="Y12289"/>
        </row>
        <row r="12290">
          <cell r="V12290"/>
          <cell r="W12290"/>
          <cell r="X12290"/>
          <cell r="Y12290"/>
        </row>
        <row r="12291">
          <cell r="V12291"/>
          <cell r="W12291"/>
          <cell r="X12291"/>
          <cell r="Y12291"/>
        </row>
        <row r="12292">
          <cell r="V12292"/>
          <cell r="W12292"/>
          <cell r="X12292"/>
          <cell r="Y12292"/>
        </row>
        <row r="12293">
          <cell r="V12293"/>
          <cell r="W12293"/>
          <cell r="X12293"/>
          <cell r="Y12293"/>
        </row>
        <row r="12294">
          <cell r="V12294"/>
          <cell r="W12294"/>
          <cell r="X12294"/>
          <cell r="Y12294"/>
        </row>
        <row r="12295">
          <cell r="V12295"/>
          <cell r="W12295"/>
          <cell r="X12295"/>
          <cell r="Y12295"/>
        </row>
        <row r="12296">
          <cell r="V12296"/>
          <cell r="W12296"/>
          <cell r="X12296"/>
          <cell r="Y12296"/>
        </row>
        <row r="12297">
          <cell r="V12297"/>
          <cell r="W12297"/>
          <cell r="X12297"/>
          <cell r="Y12297"/>
        </row>
        <row r="12298">
          <cell r="V12298"/>
          <cell r="W12298"/>
          <cell r="X12298"/>
          <cell r="Y12298"/>
        </row>
        <row r="12299">
          <cell r="V12299"/>
          <cell r="W12299"/>
          <cell r="X12299"/>
          <cell r="Y12299"/>
        </row>
        <row r="12300">
          <cell r="V12300"/>
          <cell r="W12300"/>
          <cell r="X12300"/>
          <cell r="Y12300"/>
        </row>
        <row r="12301">
          <cell r="V12301"/>
          <cell r="W12301"/>
          <cell r="X12301"/>
          <cell r="Y12301"/>
        </row>
        <row r="12302">
          <cell r="V12302"/>
          <cell r="W12302"/>
          <cell r="X12302"/>
          <cell r="Y12302"/>
        </row>
        <row r="12303">
          <cell r="V12303"/>
          <cell r="W12303"/>
          <cell r="X12303"/>
          <cell r="Y12303"/>
        </row>
        <row r="12304">
          <cell r="V12304"/>
          <cell r="W12304"/>
          <cell r="X12304"/>
          <cell r="Y12304"/>
        </row>
        <row r="12305">
          <cell r="V12305"/>
          <cell r="W12305"/>
          <cell r="X12305"/>
          <cell r="Y12305"/>
        </row>
        <row r="12306">
          <cell r="V12306"/>
          <cell r="W12306"/>
          <cell r="X12306"/>
          <cell r="Y12306"/>
        </row>
        <row r="12307">
          <cell r="V12307"/>
          <cell r="W12307"/>
          <cell r="X12307"/>
          <cell r="Y12307"/>
        </row>
        <row r="12308">
          <cell r="V12308"/>
          <cell r="W12308"/>
          <cell r="X12308"/>
          <cell r="Y12308"/>
        </row>
        <row r="12309">
          <cell r="V12309"/>
          <cell r="W12309"/>
          <cell r="X12309"/>
          <cell r="Y12309"/>
        </row>
        <row r="12310">
          <cell r="V12310"/>
          <cell r="W12310"/>
          <cell r="X12310"/>
          <cell r="Y12310"/>
        </row>
        <row r="12311">
          <cell r="V12311"/>
          <cell r="W12311"/>
          <cell r="X12311"/>
          <cell r="Y12311"/>
        </row>
        <row r="12312">
          <cell r="V12312"/>
          <cell r="W12312"/>
          <cell r="X12312"/>
          <cell r="Y12312"/>
        </row>
        <row r="12313">
          <cell r="V12313"/>
          <cell r="W12313"/>
          <cell r="X12313"/>
          <cell r="Y12313"/>
        </row>
        <row r="12314">
          <cell r="V12314"/>
          <cell r="W12314"/>
          <cell r="X12314"/>
          <cell r="Y12314"/>
        </row>
        <row r="12315">
          <cell r="V12315"/>
          <cell r="W12315"/>
          <cell r="X12315"/>
          <cell r="Y12315"/>
        </row>
        <row r="12316">
          <cell r="V12316"/>
          <cell r="W12316"/>
          <cell r="X12316"/>
          <cell r="Y12316"/>
        </row>
        <row r="12317">
          <cell r="V12317"/>
          <cell r="W12317"/>
          <cell r="X12317"/>
          <cell r="Y12317"/>
        </row>
        <row r="12318">
          <cell r="V12318"/>
          <cell r="W12318"/>
          <cell r="X12318"/>
          <cell r="Y12318"/>
        </row>
        <row r="12319">
          <cell r="V12319"/>
          <cell r="W12319"/>
          <cell r="X12319"/>
          <cell r="Y12319"/>
        </row>
        <row r="12320">
          <cell r="V12320"/>
          <cell r="W12320"/>
          <cell r="X12320"/>
          <cell r="Y12320"/>
        </row>
        <row r="12321">
          <cell r="V12321"/>
          <cell r="W12321"/>
          <cell r="X12321"/>
          <cell r="Y12321"/>
        </row>
        <row r="12322">
          <cell r="V12322"/>
          <cell r="W12322"/>
          <cell r="X12322"/>
          <cell r="Y12322"/>
        </row>
        <row r="12323">
          <cell r="V12323"/>
          <cell r="W12323"/>
          <cell r="X12323"/>
          <cell r="Y12323"/>
        </row>
        <row r="12324">
          <cell r="V12324"/>
          <cell r="W12324"/>
          <cell r="X12324"/>
          <cell r="Y12324"/>
        </row>
        <row r="12325">
          <cell r="V12325"/>
          <cell r="W12325"/>
          <cell r="X12325"/>
          <cell r="Y12325"/>
        </row>
        <row r="12326">
          <cell r="V12326"/>
          <cell r="W12326"/>
          <cell r="X12326"/>
          <cell r="Y12326"/>
        </row>
        <row r="12327">
          <cell r="V12327"/>
          <cell r="W12327"/>
          <cell r="X12327"/>
          <cell r="Y12327"/>
        </row>
        <row r="12328">
          <cell r="V12328"/>
          <cell r="W12328"/>
          <cell r="X12328"/>
          <cell r="Y12328"/>
        </row>
        <row r="12329">
          <cell r="V12329"/>
          <cell r="W12329"/>
          <cell r="X12329"/>
          <cell r="Y12329"/>
        </row>
        <row r="12330">
          <cell r="V12330"/>
          <cell r="W12330"/>
          <cell r="X12330"/>
          <cell r="Y12330"/>
        </row>
        <row r="12331">
          <cell r="V12331"/>
          <cell r="W12331"/>
          <cell r="X12331"/>
          <cell r="Y12331"/>
        </row>
        <row r="12332">
          <cell r="V12332"/>
          <cell r="W12332"/>
          <cell r="X12332"/>
          <cell r="Y12332"/>
        </row>
        <row r="12333">
          <cell r="V12333"/>
          <cell r="W12333"/>
          <cell r="X12333"/>
          <cell r="Y12333"/>
        </row>
        <row r="12334">
          <cell r="V12334"/>
          <cell r="W12334"/>
          <cell r="X12334"/>
          <cell r="Y12334"/>
        </row>
        <row r="12335">
          <cell r="V12335"/>
          <cell r="W12335"/>
          <cell r="X12335"/>
          <cell r="Y12335"/>
        </row>
        <row r="12336">
          <cell r="V12336"/>
          <cell r="W12336"/>
          <cell r="X12336"/>
          <cell r="Y12336"/>
        </row>
        <row r="12337">
          <cell r="V12337"/>
          <cell r="W12337"/>
          <cell r="X12337"/>
          <cell r="Y12337"/>
        </row>
        <row r="12338">
          <cell r="V12338"/>
          <cell r="W12338"/>
          <cell r="X12338"/>
          <cell r="Y12338"/>
        </row>
        <row r="12339">
          <cell r="V12339"/>
          <cell r="W12339"/>
          <cell r="X12339"/>
          <cell r="Y12339"/>
        </row>
        <row r="12340">
          <cell r="V12340"/>
          <cell r="W12340"/>
          <cell r="X12340"/>
          <cell r="Y12340"/>
        </row>
        <row r="12341">
          <cell r="V12341"/>
          <cell r="W12341"/>
          <cell r="X12341"/>
          <cell r="Y12341"/>
        </row>
        <row r="12342">
          <cell r="V12342"/>
          <cell r="W12342"/>
          <cell r="X12342"/>
          <cell r="Y12342"/>
        </row>
        <row r="12343">
          <cell r="V12343"/>
          <cell r="W12343"/>
          <cell r="X12343"/>
          <cell r="Y12343"/>
        </row>
        <row r="12344">
          <cell r="V12344"/>
          <cell r="W12344"/>
          <cell r="X12344"/>
          <cell r="Y12344"/>
        </row>
        <row r="12345">
          <cell r="V12345"/>
          <cell r="W12345"/>
          <cell r="X12345"/>
          <cell r="Y12345"/>
        </row>
        <row r="12346">
          <cell r="V12346"/>
          <cell r="W12346"/>
          <cell r="X12346"/>
          <cell r="Y12346"/>
        </row>
        <row r="12347">
          <cell r="V12347"/>
          <cell r="W12347"/>
          <cell r="X12347"/>
          <cell r="Y12347"/>
        </row>
        <row r="12348">
          <cell r="V12348"/>
          <cell r="W12348"/>
          <cell r="X12348"/>
          <cell r="Y12348"/>
        </row>
        <row r="12349">
          <cell r="V12349"/>
          <cell r="W12349"/>
          <cell r="X12349"/>
          <cell r="Y12349"/>
        </row>
        <row r="12350">
          <cell r="V12350"/>
          <cell r="W12350"/>
          <cell r="X12350"/>
          <cell r="Y12350"/>
        </row>
        <row r="12351">
          <cell r="V12351"/>
          <cell r="W12351"/>
          <cell r="X12351"/>
          <cell r="Y12351"/>
        </row>
        <row r="12352">
          <cell r="V12352"/>
          <cell r="W12352"/>
          <cell r="X12352"/>
          <cell r="Y12352"/>
        </row>
        <row r="12353">
          <cell r="V12353"/>
          <cell r="W12353"/>
          <cell r="X12353"/>
          <cell r="Y12353"/>
        </row>
        <row r="12354">
          <cell r="V12354"/>
          <cell r="W12354"/>
          <cell r="X12354"/>
          <cell r="Y12354"/>
        </row>
        <row r="12355">
          <cell r="V12355"/>
          <cell r="W12355"/>
          <cell r="X12355"/>
          <cell r="Y12355"/>
        </row>
        <row r="12356">
          <cell r="V12356"/>
          <cell r="W12356"/>
          <cell r="X12356"/>
          <cell r="Y12356"/>
        </row>
        <row r="12357">
          <cell r="V12357"/>
          <cell r="W12357"/>
          <cell r="X12357"/>
          <cell r="Y12357"/>
        </row>
        <row r="12358">
          <cell r="V12358"/>
          <cell r="W12358"/>
          <cell r="X12358"/>
          <cell r="Y12358"/>
        </row>
        <row r="12359">
          <cell r="V12359"/>
          <cell r="W12359"/>
          <cell r="X12359"/>
          <cell r="Y12359"/>
        </row>
        <row r="12360">
          <cell r="V12360"/>
          <cell r="W12360"/>
          <cell r="X12360"/>
          <cell r="Y12360"/>
        </row>
        <row r="12361">
          <cell r="V12361"/>
          <cell r="W12361"/>
          <cell r="X12361"/>
          <cell r="Y12361"/>
        </row>
        <row r="12362">
          <cell r="V12362"/>
          <cell r="W12362"/>
          <cell r="X12362"/>
          <cell r="Y12362"/>
        </row>
        <row r="12363">
          <cell r="V12363"/>
          <cell r="W12363"/>
          <cell r="X12363"/>
          <cell r="Y12363"/>
        </row>
        <row r="12364">
          <cell r="V12364"/>
          <cell r="W12364"/>
          <cell r="X12364"/>
          <cell r="Y12364"/>
        </row>
        <row r="12365">
          <cell r="V12365"/>
          <cell r="W12365"/>
          <cell r="X12365"/>
          <cell r="Y12365"/>
        </row>
        <row r="12366">
          <cell r="V12366"/>
          <cell r="W12366"/>
          <cell r="X12366"/>
          <cell r="Y12366"/>
        </row>
        <row r="12367">
          <cell r="V12367"/>
          <cell r="W12367"/>
          <cell r="X12367"/>
          <cell r="Y12367"/>
        </row>
        <row r="12368">
          <cell r="V12368"/>
          <cell r="W12368"/>
          <cell r="X12368"/>
          <cell r="Y12368"/>
        </row>
        <row r="12369">
          <cell r="V12369"/>
          <cell r="W12369"/>
          <cell r="X12369"/>
          <cell r="Y12369"/>
        </row>
        <row r="12370">
          <cell r="V12370"/>
          <cell r="W12370"/>
          <cell r="X12370"/>
          <cell r="Y12370"/>
        </row>
        <row r="12371">
          <cell r="V12371"/>
          <cell r="W12371"/>
          <cell r="X12371"/>
          <cell r="Y12371"/>
        </row>
        <row r="12372">
          <cell r="V12372"/>
          <cell r="W12372"/>
          <cell r="X12372"/>
          <cell r="Y12372"/>
        </row>
        <row r="12373">
          <cell r="V12373"/>
          <cell r="W12373"/>
          <cell r="X12373"/>
          <cell r="Y12373"/>
        </row>
        <row r="12374">
          <cell r="V12374"/>
          <cell r="W12374"/>
          <cell r="X12374"/>
          <cell r="Y12374"/>
        </row>
        <row r="12375">
          <cell r="V12375"/>
          <cell r="W12375"/>
          <cell r="X12375"/>
          <cell r="Y12375"/>
        </row>
        <row r="12376">
          <cell r="V12376"/>
          <cell r="W12376"/>
          <cell r="X12376"/>
          <cell r="Y12376"/>
        </row>
        <row r="12377">
          <cell r="V12377"/>
          <cell r="W12377"/>
          <cell r="X12377"/>
          <cell r="Y12377"/>
        </row>
        <row r="12378">
          <cell r="V12378"/>
          <cell r="W12378"/>
          <cell r="X12378"/>
          <cell r="Y12378"/>
        </row>
        <row r="12379">
          <cell r="V12379"/>
          <cell r="W12379"/>
          <cell r="X12379"/>
          <cell r="Y12379"/>
        </row>
        <row r="12380">
          <cell r="V12380"/>
          <cell r="W12380"/>
          <cell r="X12380"/>
          <cell r="Y12380"/>
        </row>
        <row r="12381">
          <cell r="V12381"/>
          <cell r="W12381"/>
          <cell r="X12381"/>
          <cell r="Y12381"/>
        </row>
        <row r="12382">
          <cell r="V12382"/>
          <cell r="W12382"/>
          <cell r="X12382"/>
          <cell r="Y12382"/>
        </row>
        <row r="12383">
          <cell r="V12383"/>
          <cell r="W12383"/>
          <cell r="X12383"/>
          <cell r="Y12383"/>
        </row>
        <row r="12384">
          <cell r="V12384"/>
          <cell r="W12384"/>
          <cell r="X12384"/>
          <cell r="Y12384"/>
        </row>
        <row r="12385">
          <cell r="V12385"/>
          <cell r="W12385"/>
          <cell r="X12385"/>
          <cell r="Y12385"/>
        </row>
        <row r="12386">
          <cell r="V12386"/>
          <cell r="W12386"/>
          <cell r="X12386"/>
          <cell r="Y12386"/>
        </row>
        <row r="12387">
          <cell r="V12387"/>
          <cell r="W12387"/>
          <cell r="X12387"/>
          <cell r="Y12387"/>
        </row>
        <row r="12388">
          <cell r="V12388"/>
          <cell r="W12388"/>
          <cell r="X12388"/>
          <cell r="Y12388"/>
        </row>
        <row r="12389">
          <cell r="V12389"/>
          <cell r="W12389"/>
          <cell r="X12389"/>
          <cell r="Y12389"/>
        </row>
        <row r="12390">
          <cell r="V12390"/>
          <cell r="W12390"/>
          <cell r="X12390"/>
          <cell r="Y12390"/>
        </row>
        <row r="12391">
          <cell r="V12391"/>
          <cell r="W12391"/>
          <cell r="X12391"/>
          <cell r="Y12391"/>
        </row>
        <row r="12392">
          <cell r="V12392"/>
          <cell r="W12392"/>
          <cell r="X12392"/>
          <cell r="Y12392"/>
        </row>
        <row r="12393">
          <cell r="V12393"/>
          <cell r="W12393"/>
          <cell r="X12393"/>
          <cell r="Y12393"/>
        </row>
        <row r="12394">
          <cell r="V12394"/>
          <cell r="W12394"/>
          <cell r="X12394"/>
          <cell r="Y12394"/>
        </row>
        <row r="12395">
          <cell r="V12395"/>
          <cell r="W12395"/>
          <cell r="X12395"/>
          <cell r="Y12395"/>
        </row>
        <row r="12396">
          <cell r="V12396"/>
          <cell r="W12396"/>
          <cell r="X12396"/>
          <cell r="Y12396"/>
        </row>
        <row r="12397">
          <cell r="V12397"/>
          <cell r="W12397"/>
          <cell r="X12397"/>
          <cell r="Y12397"/>
        </row>
        <row r="12398">
          <cell r="V12398"/>
          <cell r="W12398"/>
          <cell r="X12398"/>
          <cell r="Y12398"/>
        </row>
        <row r="12399">
          <cell r="V12399"/>
          <cell r="W12399"/>
          <cell r="X12399"/>
          <cell r="Y12399"/>
        </row>
        <row r="12400">
          <cell r="V12400"/>
          <cell r="W12400"/>
          <cell r="X12400"/>
          <cell r="Y12400"/>
        </row>
        <row r="12401">
          <cell r="V12401"/>
          <cell r="W12401"/>
          <cell r="X12401"/>
          <cell r="Y12401"/>
        </row>
        <row r="12402">
          <cell r="V12402"/>
          <cell r="W12402"/>
          <cell r="X12402"/>
          <cell r="Y12402"/>
        </row>
        <row r="12403">
          <cell r="V12403"/>
          <cell r="W12403"/>
          <cell r="X12403"/>
          <cell r="Y12403"/>
        </row>
        <row r="12404">
          <cell r="V12404"/>
          <cell r="W12404"/>
          <cell r="X12404"/>
          <cell r="Y12404"/>
        </row>
        <row r="12405">
          <cell r="V12405"/>
          <cell r="W12405"/>
          <cell r="X12405"/>
          <cell r="Y12405"/>
        </row>
        <row r="12406">
          <cell r="V12406"/>
          <cell r="W12406"/>
          <cell r="X12406"/>
          <cell r="Y12406"/>
        </row>
        <row r="12407">
          <cell r="V12407"/>
          <cell r="W12407"/>
          <cell r="X12407"/>
          <cell r="Y12407"/>
        </row>
        <row r="12408">
          <cell r="V12408"/>
          <cell r="W12408"/>
          <cell r="X12408"/>
          <cell r="Y12408"/>
        </row>
        <row r="12409">
          <cell r="V12409"/>
          <cell r="W12409"/>
          <cell r="X12409"/>
          <cell r="Y12409"/>
        </row>
        <row r="12410">
          <cell r="V12410"/>
          <cell r="W12410"/>
          <cell r="X12410"/>
          <cell r="Y12410"/>
        </row>
        <row r="12411">
          <cell r="V12411"/>
          <cell r="W12411"/>
          <cell r="X12411"/>
          <cell r="Y12411"/>
        </row>
        <row r="12412">
          <cell r="V12412"/>
          <cell r="W12412"/>
          <cell r="X12412"/>
          <cell r="Y12412"/>
        </row>
        <row r="12413">
          <cell r="V12413"/>
          <cell r="W12413"/>
          <cell r="X12413"/>
          <cell r="Y12413"/>
        </row>
        <row r="12414">
          <cell r="V12414"/>
          <cell r="W12414"/>
          <cell r="X12414"/>
          <cell r="Y12414"/>
        </row>
        <row r="12415">
          <cell r="V12415"/>
          <cell r="W12415"/>
          <cell r="X12415"/>
          <cell r="Y12415"/>
        </row>
        <row r="12416">
          <cell r="V12416"/>
          <cell r="W12416"/>
          <cell r="X12416"/>
          <cell r="Y12416"/>
        </row>
        <row r="12417">
          <cell r="V12417"/>
          <cell r="W12417"/>
          <cell r="X12417"/>
          <cell r="Y12417"/>
        </row>
        <row r="12418">
          <cell r="V12418"/>
          <cell r="W12418"/>
          <cell r="X12418"/>
          <cell r="Y12418"/>
        </row>
        <row r="12419">
          <cell r="V12419"/>
          <cell r="W12419"/>
          <cell r="X12419"/>
          <cell r="Y12419"/>
        </row>
        <row r="12420">
          <cell r="V12420"/>
          <cell r="W12420"/>
          <cell r="X12420"/>
          <cell r="Y12420"/>
        </row>
        <row r="12421">
          <cell r="V12421"/>
          <cell r="W12421"/>
          <cell r="X12421"/>
          <cell r="Y12421"/>
        </row>
        <row r="12422">
          <cell r="V12422"/>
          <cell r="W12422"/>
          <cell r="X12422"/>
          <cell r="Y12422"/>
        </row>
        <row r="12423">
          <cell r="V12423"/>
          <cell r="W12423"/>
          <cell r="X12423"/>
          <cell r="Y12423"/>
        </row>
        <row r="12424">
          <cell r="V12424"/>
          <cell r="W12424"/>
          <cell r="X12424"/>
          <cell r="Y12424"/>
        </row>
        <row r="12425">
          <cell r="V12425"/>
          <cell r="W12425"/>
          <cell r="X12425"/>
          <cell r="Y12425"/>
        </row>
        <row r="12426">
          <cell r="V12426"/>
          <cell r="W12426"/>
          <cell r="X12426"/>
          <cell r="Y12426"/>
        </row>
        <row r="12427">
          <cell r="V12427"/>
          <cell r="W12427"/>
          <cell r="X12427"/>
          <cell r="Y12427"/>
        </row>
        <row r="12428">
          <cell r="V12428"/>
          <cell r="W12428"/>
          <cell r="X12428"/>
          <cell r="Y12428"/>
        </row>
        <row r="12429">
          <cell r="V12429"/>
          <cell r="W12429"/>
          <cell r="X12429"/>
          <cell r="Y12429"/>
        </row>
        <row r="12430">
          <cell r="V12430"/>
          <cell r="W12430"/>
          <cell r="X12430"/>
          <cell r="Y12430"/>
        </row>
        <row r="12431">
          <cell r="V12431"/>
          <cell r="W12431"/>
          <cell r="X12431"/>
          <cell r="Y12431"/>
        </row>
        <row r="12432">
          <cell r="V12432"/>
          <cell r="W12432"/>
          <cell r="X12432"/>
          <cell r="Y12432"/>
        </row>
        <row r="12433">
          <cell r="V12433"/>
          <cell r="W12433"/>
          <cell r="X12433"/>
          <cell r="Y12433"/>
        </row>
        <row r="12434">
          <cell r="V12434"/>
          <cell r="W12434"/>
          <cell r="X12434"/>
          <cell r="Y12434"/>
        </row>
        <row r="12435">
          <cell r="V12435"/>
          <cell r="W12435"/>
          <cell r="X12435"/>
          <cell r="Y12435"/>
        </row>
        <row r="12436">
          <cell r="V12436"/>
          <cell r="W12436"/>
          <cell r="X12436"/>
          <cell r="Y12436"/>
        </row>
        <row r="12437">
          <cell r="V12437"/>
          <cell r="W12437"/>
          <cell r="X12437"/>
          <cell r="Y12437"/>
        </row>
        <row r="12438">
          <cell r="V12438"/>
          <cell r="W12438"/>
          <cell r="X12438"/>
          <cell r="Y12438"/>
        </row>
        <row r="12439">
          <cell r="V12439"/>
          <cell r="W12439"/>
          <cell r="X12439"/>
          <cell r="Y12439"/>
        </row>
        <row r="12440">
          <cell r="V12440"/>
          <cell r="W12440"/>
          <cell r="X12440"/>
          <cell r="Y12440"/>
        </row>
        <row r="12441">
          <cell r="V12441"/>
          <cell r="W12441"/>
          <cell r="X12441"/>
          <cell r="Y12441"/>
        </row>
        <row r="12442">
          <cell r="V12442"/>
          <cell r="W12442"/>
          <cell r="X12442"/>
          <cell r="Y12442"/>
        </row>
        <row r="12443">
          <cell r="V12443"/>
          <cell r="W12443"/>
          <cell r="X12443"/>
          <cell r="Y12443"/>
        </row>
        <row r="12444">
          <cell r="V12444"/>
          <cell r="W12444"/>
          <cell r="X12444"/>
          <cell r="Y12444"/>
        </row>
        <row r="12445">
          <cell r="V12445"/>
          <cell r="W12445"/>
          <cell r="X12445"/>
          <cell r="Y12445"/>
        </row>
        <row r="12446">
          <cell r="V12446"/>
          <cell r="W12446"/>
          <cell r="X12446"/>
          <cell r="Y12446"/>
        </row>
        <row r="12447">
          <cell r="V12447"/>
          <cell r="W12447"/>
          <cell r="X12447"/>
          <cell r="Y12447"/>
        </row>
        <row r="12448">
          <cell r="V12448"/>
          <cell r="W12448"/>
          <cell r="X12448"/>
          <cell r="Y12448"/>
        </row>
        <row r="12449">
          <cell r="V12449"/>
          <cell r="W12449"/>
          <cell r="X12449"/>
          <cell r="Y12449"/>
        </row>
        <row r="12450">
          <cell r="V12450"/>
          <cell r="W12450"/>
          <cell r="X12450"/>
          <cell r="Y12450"/>
        </row>
        <row r="12451">
          <cell r="V12451"/>
          <cell r="W12451"/>
          <cell r="X12451"/>
          <cell r="Y12451"/>
        </row>
        <row r="12452">
          <cell r="V12452"/>
          <cell r="W12452"/>
          <cell r="X12452"/>
          <cell r="Y12452"/>
        </row>
        <row r="12453">
          <cell r="V12453"/>
          <cell r="W12453"/>
          <cell r="X12453"/>
          <cell r="Y12453"/>
        </row>
        <row r="12454">
          <cell r="V12454"/>
          <cell r="W12454"/>
          <cell r="X12454"/>
          <cell r="Y12454"/>
        </row>
        <row r="12455">
          <cell r="V12455"/>
          <cell r="W12455"/>
          <cell r="X12455"/>
          <cell r="Y12455"/>
        </row>
        <row r="12456">
          <cell r="V12456"/>
          <cell r="W12456"/>
          <cell r="X12456"/>
          <cell r="Y12456"/>
        </row>
        <row r="12457">
          <cell r="V12457"/>
          <cell r="W12457"/>
          <cell r="X12457"/>
          <cell r="Y12457"/>
        </row>
        <row r="12458">
          <cell r="V12458"/>
          <cell r="W12458"/>
          <cell r="X12458"/>
          <cell r="Y12458"/>
        </row>
        <row r="12459">
          <cell r="V12459"/>
          <cell r="W12459"/>
          <cell r="X12459"/>
          <cell r="Y12459"/>
        </row>
        <row r="12460">
          <cell r="V12460"/>
          <cell r="W12460"/>
          <cell r="X12460"/>
          <cell r="Y12460"/>
        </row>
        <row r="12461">
          <cell r="V12461"/>
          <cell r="W12461"/>
          <cell r="X12461"/>
          <cell r="Y12461"/>
        </row>
        <row r="12462">
          <cell r="V12462"/>
          <cell r="W12462"/>
          <cell r="X12462"/>
          <cell r="Y12462"/>
        </row>
        <row r="12463">
          <cell r="V12463"/>
          <cell r="W12463"/>
          <cell r="X12463"/>
          <cell r="Y12463"/>
        </row>
        <row r="12464">
          <cell r="V12464"/>
          <cell r="W12464"/>
          <cell r="X12464"/>
          <cell r="Y12464"/>
        </row>
        <row r="12465">
          <cell r="V12465"/>
          <cell r="W12465"/>
          <cell r="X12465"/>
          <cell r="Y12465"/>
        </row>
        <row r="12466">
          <cell r="V12466"/>
          <cell r="W12466"/>
          <cell r="X12466"/>
          <cell r="Y12466"/>
        </row>
        <row r="12467">
          <cell r="V12467"/>
          <cell r="W12467"/>
          <cell r="X12467"/>
          <cell r="Y12467"/>
        </row>
        <row r="12468">
          <cell r="V12468"/>
          <cell r="W12468"/>
          <cell r="X12468"/>
          <cell r="Y12468"/>
        </row>
        <row r="12469">
          <cell r="V12469"/>
          <cell r="W12469"/>
          <cell r="X12469"/>
          <cell r="Y12469"/>
        </row>
        <row r="12470">
          <cell r="V12470"/>
          <cell r="W12470"/>
          <cell r="X12470"/>
          <cell r="Y12470"/>
        </row>
        <row r="12471">
          <cell r="V12471"/>
          <cell r="W12471"/>
          <cell r="X12471"/>
          <cell r="Y12471"/>
        </row>
        <row r="12472">
          <cell r="V12472"/>
          <cell r="W12472"/>
          <cell r="X12472"/>
          <cell r="Y12472"/>
        </row>
        <row r="12473">
          <cell r="V12473"/>
          <cell r="W12473"/>
          <cell r="X12473"/>
          <cell r="Y12473"/>
        </row>
        <row r="12474">
          <cell r="V12474"/>
          <cell r="W12474"/>
          <cell r="X12474"/>
          <cell r="Y12474"/>
        </row>
        <row r="12475">
          <cell r="V12475"/>
          <cell r="W12475"/>
          <cell r="X12475"/>
          <cell r="Y12475"/>
        </row>
        <row r="12476">
          <cell r="V12476"/>
          <cell r="W12476"/>
          <cell r="X12476"/>
          <cell r="Y12476"/>
        </row>
        <row r="12477">
          <cell r="V12477"/>
          <cell r="W12477"/>
          <cell r="X12477"/>
          <cell r="Y12477"/>
        </row>
        <row r="12478">
          <cell r="V12478"/>
          <cell r="W12478"/>
          <cell r="X12478"/>
          <cell r="Y12478"/>
        </row>
        <row r="12479">
          <cell r="V12479"/>
          <cell r="W12479"/>
          <cell r="X12479"/>
          <cell r="Y12479"/>
        </row>
        <row r="12480">
          <cell r="V12480"/>
          <cell r="W12480"/>
          <cell r="X12480"/>
          <cell r="Y12480"/>
        </row>
        <row r="12481">
          <cell r="V12481"/>
          <cell r="W12481"/>
          <cell r="X12481"/>
          <cell r="Y12481"/>
        </row>
        <row r="12482">
          <cell r="V12482"/>
          <cell r="W12482"/>
          <cell r="X12482"/>
          <cell r="Y12482"/>
        </row>
        <row r="12483">
          <cell r="V12483"/>
          <cell r="W12483"/>
          <cell r="X12483"/>
          <cell r="Y12483"/>
        </row>
        <row r="12484">
          <cell r="V12484"/>
          <cell r="W12484"/>
          <cell r="X12484"/>
          <cell r="Y12484"/>
        </row>
        <row r="12485">
          <cell r="V12485"/>
          <cell r="W12485"/>
          <cell r="X12485"/>
          <cell r="Y12485"/>
        </row>
        <row r="12486">
          <cell r="V12486"/>
          <cell r="W12486"/>
          <cell r="X12486"/>
          <cell r="Y12486"/>
        </row>
        <row r="12487">
          <cell r="V12487"/>
          <cell r="W12487"/>
          <cell r="X12487"/>
          <cell r="Y12487"/>
        </row>
        <row r="12488">
          <cell r="V12488"/>
          <cell r="W12488"/>
          <cell r="X12488"/>
          <cell r="Y12488"/>
        </row>
        <row r="12489">
          <cell r="V12489"/>
          <cell r="W12489"/>
          <cell r="X12489"/>
          <cell r="Y12489"/>
        </row>
        <row r="12490">
          <cell r="V12490"/>
          <cell r="W12490"/>
          <cell r="X12490"/>
          <cell r="Y12490"/>
        </row>
        <row r="12491">
          <cell r="V12491"/>
          <cell r="W12491"/>
          <cell r="X12491"/>
          <cell r="Y12491"/>
        </row>
        <row r="12492">
          <cell r="V12492"/>
          <cell r="W12492"/>
          <cell r="X12492"/>
          <cell r="Y12492"/>
        </row>
        <row r="12493">
          <cell r="V12493"/>
          <cell r="W12493"/>
          <cell r="X12493"/>
          <cell r="Y12493"/>
        </row>
        <row r="12494">
          <cell r="V12494"/>
          <cell r="W12494"/>
          <cell r="X12494"/>
          <cell r="Y12494"/>
        </row>
        <row r="12495">
          <cell r="V12495"/>
          <cell r="W12495"/>
          <cell r="X12495"/>
          <cell r="Y12495"/>
        </row>
        <row r="12496">
          <cell r="V12496"/>
          <cell r="W12496"/>
          <cell r="X12496"/>
          <cell r="Y12496"/>
        </row>
        <row r="12497">
          <cell r="V12497"/>
          <cell r="W12497"/>
          <cell r="X12497"/>
          <cell r="Y12497"/>
        </row>
        <row r="12498">
          <cell r="V12498"/>
          <cell r="W12498"/>
          <cell r="X12498"/>
          <cell r="Y12498"/>
        </row>
        <row r="12499">
          <cell r="V12499"/>
          <cell r="W12499"/>
          <cell r="X12499"/>
          <cell r="Y12499"/>
        </row>
        <row r="12500">
          <cell r="V12500"/>
          <cell r="W12500"/>
          <cell r="X12500"/>
          <cell r="Y12500"/>
        </row>
        <row r="12501">
          <cell r="V12501"/>
          <cell r="W12501"/>
          <cell r="X12501"/>
          <cell r="Y12501"/>
        </row>
        <row r="12502">
          <cell r="V12502"/>
          <cell r="W12502"/>
          <cell r="X12502"/>
          <cell r="Y12502"/>
        </row>
        <row r="12503">
          <cell r="V12503"/>
          <cell r="W12503"/>
          <cell r="X12503"/>
          <cell r="Y12503"/>
        </row>
        <row r="12504">
          <cell r="V12504"/>
          <cell r="W12504"/>
          <cell r="X12504"/>
          <cell r="Y12504"/>
        </row>
        <row r="12505">
          <cell r="V12505"/>
          <cell r="W12505"/>
          <cell r="X12505"/>
          <cell r="Y12505"/>
        </row>
        <row r="12506">
          <cell r="V12506"/>
          <cell r="W12506"/>
          <cell r="X12506"/>
          <cell r="Y12506"/>
        </row>
        <row r="12507">
          <cell r="V12507"/>
          <cell r="W12507"/>
          <cell r="X12507"/>
          <cell r="Y12507"/>
        </row>
        <row r="12508">
          <cell r="V12508"/>
          <cell r="W12508"/>
          <cell r="X12508"/>
          <cell r="Y12508"/>
        </row>
        <row r="12509">
          <cell r="V12509"/>
          <cell r="W12509"/>
          <cell r="X12509"/>
          <cell r="Y12509"/>
        </row>
        <row r="12510">
          <cell r="V12510"/>
          <cell r="W12510"/>
          <cell r="X12510"/>
          <cell r="Y12510"/>
        </row>
        <row r="12511">
          <cell r="V12511"/>
          <cell r="W12511"/>
          <cell r="X12511"/>
          <cell r="Y12511"/>
        </row>
        <row r="12512">
          <cell r="V12512"/>
          <cell r="W12512"/>
          <cell r="X12512"/>
          <cell r="Y12512"/>
        </row>
        <row r="12513">
          <cell r="V12513"/>
          <cell r="W12513"/>
          <cell r="X12513"/>
          <cell r="Y12513"/>
        </row>
        <row r="12514">
          <cell r="V12514"/>
          <cell r="W12514"/>
          <cell r="X12514"/>
          <cell r="Y12514"/>
        </row>
        <row r="12515">
          <cell r="V12515"/>
          <cell r="W12515"/>
          <cell r="X12515"/>
          <cell r="Y12515"/>
        </row>
        <row r="12516">
          <cell r="V12516"/>
          <cell r="W12516"/>
          <cell r="X12516"/>
          <cell r="Y12516"/>
        </row>
        <row r="12517">
          <cell r="V12517"/>
          <cell r="W12517"/>
          <cell r="X12517"/>
          <cell r="Y12517"/>
        </row>
        <row r="12518">
          <cell r="V12518"/>
          <cell r="W12518"/>
          <cell r="X12518"/>
          <cell r="Y12518"/>
        </row>
        <row r="12519">
          <cell r="V12519"/>
          <cell r="W12519"/>
          <cell r="X12519"/>
          <cell r="Y12519"/>
        </row>
        <row r="12520">
          <cell r="V12520"/>
          <cell r="W12520"/>
          <cell r="X12520"/>
          <cell r="Y12520"/>
        </row>
        <row r="12521">
          <cell r="V12521"/>
          <cell r="W12521"/>
          <cell r="X12521"/>
          <cell r="Y12521"/>
        </row>
        <row r="12522">
          <cell r="V12522"/>
          <cell r="W12522"/>
          <cell r="X12522"/>
          <cell r="Y12522"/>
        </row>
        <row r="12523">
          <cell r="V12523"/>
          <cell r="W12523"/>
          <cell r="X12523"/>
          <cell r="Y12523"/>
        </row>
        <row r="12524">
          <cell r="V12524"/>
          <cell r="W12524"/>
          <cell r="X12524"/>
          <cell r="Y12524"/>
        </row>
        <row r="12525">
          <cell r="V12525"/>
          <cell r="W12525"/>
          <cell r="X12525"/>
          <cell r="Y12525"/>
        </row>
        <row r="12526">
          <cell r="V12526"/>
          <cell r="W12526"/>
          <cell r="X12526"/>
          <cell r="Y12526"/>
        </row>
        <row r="12527">
          <cell r="V12527"/>
          <cell r="W12527"/>
          <cell r="X12527"/>
          <cell r="Y12527"/>
        </row>
        <row r="12528">
          <cell r="V12528"/>
          <cell r="W12528"/>
          <cell r="X12528"/>
          <cell r="Y12528"/>
        </row>
        <row r="12529">
          <cell r="V12529"/>
          <cell r="W12529"/>
          <cell r="X12529"/>
          <cell r="Y12529"/>
        </row>
        <row r="12530">
          <cell r="V12530"/>
          <cell r="W12530"/>
          <cell r="X12530"/>
          <cell r="Y12530"/>
        </row>
        <row r="12531">
          <cell r="V12531"/>
          <cell r="W12531"/>
          <cell r="X12531"/>
          <cell r="Y12531"/>
        </row>
        <row r="12532">
          <cell r="V12532"/>
          <cell r="W12532"/>
          <cell r="X12532"/>
          <cell r="Y12532"/>
        </row>
        <row r="12533">
          <cell r="V12533"/>
          <cell r="W12533"/>
          <cell r="X12533"/>
          <cell r="Y12533"/>
        </row>
        <row r="12534">
          <cell r="V12534"/>
          <cell r="W12534"/>
          <cell r="X12534"/>
          <cell r="Y12534"/>
        </row>
        <row r="12535">
          <cell r="V12535"/>
          <cell r="W12535"/>
          <cell r="X12535"/>
          <cell r="Y12535"/>
        </row>
        <row r="12536">
          <cell r="V12536"/>
          <cell r="W12536"/>
          <cell r="X12536"/>
          <cell r="Y12536"/>
        </row>
        <row r="12537">
          <cell r="V12537"/>
          <cell r="W12537"/>
          <cell r="X12537"/>
          <cell r="Y12537"/>
        </row>
        <row r="12538">
          <cell r="V12538"/>
          <cell r="W12538"/>
          <cell r="X12538"/>
          <cell r="Y12538"/>
        </row>
        <row r="12539">
          <cell r="V12539"/>
          <cell r="W12539"/>
          <cell r="X12539"/>
          <cell r="Y12539"/>
        </row>
        <row r="12540">
          <cell r="V12540"/>
          <cell r="W12540"/>
          <cell r="X12540"/>
          <cell r="Y12540"/>
        </row>
        <row r="12541">
          <cell r="V12541"/>
          <cell r="W12541"/>
          <cell r="X12541"/>
          <cell r="Y12541"/>
        </row>
        <row r="12542">
          <cell r="V12542"/>
          <cell r="W12542"/>
          <cell r="X12542"/>
          <cell r="Y12542"/>
        </row>
        <row r="12543">
          <cell r="V12543"/>
          <cell r="W12543"/>
          <cell r="X12543"/>
          <cell r="Y12543"/>
        </row>
        <row r="12544">
          <cell r="V12544"/>
          <cell r="W12544"/>
          <cell r="X12544"/>
          <cell r="Y12544"/>
        </row>
        <row r="12545">
          <cell r="V12545"/>
          <cell r="W12545"/>
          <cell r="X12545"/>
          <cell r="Y12545"/>
        </row>
        <row r="12546">
          <cell r="V12546"/>
          <cell r="W12546"/>
          <cell r="X12546"/>
          <cell r="Y12546"/>
        </row>
        <row r="12547">
          <cell r="V12547"/>
          <cell r="W12547"/>
          <cell r="X12547"/>
          <cell r="Y12547"/>
        </row>
        <row r="12548">
          <cell r="V12548"/>
          <cell r="W12548"/>
          <cell r="X12548"/>
          <cell r="Y12548"/>
        </row>
        <row r="12549">
          <cell r="V12549"/>
          <cell r="W12549"/>
          <cell r="X12549"/>
          <cell r="Y12549"/>
        </row>
        <row r="12550">
          <cell r="V12550"/>
          <cell r="W12550"/>
          <cell r="X12550"/>
          <cell r="Y12550"/>
        </row>
        <row r="12551">
          <cell r="V12551"/>
          <cell r="W12551"/>
          <cell r="X12551"/>
          <cell r="Y12551"/>
        </row>
        <row r="12552">
          <cell r="V12552"/>
          <cell r="W12552"/>
          <cell r="X12552"/>
          <cell r="Y12552"/>
        </row>
        <row r="12553">
          <cell r="V12553"/>
          <cell r="W12553"/>
          <cell r="X12553"/>
          <cell r="Y12553"/>
        </row>
        <row r="12554">
          <cell r="V12554"/>
          <cell r="W12554"/>
          <cell r="X12554"/>
          <cell r="Y12554"/>
        </row>
        <row r="12555">
          <cell r="V12555"/>
          <cell r="W12555"/>
          <cell r="X12555"/>
          <cell r="Y12555"/>
        </row>
        <row r="12556">
          <cell r="V12556"/>
          <cell r="W12556"/>
          <cell r="X12556"/>
          <cell r="Y12556"/>
        </row>
        <row r="12557">
          <cell r="V12557"/>
          <cell r="W12557"/>
          <cell r="X12557"/>
          <cell r="Y12557"/>
        </row>
        <row r="12558">
          <cell r="V12558"/>
          <cell r="W12558"/>
          <cell r="X12558"/>
          <cell r="Y12558"/>
        </row>
        <row r="12559">
          <cell r="V12559"/>
          <cell r="W12559"/>
          <cell r="X12559"/>
          <cell r="Y12559"/>
        </row>
        <row r="12560">
          <cell r="V12560"/>
          <cell r="W12560"/>
          <cell r="X12560"/>
          <cell r="Y12560"/>
        </row>
        <row r="12561">
          <cell r="V12561"/>
          <cell r="W12561"/>
          <cell r="X12561"/>
          <cell r="Y12561"/>
        </row>
        <row r="12562">
          <cell r="V12562"/>
          <cell r="W12562"/>
          <cell r="X12562"/>
          <cell r="Y12562"/>
        </row>
        <row r="12563">
          <cell r="V12563"/>
          <cell r="W12563"/>
          <cell r="X12563"/>
          <cell r="Y12563"/>
        </row>
        <row r="12564">
          <cell r="V12564"/>
          <cell r="W12564"/>
          <cell r="X12564"/>
          <cell r="Y12564"/>
        </row>
        <row r="12565">
          <cell r="V12565"/>
          <cell r="W12565"/>
          <cell r="X12565"/>
          <cell r="Y12565"/>
        </row>
        <row r="12566">
          <cell r="V12566"/>
          <cell r="W12566"/>
          <cell r="X12566"/>
          <cell r="Y12566"/>
        </row>
        <row r="12567">
          <cell r="V12567"/>
          <cell r="W12567"/>
          <cell r="X12567"/>
          <cell r="Y12567"/>
        </row>
        <row r="12568">
          <cell r="V12568"/>
          <cell r="W12568"/>
          <cell r="X12568"/>
          <cell r="Y12568"/>
        </row>
        <row r="12569">
          <cell r="V12569"/>
          <cell r="W12569"/>
          <cell r="X12569"/>
          <cell r="Y12569"/>
        </row>
        <row r="12570">
          <cell r="V12570"/>
          <cell r="W12570"/>
          <cell r="X12570"/>
          <cell r="Y12570"/>
        </row>
        <row r="12571">
          <cell r="V12571"/>
          <cell r="W12571"/>
          <cell r="X12571"/>
          <cell r="Y12571"/>
        </row>
        <row r="12572">
          <cell r="V12572"/>
          <cell r="W12572"/>
          <cell r="X12572"/>
          <cell r="Y12572"/>
        </row>
        <row r="12573">
          <cell r="V12573"/>
          <cell r="W12573"/>
          <cell r="X12573"/>
          <cell r="Y12573"/>
        </row>
        <row r="12574">
          <cell r="V12574"/>
          <cell r="W12574"/>
          <cell r="X12574"/>
          <cell r="Y12574"/>
        </row>
        <row r="12575">
          <cell r="V12575"/>
          <cell r="W12575"/>
          <cell r="X12575"/>
          <cell r="Y12575"/>
        </row>
        <row r="12576">
          <cell r="V12576"/>
          <cell r="W12576"/>
          <cell r="X12576"/>
          <cell r="Y12576"/>
        </row>
        <row r="12577">
          <cell r="V12577"/>
          <cell r="W12577"/>
          <cell r="X12577"/>
          <cell r="Y12577"/>
        </row>
        <row r="12578">
          <cell r="V12578"/>
          <cell r="W12578"/>
          <cell r="X12578"/>
          <cell r="Y12578"/>
        </row>
        <row r="12579">
          <cell r="V12579"/>
          <cell r="W12579"/>
          <cell r="X12579"/>
          <cell r="Y12579"/>
        </row>
        <row r="12580">
          <cell r="V12580"/>
          <cell r="W12580"/>
          <cell r="X12580"/>
          <cell r="Y12580"/>
        </row>
        <row r="12581">
          <cell r="V12581"/>
          <cell r="W12581"/>
          <cell r="X12581"/>
          <cell r="Y12581"/>
        </row>
        <row r="12582">
          <cell r="V12582"/>
          <cell r="W12582"/>
          <cell r="X12582"/>
          <cell r="Y12582"/>
        </row>
        <row r="12583">
          <cell r="V12583"/>
          <cell r="W12583"/>
          <cell r="X12583"/>
          <cell r="Y12583"/>
        </row>
        <row r="12584">
          <cell r="V12584"/>
          <cell r="W12584"/>
          <cell r="X12584"/>
          <cell r="Y12584"/>
        </row>
        <row r="12585">
          <cell r="V12585"/>
          <cell r="W12585"/>
          <cell r="X12585"/>
          <cell r="Y12585"/>
        </row>
        <row r="12586">
          <cell r="V12586"/>
          <cell r="W12586"/>
          <cell r="X12586"/>
          <cell r="Y12586"/>
        </row>
        <row r="12587">
          <cell r="V12587"/>
          <cell r="W12587"/>
          <cell r="X12587"/>
          <cell r="Y12587"/>
        </row>
        <row r="12588">
          <cell r="V12588"/>
          <cell r="W12588"/>
          <cell r="X12588"/>
          <cell r="Y12588"/>
        </row>
        <row r="12589">
          <cell r="V12589"/>
          <cell r="W12589"/>
          <cell r="X12589"/>
          <cell r="Y12589"/>
        </row>
        <row r="12590">
          <cell r="V12590"/>
          <cell r="W12590"/>
          <cell r="X12590"/>
          <cell r="Y12590"/>
        </row>
        <row r="12591">
          <cell r="V12591"/>
          <cell r="W12591"/>
          <cell r="X12591"/>
          <cell r="Y12591"/>
        </row>
        <row r="12592">
          <cell r="V12592"/>
          <cell r="W12592"/>
          <cell r="X12592"/>
          <cell r="Y12592"/>
        </row>
        <row r="12593">
          <cell r="V12593"/>
          <cell r="W12593"/>
          <cell r="X12593"/>
          <cell r="Y12593"/>
        </row>
        <row r="12594">
          <cell r="V12594"/>
          <cell r="W12594"/>
          <cell r="X12594"/>
          <cell r="Y12594"/>
        </row>
        <row r="12595">
          <cell r="V12595"/>
          <cell r="W12595"/>
          <cell r="X12595"/>
          <cell r="Y12595"/>
        </row>
        <row r="12596">
          <cell r="V12596"/>
          <cell r="W12596"/>
          <cell r="X12596"/>
          <cell r="Y12596"/>
        </row>
        <row r="12597">
          <cell r="V12597"/>
          <cell r="W12597"/>
          <cell r="X12597"/>
          <cell r="Y12597"/>
        </row>
        <row r="12598">
          <cell r="V12598"/>
          <cell r="W12598"/>
          <cell r="X12598"/>
          <cell r="Y12598"/>
        </row>
        <row r="12599">
          <cell r="V12599"/>
          <cell r="W12599"/>
          <cell r="X12599"/>
          <cell r="Y12599"/>
        </row>
        <row r="12600">
          <cell r="V12600"/>
          <cell r="W12600"/>
          <cell r="X12600"/>
          <cell r="Y12600"/>
        </row>
        <row r="12601">
          <cell r="V12601"/>
          <cell r="W12601"/>
          <cell r="X12601"/>
          <cell r="Y12601"/>
        </row>
        <row r="12602">
          <cell r="V12602"/>
          <cell r="W12602"/>
          <cell r="X12602"/>
          <cell r="Y12602"/>
        </row>
        <row r="12603">
          <cell r="V12603"/>
          <cell r="W12603"/>
          <cell r="X12603"/>
          <cell r="Y12603"/>
        </row>
        <row r="12604">
          <cell r="V12604"/>
          <cell r="W12604"/>
          <cell r="X12604"/>
          <cell r="Y12604"/>
        </row>
        <row r="12605">
          <cell r="V12605"/>
          <cell r="W12605"/>
          <cell r="X12605"/>
          <cell r="Y12605"/>
        </row>
        <row r="12606">
          <cell r="V12606"/>
          <cell r="W12606"/>
          <cell r="X12606"/>
          <cell r="Y12606"/>
        </row>
        <row r="12607">
          <cell r="V12607"/>
          <cell r="W12607"/>
          <cell r="X12607"/>
          <cell r="Y12607"/>
        </row>
        <row r="12608">
          <cell r="V12608"/>
          <cell r="W12608"/>
          <cell r="X12608"/>
          <cell r="Y12608"/>
        </row>
        <row r="12609">
          <cell r="V12609"/>
          <cell r="W12609"/>
          <cell r="X12609"/>
          <cell r="Y12609"/>
        </row>
        <row r="12610">
          <cell r="V12610"/>
          <cell r="W12610"/>
          <cell r="X12610"/>
          <cell r="Y12610"/>
        </row>
        <row r="12611">
          <cell r="V12611"/>
          <cell r="W12611"/>
          <cell r="X12611"/>
          <cell r="Y12611"/>
        </row>
        <row r="12612">
          <cell r="V12612"/>
          <cell r="W12612"/>
          <cell r="X12612"/>
          <cell r="Y12612"/>
        </row>
        <row r="12613">
          <cell r="V12613"/>
          <cell r="W12613"/>
          <cell r="X12613"/>
          <cell r="Y12613"/>
        </row>
        <row r="12614">
          <cell r="V12614"/>
          <cell r="W12614"/>
          <cell r="X12614"/>
          <cell r="Y12614"/>
        </row>
        <row r="12615">
          <cell r="V12615"/>
          <cell r="W12615"/>
          <cell r="X12615"/>
          <cell r="Y12615"/>
        </row>
        <row r="12616">
          <cell r="V12616"/>
          <cell r="W12616"/>
          <cell r="X12616"/>
          <cell r="Y12616"/>
        </row>
        <row r="12617">
          <cell r="V12617"/>
          <cell r="W12617"/>
          <cell r="X12617"/>
          <cell r="Y12617"/>
        </row>
        <row r="12618">
          <cell r="V12618"/>
          <cell r="W12618"/>
          <cell r="X12618"/>
          <cell r="Y12618"/>
        </row>
        <row r="12619">
          <cell r="V12619"/>
          <cell r="W12619"/>
          <cell r="X12619"/>
          <cell r="Y12619"/>
        </row>
        <row r="12620">
          <cell r="V12620"/>
          <cell r="W12620"/>
          <cell r="X12620"/>
          <cell r="Y12620"/>
        </row>
        <row r="12621">
          <cell r="V12621"/>
          <cell r="W12621"/>
          <cell r="X12621"/>
          <cell r="Y12621"/>
        </row>
        <row r="12622">
          <cell r="V12622"/>
          <cell r="W12622"/>
          <cell r="X12622"/>
          <cell r="Y12622"/>
        </row>
        <row r="12623">
          <cell r="V12623"/>
          <cell r="W12623"/>
          <cell r="X12623"/>
          <cell r="Y12623"/>
        </row>
        <row r="12624">
          <cell r="V12624"/>
          <cell r="W12624"/>
          <cell r="X12624"/>
          <cell r="Y12624"/>
        </row>
        <row r="12625">
          <cell r="V12625"/>
          <cell r="W12625"/>
          <cell r="X12625"/>
          <cell r="Y12625"/>
        </row>
        <row r="12626">
          <cell r="V12626"/>
          <cell r="W12626"/>
          <cell r="X12626"/>
          <cell r="Y12626"/>
        </row>
        <row r="12627">
          <cell r="V12627"/>
          <cell r="W12627"/>
          <cell r="X12627"/>
          <cell r="Y12627"/>
        </row>
        <row r="12628">
          <cell r="V12628"/>
          <cell r="W12628"/>
          <cell r="X12628"/>
          <cell r="Y12628"/>
        </row>
        <row r="12629">
          <cell r="V12629"/>
          <cell r="W12629"/>
          <cell r="X12629"/>
          <cell r="Y12629"/>
        </row>
        <row r="12630">
          <cell r="V12630"/>
          <cell r="W12630"/>
          <cell r="X12630"/>
          <cell r="Y12630"/>
        </row>
        <row r="12631">
          <cell r="V12631"/>
          <cell r="W12631"/>
          <cell r="X12631"/>
          <cell r="Y12631"/>
        </row>
        <row r="12632">
          <cell r="V12632"/>
          <cell r="W12632"/>
          <cell r="X12632"/>
          <cell r="Y12632"/>
        </row>
        <row r="12633">
          <cell r="V12633"/>
          <cell r="W12633"/>
          <cell r="X12633"/>
          <cell r="Y12633"/>
        </row>
        <row r="12634">
          <cell r="V12634"/>
          <cell r="W12634"/>
          <cell r="X12634"/>
          <cell r="Y12634"/>
        </row>
        <row r="12635">
          <cell r="V12635"/>
          <cell r="W12635"/>
          <cell r="X12635"/>
          <cell r="Y12635"/>
        </row>
        <row r="12636">
          <cell r="V12636"/>
          <cell r="W12636"/>
          <cell r="X12636"/>
          <cell r="Y12636"/>
        </row>
        <row r="12637">
          <cell r="V12637"/>
          <cell r="W12637"/>
          <cell r="X12637"/>
          <cell r="Y12637"/>
        </row>
        <row r="12638">
          <cell r="V12638"/>
          <cell r="W12638"/>
          <cell r="X12638"/>
          <cell r="Y12638"/>
        </row>
        <row r="12639">
          <cell r="V12639"/>
          <cell r="W12639"/>
          <cell r="X12639"/>
          <cell r="Y12639"/>
        </row>
        <row r="12640">
          <cell r="V12640"/>
          <cell r="W12640"/>
          <cell r="X12640"/>
          <cell r="Y12640"/>
        </row>
        <row r="12641">
          <cell r="V12641"/>
          <cell r="W12641"/>
          <cell r="X12641"/>
          <cell r="Y12641"/>
        </row>
        <row r="12642">
          <cell r="V12642"/>
          <cell r="W12642"/>
          <cell r="X12642"/>
          <cell r="Y12642"/>
        </row>
        <row r="12643">
          <cell r="V12643"/>
          <cell r="W12643"/>
          <cell r="X12643"/>
          <cell r="Y12643"/>
        </row>
        <row r="12644">
          <cell r="V12644"/>
          <cell r="W12644"/>
          <cell r="X12644"/>
          <cell r="Y12644"/>
        </row>
        <row r="12645">
          <cell r="V12645"/>
          <cell r="W12645"/>
          <cell r="X12645"/>
          <cell r="Y12645"/>
        </row>
        <row r="12646">
          <cell r="V12646"/>
          <cell r="W12646"/>
          <cell r="X12646"/>
          <cell r="Y12646"/>
        </row>
        <row r="12647">
          <cell r="V12647"/>
          <cell r="W12647"/>
          <cell r="X12647"/>
          <cell r="Y12647"/>
        </row>
        <row r="12648">
          <cell r="V12648"/>
          <cell r="W12648"/>
          <cell r="X12648"/>
          <cell r="Y12648"/>
        </row>
        <row r="12649">
          <cell r="V12649"/>
          <cell r="W12649"/>
          <cell r="X12649"/>
          <cell r="Y12649"/>
        </row>
        <row r="12650">
          <cell r="V12650"/>
          <cell r="W12650"/>
          <cell r="X12650"/>
          <cell r="Y12650"/>
        </row>
        <row r="12651">
          <cell r="V12651"/>
          <cell r="W12651"/>
          <cell r="X12651"/>
          <cell r="Y12651"/>
        </row>
        <row r="12652">
          <cell r="V12652"/>
          <cell r="W12652"/>
          <cell r="X12652"/>
          <cell r="Y12652"/>
        </row>
        <row r="12653">
          <cell r="V12653"/>
          <cell r="W12653"/>
          <cell r="X12653"/>
          <cell r="Y12653"/>
        </row>
        <row r="12654">
          <cell r="V12654"/>
          <cell r="W12654"/>
          <cell r="X12654"/>
          <cell r="Y12654"/>
        </row>
        <row r="12655">
          <cell r="V12655"/>
          <cell r="W12655"/>
          <cell r="X12655"/>
          <cell r="Y12655"/>
        </row>
        <row r="12656">
          <cell r="V12656"/>
          <cell r="W12656"/>
          <cell r="X12656"/>
          <cell r="Y12656"/>
        </row>
        <row r="12657">
          <cell r="V12657"/>
          <cell r="W12657"/>
          <cell r="X12657"/>
          <cell r="Y12657"/>
        </row>
        <row r="12658">
          <cell r="V12658"/>
          <cell r="W12658"/>
          <cell r="X12658"/>
          <cell r="Y12658"/>
        </row>
        <row r="12659">
          <cell r="V12659"/>
          <cell r="W12659"/>
          <cell r="X12659"/>
          <cell r="Y12659"/>
        </row>
        <row r="12660">
          <cell r="V12660"/>
          <cell r="W12660"/>
          <cell r="X12660"/>
          <cell r="Y12660"/>
        </row>
        <row r="12661">
          <cell r="V12661"/>
          <cell r="W12661"/>
          <cell r="X12661"/>
          <cell r="Y12661"/>
        </row>
        <row r="12662">
          <cell r="V12662"/>
          <cell r="W12662"/>
          <cell r="X12662"/>
          <cell r="Y12662"/>
        </row>
        <row r="12663">
          <cell r="V12663"/>
          <cell r="W12663"/>
          <cell r="X12663"/>
          <cell r="Y12663"/>
        </row>
        <row r="12664">
          <cell r="V12664"/>
          <cell r="W12664"/>
          <cell r="X12664"/>
          <cell r="Y12664"/>
        </row>
        <row r="12665">
          <cell r="V12665"/>
          <cell r="W12665"/>
          <cell r="X12665"/>
          <cell r="Y12665"/>
        </row>
        <row r="12666">
          <cell r="V12666"/>
          <cell r="W12666"/>
          <cell r="X12666"/>
          <cell r="Y12666"/>
        </row>
        <row r="12667">
          <cell r="V12667"/>
          <cell r="W12667"/>
          <cell r="X12667"/>
          <cell r="Y12667"/>
        </row>
        <row r="12668">
          <cell r="V12668"/>
          <cell r="W12668"/>
          <cell r="X12668"/>
          <cell r="Y12668"/>
        </row>
        <row r="12669">
          <cell r="V12669"/>
          <cell r="W12669"/>
          <cell r="X12669"/>
          <cell r="Y12669"/>
        </row>
        <row r="12670">
          <cell r="V12670"/>
          <cell r="W12670"/>
          <cell r="X12670"/>
          <cell r="Y12670"/>
        </row>
        <row r="12671">
          <cell r="V12671"/>
          <cell r="W12671"/>
          <cell r="X12671"/>
          <cell r="Y12671"/>
        </row>
        <row r="12672">
          <cell r="V12672"/>
          <cell r="W12672"/>
          <cell r="X12672"/>
          <cell r="Y12672"/>
        </row>
        <row r="12673">
          <cell r="V12673"/>
          <cell r="W12673"/>
          <cell r="X12673"/>
          <cell r="Y12673"/>
        </row>
        <row r="12674">
          <cell r="V12674"/>
          <cell r="W12674"/>
          <cell r="X12674"/>
          <cell r="Y12674"/>
        </row>
        <row r="12675">
          <cell r="V12675"/>
          <cell r="W12675"/>
          <cell r="X12675"/>
          <cell r="Y12675"/>
        </row>
        <row r="12676">
          <cell r="V12676"/>
          <cell r="W12676"/>
          <cell r="X12676"/>
          <cell r="Y12676"/>
        </row>
        <row r="12677">
          <cell r="V12677"/>
          <cell r="W12677"/>
          <cell r="X12677"/>
          <cell r="Y12677"/>
        </row>
        <row r="12678">
          <cell r="V12678"/>
          <cell r="W12678"/>
          <cell r="X12678"/>
          <cell r="Y12678"/>
        </row>
        <row r="12679">
          <cell r="V12679"/>
          <cell r="W12679"/>
          <cell r="X12679"/>
          <cell r="Y12679"/>
        </row>
        <row r="12680">
          <cell r="V12680"/>
          <cell r="W12680"/>
          <cell r="X12680"/>
          <cell r="Y12680"/>
        </row>
        <row r="12681">
          <cell r="V12681"/>
          <cell r="W12681"/>
          <cell r="X12681"/>
          <cell r="Y12681"/>
        </row>
        <row r="12682">
          <cell r="V12682"/>
          <cell r="W12682"/>
          <cell r="X12682"/>
          <cell r="Y12682"/>
        </row>
        <row r="12683">
          <cell r="V12683"/>
          <cell r="W12683"/>
          <cell r="X12683"/>
          <cell r="Y12683"/>
        </row>
        <row r="12684">
          <cell r="V12684"/>
          <cell r="W12684"/>
          <cell r="X12684"/>
          <cell r="Y12684"/>
        </row>
        <row r="12685">
          <cell r="V12685"/>
          <cell r="W12685"/>
          <cell r="X12685"/>
          <cell r="Y12685"/>
        </row>
        <row r="12686">
          <cell r="V12686"/>
          <cell r="W12686"/>
          <cell r="X12686"/>
          <cell r="Y12686"/>
        </row>
        <row r="12687">
          <cell r="V12687"/>
          <cell r="W12687"/>
          <cell r="X12687"/>
          <cell r="Y12687"/>
        </row>
        <row r="12688">
          <cell r="V12688"/>
          <cell r="W12688"/>
          <cell r="X12688"/>
          <cell r="Y12688"/>
        </row>
        <row r="12689">
          <cell r="V12689"/>
          <cell r="W12689"/>
          <cell r="X12689"/>
          <cell r="Y12689"/>
        </row>
        <row r="12690">
          <cell r="V12690"/>
          <cell r="W12690"/>
          <cell r="X12690"/>
          <cell r="Y12690"/>
        </row>
        <row r="12691">
          <cell r="V12691"/>
          <cell r="W12691"/>
          <cell r="X12691"/>
          <cell r="Y12691"/>
        </row>
        <row r="12692">
          <cell r="V12692"/>
          <cell r="W12692"/>
          <cell r="X12692"/>
          <cell r="Y12692"/>
        </row>
        <row r="12693">
          <cell r="V12693"/>
          <cell r="W12693"/>
          <cell r="X12693"/>
          <cell r="Y12693"/>
        </row>
        <row r="12694">
          <cell r="V12694"/>
          <cell r="W12694"/>
          <cell r="X12694"/>
          <cell r="Y12694"/>
        </row>
        <row r="12695">
          <cell r="V12695"/>
          <cell r="W12695"/>
          <cell r="X12695"/>
          <cell r="Y12695"/>
        </row>
        <row r="12696">
          <cell r="V12696"/>
          <cell r="W12696"/>
          <cell r="X12696"/>
          <cell r="Y12696"/>
        </row>
        <row r="12697">
          <cell r="V12697"/>
          <cell r="W12697"/>
          <cell r="X12697"/>
          <cell r="Y12697"/>
        </row>
        <row r="12698">
          <cell r="V12698"/>
          <cell r="W12698"/>
          <cell r="X12698"/>
          <cell r="Y12698"/>
        </row>
        <row r="12699">
          <cell r="V12699"/>
          <cell r="W12699"/>
          <cell r="X12699"/>
          <cell r="Y12699"/>
        </row>
        <row r="12700">
          <cell r="V12700"/>
          <cell r="W12700"/>
          <cell r="X12700"/>
          <cell r="Y12700"/>
        </row>
        <row r="12701">
          <cell r="V12701"/>
          <cell r="W12701"/>
          <cell r="X12701"/>
          <cell r="Y12701"/>
        </row>
        <row r="12702">
          <cell r="V12702"/>
          <cell r="W12702"/>
          <cell r="X12702"/>
          <cell r="Y12702"/>
        </row>
        <row r="12703">
          <cell r="V12703"/>
          <cell r="W12703"/>
          <cell r="X12703"/>
          <cell r="Y12703"/>
        </row>
        <row r="12704">
          <cell r="V12704"/>
          <cell r="W12704"/>
          <cell r="X12704"/>
          <cell r="Y12704"/>
        </row>
        <row r="12705">
          <cell r="V12705"/>
          <cell r="W12705"/>
          <cell r="X12705"/>
          <cell r="Y12705"/>
        </row>
        <row r="12706">
          <cell r="V12706"/>
          <cell r="W12706"/>
          <cell r="X12706"/>
          <cell r="Y12706"/>
        </row>
        <row r="12707">
          <cell r="V12707"/>
          <cell r="W12707"/>
          <cell r="X12707"/>
          <cell r="Y12707"/>
        </row>
        <row r="12708">
          <cell r="V12708"/>
          <cell r="W12708"/>
          <cell r="X12708"/>
          <cell r="Y12708"/>
        </row>
        <row r="12709">
          <cell r="V12709"/>
          <cell r="W12709"/>
          <cell r="X12709"/>
          <cell r="Y12709"/>
        </row>
        <row r="12710">
          <cell r="V12710"/>
          <cell r="W12710"/>
          <cell r="X12710"/>
          <cell r="Y12710"/>
        </row>
        <row r="12711">
          <cell r="V12711"/>
          <cell r="W12711"/>
          <cell r="X12711"/>
          <cell r="Y12711"/>
        </row>
        <row r="12712">
          <cell r="V12712"/>
          <cell r="W12712"/>
          <cell r="X12712"/>
          <cell r="Y12712"/>
        </row>
        <row r="12713">
          <cell r="V12713"/>
          <cell r="W12713"/>
          <cell r="X12713"/>
          <cell r="Y12713"/>
        </row>
        <row r="12714">
          <cell r="V12714"/>
          <cell r="W12714"/>
          <cell r="X12714"/>
          <cell r="Y12714"/>
        </row>
        <row r="12715">
          <cell r="V12715"/>
          <cell r="W12715"/>
          <cell r="X12715"/>
          <cell r="Y12715"/>
        </row>
        <row r="12716">
          <cell r="V12716"/>
          <cell r="W12716"/>
          <cell r="X12716"/>
          <cell r="Y12716"/>
        </row>
        <row r="12717">
          <cell r="V12717"/>
          <cell r="W12717"/>
          <cell r="X12717"/>
          <cell r="Y12717"/>
        </row>
        <row r="12718">
          <cell r="V12718"/>
          <cell r="W12718"/>
          <cell r="X12718"/>
          <cell r="Y12718"/>
        </row>
        <row r="12719">
          <cell r="V12719"/>
          <cell r="W12719"/>
          <cell r="X12719"/>
          <cell r="Y12719"/>
        </row>
        <row r="12720">
          <cell r="V12720"/>
          <cell r="W12720"/>
          <cell r="X12720"/>
          <cell r="Y12720"/>
        </row>
        <row r="12721">
          <cell r="V12721"/>
          <cell r="W12721"/>
          <cell r="X12721"/>
          <cell r="Y12721"/>
        </row>
        <row r="12722">
          <cell r="V12722"/>
          <cell r="W12722"/>
          <cell r="X12722"/>
          <cell r="Y12722"/>
        </row>
        <row r="12723">
          <cell r="V12723"/>
          <cell r="W12723"/>
          <cell r="X12723"/>
          <cell r="Y12723"/>
        </row>
        <row r="12724">
          <cell r="V12724"/>
          <cell r="W12724"/>
          <cell r="X12724"/>
          <cell r="Y12724"/>
        </row>
        <row r="12725">
          <cell r="V12725"/>
          <cell r="W12725"/>
          <cell r="X12725"/>
          <cell r="Y12725"/>
        </row>
        <row r="12726">
          <cell r="V12726"/>
          <cell r="W12726"/>
          <cell r="X12726"/>
          <cell r="Y12726"/>
        </row>
        <row r="12727">
          <cell r="V12727"/>
          <cell r="W12727"/>
          <cell r="X12727"/>
          <cell r="Y12727"/>
        </row>
        <row r="12728">
          <cell r="V12728"/>
          <cell r="W12728"/>
          <cell r="X12728"/>
          <cell r="Y12728"/>
        </row>
        <row r="12729">
          <cell r="V12729"/>
          <cell r="W12729"/>
          <cell r="X12729"/>
          <cell r="Y12729"/>
        </row>
        <row r="12730">
          <cell r="V12730"/>
          <cell r="W12730"/>
          <cell r="X12730"/>
          <cell r="Y12730"/>
        </row>
        <row r="12731">
          <cell r="V12731"/>
          <cell r="W12731"/>
          <cell r="X12731"/>
          <cell r="Y12731"/>
        </row>
        <row r="12732">
          <cell r="V12732"/>
          <cell r="W12732"/>
          <cell r="X12732"/>
          <cell r="Y12732"/>
        </row>
        <row r="12733">
          <cell r="V12733"/>
          <cell r="W12733"/>
          <cell r="X12733"/>
          <cell r="Y12733"/>
        </row>
        <row r="12734">
          <cell r="V12734"/>
          <cell r="W12734"/>
          <cell r="X12734"/>
          <cell r="Y12734"/>
        </row>
        <row r="12735">
          <cell r="V12735"/>
          <cell r="W12735"/>
          <cell r="X12735"/>
          <cell r="Y12735"/>
        </row>
        <row r="12736">
          <cell r="V12736"/>
          <cell r="W12736"/>
          <cell r="X12736"/>
          <cell r="Y12736"/>
        </row>
        <row r="12737">
          <cell r="V12737"/>
          <cell r="W12737"/>
          <cell r="X12737"/>
          <cell r="Y12737"/>
        </row>
        <row r="12738">
          <cell r="V12738"/>
          <cell r="W12738"/>
          <cell r="X12738"/>
          <cell r="Y12738"/>
        </row>
        <row r="12739">
          <cell r="V12739"/>
          <cell r="W12739"/>
          <cell r="X12739"/>
          <cell r="Y12739"/>
        </row>
        <row r="12740">
          <cell r="V12740"/>
          <cell r="W12740"/>
          <cell r="X12740"/>
          <cell r="Y12740"/>
        </row>
        <row r="12741">
          <cell r="V12741"/>
          <cell r="W12741"/>
          <cell r="X12741"/>
          <cell r="Y12741"/>
        </row>
        <row r="12742">
          <cell r="V12742"/>
          <cell r="W12742"/>
          <cell r="X12742"/>
          <cell r="Y12742"/>
        </row>
        <row r="12743">
          <cell r="V12743"/>
          <cell r="W12743"/>
          <cell r="X12743"/>
          <cell r="Y12743"/>
        </row>
        <row r="12744">
          <cell r="V12744"/>
          <cell r="W12744"/>
          <cell r="X12744"/>
          <cell r="Y12744"/>
        </row>
        <row r="12745">
          <cell r="V12745"/>
          <cell r="W12745"/>
          <cell r="X12745"/>
          <cell r="Y12745"/>
        </row>
        <row r="12746">
          <cell r="V12746"/>
          <cell r="W12746"/>
          <cell r="X12746"/>
          <cell r="Y12746"/>
        </row>
        <row r="12747">
          <cell r="V12747"/>
          <cell r="W12747"/>
          <cell r="X12747"/>
          <cell r="Y12747"/>
        </row>
        <row r="12748">
          <cell r="V12748"/>
          <cell r="W12748"/>
          <cell r="X12748"/>
          <cell r="Y12748"/>
        </row>
        <row r="12749">
          <cell r="V12749"/>
          <cell r="W12749"/>
          <cell r="X12749"/>
          <cell r="Y12749"/>
        </row>
        <row r="12750">
          <cell r="V12750"/>
          <cell r="W12750"/>
          <cell r="X12750"/>
          <cell r="Y12750"/>
        </row>
        <row r="12751">
          <cell r="V12751"/>
          <cell r="W12751"/>
          <cell r="X12751"/>
          <cell r="Y12751"/>
        </row>
        <row r="12752">
          <cell r="V12752"/>
          <cell r="W12752"/>
          <cell r="X12752"/>
          <cell r="Y12752"/>
        </row>
        <row r="12753">
          <cell r="V12753"/>
          <cell r="W12753"/>
          <cell r="X12753"/>
          <cell r="Y12753"/>
        </row>
        <row r="12754">
          <cell r="V12754"/>
          <cell r="W12754"/>
          <cell r="X12754"/>
          <cell r="Y12754"/>
        </row>
        <row r="12755">
          <cell r="V12755"/>
          <cell r="W12755"/>
          <cell r="X12755"/>
          <cell r="Y12755"/>
        </row>
        <row r="12756">
          <cell r="V12756"/>
          <cell r="W12756"/>
          <cell r="X12756"/>
          <cell r="Y12756"/>
        </row>
        <row r="12757">
          <cell r="V12757"/>
          <cell r="W12757"/>
          <cell r="X12757"/>
          <cell r="Y12757"/>
        </row>
        <row r="12758">
          <cell r="V12758"/>
          <cell r="W12758"/>
          <cell r="X12758"/>
          <cell r="Y12758"/>
        </row>
        <row r="12759">
          <cell r="V12759"/>
          <cell r="W12759"/>
          <cell r="X12759"/>
          <cell r="Y12759"/>
        </row>
        <row r="12760">
          <cell r="V12760"/>
          <cell r="W12760"/>
          <cell r="X12760"/>
          <cell r="Y12760"/>
        </row>
        <row r="12761">
          <cell r="V12761"/>
          <cell r="W12761"/>
          <cell r="X12761"/>
          <cell r="Y12761"/>
        </row>
        <row r="12762">
          <cell r="V12762"/>
          <cell r="W12762"/>
          <cell r="X12762"/>
          <cell r="Y12762"/>
        </row>
        <row r="12763">
          <cell r="V12763"/>
          <cell r="W12763"/>
          <cell r="X12763"/>
          <cell r="Y12763"/>
        </row>
        <row r="12764">
          <cell r="V12764"/>
          <cell r="W12764"/>
          <cell r="X12764"/>
          <cell r="Y12764"/>
        </row>
        <row r="12765">
          <cell r="V12765"/>
          <cell r="W12765"/>
          <cell r="X12765"/>
          <cell r="Y12765"/>
        </row>
        <row r="12766">
          <cell r="V12766"/>
          <cell r="W12766"/>
          <cell r="X12766"/>
          <cell r="Y12766"/>
        </row>
        <row r="12767">
          <cell r="V12767"/>
          <cell r="W12767"/>
          <cell r="X12767"/>
          <cell r="Y12767"/>
        </row>
        <row r="12768">
          <cell r="V12768"/>
          <cell r="W12768"/>
          <cell r="X12768"/>
          <cell r="Y12768"/>
        </row>
        <row r="12769">
          <cell r="V12769"/>
          <cell r="W12769"/>
          <cell r="X12769"/>
          <cell r="Y12769"/>
        </row>
        <row r="12770">
          <cell r="V12770"/>
          <cell r="W12770"/>
          <cell r="X12770"/>
          <cell r="Y12770"/>
        </row>
        <row r="12771">
          <cell r="V12771"/>
          <cell r="W12771"/>
          <cell r="X12771"/>
          <cell r="Y12771"/>
        </row>
        <row r="12772">
          <cell r="V12772"/>
          <cell r="W12772"/>
          <cell r="X12772"/>
          <cell r="Y12772"/>
        </row>
        <row r="12773">
          <cell r="V12773"/>
          <cell r="W12773"/>
          <cell r="X12773"/>
          <cell r="Y12773"/>
        </row>
        <row r="12774">
          <cell r="V12774"/>
          <cell r="W12774"/>
          <cell r="X12774"/>
          <cell r="Y12774"/>
        </row>
        <row r="12775">
          <cell r="V12775"/>
          <cell r="W12775"/>
          <cell r="X12775"/>
          <cell r="Y12775"/>
        </row>
        <row r="12776">
          <cell r="V12776"/>
          <cell r="W12776"/>
          <cell r="X12776"/>
          <cell r="Y12776"/>
        </row>
        <row r="12777">
          <cell r="V12777"/>
          <cell r="W12777"/>
          <cell r="X12777"/>
          <cell r="Y12777"/>
        </row>
        <row r="12778">
          <cell r="V12778"/>
          <cell r="W12778"/>
          <cell r="X12778"/>
          <cell r="Y12778"/>
        </row>
        <row r="12779">
          <cell r="V12779"/>
          <cell r="W12779"/>
          <cell r="X12779"/>
          <cell r="Y12779"/>
        </row>
        <row r="12780">
          <cell r="V12780"/>
          <cell r="W12780"/>
          <cell r="X12780"/>
          <cell r="Y12780"/>
        </row>
        <row r="12781">
          <cell r="V12781"/>
          <cell r="W12781"/>
          <cell r="X12781"/>
          <cell r="Y12781"/>
        </row>
        <row r="12782">
          <cell r="V12782"/>
          <cell r="W12782"/>
          <cell r="X12782"/>
          <cell r="Y12782"/>
        </row>
        <row r="12783">
          <cell r="V12783"/>
          <cell r="W12783"/>
          <cell r="X12783"/>
          <cell r="Y12783"/>
        </row>
        <row r="12784">
          <cell r="V12784"/>
          <cell r="W12784"/>
          <cell r="X12784"/>
          <cell r="Y12784"/>
        </row>
        <row r="12785">
          <cell r="V12785"/>
          <cell r="W12785"/>
          <cell r="X12785"/>
          <cell r="Y12785"/>
        </row>
        <row r="12786">
          <cell r="V12786"/>
          <cell r="W12786"/>
          <cell r="X12786"/>
          <cell r="Y12786"/>
        </row>
        <row r="12787">
          <cell r="V12787"/>
          <cell r="W12787"/>
          <cell r="X12787"/>
          <cell r="Y12787"/>
        </row>
        <row r="12788">
          <cell r="V12788"/>
          <cell r="W12788"/>
          <cell r="X12788"/>
          <cell r="Y12788"/>
        </row>
        <row r="12789">
          <cell r="V12789"/>
          <cell r="W12789"/>
          <cell r="X12789"/>
          <cell r="Y12789"/>
        </row>
        <row r="12790">
          <cell r="V12790"/>
          <cell r="W12790"/>
          <cell r="X12790"/>
          <cell r="Y12790"/>
        </row>
        <row r="12791">
          <cell r="V12791"/>
          <cell r="W12791"/>
          <cell r="X12791"/>
          <cell r="Y12791"/>
        </row>
        <row r="12792">
          <cell r="V12792"/>
          <cell r="W12792"/>
          <cell r="X12792"/>
          <cell r="Y12792"/>
        </row>
        <row r="12793">
          <cell r="V12793"/>
          <cell r="W12793"/>
          <cell r="X12793"/>
          <cell r="Y12793"/>
        </row>
        <row r="12794">
          <cell r="V12794"/>
          <cell r="W12794"/>
          <cell r="X12794"/>
          <cell r="Y12794"/>
        </row>
        <row r="12795">
          <cell r="V12795"/>
          <cell r="W12795"/>
          <cell r="X12795"/>
          <cell r="Y12795"/>
        </row>
        <row r="12796">
          <cell r="V12796"/>
          <cell r="W12796"/>
          <cell r="X12796"/>
          <cell r="Y12796"/>
        </row>
        <row r="12797">
          <cell r="V12797"/>
          <cell r="W12797"/>
          <cell r="X12797"/>
          <cell r="Y12797"/>
        </row>
        <row r="12798">
          <cell r="V12798"/>
          <cell r="W12798"/>
          <cell r="X12798"/>
          <cell r="Y12798"/>
        </row>
        <row r="12799">
          <cell r="V12799"/>
          <cell r="W12799"/>
          <cell r="X12799"/>
          <cell r="Y12799"/>
        </row>
        <row r="12800">
          <cell r="V12800"/>
          <cell r="W12800"/>
          <cell r="X12800"/>
          <cell r="Y12800"/>
        </row>
        <row r="12801">
          <cell r="V12801"/>
          <cell r="W12801"/>
          <cell r="X12801"/>
          <cell r="Y12801"/>
        </row>
        <row r="12802">
          <cell r="V12802"/>
          <cell r="W12802"/>
          <cell r="X12802"/>
          <cell r="Y12802"/>
        </row>
        <row r="12803">
          <cell r="V12803"/>
          <cell r="W12803"/>
          <cell r="X12803"/>
          <cell r="Y12803"/>
        </row>
        <row r="12804">
          <cell r="V12804"/>
          <cell r="W12804"/>
          <cell r="X12804"/>
          <cell r="Y12804"/>
        </row>
        <row r="12805">
          <cell r="V12805"/>
          <cell r="W12805"/>
          <cell r="X12805"/>
          <cell r="Y12805"/>
        </row>
        <row r="12806">
          <cell r="V12806"/>
          <cell r="W12806"/>
          <cell r="X12806"/>
          <cell r="Y12806"/>
        </row>
        <row r="12807">
          <cell r="V12807"/>
          <cell r="W12807"/>
          <cell r="X12807"/>
          <cell r="Y12807"/>
        </row>
        <row r="12808">
          <cell r="V12808"/>
          <cell r="W12808"/>
          <cell r="X12808"/>
          <cell r="Y12808"/>
        </row>
        <row r="12809">
          <cell r="V12809"/>
          <cell r="W12809"/>
          <cell r="X12809"/>
          <cell r="Y12809"/>
        </row>
        <row r="12810">
          <cell r="V12810"/>
          <cell r="W12810"/>
          <cell r="X12810"/>
          <cell r="Y12810"/>
        </row>
        <row r="12811">
          <cell r="V12811"/>
          <cell r="W12811"/>
          <cell r="X12811"/>
          <cell r="Y12811"/>
        </row>
        <row r="12812">
          <cell r="V12812"/>
          <cell r="W12812"/>
          <cell r="X12812"/>
          <cell r="Y12812"/>
        </row>
        <row r="12813">
          <cell r="V12813"/>
          <cell r="W12813"/>
          <cell r="X12813"/>
          <cell r="Y12813"/>
        </row>
        <row r="12814">
          <cell r="V12814"/>
          <cell r="W12814"/>
          <cell r="X12814"/>
          <cell r="Y12814"/>
        </row>
        <row r="12815">
          <cell r="V12815"/>
          <cell r="W12815"/>
          <cell r="X12815"/>
          <cell r="Y12815"/>
        </row>
        <row r="12816">
          <cell r="V12816"/>
          <cell r="W12816"/>
          <cell r="X12816"/>
          <cell r="Y12816"/>
        </row>
        <row r="12817">
          <cell r="V12817"/>
          <cell r="W12817"/>
          <cell r="X12817"/>
          <cell r="Y12817"/>
        </row>
        <row r="12818">
          <cell r="V12818"/>
          <cell r="W12818"/>
          <cell r="X12818"/>
          <cell r="Y12818"/>
        </row>
        <row r="12819">
          <cell r="V12819"/>
          <cell r="W12819"/>
          <cell r="X12819"/>
          <cell r="Y12819"/>
        </row>
        <row r="12820">
          <cell r="V12820"/>
          <cell r="W12820"/>
          <cell r="X12820"/>
          <cell r="Y12820"/>
        </row>
        <row r="12821">
          <cell r="V12821"/>
          <cell r="W12821"/>
          <cell r="X12821"/>
          <cell r="Y12821"/>
        </row>
        <row r="12822">
          <cell r="V12822"/>
          <cell r="W12822"/>
          <cell r="X12822"/>
          <cell r="Y12822"/>
        </row>
        <row r="12823">
          <cell r="V12823"/>
          <cell r="W12823"/>
          <cell r="X12823"/>
          <cell r="Y12823"/>
        </row>
        <row r="12824">
          <cell r="V12824"/>
          <cell r="W12824"/>
          <cell r="X12824"/>
          <cell r="Y12824"/>
        </row>
        <row r="12825">
          <cell r="V12825"/>
          <cell r="W12825"/>
          <cell r="X12825"/>
          <cell r="Y12825"/>
        </row>
        <row r="12826">
          <cell r="V12826"/>
          <cell r="W12826"/>
          <cell r="X12826"/>
          <cell r="Y12826"/>
        </row>
        <row r="12827">
          <cell r="V12827"/>
          <cell r="W12827"/>
          <cell r="X12827"/>
          <cell r="Y12827"/>
        </row>
        <row r="12828">
          <cell r="V12828"/>
          <cell r="W12828"/>
          <cell r="X12828"/>
          <cell r="Y12828"/>
        </row>
        <row r="12829">
          <cell r="V12829"/>
          <cell r="W12829"/>
          <cell r="X12829"/>
          <cell r="Y12829"/>
        </row>
        <row r="12830">
          <cell r="V12830"/>
          <cell r="W12830"/>
          <cell r="X12830"/>
          <cell r="Y12830"/>
        </row>
        <row r="12831">
          <cell r="V12831"/>
          <cell r="W12831"/>
          <cell r="X12831"/>
          <cell r="Y12831"/>
        </row>
        <row r="12832">
          <cell r="V12832"/>
          <cell r="W12832"/>
          <cell r="X12832"/>
          <cell r="Y12832"/>
        </row>
        <row r="12833">
          <cell r="V12833"/>
          <cell r="W12833"/>
          <cell r="X12833"/>
          <cell r="Y12833"/>
        </row>
        <row r="12834">
          <cell r="V12834"/>
          <cell r="W12834"/>
          <cell r="X12834"/>
          <cell r="Y12834"/>
        </row>
        <row r="12835">
          <cell r="V12835"/>
          <cell r="W12835"/>
          <cell r="X12835"/>
          <cell r="Y12835"/>
        </row>
        <row r="12836">
          <cell r="V12836"/>
          <cell r="W12836"/>
          <cell r="X12836"/>
          <cell r="Y12836"/>
        </row>
        <row r="12837">
          <cell r="V12837"/>
          <cell r="W12837"/>
          <cell r="X12837"/>
          <cell r="Y12837"/>
        </row>
        <row r="12838">
          <cell r="V12838"/>
          <cell r="W12838"/>
          <cell r="X12838"/>
          <cell r="Y12838"/>
        </row>
        <row r="12839">
          <cell r="V12839"/>
          <cell r="W12839"/>
          <cell r="X12839"/>
          <cell r="Y12839"/>
        </row>
        <row r="12840">
          <cell r="V12840"/>
          <cell r="W12840"/>
          <cell r="X12840"/>
          <cell r="Y12840"/>
        </row>
        <row r="12841">
          <cell r="V12841"/>
          <cell r="W12841"/>
          <cell r="X12841"/>
          <cell r="Y12841"/>
        </row>
        <row r="12842">
          <cell r="V12842"/>
          <cell r="W12842"/>
          <cell r="X12842"/>
          <cell r="Y12842"/>
        </row>
        <row r="12843">
          <cell r="V12843"/>
          <cell r="W12843"/>
          <cell r="X12843"/>
          <cell r="Y12843"/>
        </row>
        <row r="12844">
          <cell r="V12844"/>
          <cell r="W12844"/>
          <cell r="X12844"/>
          <cell r="Y12844"/>
        </row>
        <row r="12845">
          <cell r="V12845"/>
          <cell r="W12845"/>
          <cell r="X12845"/>
          <cell r="Y12845"/>
        </row>
        <row r="12846">
          <cell r="V12846"/>
          <cell r="W12846"/>
          <cell r="X12846"/>
          <cell r="Y12846"/>
        </row>
        <row r="12847">
          <cell r="V12847"/>
          <cell r="W12847"/>
          <cell r="X12847"/>
          <cell r="Y12847"/>
        </row>
        <row r="12848">
          <cell r="V12848"/>
          <cell r="W12848"/>
          <cell r="X12848"/>
          <cell r="Y12848"/>
        </row>
        <row r="12849">
          <cell r="V12849"/>
          <cell r="W12849"/>
          <cell r="X12849"/>
          <cell r="Y12849"/>
        </row>
        <row r="12850">
          <cell r="V12850"/>
          <cell r="W12850"/>
          <cell r="X12850"/>
          <cell r="Y12850"/>
        </row>
        <row r="12851">
          <cell r="V12851"/>
          <cell r="W12851"/>
          <cell r="X12851"/>
          <cell r="Y12851"/>
        </row>
        <row r="12852">
          <cell r="V12852"/>
          <cell r="W12852"/>
          <cell r="X12852"/>
          <cell r="Y12852"/>
        </row>
        <row r="12853">
          <cell r="V12853"/>
          <cell r="W12853"/>
          <cell r="X12853"/>
          <cell r="Y12853"/>
        </row>
        <row r="12854">
          <cell r="V12854"/>
          <cell r="W12854"/>
          <cell r="X12854"/>
          <cell r="Y12854"/>
        </row>
        <row r="12855">
          <cell r="V12855"/>
          <cell r="W12855"/>
          <cell r="X12855"/>
          <cell r="Y12855"/>
        </row>
        <row r="12856">
          <cell r="V12856"/>
          <cell r="W12856"/>
          <cell r="X12856"/>
          <cell r="Y12856"/>
        </row>
        <row r="12857">
          <cell r="V12857"/>
          <cell r="W12857"/>
          <cell r="X12857"/>
          <cell r="Y12857"/>
        </row>
        <row r="12858">
          <cell r="V12858"/>
          <cell r="W12858"/>
          <cell r="X12858"/>
          <cell r="Y12858"/>
        </row>
        <row r="12859">
          <cell r="V12859"/>
          <cell r="W12859"/>
          <cell r="X12859"/>
          <cell r="Y12859"/>
        </row>
        <row r="12860">
          <cell r="V12860"/>
          <cell r="W12860"/>
          <cell r="X12860"/>
          <cell r="Y12860"/>
        </row>
        <row r="12861">
          <cell r="V12861"/>
          <cell r="W12861"/>
          <cell r="X12861"/>
          <cell r="Y12861"/>
        </row>
        <row r="12862">
          <cell r="V12862"/>
          <cell r="W12862"/>
          <cell r="X12862"/>
          <cell r="Y12862"/>
        </row>
        <row r="12863">
          <cell r="V12863"/>
          <cell r="W12863"/>
          <cell r="X12863"/>
          <cell r="Y12863"/>
        </row>
        <row r="12864">
          <cell r="V12864"/>
          <cell r="W12864"/>
          <cell r="X12864"/>
          <cell r="Y12864"/>
        </row>
        <row r="12865">
          <cell r="V12865"/>
          <cell r="W12865"/>
          <cell r="X12865"/>
          <cell r="Y12865"/>
        </row>
        <row r="12866">
          <cell r="V12866"/>
          <cell r="W12866"/>
          <cell r="X12866"/>
          <cell r="Y12866"/>
        </row>
        <row r="12867">
          <cell r="V12867"/>
          <cell r="W12867"/>
          <cell r="X12867"/>
          <cell r="Y12867"/>
        </row>
        <row r="12868">
          <cell r="V12868"/>
          <cell r="W12868"/>
          <cell r="X12868"/>
          <cell r="Y12868"/>
        </row>
        <row r="12869">
          <cell r="V12869"/>
          <cell r="W12869"/>
          <cell r="X12869"/>
          <cell r="Y12869"/>
        </row>
        <row r="12870">
          <cell r="V12870"/>
          <cell r="W12870"/>
          <cell r="X12870"/>
          <cell r="Y12870"/>
        </row>
        <row r="12871">
          <cell r="V12871"/>
          <cell r="W12871"/>
          <cell r="X12871"/>
          <cell r="Y12871"/>
        </row>
        <row r="12872">
          <cell r="V12872"/>
          <cell r="W12872"/>
          <cell r="X12872"/>
          <cell r="Y12872"/>
        </row>
        <row r="12873">
          <cell r="V12873"/>
          <cell r="W12873"/>
          <cell r="X12873"/>
          <cell r="Y12873"/>
        </row>
        <row r="12874">
          <cell r="V12874"/>
          <cell r="W12874"/>
          <cell r="X12874"/>
          <cell r="Y12874"/>
        </row>
        <row r="12875">
          <cell r="V12875"/>
          <cell r="W12875"/>
          <cell r="X12875"/>
          <cell r="Y12875"/>
        </row>
        <row r="12876">
          <cell r="V12876"/>
          <cell r="W12876"/>
          <cell r="X12876"/>
          <cell r="Y12876"/>
        </row>
        <row r="12877">
          <cell r="V12877"/>
          <cell r="W12877"/>
          <cell r="X12877"/>
          <cell r="Y12877"/>
        </row>
        <row r="12878">
          <cell r="V12878"/>
          <cell r="W12878"/>
          <cell r="X12878"/>
          <cell r="Y12878"/>
        </row>
        <row r="12879">
          <cell r="V12879"/>
          <cell r="W12879"/>
          <cell r="X12879"/>
          <cell r="Y12879"/>
        </row>
        <row r="12880">
          <cell r="V12880"/>
          <cell r="W12880"/>
          <cell r="X12880"/>
          <cell r="Y12880"/>
        </row>
        <row r="12881">
          <cell r="V12881"/>
          <cell r="W12881"/>
          <cell r="X12881"/>
          <cell r="Y12881"/>
        </row>
        <row r="12882">
          <cell r="V12882"/>
          <cell r="W12882"/>
          <cell r="X12882"/>
          <cell r="Y12882"/>
        </row>
        <row r="12883">
          <cell r="V12883"/>
          <cell r="W12883"/>
          <cell r="X12883"/>
          <cell r="Y12883"/>
        </row>
        <row r="12884">
          <cell r="V12884"/>
          <cell r="W12884"/>
          <cell r="X12884"/>
          <cell r="Y12884"/>
        </row>
        <row r="12885">
          <cell r="V12885"/>
          <cell r="W12885"/>
          <cell r="X12885"/>
          <cell r="Y12885"/>
        </row>
        <row r="12886">
          <cell r="V12886"/>
          <cell r="W12886"/>
          <cell r="X12886"/>
          <cell r="Y12886"/>
        </row>
        <row r="12887">
          <cell r="V12887"/>
          <cell r="W12887"/>
          <cell r="X12887"/>
          <cell r="Y12887"/>
        </row>
        <row r="12888">
          <cell r="V12888"/>
          <cell r="W12888"/>
          <cell r="X12888"/>
          <cell r="Y12888"/>
        </row>
        <row r="12889">
          <cell r="V12889"/>
          <cell r="W12889"/>
          <cell r="X12889"/>
          <cell r="Y12889"/>
        </row>
        <row r="12890">
          <cell r="V12890"/>
          <cell r="W12890"/>
          <cell r="X12890"/>
          <cell r="Y12890"/>
        </row>
        <row r="12891">
          <cell r="V12891"/>
          <cell r="W12891"/>
          <cell r="X12891"/>
          <cell r="Y12891"/>
        </row>
        <row r="12892">
          <cell r="V12892"/>
          <cell r="W12892"/>
          <cell r="X12892"/>
          <cell r="Y12892"/>
        </row>
        <row r="12893">
          <cell r="V12893"/>
          <cell r="W12893"/>
          <cell r="X12893"/>
          <cell r="Y12893"/>
        </row>
        <row r="12894">
          <cell r="V12894"/>
          <cell r="W12894"/>
          <cell r="X12894"/>
          <cell r="Y12894"/>
        </row>
        <row r="12895">
          <cell r="V12895"/>
          <cell r="W12895"/>
          <cell r="X12895"/>
          <cell r="Y12895"/>
        </row>
        <row r="12896">
          <cell r="V12896"/>
          <cell r="W12896"/>
          <cell r="X12896"/>
          <cell r="Y12896"/>
        </row>
        <row r="12897">
          <cell r="V12897"/>
          <cell r="W12897"/>
          <cell r="X12897"/>
          <cell r="Y12897"/>
        </row>
        <row r="12898">
          <cell r="V12898"/>
          <cell r="W12898"/>
          <cell r="X12898"/>
          <cell r="Y12898"/>
        </row>
        <row r="12899">
          <cell r="V12899"/>
          <cell r="W12899"/>
          <cell r="X12899"/>
          <cell r="Y12899"/>
        </row>
        <row r="12900">
          <cell r="V12900"/>
          <cell r="W12900"/>
          <cell r="X12900"/>
          <cell r="Y12900"/>
        </row>
        <row r="12901">
          <cell r="V12901"/>
          <cell r="W12901"/>
          <cell r="X12901"/>
          <cell r="Y12901"/>
        </row>
        <row r="12902">
          <cell r="V12902"/>
          <cell r="W12902"/>
          <cell r="X12902"/>
          <cell r="Y12902"/>
        </row>
        <row r="12903">
          <cell r="V12903"/>
          <cell r="W12903"/>
          <cell r="X12903"/>
          <cell r="Y12903"/>
        </row>
        <row r="12904">
          <cell r="V12904"/>
          <cell r="W12904"/>
          <cell r="X12904"/>
          <cell r="Y12904"/>
        </row>
        <row r="12905">
          <cell r="V12905"/>
          <cell r="W12905"/>
          <cell r="X12905"/>
          <cell r="Y12905"/>
        </row>
        <row r="12906">
          <cell r="V12906"/>
          <cell r="W12906"/>
          <cell r="X12906"/>
          <cell r="Y12906"/>
        </row>
        <row r="12907">
          <cell r="V12907"/>
          <cell r="W12907"/>
          <cell r="X12907"/>
          <cell r="Y12907"/>
        </row>
        <row r="12908">
          <cell r="V12908"/>
          <cell r="W12908"/>
          <cell r="X12908"/>
          <cell r="Y12908"/>
        </row>
        <row r="12909">
          <cell r="V12909"/>
          <cell r="W12909"/>
          <cell r="X12909"/>
          <cell r="Y12909"/>
        </row>
        <row r="12910">
          <cell r="V12910"/>
          <cell r="W12910"/>
          <cell r="X12910"/>
          <cell r="Y12910"/>
        </row>
        <row r="12911">
          <cell r="V12911"/>
          <cell r="W12911"/>
          <cell r="X12911"/>
          <cell r="Y12911"/>
        </row>
        <row r="12912">
          <cell r="V12912"/>
          <cell r="W12912"/>
          <cell r="X12912"/>
          <cell r="Y12912"/>
        </row>
        <row r="12913">
          <cell r="V12913"/>
          <cell r="W12913"/>
          <cell r="X12913"/>
          <cell r="Y12913"/>
        </row>
        <row r="12914">
          <cell r="V12914"/>
          <cell r="W12914"/>
          <cell r="X12914"/>
          <cell r="Y12914"/>
        </row>
        <row r="12915">
          <cell r="V12915"/>
          <cell r="W12915"/>
          <cell r="X12915"/>
          <cell r="Y12915"/>
        </row>
        <row r="12916">
          <cell r="V12916"/>
          <cell r="W12916"/>
          <cell r="X12916"/>
          <cell r="Y12916"/>
        </row>
        <row r="12917">
          <cell r="V12917"/>
          <cell r="W12917"/>
          <cell r="X12917"/>
          <cell r="Y12917"/>
        </row>
        <row r="12918">
          <cell r="V12918"/>
          <cell r="W12918"/>
          <cell r="X12918"/>
          <cell r="Y12918"/>
        </row>
        <row r="12919">
          <cell r="V12919"/>
          <cell r="W12919"/>
          <cell r="X12919"/>
          <cell r="Y12919"/>
        </row>
        <row r="12920">
          <cell r="V12920"/>
          <cell r="W12920"/>
          <cell r="X12920"/>
          <cell r="Y12920"/>
        </row>
        <row r="12921">
          <cell r="V12921"/>
          <cell r="W12921"/>
          <cell r="X12921"/>
          <cell r="Y12921"/>
        </row>
        <row r="12922">
          <cell r="V12922"/>
          <cell r="W12922"/>
          <cell r="X12922"/>
          <cell r="Y12922"/>
        </row>
        <row r="12923">
          <cell r="V12923"/>
          <cell r="W12923"/>
          <cell r="X12923"/>
          <cell r="Y12923"/>
        </row>
        <row r="12924">
          <cell r="V12924"/>
          <cell r="W12924"/>
          <cell r="X12924"/>
          <cell r="Y12924"/>
        </row>
        <row r="12925">
          <cell r="V12925"/>
          <cell r="W12925"/>
          <cell r="X12925"/>
          <cell r="Y12925"/>
        </row>
        <row r="12926">
          <cell r="V12926"/>
          <cell r="W12926"/>
          <cell r="X12926"/>
          <cell r="Y12926"/>
        </row>
        <row r="12927">
          <cell r="V12927"/>
          <cell r="W12927"/>
          <cell r="X12927"/>
          <cell r="Y12927"/>
        </row>
        <row r="12928">
          <cell r="V12928"/>
          <cell r="W12928"/>
          <cell r="X12928"/>
          <cell r="Y12928"/>
        </row>
        <row r="12929">
          <cell r="V12929"/>
          <cell r="W12929"/>
          <cell r="X12929"/>
          <cell r="Y12929"/>
        </row>
        <row r="12930">
          <cell r="V12930"/>
          <cell r="W12930"/>
          <cell r="X12930"/>
          <cell r="Y12930"/>
        </row>
        <row r="12931">
          <cell r="V12931"/>
          <cell r="W12931"/>
          <cell r="X12931"/>
          <cell r="Y12931"/>
        </row>
        <row r="12932">
          <cell r="V12932"/>
          <cell r="W12932"/>
          <cell r="X12932"/>
          <cell r="Y12932"/>
        </row>
        <row r="12933">
          <cell r="V12933"/>
          <cell r="W12933"/>
          <cell r="X12933"/>
          <cell r="Y12933"/>
        </row>
        <row r="12934">
          <cell r="V12934"/>
          <cell r="W12934"/>
          <cell r="X12934"/>
          <cell r="Y12934"/>
        </row>
        <row r="12935">
          <cell r="V12935"/>
          <cell r="W12935"/>
          <cell r="X12935"/>
          <cell r="Y12935"/>
        </row>
        <row r="12936">
          <cell r="V12936"/>
          <cell r="W12936"/>
          <cell r="X12936"/>
          <cell r="Y12936"/>
        </row>
        <row r="12937">
          <cell r="V12937"/>
          <cell r="W12937"/>
          <cell r="X12937"/>
          <cell r="Y12937"/>
        </row>
        <row r="12938">
          <cell r="V12938"/>
          <cell r="W12938"/>
          <cell r="X12938"/>
          <cell r="Y12938"/>
        </row>
        <row r="12939">
          <cell r="V12939"/>
          <cell r="W12939"/>
          <cell r="X12939"/>
          <cell r="Y12939"/>
        </row>
        <row r="12940">
          <cell r="V12940"/>
          <cell r="W12940"/>
          <cell r="X12940"/>
          <cell r="Y12940"/>
        </row>
        <row r="12941">
          <cell r="V12941"/>
          <cell r="W12941"/>
          <cell r="X12941"/>
          <cell r="Y12941"/>
        </row>
        <row r="12942">
          <cell r="V12942"/>
          <cell r="W12942"/>
          <cell r="X12942"/>
          <cell r="Y12942"/>
        </row>
        <row r="12943">
          <cell r="V12943"/>
          <cell r="W12943"/>
          <cell r="X12943"/>
          <cell r="Y12943"/>
        </row>
        <row r="12944">
          <cell r="V12944"/>
          <cell r="W12944"/>
          <cell r="X12944"/>
          <cell r="Y12944"/>
        </row>
        <row r="12945">
          <cell r="V12945"/>
          <cell r="W12945"/>
          <cell r="X12945"/>
          <cell r="Y12945"/>
        </row>
        <row r="12946">
          <cell r="V12946"/>
          <cell r="W12946"/>
          <cell r="X12946"/>
          <cell r="Y12946"/>
        </row>
        <row r="12947">
          <cell r="V12947"/>
          <cell r="W12947"/>
          <cell r="X12947"/>
          <cell r="Y12947"/>
        </row>
        <row r="12948">
          <cell r="V12948"/>
          <cell r="W12948"/>
          <cell r="X12948"/>
          <cell r="Y12948"/>
        </row>
        <row r="12949">
          <cell r="V12949"/>
          <cell r="W12949"/>
          <cell r="X12949"/>
          <cell r="Y12949"/>
        </row>
        <row r="12950">
          <cell r="V12950"/>
          <cell r="W12950"/>
          <cell r="X12950"/>
          <cell r="Y12950"/>
        </row>
        <row r="12951">
          <cell r="V12951"/>
          <cell r="W12951"/>
          <cell r="X12951"/>
          <cell r="Y12951"/>
        </row>
        <row r="12952">
          <cell r="V12952"/>
          <cell r="W12952"/>
          <cell r="X12952"/>
          <cell r="Y12952"/>
        </row>
        <row r="12953">
          <cell r="V12953"/>
          <cell r="W12953"/>
          <cell r="X12953"/>
          <cell r="Y12953"/>
        </row>
        <row r="12954">
          <cell r="V12954"/>
          <cell r="W12954"/>
          <cell r="X12954"/>
          <cell r="Y12954"/>
        </row>
        <row r="12955">
          <cell r="V12955"/>
          <cell r="W12955"/>
          <cell r="X12955"/>
          <cell r="Y12955"/>
        </row>
        <row r="12956">
          <cell r="V12956"/>
          <cell r="W12956"/>
          <cell r="X12956"/>
          <cell r="Y12956"/>
        </row>
        <row r="12957">
          <cell r="V12957"/>
          <cell r="W12957"/>
          <cell r="X12957"/>
          <cell r="Y12957"/>
        </row>
        <row r="12958">
          <cell r="V12958"/>
          <cell r="W12958"/>
          <cell r="X12958"/>
          <cell r="Y12958"/>
        </row>
        <row r="12959">
          <cell r="V12959"/>
          <cell r="W12959"/>
          <cell r="X12959"/>
          <cell r="Y12959"/>
        </row>
        <row r="12960">
          <cell r="V12960"/>
          <cell r="W12960"/>
          <cell r="X12960"/>
          <cell r="Y12960"/>
        </row>
        <row r="12961">
          <cell r="V12961"/>
          <cell r="W12961"/>
          <cell r="X12961"/>
          <cell r="Y12961"/>
        </row>
        <row r="12962">
          <cell r="V12962"/>
          <cell r="W12962"/>
          <cell r="X12962"/>
          <cell r="Y12962"/>
        </row>
        <row r="12963">
          <cell r="V12963"/>
          <cell r="W12963"/>
          <cell r="X12963"/>
          <cell r="Y12963"/>
        </row>
        <row r="12964">
          <cell r="V12964"/>
          <cell r="W12964"/>
          <cell r="X12964"/>
          <cell r="Y12964"/>
        </row>
        <row r="12965">
          <cell r="V12965"/>
          <cell r="W12965"/>
          <cell r="X12965"/>
          <cell r="Y12965"/>
        </row>
        <row r="12966">
          <cell r="V12966"/>
          <cell r="W12966"/>
          <cell r="X12966"/>
          <cell r="Y12966"/>
        </row>
        <row r="12967">
          <cell r="V12967"/>
          <cell r="W12967"/>
          <cell r="X12967"/>
          <cell r="Y12967"/>
        </row>
        <row r="12968">
          <cell r="V12968"/>
          <cell r="W12968"/>
          <cell r="X12968"/>
          <cell r="Y12968"/>
        </row>
        <row r="12969">
          <cell r="V12969"/>
          <cell r="W12969"/>
          <cell r="X12969"/>
          <cell r="Y12969"/>
        </row>
        <row r="12970">
          <cell r="V12970"/>
          <cell r="W12970"/>
          <cell r="X12970"/>
          <cell r="Y12970"/>
        </row>
        <row r="12971">
          <cell r="V12971"/>
          <cell r="W12971"/>
          <cell r="X12971"/>
          <cell r="Y12971"/>
        </row>
        <row r="12972">
          <cell r="V12972"/>
          <cell r="W12972"/>
          <cell r="X12972"/>
          <cell r="Y12972"/>
        </row>
        <row r="12973">
          <cell r="V12973"/>
          <cell r="W12973"/>
          <cell r="X12973"/>
          <cell r="Y12973"/>
        </row>
        <row r="12974">
          <cell r="V12974"/>
          <cell r="W12974"/>
          <cell r="X12974"/>
          <cell r="Y12974"/>
        </row>
        <row r="12975">
          <cell r="V12975"/>
          <cell r="W12975"/>
          <cell r="X12975"/>
          <cell r="Y12975"/>
        </row>
        <row r="12976">
          <cell r="V12976"/>
          <cell r="W12976"/>
          <cell r="X12976"/>
          <cell r="Y12976"/>
        </row>
        <row r="12977">
          <cell r="V12977"/>
          <cell r="W12977"/>
          <cell r="X12977"/>
          <cell r="Y12977"/>
        </row>
        <row r="12978">
          <cell r="V12978"/>
          <cell r="W12978"/>
          <cell r="X12978"/>
          <cell r="Y12978"/>
        </row>
        <row r="12979">
          <cell r="V12979"/>
          <cell r="W12979"/>
          <cell r="X12979"/>
          <cell r="Y12979"/>
        </row>
        <row r="12980">
          <cell r="V12980"/>
          <cell r="W12980"/>
          <cell r="X12980"/>
          <cell r="Y12980"/>
        </row>
        <row r="12981">
          <cell r="V12981"/>
          <cell r="W12981"/>
          <cell r="X12981"/>
          <cell r="Y12981"/>
        </row>
        <row r="12982">
          <cell r="V12982"/>
          <cell r="W12982"/>
          <cell r="X12982"/>
          <cell r="Y12982"/>
        </row>
        <row r="12983">
          <cell r="V12983"/>
          <cell r="W12983"/>
          <cell r="X12983"/>
          <cell r="Y12983"/>
        </row>
        <row r="12984">
          <cell r="V12984"/>
          <cell r="W12984"/>
          <cell r="X12984"/>
          <cell r="Y12984"/>
        </row>
        <row r="12985">
          <cell r="V12985"/>
          <cell r="W12985"/>
          <cell r="X12985"/>
          <cell r="Y12985"/>
        </row>
        <row r="12986">
          <cell r="V12986"/>
          <cell r="W12986"/>
          <cell r="X12986"/>
          <cell r="Y12986"/>
        </row>
        <row r="12987">
          <cell r="V12987"/>
          <cell r="W12987"/>
          <cell r="X12987"/>
          <cell r="Y12987"/>
        </row>
        <row r="12988">
          <cell r="V12988"/>
          <cell r="W12988"/>
          <cell r="X12988"/>
          <cell r="Y12988"/>
        </row>
        <row r="12989">
          <cell r="V12989"/>
          <cell r="W12989"/>
          <cell r="X12989"/>
          <cell r="Y12989"/>
        </row>
        <row r="12990">
          <cell r="V12990"/>
          <cell r="W12990"/>
          <cell r="X12990"/>
          <cell r="Y12990"/>
        </row>
        <row r="12991">
          <cell r="V12991"/>
          <cell r="W12991"/>
          <cell r="X12991"/>
          <cell r="Y12991"/>
        </row>
        <row r="12992">
          <cell r="V12992"/>
          <cell r="W12992"/>
          <cell r="X12992"/>
          <cell r="Y12992"/>
        </row>
        <row r="12993">
          <cell r="V12993"/>
          <cell r="W12993"/>
          <cell r="X12993"/>
          <cell r="Y12993"/>
        </row>
        <row r="12994">
          <cell r="V12994"/>
          <cell r="W12994"/>
          <cell r="X12994"/>
          <cell r="Y12994"/>
        </row>
        <row r="12995">
          <cell r="V12995"/>
          <cell r="W12995"/>
          <cell r="X12995"/>
          <cell r="Y12995"/>
        </row>
        <row r="12996">
          <cell r="V12996"/>
          <cell r="W12996"/>
          <cell r="X12996"/>
          <cell r="Y12996"/>
        </row>
        <row r="12997">
          <cell r="V12997"/>
          <cell r="W12997"/>
          <cell r="X12997"/>
          <cell r="Y12997"/>
        </row>
        <row r="12998">
          <cell r="V12998"/>
          <cell r="W12998"/>
          <cell r="X12998"/>
          <cell r="Y12998"/>
        </row>
        <row r="12999">
          <cell r="V12999"/>
          <cell r="W12999"/>
          <cell r="X12999"/>
          <cell r="Y12999"/>
        </row>
        <row r="13000">
          <cell r="V13000"/>
          <cell r="W13000"/>
          <cell r="X13000"/>
          <cell r="Y13000"/>
        </row>
        <row r="13001">
          <cell r="V13001"/>
          <cell r="W13001"/>
          <cell r="X13001"/>
          <cell r="Y13001"/>
        </row>
        <row r="13002">
          <cell r="V13002"/>
          <cell r="W13002"/>
          <cell r="X13002"/>
          <cell r="Y13002"/>
        </row>
        <row r="13003">
          <cell r="V13003"/>
          <cell r="W13003"/>
          <cell r="X13003"/>
          <cell r="Y13003"/>
        </row>
        <row r="13004">
          <cell r="V13004"/>
          <cell r="W13004"/>
          <cell r="X13004"/>
          <cell r="Y13004"/>
        </row>
        <row r="13005">
          <cell r="V13005"/>
          <cell r="W13005"/>
          <cell r="X13005"/>
          <cell r="Y13005"/>
        </row>
        <row r="13006">
          <cell r="V13006"/>
          <cell r="W13006"/>
          <cell r="X13006"/>
          <cell r="Y13006"/>
        </row>
        <row r="13007">
          <cell r="V13007"/>
          <cell r="W13007"/>
          <cell r="X13007"/>
          <cell r="Y13007"/>
        </row>
        <row r="13008">
          <cell r="V13008"/>
          <cell r="W13008"/>
          <cell r="X13008"/>
          <cell r="Y13008"/>
        </row>
        <row r="13009">
          <cell r="V13009"/>
          <cell r="W13009"/>
          <cell r="X13009"/>
          <cell r="Y13009"/>
        </row>
        <row r="13010">
          <cell r="V13010"/>
          <cell r="W13010"/>
          <cell r="X13010"/>
          <cell r="Y13010"/>
        </row>
        <row r="13011">
          <cell r="V13011"/>
          <cell r="W13011"/>
          <cell r="X13011"/>
          <cell r="Y13011"/>
        </row>
        <row r="13012">
          <cell r="V13012"/>
          <cell r="W13012"/>
          <cell r="X13012"/>
          <cell r="Y13012"/>
        </row>
        <row r="13013">
          <cell r="V13013"/>
          <cell r="W13013"/>
          <cell r="X13013"/>
          <cell r="Y13013"/>
        </row>
        <row r="13014">
          <cell r="V13014"/>
          <cell r="W13014"/>
          <cell r="X13014"/>
          <cell r="Y13014"/>
        </row>
        <row r="13015">
          <cell r="V13015"/>
          <cell r="W13015"/>
          <cell r="X13015"/>
          <cell r="Y13015"/>
        </row>
        <row r="13016">
          <cell r="V13016"/>
          <cell r="W13016"/>
          <cell r="X13016"/>
          <cell r="Y13016"/>
        </row>
        <row r="13017">
          <cell r="V13017"/>
          <cell r="W13017"/>
          <cell r="X13017"/>
          <cell r="Y13017"/>
        </row>
        <row r="13018">
          <cell r="V13018"/>
          <cell r="W13018"/>
          <cell r="X13018"/>
          <cell r="Y13018"/>
        </row>
        <row r="13019">
          <cell r="V13019"/>
          <cell r="W13019"/>
          <cell r="X13019"/>
          <cell r="Y13019"/>
        </row>
        <row r="13020">
          <cell r="V13020"/>
          <cell r="W13020"/>
          <cell r="X13020"/>
          <cell r="Y13020"/>
        </row>
        <row r="13021">
          <cell r="V13021"/>
          <cell r="W13021"/>
          <cell r="X13021"/>
          <cell r="Y13021"/>
        </row>
        <row r="13022">
          <cell r="V13022"/>
          <cell r="W13022"/>
          <cell r="X13022"/>
          <cell r="Y13022"/>
        </row>
        <row r="13023">
          <cell r="V13023"/>
          <cell r="W13023"/>
          <cell r="X13023"/>
          <cell r="Y13023"/>
        </row>
        <row r="13024">
          <cell r="V13024"/>
          <cell r="W13024"/>
          <cell r="X13024"/>
          <cell r="Y13024"/>
        </row>
        <row r="13025">
          <cell r="V13025"/>
          <cell r="W13025"/>
          <cell r="X13025"/>
          <cell r="Y13025"/>
        </row>
        <row r="13026">
          <cell r="V13026"/>
          <cell r="W13026"/>
          <cell r="X13026"/>
          <cell r="Y13026"/>
        </row>
        <row r="13027">
          <cell r="V13027"/>
          <cell r="W13027"/>
          <cell r="X13027"/>
          <cell r="Y13027"/>
        </row>
        <row r="13028">
          <cell r="V13028"/>
          <cell r="W13028"/>
          <cell r="X13028"/>
          <cell r="Y13028"/>
        </row>
        <row r="13029">
          <cell r="V13029"/>
          <cell r="W13029"/>
          <cell r="X13029"/>
          <cell r="Y13029"/>
        </row>
        <row r="13030">
          <cell r="V13030"/>
          <cell r="W13030"/>
          <cell r="X13030"/>
          <cell r="Y13030"/>
        </row>
        <row r="13031">
          <cell r="V13031"/>
          <cell r="W13031"/>
          <cell r="X13031"/>
          <cell r="Y13031"/>
        </row>
        <row r="13032">
          <cell r="V13032"/>
          <cell r="W13032"/>
          <cell r="X13032"/>
          <cell r="Y13032"/>
        </row>
        <row r="13033">
          <cell r="V13033"/>
          <cell r="W13033"/>
          <cell r="X13033"/>
          <cell r="Y13033"/>
        </row>
        <row r="13034">
          <cell r="V13034"/>
          <cell r="W13034"/>
          <cell r="X13034"/>
          <cell r="Y13034"/>
        </row>
        <row r="13035">
          <cell r="V13035"/>
          <cell r="W13035"/>
          <cell r="X13035"/>
          <cell r="Y13035"/>
        </row>
        <row r="13036">
          <cell r="V13036"/>
          <cell r="W13036"/>
          <cell r="X13036"/>
          <cell r="Y13036"/>
        </row>
        <row r="13037">
          <cell r="V13037"/>
          <cell r="W13037"/>
          <cell r="X13037"/>
          <cell r="Y13037"/>
        </row>
        <row r="13038">
          <cell r="V13038"/>
          <cell r="W13038"/>
          <cell r="X13038"/>
          <cell r="Y13038"/>
        </row>
        <row r="13039">
          <cell r="V13039"/>
          <cell r="W13039"/>
          <cell r="X13039"/>
          <cell r="Y13039"/>
        </row>
        <row r="13040">
          <cell r="V13040"/>
          <cell r="W13040"/>
          <cell r="X13040"/>
          <cell r="Y13040"/>
        </row>
        <row r="13041">
          <cell r="V13041"/>
          <cell r="W13041"/>
          <cell r="X13041"/>
          <cell r="Y13041"/>
        </row>
        <row r="13042">
          <cell r="V13042"/>
          <cell r="W13042"/>
          <cell r="X13042"/>
          <cell r="Y13042"/>
        </row>
        <row r="13043">
          <cell r="V13043"/>
          <cell r="W13043"/>
          <cell r="X13043"/>
          <cell r="Y13043"/>
        </row>
        <row r="13044">
          <cell r="V13044"/>
          <cell r="W13044"/>
          <cell r="X13044"/>
          <cell r="Y13044"/>
        </row>
        <row r="13045">
          <cell r="V13045"/>
          <cell r="W13045"/>
          <cell r="X13045"/>
          <cell r="Y13045"/>
        </row>
        <row r="13046">
          <cell r="V13046"/>
          <cell r="W13046"/>
          <cell r="X13046"/>
          <cell r="Y13046"/>
        </row>
        <row r="13047">
          <cell r="V13047"/>
          <cell r="W13047"/>
          <cell r="X13047"/>
          <cell r="Y13047"/>
        </row>
        <row r="13048">
          <cell r="V13048"/>
          <cell r="W13048"/>
          <cell r="X13048"/>
          <cell r="Y13048"/>
        </row>
        <row r="13049">
          <cell r="V13049"/>
          <cell r="W13049"/>
          <cell r="X13049"/>
          <cell r="Y13049"/>
        </row>
        <row r="13050">
          <cell r="V13050"/>
          <cell r="W13050"/>
          <cell r="X13050"/>
          <cell r="Y13050"/>
        </row>
        <row r="13051">
          <cell r="V13051"/>
          <cell r="W13051"/>
          <cell r="X13051"/>
          <cell r="Y13051"/>
        </row>
        <row r="13052">
          <cell r="V13052"/>
          <cell r="W13052"/>
          <cell r="X13052"/>
          <cell r="Y13052"/>
        </row>
        <row r="13053">
          <cell r="V13053"/>
          <cell r="W13053"/>
          <cell r="X13053"/>
          <cell r="Y13053"/>
        </row>
        <row r="13054">
          <cell r="V13054"/>
          <cell r="W13054"/>
          <cell r="X13054"/>
          <cell r="Y13054"/>
        </row>
        <row r="13055">
          <cell r="V13055"/>
          <cell r="W13055"/>
          <cell r="X13055"/>
          <cell r="Y13055"/>
        </row>
        <row r="13056">
          <cell r="V13056"/>
          <cell r="W13056"/>
          <cell r="X13056"/>
          <cell r="Y13056"/>
        </row>
        <row r="13057">
          <cell r="V13057"/>
          <cell r="W13057"/>
          <cell r="X13057"/>
          <cell r="Y13057"/>
        </row>
        <row r="13058">
          <cell r="V13058"/>
          <cell r="W13058"/>
          <cell r="X13058"/>
          <cell r="Y13058"/>
        </row>
        <row r="13059">
          <cell r="V13059"/>
          <cell r="W13059"/>
          <cell r="X13059"/>
          <cell r="Y13059"/>
        </row>
        <row r="13060">
          <cell r="V13060"/>
          <cell r="W13060"/>
          <cell r="X13060"/>
          <cell r="Y13060"/>
        </row>
        <row r="13061">
          <cell r="V13061"/>
          <cell r="W13061"/>
          <cell r="X13061"/>
          <cell r="Y13061"/>
        </row>
        <row r="13062">
          <cell r="V13062"/>
          <cell r="W13062"/>
          <cell r="X13062"/>
          <cell r="Y13062"/>
        </row>
        <row r="13063">
          <cell r="V13063"/>
          <cell r="W13063"/>
          <cell r="X13063"/>
          <cell r="Y13063"/>
        </row>
        <row r="13064">
          <cell r="V13064"/>
          <cell r="W13064"/>
          <cell r="X13064"/>
          <cell r="Y13064"/>
        </row>
        <row r="13065">
          <cell r="V13065"/>
          <cell r="W13065"/>
          <cell r="X13065"/>
          <cell r="Y13065"/>
        </row>
        <row r="13066">
          <cell r="V13066"/>
          <cell r="W13066"/>
          <cell r="X13066"/>
          <cell r="Y13066"/>
        </row>
        <row r="13067">
          <cell r="V13067"/>
          <cell r="W13067"/>
          <cell r="X13067"/>
          <cell r="Y13067"/>
        </row>
        <row r="13068">
          <cell r="V13068"/>
          <cell r="W13068"/>
          <cell r="X13068"/>
          <cell r="Y13068"/>
        </row>
        <row r="13069">
          <cell r="V13069"/>
          <cell r="W13069"/>
          <cell r="X13069"/>
          <cell r="Y13069"/>
        </row>
        <row r="13070">
          <cell r="V13070"/>
          <cell r="W13070"/>
          <cell r="X13070"/>
          <cell r="Y13070"/>
        </row>
        <row r="13071">
          <cell r="V13071"/>
          <cell r="W13071"/>
          <cell r="X13071"/>
          <cell r="Y13071"/>
        </row>
        <row r="13072">
          <cell r="V13072"/>
          <cell r="W13072"/>
          <cell r="X13072"/>
          <cell r="Y13072"/>
        </row>
        <row r="13073">
          <cell r="V13073"/>
          <cell r="W13073"/>
          <cell r="X13073"/>
          <cell r="Y13073"/>
        </row>
        <row r="13074">
          <cell r="V13074"/>
          <cell r="W13074"/>
          <cell r="X13074"/>
          <cell r="Y13074"/>
        </row>
        <row r="13075">
          <cell r="V13075"/>
          <cell r="W13075"/>
          <cell r="X13075"/>
          <cell r="Y13075"/>
        </row>
        <row r="13076">
          <cell r="V13076"/>
          <cell r="W13076"/>
          <cell r="X13076"/>
          <cell r="Y13076"/>
        </row>
        <row r="13077">
          <cell r="V13077"/>
          <cell r="W13077"/>
          <cell r="X13077"/>
          <cell r="Y13077"/>
        </row>
        <row r="13078">
          <cell r="V13078"/>
          <cell r="W13078"/>
          <cell r="X13078"/>
          <cell r="Y13078"/>
        </row>
        <row r="13079">
          <cell r="V13079"/>
          <cell r="W13079"/>
          <cell r="X13079"/>
          <cell r="Y13079"/>
        </row>
        <row r="13080">
          <cell r="V13080"/>
          <cell r="W13080"/>
          <cell r="X13080"/>
          <cell r="Y13080"/>
        </row>
        <row r="13081">
          <cell r="V13081"/>
          <cell r="W13081"/>
          <cell r="X13081"/>
          <cell r="Y13081"/>
        </row>
        <row r="13082">
          <cell r="V13082"/>
          <cell r="W13082"/>
          <cell r="X13082"/>
          <cell r="Y13082"/>
        </row>
        <row r="13083">
          <cell r="V13083"/>
          <cell r="W13083"/>
          <cell r="X13083"/>
          <cell r="Y13083"/>
        </row>
        <row r="13084">
          <cell r="V13084"/>
          <cell r="W13084"/>
          <cell r="X13084"/>
          <cell r="Y13084"/>
        </row>
        <row r="13085">
          <cell r="V13085"/>
          <cell r="W13085"/>
          <cell r="X13085"/>
          <cell r="Y13085"/>
        </row>
        <row r="13086">
          <cell r="V13086"/>
          <cell r="W13086"/>
          <cell r="X13086"/>
          <cell r="Y13086"/>
        </row>
        <row r="13087">
          <cell r="V13087"/>
          <cell r="W13087"/>
          <cell r="X13087"/>
          <cell r="Y13087"/>
        </row>
        <row r="13088">
          <cell r="V13088"/>
          <cell r="W13088"/>
          <cell r="X13088"/>
          <cell r="Y13088"/>
        </row>
        <row r="13089">
          <cell r="V13089"/>
          <cell r="W13089"/>
          <cell r="X13089"/>
          <cell r="Y13089"/>
        </row>
        <row r="13090">
          <cell r="V13090"/>
          <cell r="W13090"/>
          <cell r="X13090"/>
          <cell r="Y13090"/>
        </row>
        <row r="13091">
          <cell r="V13091"/>
          <cell r="W13091"/>
          <cell r="X13091"/>
          <cell r="Y13091"/>
        </row>
        <row r="13092">
          <cell r="V13092"/>
          <cell r="W13092"/>
          <cell r="X13092"/>
          <cell r="Y13092"/>
        </row>
        <row r="13093">
          <cell r="V13093"/>
          <cell r="W13093"/>
          <cell r="X13093"/>
          <cell r="Y13093"/>
        </row>
        <row r="13094">
          <cell r="V13094"/>
          <cell r="W13094"/>
          <cell r="X13094"/>
          <cell r="Y13094"/>
        </row>
        <row r="13095">
          <cell r="V13095"/>
          <cell r="W13095"/>
          <cell r="X13095"/>
          <cell r="Y13095"/>
        </row>
        <row r="13096">
          <cell r="V13096"/>
          <cell r="W13096"/>
          <cell r="X13096"/>
          <cell r="Y13096"/>
        </row>
        <row r="13097">
          <cell r="V13097"/>
          <cell r="W13097"/>
          <cell r="X13097"/>
          <cell r="Y13097"/>
        </row>
        <row r="13098">
          <cell r="V13098"/>
          <cell r="W13098"/>
          <cell r="X13098"/>
          <cell r="Y13098"/>
        </row>
        <row r="13099">
          <cell r="V13099"/>
          <cell r="W13099"/>
          <cell r="X13099"/>
          <cell r="Y13099"/>
        </row>
        <row r="13100">
          <cell r="V13100"/>
          <cell r="W13100"/>
          <cell r="X13100"/>
          <cell r="Y13100"/>
        </row>
        <row r="13101">
          <cell r="V13101"/>
          <cell r="W13101"/>
          <cell r="X13101"/>
          <cell r="Y13101"/>
        </row>
        <row r="13102">
          <cell r="V13102"/>
          <cell r="W13102"/>
          <cell r="X13102"/>
          <cell r="Y13102"/>
        </row>
        <row r="13103">
          <cell r="V13103"/>
          <cell r="W13103"/>
          <cell r="X13103"/>
          <cell r="Y13103"/>
        </row>
        <row r="13104">
          <cell r="V13104"/>
          <cell r="W13104"/>
          <cell r="X13104"/>
          <cell r="Y13104"/>
        </row>
        <row r="13105">
          <cell r="V13105"/>
          <cell r="W13105"/>
          <cell r="X13105"/>
          <cell r="Y13105"/>
        </row>
        <row r="13106">
          <cell r="V13106"/>
          <cell r="W13106"/>
          <cell r="X13106"/>
          <cell r="Y13106"/>
        </row>
        <row r="13107">
          <cell r="V13107"/>
          <cell r="W13107"/>
          <cell r="X13107"/>
          <cell r="Y13107"/>
        </row>
        <row r="13108">
          <cell r="V13108"/>
          <cell r="W13108"/>
          <cell r="X13108"/>
          <cell r="Y13108"/>
        </row>
        <row r="13109">
          <cell r="V13109"/>
          <cell r="W13109"/>
          <cell r="X13109"/>
          <cell r="Y13109"/>
        </row>
        <row r="13110">
          <cell r="V13110"/>
          <cell r="W13110"/>
          <cell r="X13110"/>
          <cell r="Y13110"/>
        </row>
        <row r="13111">
          <cell r="V13111"/>
          <cell r="W13111"/>
          <cell r="X13111"/>
          <cell r="Y13111"/>
        </row>
        <row r="13112">
          <cell r="V13112"/>
          <cell r="W13112"/>
          <cell r="X13112"/>
          <cell r="Y13112"/>
        </row>
        <row r="13113">
          <cell r="V13113"/>
          <cell r="W13113"/>
          <cell r="X13113"/>
          <cell r="Y13113"/>
        </row>
        <row r="13114">
          <cell r="V13114"/>
          <cell r="W13114"/>
          <cell r="X13114"/>
          <cell r="Y13114"/>
        </row>
        <row r="13115">
          <cell r="V13115"/>
          <cell r="W13115"/>
          <cell r="X13115"/>
          <cell r="Y13115"/>
        </row>
        <row r="13116">
          <cell r="V13116"/>
          <cell r="W13116"/>
          <cell r="X13116"/>
          <cell r="Y13116"/>
        </row>
        <row r="13117">
          <cell r="V13117"/>
          <cell r="W13117"/>
          <cell r="X13117"/>
          <cell r="Y13117"/>
        </row>
        <row r="13118">
          <cell r="V13118"/>
          <cell r="W13118"/>
          <cell r="X13118"/>
          <cell r="Y13118"/>
        </row>
        <row r="13119">
          <cell r="V13119"/>
          <cell r="W13119"/>
          <cell r="X13119"/>
          <cell r="Y13119"/>
        </row>
        <row r="13120">
          <cell r="V13120"/>
          <cell r="W13120"/>
          <cell r="X13120"/>
          <cell r="Y13120"/>
        </row>
        <row r="13121">
          <cell r="V13121"/>
          <cell r="W13121"/>
          <cell r="X13121"/>
          <cell r="Y13121"/>
        </row>
        <row r="13122">
          <cell r="V13122"/>
          <cell r="W13122"/>
          <cell r="X13122"/>
          <cell r="Y13122"/>
        </row>
        <row r="13123">
          <cell r="V13123"/>
          <cell r="W13123"/>
          <cell r="X13123"/>
          <cell r="Y13123"/>
        </row>
        <row r="13124">
          <cell r="V13124"/>
          <cell r="W13124"/>
          <cell r="X13124"/>
          <cell r="Y13124"/>
        </row>
        <row r="13125">
          <cell r="V13125"/>
          <cell r="W13125"/>
          <cell r="X13125"/>
          <cell r="Y13125"/>
        </row>
        <row r="13126">
          <cell r="V13126"/>
          <cell r="W13126"/>
          <cell r="X13126"/>
          <cell r="Y13126"/>
        </row>
        <row r="13127">
          <cell r="V13127"/>
          <cell r="W13127"/>
          <cell r="X13127"/>
          <cell r="Y13127"/>
        </row>
        <row r="13128">
          <cell r="V13128"/>
          <cell r="W13128"/>
          <cell r="X13128"/>
          <cell r="Y13128"/>
        </row>
        <row r="13129">
          <cell r="V13129"/>
          <cell r="W13129"/>
          <cell r="X13129"/>
          <cell r="Y13129"/>
        </row>
        <row r="13130">
          <cell r="V13130"/>
          <cell r="W13130"/>
          <cell r="X13130"/>
          <cell r="Y13130"/>
        </row>
        <row r="13131">
          <cell r="V13131"/>
          <cell r="W13131"/>
          <cell r="X13131"/>
          <cell r="Y13131"/>
        </row>
        <row r="13132">
          <cell r="V13132"/>
          <cell r="W13132"/>
          <cell r="X13132"/>
          <cell r="Y13132"/>
        </row>
        <row r="13133">
          <cell r="V13133"/>
          <cell r="W13133"/>
          <cell r="X13133"/>
          <cell r="Y13133"/>
        </row>
        <row r="13134">
          <cell r="V13134"/>
          <cell r="W13134"/>
          <cell r="X13134"/>
          <cell r="Y13134"/>
        </row>
        <row r="13135">
          <cell r="V13135"/>
          <cell r="W13135"/>
          <cell r="X13135"/>
          <cell r="Y13135"/>
        </row>
        <row r="13136">
          <cell r="V13136"/>
          <cell r="W13136"/>
          <cell r="X13136"/>
          <cell r="Y13136"/>
        </row>
        <row r="13137">
          <cell r="V13137"/>
          <cell r="W13137"/>
          <cell r="X13137"/>
          <cell r="Y13137"/>
        </row>
        <row r="13138">
          <cell r="V13138"/>
          <cell r="W13138"/>
          <cell r="X13138"/>
          <cell r="Y13138"/>
        </row>
        <row r="13139">
          <cell r="V13139"/>
          <cell r="W13139"/>
          <cell r="X13139"/>
          <cell r="Y13139"/>
        </row>
        <row r="13140">
          <cell r="V13140"/>
          <cell r="W13140"/>
          <cell r="X13140"/>
          <cell r="Y13140"/>
        </row>
        <row r="13141">
          <cell r="V13141"/>
          <cell r="W13141"/>
          <cell r="X13141"/>
          <cell r="Y13141"/>
        </row>
        <row r="13142">
          <cell r="V13142"/>
          <cell r="W13142"/>
          <cell r="X13142"/>
          <cell r="Y13142"/>
        </row>
        <row r="13143">
          <cell r="V13143"/>
          <cell r="W13143"/>
          <cell r="X13143"/>
          <cell r="Y13143"/>
        </row>
        <row r="13144">
          <cell r="V13144"/>
          <cell r="W13144"/>
          <cell r="X13144"/>
          <cell r="Y13144"/>
        </row>
        <row r="13145">
          <cell r="V13145"/>
          <cell r="W13145"/>
          <cell r="X13145"/>
          <cell r="Y13145"/>
        </row>
        <row r="13146">
          <cell r="V13146"/>
          <cell r="W13146"/>
          <cell r="X13146"/>
          <cell r="Y13146"/>
        </row>
        <row r="13147">
          <cell r="V13147"/>
          <cell r="W13147"/>
          <cell r="X13147"/>
          <cell r="Y13147"/>
        </row>
        <row r="13148">
          <cell r="V13148"/>
          <cell r="W13148"/>
          <cell r="X13148"/>
          <cell r="Y13148"/>
        </row>
        <row r="13149">
          <cell r="V13149"/>
          <cell r="W13149"/>
          <cell r="X13149"/>
          <cell r="Y13149"/>
        </row>
        <row r="13150">
          <cell r="V13150"/>
          <cell r="W13150"/>
          <cell r="X13150"/>
          <cell r="Y13150"/>
        </row>
        <row r="13151">
          <cell r="V13151"/>
          <cell r="W13151"/>
          <cell r="X13151"/>
          <cell r="Y13151"/>
        </row>
        <row r="13152">
          <cell r="V13152"/>
          <cell r="W13152"/>
          <cell r="X13152"/>
          <cell r="Y13152"/>
        </row>
        <row r="13153">
          <cell r="V13153"/>
          <cell r="W13153"/>
          <cell r="X13153"/>
          <cell r="Y13153"/>
        </row>
        <row r="13154">
          <cell r="V13154"/>
          <cell r="W13154"/>
          <cell r="X13154"/>
          <cell r="Y13154"/>
        </row>
        <row r="13155">
          <cell r="V13155"/>
          <cell r="W13155"/>
          <cell r="X13155"/>
          <cell r="Y13155"/>
        </row>
        <row r="13156">
          <cell r="V13156"/>
          <cell r="W13156"/>
          <cell r="X13156"/>
          <cell r="Y13156"/>
        </row>
        <row r="13157">
          <cell r="V13157"/>
          <cell r="W13157"/>
          <cell r="X13157"/>
          <cell r="Y13157"/>
        </row>
        <row r="13158">
          <cell r="V13158"/>
          <cell r="W13158"/>
          <cell r="X13158"/>
          <cell r="Y13158"/>
        </row>
        <row r="13159">
          <cell r="V13159"/>
          <cell r="W13159"/>
          <cell r="X13159"/>
          <cell r="Y13159"/>
        </row>
        <row r="13160">
          <cell r="V13160"/>
          <cell r="W13160"/>
          <cell r="X13160"/>
          <cell r="Y13160"/>
        </row>
        <row r="13161">
          <cell r="V13161"/>
          <cell r="W13161"/>
          <cell r="X13161"/>
          <cell r="Y13161"/>
        </row>
        <row r="13162">
          <cell r="V13162"/>
          <cell r="W13162"/>
          <cell r="X13162"/>
          <cell r="Y13162"/>
        </row>
        <row r="13163">
          <cell r="V13163"/>
          <cell r="W13163"/>
          <cell r="X13163"/>
          <cell r="Y13163"/>
        </row>
        <row r="13164">
          <cell r="V13164"/>
          <cell r="W13164"/>
          <cell r="X13164"/>
          <cell r="Y13164"/>
        </row>
        <row r="13165">
          <cell r="V13165"/>
          <cell r="W13165"/>
          <cell r="X13165"/>
          <cell r="Y13165"/>
        </row>
        <row r="13166">
          <cell r="V13166"/>
          <cell r="W13166"/>
          <cell r="X13166"/>
          <cell r="Y13166"/>
        </row>
        <row r="13167">
          <cell r="V13167"/>
          <cell r="W13167"/>
          <cell r="X13167"/>
          <cell r="Y13167"/>
        </row>
        <row r="13168">
          <cell r="V13168"/>
          <cell r="W13168"/>
          <cell r="X13168"/>
          <cell r="Y13168"/>
        </row>
        <row r="13169">
          <cell r="V13169"/>
          <cell r="W13169"/>
          <cell r="X13169"/>
          <cell r="Y13169"/>
        </row>
        <row r="13170">
          <cell r="V13170"/>
          <cell r="W13170"/>
          <cell r="X13170"/>
          <cell r="Y13170"/>
        </row>
        <row r="13171">
          <cell r="V13171"/>
          <cell r="W13171"/>
          <cell r="X13171"/>
          <cell r="Y13171"/>
        </row>
        <row r="13172">
          <cell r="V13172"/>
          <cell r="W13172"/>
          <cell r="X13172"/>
          <cell r="Y13172"/>
        </row>
        <row r="13173">
          <cell r="V13173"/>
          <cell r="W13173"/>
          <cell r="X13173"/>
          <cell r="Y13173"/>
        </row>
        <row r="13174">
          <cell r="V13174"/>
          <cell r="W13174"/>
          <cell r="X13174"/>
          <cell r="Y13174"/>
        </row>
        <row r="13175">
          <cell r="V13175"/>
          <cell r="W13175"/>
          <cell r="X13175"/>
          <cell r="Y13175"/>
        </row>
        <row r="13176">
          <cell r="V13176"/>
          <cell r="W13176"/>
          <cell r="X13176"/>
          <cell r="Y13176"/>
        </row>
        <row r="13177">
          <cell r="V13177"/>
          <cell r="W13177"/>
          <cell r="X13177"/>
          <cell r="Y13177"/>
        </row>
        <row r="13178">
          <cell r="V13178"/>
          <cell r="W13178"/>
          <cell r="X13178"/>
          <cell r="Y13178"/>
        </row>
        <row r="13179">
          <cell r="V13179"/>
          <cell r="W13179"/>
          <cell r="X13179"/>
          <cell r="Y13179"/>
        </row>
        <row r="13180">
          <cell r="V13180"/>
          <cell r="W13180"/>
          <cell r="X13180"/>
          <cell r="Y13180"/>
        </row>
        <row r="13181">
          <cell r="V13181"/>
          <cell r="W13181"/>
          <cell r="X13181"/>
          <cell r="Y13181"/>
        </row>
        <row r="13182">
          <cell r="V13182"/>
          <cell r="W13182"/>
          <cell r="X13182"/>
          <cell r="Y13182"/>
        </row>
        <row r="13183">
          <cell r="V13183"/>
          <cell r="W13183"/>
          <cell r="X13183"/>
          <cell r="Y13183"/>
        </row>
        <row r="13184">
          <cell r="V13184"/>
          <cell r="W13184"/>
          <cell r="X13184"/>
          <cell r="Y13184"/>
        </row>
        <row r="13185">
          <cell r="V13185"/>
          <cell r="W13185"/>
          <cell r="X13185"/>
          <cell r="Y13185"/>
        </row>
        <row r="13186">
          <cell r="V13186"/>
          <cell r="W13186"/>
          <cell r="X13186"/>
          <cell r="Y13186"/>
        </row>
        <row r="13187">
          <cell r="V13187"/>
          <cell r="W13187"/>
          <cell r="X13187"/>
          <cell r="Y13187"/>
        </row>
        <row r="13188">
          <cell r="V13188"/>
          <cell r="W13188"/>
          <cell r="X13188"/>
          <cell r="Y13188"/>
        </row>
        <row r="13189">
          <cell r="V13189"/>
          <cell r="W13189"/>
          <cell r="X13189"/>
          <cell r="Y13189"/>
        </row>
        <row r="13190">
          <cell r="V13190"/>
          <cell r="W13190"/>
          <cell r="X13190"/>
          <cell r="Y13190"/>
        </row>
        <row r="13191">
          <cell r="V13191"/>
          <cell r="W13191"/>
          <cell r="X13191"/>
          <cell r="Y13191"/>
        </row>
        <row r="13192">
          <cell r="V13192"/>
          <cell r="W13192"/>
          <cell r="X13192"/>
          <cell r="Y13192"/>
        </row>
        <row r="13193">
          <cell r="V13193"/>
          <cell r="W13193"/>
          <cell r="X13193"/>
          <cell r="Y13193"/>
        </row>
        <row r="13194">
          <cell r="V13194"/>
          <cell r="W13194"/>
          <cell r="X13194"/>
          <cell r="Y13194"/>
        </row>
        <row r="13195">
          <cell r="V13195"/>
          <cell r="W13195"/>
          <cell r="X13195"/>
          <cell r="Y13195"/>
        </row>
        <row r="13196">
          <cell r="V13196"/>
          <cell r="W13196"/>
          <cell r="X13196"/>
          <cell r="Y13196"/>
        </row>
        <row r="13197">
          <cell r="V13197"/>
          <cell r="W13197"/>
          <cell r="X13197"/>
          <cell r="Y13197"/>
        </row>
        <row r="13198">
          <cell r="V13198"/>
          <cell r="W13198"/>
          <cell r="X13198"/>
          <cell r="Y13198"/>
        </row>
        <row r="13199">
          <cell r="V13199"/>
          <cell r="W13199"/>
          <cell r="X13199"/>
          <cell r="Y13199"/>
        </row>
        <row r="13200">
          <cell r="V13200"/>
          <cell r="W13200"/>
          <cell r="X13200"/>
          <cell r="Y13200"/>
        </row>
        <row r="13201">
          <cell r="V13201"/>
          <cell r="W13201"/>
          <cell r="X13201"/>
          <cell r="Y13201"/>
        </row>
        <row r="13202">
          <cell r="V13202"/>
          <cell r="W13202"/>
          <cell r="X13202"/>
          <cell r="Y13202"/>
        </row>
        <row r="13203">
          <cell r="V13203"/>
          <cell r="W13203"/>
          <cell r="X13203"/>
          <cell r="Y13203"/>
        </row>
        <row r="13204">
          <cell r="V13204"/>
          <cell r="W13204"/>
          <cell r="X13204"/>
          <cell r="Y13204"/>
        </row>
        <row r="13205">
          <cell r="V13205"/>
          <cell r="W13205"/>
          <cell r="X13205"/>
          <cell r="Y13205"/>
        </row>
        <row r="13206">
          <cell r="V13206"/>
          <cell r="W13206"/>
          <cell r="X13206"/>
          <cell r="Y13206"/>
        </row>
        <row r="13207">
          <cell r="V13207"/>
          <cell r="W13207"/>
          <cell r="X13207"/>
          <cell r="Y13207"/>
        </row>
        <row r="13208">
          <cell r="V13208"/>
          <cell r="W13208"/>
          <cell r="X13208"/>
          <cell r="Y13208"/>
        </row>
        <row r="13209">
          <cell r="V13209"/>
          <cell r="W13209"/>
          <cell r="X13209"/>
          <cell r="Y13209"/>
        </row>
        <row r="13210">
          <cell r="V13210"/>
          <cell r="W13210"/>
          <cell r="X13210"/>
          <cell r="Y13210"/>
        </row>
        <row r="13211">
          <cell r="V13211"/>
          <cell r="W13211"/>
          <cell r="X13211"/>
          <cell r="Y13211"/>
        </row>
        <row r="13212">
          <cell r="V13212"/>
          <cell r="W13212"/>
          <cell r="X13212"/>
          <cell r="Y13212"/>
        </row>
        <row r="13213">
          <cell r="V13213"/>
          <cell r="W13213"/>
          <cell r="X13213"/>
          <cell r="Y13213"/>
        </row>
        <row r="13214">
          <cell r="V13214"/>
          <cell r="W13214"/>
          <cell r="X13214"/>
          <cell r="Y13214"/>
        </row>
        <row r="13215">
          <cell r="V13215"/>
          <cell r="W13215"/>
          <cell r="X13215"/>
          <cell r="Y13215"/>
        </row>
        <row r="13216">
          <cell r="V13216"/>
          <cell r="W13216"/>
          <cell r="X13216"/>
          <cell r="Y13216"/>
        </row>
        <row r="13217">
          <cell r="V13217"/>
          <cell r="W13217"/>
          <cell r="X13217"/>
          <cell r="Y13217"/>
        </row>
        <row r="13218">
          <cell r="V13218"/>
          <cell r="W13218"/>
          <cell r="X13218"/>
          <cell r="Y13218"/>
        </row>
        <row r="13219">
          <cell r="V13219"/>
          <cell r="W13219"/>
          <cell r="X13219"/>
          <cell r="Y13219"/>
        </row>
        <row r="13220">
          <cell r="V13220"/>
          <cell r="W13220"/>
          <cell r="X13220"/>
          <cell r="Y13220"/>
        </row>
        <row r="13221">
          <cell r="V13221"/>
          <cell r="W13221"/>
          <cell r="X13221"/>
          <cell r="Y13221"/>
        </row>
        <row r="13222">
          <cell r="V13222"/>
          <cell r="W13222"/>
          <cell r="X13222"/>
          <cell r="Y13222"/>
        </row>
        <row r="13223">
          <cell r="V13223"/>
          <cell r="W13223"/>
          <cell r="X13223"/>
          <cell r="Y13223"/>
        </row>
        <row r="13224">
          <cell r="V13224"/>
          <cell r="W13224"/>
          <cell r="X13224"/>
          <cell r="Y13224"/>
        </row>
        <row r="13225">
          <cell r="V13225"/>
          <cell r="W13225"/>
          <cell r="X13225"/>
          <cell r="Y13225"/>
        </row>
        <row r="13226">
          <cell r="V13226"/>
          <cell r="W13226"/>
          <cell r="X13226"/>
          <cell r="Y13226"/>
        </row>
        <row r="13227">
          <cell r="V13227"/>
          <cell r="W13227"/>
          <cell r="X13227"/>
          <cell r="Y13227"/>
        </row>
        <row r="13228">
          <cell r="V13228"/>
          <cell r="W13228"/>
          <cell r="X13228"/>
          <cell r="Y13228"/>
        </row>
        <row r="13229">
          <cell r="V13229"/>
          <cell r="W13229"/>
          <cell r="X13229"/>
          <cell r="Y13229"/>
        </row>
        <row r="13230">
          <cell r="V13230"/>
          <cell r="W13230"/>
          <cell r="X13230"/>
          <cell r="Y13230"/>
        </row>
        <row r="13231">
          <cell r="V13231"/>
          <cell r="W13231"/>
          <cell r="X13231"/>
          <cell r="Y13231"/>
        </row>
        <row r="13232">
          <cell r="V13232"/>
          <cell r="W13232"/>
          <cell r="X13232"/>
          <cell r="Y13232"/>
        </row>
        <row r="13233">
          <cell r="V13233"/>
          <cell r="W13233"/>
          <cell r="X13233"/>
          <cell r="Y13233"/>
        </row>
        <row r="13234">
          <cell r="V13234"/>
          <cell r="W13234"/>
          <cell r="X13234"/>
          <cell r="Y13234"/>
        </row>
        <row r="13235">
          <cell r="V13235"/>
          <cell r="W13235"/>
          <cell r="X13235"/>
          <cell r="Y13235"/>
        </row>
        <row r="13236">
          <cell r="V13236"/>
          <cell r="W13236"/>
          <cell r="X13236"/>
          <cell r="Y13236"/>
        </row>
        <row r="13237">
          <cell r="V13237"/>
          <cell r="W13237"/>
          <cell r="X13237"/>
          <cell r="Y13237"/>
        </row>
        <row r="13238">
          <cell r="V13238"/>
          <cell r="W13238"/>
          <cell r="X13238"/>
          <cell r="Y13238"/>
        </row>
        <row r="13239">
          <cell r="V13239"/>
          <cell r="W13239"/>
          <cell r="X13239"/>
          <cell r="Y13239"/>
        </row>
        <row r="13240">
          <cell r="V13240"/>
          <cell r="W13240"/>
          <cell r="X13240"/>
          <cell r="Y13240"/>
        </row>
        <row r="13241">
          <cell r="V13241"/>
          <cell r="W13241"/>
          <cell r="X13241"/>
          <cell r="Y13241"/>
        </row>
        <row r="13242">
          <cell r="V13242"/>
          <cell r="W13242"/>
          <cell r="X13242"/>
          <cell r="Y13242"/>
        </row>
        <row r="13243">
          <cell r="V13243"/>
          <cell r="W13243"/>
          <cell r="X13243"/>
          <cell r="Y13243"/>
        </row>
        <row r="13244">
          <cell r="V13244"/>
          <cell r="W13244"/>
          <cell r="X13244"/>
          <cell r="Y13244"/>
        </row>
        <row r="13245">
          <cell r="V13245"/>
          <cell r="W13245"/>
          <cell r="X13245"/>
          <cell r="Y13245"/>
        </row>
        <row r="13246">
          <cell r="V13246"/>
          <cell r="W13246"/>
          <cell r="X13246"/>
          <cell r="Y13246"/>
        </row>
        <row r="13247">
          <cell r="V13247"/>
          <cell r="W13247"/>
          <cell r="X13247"/>
          <cell r="Y13247"/>
        </row>
        <row r="13248">
          <cell r="V13248"/>
          <cell r="W13248"/>
          <cell r="X13248"/>
          <cell r="Y13248"/>
        </row>
        <row r="13249">
          <cell r="V13249"/>
          <cell r="W13249"/>
          <cell r="X13249"/>
          <cell r="Y13249"/>
        </row>
        <row r="13250">
          <cell r="V13250"/>
          <cell r="W13250"/>
          <cell r="X13250"/>
          <cell r="Y13250"/>
        </row>
        <row r="13251">
          <cell r="V13251"/>
          <cell r="W13251"/>
          <cell r="X13251"/>
          <cell r="Y13251"/>
        </row>
        <row r="13252">
          <cell r="V13252"/>
          <cell r="W13252"/>
          <cell r="X13252"/>
          <cell r="Y13252"/>
        </row>
        <row r="13253">
          <cell r="V13253"/>
          <cell r="W13253"/>
          <cell r="X13253"/>
          <cell r="Y13253"/>
        </row>
        <row r="13254">
          <cell r="V13254"/>
          <cell r="W13254"/>
          <cell r="X13254"/>
          <cell r="Y13254"/>
        </row>
        <row r="13255">
          <cell r="V13255"/>
          <cell r="W13255"/>
          <cell r="X13255"/>
          <cell r="Y13255"/>
        </row>
        <row r="13256">
          <cell r="V13256"/>
          <cell r="W13256"/>
          <cell r="X13256"/>
          <cell r="Y13256"/>
        </row>
        <row r="13257">
          <cell r="V13257"/>
          <cell r="W13257"/>
          <cell r="X13257"/>
          <cell r="Y13257"/>
        </row>
        <row r="13258">
          <cell r="V13258"/>
          <cell r="W13258"/>
          <cell r="X13258"/>
          <cell r="Y13258"/>
        </row>
        <row r="13259">
          <cell r="V13259"/>
          <cell r="W13259"/>
          <cell r="X13259"/>
          <cell r="Y13259"/>
        </row>
        <row r="13260">
          <cell r="V13260"/>
          <cell r="W13260"/>
          <cell r="X13260"/>
          <cell r="Y13260"/>
        </row>
        <row r="13261">
          <cell r="V13261"/>
          <cell r="W13261"/>
          <cell r="X13261"/>
          <cell r="Y13261"/>
        </row>
        <row r="13262">
          <cell r="V13262"/>
          <cell r="W13262"/>
          <cell r="X13262"/>
          <cell r="Y13262"/>
        </row>
        <row r="13263">
          <cell r="V13263"/>
          <cell r="W13263"/>
          <cell r="X13263"/>
          <cell r="Y13263"/>
        </row>
        <row r="13264">
          <cell r="V13264"/>
          <cell r="W13264"/>
          <cell r="X13264"/>
          <cell r="Y13264"/>
        </row>
        <row r="13265">
          <cell r="V13265"/>
          <cell r="W13265"/>
          <cell r="X13265"/>
          <cell r="Y13265"/>
        </row>
        <row r="13266">
          <cell r="V13266"/>
          <cell r="W13266"/>
          <cell r="X13266"/>
          <cell r="Y13266"/>
        </row>
        <row r="13267">
          <cell r="V13267"/>
          <cell r="W13267"/>
          <cell r="X13267"/>
          <cell r="Y13267"/>
        </row>
        <row r="13268">
          <cell r="V13268"/>
          <cell r="W13268"/>
          <cell r="X13268"/>
          <cell r="Y13268"/>
        </row>
        <row r="13269">
          <cell r="V13269"/>
          <cell r="W13269"/>
          <cell r="X13269"/>
          <cell r="Y13269"/>
        </row>
        <row r="13270">
          <cell r="V13270"/>
          <cell r="W13270"/>
          <cell r="X13270"/>
          <cell r="Y13270"/>
        </row>
        <row r="13271">
          <cell r="V13271"/>
          <cell r="W13271"/>
          <cell r="X13271"/>
          <cell r="Y13271"/>
        </row>
        <row r="13272">
          <cell r="V13272"/>
          <cell r="W13272"/>
          <cell r="X13272"/>
          <cell r="Y13272"/>
        </row>
        <row r="13273">
          <cell r="V13273"/>
          <cell r="W13273"/>
          <cell r="X13273"/>
          <cell r="Y13273"/>
        </row>
        <row r="13274">
          <cell r="V13274"/>
          <cell r="W13274"/>
          <cell r="X13274"/>
          <cell r="Y13274"/>
        </row>
        <row r="13275">
          <cell r="V13275"/>
          <cell r="W13275"/>
          <cell r="X13275"/>
          <cell r="Y13275"/>
        </row>
        <row r="13276">
          <cell r="V13276"/>
          <cell r="W13276"/>
          <cell r="X13276"/>
          <cell r="Y13276"/>
        </row>
        <row r="13277">
          <cell r="V13277"/>
          <cell r="W13277"/>
          <cell r="X13277"/>
          <cell r="Y13277"/>
        </row>
        <row r="13278">
          <cell r="V13278"/>
          <cell r="W13278"/>
          <cell r="X13278"/>
          <cell r="Y13278"/>
        </row>
        <row r="13279">
          <cell r="V13279"/>
          <cell r="W13279"/>
          <cell r="X13279"/>
          <cell r="Y13279"/>
        </row>
        <row r="13280">
          <cell r="V13280"/>
          <cell r="W13280"/>
          <cell r="X13280"/>
          <cell r="Y13280"/>
        </row>
        <row r="13281">
          <cell r="V13281"/>
          <cell r="W13281"/>
          <cell r="X13281"/>
          <cell r="Y13281"/>
        </row>
        <row r="13282">
          <cell r="V13282"/>
          <cell r="W13282"/>
          <cell r="X13282"/>
          <cell r="Y13282"/>
        </row>
        <row r="13283">
          <cell r="V13283"/>
          <cell r="W13283"/>
          <cell r="X13283"/>
          <cell r="Y13283"/>
        </row>
        <row r="13284">
          <cell r="V13284"/>
          <cell r="W13284"/>
          <cell r="X13284"/>
          <cell r="Y13284"/>
        </row>
        <row r="13285">
          <cell r="V13285"/>
          <cell r="W13285"/>
          <cell r="X13285"/>
          <cell r="Y13285"/>
        </row>
        <row r="13286">
          <cell r="V13286"/>
          <cell r="W13286"/>
          <cell r="X13286"/>
          <cell r="Y13286"/>
        </row>
        <row r="13287">
          <cell r="V13287"/>
          <cell r="W13287"/>
          <cell r="X13287"/>
          <cell r="Y13287"/>
        </row>
        <row r="13288">
          <cell r="V13288"/>
          <cell r="W13288"/>
          <cell r="X13288"/>
          <cell r="Y13288"/>
        </row>
        <row r="13289">
          <cell r="V13289"/>
          <cell r="W13289"/>
          <cell r="X13289"/>
          <cell r="Y13289"/>
        </row>
        <row r="13290">
          <cell r="V13290"/>
          <cell r="W13290"/>
          <cell r="X13290"/>
          <cell r="Y13290"/>
        </row>
        <row r="13291">
          <cell r="V13291"/>
          <cell r="W13291"/>
          <cell r="X13291"/>
          <cell r="Y13291"/>
        </row>
        <row r="13292">
          <cell r="V13292"/>
          <cell r="W13292"/>
          <cell r="X13292"/>
          <cell r="Y13292"/>
        </row>
        <row r="13293">
          <cell r="V13293"/>
          <cell r="W13293"/>
          <cell r="X13293"/>
          <cell r="Y13293"/>
        </row>
        <row r="13294">
          <cell r="V13294"/>
          <cell r="W13294"/>
          <cell r="X13294"/>
          <cell r="Y13294"/>
        </row>
        <row r="13295">
          <cell r="V13295"/>
          <cell r="W13295"/>
          <cell r="X13295"/>
          <cell r="Y13295"/>
        </row>
        <row r="13296">
          <cell r="V13296"/>
          <cell r="W13296"/>
          <cell r="X13296"/>
          <cell r="Y13296"/>
        </row>
        <row r="13297">
          <cell r="V13297"/>
          <cell r="W13297"/>
          <cell r="X13297"/>
          <cell r="Y13297"/>
        </row>
        <row r="13298">
          <cell r="V13298"/>
          <cell r="W13298"/>
          <cell r="X13298"/>
          <cell r="Y13298"/>
        </row>
        <row r="13299">
          <cell r="V13299"/>
          <cell r="W13299"/>
          <cell r="X13299"/>
          <cell r="Y13299"/>
        </row>
        <row r="13300">
          <cell r="V13300"/>
          <cell r="W13300"/>
          <cell r="X13300"/>
          <cell r="Y13300"/>
        </row>
        <row r="13301">
          <cell r="V13301"/>
          <cell r="W13301"/>
          <cell r="X13301"/>
          <cell r="Y13301"/>
        </row>
        <row r="13302">
          <cell r="V13302"/>
          <cell r="W13302"/>
          <cell r="X13302"/>
          <cell r="Y13302"/>
        </row>
        <row r="13303">
          <cell r="V13303"/>
          <cell r="W13303"/>
          <cell r="X13303"/>
          <cell r="Y13303"/>
        </row>
        <row r="13304">
          <cell r="V13304"/>
          <cell r="W13304"/>
          <cell r="X13304"/>
          <cell r="Y13304"/>
        </row>
        <row r="13305">
          <cell r="V13305"/>
          <cell r="W13305"/>
          <cell r="X13305"/>
          <cell r="Y13305"/>
        </row>
        <row r="13306">
          <cell r="V13306"/>
          <cell r="W13306"/>
          <cell r="X13306"/>
          <cell r="Y13306"/>
        </row>
        <row r="13307">
          <cell r="V13307"/>
          <cell r="W13307"/>
          <cell r="X13307"/>
          <cell r="Y13307"/>
        </row>
        <row r="13308">
          <cell r="V13308"/>
          <cell r="W13308"/>
          <cell r="X13308"/>
          <cell r="Y13308"/>
        </row>
        <row r="13309">
          <cell r="V13309"/>
          <cell r="W13309"/>
          <cell r="X13309"/>
          <cell r="Y13309"/>
        </row>
        <row r="13310">
          <cell r="V13310"/>
          <cell r="W13310"/>
          <cell r="X13310"/>
          <cell r="Y13310"/>
        </row>
        <row r="13311">
          <cell r="V13311"/>
          <cell r="W13311"/>
          <cell r="X13311"/>
          <cell r="Y13311"/>
        </row>
        <row r="13312">
          <cell r="V13312"/>
          <cell r="W13312"/>
          <cell r="X13312"/>
          <cell r="Y13312"/>
        </row>
        <row r="13313">
          <cell r="V13313"/>
          <cell r="W13313"/>
          <cell r="X13313"/>
          <cell r="Y13313"/>
        </row>
        <row r="13314">
          <cell r="V13314"/>
          <cell r="W13314"/>
          <cell r="X13314"/>
          <cell r="Y13314"/>
        </row>
        <row r="13315">
          <cell r="V13315"/>
          <cell r="W13315"/>
          <cell r="X13315"/>
          <cell r="Y13315"/>
        </row>
        <row r="13316">
          <cell r="V13316"/>
          <cell r="W13316"/>
          <cell r="X13316"/>
          <cell r="Y13316"/>
        </row>
        <row r="13317">
          <cell r="V13317"/>
          <cell r="W13317"/>
          <cell r="X13317"/>
          <cell r="Y13317"/>
        </row>
        <row r="13318">
          <cell r="V13318"/>
          <cell r="W13318"/>
          <cell r="X13318"/>
          <cell r="Y13318"/>
        </row>
        <row r="13319">
          <cell r="V13319"/>
          <cell r="W13319"/>
          <cell r="X13319"/>
          <cell r="Y13319"/>
        </row>
        <row r="13320">
          <cell r="V13320"/>
          <cell r="W13320"/>
          <cell r="X13320"/>
          <cell r="Y13320"/>
        </row>
        <row r="13321">
          <cell r="V13321"/>
          <cell r="W13321"/>
          <cell r="X13321"/>
          <cell r="Y13321"/>
        </row>
        <row r="13322">
          <cell r="V13322"/>
          <cell r="W13322"/>
          <cell r="X13322"/>
          <cell r="Y13322"/>
        </row>
        <row r="13323">
          <cell r="V13323"/>
          <cell r="W13323"/>
          <cell r="X13323"/>
          <cell r="Y13323"/>
        </row>
        <row r="13324">
          <cell r="V13324"/>
          <cell r="W13324"/>
          <cell r="X13324"/>
          <cell r="Y13324"/>
        </row>
        <row r="13325">
          <cell r="V13325"/>
          <cell r="W13325"/>
          <cell r="X13325"/>
          <cell r="Y13325"/>
        </row>
        <row r="13326">
          <cell r="V13326"/>
          <cell r="W13326"/>
          <cell r="X13326"/>
          <cell r="Y13326"/>
        </row>
        <row r="13327">
          <cell r="V13327"/>
          <cell r="W13327"/>
          <cell r="X13327"/>
          <cell r="Y13327"/>
        </row>
        <row r="13328">
          <cell r="V13328"/>
          <cell r="W13328"/>
          <cell r="X13328"/>
          <cell r="Y13328"/>
        </row>
        <row r="13329">
          <cell r="V13329"/>
          <cell r="W13329"/>
          <cell r="X13329"/>
          <cell r="Y13329"/>
        </row>
        <row r="13330">
          <cell r="V13330"/>
          <cell r="W13330"/>
          <cell r="X13330"/>
          <cell r="Y13330"/>
        </row>
        <row r="13331">
          <cell r="V13331"/>
          <cell r="W13331"/>
          <cell r="X13331"/>
          <cell r="Y13331"/>
        </row>
        <row r="13332">
          <cell r="V13332"/>
          <cell r="W13332"/>
          <cell r="X13332"/>
          <cell r="Y13332"/>
        </row>
        <row r="13333">
          <cell r="V13333"/>
          <cell r="W13333"/>
          <cell r="X13333"/>
          <cell r="Y13333"/>
        </row>
        <row r="13334">
          <cell r="V13334"/>
          <cell r="W13334"/>
          <cell r="X13334"/>
          <cell r="Y13334"/>
        </row>
        <row r="13335">
          <cell r="V13335"/>
          <cell r="W13335"/>
          <cell r="X13335"/>
          <cell r="Y13335"/>
        </row>
        <row r="13336">
          <cell r="V13336"/>
          <cell r="W13336"/>
          <cell r="X13336"/>
          <cell r="Y13336"/>
        </row>
        <row r="13337">
          <cell r="V13337"/>
          <cell r="W13337"/>
          <cell r="X13337"/>
          <cell r="Y13337"/>
        </row>
        <row r="13338">
          <cell r="V13338"/>
          <cell r="W13338"/>
          <cell r="X13338"/>
          <cell r="Y13338"/>
        </row>
        <row r="13339">
          <cell r="V13339"/>
          <cell r="W13339"/>
          <cell r="X13339"/>
          <cell r="Y13339"/>
        </row>
        <row r="13340">
          <cell r="V13340"/>
          <cell r="W13340"/>
          <cell r="X13340"/>
          <cell r="Y13340"/>
        </row>
        <row r="13341">
          <cell r="V13341"/>
          <cell r="W13341"/>
          <cell r="X13341"/>
          <cell r="Y13341"/>
        </row>
        <row r="13342">
          <cell r="V13342"/>
          <cell r="W13342"/>
          <cell r="X13342"/>
          <cell r="Y13342"/>
        </row>
        <row r="13343">
          <cell r="V13343"/>
          <cell r="W13343"/>
          <cell r="X13343"/>
          <cell r="Y13343"/>
        </row>
        <row r="13344">
          <cell r="V13344"/>
          <cell r="W13344"/>
          <cell r="X13344"/>
          <cell r="Y13344"/>
        </row>
        <row r="13345">
          <cell r="V13345"/>
          <cell r="W13345"/>
          <cell r="X13345"/>
          <cell r="Y13345"/>
        </row>
        <row r="13346">
          <cell r="V13346"/>
          <cell r="W13346"/>
          <cell r="X13346"/>
          <cell r="Y13346"/>
        </row>
        <row r="13347">
          <cell r="V13347"/>
          <cell r="W13347"/>
          <cell r="X13347"/>
          <cell r="Y13347"/>
        </row>
        <row r="13348">
          <cell r="V13348"/>
          <cell r="W13348"/>
          <cell r="X13348"/>
          <cell r="Y13348"/>
        </row>
        <row r="13349">
          <cell r="V13349"/>
          <cell r="W13349"/>
          <cell r="X13349"/>
          <cell r="Y13349"/>
        </row>
        <row r="13350">
          <cell r="V13350"/>
          <cell r="W13350"/>
          <cell r="X13350"/>
          <cell r="Y13350"/>
        </row>
        <row r="13351">
          <cell r="V13351"/>
          <cell r="W13351"/>
          <cell r="X13351"/>
          <cell r="Y13351"/>
        </row>
        <row r="13352">
          <cell r="V13352"/>
          <cell r="W13352"/>
          <cell r="X13352"/>
          <cell r="Y13352"/>
        </row>
        <row r="13353">
          <cell r="V13353"/>
          <cell r="W13353"/>
          <cell r="X13353"/>
          <cell r="Y13353"/>
        </row>
        <row r="13354">
          <cell r="V13354"/>
          <cell r="W13354"/>
          <cell r="X13354"/>
          <cell r="Y13354"/>
        </row>
        <row r="13355">
          <cell r="V13355"/>
          <cell r="W13355"/>
          <cell r="X13355"/>
          <cell r="Y13355"/>
        </row>
        <row r="13356">
          <cell r="V13356"/>
          <cell r="W13356"/>
          <cell r="X13356"/>
          <cell r="Y13356"/>
        </row>
        <row r="13357">
          <cell r="V13357"/>
          <cell r="W13357"/>
          <cell r="X13357"/>
          <cell r="Y13357"/>
        </row>
        <row r="13358">
          <cell r="V13358"/>
          <cell r="W13358"/>
          <cell r="X13358"/>
          <cell r="Y13358"/>
        </row>
        <row r="13359">
          <cell r="V13359"/>
          <cell r="W13359"/>
          <cell r="X13359"/>
          <cell r="Y13359"/>
        </row>
        <row r="13360">
          <cell r="V13360"/>
          <cell r="W13360"/>
          <cell r="X13360"/>
          <cell r="Y13360"/>
        </row>
        <row r="13361">
          <cell r="V13361"/>
          <cell r="W13361"/>
          <cell r="X13361"/>
          <cell r="Y13361"/>
        </row>
        <row r="13362">
          <cell r="V13362"/>
          <cell r="W13362"/>
          <cell r="X13362"/>
          <cell r="Y13362"/>
        </row>
        <row r="13363">
          <cell r="V13363"/>
          <cell r="W13363"/>
          <cell r="X13363"/>
          <cell r="Y13363"/>
        </row>
        <row r="13364">
          <cell r="V13364"/>
          <cell r="W13364"/>
          <cell r="X13364"/>
          <cell r="Y13364"/>
        </row>
        <row r="13365">
          <cell r="V13365"/>
          <cell r="W13365"/>
          <cell r="X13365"/>
          <cell r="Y13365"/>
        </row>
        <row r="13366">
          <cell r="V13366"/>
          <cell r="W13366"/>
          <cell r="X13366"/>
          <cell r="Y13366"/>
        </row>
        <row r="13367">
          <cell r="V13367"/>
          <cell r="W13367"/>
          <cell r="X13367"/>
          <cell r="Y13367"/>
        </row>
        <row r="13368">
          <cell r="V13368"/>
          <cell r="W13368"/>
          <cell r="X13368"/>
          <cell r="Y13368"/>
        </row>
        <row r="13369">
          <cell r="V13369"/>
          <cell r="W13369"/>
          <cell r="X13369"/>
          <cell r="Y13369"/>
        </row>
        <row r="13370">
          <cell r="V13370"/>
          <cell r="W13370"/>
          <cell r="X13370"/>
          <cell r="Y13370"/>
        </row>
        <row r="13371">
          <cell r="V13371"/>
          <cell r="W13371"/>
          <cell r="X13371"/>
          <cell r="Y13371"/>
        </row>
        <row r="13372">
          <cell r="V13372"/>
          <cell r="W13372"/>
          <cell r="X13372"/>
          <cell r="Y13372"/>
        </row>
        <row r="13373">
          <cell r="V13373"/>
          <cell r="W13373"/>
          <cell r="X13373"/>
          <cell r="Y13373"/>
        </row>
        <row r="13374">
          <cell r="V13374"/>
          <cell r="W13374"/>
          <cell r="X13374"/>
          <cell r="Y13374"/>
        </row>
        <row r="13375">
          <cell r="V13375"/>
          <cell r="W13375"/>
          <cell r="X13375"/>
          <cell r="Y13375"/>
        </row>
        <row r="13376">
          <cell r="V13376"/>
          <cell r="W13376"/>
          <cell r="X13376"/>
          <cell r="Y13376"/>
        </row>
        <row r="13377">
          <cell r="V13377"/>
          <cell r="W13377"/>
          <cell r="X13377"/>
          <cell r="Y13377"/>
        </row>
        <row r="13378">
          <cell r="V13378"/>
          <cell r="W13378"/>
          <cell r="X13378"/>
          <cell r="Y13378"/>
        </row>
        <row r="13379">
          <cell r="V13379"/>
          <cell r="W13379"/>
          <cell r="X13379"/>
          <cell r="Y13379"/>
        </row>
        <row r="13380">
          <cell r="V13380"/>
          <cell r="W13380"/>
          <cell r="X13380"/>
          <cell r="Y13380"/>
        </row>
        <row r="13381">
          <cell r="V13381"/>
          <cell r="W13381"/>
          <cell r="X13381"/>
          <cell r="Y13381"/>
        </row>
        <row r="13382">
          <cell r="V13382"/>
          <cell r="W13382"/>
          <cell r="X13382"/>
          <cell r="Y13382"/>
        </row>
        <row r="13383">
          <cell r="V13383"/>
          <cell r="W13383"/>
          <cell r="X13383"/>
          <cell r="Y13383"/>
        </row>
        <row r="13384">
          <cell r="V13384"/>
          <cell r="W13384"/>
          <cell r="X13384"/>
          <cell r="Y13384"/>
        </row>
        <row r="13385">
          <cell r="V13385"/>
          <cell r="W13385"/>
          <cell r="X13385"/>
          <cell r="Y13385"/>
        </row>
        <row r="13386">
          <cell r="V13386"/>
          <cell r="W13386"/>
          <cell r="X13386"/>
          <cell r="Y13386"/>
        </row>
        <row r="13387">
          <cell r="V13387"/>
          <cell r="W13387"/>
          <cell r="X13387"/>
          <cell r="Y13387"/>
        </row>
        <row r="13388">
          <cell r="V13388"/>
          <cell r="W13388"/>
          <cell r="X13388"/>
          <cell r="Y13388"/>
        </row>
        <row r="13389">
          <cell r="V13389"/>
          <cell r="W13389"/>
          <cell r="X13389"/>
          <cell r="Y13389"/>
        </row>
        <row r="13390">
          <cell r="V13390"/>
          <cell r="W13390"/>
          <cell r="X13390"/>
          <cell r="Y13390"/>
        </row>
        <row r="13391">
          <cell r="V13391"/>
          <cell r="W13391"/>
          <cell r="X13391"/>
          <cell r="Y13391"/>
        </row>
        <row r="13392">
          <cell r="V13392"/>
          <cell r="W13392"/>
          <cell r="X13392"/>
          <cell r="Y13392"/>
        </row>
        <row r="13393">
          <cell r="V13393"/>
          <cell r="W13393"/>
          <cell r="X13393"/>
          <cell r="Y13393"/>
        </row>
        <row r="13394">
          <cell r="V13394"/>
          <cell r="W13394"/>
          <cell r="X13394"/>
          <cell r="Y13394"/>
        </row>
        <row r="13395">
          <cell r="V13395"/>
          <cell r="W13395"/>
          <cell r="X13395"/>
          <cell r="Y13395"/>
        </row>
        <row r="13396">
          <cell r="V13396"/>
          <cell r="W13396"/>
          <cell r="X13396"/>
          <cell r="Y13396"/>
        </row>
        <row r="13397">
          <cell r="V13397"/>
          <cell r="W13397"/>
          <cell r="X13397"/>
          <cell r="Y13397"/>
        </row>
        <row r="13398">
          <cell r="V13398"/>
          <cell r="W13398"/>
          <cell r="X13398"/>
          <cell r="Y13398"/>
        </row>
        <row r="13399">
          <cell r="V13399"/>
          <cell r="W13399"/>
          <cell r="X13399"/>
          <cell r="Y13399"/>
        </row>
        <row r="13400">
          <cell r="V13400"/>
          <cell r="W13400"/>
          <cell r="X13400"/>
          <cell r="Y13400"/>
        </row>
        <row r="13401">
          <cell r="V13401"/>
          <cell r="W13401"/>
          <cell r="X13401"/>
          <cell r="Y13401"/>
        </row>
        <row r="13402">
          <cell r="V13402"/>
          <cell r="W13402"/>
          <cell r="X13402"/>
          <cell r="Y13402"/>
        </row>
        <row r="13403">
          <cell r="V13403"/>
          <cell r="W13403"/>
          <cell r="X13403"/>
          <cell r="Y13403"/>
        </row>
        <row r="13404">
          <cell r="V13404"/>
          <cell r="W13404"/>
          <cell r="X13404"/>
          <cell r="Y13404"/>
        </row>
        <row r="13405">
          <cell r="V13405"/>
          <cell r="W13405"/>
          <cell r="X13405"/>
          <cell r="Y13405"/>
        </row>
        <row r="13406">
          <cell r="V13406"/>
          <cell r="W13406"/>
          <cell r="X13406"/>
          <cell r="Y13406"/>
        </row>
        <row r="13407">
          <cell r="V13407"/>
          <cell r="W13407"/>
          <cell r="X13407"/>
          <cell r="Y13407"/>
        </row>
        <row r="13408">
          <cell r="V13408"/>
          <cell r="W13408"/>
          <cell r="X13408"/>
          <cell r="Y13408"/>
        </row>
        <row r="13409">
          <cell r="V13409"/>
          <cell r="W13409"/>
          <cell r="X13409"/>
          <cell r="Y13409"/>
        </row>
        <row r="13410">
          <cell r="V13410"/>
          <cell r="W13410"/>
          <cell r="X13410"/>
          <cell r="Y13410"/>
        </row>
        <row r="13411">
          <cell r="V13411"/>
          <cell r="W13411"/>
          <cell r="X13411"/>
          <cell r="Y13411"/>
        </row>
        <row r="13412">
          <cell r="V13412"/>
          <cell r="W13412"/>
          <cell r="X13412"/>
          <cell r="Y13412"/>
        </row>
        <row r="13413">
          <cell r="V13413"/>
          <cell r="W13413"/>
          <cell r="X13413"/>
          <cell r="Y13413"/>
        </row>
        <row r="13414">
          <cell r="V13414"/>
          <cell r="W13414"/>
          <cell r="X13414"/>
          <cell r="Y13414"/>
        </row>
        <row r="13415">
          <cell r="V13415"/>
          <cell r="W13415"/>
          <cell r="X13415"/>
          <cell r="Y13415"/>
        </row>
        <row r="13416">
          <cell r="V13416"/>
          <cell r="W13416"/>
          <cell r="X13416"/>
          <cell r="Y13416"/>
        </row>
        <row r="13417">
          <cell r="V13417"/>
          <cell r="W13417"/>
          <cell r="X13417"/>
          <cell r="Y13417"/>
        </row>
        <row r="13418">
          <cell r="V13418"/>
          <cell r="W13418"/>
          <cell r="X13418"/>
          <cell r="Y13418"/>
        </row>
        <row r="13419">
          <cell r="V13419"/>
          <cell r="W13419"/>
          <cell r="X13419"/>
          <cell r="Y13419"/>
        </row>
        <row r="13420">
          <cell r="V13420"/>
          <cell r="W13420"/>
          <cell r="X13420"/>
          <cell r="Y13420"/>
        </row>
        <row r="13421">
          <cell r="V13421"/>
          <cell r="W13421"/>
          <cell r="X13421"/>
          <cell r="Y13421"/>
        </row>
        <row r="13422">
          <cell r="V13422"/>
          <cell r="W13422"/>
          <cell r="X13422"/>
          <cell r="Y13422"/>
        </row>
        <row r="13423">
          <cell r="V13423"/>
          <cell r="W13423"/>
          <cell r="X13423"/>
          <cell r="Y13423"/>
        </row>
        <row r="13424">
          <cell r="V13424"/>
          <cell r="W13424"/>
          <cell r="X13424"/>
          <cell r="Y13424"/>
        </row>
        <row r="13425">
          <cell r="V13425"/>
          <cell r="W13425"/>
          <cell r="X13425"/>
          <cell r="Y13425"/>
        </row>
        <row r="13426">
          <cell r="V13426"/>
          <cell r="W13426"/>
          <cell r="X13426"/>
          <cell r="Y13426"/>
        </row>
        <row r="13427">
          <cell r="V13427"/>
          <cell r="W13427"/>
          <cell r="X13427"/>
          <cell r="Y13427"/>
        </row>
        <row r="13428">
          <cell r="V13428"/>
          <cell r="W13428"/>
          <cell r="X13428"/>
          <cell r="Y13428"/>
        </row>
        <row r="13429">
          <cell r="V13429"/>
          <cell r="W13429"/>
          <cell r="X13429"/>
          <cell r="Y13429"/>
        </row>
        <row r="13430">
          <cell r="V13430"/>
          <cell r="W13430"/>
          <cell r="X13430"/>
          <cell r="Y13430"/>
        </row>
        <row r="13431">
          <cell r="V13431"/>
          <cell r="W13431"/>
          <cell r="X13431"/>
          <cell r="Y13431"/>
        </row>
        <row r="13432">
          <cell r="V13432"/>
          <cell r="W13432"/>
          <cell r="X13432"/>
          <cell r="Y13432"/>
        </row>
        <row r="13433">
          <cell r="V13433"/>
          <cell r="W13433"/>
          <cell r="X13433"/>
          <cell r="Y13433"/>
        </row>
        <row r="13434">
          <cell r="V13434"/>
          <cell r="W13434"/>
          <cell r="X13434"/>
          <cell r="Y13434"/>
        </row>
        <row r="13435">
          <cell r="V13435"/>
          <cell r="W13435"/>
          <cell r="X13435"/>
          <cell r="Y13435"/>
        </row>
        <row r="13436">
          <cell r="V13436"/>
          <cell r="W13436"/>
          <cell r="X13436"/>
          <cell r="Y13436"/>
        </row>
        <row r="13437">
          <cell r="V13437"/>
          <cell r="W13437"/>
          <cell r="X13437"/>
          <cell r="Y13437"/>
        </row>
        <row r="13438">
          <cell r="V13438"/>
          <cell r="W13438"/>
          <cell r="X13438"/>
          <cell r="Y13438"/>
        </row>
        <row r="13439">
          <cell r="V13439"/>
          <cell r="W13439"/>
          <cell r="X13439"/>
          <cell r="Y13439"/>
        </row>
        <row r="13440">
          <cell r="V13440"/>
          <cell r="W13440"/>
          <cell r="X13440"/>
          <cell r="Y13440"/>
        </row>
        <row r="13441">
          <cell r="V13441"/>
          <cell r="W13441"/>
          <cell r="X13441"/>
          <cell r="Y13441"/>
        </row>
        <row r="13442">
          <cell r="V13442"/>
          <cell r="W13442"/>
          <cell r="X13442"/>
          <cell r="Y13442"/>
        </row>
        <row r="13443">
          <cell r="V13443"/>
          <cell r="W13443"/>
          <cell r="X13443"/>
          <cell r="Y13443"/>
        </row>
        <row r="13444">
          <cell r="V13444"/>
          <cell r="W13444"/>
          <cell r="X13444"/>
          <cell r="Y13444"/>
        </row>
        <row r="13445">
          <cell r="V13445"/>
          <cell r="W13445"/>
          <cell r="X13445"/>
          <cell r="Y13445"/>
        </row>
        <row r="13446">
          <cell r="V13446"/>
          <cell r="W13446"/>
          <cell r="X13446"/>
          <cell r="Y13446"/>
        </row>
        <row r="13447">
          <cell r="V13447"/>
          <cell r="W13447"/>
          <cell r="X13447"/>
          <cell r="Y13447"/>
        </row>
        <row r="13448">
          <cell r="V13448"/>
          <cell r="W13448"/>
          <cell r="X13448"/>
          <cell r="Y13448"/>
        </row>
        <row r="13449">
          <cell r="V13449"/>
          <cell r="W13449"/>
          <cell r="X13449"/>
          <cell r="Y13449"/>
        </row>
        <row r="13450">
          <cell r="V13450"/>
          <cell r="W13450"/>
          <cell r="X13450"/>
          <cell r="Y13450"/>
        </row>
        <row r="13451">
          <cell r="V13451"/>
          <cell r="W13451"/>
          <cell r="X13451"/>
          <cell r="Y13451"/>
        </row>
        <row r="13452">
          <cell r="V13452"/>
          <cell r="W13452"/>
          <cell r="X13452"/>
          <cell r="Y13452"/>
        </row>
        <row r="13453">
          <cell r="V13453"/>
          <cell r="W13453"/>
          <cell r="X13453"/>
          <cell r="Y13453"/>
        </row>
        <row r="13454">
          <cell r="V13454"/>
          <cell r="W13454"/>
          <cell r="X13454"/>
          <cell r="Y13454"/>
        </row>
        <row r="13455">
          <cell r="V13455"/>
          <cell r="W13455"/>
          <cell r="X13455"/>
          <cell r="Y13455"/>
        </row>
        <row r="13456">
          <cell r="V13456"/>
          <cell r="W13456"/>
          <cell r="X13456"/>
          <cell r="Y13456"/>
        </row>
        <row r="13457">
          <cell r="V13457"/>
          <cell r="W13457"/>
          <cell r="X13457"/>
          <cell r="Y13457"/>
        </row>
        <row r="13458">
          <cell r="V13458"/>
          <cell r="W13458"/>
          <cell r="X13458"/>
          <cell r="Y13458"/>
        </row>
        <row r="13459">
          <cell r="V13459"/>
          <cell r="W13459"/>
          <cell r="X13459"/>
          <cell r="Y13459"/>
        </row>
        <row r="13460">
          <cell r="V13460"/>
          <cell r="W13460"/>
          <cell r="X13460"/>
          <cell r="Y13460"/>
        </row>
        <row r="13461">
          <cell r="V13461"/>
          <cell r="W13461"/>
          <cell r="X13461"/>
          <cell r="Y13461"/>
        </row>
        <row r="13462">
          <cell r="V13462"/>
          <cell r="W13462"/>
          <cell r="X13462"/>
          <cell r="Y13462"/>
        </row>
        <row r="13463">
          <cell r="V13463"/>
          <cell r="W13463"/>
          <cell r="X13463"/>
          <cell r="Y13463"/>
        </row>
        <row r="13464">
          <cell r="V13464"/>
          <cell r="W13464"/>
          <cell r="X13464"/>
          <cell r="Y13464"/>
        </row>
        <row r="13465">
          <cell r="V13465"/>
          <cell r="W13465"/>
          <cell r="X13465"/>
          <cell r="Y13465"/>
        </row>
        <row r="13466">
          <cell r="V13466"/>
          <cell r="W13466"/>
          <cell r="X13466"/>
          <cell r="Y13466"/>
        </row>
        <row r="13467">
          <cell r="V13467"/>
          <cell r="W13467"/>
          <cell r="X13467"/>
          <cell r="Y13467"/>
        </row>
        <row r="13468">
          <cell r="V13468"/>
          <cell r="W13468"/>
          <cell r="X13468"/>
          <cell r="Y13468"/>
        </row>
        <row r="13469">
          <cell r="V13469"/>
          <cell r="W13469"/>
          <cell r="X13469"/>
          <cell r="Y13469"/>
        </row>
        <row r="13470">
          <cell r="V13470"/>
          <cell r="W13470"/>
          <cell r="X13470"/>
          <cell r="Y13470"/>
        </row>
        <row r="13471">
          <cell r="V13471"/>
          <cell r="W13471"/>
          <cell r="X13471"/>
          <cell r="Y13471"/>
        </row>
        <row r="13472">
          <cell r="V13472"/>
          <cell r="W13472"/>
          <cell r="X13472"/>
          <cell r="Y13472"/>
        </row>
        <row r="13473">
          <cell r="V13473"/>
          <cell r="W13473"/>
          <cell r="X13473"/>
          <cell r="Y13473"/>
        </row>
        <row r="13474">
          <cell r="V13474"/>
          <cell r="W13474"/>
          <cell r="X13474"/>
          <cell r="Y13474"/>
        </row>
        <row r="13475">
          <cell r="V13475"/>
          <cell r="W13475"/>
          <cell r="X13475"/>
          <cell r="Y13475"/>
        </row>
        <row r="13476">
          <cell r="V13476"/>
          <cell r="W13476"/>
          <cell r="X13476"/>
          <cell r="Y13476"/>
        </row>
        <row r="13477">
          <cell r="V13477"/>
          <cell r="W13477"/>
          <cell r="X13477"/>
          <cell r="Y13477"/>
        </row>
        <row r="13478">
          <cell r="V13478"/>
          <cell r="W13478"/>
          <cell r="X13478"/>
          <cell r="Y13478"/>
        </row>
        <row r="13479">
          <cell r="V13479"/>
          <cell r="W13479"/>
          <cell r="X13479"/>
          <cell r="Y13479"/>
        </row>
        <row r="13480">
          <cell r="V13480"/>
          <cell r="W13480"/>
          <cell r="X13480"/>
          <cell r="Y13480"/>
        </row>
        <row r="13481">
          <cell r="V13481"/>
          <cell r="W13481"/>
          <cell r="X13481"/>
          <cell r="Y13481"/>
        </row>
        <row r="13482">
          <cell r="V13482"/>
          <cell r="W13482"/>
          <cell r="X13482"/>
          <cell r="Y13482"/>
        </row>
        <row r="13483">
          <cell r="V13483"/>
          <cell r="W13483"/>
          <cell r="X13483"/>
          <cell r="Y13483"/>
        </row>
        <row r="13484">
          <cell r="V13484"/>
          <cell r="W13484"/>
          <cell r="X13484"/>
          <cell r="Y13484"/>
        </row>
        <row r="13485">
          <cell r="V13485"/>
          <cell r="W13485"/>
          <cell r="X13485"/>
          <cell r="Y13485"/>
        </row>
        <row r="13486">
          <cell r="V13486"/>
          <cell r="W13486"/>
          <cell r="X13486"/>
          <cell r="Y13486"/>
        </row>
        <row r="13487">
          <cell r="V13487"/>
          <cell r="W13487"/>
          <cell r="X13487"/>
          <cell r="Y13487"/>
        </row>
        <row r="13488">
          <cell r="V13488"/>
          <cell r="W13488"/>
          <cell r="X13488"/>
          <cell r="Y13488"/>
        </row>
        <row r="13489">
          <cell r="V13489"/>
          <cell r="W13489"/>
          <cell r="X13489"/>
          <cell r="Y13489"/>
        </row>
        <row r="13490">
          <cell r="V13490"/>
          <cell r="W13490"/>
          <cell r="X13490"/>
          <cell r="Y13490"/>
        </row>
        <row r="13491">
          <cell r="V13491"/>
          <cell r="W13491"/>
          <cell r="X13491"/>
          <cell r="Y13491"/>
        </row>
        <row r="13492">
          <cell r="V13492"/>
          <cell r="W13492"/>
          <cell r="X13492"/>
          <cell r="Y13492"/>
        </row>
        <row r="13493">
          <cell r="V13493"/>
          <cell r="W13493"/>
          <cell r="X13493"/>
          <cell r="Y13493"/>
        </row>
        <row r="13494">
          <cell r="V13494"/>
          <cell r="W13494"/>
          <cell r="X13494"/>
          <cell r="Y13494"/>
        </row>
        <row r="13495">
          <cell r="V13495"/>
          <cell r="W13495"/>
          <cell r="X13495"/>
          <cell r="Y13495"/>
        </row>
        <row r="13496">
          <cell r="V13496"/>
          <cell r="W13496"/>
          <cell r="X13496"/>
          <cell r="Y13496"/>
        </row>
        <row r="13497">
          <cell r="V13497"/>
          <cell r="W13497"/>
          <cell r="X13497"/>
          <cell r="Y13497"/>
        </row>
        <row r="13498">
          <cell r="V13498"/>
          <cell r="W13498"/>
          <cell r="X13498"/>
          <cell r="Y13498"/>
        </row>
        <row r="13499">
          <cell r="V13499"/>
          <cell r="W13499"/>
          <cell r="X13499"/>
          <cell r="Y13499"/>
        </row>
        <row r="13500">
          <cell r="V13500"/>
          <cell r="W13500"/>
          <cell r="X13500"/>
          <cell r="Y13500"/>
        </row>
        <row r="13501">
          <cell r="V13501"/>
          <cell r="W13501"/>
          <cell r="X13501"/>
          <cell r="Y13501"/>
        </row>
        <row r="13502">
          <cell r="V13502"/>
          <cell r="W13502"/>
          <cell r="X13502"/>
          <cell r="Y13502"/>
        </row>
        <row r="13503">
          <cell r="V13503"/>
          <cell r="W13503"/>
          <cell r="X13503"/>
          <cell r="Y13503"/>
        </row>
        <row r="13504">
          <cell r="V13504"/>
          <cell r="W13504"/>
          <cell r="X13504"/>
          <cell r="Y13504"/>
        </row>
        <row r="13505">
          <cell r="V13505"/>
          <cell r="W13505"/>
          <cell r="X13505"/>
          <cell r="Y13505"/>
        </row>
        <row r="13506">
          <cell r="V13506"/>
          <cell r="W13506"/>
          <cell r="X13506"/>
          <cell r="Y13506"/>
        </row>
        <row r="13507">
          <cell r="V13507"/>
          <cell r="W13507"/>
          <cell r="X13507"/>
          <cell r="Y13507"/>
        </row>
        <row r="13508">
          <cell r="V13508"/>
          <cell r="W13508"/>
          <cell r="X13508"/>
          <cell r="Y13508"/>
        </row>
        <row r="13509">
          <cell r="V13509"/>
          <cell r="W13509"/>
          <cell r="X13509"/>
          <cell r="Y13509"/>
        </row>
        <row r="13510">
          <cell r="V13510"/>
          <cell r="W13510"/>
          <cell r="X13510"/>
          <cell r="Y13510"/>
        </row>
        <row r="13511">
          <cell r="V13511"/>
          <cell r="W13511"/>
          <cell r="X13511"/>
          <cell r="Y13511"/>
        </row>
        <row r="13512">
          <cell r="V13512"/>
          <cell r="W13512"/>
          <cell r="X13512"/>
          <cell r="Y13512"/>
        </row>
        <row r="13513">
          <cell r="V13513"/>
          <cell r="W13513"/>
          <cell r="X13513"/>
          <cell r="Y13513"/>
        </row>
        <row r="13514">
          <cell r="V13514"/>
          <cell r="W13514"/>
          <cell r="X13514"/>
          <cell r="Y13514"/>
        </row>
        <row r="13515">
          <cell r="V13515"/>
          <cell r="W13515"/>
          <cell r="X13515"/>
          <cell r="Y13515"/>
        </row>
        <row r="13516">
          <cell r="V13516"/>
          <cell r="W13516"/>
          <cell r="X13516"/>
          <cell r="Y13516"/>
        </row>
        <row r="13517">
          <cell r="V13517"/>
          <cell r="W13517"/>
          <cell r="X13517"/>
          <cell r="Y13517"/>
        </row>
        <row r="13518">
          <cell r="V13518"/>
          <cell r="W13518"/>
          <cell r="X13518"/>
          <cell r="Y13518"/>
        </row>
        <row r="13519">
          <cell r="V13519"/>
          <cell r="W13519"/>
          <cell r="X13519"/>
          <cell r="Y13519"/>
        </row>
        <row r="13520">
          <cell r="V13520"/>
          <cell r="W13520"/>
          <cell r="X13520"/>
          <cell r="Y13520"/>
        </row>
        <row r="13521">
          <cell r="V13521"/>
          <cell r="W13521"/>
          <cell r="X13521"/>
          <cell r="Y13521"/>
        </row>
        <row r="13522">
          <cell r="V13522"/>
          <cell r="W13522"/>
          <cell r="X13522"/>
          <cell r="Y13522"/>
        </row>
        <row r="13523">
          <cell r="V13523"/>
          <cell r="W13523"/>
          <cell r="X13523"/>
          <cell r="Y13523"/>
        </row>
        <row r="13524">
          <cell r="V13524"/>
          <cell r="W13524"/>
          <cell r="X13524"/>
          <cell r="Y13524"/>
        </row>
        <row r="13525">
          <cell r="V13525"/>
          <cell r="W13525"/>
          <cell r="X13525"/>
          <cell r="Y13525"/>
        </row>
        <row r="13526">
          <cell r="V13526"/>
          <cell r="W13526"/>
          <cell r="X13526"/>
          <cell r="Y13526"/>
        </row>
        <row r="13527">
          <cell r="V13527"/>
          <cell r="W13527"/>
          <cell r="X13527"/>
          <cell r="Y13527"/>
        </row>
        <row r="13528">
          <cell r="V13528"/>
          <cell r="W13528"/>
          <cell r="X13528"/>
          <cell r="Y13528"/>
        </row>
        <row r="13529">
          <cell r="V13529"/>
          <cell r="W13529"/>
          <cell r="X13529"/>
          <cell r="Y13529"/>
        </row>
        <row r="13530">
          <cell r="V13530"/>
          <cell r="W13530"/>
          <cell r="X13530"/>
          <cell r="Y13530"/>
        </row>
        <row r="13531">
          <cell r="V13531"/>
          <cell r="W13531"/>
          <cell r="X13531"/>
          <cell r="Y13531"/>
        </row>
        <row r="13532">
          <cell r="V13532"/>
          <cell r="W13532"/>
          <cell r="X13532"/>
          <cell r="Y13532"/>
        </row>
        <row r="13533">
          <cell r="V13533"/>
          <cell r="W13533"/>
          <cell r="X13533"/>
          <cell r="Y13533"/>
        </row>
        <row r="13534">
          <cell r="V13534"/>
          <cell r="W13534"/>
          <cell r="X13534"/>
          <cell r="Y13534"/>
        </row>
        <row r="13535">
          <cell r="V13535"/>
          <cell r="W13535"/>
          <cell r="X13535"/>
          <cell r="Y13535"/>
        </row>
        <row r="13536">
          <cell r="V13536"/>
          <cell r="W13536"/>
          <cell r="X13536"/>
          <cell r="Y13536"/>
        </row>
        <row r="13537">
          <cell r="V13537"/>
          <cell r="W13537"/>
          <cell r="X13537"/>
          <cell r="Y13537"/>
        </row>
        <row r="13538">
          <cell r="V13538"/>
          <cell r="W13538"/>
          <cell r="X13538"/>
          <cell r="Y13538"/>
        </row>
        <row r="13539">
          <cell r="V13539"/>
          <cell r="W13539"/>
          <cell r="X13539"/>
          <cell r="Y13539"/>
        </row>
        <row r="13540">
          <cell r="V13540"/>
          <cell r="W13540"/>
          <cell r="X13540"/>
          <cell r="Y13540"/>
        </row>
        <row r="13541">
          <cell r="V13541"/>
          <cell r="W13541"/>
          <cell r="X13541"/>
          <cell r="Y13541"/>
        </row>
        <row r="13542">
          <cell r="V13542"/>
          <cell r="W13542"/>
          <cell r="X13542"/>
          <cell r="Y13542"/>
        </row>
        <row r="13543">
          <cell r="V13543"/>
          <cell r="W13543"/>
          <cell r="X13543"/>
          <cell r="Y13543"/>
        </row>
        <row r="13544">
          <cell r="V13544"/>
          <cell r="W13544"/>
          <cell r="X13544"/>
          <cell r="Y13544"/>
        </row>
        <row r="13545">
          <cell r="V13545"/>
          <cell r="W13545"/>
          <cell r="X13545"/>
          <cell r="Y13545"/>
        </row>
        <row r="13546">
          <cell r="V13546"/>
          <cell r="W13546"/>
          <cell r="X13546"/>
          <cell r="Y13546"/>
        </row>
        <row r="13547">
          <cell r="V13547"/>
          <cell r="W13547"/>
          <cell r="X13547"/>
          <cell r="Y13547"/>
        </row>
        <row r="13548">
          <cell r="V13548"/>
          <cell r="W13548"/>
          <cell r="X13548"/>
          <cell r="Y13548"/>
        </row>
        <row r="13549">
          <cell r="V13549"/>
          <cell r="W13549"/>
          <cell r="X13549"/>
          <cell r="Y13549"/>
        </row>
        <row r="13550">
          <cell r="V13550"/>
          <cell r="W13550"/>
          <cell r="X13550"/>
          <cell r="Y13550"/>
        </row>
        <row r="13551">
          <cell r="V13551"/>
          <cell r="W13551"/>
          <cell r="X13551"/>
          <cell r="Y13551"/>
        </row>
        <row r="13552">
          <cell r="V13552"/>
          <cell r="W13552"/>
          <cell r="X13552"/>
          <cell r="Y13552"/>
        </row>
        <row r="13553">
          <cell r="V13553"/>
          <cell r="W13553"/>
          <cell r="X13553"/>
          <cell r="Y13553"/>
        </row>
        <row r="13554">
          <cell r="V13554"/>
          <cell r="W13554"/>
          <cell r="X13554"/>
          <cell r="Y13554"/>
        </row>
        <row r="13555">
          <cell r="V13555"/>
          <cell r="W13555"/>
          <cell r="X13555"/>
          <cell r="Y13555"/>
        </row>
        <row r="13556">
          <cell r="V13556"/>
          <cell r="W13556"/>
          <cell r="X13556"/>
          <cell r="Y13556"/>
        </row>
        <row r="13557">
          <cell r="V13557"/>
          <cell r="W13557"/>
          <cell r="X13557"/>
          <cell r="Y13557"/>
        </row>
        <row r="13558">
          <cell r="V13558"/>
          <cell r="W13558"/>
          <cell r="X13558"/>
          <cell r="Y13558"/>
        </row>
        <row r="13559">
          <cell r="V13559"/>
          <cell r="W13559"/>
          <cell r="X13559"/>
          <cell r="Y13559"/>
        </row>
        <row r="13560">
          <cell r="V13560"/>
          <cell r="W13560"/>
          <cell r="X13560"/>
          <cell r="Y13560"/>
        </row>
        <row r="13561">
          <cell r="V13561"/>
          <cell r="W13561"/>
          <cell r="X13561"/>
          <cell r="Y13561"/>
        </row>
        <row r="13562">
          <cell r="V13562"/>
          <cell r="W13562"/>
          <cell r="X13562"/>
          <cell r="Y13562"/>
        </row>
        <row r="13563">
          <cell r="V13563"/>
          <cell r="W13563"/>
          <cell r="X13563"/>
          <cell r="Y13563"/>
        </row>
        <row r="13564">
          <cell r="V13564"/>
          <cell r="W13564"/>
          <cell r="X13564"/>
          <cell r="Y13564"/>
        </row>
        <row r="13565">
          <cell r="V13565"/>
          <cell r="W13565"/>
          <cell r="X13565"/>
          <cell r="Y13565"/>
        </row>
        <row r="13566">
          <cell r="V13566"/>
          <cell r="W13566"/>
          <cell r="X13566"/>
          <cell r="Y13566"/>
        </row>
        <row r="13567">
          <cell r="V13567"/>
          <cell r="W13567"/>
          <cell r="X13567"/>
          <cell r="Y13567"/>
        </row>
        <row r="13568">
          <cell r="V13568"/>
          <cell r="W13568"/>
          <cell r="X13568"/>
          <cell r="Y13568"/>
        </row>
        <row r="13569">
          <cell r="V13569"/>
          <cell r="W13569"/>
          <cell r="X13569"/>
          <cell r="Y13569"/>
        </row>
        <row r="13570">
          <cell r="V13570"/>
          <cell r="W13570"/>
          <cell r="X13570"/>
          <cell r="Y13570"/>
        </row>
        <row r="13571">
          <cell r="V13571"/>
          <cell r="W13571"/>
          <cell r="X13571"/>
          <cell r="Y13571"/>
        </row>
        <row r="13572">
          <cell r="V13572"/>
          <cell r="W13572"/>
          <cell r="X13572"/>
          <cell r="Y13572"/>
        </row>
        <row r="13573">
          <cell r="V13573"/>
          <cell r="W13573"/>
          <cell r="X13573"/>
          <cell r="Y13573"/>
        </row>
        <row r="13574">
          <cell r="V13574"/>
          <cell r="W13574"/>
          <cell r="X13574"/>
          <cell r="Y13574"/>
        </row>
        <row r="13575">
          <cell r="V13575"/>
          <cell r="W13575"/>
          <cell r="X13575"/>
          <cell r="Y13575"/>
        </row>
        <row r="13576">
          <cell r="V13576"/>
          <cell r="W13576"/>
          <cell r="X13576"/>
          <cell r="Y13576"/>
        </row>
        <row r="13577">
          <cell r="V13577"/>
          <cell r="W13577"/>
          <cell r="X13577"/>
          <cell r="Y13577"/>
        </row>
        <row r="13578">
          <cell r="V13578"/>
          <cell r="W13578"/>
          <cell r="X13578"/>
          <cell r="Y13578"/>
        </row>
        <row r="13579">
          <cell r="V13579"/>
          <cell r="W13579"/>
          <cell r="X13579"/>
          <cell r="Y13579"/>
        </row>
        <row r="13580">
          <cell r="V13580"/>
          <cell r="W13580"/>
          <cell r="X13580"/>
          <cell r="Y13580"/>
        </row>
        <row r="13581">
          <cell r="V13581"/>
          <cell r="W13581"/>
          <cell r="X13581"/>
          <cell r="Y13581"/>
        </row>
        <row r="13582">
          <cell r="V13582"/>
          <cell r="W13582"/>
          <cell r="X13582"/>
          <cell r="Y13582"/>
        </row>
        <row r="13583">
          <cell r="V13583"/>
          <cell r="W13583"/>
          <cell r="X13583"/>
          <cell r="Y13583"/>
        </row>
        <row r="13584">
          <cell r="V13584"/>
          <cell r="W13584"/>
          <cell r="X13584"/>
          <cell r="Y13584"/>
        </row>
        <row r="13585">
          <cell r="V13585"/>
          <cell r="W13585"/>
          <cell r="X13585"/>
          <cell r="Y13585"/>
        </row>
        <row r="13586">
          <cell r="V13586"/>
          <cell r="W13586"/>
          <cell r="X13586"/>
          <cell r="Y13586"/>
        </row>
        <row r="13587">
          <cell r="V13587"/>
          <cell r="W13587"/>
          <cell r="X13587"/>
          <cell r="Y13587"/>
        </row>
        <row r="13588">
          <cell r="V13588"/>
          <cell r="W13588"/>
          <cell r="X13588"/>
          <cell r="Y13588"/>
        </row>
        <row r="13589">
          <cell r="V13589"/>
          <cell r="W13589"/>
          <cell r="X13589"/>
          <cell r="Y13589"/>
        </row>
        <row r="13590">
          <cell r="V13590"/>
          <cell r="W13590"/>
          <cell r="X13590"/>
          <cell r="Y13590"/>
        </row>
        <row r="13591">
          <cell r="V13591"/>
          <cell r="W13591"/>
          <cell r="X13591"/>
          <cell r="Y13591"/>
        </row>
        <row r="13592">
          <cell r="V13592"/>
          <cell r="W13592"/>
          <cell r="X13592"/>
          <cell r="Y13592"/>
        </row>
        <row r="13593">
          <cell r="V13593"/>
          <cell r="W13593"/>
          <cell r="X13593"/>
          <cell r="Y13593"/>
        </row>
        <row r="13594">
          <cell r="V13594"/>
          <cell r="W13594"/>
          <cell r="X13594"/>
          <cell r="Y13594"/>
        </row>
        <row r="13595">
          <cell r="V13595"/>
          <cell r="W13595"/>
          <cell r="X13595"/>
          <cell r="Y13595"/>
        </row>
        <row r="13596">
          <cell r="V13596"/>
          <cell r="W13596"/>
          <cell r="X13596"/>
          <cell r="Y13596"/>
        </row>
        <row r="13597">
          <cell r="V13597"/>
          <cell r="W13597"/>
          <cell r="X13597"/>
          <cell r="Y13597"/>
        </row>
        <row r="13598">
          <cell r="V13598"/>
          <cell r="W13598"/>
          <cell r="X13598"/>
          <cell r="Y13598"/>
        </row>
        <row r="13599">
          <cell r="V13599"/>
          <cell r="W13599"/>
          <cell r="X13599"/>
          <cell r="Y13599"/>
        </row>
        <row r="13600">
          <cell r="V13600"/>
          <cell r="W13600"/>
          <cell r="X13600"/>
          <cell r="Y13600"/>
        </row>
        <row r="13601">
          <cell r="V13601"/>
          <cell r="W13601"/>
          <cell r="X13601"/>
          <cell r="Y13601"/>
        </row>
        <row r="13602">
          <cell r="V13602"/>
          <cell r="W13602"/>
          <cell r="X13602"/>
          <cell r="Y13602"/>
        </row>
        <row r="13603">
          <cell r="V13603"/>
          <cell r="W13603"/>
          <cell r="X13603"/>
          <cell r="Y13603"/>
        </row>
        <row r="13604">
          <cell r="V13604"/>
          <cell r="W13604"/>
          <cell r="X13604"/>
          <cell r="Y13604"/>
        </row>
        <row r="13605">
          <cell r="V13605"/>
          <cell r="W13605"/>
          <cell r="X13605"/>
          <cell r="Y13605"/>
        </row>
        <row r="13606">
          <cell r="V13606"/>
          <cell r="W13606"/>
          <cell r="X13606"/>
          <cell r="Y13606"/>
        </row>
        <row r="13607">
          <cell r="V13607"/>
          <cell r="W13607"/>
          <cell r="X13607"/>
          <cell r="Y13607"/>
        </row>
        <row r="13608">
          <cell r="V13608"/>
          <cell r="W13608"/>
          <cell r="X13608"/>
          <cell r="Y13608"/>
        </row>
        <row r="13609">
          <cell r="V13609"/>
          <cell r="W13609"/>
          <cell r="X13609"/>
          <cell r="Y13609"/>
        </row>
        <row r="13610">
          <cell r="V13610"/>
          <cell r="W13610"/>
          <cell r="X13610"/>
          <cell r="Y13610"/>
        </row>
        <row r="13611">
          <cell r="V13611"/>
          <cell r="W13611"/>
          <cell r="X13611"/>
          <cell r="Y13611"/>
        </row>
        <row r="13612">
          <cell r="V13612"/>
          <cell r="W13612"/>
          <cell r="X13612"/>
          <cell r="Y13612"/>
        </row>
        <row r="13613">
          <cell r="V13613"/>
          <cell r="W13613"/>
          <cell r="X13613"/>
          <cell r="Y13613"/>
        </row>
        <row r="13614">
          <cell r="V13614"/>
          <cell r="W13614"/>
          <cell r="X13614"/>
          <cell r="Y13614"/>
        </row>
        <row r="13615">
          <cell r="V13615"/>
          <cell r="W13615"/>
          <cell r="X13615"/>
          <cell r="Y13615"/>
        </row>
        <row r="13616">
          <cell r="V13616"/>
          <cell r="W13616"/>
          <cell r="X13616"/>
          <cell r="Y13616"/>
        </row>
        <row r="13617">
          <cell r="V13617"/>
          <cell r="W13617"/>
          <cell r="X13617"/>
          <cell r="Y13617"/>
        </row>
        <row r="13618">
          <cell r="V13618"/>
          <cell r="W13618"/>
          <cell r="X13618"/>
          <cell r="Y13618"/>
        </row>
        <row r="13619">
          <cell r="V13619"/>
          <cell r="W13619"/>
          <cell r="X13619"/>
          <cell r="Y13619"/>
        </row>
        <row r="13620">
          <cell r="V13620"/>
          <cell r="W13620"/>
          <cell r="X13620"/>
          <cell r="Y13620"/>
        </row>
        <row r="13621">
          <cell r="V13621"/>
          <cell r="W13621"/>
          <cell r="X13621"/>
          <cell r="Y13621"/>
        </row>
        <row r="13622">
          <cell r="V13622"/>
          <cell r="W13622"/>
          <cell r="X13622"/>
          <cell r="Y13622"/>
        </row>
        <row r="13623">
          <cell r="V13623"/>
          <cell r="W13623"/>
          <cell r="X13623"/>
          <cell r="Y13623"/>
        </row>
        <row r="13624">
          <cell r="V13624"/>
          <cell r="W13624"/>
          <cell r="X13624"/>
          <cell r="Y13624"/>
        </row>
        <row r="13625">
          <cell r="V13625"/>
          <cell r="W13625"/>
          <cell r="X13625"/>
          <cell r="Y13625"/>
        </row>
        <row r="13626">
          <cell r="V13626"/>
          <cell r="W13626"/>
          <cell r="X13626"/>
          <cell r="Y13626"/>
        </row>
        <row r="13627">
          <cell r="V13627"/>
          <cell r="W13627"/>
          <cell r="X13627"/>
          <cell r="Y13627"/>
        </row>
        <row r="13628">
          <cell r="V13628"/>
          <cell r="W13628"/>
          <cell r="X13628"/>
          <cell r="Y13628"/>
        </row>
        <row r="13629">
          <cell r="V13629"/>
          <cell r="W13629"/>
          <cell r="X13629"/>
          <cell r="Y13629"/>
        </row>
        <row r="13630">
          <cell r="V13630"/>
          <cell r="W13630"/>
          <cell r="X13630"/>
          <cell r="Y13630"/>
        </row>
        <row r="13631">
          <cell r="V13631"/>
          <cell r="W13631"/>
          <cell r="X13631"/>
          <cell r="Y13631"/>
        </row>
        <row r="13632">
          <cell r="V13632"/>
          <cell r="W13632"/>
          <cell r="X13632"/>
          <cell r="Y13632"/>
        </row>
        <row r="13633">
          <cell r="V13633"/>
          <cell r="W13633"/>
          <cell r="X13633"/>
          <cell r="Y13633"/>
        </row>
        <row r="13634">
          <cell r="V13634"/>
          <cell r="W13634"/>
          <cell r="X13634"/>
          <cell r="Y13634"/>
        </row>
        <row r="13635">
          <cell r="V13635"/>
          <cell r="W13635"/>
          <cell r="X13635"/>
          <cell r="Y13635"/>
        </row>
        <row r="13636">
          <cell r="V13636"/>
          <cell r="W13636"/>
          <cell r="X13636"/>
          <cell r="Y13636"/>
        </row>
        <row r="13637">
          <cell r="V13637"/>
          <cell r="W13637"/>
          <cell r="X13637"/>
          <cell r="Y13637"/>
        </row>
        <row r="13638">
          <cell r="V13638"/>
          <cell r="W13638"/>
          <cell r="X13638"/>
          <cell r="Y13638"/>
        </row>
        <row r="13639">
          <cell r="V13639"/>
          <cell r="W13639"/>
          <cell r="X13639"/>
          <cell r="Y13639"/>
        </row>
        <row r="13640">
          <cell r="V13640"/>
          <cell r="W13640"/>
          <cell r="X13640"/>
          <cell r="Y13640"/>
        </row>
        <row r="13641">
          <cell r="V13641"/>
          <cell r="W13641"/>
          <cell r="X13641"/>
          <cell r="Y13641"/>
        </row>
        <row r="13642">
          <cell r="V13642"/>
          <cell r="W13642"/>
          <cell r="X13642"/>
          <cell r="Y13642"/>
        </row>
        <row r="13643">
          <cell r="V13643"/>
          <cell r="W13643"/>
          <cell r="X13643"/>
          <cell r="Y13643"/>
        </row>
        <row r="13644">
          <cell r="V13644"/>
          <cell r="W13644"/>
          <cell r="X13644"/>
          <cell r="Y13644"/>
        </row>
        <row r="13645">
          <cell r="V13645"/>
          <cell r="W13645"/>
          <cell r="X13645"/>
          <cell r="Y13645"/>
        </row>
        <row r="13646">
          <cell r="V13646"/>
          <cell r="W13646"/>
          <cell r="X13646"/>
          <cell r="Y13646"/>
        </row>
        <row r="13647">
          <cell r="V13647"/>
          <cell r="W13647"/>
          <cell r="X13647"/>
          <cell r="Y13647"/>
        </row>
        <row r="13648">
          <cell r="V13648"/>
          <cell r="W13648"/>
          <cell r="X13648"/>
          <cell r="Y13648"/>
        </row>
        <row r="13649">
          <cell r="V13649"/>
          <cell r="W13649"/>
          <cell r="X13649"/>
          <cell r="Y13649"/>
        </row>
        <row r="13650">
          <cell r="V13650"/>
          <cell r="W13650"/>
          <cell r="X13650"/>
          <cell r="Y13650"/>
        </row>
        <row r="13651">
          <cell r="V13651"/>
          <cell r="W13651"/>
          <cell r="X13651"/>
          <cell r="Y13651"/>
        </row>
        <row r="13652">
          <cell r="V13652"/>
          <cell r="W13652"/>
          <cell r="X13652"/>
          <cell r="Y13652"/>
        </row>
        <row r="13653">
          <cell r="V13653"/>
          <cell r="W13653"/>
          <cell r="X13653"/>
          <cell r="Y13653"/>
        </row>
        <row r="13654">
          <cell r="V13654"/>
          <cell r="W13654"/>
          <cell r="X13654"/>
          <cell r="Y13654"/>
        </row>
        <row r="13655">
          <cell r="V13655"/>
          <cell r="W13655"/>
          <cell r="X13655"/>
          <cell r="Y13655"/>
        </row>
        <row r="13656">
          <cell r="V13656"/>
          <cell r="W13656"/>
          <cell r="X13656"/>
          <cell r="Y13656"/>
        </row>
        <row r="13657">
          <cell r="V13657"/>
          <cell r="W13657"/>
          <cell r="X13657"/>
          <cell r="Y13657"/>
        </row>
        <row r="13658">
          <cell r="V13658"/>
          <cell r="W13658"/>
          <cell r="X13658"/>
          <cell r="Y13658"/>
        </row>
        <row r="13659">
          <cell r="V13659"/>
          <cell r="W13659"/>
          <cell r="X13659"/>
          <cell r="Y13659"/>
        </row>
        <row r="13660">
          <cell r="V13660"/>
          <cell r="W13660"/>
          <cell r="X13660"/>
          <cell r="Y13660"/>
        </row>
        <row r="13661">
          <cell r="V13661"/>
          <cell r="W13661"/>
          <cell r="X13661"/>
          <cell r="Y13661"/>
        </row>
        <row r="13662">
          <cell r="V13662"/>
          <cell r="W13662"/>
          <cell r="X13662"/>
          <cell r="Y13662"/>
        </row>
        <row r="13663">
          <cell r="V13663"/>
          <cell r="W13663"/>
          <cell r="X13663"/>
          <cell r="Y13663"/>
        </row>
        <row r="13664">
          <cell r="V13664"/>
          <cell r="W13664"/>
          <cell r="X13664"/>
          <cell r="Y13664"/>
        </row>
        <row r="13665">
          <cell r="V13665"/>
          <cell r="W13665"/>
          <cell r="X13665"/>
          <cell r="Y13665"/>
        </row>
        <row r="13666">
          <cell r="V13666"/>
          <cell r="W13666"/>
          <cell r="X13666"/>
          <cell r="Y13666"/>
        </row>
        <row r="13667">
          <cell r="V13667"/>
          <cell r="W13667"/>
          <cell r="X13667"/>
          <cell r="Y13667"/>
        </row>
        <row r="13668">
          <cell r="V13668"/>
          <cell r="W13668"/>
          <cell r="X13668"/>
          <cell r="Y13668"/>
        </row>
        <row r="13669">
          <cell r="V13669"/>
          <cell r="W13669"/>
          <cell r="X13669"/>
          <cell r="Y13669"/>
        </row>
        <row r="13670">
          <cell r="V13670"/>
          <cell r="W13670"/>
          <cell r="X13670"/>
          <cell r="Y13670"/>
        </row>
        <row r="13671">
          <cell r="V13671"/>
          <cell r="W13671"/>
          <cell r="X13671"/>
          <cell r="Y13671"/>
        </row>
        <row r="13672">
          <cell r="V13672"/>
          <cell r="W13672"/>
          <cell r="X13672"/>
          <cell r="Y13672"/>
        </row>
        <row r="13673">
          <cell r="V13673"/>
          <cell r="W13673"/>
          <cell r="X13673"/>
          <cell r="Y13673"/>
        </row>
        <row r="13674">
          <cell r="V13674"/>
          <cell r="W13674"/>
          <cell r="X13674"/>
          <cell r="Y13674"/>
        </row>
        <row r="13675">
          <cell r="V13675"/>
          <cell r="W13675"/>
          <cell r="X13675"/>
          <cell r="Y13675"/>
        </row>
        <row r="13676">
          <cell r="V13676"/>
          <cell r="W13676"/>
          <cell r="X13676"/>
          <cell r="Y13676"/>
        </row>
        <row r="13677">
          <cell r="V13677"/>
          <cell r="W13677"/>
          <cell r="X13677"/>
          <cell r="Y13677"/>
        </row>
        <row r="13678">
          <cell r="V13678"/>
          <cell r="W13678"/>
          <cell r="X13678"/>
          <cell r="Y13678"/>
        </row>
        <row r="13679">
          <cell r="V13679"/>
          <cell r="W13679"/>
          <cell r="X13679"/>
          <cell r="Y13679"/>
        </row>
        <row r="13680">
          <cell r="V13680"/>
          <cell r="W13680"/>
          <cell r="X13680"/>
          <cell r="Y13680"/>
        </row>
        <row r="13681">
          <cell r="V13681"/>
          <cell r="W13681"/>
          <cell r="X13681"/>
          <cell r="Y13681"/>
        </row>
        <row r="13682">
          <cell r="V13682"/>
          <cell r="W13682"/>
          <cell r="X13682"/>
          <cell r="Y13682"/>
        </row>
        <row r="13683">
          <cell r="V13683"/>
          <cell r="W13683"/>
          <cell r="X13683"/>
          <cell r="Y13683"/>
        </row>
        <row r="13684">
          <cell r="V13684"/>
          <cell r="W13684"/>
          <cell r="X13684"/>
          <cell r="Y13684"/>
        </row>
        <row r="13685">
          <cell r="V13685"/>
          <cell r="W13685"/>
          <cell r="X13685"/>
          <cell r="Y13685"/>
        </row>
        <row r="13686">
          <cell r="V13686"/>
          <cell r="W13686"/>
          <cell r="X13686"/>
          <cell r="Y13686"/>
        </row>
        <row r="13687">
          <cell r="V13687"/>
          <cell r="W13687"/>
          <cell r="X13687"/>
          <cell r="Y13687"/>
        </row>
        <row r="13688">
          <cell r="V13688"/>
          <cell r="W13688"/>
          <cell r="X13688"/>
          <cell r="Y13688"/>
        </row>
        <row r="13689">
          <cell r="V13689"/>
          <cell r="W13689"/>
          <cell r="X13689"/>
          <cell r="Y13689"/>
        </row>
        <row r="13690">
          <cell r="V13690"/>
          <cell r="W13690"/>
          <cell r="X13690"/>
          <cell r="Y13690"/>
        </row>
        <row r="13691">
          <cell r="V13691"/>
          <cell r="W13691"/>
          <cell r="X13691"/>
          <cell r="Y13691"/>
        </row>
        <row r="13692">
          <cell r="V13692"/>
          <cell r="W13692"/>
          <cell r="X13692"/>
          <cell r="Y13692"/>
        </row>
        <row r="13693">
          <cell r="V13693"/>
          <cell r="W13693"/>
          <cell r="X13693"/>
          <cell r="Y13693"/>
        </row>
        <row r="13694">
          <cell r="V13694"/>
          <cell r="W13694"/>
          <cell r="X13694"/>
          <cell r="Y13694"/>
        </row>
        <row r="13695">
          <cell r="V13695"/>
          <cell r="W13695"/>
          <cell r="X13695"/>
          <cell r="Y13695"/>
        </row>
        <row r="13696">
          <cell r="V13696"/>
          <cell r="W13696"/>
          <cell r="X13696"/>
          <cell r="Y13696"/>
        </row>
        <row r="13697">
          <cell r="V13697"/>
          <cell r="W13697"/>
          <cell r="X13697"/>
          <cell r="Y13697"/>
        </row>
        <row r="13698">
          <cell r="V13698"/>
          <cell r="W13698"/>
          <cell r="X13698"/>
          <cell r="Y13698"/>
        </row>
        <row r="13699">
          <cell r="V13699"/>
          <cell r="W13699"/>
          <cell r="X13699"/>
          <cell r="Y13699"/>
        </row>
        <row r="13700">
          <cell r="V13700"/>
          <cell r="W13700"/>
          <cell r="X13700"/>
          <cell r="Y13700"/>
        </row>
        <row r="13701">
          <cell r="V13701"/>
          <cell r="W13701"/>
          <cell r="X13701"/>
          <cell r="Y13701"/>
        </row>
        <row r="13702">
          <cell r="V13702"/>
          <cell r="W13702"/>
          <cell r="X13702"/>
          <cell r="Y13702"/>
        </row>
        <row r="13703">
          <cell r="V13703"/>
          <cell r="W13703"/>
          <cell r="X13703"/>
          <cell r="Y13703"/>
        </row>
        <row r="13704">
          <cell r="V13704"/>
          <cell r="W13704"/>
          <cell r="X13704"/>
          <cell r="Y13704"/>
        </row>
        <row r="13705">
          <cell r="V13705"/>
          <cell r="W13705"/>
          <cell r="X13705"/>
          <cell r="Y13705"/>
        </row>
        <row r="13706">
          <cell r="V13706"/>
          <cell r="W13706"/>
          <cell r="X13706"/>
          <cell r="Y13706"/>
        </row>
        <row r="13707">
          <cell r="V13707"/>
          <cell r="W13707"/>
          <cell r="X13707"/>
          <cell r="Y13707"/>
        </row>
        <row r="13708">
          <cell r="V13708"/>
          <cell r="W13708"/>
          <cell r="X13708"/>
          <cell r="Y13708"/>
        </row>
        <row r="13709">
          <cell r="V13709"/>
          <cell r="W13709"/>
          <cell r="X13709"/>
          <cell r="Y13709"/>
        </row>
        <row r="13710">
          <cell r="V13710"/>
          <cell r="W13710"/>
          <cell r="X13710"/>
          <cell r="Y13710"/>
        </row>
        <row r="13711">
          <cell r="V13711"/>
          <cell r="W13711"/>
          <cell r="X13711"/>
          <cell r="Y13711"/>
        </row>
        <row r="13712">
          <cell r="V13712"/>
          <cell r="W13712"/>
          <cell r="X13712"/>
          <cell r="Y13712"/>
        </row>
        <row r="13713">
          <cell r="V13713"/>
          <cell r="W13713"/>
          <cell r="X13713"/>
          <cell r="Y13713"/>
        </row>
        <row r="13714">
          <cell r="V13714"/>
          <cell r="W13714"/>
          <cell r="X13714"/>
          <cell r="Y13714"/>
        </row>
        <row r="13715">
          <cell r="V13715"/>
          <cell r="W13715"/>
          <cell r="X13715"/>
          <cell r="Y13715"/>
        </row>
        <row r="13716">
          <cell r="V13716"/>
          <cell r="W13716"/>
          <cell r="X13716"/>
          <cell r="Y13716"/>
        </row>
        <row r="13717">
          <cell r="V13717"/>
          <cell r="W13717"/>
          <cell r="X13717"/>
          <cell r="Y13717"/>
        </row>
        <row r="13718">
          <cell r="V13718"/>
          <cell r="W13718"/>
          <cell r="X13718"/>
          <cell r="Y13718"/>
        </row>
        <row r="13719">
          <cell r="V13719"/>
          <cell r="W13719"/>
          <cell r="X13719"/>
          <cell r="Y13719"/>
        </row>
        <row r="13720">
          <cell r="V13720"/>
          <cell r="W13720"/>
          <cell r="X13720"/>
          <cell r="Y13720"/>
        </row>
        <row r="13721">
          <cell r="V13721"/>
          <cell r="W13721"/>
          <cell r="X13721"/>
          <cell r="Y13721"/>
        </row>
        <row r="13722">
          <cell r="V13722"/>
          <cell r="W13722"/>
          <cell r="X13722"/>
          <cell r="Y13722"/>
        </row>
        <row r="13723">
          <cell r="V13723"/>
          <cell r="W13723"/>
          <cell r="X13723"/>
          <cell r="Y13723"/>
        </row>
        <row r="13724">
          <cell r="V13724"/>
          <cell r="W13724"/>
          <cell r="X13724"/>
          <cell r="Y13724"/>
        </row>
        <row r="13725">
          <cell r="V13725"/>
          <cell r="W13725"/>
          <cell r="X13725"/>
          <cell r="Y13725"/>
        </row>
        <row r="13726">
          <cell r="V13726"/>
          <cell r="W13726"/>
          <cell r="X13726"/>
          <cell r="Y13726"/>
        </row>
        <row r="13727">
          <cell r="V13727"/>
          <cell r="W13727"/>
          <cell r="X13727"/>
          <cell r="Y13727"/>
        </row>
        <row r="13728">
          <cell r="V13728"/>
          <cell r="W13728"/>
          <cell r="X13728"/>
          <cell r="Y13728"/>
        </row>
        <row r="13729">
          <cell r="V13729"/>
          <cell r="W13729"/>
          <cell r="X13729"/>
          <cell r="Y13729"/>
        </row>
        <row r="13730">
          <cell r="V13730"/>
          <cell r="W13730"/>
          <cell r="X13730"/>
          <cell r="Y13730"/>
        </row>
        <row r="13731">
          <cell r="V13731"/>
          <cell r="W13731"/>
          <cell r="X13731"/>
          <cell r="Y13731"/>
        </row>
        <row r="13732">
          <cell r="V13732"/>
          <cell r="W13732"/>
          <cell r="X13732"/>
          <cell r="Y13732"/>
        </row>
        <row r="13733">
          <cell r="V13733"/>
          <cell r="W13733"/>
          <cell r="X13733"/>
          <cell r="Y13733"/>
        </row>
        <row r="13734">
          <cell r="V13734"/>
          <cell r="W13734"/>
          <cell r="X13734"/>
          <cell r="Y13734"/>
        </row>
        <row r="13735">
          <cell r="V13735"/>
          <cell r="W13735"/>
          <cell r="X13735"/>
          <cell r="Y13735"/>
        </row>
        <row r="13736">
          <cell r="V13736"/>
          <cell r="W13736"/>
          <cell r="X13736"/>
          <cell r="Y13736"/>
        </row>
        <row r="13737">
          <cell r="V13737"/>
          <cell r="W13737"/>
          <cell r="X13737"/>
          <cell r="Y13737"/>
        </row>
        <row r="13738">
          <cell r="V13738"/>
          <cell r="W13738"/>
          <cell r="X13738"/>
          <cell r="Y13738"/>
        </row>
        <row r="13739">
          <cell r="V13739"/>
          <cell r="W13739"/>
          <cell r="X13739"/>
          <cell r="Y13739"/>
        </row>
        <row r="13740">
          <cell r="V13740"/>
          <cell r="W13740"/>
          <cell r="X13740"/>
          <cell r="Y13740"/>
        </row>
        <row r="13741">
          <cell r="V13741"/>
          <cell r="W13741"/>
          <cell r="X13741"/>
          <cell r="Y13741"/>
        </row>
        <row r="13742">
          <cell r="V13742"/>
          <cell r="W13742"/>
          <cell r="X13742"/>
          <cell r="Y13742"/>
        </row>
        <row r="13743">
          <cell r="V13743"/>
          <cell r="W13743"/>
          <cell r="X13743"/>
          <cell r="Y13743"/>
        </row>
        <row r="13744">
          <cell r="V13744"/>
          <cell r="W13744"/>
          <cell r="X13744"/>
          <cell r="Y13744"/>
        </row>
        <row r="13745">
          <cell r="V13745"/>
          <cell r="W13745"/>
          <cell r="X13745"/>
          <cell r="Y13745"/>
        </row>
        <row r="13746">
          <cell r="V13746"/>
          <cell r="W13746"/>
          <cell r="X13746"/>
          <cell r="Y13746"/>
        </row>
        <row r="13747">
          <cell r="V13747"/>
          <cell r="W13747"/>
          <cell r="X13747"/>
          <cell r="Y13747"/>
        </row>
        <row r="13748">
          <cell r="V13748"/>
          <cell r="W13748"/>
          <cell r="X13748"/>
          <cell r="Y13748"/>
        </row>
        <row r="13749">
          <cell r="V13749"/>
          <cell r="W13749"/>
          <cell r="X13749"/>
          <cell r="Y13749"/>
        </row>
        <row r="13750">
          <cell r="V13750"/>
          <cell r="W13750"/>
          <cell r="X13750"/>
          <cell r="Y13750"/>
        </row>
        <row r="13751">
          <cell r="V13751"/>
          <cell r="W13751"/>
          <cell r="X13751"/>
          <cell r="Y13751"/>
        </row>
        <row r="13752">
          <cell r="V13752"/>
          <cell r="W13752"/>
          <cell r="X13752"/>
          <cell r="Y13752"/>
        </row>
        <row r="13753">
          <cell r="V13753"/>
          <cell r="W13753"/>
          <cell r="X13753"/>
          <cell r="Y13753"/>
        </row>
        <row r="13754">
          <cell r="V13754"/>
          <cell r="W13754"/>
          <cell r="X13754"/>
          <cell r="Y13754"/>
        </row>
        <row r="13755">
          <cell r="V13755"/>
          <cell r="W13755"/>
          <cell r="X13755"/>
          <cell r="Y13755"/>
        </row>
        <row r="13756">
          <cell r="V13756"/>
          <cell r="W13756"/>
          <cell r="X13756"/>
          <cell r="Y13756"/>
        </row>
        <row r="13757">
          <cell r="V13757"/>
          <cell r="W13757"/>
          <cell r="X13757"/>
          <cell r="Y13757"/>
        </row>
        <row r="13758">
          <cell r="V13758"/>
          <cell r="W13758"/>
          <cell r="X13758"/>
          <cell r="Y13758"/>
        </row>
        <row r="13759">
          <cell r="V13759"/>
          <cell r="W13759"/>
          <cell r="X13759"/>
          <cell r="Y13759"/>
        </row>
        <row r="13760">
          <cell r="V13760"/>
          <cell r="W13760"/>
          <cell r="X13760"/>
          <cell r="Y13760"/>
        </row>
        <row r="13761">
          <cell r="V13761"/>
          <cell r="W13761"/>
          <cell r="X13761"/>
          <cell r="Y13761"/>
        </row>
        <row r="13762">
          <cell r="V13762"/>
          <cell r="W13762"/>
          <cell r="X13762"/>
          <cell r="Y13762"/>
        </row>
        <row r="13763">
          <cell r="V13763"/>
          <cell r="W13763"/>
          <cell r="X13763"/>
          <cell r="Y13763"/>
        </row>
        <row r="13764">
          <cell r="V13764"/>
          <cell r="W13764"/>
          <cell r="X13764"/>
          <cell r="Y13764"/>
        </row>
        <row r="13765">
          <cell r="V13765"/>
          <cell r="W13765"/>
          <cell r="X13765"/>
          <cell r="Y13765"/>
        </row>
        <row r="13766">
          <cell r="V13766"/>
          <cell r="W13766"/>
          <cell r="X13766"/>
          <cell r="Y13766"/>
        </row>
        <row r="13767">
          <cell r="V13767"/>
          <cell r="W13767"/>
          <cell r="X13767"/>
          <cell r="Y13767"/>
        </row>
        <row r="13768">
          <cell r="V13768"/>
          <cell r="W13768"/>
          <cell r="X13768"/>
          <cell r="Y13768"/>
        </row>
        <row r="13769">
          <cell r="V13769"/>
          <cell r="W13769"/>
          <cell r="X13769"/>
          <cell r="Y13769"/>
        </row>
        <row r="13770">
          <cell r="V13770"/>
          <cell r="W13770"/>
          <cell r="X13770"/>
          <cell r="Y13770"/>
        </row>
        <row r="13771">
          <cell r="V13771"/>
          <cell r="W13771"/>
          <cell r="X13771"/>
          <cell r="Y13771"/>
        </row>
        <row r="13772">
          <cell r="V13772"/>
          <cell r="W13772"/>
          <cell r="X13772"/>
          <cell r="Y13772"/>
        </row>
        <row r="13773">
          <cell r="V13773"/>
          <cell r="W13773"/>
          <cell r="X13773"/>
          <cell r="Y13773"/>
        </row>
        <row r="13774">
          <cell r="V13774"/>
          <cell r="W13774"/>
          <cell r="X13774"/>
          <cell r="Y13774"/>
        </row>
        <row r="13775">
          <cell r="V13775"/>
          <cell r="W13775"/>
          <cell r="X13775"/>
          <cell r="Y13775"/>
        </row>
        <row r="13776">
          <cell r="V13776"/>
          <cell r="W13776"/>
          <cell r="X13776"/>
          <cell r="Y13776"/>
        </row>
        <row r="13777">
          <cell r="V13777"/>
          <cell r="W13777"/>
          <cell r="X13777"/>
          <cell r="Y13777"/>
        </row>
        <row r="13778">
          <cell r="V13778"/>
          <cell r="W13778"/>
          <cell r="X13778"/>
          <cell r="Y13778"/>
        </row>
        <row r="13779">
          <cell r="V13779"/>
          <cell r="W13779"/>
          <cell r="X13779"/>
          <cell r="Y13779"/>
        </row>
        <row r="13780">
          <cell r="V13780"/>
          <cell r="W13780"/>
          <cell r="X13780"/>
          <cell r="Y13780"/>
        </row>
        <row r="13781">
          <cell r="V13781"/>
          <cell r="W13781"/>
          <cell r="X13781"/>
          <cell r="Y13781"/>
        </row>
        <row r="13782">
          <cell r="V13782"/>
          <cell r="W13782"/>
          <cell r="X13782"/>
          <cell r="Y13782"/>
        </row>
        <row r="13783">
          <cell r="V13783"/>
          <cell r="W13783"/>
          <cell r="X13783"/>
          <cell r="Y13783"/>
        </row>
        <row r="13784">
          <cell r="V13784"/>
          <cell r="W13784"/>
          <cell r="X13784"/>
          <cell r="Y13784"/>
        </row>
        <row r="13785">
          <cell r="V13785"/>
          <cell r="W13785"/>
          <cell r="X13785"/>
          <cell r="Y13785"/>
        </row>
        <row r="13786">
          <cell r="V13786"/>
          <cell r="W13786"/>
          <cell r="X13786"/>
          <cell r="Y13786"/>
        </row>
        <row r="13787">
          <cell r="V13787"/>
          <cell r="W13787"/>
          <cell r="X13787"/>
          <cell r="Y13787"/>
        </row>
        <row r="13788">
          <cell r="V13788"/>
          <cell r="W13788"/>
          <cell r="X13788"/>
          <cell r="Y13788"/>
        </row>
        <row r="13789">
          <cell r="V13789"/>
          <cell r="W13789"/>
          <cell r="X13789"/>
          <cell r="Y13789"/>
        </row>
        <row r="13790">
          <cell r="V13790"/>
          <cell r="W13790"/>
          <cell r="X13790"/>
          <cell r="Y13790"/>
        </row>
        <row r="13791">
          <cell r="V13791"/>
          <cell r="W13791"/>
          <cell r="X13791"/>
          <cell r="Y13791"/>
        </row>
        <row r="13792">
          <cell r="V13792"/>
          <cell r="W13792"/>
          <cell r="X13792"/>
          <cell r="Y13792"/>
        </row>
        <row r="13793">
          <cell r="V13793"/>
          <cell r="W13793"/>
          <cell r="X13793"/>
          <cell r="Y13793"/>
        </row>
        <row r="13794">
          <cell r="V13794"/>
          <cell r="W13794"/>
          <cell r="X13794"/>
          <cell r="Y13794"/>
        </row>
        <row r="13795">
          <cell r="V13795"/>
          <cell r="W13795"/>
          <cell r="X13795"/>
          <cell r="Y13795"/>
        </row>
        <row r="13796">
          <cell r="V13796"/>
          <cell r="W13796"/>
          <cell r="X13796"/>
          <cell r="Y13796"/>
        </row>
        <row r="13797">
          <cell r="V13797"/>
          <cell r="W13797"/>
          <cell r="X13797"/>
          <cell r="Y13797"/>
        </row>
        <row r="13798">
          <cell r="V13798"/>
          <cell r="W13798"/>
          <cell r="X13798"/>
          <cell r="Y13798"/>
        </row>
        <row r="13799">
          <cell r="V13799"/>
          <cell r="W13799"/>
          <cell r="X13799"/>
          <cell r="Y13799"/>
        </row>
        <row r="13800">
          <cell r="V13800"/>
          <cell r="W13800"/>
          <cell r="X13800"/>
          <cell r="Y13800"/>
        </row>
        <row r="13801">
          <cell r="V13801"/>
          <cell r="W13801"/>
          <cell r="X13801"/>
          <cell r="Y13801"/>
        </row>
        <row r="13802">
          <cell r="V13802"/>
          <cell r="W13802"/>
          <cell r="X13802"/>
          <cell r="Y13802"/>
        </row>
        <row r="13803">
          <cell r="V13803"/>
          <cell r="W13803"/>
          <cell r="X13803"/>
          <cell r="Y13803"/>
        </row>
        <row r="13804">
          <cell r="V13804"/>
          <cell r="W13804"/>
          <cell r="X13804"/>
          <cell r="Y13804"/>
        </row>
        <row r="13805">
          <cell r="V13805"/>
          <cell r="W13805"/>
          <cell r="X13805"/>
          <cell r="Y13805"/>
        </row>
        <row r="13806">
          <cell r="V13806"/>
          <cell r="W13806"/>
          <cell r="X13806"/>
          <cell r="Y13806"/>
        </row>
        <row r="13807">
          <cell r="V13807"/>
          <cell r="W13807"/>
          <cell r="X13807"/>
          <cell r="Y13807"/>
        </row>
        <row r="13808">
          <cell r="V13808"/>
          <cell r="W13808"/>
          <cell r="X13808"/>
          <cell r="Y13808"/>
        </row>
        <row r="13809">
          <cell r="V13809"/>
          <cell r="W13809"/>
          <cell r="X13809"/>
          <cell r="Y13809"/>
        </row>
        <row r="13810">
          <cell r="V13810"/>
          <cell r="W13810"/>
          <cell r="X13810"/>
          <cell r="Y13810"/>
        </row>
        <row r="13811">
          <cell r="V13811"/>
          <cell r="W13811"/>
          <cell r="X13811"/>
          <cell r="Y13811"/>
        </row>
        <row r="13812">
          <cell r="V13812"/>
          <cell r="W13812"/>
          <cell r="X13812"/>
          <cell r="Y13812"/>
        </row>
        <row r="13813">
          <cell r="V13813"/>
          <cell r="W13813"/>
          <cell r="X13813"/>
          <cell r="Y13813"/>
        </row>
        <row r="13814">
          <cell r="V13814"/>
          <cell r="W13814"/>
          <cell r="X13814"/>
          <cell r="Y13814"/>
        </row>
        <row r="13815">
          <cell r="V13815"/>
          <cell r="W13815"/>
          <cell r="X13815"/>
          <cell r="Y13815"/>
        </row>
        <row r="13816">
          <cell r="V13816"/>
          <cell r="W13816"/>
          <cell r="X13816"/>
          <cell r="Y13816"/>
        </row>
        <row r="13817">
          <cell r="V13817"/>
          <cell r="W13817"/>
          <cell r="X13817"/>
          <cell r="Y13817"/>
        </row>
        <row r="13818">
          <cell r="V13818"/>
          <cell r="W13818"/>
          <cell r="X13818"/>
          <cell r="Y13818"/>
        </row>
        <row r="13819">
          <cell r="V13819"/>
          <cell r="W13819"/>
          <cell r="X13819"/>
          <cell r="Y13819"/>
        </row>
        <row r="13820">
          <cell r="V13820"/>
          <cell r="W13820"/>
          <cell r="X13820"/>
          <cell r="Y13820"/>
        </row>
        <row r="13821">
          <cell r="V13821"/>
          <cell r="W13821"/>
          <cell r="X13821"/>
          <cell r="Y13821"/>
        </row>
        <row r="13822">
          <cell r="V13822"/>
          <cell r="W13822"/>
          <cell r="X13822"/>
          <cell r="Y13822"/>
        </row>
        <row r="13823">
          <cell r="V13823"/>
          <cell r="W13823"/>
          <cell r="X13823"/>
          <cell r="Y13823"/>
        </row>
        <row r="13824">
          <cell r="V13824"/>
          <cell r="W13824"/>
          <cell r="X13824"/>
          <cell r="Y13824"/>
        </row>
        <row r="13825">
          <cell r="V13825"/>
          <cell r="W13825"/>
          <cell r="X13825"/>
          <cell r="Y13825"/>
        </row>
        <row r="13826">
          <cell r="V13826"/>
          <cell r="W13826"/>
          <cell r="X13826"/>
          <cell r="Y13826"/>
        </row>
        <row r="13827">
          <cell r="V13827"/>
          <cell r="W13827"/>
          <cell r="X13827"/>
          <cell r="Y13827"/>
        </row>
        <row r="13828">
          <cell r="V13828"/>
          <cell r="W13828"/>
          <cell r="X13828"/>
          <cell r="Y13828"/>
        </row>
        <row r="13829">
          <cell r="V13829"/>
          <cell r="W13829"/>
          <cell r="X13829"/>
          <cell r="Y13829"/>
        </row>
        <row r="13830">
          <cell r="V13830"/>
          <cell r="W13830"/>
          <cell r="X13830"/>
          <cell r="Y13830"/>
        </row>
        <row r="13831">
          <cell r="V13831"/>
          <cell r="W13831"/>
          <cell r="X13831"/>
          <cell r="Y13831"/>
        </row>
        <row r="13832">
          <cell r="V13832"/>
          <cell r="W13832"/>
          <cell r="X13832"/>
          <cell r="Y13832"/>
        </row>
        <row r="13833">
          <cell r="V13833"/>
          <cell r="W13833"/>
          <cell r="X13833"/>
          <cell r="Y13833"/>
        </row>
        <row r="13834">
          <cell r="V13834"/>
          <cell r="W13834"/>
          <cell r="X13834"/>
          <cell r="Y13834"/>
        </row>
        <row r="13835">
          <cell r="V13835"/>
          <cell r="W13835"/>
          <cell r="X13835"/>
          <cell r="Y13835"/>
        </row>
        <row r="13836">
          <cell r="V13836"/>
          <cell r="W13836"/>
          <cell r="X13836"/>
          <cell r="Y13836"/>
        </row>
        <row r="13837">
          <cell r="V13837"/>
          <cell r="W13837"/>
          <cell r="X13837"/>
          <cell r="Y13837"/>
        </row>
        <row r="13838">
          <cell r="V13838"/>
          <cell r="W13838"/>
          <cell r="X13838"/>
          <cell r="Y13838"/>
        </row>
        <row r="13839">
          <cell r="V13839"/>
          <cell r="W13839"/>
          <cell r="X13839"/>
          <cell r="Y13839"/>
        </row>
        <row r="13840">
          <cell r="V13840"/>
          <cell r="W13840"/>
          <cell r="X13840"/>
          <cell r="Y13840"/>
        </row>
        <row r="13841">
          <cell r="V13841"/>
          <cell r="W13841"/>
          <cell r="X13841"/>
          <cell r="Y13841"/>
        </row>
        <row r="13842">
          <cell r="V13842"/>
          <cell r="W13842"/>
          <cell r="X13842"/>
          <cell r="Y13842"/>
        </row>
        <row r="13843">
          <cell r="V13843"/>
          <cell r="W13843"/>
          <cell r="X13843"/>
          <cell r="Y13843"/>
        </row>
        <row r="13844">
          <cell r="V13844"/>
          <cell r="W13844"/>
          <cell r="X13844"/>
          <cell r="Y13844"/>
        </row>
        <row r="13845">
          <cell r="V13845"/>
          <cell r="W13845"/>
          <cell r="X13845"/>
          <cell r="Y13845"/>
        </row>
        <row r="13846">
          <cell r="V13846"/>
          <cell r="W13846"/>
          <cell r="X13846"/>
          <cell r="Y13846"/>
        </row>
        <row r="13847">
          <cell r="V13847"/>
          <cell r="W13847"/>
          <cell r="X13847"/>
          <cell r="Y13847"/>
        </row>
        <row r="13848">
          <cell r="V13848"/>
          <cell r="W13848"/>
          <cell r="X13848"/>
          <cell r="Y13848"/>
        </row>
        <row r="13849">
          <cell r="V13849"/>
          <cell r="W13849"/>
          <cell r="X13849"/>
          <cell r="Y13849"/>
        </row>
        <row r="13850">
          <cell r="V13850"/>
          <cell r="W13850"/>
          <cell r="X13850"/>
          <cell r="Y13850"/>
        </row>
        <row r="13851">
          <cell r="V13851"/>
          <cell r="W13851"/>
          <cell r="X13851"/>
          <cell r="Y13851"/>
        </row>
        <row r="13852">
          <cell r="V13852"/>
          <cell r="W13852"/>
          <cell r="X13852"/>
          <cell r="Y13852"/>
        </row>
        <row r="13853">
          <cell r="V13853"/>
          <cell r="W13853"/>
          <cell r="X13853"/>
          <cell r="Y13853"/>
        </row>
        <row r="13854">
          <cell r="V13854"/>
          <cell r="W13854"/>
          <cell r="X13854"/>
          <cell r="Y13854"/>
        </row>
        <row r="13855">
          <cell r="V13855"/>
          <cell r="W13855"/>
          <cell r="X13855"/>
          <cell r="Y13855"/>
        </row>
        <row r="13856">
          <cell r="V13856"/>
          <cell r="W13856"/>
          <cell r="X13856"/>
          <cell r="Y13856"/>
        </row>
        <row r="13857">
          <cell r="V13857"/>
          <cell r="W13857"/>
          <cell r="X13857"/>
          <cell r="Y13857"/>
        </row>
        <row r="13858">
          <cell r="V13858"/>
          <cell r="W13858"/>
          <cell r="X13858"/>
          <cell r="Y13858"/>
        </row>
        <row r="13859">
          <cell r="V13859"/>
          <cell r="W13859"/>
          <cell r="X13859"/>
          <cell r="Y13859"/>
        </row>
        <row r="13860">
          <cell r="V13860"/>
          <cell r="W13860"/>
          <cell r="X13860"/>
          <cell r="Y13860"/>
        </row>
        <row r="13861">
          <cell r="V13861"/>
          <cell r="W13861"/>
          <cell r="X13861"/>
          <cell r="Y13861"/>
        </row>
        <row r="13862">
          <cell r="V13862"/>
          <cell r="W13862"/>
          <cell r="X13862"/>
          <cell r="Y13862"/>
        </row>
        <row r="13863">
          <cell r="V13863"/>
          <cell r="W13863"/>
          <cell r="X13863"/>
          <cell r="Y13863"/>
        </row>
        <row r="13864">
          <cell r="V13864"/>
          <cell r="W13864"/>
          <cell r="X13864"/>
          <cell r="Y13864"/>
        </row>
        <row r="13865">
          <cell r="V13865"/>
          <cell r="W13865"/>
          <cell r="X13865"/>
          <cell r="Y13865"/>
        </row>
        <row r="13866">
          <cell r="V13866"/>
          <cell r="W13866"/>
          <cell r="X13866"/>
          <cell r="Y13866"/>
        </row>
        <row r="13867">
          <cell r="V13867"/>
          <cell r="W13867"/>
          <cell r="X13867"/>
          <cell r="Y13867"/>
        </row>
        <row r="13868">
          <cell r="V13868"/>
          <cell r="W13868"/>
          <cell r="X13868"/>
          <cell r="Y13868"/>
        </row>
        <row r="13869">
          <cell r="V13869"/>
          <cell r="W13869"/>
          <cell r="X13869"/>
          <cell r="Y13869"/>
        </row>
        <row r="13870">
          <cell r="V13870"/>
          <cell r="W13870"/>
          <cell r="X13870"/>
          <cell r="Y13870"/>
        </row>
        <row r="13871">
          <cell r="V13871"/>
          <cell r="W13871"/>
          <cell r="X13871"/>
          <cell r="Y13871"/>
        </row>
        <row r="13872">
          <cell r="V13872"/>
          <cell r="W13872"/>
          <cell r="X13872"/>
          <cell r="Y13872"/>
        </row>
        <row r="13873">
          <cell r="V13873"/>
          <cell r="W13873"/>
          <cell r="X13873"/>
          <cell r="Y13873"/>
        </row>
        <row r="13874">
          <cell r="V13874"/>
          <cell r="W13874"/>
          <cell r="X13874"/>
          <cell r="Y13874"/>
        </row>
        <row r="13875">
          <cell r="V13875"/>
          <cell r="W13875"/>
          <cell r="X13875"/>
          <cell r="Y13875"/>
        </row>
        <row r="13876">
          <cell r="V13876"/>
          <cell r="W13876"/>
          <cell r="X13876"/>
          <cell r="Y13876"/>
        </row>
        <row r="13877">
          <cell r="V13877"/>
          <cell r="W13877"/>
          <cell r="X13877"/>
          <cell r="Y13877"/>
        </row>
        <row r="13878">
          <cell r="V13878"/>
          <cell r="W13878"/>
          <cell r="X13878"/>
          <cell r="Y13878"/>
        </row>
        <row r="13879">
          <cell r="V13879"/>
          <cell r="W13879"/>
          <cell r="X13879"/>
          <cell r="Y13879"/>
        </row>
        <row r="13880">
          <cell r="V13880"/>
          <cell r="W13880"/>
          <cell r="X13880"/>
          <cell r="Y13880"/>
        </row>
        <row r="13881">
          <cell r="V13881"/>
          <cell r="W13881"/>
          <cell r="X13881"/>
          <cell r="Y13881"/>
        </row>
        <row r="13882">
          <cell r="V13882"/>
          <cell r="W13882"/>
          <cell r="X13882"/>
          <cell r="Y13882"/>
        </row>
        <row r="13883">
          <cell r="V13883"/>
          <cell r="W13883"/>
          <cell r="X13883"/>
          <cell r="Y13883"/>
        </row>
        <row r="13884">
          <cell r="V13884"/>
          <cell r="W13884"/>
          <cell r="X13884"/>
          <cell r="Y13884"/>
        </row>
        <row r="13885">
          <cell r="V13885"/>
          <cell r="W13885"/>
          <cell r="X13885"/>
          <cell r="Y13885"/>
        </row>
        <row r="13886">
          <cell r="V13886"/>
          <cell r="W13886"/>
          <cell r="X13886"/>
          <cell r="Y13886"/>
        </row>
        <row r="13887">
          <cell r="V13887"/>
          <cell r="W13887"/>
          <cell r="X13887"/>
          <cell r="Y13887"/>
        </row>
        <row r="13888">
          <cell r="V13888"/>
          <cell r="W13888"/>
          <cell r="X13888"/>
          <cell r="Y13888"/>
        </row>
        <row r="13889">
          <cell r="V13889"/>
          <cell r="W13889"/>
          <cell r="X13889"/>
          <cell r="Y13889"/>
        </row>
        <row r="13890">
          <cell r="V13890"/>
          <cell r="W13890"/>
          <cell r="X13890"/>
          <cell r="Y13890"/>
        </row>
        <row r="13891">
          <cell r="V13891"/>
          <cell r="W13891"/>
          <cell r="X13891"/>
          <cell r="Y13891"/>
        </row>
        <row r="13892">
          <cell r="V13892"/>
          <cell r="W13892"/>
          <cell r="X13892"/>
          <cell r="Y13892"/>
        </row>
        <row r="13893">
          <cell r="V13893"/>
          <cell r="W13893"/>
          <cell r="X13893"/>
          <cell r="Y13893"/>
        </row>
        <row r="13894">
          <cell r="V13894"/>
          <cell r="W13894"/>
          <cell r="X13894"/>
          <cell r="Y13894"/>
        </row>
        <row r="13895">
          <cell r="V13895"/>
          <cell r="W13895"/>
          <cell r="X13895"/>
          <cell r="Y13895"/>
        </row>
        <row r="13896">
          <cell r="V13896"/>
          <cell r="W13896"/>
          <cell r="X13896"/>
          <cell r="Y13896"/>
        </row>
        <row r="13897">
          <cell r="V13897"/>
          <cell r="W13897"/>
          <cell r="X13897"/>
          <cell r="Y13897"/>
        </row>
        <row r="13898">
          <cell r="V13898"/>
          <cell r="W13898"/>
          <cell r="X13898"/>
          <cell r="Y13898"/>
        </row>
        <row r="13899">
          <cell r="V13899"/>
          <cell r="W13899"/>
          <cell r="X13899"/>
          <cell r="Y13899"/>
        </row>
        <row r="13900">
          <cell r="V13900"/>
          <cell r="W13900"/>
          <cell r="X13900"/>
          <cell r="Y13900"/>
        </row>
        <row r="13901">
          <cell r="V13901"/>
          <cell r="W13901"/>
          <cell r="X13901"/>
          <cell r="Y13901"/>
        </row>
        <row r="13902">
          <cell r="V13902"/>
          <cell r="W13902"/>
          <cell r="X13902"/>
          <cell r="Y13902"/>
        </row>
        <row r="13903">
          <cell r="V13903"/>
          <cell r="W13903"/>
          <cell r="X13903"/>
          <cell r="Y13903"/>
        </row>
        <row r="13904">
          <cell r="V13904"/>
          <cell r="W13904"/>
          <cell r="X13904"/>
          <cell r="Y13904"/>
        </row>
        <row r="13905">
          <cell r="V13905"/>
          <cell r="W13905"/>
          <cell r="X13905"/>
          <cell r="Y13905"/>
        </row>
        <row r="13906">
          <cell r="V13906"/>
          <cell r="W13906"/>
          <cell r="X13906"/>
          <cell r="Y13906"/>
        </row>
        <row r="13907">
          <cell r="V13907"/>
          <cell r="W13907"/>
          <cell r="X13907"/>
          <cell r="Y13907"/>
        </row>
        <row r="13908">
          <cell r="V13908"/>
          <cell r="W13908"/>
          <cell r="X13908"/>
          <cell r="Y13908"/>
        </row>
        <row r="13909">
          <cell r="V13909"/>
          <cell r="W13909"/>
          <cell r="X13909"/>
          <cell r="Y13909"/>
        </row>
        <row r="13910">
          <cell r="V13910"/>
          <cell r="W13910"/>
          <cell r="X13910"/>
          <cell r="Y13910"/>
        </row>
        <row r="13911">
          <cell r="V13911"/>
          <cell r="W13911"/>
          <cell r="X13911"/>
          <cell r="Y13911"/>
        </row>
        <row r="13912">
          <cell r="V13912"/>
          <cell r="W13912"/>
          <cell r="X13912"/>
          <cell r="Y13912"/>
        </row>
        <row r="13913">
          <cell r="V13913"/>
          <cell r="W13913"/>
          <cell r="X13913"/>
          <cell r="Y13913"/>
        </row>
        <row r="13914">
          <cell r="V13914"/>
          <cell r="W13914"/>
          <cell r="X13914"/>
          <cell r="Y13914"/>
        </row>
        <row r="13915">
          <cell r="V13915"/>
          <cell r="W13915"/>
          <cell r="X13915"/>
          <cell r="Y13915"/>
        </row>
        <row r="13916">
          <cell r="V13916"/>
          <cell r="W13916"/>
          <cell r="X13916"/>
          <cell r="Y13916"/>
        </row>
        <row r="13917">
          <cell r="V13917"/>
          <cell r="W13917"/>
          <cell r="X13917"/>
          <cell r="Y13917"/>
        </row>
        <row r="13918">
          <cell r="V13918"/>
          <cell r="W13918"/>
          <cell r="X13918"/>
          <cell r="Y13918"/>
        </row>
        <row r="13919">
          <cell r="V13919"/>
          <cell r="W13919"/>
          <cell r="X13919"/>
          <cell r="Y13919"/>
        </row>
        <row r="13920">
          <cell r="V13920"/>
          <cell r="W13920"/>
          <cell r="X13920"/>
          <cell r="Y13920"/>
        </row>
        <row r="13921">
          <cell r="V13921"/>
          <cell r="W13921"/>
          <cell r="X13921"/>
          <cell r="Y13921"/>
        </row>
        <row r="13922">
          <cell r="V13922"/>
          <cell r="W13922"/>
          <cell r="X13922"/>
          <cell r="Y13922"/>
        </row>
        <row r="13923">
          <cell r="V13923"/>
          <cell r="W13923"/>
          <cell r="X13923"/>
          <cell r="Y13923"/>
        </row>
        <row r="13924">
          <cell r="V13924"/>
          <cell r="W13924"/>
          <cell r="X13924"/>
          <cell r="Y13924"/>
        </row>
        <row r="13925">
          <cell r="V13925"/>
          <cell r="W13925"/>
          <cell r="X13925"/>
          <cell r="Y13925"/>
        </row>
        <row r="13926">
          <cell r="V13926"/>
          <cell r="W13926"/>
          <cell r="X13926"/>
          <cell r="Y13926"/>
        </row>
        <row r="13927">
          <cell r="V13927"/>
          <cell r="W13927"/>
          <cell r="X13927"/>
          <cell r="Y13927"/>
        </row>
        <row r="13928">
          <cell r="V13928"/>
          <cell r="W13928"/>
          <cell r="X13928"/>
          <cell r="Y13928"/>
        </row>
        <row r="13929">
          <cell r="V13929"/>
          <cell r="W13929"/>
          <cell r="X13929"/>
          <cell r="Y13929"/>
        </row>
        <row r="13930">
          <cell r="V13930"/>
          <cell r="W13930"/>
          <cell r="X13930"/>
          <cell r="Y13930"/>
        </row>
        <row r="13931">
          <cell r="V13931"/>
          <cell r="W13931"/>
          <cell r="X13931"/>
          <cell r="Y13931"/>
        </row>
        <row r="13932">
          <cell r="V13932"/>
          <cell r="W13932"/>
          <cell r="X13932"/>
          <cell r="Y13932"/>
        </row>
        <row r="13933">
          <cell r="V13933"/>
          <cell r="W13933"/>
          <cell r="X13933"/>
          <cell r="Y13933"/>
        </row>
        <row r="13934">
          <cell r="V13934"/>
          <cell r="W13934"/>
          <cell r="X13934"/>
          <cell r="Y13934"/>
        </row>
        <row r="13935">
          <cell r="V13935"/>
          <cell r="W13935"/>
          <cell r="X13935"/>
          <cell r="Y13935"/>
        </row>
        <row r="13936">
          <cell r="V13936"/>
          <cell r="W13936"/>
          <cell r="X13936"/>
          <cell r="Y13936"/>
        </row>
        <row r="13937">
          <cell r="V13937"/>
          <cell r="W13937"/>
          <cell r="X13937"/>
          <cell r="Y13937"/>
        </row>
        <row r="13938">
          <cell r="V13938"/>
          <cell r="W13938"/>
          <cell r="X13938"/>
          <cell r="Y13938"/>
        </row>
        <row r="13939">
          <cell r="V13939"/>
          <cell r="W13939"/>
          <cell r="X13939"/>
          <cell r="Y13939"/>
        </row>
        <row r="13940">
          <cell r="V13940"/>
          <cell r="W13940"/>
          <cell r="X13940"/>
          <cell r="Y13940"/>
        </row>
        <row r="13941">
          <cell r="V13941"/>
          <cell r="W13941"/>
          <cell r="X13941"/>
          <cell r="Y13941"/>
        </row>
        <row r="13942">
          <cell r="V13942"/>
          <cell r="W13942"/>
          <cell r="X13942"/>
          <cell r="Y13942"/>
        </row>
        <row r="13943">
          <cell r="V13943"/>
          <cell r="W13943"/>
          <cell r="X13943"/>
          <cell r="Y13943"/>
        </row>
        <row r="13944">
          <cell r="V13944"/>
          <cell r="W13944"/>
          <cell r="X13944"/>
          <cell r="Y13944"/>
        </row>
        <row r="13945">
          <cell r="V13945"/>
          <cell r="W13945"/>
          <cell r="X13945"/>
          <cell r="Y13945"/>
        </row>
        <row r="13946">
          <cell r="V13946"/>
          <cell r="W13946"/>
          <cell r="X13946"/>
          <cell r="Y13946"/>
        </row>
        <row r="13947">
          <cell r="V13947"/>
          <cell r="W13947"/>
          <cell r="X13947"/>
          <cell r="Y13947"/>
        </row>
        <row r="13948">
          <cell r="V13948"/>
          <cell r="W13948"/>
          <cell r="X13948"/>
          <cell r="Y13948"/>
        </row>
        <row r="13949">
          <cell r="V13949"/>
          <cell r="W13949"/>
          <cell r="X13949"/>
          <cell r="Y13949"/>
        </row>
        <row r="13950">
          <cell r="V13950"/>
          <cell r="W13950"/>
          <cell r="X13950"/>
          <cell r="Y13950"/>
        </row>
        <row r="13951">
          <cell r="V13951"/>
          <cell r="W13951"/>
          <cell r="X13951"/>
          <cell r="Y13951"/>
        </row>
        <row r="13952">
          <cell r="V13952"/>
          <cell r="W13952"/>
          <cell r="X13952"/>
          <cell r="Y13952"/>
        </row>
        <row r="13953">
          <cell r="V13953"/>
          <cell r="W13953"/>
          <cell r="X13953"/>
          <cell r="Y13953"/>
        </row>
        <row r="13954">
          <cell r="V13954"/>
          <cell r="W13954"/>
          <cell r="X13954"/>
          <cell r="Y13954"/>
        </row>
        <row r="13955">
          <cell r="V13955"/>
          <cell r="W13955"/>
          <cell r="X13955"/>
          <cell r="Y13955"/>
        </row>
        <row r="13956">
          <cell r="V13956"/>
          <cell r="W13956"/>
          <cell r="X13956"/>
          <cell r="Y13956"/>
        </row>
        <row r="13957">
          <cell r="V13957"/>
          <cell r="W13957"/>
          <cell r="X13957"/>
          <cell r="Y13957"/>
        </row>
        <row r="13958">
          <cell r="V13958"/>
          <cell r="W13958"/>
          <cell r="X13958"/>
          <cell r="Y13958"/>
        </row>
        <row r="13959">
          <cell r="V13959"/>
          <cell r="W13959"/>
          <cell r="X13959"/>
          <cell r="Y13959"/>
        </row>
        <row r="13960">
          <cell r="V13960"/>
          <cell r="W13960"/>
          <cell r="X13960"/>
          <cell r="Y13960"/>
        </row>
        <row r="13961">
          <cell r="V13961"/>
          <cell r="W13961"/>
          <cell r="X13961"/>
          <cell r="Y13961"/>
        </row>
        <row r="13962">
          <cell r="V13962"/>
          <cell r="W13962"/>
          <cell r="X13962"/>
          <cell r="Y13962"/>
        </row>
        <row r="13963">
          <cell r="V13963"/>
          <cell r="W13963"/>
          <cell r="X13963"/>
          <cell r="Y13963"/>
        </row>
        <row r="13964">
          <cell r="V13964"/>
          <cell r="W13964"/>
          <cell r="X13964"/>
          <cell r="Y13964"/>
        </row>
        <row r="13965">
          <cell r="V13965"/>
          <cell r="W13965"/>
          <cell r="X13965"/>
          <cell r="Y13965"/>
        </row>
        <row r="13966">
          <cell r="V13966"/>
          <cell r="W13966"/>
          <cell r="X13966"/>
          <cell r="Y13966"/>
        </row>
        <row r="13967">
          <cell r="V13967"/>
          <cell r="W13967"/>
          <cell r="X13967"/>
          <cell r="Y13967"/>
        </row>
        <row r="13968">
          <cell r="V13968"/>
          <cell r="W13968"/>
          <cell r="X13968"/>
          <cell r="Y13968"/>
        </row>
        <row r="13969">
          <cell r="V13969"/>
          <cell r="W13969"/>
          <cell r="X13969"/>
          <cell r="Y13969"/>
        </row>
        <row r="13970">
          <cell r="V13970"/>
          <cell r="W13970"/>
          <cell r="X13970"/>
          <cell r="Y13970"/>
        </row>
        <row r="13971">
          <cell r="V13971"/>
          <cell r="W13971"/>
          <cell r="X13971"/>
          <cell r="Y13971"/>
        </row>
        <row r="13972">
          <cell r="V13972"/>
          <cell r="W13972"/>
          <cell r="X13972"/>
          <cell r="Y13972"/>
        </row>
        <row r="13973">
          <cell r="V13973"/>
          <cell r="W13973"/>
          <cell r="X13973"/>
          <cell r="Y13973"/>
        </row>
        <row r="13974">
          <cell r="V13974"/>
          <cell r="W13974"/>
          <cell r="X13974"/>
          <cell r="Y13974"/>
        </row>
        <row r="13975">
          <cell r="V13975"/>
          <cell r="W13975"/>
          <cell r="X13975"/>
          <cell r="Y13975"/>
        </row>
        <row r="13976">
          <cell r="V13976"/>
          <cell r="W13976"/>
          <cell r="X13976"/>
          <cell r="Y13976"/>
        </row>
        <row r="13977">
          <cell r="V13977"/>
          <cell r="W13977"/>
          <cell r="X13977"/>
          <cell r="Y13977"/>
        </row>
        <row r="13978">
          <cell r="V13978"/>
          <cell r="W13978"/>
          <cell r="X13978"/>
          <cell r="Y13978"/>
        </row>
        <row r="13979">
          <cell r="V13979"/>
          <cell r="W13979"/>
          <cell r="X13979"/>
          <cell r="Y13979"/>
        </row>
        <row r="13980">
          <cell r="V13980"/>
          <cell r="W13980"/>
          <cell r="X13980"/>
          <cell r="Y13980"/>
        </row>
        <row r="13981">
          <cell r="V13981"/>
          <cell r="W13981"/>
          <cell r="X13981"/>
          <cell r="Y13981"/>
        </row>
        <row r="13982">
          <cell r="V13982"/>
          <cell r="W13982"/>
          <cell r="X13982"/>
          <cell r="Y13982"/>
        </row>
        <row r="13983">
          <cell r="V13983"/>
          <cell r="W13983"/>
          <cell r="X13983"/>
          <cell r="Y13983"/>
        </row>
        <row r="13984">
          <cell r="V13984"/>
          <cell r="W13984"/>
          <cell r="X13984"/>
          <cell r="Y13984"/>
        </row>
        <row r="13985">
          <cell r="V13985"/>
          <cell r="W13985"/>
          <cell r="X13985"/>
          <cell r="Y13985"/>
        </row>
        <row r="13986">
          <cell r="V13986"/>
          <cell r="W13986"/>
          <cell r="X13986"/>
          <cell r="Y13986"/>
        </row>
        <row r="13987">
          <cell r="V13987"/>
          <cell r="W13987"/>
          <cell r="X13987"/>
          <cell r="Y13987"/>
        </row>
        <row r="13988">
          <cell r="V13988"/>
          <cell r="W13988"/>
          <cell r="X13988"/>
          <cell r="Y13988"/>
        </row>
        <row r="13989">
          <cell r="V13989"/>
          <cell r="W13989"/>
          <cell r="X13989"/>
          <cell r="Y13989"/>
        </row>
        <row r="13990">
          <cell r="V13990"/>
          <cell r="W13990"/>
          <cell r="X13990"/>
          <cell r="Y13990"/>
        </row>
        <row r="13991">
          <cell r="V13991"/>
          <cell r="W13991"/>
          <cell r="X13991"/>
          <cell r="Y13991"/>
        </row>
        <row r="13992">
          <cell r="V13992"/>
          <cell r="W13992"/>
          <cell r="X13992"/>
          <cell r="Y13992"/>
        </row>
        <row r="13993">
          <cell r="V13993"/>
          <cell r="W13993"/>
          <cell r="X13993"/>
          <cell r="Y13993"/>
        </row>
        <row r="13994">
          <cell r="V13994"/>
          <cell r="W13994"/>
          <cell r="X13994"/>
          <cell r="Y13994"/>
        </row>
        <row r="13995">
          <cell r="V13995"/>
          <cell r="W13995"/>
          <cell r="X13995"/>
          <cell r="Y13995"/>
        </row>
        <row r="13996">
          <cell r="V13996"/>
          <cell r="W13996"/>
          <cell r="X13996"/>
          <cell r="Y13996"/>
        </row>
        <row r="13997">
          <cell r="V13997"/>
          <cell r="W13997"/>
          <cell r="X13997"/>
          <cell r="Y13997"/>
        </row>
        <row r="13998">
          <cell r="V13998"/>
          <cell r="W13998"/>
          <cell r="X13998"/>
          <cell r="Y13998"/>
        </row>
        <row r="13999">
          <cell r="V13999"/>
          <cell r="W13999"/>
          <cell r="X13999"/>
          <cell r="Y13999"/>
        </row>
        <row r="14000">
          <cell r="V14000"/>
          <cell r="W14000"/>
          <cell r="X14000"/>
          <cell r="Y14000"/>
        </row>
        <row r="14001">
          <cell r="V14001"/>
          <cell r="W14001"/>
          <cell r="X14001"/>
          <cell r="Y14001"/>
        </row>
        <row r="14002">
          <cell r="V14002"/>
          <cell r="W14002"/>
          <cell r="X14002"/>
          <cell r="Y14002"/>
        </row>
        <row r="14003">
          <cell r="V14003"/>
          <cell r="W14003"/>
          <cell r="X14003"/>
          <cell r="Y14003"/>
        </row>
        <row r="14004">
          <cell r="V14004"/>
          <cell r="W14004"/>
          <cell r="X14004"/>
          <cell r="Y14004"/>
        </row>
        <row r="14005">
          <cell r="V14005"/>
          <cell r="W14005"/>
          <cell r="X14005"/>
          <cell r="Y14005"/>
        </row>
        <row r="14006">
          <cell r="V14006"/>
          <cell r="W14006"/>
          <cell r="X14006"/>
          <cell r="Y14006"/>
        </row>
        <row r="14007">
          <cell r="V14007"/>
          <cell r="W14007"/>
          <cell r="X14007"/>
          <cell r="Y14007"/>
        </row>
        <row r="14008">
          <cell r="V14008"/>
          <cell r="W14008"/>
          <cell r="X14008"/>
          <cell r="Y14008"/>
        </row>
        <row r="14009">
          <cell r="V14009"/>
          <cell r="W14009"/>
          <cell r="X14009"/>
          <cell r="Y14009"/>
        </row>
        <row r="14010">
          <cell r="V14010"/>
          <cell r="W14010"/>
          <cell r="X14010"/>
          <cell r="Y14010"/>
        </row>
        <row r="14011">
          <cell r="V14011"/>
          <cell r="W14011"/>
          <cell r="X14011"/>
          <cell r="Y14011"/>
        </row>
        <row r="14012">
          <cell r="V14012"/>
          <cell r="W14012"/>
          <cell r="X14012"/>
          <cell r="Y14012"/>
        </row>
        <row r="14013">
          <cell r="V14013"/>
          <cell r="W14013"/>
          <cell r="X14013"/>
          <cell r="Y14013"/>
        </row>
        <row r="14014">
          <cell r="V14014"/>
          <cell r="W14014"/>
          <cell r="X14014"/>
          <cell r="Y14014"/>
        </row>
        <row r="14015">
          <cell r="V14015"/>
          <cell r="W14015"/>
          <cell r="X14015"/>
          <cell r="Y14015"/>
        </row>
        <row r="14016">
          <cell r="V14016"/>
          <cell r="W14016"/>
          <cell r="X14016"/>
          <cell r="Y14016"/>
        </row>
        <row r="14017">
          <cell r="V14017"/>
          <cell r="W14017"/>
          <cell r="X14017"/>
          <cell r="Y14017"/>
        </row>
        <row r="14018">
          <cell r="V14018"/>
          <cell r="W14018"/>
          <cell r="X14018"/>
          <cell r="Y14018"/>
        </row>
        <row r="14019">
          <cell r="V14019"/>
          <cell r="W14019"/>
          <cell r="X14019"/>
          <cell r="Y14019"/>
        </row>
        <row r="14020">
          <cell r="V14020"/>
          <cell r="W14020"/>
          <cell r="X14020"/>
          <cell r="Y14020"/>
        </row>
        <row r="14021">
          <cell r="V14021"/>
          <cell r="W14021"/>
          <cell r="X14021"/>
          <cell r="Y14021"/>
        </row>
        <row r="14022">
          <cell r="V14022"/>
          <cell r="W14022"/>
          <cell r="X14022"/>
          <cell r="Y14022"/>
        </row>
        <row r="14023">
          <cell r="V14023"/>
          <cell r="W14023"/>
          <cell r="X14023"/>
          <cell r="Y14023"/>
        </row>
        <row r="14024">
          <cell r="V14024"/>
          <cell r="W14024"/>
          <cell r="X14024"/>
          <cell r="Y14024"/>
        </row>
        <row r="14025">
          <cell r="V14025"/>
          <cell r="W14025"/>
          <cell r="X14025"/>
          <cell r="Y14025"/>
        </row>
        <row r="14026">
          <cell r="V14026"/>
          <cell r="W14026"/>
          <cell r="X14026"/>
          <cell r="Y14026"/>
        </row>
        <row r="14027">
          <cell r="V14027"/>
          <cell r="W14027"/>
          <cell r="X14027"/>
          <cell r="Y14027"/>
        </row>
        <row r="14028">
          <cell r="V14028"/>
          <cell r="W14028"/>
          <cell r="X14028"/>
          <cell r="Y14028"/>
        </row>
        <row r="14029">
          <cell r="V14029"/>
          <cell r="W14029"/>
          <cell r="X14029"/>
          <cell r="Y14029"/>
        </row>
        <row r="14030">
          <cell r="V14030"/>
          <cell r="W14030"/>
          <cell r="X14030"/>
          <cell r="Y14030"/>
        </row>
        <row r="14031">
          <cell r="V14031"/>
          <cell r="W14031"/>
          <cell r="X14031"/>
          <cell r="Y14031"/>
        </row>
        <row r="14032">
          <cell r="V14032"/>
          <cell r="W14032"/>
          <cell r="X14032"/>
          <cell r="Y14032"/>
        </row>
        <row r="14033">
          <cell r="V14033"/>
          <cell r="W14033"/>
          <cell r="X14033"/>
          <cell r="Y14033"/>
        </row>
        <row r="14034">
          <cell r="V14034"/>
          <cell r="W14034"/>
          <cell r="X14034"/>
          <cell r="Y14034"/>
        </row>
        <row r="14035">
          <cell r="V14035"/>
          <cell r="W14035"/>
          <cell r="X14035"/>
          <cell r="Y14035"/>
        </row>
        <row r="14036">
          <cell r="V14036"/>
          <cell r="W14036"/>
          <cell r="X14036"/>
          <cell r="Y14036"/>
        </row>
        <row r="14037">
          <cell r="V14037"/>
          <cell r="W14037"/>
          <cell r="X14037"/>
          <cell r="Y14037"/>
        </row>
        <row r="14038">
          <cell r="V14038"/>
          <cell r="W14038"/>
          <cell r="X14038"/>
          <cell r="Y14038"/>
        </row>
        <row r="14039">
          <cell r="V14039"/>
          <cell r="W14039"/>
          <cell r="X14039"/>
          <cell r="Y14039"/>
        </row>
        <row r="14040">
          <cell r="V14040"/>
          <cell r="W14040"/>
          <cell r="X14040"/>
          <cell r="Y14040"/>
        </row>
        <row r="14041">
          <cell r="V14041"/>
          <cell r="W14041"/>
          <cell r="X14041"/>
          <cell r="Y14041"/>
        </row>
        <row r="14042">
          <cell r="V14042"/>
          <cell r="W14042"/>
          <cell r="X14042"/>
          <cell r="Y14042"/>
        </row>
        <row r="14043">
          <cell r="V14043"/>
          <cell r="W14043"/>
          <cell r="X14043"/>
          <cell r="Y14043"/>
        </row>
        <row r="14044">
          <cell r="V14044"/>
          <cell r="W14044"/>
          <cell r="X14044"/>
          <cell r="Y14044"/>
        </row>
        <row r="14045">
          <cell r="V14045"/>
          <cell r="W14045"/>
          <cell r="X14045"/>
          <cell r="Y14045"/>
        </row>
        <row r="14046">
          <cell r="V14046"/>
          <cell r="W14046"/>
          <cell r="X14046"/>
          <cell r="Y14046"/>
        </row>
        <row r="14047">
          <cell r="V14047"/>
          <cell r="W14047"/>
          <cell r="X14047"/>
          <cell r="Y14047"/>
        </row>
        <row r="14048">
          <cell r="V14048"/>
          <cell r="W14048"/>
          <cell r="X14048"/>
          <cell r="Y14048"/>
        </row>
        <row r="14049">
          <cell r="V14049"/>
          <cell r="W14049"/>
          <cell r="X14049"/>
          <cell r="Y14049"/>
        </row>
        <row r="14050">
          <cell r="V14050"/>
          <cell r="W14050"/>
          <cell r="X14050"/>
          <cell r="Y14050"/>
        </row>
        <row r="14051">
          <cell r="V14051"/>
          <cell r="W14051"/>
          <cell r="X14051"/>
          <cell r="Y14051"/>
        </row>
        <row r="14052">
          <cell r="V14052"/>
          <cell r="W14052"/>
          <cell r="X14052"/>
          <cell r="Y14052"/>
        </row>
        <row r="14053">
          <cell r="V14053"/>
          <cell r="W14053"/>
          <cell r="X14053"/>
          <cell r="Y14053"/>
        </row>
        <row r="14054">
          <cell r="V14054"/>
          <cell r="W14054"/>
          <cell r="X14054"/>
          <cell r="Y14054"/>
        </row>
        <row r="14055">
          <cell r="V14055"/>
          <cell r="W14055"/>
          <cell r="X14055"/>
          <cell r="Y14055"/>
        </row>
        <row r="14056">
          <cell r="V14056"/>
          <cell r="W14056"/>
          <cell r="X14056"/>
          <cell r="Y14056"/>
        </row>
        <row r="14057">
          <cell r="V14057"/>
          <cell r="W14057"/>
          <cell r="X14057"/>
          <cell r="Y14057"/>
        </row>
        <row r="14058">
          <cell r="V14058"/>
          <cell r="W14058"/>
          <cell r="X14058"/>
          <cell r="Y14058"/>
        </row>
        <row r="14059">
          <cell r="V14059"/>
          <cell r="W14059"/>
          <cell r="X14059"/>
          <cell r="Y14059"/>
        </row>
        <row r="14060">
          <cell r="V14060"/>
          <cell r="W14060"/>
          <cell r="X14060"/>
          <cell r="Y14060"/>
        </row>
        <row r="14061">
          <cell r="V14061"/>
          <cell r="W14061"/>
          <cell r="X14061"/>
          <cell r="Y14061"/>
        </row>
        <row r="14062">
          <cell r="V14062"/>
          <cell r="W14062"/>
          <cell r="X14062"/>
          <cell r="Y14062"/>
        </row>
        <row r="14063">
          <cell r="V14063"/>
          <cell r="W14063"/>
          <cell r="X14063"/>
          <cell r="Y14063"/>
        </row>
        <row r="14064">
          <cell r="V14064"/>
          <cell r="W14064"/>
          <cell r="X14064"/>
          <cell r="Y14064"/>
        </row>
        <row r="14065">
          <cell r="V14065"/>
          <cell r="W14065"/>
          <cell r="X14065"/>
          <cell r="Y14065"/>
        </row>
        <row r="14066">
          <cell r="V14066"/>
          <cell r="W14066"/>
          <cell r="X14066"/>
          <cell r="Y14066"/>
        </row>
        <row r="14067">
          <cell r="V14067"/>
          <cell r="W14067"/>
          <cell r="X14067"/>
          <cell r="Y14067"/>
        </row>
        <row r="14068">
          <cell r="V14068"/>
          <cell r="W14068"/>
          <cell r="X14068"/>
          <cell r="Y14068"/>
        </row>
        <row r="14069">
          <cell r="V14069"/>
          <cell r="W14069"/>
          <cell r="X14069"/>
          <cell r="Y14069"/>
        </row>
        <row r="14070">
          <cell r="V14070"/>
          <cell r="W14070"/>
          <cell r="X14070"/>
          <cell r="Y14070"/>
        </row>
        <row r="14071">
          <cell r="V14071"/>
          <cell r="W14071"/>
          <cell r="X14071"/>
          <cell r="Y14071"/>
        </row>
        <row r="14072">
          <cell r="V14072"/>
          <cell r="W14072"/>
          <cell r="X14072"/>
          <cell r="Y14072"/>
        </row>
        <row r="14073">
          <cell r="V14073"/>
          <cell r="W14073"/>
          <cell r="X14073"/>
          <cell r="Y14073"/>
        </row>
        <row r="14074">
          <cell r="V14074"/>
          <cell r="W14074"/>
          <cell r="X14074"/>
          <cell r="Y14074"/>
        </row>
        <row r="14075">
          <cell r="V14075"/>
          <cell r="W14075"/>
          <cell r="X14075"/>
          <cell r="Y14075"/>
        </row>
        <row r="14076">
          <cell r="V14076"/>
          <cell r="W14076"/>
          <cell r="X14076"/>
          <cell r="Y14076"/>
        </row>
        <row r="14077">
          <cell r="V14077"/>
          <cell r="W14077"/>
          <cell r="X14077"/>
          <cell r="Y14077"/>
        </row>
        <row r="14078">
          <cell r="V14078"/>
          <cell r="W14078"/>
          <cell r="X14078"/>
          <cell r="Y14078"/>
        </row>
        <row r="14079">
          <cell r="V14079"/>
          <cell r="W14079"/>
          <cell r="X14079"/>
          <cell r="Y14079"/>
        </row>
        <row r="14080">
          <cell r="V14080"/>
          <cell r="W14080"/>
          <cell r="X14080"/>
          <cell r="Y14080"/>
        </row>
        <row r="14081">
          <cell r="V14081"/>
          <cell r="W14081"/>
          <cell r="X14081"/>
          <cell r="Y14081"/>
        </row>
        <row r="14082">
          <cell r="V14082"/>
          <cell r="W14082"/>
          <cell r="X14082"/>
          <cell r="Y14082"/>
        </row>
        <row r="14083">
          <cell r="V14083"/>
          <cell r="W14083"/>
          <cell r="X14083"/>
          <cell r="Y14083"/>
        </row>
        <row r="14084">
          <cell r="V14084"/>
          <cell r="W14084"/>
          <cell r="X14084"/>
          <cell r="Y14084"/>
        </row>
        <row r="14085">
          <cell r="V14085"/>
          <cell r="W14085"/>
          <cell r="X14085"/>
          <cell r="Y14085"/>
        </row>
      </sheetData>
      <sheetData sheetId="4"/>
      <sheetData sheetId="5">
        <row r="1">
          <cell r="C1" t="str">
            <v>TRAZA DONACIONES CON RECIBO SF</v>
          </cell>
        </row>
        <row r="2">
          <cell r="C2"/>
        </row>
        <row r="5">
          <cell r="C5"/>
          <cell r="D5"/>
        </row>
        <row r="6">
          <cell r="C6" t="str">
            <v>Año Donacion</v>
          </cell>
          <cell r="D6">
            <v>2026</v>
          </cell>
        </row>
        <row r="7">
          <cell r="C7" t="str">
            <v>Mes de Donacion</v>
          </cell>
          <cell r="D7">
            <v>3</v>
          </cell>
        </row>
        <row r="8">
          <cell r="C8" t="str">
            <v>Código de Transacción</v>
          </cell>
          <cell r="D8" t="str">
            <v>(Varios elementos)</v>
          </cell>
        </row>
        <row r="10">
          <cell r="C10" t="str">
            <v>Suma de Peso Donado</v>
          </cell>
          <cell r="D10" t="str">
            <v>Etiquetas de columna</v>
          </cell>
        </row>
        <row r="11">
          <cell r="C11" t="str">
            <v>Etiquetas de fila</v>
          </cell>
          <cell r="D11" t="str">
            <v>KILOS APROVECHADOS</v>
          </cell>
          <cell r="E11" t="str">
            <v>MERMA</v>
          </cell>
          <cell r="F11" t="str">
            <v>Total general</v>
          </cell>
        </row>
        <row r="12">
          <cell r="C12" t="str">
            <v>AGENCIAS FEDURO</v>
          </cell>
          <cell r="D12">
            <v>2508.5</v>
          </cell>
          <cell r="E12"/>
          <cell r="F12">
            <v>2508.5</v>
          </cell>
        </row>
        <row r="13">
          <cell r="C13" t="str">
            <v>ALIMENTOS CÁRNICOS DE PANAMA ,S.A</v>
          </cell>
          <cell r="D13">
            <v>108</v>
          </cell>
          <cell r="E13"/>
          <cell r="F13">
            <v>108</v>
          </cell>
        </row>
        <row r="14">
          <cell r="C14" t="str">
            <v>Bienes y Raices Metalicas S.A.</v>
          </cell>
          <cell r="D14">
            <v>45</v>
          </cell>
          <cell r="E14"/>
          <cell r="F14">
            <v>45</v>
          </cell>
        </row>
        <row r="15">
          <cell r="C15" t="str">
            <v>CERRO PUNTA, S.A</v>
          </cell>
          <cell r="D15">
            <v>730</v>
          </cell>
          <cell r="E15">
            <v>8.6</v>
          </cell>
          <cell r="F15">
            <v>738.6</v>
          </cell>
        </row>
        <row r="16">
          <cell r="C16" t="str">
            <v>CONGREGACION DE HERMANDAD KOL SHEARITH ISRAEL</v>
          </cell>
          <cell r="D16">
            <v>663</v>
          </cell>
          <cell r="E16"/>
          <cell r="F16">
            <v>663</v>
          </cell>
        </row>
        <row r="17">
          <cell r="C17" t="str">
            <v>CORPORACION INTERNACIONAL DE ALIMENTOS, S.A.</v>
          </cell>
          <cell r="D17">
            <v>53380</v>
          </cell>
          <cell r="E17">
            <v>7615</v>
          </cell>
          <cell r="F17">
            <v>60995</v>
          </cell>
        </row>
        <row r="18">
          <cell r="C18" t="str">
            <v>Delivery Hero Dmart Panamá S.A. (Pedidos Ya)</v>
          </cell>
          <cell r="D18">
            <v>295</v>
          </cell>
          <cell r="E18">
            <v>39.67</v>
          </cell>
          <cell r="F18">
            <v>334.67</v>
          </cell>
        </row>
        <row r="19">
          <cell r="C19" t="str">
            <v>DICSA PANAMA</v>
          </cell>
          <cell r="D19">
            <v>442</v>
          </cell>
          <cell r="E19"/>
          <cell r="F19">
            <v>442</v>
          </cell>
        </row>
        <row r="20">
          <cell r="C20" t="str">
            <v>Empresa Panameña de Alimentos, S. A.</v>
          </cell>
          <cell r="D20">
            <v>6352.5</v>
          </cell>
          <cell r="E20">
            <v>61</v>
          </cell>
          <cell r="F20">
            <v>6413.5</v>
          </cell>
        </row>
        <row r="21">
          <cell r="C21" t="str">
            <v>FELIPE MOTTA, S.A</v>
          </cell>
          <cell r="D21">
            <v>388</v>
          </cell>
          <cell r="E21"/>
          <cell r="F21">
            <v>388</v>
          </cell>
        </row>
        <row r="22">
          <cell r="C22" t="str">
            <v>FRANQUICIAS PANAMEÑAS</v>
          </cell>
          <cell r="D22">
            <v>446</v>
          </cell>
          <cell r="E22"/>
          <cell r="F22">
            <v>446</v>
          </cell>
        </row>
        <row r="23">
          <cell r="C23" t="str">
            <v>GENTILE - G &amp; H. S.A.</v>
          </cell>
          <cell r="D23">
            <v>15</v>
          </cell>
          <cell r="E23"/>
          <cell r="F23">
            <v>15</v>
          </cell>
        </row>
        <row r="24">
          <cell r="C24" t="str">
            <v>GLOBAL PRODUCTS AND LOGISTIC SERVICES, INC. (Dicarina)</v>
          </cell>
          <cell r="D24">
            <v>1793</v>
          </cell>
          <cell r="E24">
            <v>4</v>
          </cell>
          <cell r="F24">
            <v>1797</v>
          </cell>
        </row>
        <row r="25">
          <cell r="C25" t="str">
            <v>GOLD MILLS</v>
          </cell>
          <cell r="D25">
            <v>458</v>
          </cell>
          <cell r="E25"/>
          <cell r="F25">
            <v>458</v>
          </cell>
        </row>
        <row r="26">
          <cell r="C26" t="str">
            <v>Grupo Calesa</v>
          </cell>
          <cell r="D26">
            <v>125</v>
          </cell>
          <cell r="E26"/>
          <cell r="F26">
            <v>125</v>
          </cell>
        </row>
        <row r="27">
          <cell r="C27" t="str">
            <v>GRUPO REY</v>
          </cell>
          <cell r="D27">
            <v>6172.6200000000008</v>
          </cell>
          <cell r="E27">
            <v>227.83</v>
          </cell>
          <cell r="F27">
            <v>6400.4500000000007</v>
          </cell>
        </row>
        <row r="28">
          <cell r="C28" t="str">
            <v>IMPORTADORA RICAMAR - SUPER 99</v>
          </cell>
          <cell r="D28">
            <v>46.5</v>
          </cell>
          <cell r="E28"/>
          <cell r="F28">
            <v>46.5</v>
          </cell>
        </row>
        <row r="29">
          <cell r="C29" t="str">
            <v>IMPORTADORA Y EXPORTADORA NIMAR</v>
          </cell>
          <cell r="D29">
            <v>185</v>
          </cell>
          <cell r="E29">
            <v>4.3</v>
          </cell>
          <cell r="F29">
            <v>189.3</v>
          </cell>
        </row>
        <row r="30">
          <cell r="C30" t="str">
            <v>INDUSTRIAS LACTEAS, S.A / Estrella Azul</v>
          </cell>
          <cell r="D30">
            <v>908</v>
          </cell>
          <cell r="E30"/>
          <cell r="F30">
            <v>908</v>
          </cell>
        </row>
        <row r="31">
          <cell r="C31" t="str">
            <v>MERCA PANAMA</v>
          </cell>
          <cell r="D31">
            <v>11845</v>
          </cell>
          <cell r="E31">
            <v>1419</v>
          </cell>
          <cell r="F31">
            <v>13264</v>
          </cell>
        </row>
        <row r="32">
          <cell r="C32" t="str">
            <v>MERCALIMENTOS PANAMA, S.A</v>
          </cell>
          <cell r="D32">
            <v>3483</v>
          </cell>
          <cell r="E32"/>
          <cell r="F32">
            <v>3483</v>
          </cell>
        </row>
        <row r="33">
          <cell r="C33" t="str">
            <v>NEGOCIOS CENTROAMERICANOS, S.A</v>
          </cell>
          <cell r="D33">
            <v>195</v>
          </cell>
          <cell r="E33"/>
          <cell r="F33">
            <v>195</v>
          </cell>
        </row>
        <row r="34">
          <cell r="C34" t="str">
            <v>NESTLE PANAMA</v>
          </cell>
          <cell r="D34">
            <v>12986.5</v>
          </cell>
          <cell r="E34"/>
          <cell r="F34">
            <v>12986.5</v>
          </cell>
        </row>
        <row r="35">
          <cell r="C35" t="str">
            <v>NUEVO HUNG SHENG</v>
          </cell>
          <cell r="D35">
            <v>52.07</v>
          </cell>
          <cell r="E35">
            <v>38</v>
          </cell>
          <cell r="F35">
            <v>90.07</v>
          </cell>
        </row>
        <row r="36">
          <cell r="C36" t="str">
            <v>ORDEN DE MALTA PANAMA ASOCIACION PANAMEÑA</v>
          </cell>
          <cell r="D36">
            <v>8126</v>
          </cell>
          <cell r="E36"/>
          <cell r="F36">
            <v>8126</v>
          </cell>
        </row>
        <row r="37">
          <cell r="C37" t="str">
            <v>PANASAL</v>
          </cell>
          <cell r="D37">
            <v>60</v>
          </cell>
          <cell r="E37"/>
          <cell r="F37">
            <v>60</v>
          </cell>
        </row>
        <row r="38">
          <cell r="C38" t="str">
            <v>Price-Smart-Panama S.A</v>
          </cell>
          <cell r="D38">
            <v>6034.25</v>
          </cell>
          <cell r="E38">
            <v>597.30999999999995</v>
          </cell>
          <cell r="F38">
            <v>6631.5599999999995</v>
          </cell>
        </row>
        <row r="39">
          <cell r="C39" t="str">
            <v>PRODISA TRADING S.A.</v>
          </cell>
          <cell r="D39">
            <v>144</v>
          </cell>
          <cell r="E39"/>
          <cell r="F39">
            <v>144</v>
          </cell>
        </row>
        <row r="40">
          <cell r="C40" t="str">
            <v>PRODUCTOS KIENER</v>
          </cell>
          <cell r="D40">
            <v>627</v>
          </cell>
          <cell r="E40"/>
          <cell r="F40">
            <v>627</v>
          </cell>
        </row>
        <row r="41">
          <cell r="C41" t="str">
            <v>PRODUCTOS LA DOÑA, S.A</v>
          </cell>
          <cell r="D41">
            <v>4681.5200000000004</v>
          </cell>
          <cell r="E41">
            <v>14.84</v>
          </cell>
          <cell r="F41">
            <v>4696.3600000000006</v>
          </cell>
        </row>
        <row r="42">
          <cell r="C42" t="str">
            <v>PRODUCTOS LUX, S.A ( Proluxa)</v>
          </cell>
          <cell r="D42">
            <v>818.5</v>
          </cell>
          <cell r="E42"/>
          <cell r="F42">
            <v>818.5</v>
          </cell>
        </row>
        <row r="43">
          <cell r="C43" t="str">
            <v>PRODUCTOS TOLEDANO</v>
          </cell>
          <cell r="D43">
            <v>5226.01</v>
          </cell>
          <cell r="E43">
            <v>5</v>
          </cell>
          <cell r="F43">
            <v>5231.01</v>
          </cell>
        </row>
        <row r="44">
          <cell r="C44" t="str">
            <v>PROGRAMA KILOS DE ESPERANZA</v>
          </cell>
          <cell r="D44">
            <v>673.72</v>
          </cell>
          <cell r="E44"/>
          <cell r="F44">
            <v>673.72</v>
          </cell>
        </row>
        <row r="45">
          <cell r="C45" t="str">
            <v>PROSERV</v>
          </cell>
          <cell r="D45">
            <v>2100</v>
          </cell>
          <cell r="E45"/>
          <cell r="F45">
            <v>2100</v>
          </cell>
        </row>
        <row r="46">
          <cell r="C46" t="str">
            <v>PURISSIMA, S.A</v>
          </cell>
          <cell r="D46">
            <v>3465.18</v>
          </cell>
          <cell r="E46"/>
          <cell r="F46">
            <v>3465.18</v>
          </cell>
        </row>
        <row r="47">
          <cell r="C47" t="str">
            <v>RIBA SMITH, S.A.</v>
          </cell>
          <cell r="D47">
            <v>500</v>
          </cell>
          <cell r="E47">
            <v>102.71</v>
          </cell>
          <cell r="F47">
            <v>602.71</v>
          </cell>
        </row>
        <row r="48">
          <cell r="C48" t="str">
            <v>SALVA - MAR,</v>
          </cell>
          <cell r="D48">
            <v>1021</v>
          </cell>
          <cell r="E48"/>
          <cell r="F48">
            <v>1021</v>
          </cell>
        </row>
        <row r="49">
          <cell r="C49" t="str">
            <v>SUPER CARNES</v>
          </cell>
          <cell r="D49">
            <v>2865</v>
          </cell>
          <cell r="E49">
            <v>934.5</v>
          </cell>
          <cell r="F49">
            <v>3799.5</v>
          </cell>
        </row>
        <row r="50">
          <cell r="C50" t="str">
            <v>Colgate Palmolive (CENTRAL AMERICA) INC</v>
          </cell>
          <cell r="D50">
            <v>2451.5</v>
          </cell>
          <cell r="E50">
            <v>13.149999999999999</v>
          </cell>
          <cell r="F50">
            <v>2464.65</v>
          </cell>
        </row>
        <row r="51">
          <cell r="C51" t="str">
            <v>MELO FARMA, S.A.</v>
          </cell>
          <cell r="D51">
            <v>64</v>
          </cell>
          <cell r="E51"/>
          <cell r="F51">
            <v>64</v>
          </cell>
        </row>
        <row r="52">
          <cell r="C52" t="str">
            <v>IMPORTADORA FRUTA INTERNACIONAL PANAMÁ, S.A.</v>
          </cell>
          <cell r="D52">
            <v>3934.01</v>
          </cell>
          <cell r="E52">
            <v>6.5</v>
          </cell>
          <cell r="F52">
            <v>3940.51</v>
          </cell>
        </row>
        <row r="53">
          <cell r="C53" t="str">
            <v>KERRY PANAMA, S.A.</v>
          </cell>
          <cell r="D53">
            <v>833</v>
          </cell>
          <cell r="E53"/>
          <cell r="F53">
            <v>833</v>
          </cell>
        </row>
        <row r="54">
          <cell r="C54" t="str">
            <v>Vima Foods Panamá S.A.</v>
          </cell>
          <cell r="D54">
            <v>39</v>
          </cell>
          <cell r="E54"/>
          <cell r="F54">
            <v>39</v>
          </cell>
        </row>
        <row r="55">
          <cell r="C55" t="str">
            <v>MARTIN BROWER</v>
          </cell>
          <cell r="D55">
            <v>826</v>
          </cell>
          <cell r="E55"/>
          <cell r="F55">
            <v>826</v>
          </cell>
        </row>
        <row r="56">
          <cell r="C56" t="str">
            <v>Panama Ship Warehouse</v>
          </cell>
          <cell r="D56">
            <v>30</v>
          </cell>
          <cell r="E56"/>
          <cell r="F56">
            <v>30</v>
          </cell>
        </row>
        <row r="57">
          <cell r="C57" t="str">
            <v>AGENCIAS ESCOFFERY, S.A</v>
          </cell>
          <cell r="D57">
            <v>3870</v>
          </cell>
          <cell r="E57">
            <v>63</v>
          </cell>
          <cell r="F57">
            <v>3933</v>
          </cell>
        </row>
        <row r="58">
          <cell r="C58" t="str">
            <v>H. TZANETATO INC</v>
          </cell>
          <cell r="D58">
            <v>1274.8</v>
          </cell>
          <cell r="E58"/>
          <cell r="F58">
            <v>1274.8</v>
          </cell>
        </row>
        <row r="59">
          <cell r="C59" t="str">
            <v>CORONADO ACL S.A. (LEUDO PANADERÍA)</v>
          </cell>
          <cell r="D59">
            <v>30</v>
          </cell>
          <cell r="E59"/>
          <cell r="F59">
            <v>30</v>
          </cell>
        </row>
        <row r="60">
          <cell r="C60" t="str">
            <v>LA CHOLITA S.A.</v>
          </cell>
          <cell r="D60">
            <v>366</v>
          </cell>
          <cell r="E60"/>
          <cell r="F60">
            <v>366</v>
          </cell>
        </row>
        <row r="61">
          <cell r="C61" t="str">
            <v>Federación Nacional de Cooperativas Salineras de Panamá (FENCOSPA, R.L.)</v>
          </cell>
          <cell r="D61">
            <v>70</v>
          </cell>
          <cell r="E61"/>
          <cell r="F61">
            <v>70</v>
          </cell>
        </row>
        <row r="62">
          <cell r="C62" t="str">
            <v>FRESCAFHISH, S.A</v>
          </cell>
          <cell r="D62">
            <v>1040</v>
          </cell>
          <cell r="E62"/>
          <cell r="F62">
            <v>1040</v>
          </cell>
        </row>
        <row r="63">
          <cell r="C63" t="str">
            <v>PROCESADORA MONICA, S.A</v>
          </cell>
          <cell r="D63">
            <v>144</v>
          </cell>
          <cell r="E63"/>
          <cell r="F63">
            <v>144</v>
          </cell>
        </row>
        <row r="64">
          <cell r="C64" t="str">
            <v>Agro Export Pacific, S.A</v>
          </cell>
          <cell r="D64">
            <v>9649</v>
          </cell>
          <cell r="E64">
            <v>105.5</v>
          </cell>
          <cell r="F64">
            <v>9754.5</v>
          </cell>
        </row>
        <row r="65">
          <cell r="C65" t="str">
            <v>CENTRAL AZUCARERO LA VICTORIA</v>
          </cell>
          <cell r="D65">
            <v>66</v>
          </cell>
          <cell r="E65"/>
          <cell r="F65">
            <v>66</v>
          </cell>
        </row>
        <row r="66">
          <cell r="C66" t="str">
            <v>IMPORTACIONES SAGO PANAMA</v>
          </cell>
          <cell r="D66">
            <v>0.02</v>
          </cell>
          <cell r="E66"/>
          <cell r="F66">
            <v>0.02</v>
          </cell>
        </row>
        <row r="67">
          <cell r="C67" t="str">
            <v>Total general</v>
          </cell>
          <cell r="D67">
            <v>164652.19999999998</v>
          </cell>
          <cell r="E67">
            <v>11259.91</v>
          </cell>
          <cell r="F67">
            <v>175912.11</v>
          </cell>
        </row>
        <row r="68">
          <cell r="C68"/>
          <cell r="D68"/>
          <cell r="E68"/>
          <cell r="F68"/>
        </row>
        <row r="69">
          <cell r="C69"/>
          <cell r="D69"/>
          <cell r="E69"/>
          <cell r="F69"/>
        </row>
        <row r="70">
          <cell r="C70"/>
          <cell r="D70"/>
          <cell r="E70"/>
          <cell r="F70"/>
        </row>
        <row r="71">
          <cell r="C71"/>
          <cell r="D71"/>
          <cell r="E71"/>
          <cell r="F71"/>
        </row>
        <row r="72">
          <cell r="C72"/>
          <cell r="D72"/>
          <cell r="E72"/>
          <cell r="F72"/>
        </row>
        <row r="73">
          <cell r="C73"/>
          <cell r="D73"/>
          <cell r="E73"/>
          <cell r="F73"/>
        </row>
        <row r="74">
          <cell r="C74"/>
          <cell r="D74"/>
          <cell r="E74"/>
          <cell r="F74"/>
        </row>
        <row r="75">
          <cell r="C75"/>
          <cell r="D75"/>
          <cell r="E75"/>
          <cell r="F75"/>
        </row>
        <row r="76">
          <cell r="C76"/>
          <cell r="D76"/>
          <cell r="E76"/>
          <cell r="F76"/>
        </row>
        <row r="77">
          <cell r="C77"/>
          <cell r="D77"/>
          <cell r="E77"/>
          <cell r="F77"/>
        </row>
        <row r="78">
          <cell r="C78"/>
          <cell r="D78"/>
          <cell r="E78"/>
          <cell r="F78"/>
        </row>
        <row r="79">
          <cell r="C79"/>
          <cell r="D79"/>
          <cell r="E79"/>
          <cell r="F79"/>
        </row>
        <row r="80">
          <cell r="C80"/>
          <cell r="D80"/>
          <cell r="E80"/>
          <cell r="F80"/>
        </row>
        <row r="81">
          <cell r="C81"/>
          <cell r="D81"/>
          <cell r="E81"/>
          <cell r="F81"/>
        </row>
        <row r="82">
          <cell r="C82"/>
          <cell r="D82"/>
          <cell r="E82"/>
          <cell r="F82"/>
        </row>
        <row r="83">
          <cell r="C83"/>
          <cell r="D83"/>
          <cell r="E83"/>
          <cell r="F83"/>
        </row>
        <row r="84">
          <cell r="C84"/>
          <cell r="D84"/>
          <cell r="E84"/>
          <cell r="F84"/>
        </row>
        <row r="85">
          <cell r="C85"/>
          <cell r="D85"/>
          <cell r="E85"/>
          <cell r="F85"/>
        </row>
        <row r="86">
          <cell r="C86"/>
          <cell r="D86"/>
          <cell r="E86"/>
          <cell r="F86"/>
        </row>
        <row r="87">
          <cell r="C87"/>
          <cell r="D87"/>
          <cell r="E87"/>
          <cell r="F87"/>
        </row>
        <row r="88">
          <cell r="C88"/>
          <cell r="D88"/>
          <cell r="E88"/>
          <cell r="F88"/>
        </row>
        <row r="89">
          <cell r="C89"/>
          <cell r="D89"/>
          <cell r="E89"/>
          <cell r="F89"/>
        </row>
        <row r="90">
          <cell r="C90"/>
          <cell r="D90"/>
          <cell r="E90"/>
          <cell r="F90"/>
        </row>
        <row r="91">
          <cell r="C91"/>
          <cell r="D91"/>
          <cell r="E91"/>
          <cell r="F91"/>
        </row>
        <row r="92">
          <cell r="C92"/>
          <cell r="D92"/>
          <cell r="E92"/>
          <cell r="F92"/>
        </row>
        <row r="93">
          <cell r="C93"/>
          <cell r="D93"/>
          <cell r="E93"/>
          <cell r="F93"/>
        </row>
        <row r="94">
          <cell r="C94"/>
          <cell r="D94"/>
          <cell r="E94"/>
          <cell r="F94"/>
        </row>
        <row r="95">
          <cell r="C95"/>
          <cell r="D95"/>
          <cell r="E95"/>
          <cell r="F95"/>
        </row>
        <row r="96">
          <cell r="C96"/>
          <cell r="D96"/>
          <cell r="E96"/>
          <cell r="F96"/>
        </row>
        <row r="97">
          <cell r="C97"/>
          <cell r="D97"/>
          <cell r="E97"/>
          <cell r="F97"/>
        </row>
        <row r="98">
          <cell r="C98"/>
          <cell r="D98"/>
          <cell r="E98"/>
          <cell r="F98"/>
        </row>
        <row r="99">
          <cell r="C99"/>
          <cell r="D99"/>
          <cell r="E99"/>
          <cell r="F99"/>
        </row>
        <row r="100">
          <cell r="C100"/>
          <cell r="D100"/>
          <cell r="E100"/>
          <cell r="F100"/>
        </row>
        <row r="101">
          <cell r="C101"/>
          <cell r="D101"/>
          <cell r="E101"/>
          <cell r="F101"/>
        </row>
        <row r="102">
          <cell r="C102"/>
          <cell r="D102"/>
          <cell r="E102"/>
          <cell r="F102"/>
        </row>
        <row r="103">
          <cell r="C103"/>
          <cell r="D103"/>
          <cell r="E103"/>
          <cell r="F103"/>
        </row>
        <row r="104">
          <cell r="C104"/>
          <cell r="D104"/>
          <cell r="E104"/>
          <cell r="F104"/>
        </row>
        <row r="105">
          <cell r="C105"/>
          <cell r="D105"/>
          <cell r="E105"/>
          <cell r="F105"/>
        </row>
      </sheetData>
      <sheetData sheetId="6"/>
      <sheetData sheetId="7">
        <row r="1">
          <cell r="A1" t="str">
            <v>Sin Area</v>
          </cell>
          <cell r="B1" t="str">
            <v>NORTE</v>
          </cell>
          <cell r="C1" t="str">
            <v>CENTRO</v>
          </cell>
          <cell r="D1" t="str">
            <v>ESTE</v>
          </cell>
          <cell r="E1" t="str">
            <v>CHIRIQUI</v>
          </cell>
          <cell r="F1" t="str">
            <v>COCLE</v>
          </cell>
          <cell r="G1" t="str">
            <v>COLON</v>
          </cell>
          <cell r="H1" t="str">
            <v>DARIEN</v>
          </cell>
          <cell r="I1" t="str">
            <v>HERRERA</v>
          </cell>
          <cell r="J1" t="str">
            <v>OESTE</v>
          </cell>
          <cell r="K1" t="str">
            <v>VERAGUAS</v>
          </cell>
          <cell r="L1" t="str">
            <v>San Miguelito</v>
          </cell>
          <cell r="M1" t="str">
            <v>Bocas</v>
          </cell>
          <cell r="N1" t="str">
            <v>Los Santos</v>
          </cell>
        </row>
        <row r="2">
          <cell r="A2" t="str">
            <v>Año</v>
          </cell>
          <cell r="B2" t="str">
            <v>All</v>
          </cell>
        </row>
        <row r="3">
          <cell r="A3" t="str">
            <v>Mes 2</v>
          </cell>
          <cell r="B3" t="str">
            <v>3</v>
          </cell>
        </row>
        <row r="4">
          <cell r="A4" t="str">
            <v>Recuento distinto de ORGANIZACIÓN BENEFICIARIA</v>
          </cell>
          <cell r="N4"/>
        </row>
        <row r="5">
          <cell r="A5" t="str">
            <v>Recuento distinto de # de Benefeciarios en Total</v>
          </cell>
          <cell r="B5" t="str">
            <v>Etiquetas de columna</v>
          </cell>
          <cell r="N5"/>
        </row>
        <row r="6">
          <cell r="A6" t="str">
            <v>Etiquetas de fila</v>
          </cell>
          <cell r="B6" t="str">
            <v>Panama Norte</v>
          </cell>
          <cell r="C6" t="str">
            <v>Panama Centro</v>
          </cell>
          <cell r="D6" t="str">
            <v>Panama Este</v>
          </cell>
          <cell r="E6" t="str">
            <v>Provincia de Chiriquí</v>
          </cell>
          <cell r="F6" t="str">
            <v>Provincia de Coclé</v>
          </cell>
          <cell r="G6" t="str">
            <v>Provincia de Colon</v>
          </cell>
          <cell r="H6" t="str">
            <v>Provincia de Darién</v>
          </cell>
          <cell r="I6" t="str">
            <v>Provincia de Herrera</v>
          </cell>
          <cell r="J6" t="str">
            <v>Provincia de Panama Oeste</v>
          </cell>
          <cell r="K6" t="str">
            <v>Provincia de Veraguas</v>
          </cell>
          <cell r="L6" t="str">
            <v>San Miguelito</v>
          </cell>
          <cell r="M6" t="str">
            <v>Provincia de Bocas del Toro</v>
          </cell>
          <cell r="N6" t="str">
            <v>Provincia de Los Santos</v>
          </cell>
        </row>
        <row r="7">
          <cell r="A7" t="str">
            <v>0</v>
          </cell>
          <cell r="B7">
            <v>17</v>
          </cell>
          <cell r="C7">
            <v>33</v>
          </cell>
          <cell r="D7">
            <v>45</v>
          </cell>
          <cell r="E7">
            <v>12</v>
          </cell>
          <cell r="F7">
            <v>7</v>
          </cell>
          <cell r="G7">
            <v>7</v>
          </cell>
          <cell r="H7">
            <v>4</v>
          </cell>
          <cell r="I7">
            <v>5</v>
          </cell>
          <cell r="J7">
            <v>25</v>
          </cell>
          <cell r="K7">
            <v>5</v>
          </cell>
          <cell r="L7">
            <v>8</v>
          </cell>
          <cell r="M7">
            <v>1</v>
          </cell>
          <cell r="N7">
            <v>2</v>
          </cell>
        </row>
        <row r="8">
          <cell r="A8" t="str">
            <v>AGENCIAS ESCOFFERY, S.A</v>
          </cell>
          <cell r="B8"/>
          <cell r="C8">
            <v>8</v>
          </cell>
          <cell r="D8">
            <v>13</v>
          </cell>
          <cell r="E8"/>
          <cell r="F8"/>
          <cell r="G8">
            <v>2</v>
          </cell>
          <cell r="H8"/>
          <cell r="I8"/>
          <cell r="J8">
            <v>5</v>
          </cell>
          <cell r="K8"/>
          <cell r="L8"/>
          <cell r="M8"/>
          <cell r="N8"/>
        </row>
        <row r="9">
          <cell r="A9" t="str">
            <v>AGENCIAS FEDURO</v>
          </cell>
          <cell r="B9">
            <v>4</v>
          </cell>
          <cell r="C9">
            <v>16</v>
          </cell>
          <cell r="D9">
            <v>28</v>
          </cell>
          <cell r="E9">
            <v>7</v>
          </cell>
          <cell r="F9">
            <v>4</v>
          </cell>
          <cell r="G9">
            <v>4</v>
          </cell>
          <cell r="H9">
            <v>2</v>
          </cell>
          <cell r="I9">
            <v>4</v>
          </cell>
          <cell r="J9">
            <v>12</v>
          </cell>
          <cell r="K9">
            <v>2</v>
          </cell>
          <cell r="L9">
            <v>5</v>
          </cell>
          <cell r="M9"/>
          <cell r="N9">
            <v>2</v>
          </cell>
        </row>
        <row r="10">
          <cell r="A10" t="str">
            <v>Agro Export Pacific, S.A</v>
          </cell>
          <cell r="B10">
            <v>3</v>
          </cell>
          <cell r="C10">
            <v>11</v>
          </cell>
          <cell r="D10">
            <v>22</v>
          </cell>
          <cell r="E10">
            <v>10</v>
          </cell>
          <cell r="F10">
            <v>4</v>
          </cell>
          <cell r="G10">
            <v>3</v>
          </cell>
          <cell r="H10">
            <v>1</v>
          </cell>
          <cell r="I10">
            <v>2</v>
          </cell>
          <cell r="J10">
            <v>6</v>
          </cell>
          <cell r="K10">
            <v>3</v>
          </cell>
          <cell r="L10">
            <v>3</v>
          </cell>
          <cell r="M10"/>
          <cell r="N10"/>
        </row>
        <row r="11">
          <cell r="A11" t="str">
            <v>ALIMENTOS CÁRNICOS DE PANAMA ,S.A</v>
          </cell>
          <cell r="B11">
            <v>1</v>
          </cell>
          <cell r="C11">
            <v>3</v>
          </cell>
          <cell r="D11">
            <v>5</v>
          </cell>
          <cell r="E11"/>
          <cell r="F11"/>
          <cell r="G11">
            <v>1</v>
          </cell>
          <cell r="H11"/>
          <cell r="I11"/>
          <cell r="J11">
            <v>2</v>
          </cell>
          <cell r="K11"/>
          <cell r="L11">
            <v>1</v>
          </cell>
          <cell r="M11"/>
          <cell r="N11"/>
        </row>
        <row r="12">
          <cell r="A12" t="str">
            <v>Bienes y Raices Metalicas S.A.</v>
          </cell>
          <cell r="B12"/>
          <cell r="C12"/>
          <cell r="D12"/>
          <cell r="E12"/>
          <cell r="F12">
            <v>1</v>
          </cell>
          <cell r="G12"/>
          <cell r="H12"/>
          <cell r="I12">
            <v>1</v>
          </cell>
          <cell r="J12"/>
          <cell r="K12"/>
          <cell r="L12"/>
          <cell r="M12"/>
          <cell r="N12">
            <v>1</v>
          </cell>
        </row>
        <row r="13">
          <cell r="A13" t="str">
            <v>CAMPAÑA NUTRIENDO VIDAS</v>
          </cell>
          <cell r="B13">
            <v>4</v>
          </cell>
          <cell r="C13">
            <v>7</v>
          </cell>
          <cell r="D13">
            <v>6</v>
          </cell>
          <cell r="E13">
            <v>2</v>
          </cell>
          <cell r="F13">
            <v>1</v>
          </cell>
          <cell r="G13">
            <v>3</v>
          </cell>
          <cell r="H13">
            <v>1</v>
          </cell>
          <cell r="I13"/>
          <cell r="J13">
            <v>6</v>
          </cell>
          <cell r="K13">
            <v>3</v>
          </cell>
          <cell r="L13">
            <v>2</v>
          </cell>
          <cell r="M13">
            <v>1</v>
          </cell>
          <cell r="N13"/>
        </row>
        <row r="14">
          <cell r="A14" t="str">
            <v>CENTRAL AZUCARERO LA VICTORIA</v>
          </cell>
          <cell r="B14"/>
          <cell r="C14"/>
          <cell r="D14"/>
          <cell r="E14">
            <v>4</v>
          </cell>
          <cell r="F14"/>
          <cell r="G14"/>
          <cell r="H14"/>
          <cell r="I14"/>
          <cell r="J14"/>
          <cell r="K14"/>
          <cell r="L14"/>
          <cell r="M14"/>
          <cell r="N14"/>
        </row>
        <row r="15">
          <cell r="A15" t="str">
            <v>CERRO PUNTA, S.A</v>
          </cell>
          <cell r="B15">
            <v>2</v>
          </cell>
          <cell r="C15">
            <v>5</v>
          </cell>
          <cell r="D15">
            <v>10</v>
          </cell>
          <cell r="E15">
            <v>1</v>
          </cell>
          <cell r="F15"/>
          <cell r="G15">
            <v>1</v>
          </cell>
          <cell r="H15"/>
          <cell r="I15"/>
          <cell r="J15">
            <v>5</v>
          </cell>
          <cell r="K15"/>
          <cell r="L15">
            <v>1</v>
          </cell>
          <cell r="M15"/>
          <cell r="N15"/>
        </row>
        <row r="16">
          <cell r="A16" t="str">
            <v>Colgate Palmolive (CENTRAL AMERICA) INC</v>
          </cell>
          <cell r="B16">
            <v>7</v>
          </cell>
          <cell r="C16">
            <v>12</v>
          </cell>
          <cell r="D16">
            <v>21</v>
          </cell>
          <cell r="E16">
            <v>5</v>
          </cell>
          <cell r="F16">
            <v>1</v>
          </cell>
          <cell r="G16">
            <v>1</v>
          </cell>
          <cell r="H16">
            <v>2</v>
          </cell>
          <cell r="I16">
            <v>2</v>
          </cell>
          <cell r="J16">
            <v>10</v>
          </cell>
          <cell r="K16">
            <v>1</v>
          </cell>
          <cell r="L16">
            <v>4</v>
          </cell>
          <cell r="M16"/>
          <cell r="N16">
            <v>2</v>
          </cell>
        </row>
        <row r="17">
          <cell r="A17" t="str">
            <v>CONGREGACION DE HERMANDAD KOL SHEARITH ISRAEL</v>
          </cell>
          <cell r="B17">
            <v>2</v>
          </cell>
          <cell r="C17">
            <v>5</v>
          </cell>
          <cell r="D17">
            <v>5</v>
          </cell>
          <cell r="E17"/>
          <cell r="F17"/>
          <cell r="G17">
            <v>1</v>
          </cell>
          <cell r="H17">
            <v>1</v>
          </cell>
          <cell r="I17"/>
          <cell r="J17">
            <v>7</v>
          </cell>
          <cell r="K17"/>
          <cell r="L17">
            <v>2</v>
          </cell>
          <cell r="M17"/>
          <cell r="N17"/>
        </row>
        <row r="18">
          <cell r="A18" t="str">
            <v>COOLBOX FRESIA CORP.</v>
          </cell>
          <cell r="B18"/>
          <cell r="C18"/>
          <cell r="D18">
            <v>2</v>
          </cell>
          <cell r="E18"/>
          <cell r="F18"/>
          <cell r="G18"/>
          <cell r="H18"/>
          <cell r="I18"/>
          <cell r="J18">
            <v>2</v>
          </cell>
          <cell r="K18"/>
          <cell r="L18"/>
          <cell r="M18"/>
          <cell r="N18"/>
        </row>
        <row r="19">
          <cell r="A19" t="str">
            <v>CORONADO ACL S.A. (LEUDO PANADERÍA)</v>
          </cell>
          <cell r="B19"/>
          <cell r="C19"/>
          <cell r="D19"/>
          <cell r="E19"/>
          <cell r="F19"/>
          <cell r="G19">
            <v>1</v>
          </cell>
          <cell r="H19"/>
          <cell r="I19"/>
          <cell r="J19"/>
          <cell r="K19"/>
          <cell r="L19"/>
          <cell r="M19"/>
          <cell r="N19"/>
        </row>
        <row r="20">
          <cell r="A20" t="str">
            <v>CORPORACION INTERNACIONAL DE ALIMENTOS, S.A.</v>
          </cell>
          <cell r="B20">
            <v>15</v>
          </cell>
          <cell r="C20">
            <v>31</v>
          </cell>
          <cell r="D20">
            <v>41</v>
          </cell>
          <cell r="E20">
            <v>11</v>
          </cell>
          <cell r="F20">
            <v>6</v>
          </cell>
          <cell r="G20">
            <v>6</v>
          </cell>
          <cell r="H20">
            <v>3</v>
          </cell>
          <cell r="I20">
            <v>5</v>
          </cell>
          <cell r="J20">
            <v>21</v>
          </cell>
          <cell r="K20">
            <v>3</v>
          </cell>
          <cell r="L20">
            <v>6</v>
          </cell>
          <cell r="M20"/>
          <cell r="N20">
            <v>2</v>
          </cell>
        </row>
        <row r="21">
          <cell r="A21" t="str">
            <v>Delivery Hero Dmart Panamá S.A. (Pedidos Ya)</v>
          </cell>
          <cell r="B21">
            <v>2</v>
          </cell>
          <cell r="C21">
            <v>5</v>
          </cell>
          <cell r="D21">
            <v>9</v>
          </cell>
          <cell r="E21">
            <v>1</v>
          </cell>
          <cell r="F21"/>
          <cell r="G21">
            <v>2</v>
          </cell>
          <cell r="H21"/>
          <cell r="I21"/>
          <cell r="J21">
            <v>6</v>
          </cell>
          <cell r="K21"/>
          <cell r="L21">
            <v>1</v>
          </cell>
          <cell r="M21"/>
          <cell r="N21"/>
        </row>
        <row r="22">
          <cell r="A22" t="str">
            <v>DICSA PANAMA</v>
          </cell>
          <cell r="B22">
            <v>2</v>
          </cell>
          <cell r="C22">
            <v>4</v>
          </cell>
          <cell r="D22">
            <v>7</v>
          </cell>
          <cell r="E22"/>
          <cell r="F22"/>
          <cell r="G22">
            <v>3</v>
          </cell>
          <cell r="H22">
            <v>2</v>
          </cell>
          <cell r="I22"/>
          <cell r="J22">
            <v>5</v>
          </cell>
          <cell r="K22"/>
          <cell r="L22">
            <v>4</v>
          </cell>
          <cell r="M22"/>
          <cell r="N22"/>
        </row>
        <row r="23">
          <cell r="A23" t="str">
            <v>Empresa Panameña de Alimentos, S. A.</v>
          </cell>
          <cell r="B23">
            <v>10</v>
          </cell>
          <cell r="C23">
            <v>24</v>
          </cell>
          <cell r="D23">
            <v>37</v>
          </cell>
          <cell r="E23">
            <v>5</v>
          </cell>
          <cell r="F23">
            <v>2</v>
          </cell>
          <cell r="G23">
            <v>6</v>
          </cell>
          <cell r="H23">
            <v>3</v>
          </cell>
          <cell r="I23">
            <v>1</v>
          </cell>
          <cell r="J23">
            <v>17</v>
          </cell>
          <cell r="K23">
            <v>1</v>
          </cell>
          <cell r="L23">
            <v>5</v>
          </cell>
          <cell r="M23"/>
          <cell r="N23"/>
        </row>
        <row r="24">
          <cell r="A24" t="str">
            <v>Federación Nacional de Cooperativas Salineras de Panamá (FENCOSPA, R.L.)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>
            <v>1</v>
          </cell>
        </row>
        <row r="25">
          <cell r="A25" t="str">
            <v>FELIPE MOTTA, S.A</v>
          </cell>
          <cell r="B25">
            <v>2</v>
          </cell>
          <cell r="C25">
            <v>8</v>
          </cell>
          <cell r="D25">
            <v>11</v>
          </cell>
          <cell r="E25">
            <v>1</v>
          </cell>
          <cell r="F25"/>
          <cell r="G25">
            <v>2</v>
          </cell>
          <cell r="H25">
            <v>1</v>
          </cell>
          <cell r="I25"/>
          <cell r="J25">
            <v>6</v>
          </cell>
          <cell r="K25"/>
          <cell r="L25">
            <v>2</v>
          </cell>
          <cell r="M25"/>
          <cell r="N25"/>
        </row>
        <row r="26">
          <cell r="A26" t="str">
            <v>FRANQUICIAS PANAMEÑAS</v>
          </cell>
          <cell r="B26">
            <v>9</v>
          </cell>
          <cell r="C26">
            <v>12</v>
          </cell>
          <cell r="D26">
            <v>25</v>
          </cell>
          <cell r="E26"/>
          <cell r="F26"/>
          <cell r="G26">
            <v>3</v>
          </cell>
          <cell r="H26">
            <v>1</v>
          </cell>
          <cell r="I26"/>
          <cell r="J26">
            <v>9</v>
          </cell>
          <cell r="K26"/>
          <cell r="L26">
            <v>5</v>
          </cell>
          <cell r="M26"/>
          <cell r="N26"/>
        </row>
        <row r="27">
          <cell r="A27" t="str">
            <v>FRESCAFHISH, S.A</v>
          </cell>
          <cell r="B27">
            <v>2</v>
          </cell>
          <cell r="C27">
            <v>1</v>
          </cell>
          <cell r="D27">
            <v>3</v>
          </cell>
          <cell r="E27">
            <v>4</v>
          </cell>
          <cell r="F27">
            <v>1</v>
          </cell>
          <cell r="G27"/>
          <cell r="H27"/>
          <cell r="I27">
            <v>1</v>
          </cell>
          <cell r="J27">
            <v>2</v>
          </cell>
          <cell r="K27">
            <v>2</v>
          </cell>
          <cell r="L27"/>
          <cell r="M27"/>
          <cell r="N27">
            <v>2</v>
          </cell>
        </row>
        <row r="28">
          <cell r="A28" t="str">
            <v>GENTILE - G &amp; H. S.A.</v>
          </cell>
          <cell r="B28"/>
          <cell r="C28"/>
          <cell r="D28">
            <v>3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</row>
        <row r="29">
          <cell r="A29" t="str">
            <v>GLOBAL PRODUCTS AND LOGISTIC SERVICES, INC. (Dicarina)</v>
          </cell>
          <cell r="B29">
            <v>4</v>
          </cell>
          <cell r="C29">
            <v>13</v>
          </cell>
          <cell r="D29">
            <v>18</v>
          </cell>
          <cell r="E29"/>
          <cell r="F29"/>
          <cell r="G29">
            <v>2</v>
          </cell>
          <cell r="H29">
            <v>1</v>
          </cell>
          <cell r="I29"/>
          <cell r="J29">
            <v>10</v>
          </cell>
          <cell r="K29"/>
          <cell r="L29"/>
          <cell r="M29"/>
          <cell r="N29"/>
        </row>
        <row r="30">
          <cell r="A30" t="str">
            <v>GOLD MILLS</v>
          </cell>
          <cell r="B30">
            <v>1</v>
          </cell>
          <cell r="C30">
            <v>7</v>
          </cell>
          <cell r="D30">
            <v>13</v>
          </cell>
          <cell r="E30"/>
          <cell r="F30"/>
          <cell r="G30">
            <v>2</v>
          </cell>
          <cell r="H30"/>
          <cell r="I30"/>
          <cell r="J30">
            <v>4</v>
          </cell>
          <cell r="K30"/>
          <cell r="L30">
            <v>2</v>
          </cell>
          <cell r="M30"/>
          <cell r="N30"/>
        </row>
        <row r="31">
          <cell r="A31" t="str">
            <v>Grupo Calesa</v>
          </cell>
          <cell r="B31">
            <v>1</v>
          </cell>
          <cell r="C31">
            <v>9</v>
          </cell>
          <cell r="D31">
            <v>12</v>
          </cell>
          <cell r="E31"/>
          <cell r="F31"/>
          <cell r="G31">
            <v>1</v>
          </cell>
          <cell r="H31"/>
          <cell r="I31"/>
          <cell r="J31">
            <v>3</v>
          </cell>
          <cell r="K31"/>
          <cell r="L31">
            <v>2</v>
          </cell>
          <cell r="M31"/>
          <cell r="N31"/>
        </row>
        <row r="32">
          <cell r="A32" t="str">
            <v>GRUPO REY</v>
          </cell>
          <cell r="B32">
            <v>13</v>
          </cell>
          <cell r="C32">
            <v>26</v>
          </cell>
          <cell r="D32">
            <v>40</v>
          </cell>
          <cell r="E32"/>
          <cell r="F32">
            <v>2</v>
          </cell>
          <cell r="G32">
            <v>6</v>
          </cell>
          <cell r="H32">
            <v>3</v>
          </cell>
          <cell r="I32">
            <v>3</v>
          </cell>
          <cell r="J32">
            <v>18</v>
          </cell>
          <cell r="K32">
            <v>2</v>
          </cell>
          <cell r="L32">
            <v>6</v>
          </cell>
          <cell r="M32"/>
          <cell r="N32">
            <v>2</v>
          </cell>
        </row>
        <row r="33">
          <cell r="A33" t="str">
            <v>H. TZANETATO INC</v>
          </cell>
          <cell r="B33">
            <v>4</v>
          </cell>
          <cell r="C33">
            <v>11</v>
          </cell>
          <cell r="D33">
            <v>27</v>
          </cell>
          <cell r="E33">
            <v>5</v>
          </cell>
          <cell r="F33">
            <v>1</v>
          </cell>
          <cell r="G33">
            <v>2</v>
          </cell>
          <cell r="H33">
            <v>1</v>
          </cell>
          <cell r="I33">
            <v>1</v>
          </cell>
          <cell r="J33">
            <v>9</v>
          </cell>
          <cell r="K33">
            <v>1</v>
          </cell>
          <cell r="L33">
            <v>3</v>
          </cell>
          <cell r="M33"/>
          <cell r="N33">
            <v>1</v>
          </cell>
        </row>
        <row r="34">
          <cell r="A34" t="str">
            <v>IMPORTADORA FRUTA INTERNACIONAL PANAMÁ, S.A.</v>
          </cell>
          <cell r="B34">
            <v>4</v>
          </cell>
          <cell r="C34">
            <v>9</v>
          </cell>
          <cell r="D34">
            <v>18</v>
          </cell>
          <cell r="E34">
            <v>1</v>
          </cell>
          <cell r="F34"/>
          <cell r="G34">
            <v>3</v>
          </cell>
          <cell r="H34"/>
          <cell r="I34"/>
          <cell r="J34">
            <v>6</v>
          </cell>
          <cell r="K34"/>
          <cell r="L34"/>
          <cell r="M34"/>
          <cell r="N34"/>
        </row>
        <row r="35">
          <cell r="A35" t="str">
            <v>IMPORTADORA RICAMAR - SUPER 99</v>
          </cell>
          <cell r="B35">
            <v>2</v>
          </cell>
          <cell r="C35">
            <v>6</v>
          </cell>
          <cell r="D35">
            <v>7</v>
          </cell>
          <cell r="E35"/>
          <cell r="F35"/>
          <cell r="G35"/>
          <cell r="H35">
            <v>1</v>
          </cell>
          <cell r="I35"/>
          <cell r="J35">
            <v>6</v>
          </cell>
          <cell r="K35"/>
          <cell r="L35">
            <v>2</v>
          </cell>
          <cell r="M35"/>
          <cell r="N35"/>
        </row>
        <row r="36">
          <cell r="A36" t="str">
            <v>IMPORTADORA Y EXPORTADORA NIMAR</v>
          </cell>
          <cell r="B36">
            <v>1</v>
          </cell>
          <cell r="C36">
            <v>10</v>
          </cell>
          <cell r="D36">
            <v>13</v>
          </cell>
          <cell r="E36"/>
          <cell r="F36"/>
          <cell r="G36">
            <v>2</v>
          </cell>
          <cell r="H36"/>
          <cell r="I36"/>
          <cell r="J36">
            <v>7</v>
          </cell>
          <cell r="K36"/>
          <cell r="L36">
            <v>1</v>
          </cell>
          <cell r="M36"/>
          <cell r="N36"/>
        </row>
        <row r="37">
          <cell r="A37" t="str">
            <v>INDUSTRIAS LACTEAS, S.A / Estrella Azul</v>
          </cell>
          <cell r="B37">
            <v>1</v>
          </cell>
          <cell r="C37">
            <v>5</v>
          </cell>
          <cell r="D37">
            <v>8</v>
          </cell>
          <cell r="E37"/>
          <cell r="F37"/>
          <cell r="G37">
            <v>2</v>
          </cell>
          <cell r="H37"/>
          <cell r="I37"/>
          <cell r="J37">
            <v>4</v>
          </cell>
          <cell r="K37"/>
          <cell r="L37">
            <v>2</v>
          </cell>
          <cell r="M37"/>
          <cell r="N37"/>
        </row>
        <row r="38">
          <cell r="A38" t="str">
            <v>KERRY PANAMA, S.A.</v>
          </cell>
          <cell r="B38"/>
          <cell r="C38">
            <v>1</v>
          </cell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</row>
        <row r="39">
          <cell r="A39" t="str">
            <v>LA CHOLITA S.A.</v>
          </cell>
          <cell r="B39"/>
          <cell r="C39"/>
          <cell r="D39">
            <v>1</v>
          </cell>
          <cell r="E39">
            <v>9</v>
          </cell>
          <cell r="F39">
            <v>2</v>
          </cell>
          <cell r="G39"/>
          <cell r="H39"/>
          <cell r="I39">
            <v>1</v>
          </cell>
          <cell r="J39"/>
          <cell r="K39">
            <v>2</v>
          </cell>
          <cell r="L39"/>
          <cell r="M39"/>
          <cell r="N39">
            <v>2</v>
          </cell>
        </row>
        <row r="40">
          <cell r="A40" t="str">
            <v>MARTIN BROWER</v>
          </cell>
          <cell r="B40">
            <v>3</v>
          </cell>
          <cell r="C40">
            <v>13</v>
          </cell>
          <cell r="D40">
            <v>27</v>
          </cell>
          <cell r="E40"/>
          <cell r="F40"/>
          <cell r="G40">
            <v>3</v>
          </cell>
          <cell r="H40">
            <v>1</v>
          </cell>
          <cell r="I40">
            <v>1</v>
          </cell>
          <cell r="J40">
            <v>7</v>
          </cell>
          <cell r="K40"/>
          <cell r="L40">
            <v>5</v>
          </cell>
          <cell r="M40"/>
          <cell r="N40"/>
        </row>
        <row r="41">
          <cell r="A41" t="str">
            <v>MELO FARMA, S.A.</v>
          </cell>
          <cell r="B41">
            <v>3</v>
          </cell>
          <cell r="C41">
            <v>7</v>
          </cell>
          <cell r="D41">
            <v>5</v>
          </cell>
          <cell r="E41"/>
          <cell r="F41"/>
          <cell r="G41">
            <v>1</v>
          </cell>
          <cell r="H41"/>
          <cell r="I41"/>
          <cell r="J41">
            <v>3</v>
          </cell>
          <cell r="K41"/>
          <cell r="L41"/>
          <cell r="M41"/>
          <cell r="N41"/>
        </row>
        <row r="42">
          <cell r="A42" t="str">
            <v>MERCA PANAMA</v>
          </cell>
          <cell r="B42">
            <v>2</v>
          </cell>
          <cell r="C42">
            <v>13</v>
          </cell>
          <cell r="D42">
            <v>25</v>
          </cell>
          <cell r="E42">
            <v>2</v>
          </cell>
          <cell r="F42">
            <v>1</v>
          </cell>
          <cell r="G42">
            <v>2</v>
          </cell>
          <cell r="H42">
            <v>1</v>
          </cell>
          <cell r="I42"/>
          <cell r="J42">
            <v>11</v>
          </cell>
          <cell r="K42"/>
          <cell r="L42">
            <v>1</v>
          </cell>
          <cell r="M42"/>
          <cell r="N42"/>
        </row>
        <row r="43">
          <cell r="A43" t="str">
            <v>MERCALIMENTOS PANAMA, S.A</v>
          </cell>
          <cell r="B43">
            <v>5</v>
          </cell>
          <cell r="C43">
            <v>20</v>
          </cell>
          <cell r="D43">
            <v>32</v>
          </cell>
          <cell r="E43">
            <v>4</v>
          </cell>
          <cell r="F43"/>
          <cell r="G43">
            <v>5</v>
          </cell>
          <cell r="H43">
            <v>2</v>
          </cell>
          <cell r="I43">
            <v>1</v>
          </cell>
          <cell r="J43">
            <v>14</v>
          </cell>
          <cell r="K43"/>
          <cell r="L43">
            <v>4</v>
          </cell>
          <cell r="M43"/>
          <cell r="N43">
            <v>2</v>
          </cell>
        </row>
        <row r="44">
          <cell r="A44" t="str">
            <v>NEGOCIOS CENTROAMERICANOS, S.A</v>
          </cell>
          <cell r="B44">
            <v>3</v>
          </cell>
          <cell r="C44">
            <v>6</v>
          </cell>
          <cell r="D44">
            <v>14</v>
          </cell>
          <cell r="E44"/>
          <cell r="F44"/>
          <cell r="G44">
            <v>2</v>
          </cell>
          <cell r="H44"/>
          <cell r="I44"/>
          <cell r="J44">
            <v>4</v>
          </cell>
          <cell r="K44"/>
          <cell r="L44">
            <v>3</v>
          </cell>
          <cell r="M44"/>
          <cell r="N44"/>
        </row>
        <row r="45">
          <cell r="A45" t="str">
            <v>NESTLE PANAMA</v>
          </cell>
          <cell r="B45">
            <v>9</v>
          </cell>
          <cell r="C45">
            <v>25</v>
          </cell>
          <cell r="D45">
            <v>34</v>
          </cell>
          <cell r="E45">
            <v>8</v>
          </cell>
          <cell r="F45">
            <v>5</v>
          </cell>
          <cell r="G45">
            <v>6</v>
          </cell>
          <cell r="H45">
            <v>3</v>
          </cell>
          <cell r="I45">
            <v>2</v>
          </cell>
          <cell r="J45">
            <v>18</v>
          </cell>
          <cell r="K45">
            <v>3</v>
          </cell>
          <cell r="L45">
            <v>5</v>
          </cell>
          <cell r="M45"/>
          <cell r="N45">
            <v>2</v>
          </cell>
        </row>
        <row r="46">
          <cell r="A46" t="str">
            <v>NUEVO HUNG SHENG</v>
          </cell>
          <cell r="B46">
            <v>6</v>
          </cell>
          <cell r="C46">
            <v>11</v>
          </cell>
          <cell r="D46">
            <v>17</v>
          </cell>
          <cell r="E46"/>
          <cell r="F46"/>
          <cell r="G46">
            <v>1</v>
          </cell>
          <cell r="H46">
            <v>1</v>
          </cell>
          <cell r="I46"/>
          <cell r="J46">
            <v>8</v>
          </cell>
          <cell r="K46"/>
          <cell r="L46">
            <v>3</v>
          </cell>
          <cell r="M46"/>
          <cell r="N46"/>
        </row>
        <row r="47">
          <cell r="A47" t="str">
            <v>ORDEN DE MALTA PANAMA ASOCIACION PANAMEÑA</v>
          </cell>
          <cell r="B47">
            <v>1</v>
          </cell>
          <cell r="C47">
            <v>4</v>
          </cell>
          <cell r="D47">
            <v>7</v>
          </cell>
          <cell r="E47">
            <v>4</v>
          </cell>
          <cell r="F47">
            <v>5</v>
          </cell>
          <cell r="G47"/>
          <cell r="H47">
            <v>1</v>
          </cell>
          <cell r="I47">
            <v>2</v>
          </cell>
          <cell r="J47">
            <v>3</v>
          </cell>
          <cell r="K47">
            <v>2</v>
          </cell>
          <cell r="L47">
            <v>3</v>
          </cell>
          <cell r="M47"/>
          <cell r="N47">
            <v>1</v>
          </cell>
        </row>
        <row r="48">
          <cell r="A48" t="str">
            <v>PANASAL</v>
          </cell>
          <cell r="B48">
            <v>4</v>
          </cell>
          <cell r="C48">
            <v>6</v>
          </cell>
          <cell r="D48">
            <v>8</v>
          </cell>
          <cell r="E48"/>
          <cell r="F48"/>
          <cell r="G48">
            <v>2</v>
          </cell>
          <cell r="H48"/>
          <cell r="I48"/>
          <cell r="J48">
            <v>2</v>
          </cell>
          <cell r="K48"/>
          <cell r="L48">
            <v>1</v>
          </cell>
          <cell r="M48"/>
          <cell r="N48"/>
        </row>
        <row r="49">
          <cell r="A49" t="str">
            <v>PEDERSEN FINE FOODS, S.A</v>
          </cell>
          <cell r="B49">
            <v>5</v>
          </cell>
          <cell r="C49">
            <v>4</v>
          </cell>
          <cell r="D49">
            <v>4</v>
          </cell>
          <cell r="E49"/>
          <cell r="F49"/>
          <cell r="G49"/>
          <cell r="H49"/>
          <cell r="I49"/>
          <cell r="J49">
            <v>4</v>
          </cell>
          <cell r="K49"/>
          <cell r="L49">
            <v>2</v>
          </cell>
          <cell r="M49"/>
          <cell r="N49"/>
        </row>
        <row r="50">
          <cell r="A50" t="str">
            <v>Price-Smart-Panama S.A</v>
          </cell>
          <cell r="B50">
            <v>8</v>
          </cell>
          <cell r="C50">
            <v>18</v>
          </cell>
          <cell r="D50">
            <v>35</v>
          </cell>
          <cell r="E50">
            <v>9</v>
          </cell>
          <cell r="F50">
            <v>3</v>
          </cell>
          <cell r="G50">
            <v>4</v>
          </cell>
          <cell r="H50">
            <v>2</v>
          </cell>
          <cell r="I50">
            <v>3</v>
          </cell>
          <cell r="J50">
            <v>16</v>
          </cell>
          <cell r="K50">
            <v>3</v>
          </cell>
          <cell r="L50">
            <v>4</v>
          </cell>
          <cell r="M50"/>
          <cell r="N50">
            <v>1</v>
          </cell>
        </row>
        <row r="51">
          <cell r="A51" t="str">
            <v>PROCESADORA MONICA, S.A</v>
          </cell>
          <cell r="B51"/>
          <cell r="C51"/>
          <cell r="D51"/>
          <cell r="E51">
            <v>2</v>
          </cell>
          <cell r="F51">
            <v>1</v>
          </cell>
          <cell r="G51"/>
          <cell r="H51"/>
          <cell r="I51">
            <v>1</v>
          </cell>
          <cell r="J51"/>
          <cell r="K51">
            <v>1</v>
          </cell>
          <cell r="L51"/>
          <cell r="M51"/>
          <cell r="N51">
            <v>1</v>
          </cell>
        </row>
        <row r="52">
          <cell r="A52" t="str">
            <v>PRODUCTOS KIENER</v>
          </cell>
          <cell r="B52">
            <v>9</v>
          </cell>
          <cell r="C52">
            <v>21</v>
          </cell>
          <cell r="D52">
            <v>31</v>
          </cell>
          <cell r="E52">
            <v>1</v>
          </cell>
          <cell r="F52"/>
          <cell r="G52">
            <v>2</v>
          </cell>
          <cell r="H52">
            <v>2</v>
          </cell>
          <cell r="I52"/>
          <cell r="J52">
            <v>16</v>
          </cell>
          <cell r="K52"/>
          <cell r="L52">
            <v>5</v>
          </cell>
          <cell r="M52"/>
          <cell r="N52"/>
        </row>
        <row r="53">
          <cell r="A53" t="str">
            <v>PRODUCTOS LA DOÑA, S.A</v>
          </cell>
          <cell r="B53">
            <v>8</v>
          </cell>
          <cell r="C53">
            <v>24</v>
          </cell>
          <cell r="D53">
            <v>34</v>
          </cell>
          <cell r="E53">
            <v>7</v>
          </cell>
          <cell r="F53">
            <v>6</v>
          </cell>
          <cell r="G53">
            <v>4</v>
          </cell>
          <cell r="H53">
            <v>3</v>
          </cell>
          <cell r="I53">
            <v>1</v>
          </cell>
          <cell r="J53">
            <v>18</v>
          </cell>
          <cell r="K53">
            <v>2</v>
          </cell>
          <cell r="L53">
            <v>6</v>
          </cell>
          <cell r="M53"/>
          <cell r="N53">
            <v>2</v>
          </cell>
        </row>
        <row r="54">
          <cell r="A54" t="str">
            <v>PRODUCTOS LUX, S.A ( Proluxa)</v>
          </cell>
          <cell r="B54">
            <v>6</v>
          </cell>
          <cell r="C54">
            <v>16</v>
          </cell>
          <cell r="D54">
            <v>17</v>
          </cell>
          <cell r="E54">
            <v>2</v>
          </cell>
          <cell r="F54">
            <v>3</v>
          </cell>
          <cell r="G54">
            <v>1</v>
          </cell>
          <cell r="H54">
            <v>2</v>
          </cell>
          <cell r="I54"/>
          <cell r="J54">
            <v>9</v>
          </cell>
          <cell r="K54">
            <v>1</v>
          </cell>
          <cell r="L54">
            <v>3</v>
          </cell>
          <cell r="M54"/>
          <cell r="N54">
            <v>1</v>
          </cell>
        </row>
        <row r="55">
          <cell r="A55" t="str">
            <v>PRODUCTOS NEVADA S.A</v>
          </cell>
          <cell r="B55">
            <v>3</v>
          </cell>
          <cell r="C55">
            <v>5</v>
          </cell>
          <cell r="D55">
            <v>9</v>
          </cell>
          <cell r="E55"/>
          <cell r="F55"/>
          <cell r="G55">
            <v>1</v>
          </cell>
          <cell r="H55">
            <v>1</v>
          </cell>
          <cell r="I55"/>
          <cell r="J55">
            <v>4</v>
          </cell>
          <cell r="K55"/>
          <cell r="L55">
            <v>3</v>
          </cell>
          <cell r="M55"/>
          <cell r="N55"/>
        </row>
        <row r="56">
          <cell r="A56" t="str">
            <v>PRODUCTOS TOLEDANO</v>
          </cell>
          <cell r="B56">
            <v>7</v>
          </cell>
          <cell r="C56">
            <v>12</v>
          </cell>
          <cell r="D56">
            <v>26</v>
          </cell>
          <cell r="E56">
            <v>11</v>
          </cell>
          <cell r="F56">
            <v>4</v>
          </cell>
          <cell r="G56">
            <v>2</v>
          </cell>
          <cell r="H56">
            <v>3</v>
          </cell>
          <cell r="I56">
            <v>4</v>
          </cell>
          <cell r="J56">
            <v>14</v>
          </cell>
          <cell r="K56">
            <v>3</v>
          </cell>
          <cell r="L56">
            <v>5</v>
          </cell>
          <cell r="M56"/>
          <cell r="N56">
            <v>2</v>
          </cell>
        </row>
        <row r="57">
          <cell r="A57" t="str">
            <v>PROGRAMA KILOS DE ESPERANZA</v>
          </cell>
          <cell r="B57">
            <v>5</v>
          </cell>
          <cell r="C57">
            <v>13</v>
          </cell>
          <cell r="D57">
            <v>16</v>
          </cell>
          <cell r="E57"/>
          <cell r="F57"/>
          <cell r="G57">
            <v>3</v>
          </cell>
          <cell r="H57">
            <v>1</v>
          </cell>
          <cell r="I57"/>
          <cell r="J57">
            <v>10</v>
          </cell>
          <cell r="K57"/>
          <cell r="L57">
            <v>4</v>
          </cell>
          <cell r="M57"/>
          <cell r="N57"/>
        </row>
        <row r="58">
          <cell r="A58" t="str">
            <v>PROSERV</v>
          </cell>
          <cell r="B58">
            <v>3</v>
          </cell>
          <cell r="C58">
            <v>13</v>
          </cell>
          <cell r="D58">
            <v>23</v>
          </cell>
          <cell r="E58">
            <v>2</v>
          </cell>
          <cell r="F58">
            <v>2</v>
          </cell>
          <cell r="G58">
            <v>3</v>
          </cell>
          <cell r="H58">
            <v>1</v>
          </cell>
          <cell r="I58">
            <v>1</v>
          </cell>
          <cell r="J58">
            <v>7</v>
          </cell>
          <cell r="K58">
            <v>1</v>
          </cell>
          <cell r="L58">
            <v>2</v>
          </cell>
          <cell r="M58"/>
          <cell r="N58">
            <v>1</v>
          </cell>
        </row>
        <row r="59">
          <cell r="A59" t="str">
            <v>PURISSIMA, S.A</v>
          </cell>
          <cell r="B59">
            <v>5</v>
          </cell>
          <cell r="C59">
            <v>5</v>
          </cell>
          <cell r="D59">
            <v>9</v>
          </cell>
          <cell r="E59"/>
          <cell r="F59"/>
          <cell r="G59">
            <v>1</v>
          </cell>
          <cell r="H59"/>
          <cell r="I59">
            <v>1</v>
          </cell>
          <cell r="J59">
            <v>2</v>
          </cell>
          <cell r="K59">
            <v>1</v>
          </cell>
          <cell r="L59">
            <v>2</v>
          </cell>
          <cell r="M59"/>
          <cell r="N59">
            <v>2</v>
          </cell>
        </row>
        <row r="60">
          <cell r="A60" t="str">
            <v>RIBA SMITH, S.A.</v>
          </cell>
          <cell r="B60">
            <v>5</v>
          </cell>
          <cell r="C60">
            <v>11</v>
          </cell>
          <cell r="D60">
            <v>20</v>
          </cell>
          <cell r="E60"/>
          <cell r="F60"/>
          <cell r="G60">
            <v>2</v>
          </cell>
          <cell r="H60">
            <v>2</v>
          </cell>
          <cell r="I60"/>
          <cell r="J60">
            <v>8</v>
          </cell>
          <cell r="K60"/>
          <cell r="L60">
            <v>3</v>
          </cell>
          <cell r="M60"/>
          <cell r="N60"/>
        </row>
        <row r="61">
          <cell r="A61" t="str">
            <v>SALVA - MAR,</v>
          </cell>
          <cell r="B61">
            <v>2</v>
          </cell>
          <cell r="C61">
            <v>6</v>
          </cell>
          <cell r="D61">
            <v>15</v>
          </cell>
          <cell r="E61">
            <v>3</v>
          </cell>
          <cell r="F61">
            <v>4</v>
          </cell>
          <cell r="G61">
            <v>2</v>
          </cell>
          <cell r="H61"/>
          <cell r="I61">
            <v>1</v>
          </cell>
          <cell r="J61">
            <v>7</v>
          </cell>
          <cell r="K61">
            <v>2</v>
          </cell>
          <cell r="L61">
            <v>1</v>
          </cell>
          <cell r="M61"/>
          <cell r="N61">
            <v>1</v>
          </cell>
        </row>
        <row r="62">
          <cell r="A62" t="str">
            <v>SAMBU ARTISAN FOOD, S.A.</v>
          </cell>
          <cell r="B62">
            <v>3</v>
          </cell>
          <cell r="C62">
            <v>9</v>
          </cell>
          <cell r="D62">
            <v>8</v>
          </cell>
          <cell r="E62"/>
          <cell r="F62"/>
          <cell r="G62">
            <v>1</v>
          </cell>
          <cell r="H62">
            <v>3</v>
          </cell>
          <cell r="I62"/>
          <cell r="J62">
            <v>6</v>
          </cell>
          <cell r="K62"/>
          <cell r="L62">
            <v>2</v>
          </cell>
          <cell r="M62"/>
          <cell r="N62"/>
        </row>
        <row r="63">
          <cell r="A63" t="str">
            <v>SUPER CARNES</v>
          </cell>
          <cell r="B63"/>
          <cell r="C63"/>
          <cell r="D63">
            <v>1</v>
          </cell>
          <cell r="E63">
            <v>8</v>
          </cell>
          <cell r="F63">
            <v>4</v>
          </cell>
          <cell r="G63"/>
          <cell r="H63"/>
          <cell r="I63">
            <v>3</v>
          </cell>
          <cell r="J63"/>
          <cell r="K63">
            <v>2</v>
          </cell>
          <cell r="L63"/>
          <cell r="M63"/>
          <cell r="N63">
            <v>1</v>
          </cell>
        </row>
        <row r="64">
          <cell r="A64" t="str">
            <v>Vima Foods Panamá S.A.</v>
          </cell>
          <cell r="B64">
            <v>1</v>
          </cell>
          <cell r="C64">
            <v>3</v>
          </cell>
          <cell r="D64">
            <v>9</v>
          </cell>
          <cell r="E64"/>
          <cell r="F64"/>
          <cell r="G64"/>
          <cell r="H64">
            <v>1</v>
          </cell>
          <cell r="I64"/>
          <cell r="J64">
            <v>4</v>
          </cell>
          <cell r="K64"/>
          <cell r="L64">
            <v>1</v>
          </cell>
          <cell r="M64"/>
          <cell r="N64"/>
        </row>
        <row r="65">
          <cell r="A65" t="str">
            <v>Total general</v>
          </cell>
          <cell r="B65">
            <v>18</v>
          </cell>
          <cell r="C65">
            <v>35</v>
          </cell>
          <cell r="D65">
            <v>48</v>
          </cell>
          <cell r="E65">
            <v>13</v>
          </cell>
          <cell r="F65">
            <v>7</v>
          </cell>
          <cell r="G65">
            <v>8</v>
          </cell>
          <cell r="H65">
            <v>4</v>
          </cell>
          <cell r="I65">
            <v>5</v>
          </cell>
          <cell r="J65">
            <v>28</v>
          </cell>
          <cell r="K65">
            <v>5</v>
          </cell>
          <cell r="L65">
            <v>8</v>
          </cell>
          <cell r="M65">
            <v>1</v>
          </cell>
          <cell r="N65">
            <v>2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</row>
        <row r="67"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</row>
        <row r="68"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</row>
        <row r="70"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</row>
        <row r="71"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</row>
        <row r="72"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</row>
        <row r="73"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</row>
        <row r="74"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</row>
        <row r="75"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</row>
        <row r="76"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</row>
        <row r="77"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</row>
        <row r="78"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</row>
        <row r="79"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</row>
        <row r="80"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</row>
        <row r="81"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</row>
        <row r="82"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</row>
        <row r="83"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</row>
        <row r="85"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</row>
        <row r="86"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</row>
        <row r="87"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</row>
        <row r="88"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</row>
        <row r="89"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</row>
        <row r="90"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</row>
        <row r="91"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</row>
        <row r="92"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</row>
        <row r="93"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</row>
        <row r="94"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</row>
        <row r="95"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</row>
        <row r="96"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</row>
        <row r="97"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</row>
        <row r="98"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</row>
        <row r="99"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</row>
        <row r="100"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</row>
        <row r="101"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</row>
        <row r="102"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  <cell r="N102"/>
        </row>
        <row r="103"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N103"/>
        </row>
        <row r="104"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N104"/>
        </row>
        <row r="105"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N105"/>
        </row>
        <row r="106"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N106"/>
        </row>
        <row r="107"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N107"/>
        </row>
        <row r="108"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  <cell r="N108"/>
        </row>
        <row r="109"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  <cell r="N109"/>
        </row>
        <row r="110"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  <cell r="N110"/>
        </row>
        <row r="111"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  <cell r="N111"/>
        </row>
        <row r="112"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N112"/>
        </row>
        <row r="113"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N113"/>
        </row>
        <row r="114"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  <cell r="N114"/>
        </row>
        <row r="115"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N115"/>
        </row>
        <row r="116"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N116"/>
        </row>
        <row r="117"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N117"/>
        </row>
        <row r="118"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N118"/>
        </row>
        <row r="119"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N119"/>
        </row>
        <row r="120"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N120"/>
        </row>
        <row r="121"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N121"/>
        </row>
        <row r="122"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</row>
        <row r="123"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</row>
        <row r="124"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</row>
        <row r="125"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</row>
        <row r="126"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</row>
        <row r="127"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</row>
        <row r="128"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</row>
        <row r="129"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</row>
        <row r="130"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</row>
        <row r="131"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</row>
        <row r="132"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</row>
        <row r="133"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</row>
        <row r="135"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</row>
        <row r="136"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</row>
        <row r="137"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</row>
        <row r="138"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</row>
        <row r="139"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</row>
        <row r="140"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</row>
        <row r="141"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</row>
        <row r="155"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</row>
        <row r="156"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</row>
        <row r="157"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</row>
        <row r="158"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</row>
        <row r="159"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</row>
        <row r="160"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</row>
        <row r="161"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</row>
        <row r="162"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</row>
        <row r="163"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</row>
        <row r="164"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</row>
        <row r="165"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</row>
        <row r="166"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</row>
        <row r="167"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</row>
        <row r="168"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</row>
        <row r="169"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</row>
        <row r="170"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</row>
        <row r="171"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</row>
        <row r="172"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</row>
        <row r="173"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</row>
        <row r="174"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</row>
        <row r="175"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</row>
        <row r="176"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</row>
        <row r="177"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</row>
        <row r="178"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</row>
      </sheetData>
      <sheetData sheetId="8">
        <row r="1">
          <cell r="A1" t="str">
            <v>Sin Area</v>
          </cell>
          <cell r="B1">
            <v>0</v>
          </cell>
          <cell r="C1" t="str">
            <v>CENTRO</v>
          </cell>
          <cell r="D1" t="str">
            <v>ESTE</v>
          </cell>
          <cell r="E1" t="str">
            <v>OESTE</v>
          </cell>
          <cell r="F1" t="str">
            <v>DARIEN</v>
          </cell>
          <cell r="G1" t="str">
            <v>San Miguelito</v>
          </cell>
          <cell r="H1" t="str">
            <v>COLON</v>
          </cell>
          <cell r="I1" t="str">
            <v>NORTE</v>
          </cell>
          <cell r="J1" t="str">
            <v>CHIRIQUI</v>
          </cell>
          <cell r="K1" t="str">
            <v>COCLE</v>
          </cell>
          <cell r="L1" t="str">
            <v>HERRERA</v>
          </cell>
          <cell r="M1" t="str">
            <v>VERAGUAS</v>
          </cell>
          <cell r="N1" t="str">
            <v>BOCAS</v>
          </cell>
          <cell r="O1" t="str">
            <v>Los Santos</v>
          </cell>
        </row>
        <row r="2">
          <cell r="A2" t="str">
            <v>Action Name</v>
          </cell>
          <cell r="B2" t="str">
            <v>Lot Shipped</v>
          </cell>
        </row>
        <row r="3">
          <cell r="A3" t="str">
            <v>Mes</v>
          </cell>
          <cell r="B3">
            <v>3</v>
          </cell>
        </row>
        <row r="5">
          <cell r="A5" t="str">
            <v>Suma de Kilos Despachados</v>
          </cell>
          <cell r="B5" t="str">
            <v>Etiquetas de columna</v>
          </cell>
        </row>
        <row r="6">
          <cell r="A6" t="str">
            <v>Etiquetas de fila</v>
          </cell>
          <cell r="B6">
            <v>0</v>
          </cell>
          <cell r="C6" t="str">
            <v>Panama Centro</v>
          </cell>
          <cell r="D6" t="str">
            <v>Panama Este</v>
          </cell>
          <cell r="E6" t="str">
            <v>Provincia de Panama Oeste</v>
          </cell>
          <cell r="F6" t="str">
            <v>Provincia de Darién</v>
          </cell>
          <cell r="G6" t="str">
            <v>San Miguelito</v>
          </cell>
          <cell r="H6" t="str">
            <v>Provincia de Colon</v>
          </cell>
          <cell r="I6" t="str">
            <v>Panama Norte</v>
          </cell>
          <cell r="J6" t="str">
            <v>Provincia de Chiriquí</v>
          </cell>
          <cell r="K6" t="str">
            <v>Provincia de Coclé</v>
          </cell>
          <cell r="L6" t="str">
            <v>Provincia de Herrera</v>
          </cell>
          <cell r="M6" t="str">
            <v>Provincia de Veraguas</v>
          </cell>
          <cell r="N6" t="str">
            <v>Provincia de Bocas del Toro</v>
          </cell>
          <cell r="O6" t="str">
            <v>Provincia de Los Santos</v>
          </cell>
        </row>
        <row r="7">
          <cell r="A7">
            <v>0</v>
          </cell>
          <cell r="B7">
            <v>1331.85</v>
          </cell>
          <cell r="C7">
            <v>2319.5300000000007</v>
          </cell>
          <cell r="D7">
            <v>8737.73</v>
          </cell>
          <cell r="E7">
            <v>2095.0699999999997</v>
          </cell>
          <cell r="F7">
            <v>244.21</v>
          </cell>
          <cell r="G7">
            <v>585.66</v>
          </cell>
          <cell r="H7">
            <v>2007.9300000000003</v>
          </cell>
          <cell r="I7">
            <v>719.29</v>
          </cell>
          <cell r="J7">
            <v>2388.5699999999997</v>
          </cell>
          <cell r="K7">
            <v>1936.21</v>
          </cell>
          <cell r="L7">
            <v>1703.2599999999998</v>
          </cell>
          <cell r="M7">
            <v>949.39</v>
          </cell>
          <cell r="N7">
            <v>0.01</v>
          </cell>
          <cell r="O7">
            <v>281.06</v>
          </cell>
        </row>
        <row r="8">
          <cell r="A8" t="str">
            <v>GRUPO REY</v>
          </cell>
          <cell r="B8">
            <v>18.5</v>
          </cell>
          <cell r="C8">
            <v>1551.72</v>
          </cell>
          <cell r="D8">
            <v>1708.5199999999998</v>
          </cell>
          <cell r="E8">
            <v>919.09999999999991</v>
          </cell>
          <cell r="F8">
            <v>74</v>
          </cell>
          <cell r="G8">
            <v>320.62</v>
          </cell>
          <cell r="H8">
            <v>594.79999999999995</v>
          </cell>
          <cell r="I8">
            <v>350.8</v>
          </cell>
          <cell r="J8"/>
          <cell r="K8">
            <v>40</v>
          </cell>
          <cell r="L8">
            <v>118</v>
          </cell>
          <cell r="M8">
            <v>72</v>
          </cell>
          <cell r="N8"/>
          <cell r="O8">
            <v>42</v>
          </cell>
        </row>
        <row r="9">
          <cell r="A9" t="str">
            <v>662-IG MINISTERIO EVANGELICO EL APOSENTO ALTO (CENTRO 1)</v>
          </cell>
          <cell r="B9"/>
          <cell r="C9">
            <v>13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</row>
        <row r="10">
          <cell r="A10" t="str">
            <v>209 IG - TEMPLO MISIONERO CRISTO TE LLAMA</v>
          </cell>
          <cell r="B10"/>
          <cell r="C10"/>
          <cell r="D10">
            <v>12</v>
          </cell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</row>
        <row r="11">
          <cell r="A11" t="str">
            <v>702 - FU MINISTERIO BERAKHAH INTERNACIONAL ARRAIJAN</v>
          </cell>
          <cell r="B11"/>
          <cell r="C11"/>
          <cell r="D11"/>
          <cell r="E11">
            <v>16</v>
          </cell>
          <cell r="F11"/>
          <cell r="G11"/>
          <cell r="H11"/>
          <cell r="I11"/>
          <cell r="J11"/>
          <cell r="K11"/>
          <cell r="L11"/>
          <cell r="M11"/>
          <cell r="N11"/>
          <cell r="O11"/>
        </row>
        <row r="12">
          <cell r="A12" t="str">
            <v>298-FU - MINISTERIO FUENTE DE VIDA PARA EL PERDIDO</v>
          </cell>
          <cell r="B12"/>
          <cell r="C12"/>
          <cell r="D12"/>
          <cell r="E12"/>
          <cell r="F12">
            <v>47</v>
          </cell>
          <cell r="G12"/>
          <cell r="H12"/>
          <cell r="I12"/>
          <cell r="J12"/>
          <cell r="K12"/>
          <cell r="L12"/>
          <cell r="M12"/>
          <cell r="N12"/>
          <cell r="O12"/>
        </row>
        <row r="13">
          <cell r="A13" t="str">
            <v>479-IG IGLESIA NUEVA ESPERANZA</v>
          </cell>
          <cell r="B13"/>
          <cell r="C13"/>
          <cell r="D13">
            <v>26.5</v>
          </cell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</row>
        <row r="14">
          <cell r="A14" t="str">
            <v>104 AS - ASOCIACIÓN HOGAR FELICIDAD</v>
          </cell>
          <cell r="B14"/>
          <cell r="C14"/>
          <cell r="D14"/>
          <cell r="E14">
            <v>39.56</v>
          </cell>
          <cell r="F14"/>
          <cell r="G14"/>
          <cell r="H14"/>
          <cell r="I14"/>
          <cell r="J14"/>
          <cell r="K14"/>
          <cell r="L14"/>
          <cell r="M14"/>
          <cell r="N14"/>
          <cell r="O14"/>
        </row>
        <row r="15">
          <cell r="A15" t="str">
            <v>175 AS - ASOCIACIÓN RESTAURANDO VIDAS</v>
          </cell>
          <cell r="B15"/>
          <cell r="C15"/>
          <cell r="D15">
            <v>24</v>
          </cell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</row>
        <row r="16">
          <cell r="A16" t="str">
            <v>178 IG - TEMPLO ZURIEL EL REFUGIO</v>
          </cell>
          <cell r="B16"/>
          <cell r="C16"/>
          <cell r="D16"/>
          <cell r="E16"/>
          <cell r="F16"/>
          <cell r="G16">
            <v>193.34</v>
          </cell>
          <cell r="H16"/>
          <cell r="I16"/>
          <cell r="J16"/>
          <cell r="K16"/>
          <cell r="L16"/>
          <cell r="M16"/>
          <cell r="N16"/>
          <cell r="O16"/>
        </row>
        <row r="17">
          <cell r="A17" t="str">
            <v>207 IG - IGLESIA CENTRO DE VIDA CRISTIANA</v>
          </cell>
          <cell r="B17"/>
          <cell r="C17"/>
          <cell r="D17">
            <v>47</v>
          </cell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</row>
        <row r="18">
          <cell r="A18" t="str">
            <v>493-FU Comedor Jesús es mi Pastor</v>
          </cell>
          <cell r="B18"/>
          <cell r="C18"/>
          <cell r="D18">
            <v>12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</row>
        <row r="19">
          <cell r="A19" t="str">
            <v>636- FU JAH - LIVE (JAHL) - COLON</v>
          </cell>
          <cell r="B19"/>
          <cell r="C19"/>
          <cell r="D19"/>
          <cell r="E19"/>
          <cell r="F19"/>
          <cell r="G19"/>
          <cell r="H19">
            <v>433.8</v>
          </cell>
          <cell r="I19"/>
          <cell r="J19"/>
          <cell r="K19"/>
          <cell r="L19"/>
          <cell r="M19"/>
          <cell r="N19"/>
          <cell r="O19"/>
        </row>
        <row r="20">
          <cell r="A20" t="str">
            <v>224 OR MISIONERAS DE LA CARIDAD DE COLON</v>
          </cell>
          <cell r="B20"/>
          <cell r="C20"/>
          <cell r="D20"/>
          <cell r="E20"/>
          <cell r="F20"/>
          <cell r="G20"/>
          <cell r="H20">
            <v>15</v>
          </cell>
          <cell r="I20"/>
          <cell r="J20"/>
          <cell r="K20"/>
          <cell r="L20"/>
          <cell r="M20"/>
          <cell r="N20"/>
          <cell r="O20"/>
        </row>
        <row r="21">
          <cell r="A21" t="str">
            <v>365-IG COMEDOR HEFZIBA</v>
          </cell>
          <cell r="B21"/>
          <cell r="C21"/>
          <cell r="D21"/>
          <cell r="E21"/>
          <cell r="F21"/>
          <cell r="G21"/>
          <cell r="H21"/>
          <cell r="I21">
            <v>76.52</v>
          </cell>
          <cell r="J21"/>
          <cell r="K21"/>
          <cell r="L21"/>
          <cell r="M21"/>
          <cell r="N21"/>
          <cell r="O21"/>
        </row>
        <row r="22">
          <cell r="A22" t="str">
            <v>635 TEMPLO ADULAM</v>
          </cell>
          <cell r="B22"/>
          <cell r="C22"/>
          <cell r="D22"/>
          <cell r="E22">
            <v>81</v>
          </cell>
          <cell r="F22"/>
          <cell r="G22"/>
          <cell r="H22"/>
          <cell r="I22"/>
          <cell r="J22"/>
          <cell r="K22"/>
          <cell r="L22"/>
          <cell r="M22"/>
          <cell r="N22"/>
          <cell r="O22"/>
        </row>
        <row r="23">
          <cell r="A23" t="str">
            <v>470-FU IGLESIA MONTE SANTO</v>
          </cell>
          <cell r="B23"/>
          <cell r="C23"/>
          <cell r="D23">
            <v>15</v>
          </cell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</row>
        <row r="24">
          <cell r="A24" t="str">
            <v>687 - FU FUNDACION ARCA DE JESUS</v>
          </cell>
          <cell r="B24"/>
          <cell r="C24"/>
          <cell r="D24"/>
          <cell r="E24">
            <v>123</v>
          </cell>
          <cell r="F24"/>
          <cell r="G24"/>
          <cell r="H24"/>
          <cell r="I24"/>
          <cell r="J24"/>
          <cell r="K24"/>
          <cell r="L24"/>
          <cell r="M24"/>
          <cell r="N24"/>
          <cell r="O24"/>
        </row>
        <row r="25">
          <cell r="A25" t="str">
            <v>218 ED - LOS PREFERIDOS DEL SEÑOR (CENTRO2)</v>
          </cell>
          <cell r="B25"/>
          <cell r="C25">
            <v>530.6</v>
          </cell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</row>
        <row r="26">
          <cell r="A26" t="str">
            <v>187 IG - IGLESIA DE DIOS DE LA PROFECÍA</v>
          </cell>
          <cell r="B26"/>
          <cell r="C26"/>
          <cell r="D26">
            <v>254.51999999999998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</row>
        <row r="27">
          <cell r="A27" t="str">
            <v>321-IG IGLESIA DIOS ES MI PROVEEDOR Y SUSTENTO</v>
          </cell>
          <cell r="B27"/>
          <cell r="C27"/>
          <cell r="D27">
            <v>87.259999999999991</v>
          </cell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</row>
        <row r="28">
          <cell r="A28" t="str">
            <v>694 - FU MINISTERIO BERAKHAH INTERNACIONAL TOCUMEN #2</v>
          </cell>
          <cell r="B28"/>
          <cell r="C28"/>
          <cell r="D28">
            <v>35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</row>
        <row r="29">
          <cell r="A29" t="str">
            <v>695 - FU MINISTERIO BERAKHAH INTERNACIONAL 24 DIC</v>
          </cell>
          <cell r="B29"/>
          <cell r="C29"/>
          <cell r="D29">
            <v>78</v>
          </cell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</row>
        <row r="30">
          <cell r="A30" t="str">
            <v>703 - FU MINISTERIO BERAKHAH INTERNACIONAL FELIPILLO #3</v>
          </cell>
          <cell r="B30"/>
          <cell r="C30"/>
          <cell r="D30">
            <v>3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</row>
        <row r="31">
          <cell r="A31" t="str">
            <v>444-FU MINISTERIO BERAKHAH INTERNACIONAL COMEDOR LAS GARZAS #1</v>
          </cell>
          <cell r="B31"/>
          <cell r="C31"/>
          <cell r="D31">
            <v>15</v>
          </cell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</row>
        <row r="32">
          <cell r="A32" t="str">
            <v>366-FU CENTRO MISIONERO EL SHADAI (ESTE)</v>
          </cell>
          <cell r="B32"/>
          <cell r="C32"/>
          <cell r="D32">
            <v>107.25999999999999</v>
          </cell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</row>
        <row r="33">
          <cell r="A33" t="str">
            <v>498-FU COMEDOR NIÑOS DE BENDICION</v>
          </cell>
          <cell r="B33"/>
          <cell r="C33"/>
          <cell r="D33"/>
          <cell r="E33">
            <v>57</v>
          </cell>
          <cell r="F33"/>
          <cell r="G33"/>
          <cell r="H33"/>
          <cell r="I33"/>
          <cell r="J33"/>
          <cell r="K33"/>
          <cell r="L33"/>
          <cell r="M33"/>
          <cell r="N33"/>
          <cell r="O33"/>
        </row>
        <row r="34">
          <cell r="A34" t="str">
            <v>288 IG MINISTERIO EVANGELISTICO DE SANACION Y RESTAURACION, SENALES, MILAGROS Y MARAVILLAS (ESTE)</v>
          </cell>
          <cell r="B34"/>
          <cell r="C34"/>
          <cell r="D34">
            <v>37.28</v>
          </cell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</row>
        <row r="35">
          <cell r="A35" t="str">
            <v>373-FU MINISTERIO INTERNACIONAL BOANERGES</v>
          </cell>
          <cell r="B35"/>
          <cell r="C35"/>
          <cell r="D35"/>
          <cell r="E35"/>
          <cell r="F35"/>
          <cell r="G35"/>
          <cell r="H35"/>
          <cell r="I35">
            <v>45.28</v>
          </cell>
          <cell r="J35"/>
          <cell r="K35"/>
          <cell r="L35"/>
          <cell r="M35"/>
          <cell r="N35"/>
          <cell r="O35"/>
        </row>
        <row r="36">
          <cell r="A36" t="str">
            <v>197 FU FUNDACION SOCIAL CULTURAL Y AMBIENTAL DE VERACRUZ (OESTE)</v>
          </cell>
          <cell r="B36"/>
          <cell r="C36"/>
          <cell r="D36"/>
          <cell r="E36">
            <v>43.519999999999996</v>
          </cell>
          <cell r="F36"/>
          <cell r="G36"/>
          <cell r="H36"/>
          <cell r="I36"/>
          <cell r="J36"/>
          <cell r="K36"/>
          <cell r="L36"/>
          <cell r="M36"/>
          <cell r="N36"/>
          <cell r="O36"/>
        </row>
        <row r="37">
          <cell r="A37" t="str">
            <v>183 ED - BELÉN CASA DE PAN (ESTE)</v>
          </cell>
          <cell r="B37"/>
          <cell r="C37"/>
          <cell r="D37">
            <v>23</v>
          </cell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</row>
        <row r="38">
          <cell r="A38" t="str">
            <v>701 - FU MINISTERIO BERAKHAH INTERNACIONAL LOS ANDES</v>
          </cell>
          <cell r="B38"/>
          <cell r="C38"/>
          <cell r="D38"/>
          <cell r="E38"/>
          <cell r="F38"/>
          <cell r="G38"/>
          <cell r="H38"/>
          <cell r="I38">
            <v>10</v>
          </cell>
          <cell r="J38"/>
          <cell r="K38"/>
          <cell r="L38"/>
          <cell r="M38"/>
          <cell r="N38"/>
          <cell r="O38"/>
        </row>
        <row r="39">
          <cell r="A39" t="str">
            <v>431-IG IGLESIA ADVENTISTA DISTRITO 8</v>
          </cell>
          <cell r="B39"/>
          <cell r="C39"/>
          <cell r="D39">
            <v>13</v>
          </cell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</row>
        <row r="40">
          <cell r="A40" t="str">
            <v>261 - AS ASOCIACIÓN MINISTERIO SIRVIENDO A LA COMUNIDAD PARA JESUCRISTO</v>
          </cell>
          <cell r="B40"/>
          <cell r="C40">
            <v>6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</row>
        <row r="41">
          <cell r="A41" t="str">
            <v>211 IG - IGLESIA CRISTIANA KADOSH</v>
          </cell>
          <cell r="B41"/>
          <cell r="C41">
            <v>12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</row>
        <row r="42">
          <cell r="A42" t="str">
            <v>51 PA - PARROQUIA SAN PIO DE PIETRELCINA (ESTE)</v>
          </cell>
          <cell r="B42"/>
          <cell r="C42"/>
          <cell r="D42">
            <v>11</v>
          </cell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</row>
        <row r="43">
          <cell r="A43" t="str">
            <v>368-FU MINISTERIO PACTO DE SANTIDAD</v>
          </cell>
          <cell r="B43"/>
          <cell r="C43">
            <v>36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</row>
        <row r="44">
          <cell r="A44" t="str">
            <v>654 - IG M.I.A.F NUEVA JERUSALEN PANAMA (ESTE)</v>
          </cell>
          <cell r="B44"/>
          <cell r="C44"/>
          <cell r="D44">
            <v>29</v>
          </cell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</row>
        <row r="45">
          <cell r="A45" t="str">
            <v>103 IG - IGLESIA DE LA GRACIA DE DIOS</v>
          </cell>
          <cell r="B45"/>
          <cell r="C45"/>
          <cell r="D45"/>
          <cell r="E45"/>
          <cell r="F45"/>
          <cell r="G45"/>
          <cell r="H45"/>
          <cell r="I45">
            <v>9</v>
          </cell>
          <cell r="J45"/>
          <cell r="K45"/>
          <cell r="L45"/>
          <cell r="M45"/>
          <cell r="N45"/>
          <cell r="O45"/>
        </row>
        <row r="46">
          <cell r="A46" t="str">
            <v>363-FU FUNDACION MINISTERIO DEL EVANGELIO ETERNO DEL REINO (NORTE)</v>
          </cell>
          <cell r="B46"/>
          <cell r="C46"/>
          <cell r="D46"/>
          <cell r="E46"/>
          <cell r="F46"/>
          <cell r="G46">
            <v>14</v>
          </cell>
          <cell r="H46"/>
          <cell r="I46"/>
          <cell r="J46"/>
          <cell r="K46"/>
          <cell r="L46"/>
          <cell r="M46"/>
          <cell r="N46"/>
          <cell r="O46"/>
        </row>
        <row r="47">
          <cell r="A47" t="str">
            <v>487-FU FUNDACION CASA AVE MARIA</v>
          </cell>
          <cell r="B47"/>
          <cell r="C47"/>
          <cell r="D47"/>
          <cell r="E47">
            <v>277.45999999999998</v>
          </cell>
          <cell r="F47"/>
          <cell r="G47"/>
          <cell r="H47"/>
          <cell r="I47"/>
          <cell r="J47"/>
          <cell r="K47"/>
          <cell r="L47"/>
          <cell r="M47"/>
          <cell r="N47"/>
          <cell r="O47"/>
        </row>
        <row r="48">
          <cell r="A48" t="str">
            <v>2 PA - PARROQUIA SAN JUAN MARIA VIANNEY (NORTE)</v>
          </cell>
          <cell r="B48"/>
          <cell r="C48"/>
          <cell r="D48"/>
          <cell r="E48"/>
          <cell r="F48"/>
          <cell r="G48"/>
          <cell r="H48"/>
          <cell r="I48">
            <v>56</v>
          </cell>
          <cell r="J48"/>
          <cell r="K48"/>
          <cell r="L48"/>
          <cell r="M48"/>
          <cell r="N48"/>
          <cell r="O48"/>
        </row>
        <row r="49">
          <cell r="A49" t="str">
            <v>696 - FU MINISTERIO BERAKHAH INTERNACIONAL CHEPO #1</v>
          </cell>
          <cell r="B49"/>
          <cell r="C49"/>
          <cell r="D49">
            <v>11</v>
          </cell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</row>
        <row r="50">
          <cell r="A50" t="str">
            <v>472-FU FUNDACION TALITA CUMI</v>
          </cell>
          <cell r="B50"/>
          <cell r="C50"/>
          <cell r="D50">
            <v>11</v>
          </cell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</row>
        <row r="51">
          <cell r="A51" t="str">
            <v>222 ED - MISERICORDIAR</v>
          </cell>
          <cell r="B51"/>
          <cell r="C51"/>
          <cell r="D51">
            <v>71</v>
          </cell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</row>
        <row r="52">
          <cell r="A52" t="str">
            <v>259 IG - ALCANCE VICTORIA PANAMÁ</v>
          </cell>
          <cell r="B52"/>
          <cell r="C52">
            <v>28</v>
          </cell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</row>
        <row r="53">
          <cell r="A53" t="str">
            <v>379-FU Fundacion Ministerio Apostolico Manantial de Vida</v>
          </cell>
          <cell r="B53"/>
          <cell r="C53"/>
          <cell r="D53"/>
          <cell r="E53"/>
          <cell r="F53"/>
          <cell r="G53"/>
          <cell r="H53">
            <v>110</v>
          </cell>
          <cell r="I53"/>
          <cell r="J53"/>
          <cell r="K53"/>
          <cell r="L53"/>
          <cell r="M53"/>
          <cell r="N53"/>
          <cell r="O53"/>
        </row>
        <row r="54">
          <cell r="A54" t="str">
            <v>387-AS Asociacion ODSSAR-OBC</v>
          </cell>
          <cell r="B54"/>
          <cell r="C54"/>
          <cell r="D54">
            <v>24</v>
          </cell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</row>
        <row r="55">
          <cell r="A55" t="str">
            <v>300 ED - BENEFICIARIOS</v>
          </cell>
          <cell r="B55"/>
          <cell r="C55"/>
          <cell r="D55">
            <v>31</v>
          </cell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</row>
        <row r="56">
          <cell r="A56" t="str">
            <v>657 - FU CENTRO COMUNITARIO MONTAÑAS DE ESPERANZA (RETIRO EN EL BAP)</v>
          </cell>
          <cell r="B56"/>
          <cell r="C56"/>
          <cell r="D56">
            <v>4</v>
          </cell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</row>
        <row r="57">
          <cell r="A57" t="str">
            <v>630-IG MIN.INTL.DE CRISTO PAZ DE DIOS</v>
          </cell>
          <cell r="B57"/>
          <cell r="C57">
            <v>136.51999999999998</v>
          </cell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</row>
        <row r="58">
          <cell r="A58" t="str">
            <v>260 IG - IGLESIA MISIONERA DE RESTAURACIÓN</v>
          </cell>
          <cell r="B58"/>
          <cell r="C58"/>
          <cell r="D58">
            <v>20</v>
          </cell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</row>
        <row r="59">
          <cell r="A59" t="str">
            <v>397-FU FUNDACION SHALOM PANAMA</v>
          </cell>
          <cell r="B59"/>
          <cell r="C59"/>
          <cell r="D59"/>
          <cell r="E59">
            <v>50.28</v>
          </cell>
          <cell r="F59"/>
          <cell r="G59"/>
          <cell r="H59"/>
          <cell r="I59"/>
          <cell r="J59"/>
          <cell r="K59"/>
          <cell r="L59"/>
          <cell r="M59"/>
          <cell r="N59"/>
          <cell r="O59"/>
        </row>
        <row r="60">
          <cell r="A60" t="str">
            <v>697 - FU MINISTERIO BERAKHAH INTERNACIONAL CHEPO #2</v>
          </cell>
          <cell r="B60"/>
          <cell r="C60"/>
          <cell r="D60">
            <v>18</v>
          </cell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</row>
        <row r="61">
          <cell r="A61" t="str">
            <v>700 - FU MINISTERIO BERAKHAH INTERNACIONAL TORRIJOS CARTER #2</v>
          </cell>
          <cell r="B61"/>
          <cell r="C61"/>
          <cell r="D61"/>
          <cell r="E61"/>
          <cell r="F61"/>
          <cell r="G61"/>
          <cell r="H61"/>
          <cell r="I61">
            <v>15</v>
          </cell>
          <cell r="J61"/>
          <cell r="K61"/>
          <cell r="L61"/>
          <cell r="M61"/>
          <cell r="N61"/>
          <cell r="O61"/>
        </row>
        <row r="62">
          <cell r="A62" t="str">
            <v>195 ED - JUNTOS PODEMOS</v>
          </cell>
          <cell r="B62"/>
          <cell r="C62">
            <v>18</v>
          </cell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</row>
        <row r="63">
          <cell r="A63" t="str">
            <v>423-FU FUNDACION CONSTRUYENDO VIDAS EN PANAMA</v>
          </cell>
          <cell r="B63"/>
          <cell r="C63"/>
          <cell r="D63"/>
          <cell r="E63">
            <v>9</v>
          </cell>
          <cell r="F63"/>
          <cell r="G63"/>
          <cell r="H63"/>
          <cell r="I63"/>
          <cell r="J63"/>
          <cell r="K63"/>
          <cell r="L63"/>
          <cell r="M63"/>
          <cell r="N63"/>
          <cell r="O63"/>
        </row>
        <row r="64">
          <cell r="A64" t="str">
            <v>709 - FU FUNRECRISTO</v>
          </cell>
          <cell r="B64"/>
          <cell r="C64"/>
          <cell r="D64">
            <v>25</v>
          </cell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</row>
        <row r="65">
          <cell r="A65" t="str">
            <v>670 - FU FUNDACION MINISTERIIO CRISTIANO EL REINO DE DIOS (ESTE)</v>
          </cell>
          <cell r="B65"/>
          <cell r="C65"/>
          <cell r="D65">
            <v>6</v>
          </cell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</row>
        <row r="66">
          <cell r="A66" t="str">
            <v>450-FU MINISTERIO DE RESTAURACION EFESIOS 4 (ESTE)</v>
          </cell>
          <cell r="B66"/>
          <cell r="C66"/>
          <cell r="D66">
            <v>38.519999999999996</v>
          </cell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</row>
        <row r="67">
          <cell r="A67" t="str">
            <v>235 FU - FUNDACION GRUPO ENVIADOS</v>
          </cell>
          <cell r="B67"/>
          <cell r="C67"/>
          <cell r="D67">
            <v>40</v>
          </cell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</row>
        <row r="68">
          <cell r="A68" t="str">
            <v>640 - FU FUNDACIÓN CRISTIANA LA FE EN MARCHA (ESTE)</v>
          </cell>
          <cell r="B68"/>
          <cell r="C68"/>
          <cell r="D68">
            <v>12</v>
          </cell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</row>
        <row r="69">
          <cell r="A69" t="str">
            <v>380-ED COMEDOR COMUNITARIO CASA DEL ALFARERO</v>
          </cell>
          <cell r="B69"/>
          <cell r="C69"/>
          <cell r="D69">
            <v>3.2800000000000002</v>
          </cell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</row>
        <row r="70">
          <cell r="A70" t="str">
            <v>202 FU - FUNDACIÓN HOGAR SAN JOSÉ (ESTE)</v>
          </cell>
          <cell r="B70"/>
          <cell r="C70"/>
          <cell r="D70">
            <v>28.259999999999998</v>
          </cell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</row>
        <row r="71">
          <cell r="A71" t="str">
            <v>116 AS - ASOCIACIÓN IGLESIA DE CRISTO ESTRELLA CRECIENTE</v>
          </cell>
          <cell r="B71"/>
          <cell r="C71"/>
          <cell r="D71">
            <v>14</v>
          </cell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</row>
        <row r="72">
          <cell r="A72" t="str">
            <v>469-FU MINISTERIO CRISTIANO EL SHADAI</v>
          </cell>
          <cell r="B72"/>
          <cell r="C72"/>
          <cell r="D72">
            <v>13</v>
          </cell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</row>
        <row r="73">
          <cell r="A73" t="str">
            <v>597- IG MINISTERIO APOSTOLICO NEMUEL INTERNACIONAL</v>
          </cell>
          <cell r="B73"/>
          <cell r="C73"/>
          <cell r="D73">
            <v>54.28</v>
          </cell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</row>
        <row r="74">
          <cell r="A74" t="str">
            <v>647 - IG CRISTO REY CAMBIANDO VIDAS (ESTE)</v>
          </cell>
          <cell r="B74"/>
          <cell r="C74"/>
          <cell r="D74">
            <v>13</v>
          </cell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</row>
        <row r="75">
          <cell r="A75" t="str">
            <v>417-AS CLUB DE LEONES DE PEDREGAL (ESTE)</v>
          </cell>
          <cell r="B75"/>
          <cell r="C75"/>
          <cell r="D75">
            <v>39</v>
          </cell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</row>
        <row r="76">
          <cell r="A76" t="str">
            <v>252 IG - MINISTERIO INTERNACIONAL DE AMISTADES CRISTIANAS</v>
          </cell>
          <cell r="B76"/>
          <cell r="C76"/>
          <cell r="D76">
            <v>17</v>
          </cell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</row>
        <row r="77">
          <cell r="A77" t="str">
            <v>339-AS ASOCIACION RESIDENCIA LISBETH</v>
          </cell>
          <cell r="B77"/>
          <cell r="C77"/>
          <cell r="D77">
            <v>32</v>
          </cell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</row>
        <row r="78">
          <cell r="A78" t="str">
            <v>144 OR - HERMANAS DE SAN JOSÉ DE LA APARICIÓN (RETIRA EN EL BANCO)</v>
          </cell>
          <cell r="B78"/>
          <cell r="C78"/>
          <cell r="D78">
            <v>37</v>
          </cell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</row>
        <row r="79">
          <cell r="A79" t="str">
            <v>270 FU - FUNDACIÓN MISERICORDIA DE DON BOSCO (OESTE)</v>
          </cell>
          <cell r="B79"/>
          <cell r="C79"/>
          <cell r="D79"/>
          <cell r="E79">
            <v>5</v>
          </cell>
          <cell r="F79"/>
          <cell r="G79"/>
          <cell r="H79"/>
          <cell r="I79"/>
          <cell r="J79"/>
          <cell r="K79"/>
          <cell r="L79"/>
          <cell r="M79"/>
          <cell r="N79"/>
          <cell r="O79"/>
        </row>
        <row r="80">
          <cell r="A80" t="str">
            <v>274 IG - AMIGOS DE JESÚS (CENTRO1)</v>
          </cell>
          <cell r="B80"/>
          <cell r="C80"/>
          <cell r="D80">
            <v>4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</row>
        <row r="81">
          <cell r="A81" t="str">
            <v>698 - FU MINISTERIO BERAKHAH INTERNACIONAL PASO BLANCO</v>
          </cell>
          <cell r="B81"/>
          <cell r="C81"/>
          <cell r="D81">
            <v>5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</row>
        <row r="82">
          <cell r="A82" t="str">
            <v>381-FU FUNDAMIDOM</v>
          </cell>
          <cell r="B82"/>
          <cell r="C82"/>
          <cell r="D82"/>
          <cell r="E82">
            <v>80</v>
          </cell>
          <cell r="F82"/>
          <cell r="G82"/>
          <cell r="H82"/>
          <cell r="I82"/>
          <cell r="J82"/>
          <cell r="K82"/>
          <cell r="L82"/>
          <cell r="M82"/>
          <cell r="N82"/>
          <cell r="O82"/>
        </row>
        <row r="83">
          <cell r="A83" t="str">
            <v>491-FU Fundación Aleluya</v>
          </cell>
          <cell r="B83"/>
          <cell r="C83"/>
          <cell r="D83"/>
          <cell r="E83"/>
          <cell r="F83"/>
          <cell r="G83">
            <v>11</v>
          </cell>
          <cell r="H83"/>
          <cell r="I83"/>
          <cell r="J83"/>
          <cell r="K83"/>
          <cell r="L83"/>
          <cell r="M83"/>
          <cell r="N83"/>
          <cell r="O83"/>
        </row>
        <row r="84">
          <cell r="A84" t="str">
            <v>327-PA - Parroquia la Santa Cruz</v>
          </cell>
          <cell r="B84"/>
          <cell r="C84"/>
          <cell r="D84"/>
          <cell r="E84"/>
          <cell r="F84"/>
          <cell r="G84"/>
          <cell r="H84"/>
          <cell r="I84">
            <v>19</v>
          </cell>
          <cell r="J84"/>
          <cell r="K84"/>
          <cell r="L84"/>
          <cell r="M84"/>
          <cell r="N84"/>
          <cell r="O84"/>
        </row>
        <row r="85">
          <cell r="A85" t="str">
            <v>681 - FU FUNDACION NUEVA SOCIEDAD (NORTE)</v>
          </cell>
          <cell r="B85"/>
          <cell r="C85"/>
          <cell r="D85"/>
          <cell r="E85"/>
          <cell r="F85"/>
          <cell r="G85"/>
          <cell r="H85"/>
          <cell r="I85">
            <v>15</v>
          </cell>
          <cell r="J85"/>
          <cell r="K85"/>
          <cell r="L85"/>
          <cell r="M85"/>
          <cell r="N85"/>
          <cell r="O85"/>
        </row>
        <row r="86">
          <cell r="A86" t="str">
            <v>671 - PA DIOCESIS DE PENONOME (COCLE)</v>
          </cell>
          <cell r="B86"/>
          <cell r="C86"/>
          <cell r="D86"/>
          <cell r="E86"/>
          <cell r="F86"/>
          <cell r="G86"/>
          <cell r="H86"/>
          <cell r="I86"/>
          <cell r="J86"/>
          <cell r="K86">
            <v>20</v>
          </cell>
          <cell r="L86"/>
          <cell r="M86"/>
          <cell r="N86"/>
          <cell r="O86"/>
        </row>
        <row r="87">
          <cell r="A87" t="str">
            <v>377-FU CENTRO CRISTIANO CASA DE DIOS PANAMA</v>
          </cell>
          <cell r="B87"/>
          <cell r="C87"/>
          <cell r="D87"/>
          <cell r="E87"/>
          <cell r="F87"/>
          <cell r="G87">
            <v>27</v>
          </cell>
          <cell r="H87"/>
          <cell r="I87"/>
          <cell r="J87"/>
          <cell r="K87"/>
          <cell r="L87"/>
          <cell r="M87"/>
          <cell r="N87"/>
          <cell r="O87"/>
        </row>
        <row r="88">
          <cell r="A88" t="str">
            <v>Retiro de Merma</v>
          </cell>
          <cell r="B88">
            <v>18.5</v>
          </cell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</row>
        <row r="89">
          <cell r="A89" t="str">
            <v>415-AS CLUB DE LEONES DE CHITRE</v>
          </cell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>
            <v>14</v>
          </cell>
          <cell r="M89"/>
          <cell r="N89"/>
          <cell r="O89"/>
        </row>
        <row r="90">
          <cell r="A90" t="str">
            <v>656 - FU FUNDACION COCINA DEL REINO Y AMIGOS (CENTRO 1)</v>
          </cell>
          <cell r="B90"/>
          <cell r="C90">
            <v>28.52</v>
          </cell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</row>
        <row r="91">
          <cell r="A91" t="str">
            <v>672 - FU FUNDACION NUEVO PACTO POR LA NIÑEZ</v>
          </cell>
          <cell r="B91"/>
          <cell r="C91">
            <v>4</v>
          </cell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</row>
        <row r="92">
          <cell r="A92" t="str">
            <v>118 FU - FUNDACIÓN UN NUEVO AMANECER</v>
          </cell>
          <cell r="B92"/>
          <cell r="C92"/>
          <cell r="D92"/>
          <cell r="E92">
            <v>18</v>
          </cell>
          <cell r="F92"/>
          <cell r="G92"/>
          <cell r="H92"/>
          <cell r="I92"/>
          <cell r="J92"/>
          <cell r="K92"/>
          <cell r="L92"/>
          <cell r="M92"/>
          <cell r="N92"/>
          <cell r="O92"/>
        </row>
        <row r="93">
          <cell r="A93" t="str">
            <v>669 - IG IGLESIA CAMINO DE SANTIDAD (COLON)</v>
          </cell>
          <cell r="B93"/>
          <cell r="C93"/>
          <cell r="D93"/>
          <cell r="E93"/>
          <cell r="F93"/>
          <cell r="G93"/>
          <cell r="H93">
            <v>12</v>
          </cell>
          <cell r="I93"/>
          <cell r="J93"/>
          <cell r="K93"/>
          <cell r="L93"/>
          <cell r="M93"/>
          <cell r="N93"/>
          <cell r="O93"/>
        </row>
        <row r="94">
          <cell r="A94" t="str">
            <v>360-IG IGLESIA CRISTIANA CASA DE REUNION</v>
          </cell>
          <cell r="B94"/>
          <cell r="C94"/>
          <cell r="D94"/>
          <cell r="E94"/>
          <cell r="F94"/>
          <cell r="G94">
            <v>47.28</v>
          </cell>
          <cell r="H94"/>
          <cell r="I94"/>
          <cell r="J94"/>
          <cell r="K94"/>
          <cell r="L94"/>
          <cell r="M94"/>
          <cell r="N94"/>
          <cell r="O94"/>
        </row>
        <row r="95">
          <cell r="A95" t="str">
            <v>719 FU FUNDACION VIDA NUEVA EL SHADDAI</v>
          </cell>
          <cell r="B95"/>
          <cell r="C95"/>
          <cell r="D95"/>
          <cell r="E95"/>
          <cell r="F95"/>
          <cell r="G95">
            <v>28</v>
          </cell>
          <cell r="H95"/>
          <cell r="I95"/>
          <cell r="J95"/>
          <cell r="K95"/>
          <cell r="L95"/>
          <cell r="M95"/>
          <cell r="N95"/>
          <cell r="O95"/>
        </row>
        <row r="96">
          <cell r="A96" t="str">
            <v>710 - AS CLUB DE LEONES DE SONA</v>
          </cell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>
            <v>34</v>
          </cell>
          <cell r="N96"/>
          <cell r="O96"/>
        </row>
        <row r="97">
          <cell r="A97" t="str">
            <v>684 - FU FUNDACION CASA DEL REY JESUS (CENTRO 2)</v>
          </cell>
          <cell r="B97"/>
          <cell r="C97">
            <v>249.8</v>
          </cell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</row>
        <row r="98">
          <cell r="A98" t="str">
            <v>723 ASOCIACION AQUI ESTOY</v>
          </cell>
          <cell r="B98"/>
          <cell r="C98"/>
          <cell r="D98"/>
          <cell r="E98">
            <v>16</v>
          </cell>
          <cell r="F98"/>
          <cell r="G98"/>
          <cell r="H98"/>
          <cell r="I98"/>
          <cell r="J98"/>
          <cell r="K98"/>
          <cell r="L98"/>
          <cell r="M98"/>
          <cell r="N98"/>
          <cell r="O98"/>
        </row>
        <row r="99">
          <cell r="A99" t="str">
            <v>596 IG- IGLESIA EVANGELICA TRINITARIA DIOS FUENTE DE PODER</v>
          </cell>
          <cell r="B99"/>
          <cell r="C99">
            <v>14</v>
          </cell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</row>
        <row r="100">
          <cell r="A100" t="str">
            <v>707 - FU MINISTERIO BERAKHAH INTERNACIONAL CAIMITILLO</v>
          </cell>
          <cell r="B100"/>
          <cell r="C100"/>
          <cell r="D100"/>
          <cell r="E100"/>
          <cell r="F100"/>
          <cell r="G100"/>
          <cell r="H100"/>
          <cell r="I100">
            <v>35</v>
          </cell>
          <cell r="J100"/>
          <cell r="K100"/>
          <cell r="L100"/>
          <cell r="M100"/>
          <cell r="N100"/>
          <cell r="O100"/>
        </row>
        <row r="101">
          <cell r="A101" t="str">
            <v>229 PA - PARROQUIA SAN CRISTOBAL DE CHEPO</v>
          </cell>
          <cell r="B101"/>
          <cell r="C101"/>
          <cell r="D101">
            <v>81.28</v>
          </cell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</row>
        <row r="102">
          <cell r="A102" t="str">
            <v>157-FU FUNDACION COMEDOR INFANTIL SENDEROS (CENTRO1)</v>
          </cell>
          <cell r="B102"/>
          <cell r="C102">
            <v>9</v>
          </cell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</row>
        <row r="103">
          <cell r="A103" t="str">
            <v>166 FU - FUNDACION CURAME</v>
          </cell>
          <cell r="B103"/>
          <cell r="C103">
            <v>14</v>
          </cell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</row>
        <row r="104">
          <cell r="A104" t="str">
            <v>390-FU FUNDACION CRISTIANA FAMILIAR EL TALLER DEL MAESTRO (CENTRO1)</v>
          </cell>
          <cell r="B104"/>
          <cell r="C104">
            <v>9</v>
          </cell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</row>
        <row r="105">
          <cell r="A105" t="str">
            <v>730-FU SOLIDARIDAD Y DESARROLLO DE PANAMA (VERAGUAS)</v>
          </cell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>
            <v>20</v>
          </cell>
          <cell r="N105"/>
          <cell r="O105"/>
        </row>
        <row r="106">
          <cell r="A106" t="str">
            <v>737- ASOCIACION CRISTIANA EBEN-EZER (ESTE)</v>
          </cell>
          <cell r="B106"/>
          <cell r="C106"/>
          <cell r="D106">
            <v>46.519999999999996</v>
          </cell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</row>
        <row r="107">
          <cell r="A107" t="str">
            <v>738- IG MINISTERIO DIOS CON NOSOTROS EMANUEL</v>
          </cell>
          <cell r="B107"/>
          <cell r="C107"/>
          <cell r="D107">
            <v>63</v>
          </cell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</row>
        <row r="108">
          <cell r="A108" t="str">
            <v>743- ED CLUB FAMILIA DEPORTIVA</v>
          </cell>
          <cell r="B108"/>
          <cell r="C108">
            <v>17</v>
          </cell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</row>
        <row r="109">
          <cell r="A109" t="str">
            <v>733-IG LA ORACION FUERTE AL ESPIRITU SANTO</v>
          </cell>
          <cell r="B109"/>
          <cell r="C109">
            <v>6</v>
          </cell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</row>
        <row r="110">
          <cell r="A110" t="str">
            <v>745-FU CASA DE MISERICORDIA</v>
          </cell>
          <cell r="B110"/>
          <cell r="C110">
            <v>24.28</v>
          </cell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</row>
        <row r="111">
          <cell r="A111" t="str">
            <v>741-IG BUNKER DE ESPERANZA</v>
          </cell>
          <cell r="B111"/>
          <cell r="C111"/>
          <cell r="D111">
            <v>23</v>
          </cell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</row>
        <row r="112">
          <cell r="A112" t="str">
            <v>749-IG Ministerio Tabernáculo de Santidad Internación (Guararé)</v>
          </cell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>
            <v>4</v>
          </cell>
          <cell r="N112"/>
          <cell r="O112"/>
        </row>
        <row r="113">
          <cell r="A113" t="str">
            <v>750-IG MTSI Santiago</v>
          </cell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>
            <v>14</v>
          </cell>
          <cell r="N113"/>
          <cell r="O113"/>
        </row>
        <row r="114">
          <cell r="A114" t="str">
            <v>613-FU FUNDACION INMARE</v>
          </cell>
          <cell r="B114"/>
          <cell r="C114"/>
          <cell r="D114"/>
          <cell r="E114"/>
          <cell r="F114"/>
          <cell r="G114"/>
          <cell r="H114"/>
          <cell r="I114"/>
          <cell r="J114"/>
          <cell r="K114">
            <v>20</v>
          </cell>
          <cell r="L114"/>
          <cell r="M114"/>
          <cell r="N114"/>
          <cell r="O114"/>
        </row>
        <row r="115">
          <cell r="A115" t="str">
            <v>760-FU AYUDAME A VIVIR</v>
          </cell>
          <cell r="B115"/>
          <cell r="C115"/>
          <cell r="D115"/>
          <cell r="E115"/>
          <cell r="F115"/>
          <cell r="G115"/>
          <cell r="H115"/>
          <cell r="I115">
            <v>35</v>
          </cell>
          <cell r="J115"/>
          <cell r="K115"/>
          <cell r="L115"/>
          <cell r="M115"/>
          <cell r="N115"/>
          <cell r="O115"/>
        </row>
        <row r="116">
          <cell r="A116" t="str">
            <v>281-FU FUNDACIÓN CAMBIO CREATIVO</v>
          </cell>
          <cell r="B116"/>
          <cell r="C116"/>
          <cell r="D116"/>
          <cell r="E116"/>
          <cell r="F116"/>
          <cell r="G116"/>
          <cell r="H116">
            <v>3</v>
          </cell>
          <cell r="I116"/>
          <cell r="J116"/>
          <cell r="K116"/>
          <cell r="L116"/>
          <cell r="M116"/>
          <cell r="N116"/>
          <cell r="O116"/>
        </row>
        <row r="117">
          <cell r="A117" t="str">
            <v>275 IG CONCILIO GENERAL DE LAS ASAMBLEAS DE DIOS DE PANAMÁ</v>
          </cell>
          <cell r="B117"/>
          <cell r="C117">
            <v>45</v>
          </cell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</row>
        <row r="118">
          <cell r="A118" t="str">
            <v>752-IG Ministerio Tabernáculo De Santidad Internacional (Chitre)</v>
          </cell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>
            <v>14</v>
          </cell>
          <cell r="M118"/>
          <cell r="N118"/>
          <cell r="O118"/>
        </row>
        <row r="119">
          <cell r="A119" t="str">
            <v>201 OR - MISIONERAS MADRE LAURA</v>
          </cell>
          <cell r="B119"/>
          <cell r="C119">
            <v>8</v>
          </cell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</row>
        <row r="120">
          <cell r="A120" t="str">
            <v>765-IG EXPANSION MISIONERA RIOS DE AGUA VIVA</v>
          </cell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>
            <v>48</v>
          </cell>
          <cell r="M120"/>
          <cell r="N120"/>
          <cell r="O120"/>
        </row>
        <row r="121">
          <cell r="A121" t="str">
            <v>766-IG MINISTERIO BET-EL</v>
          </cell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>
            <v>40</v>
          </cell>
        </row>
        <row r="122">
          <cell r="A122" t="str">
            <v>785-FU FUNDACION GOTAS DE ESPERANZA</v>
          </cell>
          <cell r="B122"/>
          <cell r="C122"/>
          <cell r="D122"/>
          <cell r="E122">
            <v>54.28</v>
          </cell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</row>
        <row r="123">
          <cell r="A123" t="str">
            <v>394-IG IGLESIA ESCUADRONES DEL EJERCITO DE DIOS (CENTRO2)</v>
          </cell>
          <cell r="B123"/>
          <cell r="C123">
            <v>65</v>
          </cell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</row>
        <row r="124">
          <cell r="A124" t="str">
            <v>789-FU Fundación Rescate de Alimentos</v>
          </cell>
          <cell r="B124"/>
          <cell r="C124">
            <v>6</v>
          </cell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</row>
        <row r="125">
          <cell r="A125" t="str">
            <v>424-AS MINISTERIO EL PODER DE LA SANGRE QUE LIBERTA (ESTE)</v>
          </cell>
          <cell r="B125"/>
          <cell r="C125"/>
          <cell r="D125">
            <v>6</v>
          </cell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</row>
        <row r="126">
          <cell r="A126" t="str">
            <v>793-FU Fundación Príncipes de Jehová</v>
          </cell>
          <cell r="B126"/>
          <cell r="C126"/>
          <cell r="D126"/>
          <cell r="E126"/>
          <cell r="F126"/>
          <cell r="G126"/>
          <cell r="H126"/>
          <cell r="I126">
            <v>11</v>
          </cell>
          <cell r="J126"/>
          <cell r="K126"/>
          <cell r="L126"/>
          <cell r="M126"/>
          <cell r="N126"/>
          <cell r="O126"/>
        </row>
        <row r="127">
          <cell r="A127" t="str">
            <v>791-FU FUNDACION DIVINO NINO JESUS DE MI CORAZON</v>
          </cell>
          <cell r="B127"/>
          <cell r="C127"/>
          <cell r="D127">
            <v>22</v>
          </cell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</row>
        <row r="128">
          <cell r="A128" t="str">
            <v>138 OR - HERMANAS FRANCISCANAS DE MARIA INMACULADALA</v>
          </cell>
          <cell r="B128"/>
          <cell r="C128"/>
          <cell r="D128"/>
          <cell r="E128"/>
          <cell r="F128"/>
          <cell r="G128"/>
          <cell r="H128">
            <v>21</v>
          </cell>
          <cell r="I128"/>
          <cell r="J128"/>
          <cell r="K128"/>
          <cell r="L128"/>
          <cell r="M128"/>
          <cell r="N128"/>
          <cell r="O128"/>
        </row>
        <row r="129">
          <cell r="A129" t="str">
            <v>3 IG - IGLESIA DEL NAZARENO</v>
          </cell>
          <cell r="B129"/>
          <cell r="C129"/>
          <cell r="D129"/>
          <cell r="E129">
            <v>5</v>
          </cell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</row>
        <row r="130">
          <cell r="A130" t="str">
            <v>232 IG MINISTERIO TIEMPO DE COSECHA</v>
          </cell>
          <cell r="B130"/>
          <cell r="C130"/>
          <cell r="D130"/>
          <cell r="E130"/>
          <cell r="F130"/>
          <cell r="G130"/>
          <cell r="H130"/>
          <cell r="I130">
            <v>8</v>
          </cell>
          <cell r="J130"/>
          <cell r="K130"/>
          <cell r="L130"/>
          <cell r="M130"/>
          <cell r="N130"/>
          <cell r="O130"/>
        </row>
        <row r="131">
          <cell r="A131" t="str">
            <v>797-IG Templo Bendicion de Jehova</v>
          </cell>
          <cell r="B131"/>
          <cell r="C131"/>
          <cell r="D131"/>
          <cell r="E131"/>
          <cell r="F131"/>
          <cell r="G131"/>
          <cell r="H131"/>
          <cell r="I131">
            <v>6</v>
          </cell>
          <cell r="J131"/>
          <cell r="K131"/>
          <cell r="L131"/>
          <cell r="M131"/>
          <cell r="N131"/>
          <cell r="O131"/>
        </row>
        <row r="132">
          <cell r="A132" t="str">
            <v>661 - FU FUNDACION MAS INTEGRADOS (DARIEN)</v>
          </cell>
          <cell r="B132"/>
          <cell r="C132"/>
          <cell r="D132"/>
          <cell r="E132"/>
          <cell r="F132">
            <v>18</v>
          </cell>
          <cell r="G132"/>
          <cell r="H132"/>
          <cell r="I132"/>
          <cell r="J132"/>
          <cell r="K132"/>
          <cell r="L132"/>
          <cell r="M132"/>
          <cell r="N132"/>
          <cell r="O132"/>
        </row>
        <row r="133">
          <cell r="A133" t="str">
            <v>240 PA - PARROQUIA SAN JOSÉ - PESE</v>
          </cell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>
            <v>28</v>
          </cell>
          <cell r="M133"/>
          <cell r="N133"/>
          <cell r="O133"/>
        </row>
        <row r="134">
          <cell r="A134" t="str">
            <v>253 FU - FUNDACIÓN PARA EL BIENESTAR SOCIAL (CENTRO2)</v>
          </cell>
          <cell r="B134"/>
          <cell r="C134">
            <v>39</v>
          </cell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</row>
        <row r="135">
          <cell r="A135" t="str">
            <v>650 - IG ASOCIACION CRISTIANA EBEN - EZER #27 (ESTE)</v>
          </cell>
          <cell r="B135"/>
          <cell r="C135"/>
          <cell r="D135">
            <v>27.04</v>
          </cell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</row>
        <row r="136">
          <cell r="A136" t="str">
            <v>375-FU Ministerio a Dios sea la Gloria</v>
          </cell>
          <cell r="B136"/>
          <cell r="C136">
            <v>32</v>
          </cell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</row>
        <row r="137">
          <cell r="A137" t="str">
            <v>802-IG IGLESIA INTERNACIONAL DEL EVANGELIO CUADRANGULAR DE PANAMÁ</v>
          </cell>
          <cell r="B137"/>
          <cell r="C137">
            <v>18</v>
          </cell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</row>
        <row r="138">
          <cell r="A138" t="str">
            <v>814-IG Templo Morada Santa</v>
          </cell>
          <cell r="B138"/>
          <cell r="C138"/>
          <cell r="D138"/>
          <cell r="E138"/>
          <cell r="F138">
            <v>9</v>
          </cell>
          <cell r="G138"/>
          <cell r="H138"/>
          <cell r="I138"/>
          <cell r="J138"/>
          <cell r="K138"/>
          <cell r="L138"/>
          <cell r="M138"/>
          <cell r="N138"/>
          <cell r="O138"/>
        </row>
        <row r="139">
          <cell r="A139" t="str">
            <v>185 FU - FUNDACIÓN ABIA YALA</v>
          </cell>
          <cell r="B139"/>
          <cell r="C139">
            <v>4</v>
          </cell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</row>
        <row r="140">
          <cell r="A140" t="str">
            <v>786-FU ACADEMIA DE FUTBOL ROMAN TORRES</v>
          </cell>
          <cell r="B140"/>
          <cell r="C140">
            <v>11</v>
          </cell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</row>
        <row r="141">
          <cell r="A141" t="str">
            <v>496-AS CUERPO DE VOLUNTARIAS DEL HOSPITAL DEL NIÑO</v>
          </cell>
          <cell r="B141"/>
          <cell r="C141">
            <v>168</v>
          </cell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</row>
        <row r="142">
          <cell r="A142" t="str">
            <v>734-FU MINISTERIO DE SALVACION EL CAMINO DE DIOS</v>
          </cell>
          <cell r="B142"/>
          <cell r="C142"/>
          <cell r="D142"/>
          <cell r="E142"/>
          <cell r="F142"/>
          <cell r="G142"/>
          <cell r="H142"/>
          <cell r="I142">
            <v>10</v>
          </cell>
          <cell r="J142"/>
          <cell r="K142"/>
          <cell r="L142"/>
          <cell r="M142"/>
          <cell r="N142"/>
          <cell r="O142"/>
        </row>
        <row r="143">
          <cell r="A143" t="str">
            <v>392-FU Fundacion Jerusalen Trono de Jehova III</v>
          </cell>
          <cell r="B143"/>
          <cell r="C143"/>
          <cell r="D143"/>
          <cell r="E143">
            <v>23</v>
          </cell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</row>
        <row r="144">
          <cell r="A144" t="str">
            <v>641 - IG IGLESIA EVANGELICA QUIRIAT SALEM (ESTE)</v>
          </cell>
          <cell r="B144"/>
          <cell r="C144"/>
          <cell r="D144">
            <v>28.52</v>
          </cell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</row>
        <row r="145">
          <cell r="A145" t="str">
            <v>471-FU FUNDACION BUSCANDO UNA OPORTUNIDAD</v>
          </cell>
          <cell r="B145"/>
          <cell r="C145"/>
          <cell r="D145"/>
          <cell r="E145">
            <v>15</v>
          </cell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</row>
        <row r="146">
          <cell r="A146" t="str">
            <v>708 - FU MINISTERIO BERAKHAH INTERNACIONAL GUARARE</v>
          </cell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>
            <v>2</v>
          </cell>
        </row>
        <row r="147">
          <cell r="A147" t="str">
            <v>731-FU CENTRO DE NIÑOS DOWN</v>
          </cell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>
            <v>14</v>
          </cell>
          <cell r="M147"/>
          <cell r="N147"/>
          <cell r="O147"/>
        </row>
        <row r="148">
          <cell r="A148" t="str">
            <v>245-FU MINISTERIO BERAKHAH INTERNACIONAL CUENTA PRINCIPAL</v>
          </cell>
          <cell r="B148"/>
          <cell r="C148"/>
          <cell r="D148">
            <v>10</v>
          </cell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</row>
        <row r="149">
          <cell r="A149" t="str">
            <v>827-FU Fundación Transformemos mi comunidad</v>
          </cell>
          <cell r="B149"/>
          <cell r="C149"/>
          <cell r="D149"/>
          <cell r="E149">
            <v>6</v>
          </cell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</row>
        <row r="150">
          <cell r="A150" t="str">
            <v>Empresa Panameña de Alimentos, S. A.</v>
          </cell>
          <cell r="B150">
            <v>2380</v>
          </cell>
          <cell r="C150">
            <v>1724.5</v>
          </cell>
          <cell r="D150">
            <v>1730.5</v>
          </cell>
          <cell r="E150">
            <v>538</v>
          </cell>
          <cell r="F150">
            <v>385.5</v>
          </cell>
          <cell r="G150">
            <v>203.5</v>
          </cell>
          <cell r="H150">
            <v>413.5</v>
          </cell>
          <cell r="I150">
            <v>242.5</v>
          </cell>
          <cell r="J150">
            <v>152</v>
          </cell>
          <cell r="K150">
            <v>76</v>
          </cell>
          <cell r="L150">
            <v>19</v>
          </cell>
          <cell r="M150">
            <v>19</v>
          </cell>
          <cell r="N150"/>
          <cell r="O150"/>
        </row>
        <row r="151">
          <cell r="A151" t="str">
            <v>662-IG MINISTERIO EVANGELICO EL APOSENTO ALTO (CENTRO 1)</v>
          </cell>
          <cell r="B151"/>
          <cell r="C151">
            <v>1.5</v>
          </cell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</row>
        <row r="152">
          <cell r="A152" t="str">
            <v>702 - FU MINISTERIO BERAKHAH INTERNACIONAL ARRAIJAN</v>
          </cell>
          <cell r="B152"/>
          <cell r="C152"/>
          <cell r="D152"/>
          <cell r="E152">
            <v>8.5</v>
          </cell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</row>
        <row r="153">
          <cell r="A153" t="str">
            <v>298-FU - MINISTERIO FUENTE DE VIDA PARA EL PERDIDO</v>
          </cell>
          <cell r="B153"/>
          <cell r="C153"/>
          <cell r="D153"/>
          <cell r="E153"/>
          <cell r="F153">
            <v>73.5</v>
          </cell>
          <cell r="G153"/>
          <cell r="H153"/>
          <cell r="I153"/>
          <cell r="J153"/>
          <cell r="K153"/>
          <cell r="L153"/>
          <cell r="M153"/>
          <cell r="N153"/>
          <cell r="O153"/>
        </row>
        <row r="154">
          <cell r="A154" t="str">
            <v>479-IG IGLESIA NUEVA ESPERANZA</v>
          </cell>
          <cell r="B154"/>
          <cell r="C154"/>
          <cell r="D154">
            <v>1.5</v>
          </cell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</row>
        <row r="155">
          <cell r="A155" t="str">
            <v>104 AS - ASOCIACIÓN HOGAR FELICIDAD</v>
          </cell>
          <cell r="B155"/>
          <cell r="C155"/>
          <cell r="D155"/>
          <cell r="E155">
            <v>11</v>
          </cell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</row>
        <row r="156">
          <cell r="A156" t="str">
            <v>175 AS - ASOCIACIÓN RESTAURANDO VIDAS</v>
          </cell>
          <cell r="B156"/>
          <cell r="C156"/>
          <cell r="D156">
            <v>15</v>
          </cell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</row>
        <row r="157">
          <cell r="A157" t="str">
            <v>178 IG - TEMPLO ZURIEL EL REFUGIO</v>
          </cell>
          <cell r="B157"/>
          <cell r="C157"/>
          <cell r="D157"/>
          <cell r="E157"/>
          <cell r="F157"/>
          <cell r="G157">
            <v>87</v>
          </cell>
          <cell r="H157"/>
          <cell r="I157"/>
          <cell r="J157"/>
          <cell r="K157"/>
          <cell r="L157"/>
          <cell r="M157"/>
          <cell r="N157"/>
          <cell r="O157"/>
        </row>
        <row r="158">
          <cell r="A158" t="str">
            <v>207 IG - IGLESIA CENTRO DE VIDA CRISTIANA</v>
          </cell>
          <cell r="B158"/>
          <cell r="C158"/>
          <cell r="D158">
            <v>27.5</v>
          </cell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</row>
        <row r="159">
          <cell r="A159" t="str">
            <v>493-FU Comedor Jesús es mi Pastor</v>
          </cell>
          <cell r="B159"/>
          <cell r="C159"/>
          <cell r="D159">
            <v>21.5</v>
          </cell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</row>
        <row r="160">
          <cell r="A160" t="str">
            <v>636- FU JAH - LIVE (JAHL) - COLON</v>
          </cell>
          <cell r="B160"/>
          <cell r="C160"/>
          <cell r="D160"/>
          <cell r="E160"/>
          <cell r="F160"/>
          <cell r="G160"/>
          <cell r="H160">
            <v>203.5</v>
          </cell>
          <cell r="I160"/>
          <cell r="J160"/>
          <cell r="K160"/>
          <cell r="L160"/>
          <cell r="M160"/>
          <cell r="N160"/>
          <cell r="O160"/>
        </row>
        <row r="161">
          <cell r="A161" t="str">
            <v>224 OR MISIONERAS DE LA CARIDAD DE COLON</v>
          </cell>
          <cell r="B161"/>
          <cell r="C161"/>
          <cell r="D161"/>
          <cell r="E161"/>
          <cell r="F161"/>
          <cell r="G161"/>
          <cell r="H161">
            <v>15</v>
          </cell>
          <cell r="I161"/>
          <cell r="J161"/>
          <cell r="K161"/>
          <cell r="L161"/>
          <cell r="M161"/>
          <cell r="N161"/>
          <cell r="O161"/>
        </row>
        <row r="162">
          <cell r="A162" t="str">
            <v>365-IG COMEDOR HEFZIBA</v>
          </cell>
          <cell r="B162"/>
          <cell r="C162"/>
          <cell r="D162"/>
          <cell r="E162"/>
          <cell r="F162"/>
          <cell r="G162"/>
          <cell r="H162"/>
          <cell r="I162">
            <v>69</v>
          </cell>
          <cell r="J162"/>
          <cell r="K162"/>
          <cell r="L162"/>
          <cell r="M162"/>
          <cell r="N162"/>
          <cell r="O162"/>
        </row>
        <row r="163">
          <cell r="A163" t="str">
            <v>407-IG ASOCIACION CRISTIANA INTERNACIONAL EBEN-EZER (OESTE)</v>
          </cell>
          <cell r="B163"/>
          <cell r="C163"/>
          <cell r="D163"/>
          <cell r="E163">
            <v>1.5</v>
          </cell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</row>
        <row r="164">
          <cell r="A164" t="str">
            <v>635 TEMPLO ADULAM</v>
          </cell>
          <cell r="B164"/>
          <cell r="C164"/>
          <cell r="D164"/>
          <cell r="E164">
            <v>51</v>
          </cell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</row>
        <row r="165">
          <cell r="A165" t="str">
            <v>470-FU IGLESIA MONTE SANTO</v>
          </cell>
          <cell r="B165"/>
          <cell r="C165"/>
          <cell r="D165">
            <v>5.5</v>
          </cell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</row>
        <row r="166">
          <cell r="A166" t="str">
            <v>687 - FU FUNDACION ARCA DE JESUS</v>
          </cell>
          <cell r="B166"/>
          <cell r="C166"/>
          <cell r="D166"/>
          <cell r="E166">
            <v>71.5</v>
          </cell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</row>
        <row r="167">
          <cell r="A167" t="str">
            <v>218 ED - LOS PREFERIDOS DEL SEÑOR (CENTRO2)</v>
          </cell>
          <cell r="B167"/>
          <cell r="C167">
            <v>410</v>
          </cell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</row>
        <row r="168">
          <cell r="A168" t="str">
            <v>187 IG - IGLESIA DE DIOS DE LA PROFECÍA</v>
          </cell>
          <cell r="B168"/>
          <cell r="C168"/>
          <cell r="D168">
            <v>257</v>
          </cell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</row>
        <row r="169">
          <cell r="A169" t="str">
            <v>321-IG IGLESIA DIOS ES MI PROVEEDOR Y SUSTENTO</v>
          </cell>
          <cell r="B169"/>
          <cell r="C169"/>
          <cell r="D169">
            <v>57</v>
          </cell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</row>
        <row r="170">
          <cell r="A170" t="str">
            <v>111 FU - FUNDACIÓN NUESTRA SEÑORA DEL CAMINO</v>
          </cell>
          <cell r="B170"/>
          <cell r="C170"/>
          <cell r="D170"/>
          <cell r="E170"/>
          <cell r="F170"/>
          <cell r="G170"/>
          <cell r="H170"/>
          <cell r="I170"/>
          <cell r="J170">
            <v>19</v>
          </cell>
          <cell r="K170"/>
          <cell r="L170"/>
          <cell r="M170"/>
          <cell r="N170"/>
          <cell r="O170"/>
        </row>
        <row r="171">
          <cell r="A171" t="str">
            <v>443-FU MINISTERIO BERAKHAH INTERNACIONAL COMEDOR LAS GARZAS #2</v>
          </cell>
          <cell r="B171"/>
          <cell r="C171"/>
          <cell r="D171">
            <v>15</v>
          </cell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</row>
        <row r="172">
          <cell r="A172" t="str">
            <v>694 - FU MINISTERIO BERAKHAH INTERNACIONAL TOCUMEN #2</v>
          </cell>
          <cell r="B172"/>
          <cell r="C172"/>
          <cell r="D172">
            <v>24</v>
          </cell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</row>
        <row r="173">
          <cell r="A173" t="str">
            <v>695 - FU MINISTERIO BERAKHAH INTERNACIONAL 24 DIC</v>
          </cell>
          <cell r="B173"/>
          <cell r="C173"/>
          <cell r="D173">
            <v>67</v>
          </cell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</row>
        <row r="174">
          <cell r="A174" t="str">
            <v>444-FU MINISTERIO BERAKHAH INTERNACIONAL COMEDOR LAS GARZAS #1</v>
          </cell>
          <cell r="B174"/>
          <cell r="C174"/>
          <cell r="D174">
            <v>10.5</v>
          </cell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</row>
        <row r="175">
          <cell r="A175" t="str">
            <v>366-FU CENTRO MISIONERO EL SHADAI (ESTE)</v>
          </cell>
          <cell r="B175"/>
          <cell r="C175"/>
          <cell r="D175">
            <v>147</v>
          </cell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</row>
        <row r="176">
          <cell r="A176" t="str">
            <v>498-FU COMEDOR NIÑOS DE BENDICION</v>
          </cell>
          <cell r="B176"/>
          <cell r="C176"/>
          <cell r="D176"/>
          <cell r="E176">
            <v>90</v>
          </cell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</row>
        <row r="177">
          <cell r="A177" t="str">
            <v>288 IG MINISTERIO EVANGELISTICO DE SANACION Y RESTAURACION, SENALES, MILAGROS Y MARAVILLAS (ESTE)</v>
          </cell>
          <cell r="B177"/>
          <cell r="C177"/>
          <cell r="D177">
            <v>64</v>
          </cell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</row>
        <row r="178">
          <cell r="A178" t="str">
            <v>373-FU MINISTERIO INTERNACIONAL BOANERGES</v>
          </cell>
          <cell r="B178"/>
          <cell r="C178"/>
          <cell r="D178"/>
          <cell r="E178"/>
          <cell r="F178"/>
          <cell r="G178"/>
          <cell r="H178"/>
          <cell r="I178">
            <v>20.5</v>
          </cell>
          <cell r="J178"/>
          <cell r="K178"/>
          <cell r="L178"/>
          <cell r="M178"/>
          <cell r="N178"/>
          <cell r="O178"/>
        </row>
        <row r="179">
          <cell r="A179" t="str">
            <v>197 FU FUNDACION SOCIAL CULTURAL Y AMBIENTAL DE VERACRUZ (OESTE)</v>
          </cell>
          <cell r="B179"/>
          <cell r="C179"/>
          <cell r="D179"/>
          <cell r="E179">
            <v>55</v>
          </cell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</row>
        <row r="180">
          <cell r="A180" t="str">
            <v>183 ED - BELÉN CASA DE PAN (ESTE)</v>
          </cell>
          <cell r="B180"/>
          <cell r="C180"/>
          <cell r="D180">
            <v>51</v>
          </cell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</row>
        <row r="181">
          <cell r="A181" t="str">
            <v>701 - FU MINISTERIO BERAKHAH INTERNACIONAL LOS ANDES</v>
          </cell>
          <cell r="B181"/>
          <cell r="C181"/>
          <cell r="D181"/>
          <cell r="E181"/>
          <cell r="F181"/>
          <cell r="G181"/>
          <cell r="H181"/>
          <cell r="I181">
            <v>14.5</v>
          </cell>
          <cell r="J181"/>
          <cell r="K181"/>
          <cell r="L181"/>
          <cell r="M181"/>
          <cell r="N181"/>
          <cell r="O181"/>
        </row>
        <row r="182">
          <cell r="A182" t="str">
            <v>691 - AR CARITAS ARQUIDIOCESANA</v>
          </cell>
          <cell r="B182"/>
          <cell r="C182">
            <v>19</v>
          </cell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</row>
        <row r="183">
          <cell r="A183" t="str">
            <v>431-IG IGLESIA ADVENTISTA DISTRITO 8</v>
          </cell>
          <cell r="B183"/>
          <cell r="C183"/>
          <cell r="D183">
            <v>62</v>
          </cell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</row>
        <row r="184">
          <cell r="A184" t="str">
            <v>261 - AS ASOCIACIÓN MINISTERIO SIRVIENDO A LA COMUNIDAD PARA JESUCRISTO</v>
          </cell>
          <cell r="B184"/>
          <cell r="C184">
            <v>4</v>
          </cell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</row>
        <row r="185">
          <cell r="A185" t="str">
            <v>211 IG - IGLESIA CRISTIANA KADOSH</v>
          </cell>
          <cell r="B185"/>
          <cell r="C185">
            <v>9</v>
          </cell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</row>
        <row r="186">
          <cell r="A186" t="str">
            <v>368-FU MINISTERIO PACTO DE SANTIDAD</v>
          </cell>
          <cell r="B186"/>
          <cell r="C186">
            <v>16.5</v>
          </cell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</row>
        <row r="187">
          <cell r="A187" t="str">
            <v>654 - IG M.I.A.F NUEVA JERUSALEN PANAMA (ESTE)</v>
          </cell>
          <cell r="B187"/>
          <cell r="C187"/>
          <cell r="D187">
            <v>4.5</v>
          </cell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</row>
        <row r="188">
          <cell r="A188" t="str">
            <v>487-FU FUNDACION CASA AVE MARIA</v>
          </cell>
          <cell r="B188"/>
          <cell r="C188"/>
          <cell r="D188"/>
          <cell r="E188">
            <v>19</v>
          </cell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</row>
        <row r="189">
          <cell r="A189" t="str">
            <v>284 - IG MINISTERIO PAN DE VIDA</v>
          </cell>
          <cell r="B189"/>
          <cell r="C189"/>
          <cell r="D189"/>
          <cell r="E189"/>
          <cell r="F189"/>
          <cell r="G189"/>
          <cell r="H189"/>
          <cell r="I189"/>
          <cell r="J189">
            <v>19</v>
          </cell>
          <cell r="K189"/>
          <cell r="L189"/>
          <cell r="M189"/>
          <cell r="N189"/>
          <cell r="O189"/>
        </row>
        <row r="190">
          <cell r="A190" t="str">
            <v>2 PA - PARROQUIA SAN JUAN MARIA VIANNEY (NORTE)</v>
          </cell>
          <cell r="B190"/>
          <cell r="C190"/>
          <cell r="D190"/>
          <cell r="E190"/>
          <cell r="F190"/>
          <cell r="G190"/>
          <cell r="H190"/>
          <cell r="I190">
            <v>23</v>
          </cell>
          <cell r="J190"/>
          <cell r="K190"/>
          <cell r="L190"/>
          <cell r="M190"/>
          <cell r="N190"/>
          <cell r="O190"/>
        </row>
        <row r="191">
          <cell r="A191" t="str">
            <v>696 - FU MINISTERIO BERAKHAH INTERNACIONAL CHEPO #1</v>
          </cell>
          <cell r="B191"/>
          <cell r="C191"/>
          <cell r="D191">
            <v>1.5</v>
          </cell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</row>
        <row r="192">
          <cell r="A192" t="str">
            <v>472-FU FUNDACION TALITA CUMI</v>
          </cell>
          <cell r="B192"/>
          <cell r="C192"/>
          <cell r="D192">
            <v>22.5</v>
          </cell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</row>
        <row r="193">
          <cell r="A193" t="str">
            <v>222 ED - MISERICORDIAR</v>
          </cell>
          <cell r="B193"/>
          <cell r="C193"/>
          <cell r="D193">
            <v>14</v>
          </cell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</row>
        <row r="194">
          <cell r="A194" t="str">
            <v>259 IG - ALCANCE VICTORIA PANAMÁ</v>
          </cell>
          <cell r="B194"/>
          <cell r="C194">
            <v>56.5</v>
          </cell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</row>
        <row r="195">
          <cell r="A195" t="str">
            <v>668 - FU FUNDACION CRISTIANA LA FE EN MARCHA</v>
          </cell>
          <cell r="B195"/>
          <cell r="C195"/>
          <cell r="D195"/>
          <cell r="E195"/>
          <cell r="F195"/>
          <cell r="G195"/>
          <cell r="H195"/>
          <cell r="I195"/>
          <cell r="J195">
            <v>19</v>
          </cell>
          <cell r="K195"/>
          <cell r="L195"/>
          <cell r="M195"/>
          <cell r="N195"/>
          <cell r="O195"/>
        </row>
        <row r="196">
          <cell r="A196" t="str">
            <v>379-FU Fundacion Ministerio Apostolico Manantial de Vida</v>
          </cell>
          <cell r="B196"/>
          <cell r="C196"/>
          <cell r="D196"/>
          <cell r="E196"/>
          <cell r="F196"/>
          <cell r="G196"/>
          <cell r="H196">
            <v>55.5</v>
          </cell>
          <cell r="I196"/>
          <cell r="J196"/>
          <cell r="K196"/>
          <cell r="L196"/>
          <cell r="M196"/>
          <cell r="N196"/>
          <cell r="O196"/>
        </row>
        <row r="197">
          <cell r="A197" t="str">
            <v>387-AS Asociacion ODSSAR-OBC</v>
          </cell>
          <cell r="B197"/>
          <cell r="C197"/>
          <cell r="D197">
            <v>54.5</v>
          </cell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</row>
        <row r="198">
          <cell r="A198" t="str">
            <v>300 ED - BENEFICIARIOS</v>
          </cell>
          <cell r="B198"/>
          <cell r="C198"/>
          <cell r="D198">
            <v>67</v>
          </cell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</row>
        <row r="199">
          <cell r="A199" t="str">
            <v>657 - FU CENTRO COMUNITARIO MONTAÑAS DE ESPERANZA (RETIRO EN EL BAP)</v>
          </cell>
          <cell r="B199"/>
          <cell r="C199"/>
          <cell r="D199">
            <v>17.5</v>
          </cell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</row>
        <row r="200">
          <cell r="A200" t="str">
            <v>630-IG MIN.INTL.DE CRISTO PAZ DE DIOS</v>
          </cell>
          <cell r="B200"/>
          <cell r="C200">
            <v>292</v>
          </cell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</row>
        <row r="201">
          <cell r="A201" t="str">
            <v>397-FU FUNDACION SHALOM PANAMA</v>
          </cell>
          <cell r="B201"/>
          <cell r="C201"/>
          <cell r="D201"/>
          <cell r="E201">
            <v>24.5</v>
          </cell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</row>
        <row r="202">
          <cell r="A202" t="str">
            <v>697 - FU MINISTERIO BERAKHAH INTERNACIONAL CHEPO #2</v>
          </cell>
          <cell r="B202"/>
          <cell r="C202"/>
          <cell r="D202">
            <v>11</v>
          </cell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</row>
        <row r="203">
          <cell r="A203" t="str">
            <v>195 ED - JUNTOS PODEMOS</v>
          </cell>
          <cell r="B203"/>
          <cell r="C203">
            <v>57.5</v>
          </cell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</row>
        <row r="204">
          <cell r="A204" t="str">
            <v>709 - FU FUNRECRISTO</v>
          </cell>
          <cell r="B204"/>
          <cell r="C204"/>
          <cell r="D204">
            <v>27.5</v>
          </cell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</row>
        <row r="205">
          <cell r="A205" t="str">
            <v>670 - FU FUNDACION MINISTERIIO CRISTIANO EL REINO DE DIOS (ESTE)</v>
          </cell>
          <cell r="B205"/>
          <cell r="C205"/>
          <cell r="D205">
            <v>20</v>
          </cell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</row>
        <row r="206">
          <cell r="A206" t="str">
            <v>450-FU MINISTERIO DE RESTAURACION EFESIOS 4 (ESTE)</v>
          </cell>
          <cell r="B206"/>
          <cell r="C206"/>
          <cell r="D206">
            <v>39</v>
          </cell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</row>
        <row r="207">
          <cell r="A207" t="str">
            <v>235 FU - FUNDACION GRUPO ENVIADOS</v>
          </cell>
          <cell r="B207"/>
          <cell r="C207"/>
          <cell r="D207">
            <v>87</v>
          </cell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</row>
        <row r="208">
          <cell r="A208" t="str">
            <v>640 - FU FUNDACIÓN CRISTIANA LA FE EN MARCHA (ESTE)</v>
          </cell>
          <cell r="B208"/>
          <cell r="C208"/>
          <cell r="D208">
            <v>3</v>
          </cell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</row>
        <row r="209">
          <cell r="A209" t="str">
            <v>380-ED COMEDOR COMUNITARIO CASA DEL ALFARERO</v>
          </cell>
          <cell r="B209"/>
          <cell r="C209"/>
          <cell r="D209">
            <v>15</v>
          </cell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</row>
        <row r="210">
          <cell r="A210" t="str">
            <v>202 FU - FUNDACIÓN HOGAR SAN JOSÉ (ESTE)</v>
          </cell>
          <cell r="B210"/>
          <cell r="C210"/>
          <cell r="D210">
            <v>39</v>
          </cell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</row>
        <row r="211">
          <cell r="A211" t="str">
            <v>116 AS - ASOCIACIÓN IGLESIA DE CRISTO ESTRELLA CRECIENTE</v>
          </cell>
          <cell r="B211"/>
          <cell r="C211"/>
          <cell r="D211">
            <v>5</v>
          </cell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</row>
        <row r="212">
          <cell r="A212" t="str">
            <v>451-IG IGLESIA MANANTIAL DE VIDA (ESTE)</v>
          </cell>
          <cell r="B212"/>
          <cell r="C212"/>
          <cell r="D212">
            <v>10</v>
          </cell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</row>
        <row r="213">
          <cell r="A213" t="str">
            <v>597- IG MINISTERIO APOSTOLICO NEMUEL INTERNACIONAL</v>
          </cell>
          <cell r="B213"/>
          <cell r="C213"/>
          <cell r="D213">
            <v>6</v>
          </cell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</row>
        <row r="214">
          <cell r="A214" t="str">
            <v>647 - IG CRISTO REY CAMBIANDO VIDAS (ESTE)</v>
          </cell>
          <cell r="B214"/>
          <cell r="C214"/>
          <cell r="D214">
            <v>10</v>
          </cell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</row>
        <row r="215">
          <cell r="A215" t="str">
            <v>417-AS CLUB DE LEONES DE PEDREGAL (ESTE)</v>
          </cell>
          <cell r="B215"/>
          <cell r="C215"/>
          <cell r="D215">
            <v>37</v>
          </cell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</row>
        <row r="216">
          <cell r="A216" t="str">
            <v>252 IG - MINISTERIO INTERNACIONAL DE AMISTADES CRISTIANAS</v>
          </cell>
          <cell r="B216"/>
          <cell r="C216"/>
          <cell r="D216">
            <v>18</v>
          </cell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</row>
        <row r="217">
          <cell r="A217" t="str">
            <v>339-AS ASOCIACION RESIDENCIA LISBETH</v>
          </cell>
          <cell r="B217"/>
          <cell r="C217"/>
          <cell r="D217">
            <v>115.5</v>
          </cell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</row>
        <row r="218">
          <cell r="A218" t="str">
            <v>144 OR - HERMANAS DE SAN JOSÉ DE LA APARICIÓN (RETIRA EN EL BANCO)</v>
          </cell>
          <cell r="B218"/>
          <cell r="C218"/>
          <cell r="D218">
            <v>78</v>
          </cell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</row>
        <row r="219">
          <cell r="A219" t="str">
            <v>270 FU - FUNDACIÓN MISERICORDIA DE DON BOSCO (OESTE)</v>
          </cell>
          <cell r="B219"/>
          <cell r="C219"/>
          <cell r="D219"/>
          <cell r="E219">
            <v>4.5</v>
          </cell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</row>
        <row r="220">
          <cell r="A220" t="str">
            <v>698 - FU MINISTERIO BERAKHAH INTERNACIONAL PASO BLANCO</v>
          </cell>
          <cell r="B220"/>
          <cell r="C220"/>
          <cell r="D220">
            <v>21.5</v>
          </cell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</row>
        <row r="221">
          <cell r="A221" t="str">
            <v>491-FU Fundación Aleluya</v>
          </cell>
          <cell r="B221"/>
          <cell r="C221"/>
          <cell r="D221"/>
          <cell r="E221"/>
          <cell r="F221"/>
          <cell r="G221">
            <v>3</v>
          </cell>
          <cell r="H221"/>
          <cell r="I221"/>
          <cell r="J221"/>
          <cell r="K221"/>
          <cell r="L221"/>
          <cell r="M221"/>
          <cell r="N221"/>
          <cell r="O221"/>
        </row>
        <row r="222">
          <cell r="A222" t="str">
            <v>681 - FU FUNDACION NUEVA SOCIEDAD (NORTE)</v>
          </cell>
          <cell r="B222"/>
          <cell r="C222"/>
          <cell r="D222"/>
          <cell r="E222"/>
          <cell r="F222"/>
          <cell r="G222"/>
          <cell r="H222"/>
          <cell r="I222">
            <v>36.5</v>
          </cell>
          <cell r="J222"/>
          <cell r="K222"/>
          <cell r="L222"/>
          <cell r="M222"/>
          <cell r="N222"/>
          <cell r="O222"/>
        </row>
        <row r="223">
          <cell r="A223" t="str">
            <v>377-FU CENTRO CRISTIANO CASA DE DIOS PANAMA</v>
          </cell>
          <cell r="B223"/>
          <cell r="C223"/>
          <cell r="D223"/>
          <cell r="E223"/>
          <cell r="F223"/>
          <cell r="G223">
            <v>4.5</v>
          </cell>
          <cell r="H223"/>
          <cell r="I223"/>
          <cell r="J223"/>
          <cell r="K223"/>
          <cell r="L223"/>
          <cell r="M223"/>
          <cell r="N223"/>
          <cell r="O223"/>
        </row>
        <row r="224">
          <cell r="A224" t="str">
            <v>Retiro de Merma</v>
          </cell>
          <cell r="B224">
            <v>2380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</row>
        <row r="225">
          <cell r="A225" t="str">
            <v>656 - FU FUNDACION COCINA DEL REINO Y AMIGOS (CENTRO 1)</v>
          </cell>
          <cell r="B225"/>
          <cell r="C225">
            <v>19</v>
          </cell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</row>
        <row r="226">
          <cell r="A226" t="str">
            <v>595-FU CENTRO DE LA MUJER Y LA NIÑEZ</v>
          </cell>
          <cell r="B226"/>
          <cell r="C226">
            <v>39.5</v>
          </cell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</row>
        <row r="227">
          <cell r="A227" t="str">
            <v>118 FU - FUNDACIÓN UN NUEVO AMANECER</v>
          </cell>
          <cell r="B227"/>
          <cell r="C227"/>
          <cell r="D227"/>
          <cell r="E227">
            <v>90</v>
          </cell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</row>
        <row r="228">
          <cell r="A228" t="str">
            <v>669 - IG IGLESIA CAMINO DE SANTIDAD (COLON)</v>
          </cell>
          <cell r="B228"/>
          <cell r="C228"/>
          <cell r="D228"/>
          <cell r="E228"/>
          <cell r="F228"/>
          <cell r="G228"/>
          <cell r="H228">
            <v>20</v>
          </cell>
          <cell r="I228"/>
          <cell r="J228"/>
          <cell r="K228"/>
          <cell r="L228"/>
          <cell r="M228"/>
          <cell r="N228"/>
          <cell r="O228"/>
        </row>
        <row r="229">
          <cell r="A229" t="str">
            <v>360-IG IGLESIA CRISTIANA CASA DE REUNION</v>
          </cell>
          <cell r="B229"/>
          <cell r="C229"/>
          <cell r="D229"/>
          <cell r="E229"/>
          <cell r="F229"/>
          <cell r="G229">
            <v>74</v>
          </cell>
          <cell r="H229"/>
          <cell r="I229"/>
          <cell r="J229"/>
          <cell r="K229"/>
          <cell r="L229"/>
          <cell r="M229"/>
          <cell r="N229"/>
          <cell r="O229"/>
        </row>
        <row r="230">
          <cell r="A230" t="str">
            <v>719 FU FUNDACION VIDA NUEVA EL SHADDAI</v>
          </cell>
          <cell r="B230"/>
          <cell r="C230"/>
          <cell r="D230"/>
          <cell r="E230"/>
          <cell r="F230"/>
          <cell r="G230">
            <v>35</v>
          </cell>
          <cell r="H230"/>
          <cell r="I230"/>
          <cell r="J230"/>
          <cell r="K230"/>
          <cell r="L230"/>
          <cell r="M230"/>
          <cell r="N230"/>
          <cell r="O230"/>
        </row>
        <row r="231">
          <cell r="A231" t="str">
            <v>54 FU - FUNDACIÓN CASA HOGAR EL BUEN SAMARITANO</v>
          </cell>
          <cell r="B231"/>
          <cell r="C231"/>
          <cell r="D231">
            <v>4</v>
          </cell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</row>
        <row r="232">
          <cell r="A232" t="str">
            <v>684 - FU FUNDACION CASA DEL REY JESUS (CENTRO 2)</v>
          </cell>
          <cell r="B232"/>
          <cell r="C232">
            <v>402.5</v>
          </cell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</row>
        <row r="233">
          <cell r="A233" t="str">
            <v>723 ASOCIACION AQUI ESTOY</v>
          </cell>
          <cell r="B233"/>
          <cell r="C233"/>
          <cell r="D233"/>
          <cell r="E233">
            <v>17.5</v>
          </cell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</row>
        <row r="234">
          <cell r="A234" t="str">
            <v>707 - FU MINISTERIO BERAKHAH INTERNACIONAL CAIMITILLO</v>
          </cell>
          <cell r="B234"/>
          <cell r="C234"/>
          <cell r="D234"/>
          <cell r="E234"/>
          <cell r="F234"/>
          <cell r="G234"/>
          <cell r="H234"/>
          <cell r="I234">
            <v>5</v>
          </cell>
          <cell r="J234"/>
          <cell r="K234"/>
          <cell r="L234"/>
          <cell r="M234"/>
          <cell r="N234"/>
          <cell r="O234"/>
        </row>
        <row r="235">
          <cell r="A235" t="str">
            <v>229 PA - PARROQUIA SAN CRISTOBAL DE CHEPO</v>
          </cell>
          <cell r="B235"/>
          <cell r="C235"/>
          <cell r="D235">
            <v>42.5</v>
          </cell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</row>
        <row r="236">
          <cell r="A236" t="str">
            <v>390-FU FUNDACION CRISTIANA FAMILIAR EL TALLER DEL MAESTRO (CENTRO1)</v>
          </cell>
          <cell r="B236"/>
          <cell r="C236">
            <v>11.5</v>
          </cell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</row>
        <row r="237">
          <cell r="A237" t="str">
            <v>730-FU SOLIDARIDAD Y DESARROLLO DE PANAMA (VERAGUAS)</v>
          </cell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>
            <v>19</v>
          </cell>
          <cell r="N237"/>
          <cell r="O237"/>
        </row>
        <row r="238">
          <cell r="A238" t="str">
            <v>737- ASOCIACION CRISTIANA EBEN-EZER (ESTE)</v>
          </cell>
          <cell r="B238"/>
          <cell r="C238"/>
          <cell r="D238">
            <v>42</v>
          </cell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</row>
        <row r="239">
          <cell r="A239" t="str">
            <v>738- IG MINISTERIO DIOS CON NOSOTROS EMANUEL</v>
          </cell>
          <cell r="B239"/>
          <cell r="C239"/>
          <cell r="D239">
            <v>9</v>
          </cell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</row>
        <row r="240">
          <cell r="A240" t="str">
            <v>745-FU CASA DE MISERICORDIA</v>
          </cell>
          <cell r="B240"/>
          <cell r="C240">
            <v>13</v>
          </cell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</row>
        <row r="241">
          <cell r="A241" t="str">
            <v>741-IG BUNKER DE ESPERANZA</v>
          </cell>
          <cell r="B241"/>
          <cell r="C241"/>
          <cell r="D241">
            <v>13.5</v>
          </cell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</row>
        <row r="242">
          <cell r="A242" t="str">
            <v>613-FU FUNDACION INMARE</v>
          </cell>
          <cell r="B242"/>
          <cell r="C242"/>
          <cell r="D242"/>
          <cell r="E242"/>
          <cell r="F242"/>
          <cell r="G242"/>
          <cell r="H242"/>
          <cell r="I242"/>
          <cell r="J242"/>
          <cell r="K242">
            <v>38</v>
          </cell>
          <cell r="L242"/>
          <cell r="M242"/>
          <cell r="N242"/>
          <cell r="O242"/>
        </row>
        <row r="243">
          <cell r="A243" t="str">
            <v>760-FU AYUDAME A VIVIR</v>
          </cell>
          <cell r="B243"/>
          <cell r="C243"/>
          <cell r="D243"/>
          <cell r="E243"/>
          <cell r="F243"/>
          <cell r="G243"/>
          <cell r="H243"/>
          <cell r="I243">
            <v>50</v>
          </cell>
          <cell r="J243"/>
          <cell r="K243"/>
          <cell r="L243"/>
          <cell r="M243"/>
          <cell r="N243"/>
          <cell r="O243"/>
        </row>
        <row r="244">
          <cell r="A244" t="str">
            <v>281-FU FUNDACIÓN CAMBIO CREATIVO</v>
          </cell>
          <cell r="B244"/>
          <cell r="C244"/>
          <cell r="D244"/>
          <cell r="E244"/>
          <cell r="F244"/>
          <cell r="G244"/>
          <cell r="H244">
            <v>27</v>
          </cell>
          <cell r="I244"/>
          <cell r="J244"/>
          <cell r="K244"/>
          <cell r="L244"/>
          <cell r="M244"/>
          <cell r="N244"/>
          <cell r="O244"/>
        </row>
        <row r="245">
          <cell r="A245" t="str">
            <v>275 IG CONCILIO GENERAL DE LAS ASAMBLEAS DE DIOS DE PANAMÁ</v>
          </cell>
          <cell r="B245"/>
          <cell r="C245">
            <v>65</v>
          </cell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</row>
        <row r="246">
          <cell r="A246" t="str">
            <v>758-FU RESTAURANDO EL PRIMER AMOR</v>
          </cell>
          <cell r="B246"/>
          <cell r="C246"/>
          <cell r="D246"/>
          <cell r="E246"/>
          <cell r="F246"/>
          <cell r="G246"/>
          <cell r="H246"/>
          <cell r="I246">
            <v>4.5</v>
          </cell>
          <cell r="J246"/>
          <cell r="K246"/>
          <cell r="L246"/>
          <cell r="M246"/>
          <cell r="N246"/>
          <cell r="O246"/>
        </row>
        <row r="247">
          <cell r="A247" t="str">
            <v>201 OR - MISIONERAS MADRE LAURA</v>
          </cell>
          <cell r="B247"/>
          <cell r="C247">
            <v>19</v>
          </cell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</row>
        <row r="248">
          <cell r="A248" t="str">
            <v>765-IG EXPANSION MISIONERA RIOS DE AGUA VIVA</v>
          </cell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>
            <v>19</v>
          </cell>
          <cell r="M248"/>
          <cell r="N248"/>
          <cell r="O248"/>
        </row>
        <row r="249">
          <cell r="A249" t="str">
            <v>785-FU FUNDACION GOTAS DE ESPERANZA</v>
          </cell>
          <cell r="B249"/>
          <cell r="C249"/>
          <cell r="D249"/>
          <cell r="E249">
            <v>28.5</v>
          </cell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</row>
        <row r="250">
          <cell r="A250" t="str">
            <v>394-IG IGLESIA ESCUADRONES DEL EJERCITO DE DIOS (CENTRO2)</v>
          </cell>
          <cell r="B250"/>
          <cell r="C250">
            <v>25.5</v>
          </cell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</row>
        <row r="251">
          <cell r="A251" t="str">
            <v>789-FU Fundación Rescate de Alimentos</v>
          </cell>
          <cell r="B251"/>
          <cell r="C251">
            <v>4</v>
          </cell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</row>
        <row r="252">
          <cell r="A252" t="str">
            <v>793-FU Fundación Príncipes de Jehová</v>
          </cell>
          <cell r="B252"/>
          <cell r="C252"/>
          <cell r="D252"/>
          <cell r="E252"/>
          <cell r="F252"/>
          <cell r="G252"/>
          <cell r="H252"/>
          <cell r="I252">
            <v>13</v>
          </cell>
          <cell r="J252"/>
          <cell r="K252"/>
          <cell r="L252"/>
          <cell r="M252"/>
          <cell r="N252"/>
          <cell r="O252"/>
        </row>
        <row r="253">
          <cell r="A253" t="str">
            <v>791-FU FUNDACION DIVINO NINO JESUS DE MI CORAZON</v>
          </cell>
          <cell r="B253"/>
          <cell r="C253"/>
          <cell r="D253">
            <v>36</v>
          </cell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</row>
        <row r="254">
          <cell r="A254" t="str">
            <v>69 FU - FUNDACIÓN VIDA ABUNDANTE</v>
          </cell>
          <cell r="B254"/>
          <cell r="C254">
            <v>75</v>
          </cell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</row>
        <row r="255">
          <cell r="A255" t="str">
            <v>138 OR - HERMANAS FRANCISCANAS DE MARIA INMACULADALA</v>
          </cell>
          <cell r="B255"/>
          <cell r="C255"/>
          <cell r="D255"/>
          <cell r="E255"/>
          <cell r="F255"/>
          <cell r="G255"/>
          <cell r="H255">
            <v>92.5</v>
          </cell>
          <cell r="I255"/>
          <cell r="J255"/>
          <cell r="K255"/>
          <cell r="L255"/>
          <cell r="M255"/>
          <cell r="N255"/>
          <cell r="O255"/>
        </row>
        <row r="256">
          <cell r="A256" t="str">
            <v>3 IG - IGLESIA DEL NAZARENO</v>
          </cell>
          <cell r="B256"/>
          <cell r="C256"/>
          <cell r="D256"/>
          <cell r="E256">
            <v>1.5</v>
          </cell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</row>
        <row r="257">
          <cell r="A257" t="str">
            <v>804-IG Templo Misionero Eclesiastés</v>
          </cell>
          <cell r="B257"/>
          <cell r="C257"/>
          <cell r="D257"/>
          <cell r="E257"/>
          <cell r="F257"/>
          <cell r="G257"/>
          <cell r="H257"/>
          <cell r="I257">
            <v>5</v>
          </cell>
          <cell r="J257"/>
          <cell r="K257"/>
          <cell r="L257"/>
          <cell r="M257"/>
          <cell r="N257"/>
          <cell r="O257"/>
        </row>
        <row r="258">
          <cell r="A258" t="str">
            <v>661 - FU FUNDACION MAS INTEGRADOS (DARIEN)</v>
          </cell>
          <cell r="B258"/>
          <cell r="C258"/>
          <cell r="D258"/>
          <cell r="E258"/>
          <cell r="F258">
            <v>286.5</v>
          </cell>
          <cell r="G258"/>
          <cell r="H258"/>
          <cell r="I258"/>
          <cell r="J258"/>
          <cell r="K258"/>
          <cell r="L258"/>
          <cell r="M258"/>
          <cell r="N258"/>
          <cell r="O258"/>
        </row>
        <row r="259">
          <cell r="A259" t="str">
            <v>253 FU - FUNDACIÓN PARA EL BIENESTAR SOCIAL (CENTRO2)</v>
          </cell>
          <cell r="B259"/>
          <cell r="C259">
            <v>67</v>
          </cell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</row>
        <row r="260">
          <cell r="A260" t="str">
            <v>802-IG IGLESIA INTERNACIONAL DEL EVANGELIO CUADRANGULAR DE PANAMÁ</v>
          </cell>
          <cell r="B260"/>
          <cell r="C260">
            <v>4</v>
          </cell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</row>
        <row r="261">
          <cell r="A261" t="str">
            <v>227 FU - AID FOR AIDS PANAMÁ</v>
          </cell>
          <cell r="B261"/>
          <cell r="C261">
            <v>20</v>
          </cell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</row>
        <row r="262">
          <cell r="A262" t="str">
            <v>814-IG Templo Morada Santa</v>
          </cell>
          <cell r="B262"/>
          <cell r="C262"/>
          <cell r="D262"/>
          <cell r="E262"/>
          <cell r="F262">
            <v>25.5</v>
          </cell>
          <cell r="G262"/>
          <cell r="H262"/>
          <cell r="I262"/>
          <cell r="J262"/>
          <cell r="K262"/>
          <cell r="L262"/>
          <cell r="M262"/>
          <cell r="N262"/>
          <cell r="O262"/>
        </row>
        <row r="263">
          <cell r="A263" t="str">
            <v>185 FU - FUNDACIÓN ABIA YALA</v>
          </cell>
          <cell r="B263"/>
          <cell r="C263">
            <v>52</v>
          </cell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</row>
        <row r="264">
          <cell r="A264" t="str">
            <v>786-FU ACADEMIA DE FUTBOL ROMAN TORRES</v>
          </cell>
          <cell r="B264"/>
          <cell r="C264">
            <v>1.5</v>
          </cell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</row>
        <row r="265">
          <cell r="A265" t="str">
            <v>496-AS CUERPO DE VOLUNTARIAS DEL HOSPITAL DEL NIÑO</v>
          </cell>
          <cell r="B265"/>
          <cell r="C265">
            <v>30</v>
          </cell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</row>
        <row r="266">
          <cell r="A266" t="str">
            <v>734-FU MINISTERIO DE SALVACION EL CAMINO DE DIOS</v>
          </cell>
          <cell r="B266"/>
          <cell r="C266"/>
          <cell r="D266"/>
          <cell r="E266"/>
          <cell r="F266"/>
          <cell r="G266"/>
          <cell r="H266"/>
          <cell r="I266">
            <v>1.5</v>
          </cell>
          <cell r="J266"/>
          <cell r="K266"/>
          <cell r="L266"/>
          <cell r="M266"/>
          <cell r="N266"/>
          <cell r="O266"/>
        </row>
        <row r="267">
          <cell r="A267" t="str">
            <v>392-FU Fundacion Jerusalen Trono de Jehova III</v>
          </cell>
          <cell r="B267"/>
          <cell r="C267"/>
          <cell r="D267"/>
          <cell r="E267">
            <v>20</v>
          </cell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</row>
        <row r="268">
          <cell r="A268" t="str">
            <v>641 - IG IGLESIA EVANGELICA QUIRIAT SALEM (ESTE)</v>
          </cell>
          <cell r="B268"/>
          <cell r="C268"/>
          <cell r="D268">
            <v>19</v>
          </cell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</row>
        <row r="269">
          <cell r="A269" t="str">
            <v>471-FU FUNDACION BUSCANDO UNA OPORTUNIDAD</v>
          </cell>
          <cell r="B269"/>
          <cell r="C269"/>
          <cell r="D269"/>
          <cell r="E269">
            <v>24</v>
          </cell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</row>
        <row r="270">
          <cell r="A270" t="str">
            <v>5 AS - ASOCIACIÓN DAME UNA OPORTUNIDAD</v>
          </cell>
          <cell r="B270"/>
          <cell r="C270">
            <v>10</v>
          </cell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</row>
        <row r="271">
          <cell r="A271" t="str">
            <v>756-FU Fundación Nuevas Rutas</v>
          </cell>
          <cell r="B271"/>
          <cell r="C271"/>
          <cell r="D271"/>
          <cell r="E271"/>
          <cell r="F271"/>
          <cell r="G271"/>
          <cell r="H271"/>
          <cell r="I271"/>
          <cell r="J271">
            <v>76</v>
          </cell>
          <cell r="K271"/>
          <cell r="L271"/>
          <cell r="M271"/>
          <cell r="N271"/>
          <cell r="O271"/>
        </row>
        <row r="272">
          <cell r="A272" t="str">
            <v>422-AS Club de Leones de Penonome</v>
          </cell>
          <cell r="B272"/>
          <cell r="C272"/>
          <cell r="D272"/>
          <cell r="E272"/>
          <cell r="F272"/>
          <cell r="G272"/>
          <cell r="H272"/>
          <cell r="I272"/>
          <cell r="J272"/>
          <cell r="K272">
            <v>38</v>
          </cell>
          <cell r="L272"/>
          <cell r="M272"/>
          <cell r="N272"/>
          <cell r="O272"/>
        </row>
        <row r="273">
          <cell r="A273" t="str">
            <v>828-IG IDN LAS TINAJAS</v>
          </cell>
          <cell r="B273"/>
          <cell r="C273"/>
          <cell r="D273"/>
          <cell r="E273"/>
          <cell r="F273"/>
          <cell r="G273"/>
          <cell r="H273"/>
          <cell r="I273"/>
          <cell r="J273">
            <v>19</v>
          </cell>
          <cell r="K273"/>
          <cell r="L273"/>
          <cell r="M273"/>
          <cell r="N273"/>
          <cell r="O273"/>
        </row>
        <row r="274">
          <cell r="A274" t="str">
            <v>245-FU MINISTERIO BERAKHAH INTERNACIONAL CUENTA PRINCIPAL</v>
          </cell>
          <cell r="B274"/>
          <cell r="C274"/>
          <cell r="D274">
            <v>15</v>
          </cell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</row>
        <row r="275">
          <cell r="A275" t="str">
            <v>827-FU Fundación Transformemos mi comunidad</v>
          </cell>
          <cell r="B275"/>
          <cell r="C275"/>
          <cell r="D275"/>
          <cell r="E275">
            <v>20</v>
          </cell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</row>
        <row r="276">
          <cell r="A276" t="str">
            <v>AGENCIAS FEDURO</v>
          </cell>
          <cell r="B276">
            <v>16</v>
          </cell>
          <cell r="C276">
            <v>542</v>
          </cell>
          <cell r="D276">
            <v>848</v>
          </cell>
          <cell r="E276">
            <v>388</v>
          </cell>
          <cell r="F276">
            <v>25.5</v>
          </cell>
          <cell r="G276">
            <v>121.5</v>
          </cell>
          <cell r="H276">
            <v>203</v>
          </cell>
          <cell r="I276">
            <v>77.5</v>
          </cell>
          <cell r="J276">
            <v>277.5</v>
          </cell>
          <cell r="K276">
            <v>246</v>
          </cell>
          <cell r="L276">
            <v>97.5</v>
          </cell>
          <cell r="M276">
            <v>77</v>
          </cell>
          <cell r="N276"/>
          <cell r="O276">
            <v>49</v>
          </cell>
        </row>
        <row r="277">
          <cell r="A277">
            <v>0</v>
          </cell>
          <cell r="B277">
            <v>3</v>
          </cell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</row>
        <row r="278">
          <cell r="A278" t="str">
            <v>662-IG MINISTERIO EVANGELICO EL APOSENTO ALTO (CENTRO 1)</v>
          </cell>
          <cell r="B278"/>
          <cell r="C278">
            <v>5.5</v>
          </cell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</row>
        <row r="279">
          <cell r="A279" t="str">
            <v>209 IG - TEMPLO MISIONERO CRISTO TE LLAMA</v>
          </cell>
          <cell r="B279"/>
          <cell r="C279"/>
          <cell r="D279">
            <v>20</v>
          </cell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</row>
        <row r="280">
          <cell r="A280" t="str">
            <v>298-FU - MINISTERIO FUENTE DE VIDA PARA EL PERDIDO</v>
          </cell>
          <cell r="B280"/>
          <cell r="C280"/>
          <cell r="D280"/>
          <cell r="E280"/>
          <cell r="F280">
            <v>10.5</v>
          </cell>
          <cell r="G280"/>
          <cell r="H280"/>
          <cell r="I280"/>
          <cell r="J280"/>
          <cell r="K280"/>
          <cell r="L280"/>
          <cell r="M280"/>
          <cell r="N280"/>
          <cell r="O280"/>
        </row>
        <row r="281">
          <cell r="A281" t="str">
            <v>104 AS - ASOCIACIÓN HOGAR FELICIDAD</v>
          </cell>
          <cell r="B281"/>
          <cell r="C281"/>
          <cell r="D281"/>
          <cell r="E281">
            <v>15</v>
          </cell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</row>
        <row r="282">
          <cell r="A282" t="str">
            <v>175 AS - ASOCIACIÓN RESTAURANDO VIDAS</v>
          </cell>
          <cell r="B282"/>
          <cell r="C282"/>
          <cell r="D282">
            <v>7.5</v>
          </cell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</row>
        <row r="283">
          <cell r="A283" t="str">
            <v>178 IG - TEMPLO ZURIEL EL REFUGIO</v>
          </cell>
          <cell r="B283"/>
          <cell r="C283"/>
          <cell r="D283"/>
          <cell r="E283"/>
          <cell r="F283"/>
          <cell r="G283">
            <v>58.5</v>
          </cell>
          <cell r="H283"/>
          <cell r="I283"/>
          <cell r="J283"/>
          <cell r="K283"/>
          <cell r="L283"/>
          <cell r="M283"/>
          <cell r="N283"/>
          <cell r="O283"/>
        </row>
        <row r="284">
          <cell r="A284" t="str">
            <v>207 IG - IGLESIA CENTRO DE VIDA CRISTIANA</v>
          </cell>
          <cell r="B284"/>
          <cell r="C284"/>
          <cell r="D284">
            <v>7</v>
          </cell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</row>
        <row r="285">
          <cell r="A285" t="str">
            <v>493-FU Comedor Jesús es mi Pastor</v>
          </cell>
          <cell r="B285"/>
          <cell r="C285"/>
          <cell r="D285">
            <v>5</v>
          </cell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</row>
        <row r="286">
          <cell r="A286" t="str">
            <v>636- FU JAH - LIVE (JAHL) - COLON</v>
          </cell>
          <cell r="B286"/>
          <cell r="C286"/>
          <cell r="D286"/>
          <cell r="E286"/>
          <cell r="F286"/>
          <cell r="G286"/>
          <cell r="H286">
            <v>160</v>
          </cell>
          <cell r="I286"/>
          <cell r="J286"/>
          <cell r="K286"/>
          <cell r="L286"/>
          <cell r="M286"/>
          <cell r="N286"/>
          <cell r="O286"/>
        </row>
        <row r="287">
          <cell r="A287" t="str">
            <v>224 OR MISIONERAS DE LA CARIDAD DE COLON</v>
          </cell>
          <cell r="B287"/>
          <cell r="C287"/>
          <cell r="D287"/>
          <cell r="E287"/>
          <cell r="F287"/>
          <cell r="G287"/>
          <cell r="H287">
            <v>15</v>
          </cell>
          <cell r="I287"/>
          <cell r="J287"/>
          <cell r="K287"/>
          <cell r="L287"/>
          <cell r="M287"/>
          <cell r="N287"/>
          <cell r="O287"/>
        </row>
        <row r="288">
          <cell r="A288" t="str">
            <v>365-IG COMEDOR HEFZIBA</v>
          </cell>
          <cell r="B288"/>
          <cell r="C288"/>
          <cell r="D288"/>
          <cell r="E288"/>
          <cell r="F288"/>
          <cell r="G288"/>
          <cell r="H288"/>
          <cell r="I288">
            <v>55</v>
          </cell>
          <cell r="J288"/>
          <cell r="K288"/>
          <cell r="L288"/>
          <cell r="M288"/>
          <cell r="N288"/>
          <cell r="O288"/>
        </row>
        <row r="289">
          <cell r="A289" t="str">
            <v>635 TEMPLO ADULAM</v>
          </cell>
          <cell r="B289"/>
          <cell r="C289"/>
          <cell r="D289"/>
          <cell r="E289">
            <v>72.5</v>
          </cell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</row>
        <row r="290">
          <cell r="A290" t="str">
            <v>687 - FU FUNDACION ARCA DE JESUS</v>
          </cell>
          <cell r="B290"/>
          <cell r="C290"/>
          <cell r="D290"/>
          <cell r="E290">
            <v>40</v>
          </cell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</row>
        <row r="291">
          <cell r="A291" t="str">
            <v>218 ED - LOS PREFERIDOS DEL SEÑOR (CENTRO2)</v>
          </cell>
          <cell r="B291"/>
          <cell r="C291">
            <v>147.5</v>
          </cell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</row>
        <row r="292">
          <cell r="A292" t="str">
            <v>187 IG - IGLESIA DE DIOS DE LA PROFECÍA</v>
          </cell>
          <cell r="B292"/>
          <cell r="C292"/>
          <cell r="D292">
            <v>147.5</v>
          </cell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</row>
        <row r="293">
          <cell r="A293" t="str">
            <v>321-IG IGLESIA DIOS ES MI PROVEEDOR Y SUSTENTO</v>
          </cell>
          <cell r="B293"/>
          <cell r="C293"/>
          <cell r="D293">
            <v>40</v>
          </cell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</row>
        <row r="294">
          <cell r="A294" t="str">
            <v>111 FU - FUNDACIÓN NUESTRA SEÑORA DEL CAMINO</v>
          </cell>
          <cell r="B294"/>
          <cell r="C294"/>
          <cell r="D294"/>
          <cell r="E294"/>
          <cell r="F294"/>
          <cell r="G294"/>
          <cell r="H294"/>
          <cell r="I294"/>
          <cell r="J294">
            <v>61</v>
          </cell>
          <cell r="K294"/>
          <cell r="L294"/>
          <cell r="M294"/>
          <cell r="N294"/>
          <cell r="O294"/>
        </row>
        <row r="295">
          <cell r="A295" t="str">
            <v>694 - FU MINISTERIO BERAKHAH INTERNACIONAL TOCUMEN #2</v>
          </cell>
          <cell r="B295"/>
          <cell r="C295"/>
          <cell r="D295">
            <v>10</v>
          </cell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</row>
        <row r="296">
          <cell r="A296" t="str">
            <v>695 - FU MINISTERIO BERAKHAH INTERNACIONAL 24 DIC</v>
          </cell>
          <cell r="B296"/>
          <cell r="C296"/>
          <cell r="D296">
            <v>49.5</v>
          </cell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</row>
        <row r="297">
          <cell r="A297" t="str">
            <v>366-FU CENTRO MISIONERO EL SHADAI (ESTE)</v>
          </cell>
          <cell r="B297"/>
          <cell r="C297"/>
          <cell r="D297">
            <v>82.5</v>
          </cell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</row>
        <row r="298">
          <cell r="A298" t="str">
            <v>498-FU COMEDOR NIÑOS DE BENDICION</v>
          </cell>
          <cell r="B298"/>
          <cell r="C298"/>
          <cell r="D298"/>
          <cell r="E298">
            <v>42.5</v>
          </cell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</row>
        <row r="299">
          <cell r="A299" t="str">
            <v>288 IG MINISTERIO EVANGELISTICO DE SANACION Y RESTAURACION, SENALES, MILAGROS Y MARAVILLAS (ESTE)</v>
          </cell>
          <cell r="B299"/>
          <cell r="C299"/>
          <cell r="D299">
            <v>37.5</v>
          </cell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</row>
        <row r="300">
          <cell r="A300" t="str">
            <v>197 FU FUNDACION SOCIAL CULTURAL Y AMBIENTAL DE VERACRUZ (OESTE)</v>
          </cell>
          <cell r="B300"/>
          <cell r="C300"/>
          <cell r="D300"/>
          <cell r="E300">
            <v>25</v>
          </cell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</row>
        <row r="301">
          <cell r="A301" t="str">
            <v>183 ED - BELÉN CASA DE PAN (ESTE)</v>
          </cell>
          <cell r="B301"/>
          <cell r="C301"/>
          <cell r="D301">
            <v>2.5</v>
          </cell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</row>
        <row r="302">
          <cell r="A302" t="str">
            <v>431-IG IGLESIA ADVENTISTA DISTRITO 8</v>
          </cell>
          <cell r="B302"/>
          <cell r="C302"/>
          <cell r="D302">
            <v>20</v>
          </cell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</row>
        <row r="303">
          <cell r="A303" t="str">
            <v>51 PA - PARROQUIA SAN PIO DE PIETRELCINA (ESTE)</v>
          </cell>
          <cell r="B303"/>
          <cell r="C303"/>
          <cell r="D303">
            <v>5</v>
          </cell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</row>
        <row r="304">
          <cell r="A304" t="str">
            <v>368-FU MINISTERIO PACTO DE SANTIDAD</v>
          </cell>
          <cell r="B304"/>
          <cell r="C304">
            <v>20</v>
          </cell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</row>
        <row r="305">
          <cell r="A305" t="str">
            <v>654 - IG M.I.A.F NUEVA JERUSALEN PANAMA (ESTE)</v>
          </cell>
          <cell r="B305"/>
          <cell r="C305"/>
          <cell r="D305">
            <v>8</v>
          </cell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</row>
        <row r="306">
          <cell r="A306" t="str">
            <v>487-FU FUNDACION CASA AVE MARIA</v>
          </cell>
          <cell r="B306"/>
          <cell r="C306"/>
          <cell r="D306"/>
          <cell r="E306">
            <v>50</v>
          </cell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</row>
        <row r="307">
          <cell r="A307" t="str">
            <v>284 - IG MINISTERIO PAN DE VIDA</v>
          </cell>
          <cell r="B307"/>
          <cell r="C307"/>
          <cell r="D307"/>
          <cell r="E307"/>
          <cell r="F307"/>
          <cell r="G307"/>
          <cell r="H307"/>
          <cell r="I307"/>
          <cell r="J307">
            <v>20</v>
          </cell>
          <cell r="K307"/>
          <cell r="L307"/>
          <cell r="M307"/>
          <cell r="N307"/>
          <cell r="O307"/>
        </row>
        <row r="308">
          <cell r="A308" t="str">
            <v>259 IG - ALCANCE VICTORIA PANAMÁ</v>
          </cell>
          <cell r="B308"/>
          <cell r="C308">
            <v>20</v>
          </cell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</row>
        <row r="309">
          <cell r="A309" t="str">
            <v>668 - FU FUNDACION CRISTIANA LA FE EN MARCHA</v>
          </cell>
          <cell r="B309"/>
          <cell r="C309"/>
          <cell r="D309"/>
          <cell r="E309"/>
          <cell r="F309"/>
          <cell r="G309"/>
          <cell r="H309"/>
          <cell r="I309"/>
          <cell r="J309">
            <v>22.5</v>
          </cell>
          <cell r="K309"/>
          <cell r="L309"/>
          <cell r="M309"/>
          <cell r="N309"/>
          <cell r="O309"/>
        </row>
        <row r="310">
          <cell r="A310" t="str">
            <v>379-FU Fundacion Ministerio Apostolico Manantial de Vida</v>
          </cell>
          <cell r="B310"/>
          <cell r="C310"/>
          <cell r="D310"/>
          <cell r="E310"/>
          <cell r="F310"/>
          <cell r="G310"/>
          <cell r="H310">
            <v>25</v>
          </cell>
          <cell r="I310"/>
          <cell r="J310"/>
          <cell r="K310"/>
          <cell r="L310"/>
          <cell r="M310"/>
          <cell r="N310"/>
          <cell r="O310"/>
        </row>
        <row r="311">
          <cell r="A311" t="str">
            <v>644 - IG TEMPLO SENDA DE VIDA (CHIRIQUÍ)</v>
          </cell>
          <cell r="B311"/>
          <cell r="C311"/>
          <cell r="D311"/>
          <cell r="E311"/>
          <cell r="F311"/>
          <cell r="G311"/>
          <cell r="H311"/>
          <cell r="I311"/>
          <cell r="J311">
            <v>11</v>
          </cell>
          <cell r="K311"/>
          <cell r="L311"/>
          <cell r="M311"/>
          <cell r="N311"/>
          <cell r="O311"/>
        </row>
        <row r="312">
          <cell r="A312" t="str">
            <v>387-AS Asociacion ODSSAR-OBC</v>
          </cell>
          <cell r="B312"/>
          <cell r="C312"/>
          <cell r="D312">
            <v>5</v>
          </cell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</row>
        <row r="313">
          <cell r="A313" t="str">
            <v>300 ED - BENEFICIARIOS</v>
          </cell>
          <cell r="B313"/>
          <cell r="C313"/>
          <cell r="D313">
            <v>52</v>
          </cell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</row>
        <row r="314">
          <cell r="A314" t="str">
            <v>630-IG MIN.INTL.DE CRISTO PAZ DE DIOS</v>
          </cell>
          <cell r="B314"/>
          <cell r="C314">
            <v>105</v>
          </cell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</row>
        <row r="315">
          <cell r="A315" t="str">
            <v>260 IG - IGLESIA MISIONERA DE RESTAURACIÓN</v>
          </cell>
          <cell r="B315"/>
          <cell r="C315"/>
          <cell r="D315">
            <v>37.5</v>
          </cell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</row>
        <row r="316">
          <cell r="A316" t="str">
            <v>397-FU FUNDACION SHALOM PANAMA</v>
          </cell>
          <cell r="B316"/>
          <cell r="C316"/>
          <cell r="D316"/>
          <cell r="E316">
            <v>51.5</v>
          </cell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</row>
        <row r="317">
          <cell r="A317" t="str">
            <v>709 - FU FUNRECRISTO</v>
          </cell>
          <cell r="B317"/>
          <cell r="C317"/>
          <cell r="D317">
            <v>11.5</v>
          </cell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</row>
        <row r="318">
          <cell r="A318" t="str">
            <v>450-FU MINISTERIO DE RESTAURACION EFESIOS 4 (ESTE)</v>
          </cell>
          <cell r="B318"/>
          <cell r="C318"/>
          <cell r="D318">
            <v>50</v>
          </cell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</row>
        <row r="319">
          <cell r="A319" t="str">
            <v>235 FU - FUNDACION GRUPO ENVIADOS</v>
          </cell>
          <cell r="B319"/>
          <cell r="C319"/>
          <cell r="D319">
            <v>2.5</v>
          </cell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</row>
        <row r="320">
          <cell r="A320" t="str">
            <v>202 FU - FUNDACIÓN HOGAR SAN JOSÉ (ESTE)</v>
          </cell>
          <cell r="B320"/>
          <cell r="C320"/>
          <cell r="D320">
            <v>12.5</v>
          </cell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</row>
        <row r="321">
          <cell r="A321" t="str">
            <v>116 AS - ASOCIACIÓN IGLESIA DE CRISTO ESTRELLA CRECIENTE</v>
          </cell>
          <cell r="B321"/>
          <cell r="C321"/>
          <cell r="D321">
            <v>10</v>
          </cell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</row>
        <row r="322">
          <cell r="A322" t="str">
            <v>597- IG MINISTERIO APOSTOLICO NEMUEL INTERNACIONAL</v>
          </cell>
          <cell r="B322"/>
          <cell r="C322"/>
          <cell r="D322">
            <v>17.5</v>
          </cell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</row>
        <row r="323">
          <cell r="A323" t="str">
            <v>417-AS CLUB DE LEONES DE PEDREGAL (ESTE)</v>
          </cell>
          <cell r="B323"/>
          <cell r="C323"/>
          <cell r="D323">
            <v>20</v>
          </cell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</row>
        <row r="324">
          <cell r="A324" t="str">
            <v>252 IG - MINISTERIO INTERNACIONAL DE AMISTADES CRISTIANAS</v>
          </cell>
          <cell r="B324"/>
          <cell r="C324"/>
          <cell r="D324">
            <v>5</v>
          </cell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</row>
        <row r="325">
          <cell r="A325" t="str">
            <v>144 OR - HERMANAS DE SAN JOSÉ DE LA APARICIÓN (RETIRA EN EL BANCO)</v>
          </cell>
          <cell r="B325"/>
          <cell r="C325"/>
          <cell r="D325">
            <v>25</v>
          </cell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</row>
        <row r="326">
          <cell r="A326" t="str">
            <v>274 IG - AMIGOS DE JESÚS (CENTRO1)</v>
          </cell>
          <cell r="B326"/>
          <cell r="C326"/>
          <cell r="D326">
            <v>7.5</v>
          </cell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</row>
        <row r="327">
          <cell r="A327" t="str">
            <v>491-FU Fundación Aleluya</v>
          </cell>
          <cell r="B327"/>
          <cell r="C327"/>
          <cell r="D327"/>
          <cell r="E327"/>
          <cell r="F327"/>
          <cell r="G327">
            <v>2.5</v>
          </cell>
          <cell r="H327"/>
          <cell r="I327"/>
          <cell r="J327"/>
          <cell r="K327"/>
          <cell r="L327"/>
          <cell r="M327"/>
          <cell r="N327"/>
          <cell r="O327"/>
        </row>
        <row r="328">
          <cell r="A328" t="str">
            <v>94 OR - HOGAR SAN FRANCISCO DE ASÍS</v>
          </cell>
          <cell r="B328"/>
          <cell r="C328"/>
          <cell r="D328"/>
          <cell r="E328"/>
          <cell r="F328"/>
          <cell r="G328"/>
          <cell r="H328"/>
          <cell r="I328"/>
          <cell r="J328">
            <v>36</v>
          </cell>
          <cell r="K328"/>
          <cell r="L328"/>
          <cell r="M328"/>
          <cell r="N328"/>
          <cell r="O328"/>
        </row>
        <row r="329">
          <cell r="A329" t="str">
            <v>671 - PA DIOCESIS DE PENONOME (COCLE)</v>
          </cell>
          <cell r="B329"/>
          <cell r="C329"/>
          <cell r="D329"/>
          <cell r="E329"/>
          <cell r="F329"/>
          <cell r="G329"/>
          <cell r="H329"/>
          <cell r="I329"/>
          <cell r="J329"/>
          <cell r="K329">
            <v>6</v>
          </cell>
          <cell r="L329"/>
          <cell r="M329"/>
          <cell r="N329"/>
          <cell r="O329"/>
        </row>
        <row r="330">
          <cell r="A330" t="str">
            <v>377-FU CENTRO CRISTIANO CASA DE DIOS PANAMA</v>
          </cell>
          <cell r="B330"/>
          <cell r="C330"/>
          <cell r="D330"/>
          <cell r="E330"/>
          <cell r="F330"/>
          <cell r="G330">
            <v>2.5</v>
          </cell>
          <cell r="H330"/>
          <cell r="I330"/>
          <cell r="J330"/>
          <cell r="K330"/>
          <cell r="L330"/>
          <cell r="M330"/>
          <cell r="N330"/>
          <cell r="O330"/>
        </row>
        <row r="331">
          <cell r="A331" t="str">
            <v>415-AS CLUB DE LEONES DE CHITRE</v>
          </cell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>
            <v>9</v>
          </cell>
          <cell r="M331"/>
          <cell r="N331"/>
          <cell r="O331"/>
        </row>
        <row r="332">
          <cell r="A332" t="str">
            <v>656 - FU FUNDACION COCINA DEL REINO Y AMIGOS (CENTRO 1)</v>
          </cell>
          <cell r="B332"/>
          <cell r="C332">
            <v>25</v>
          </cell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</row>
        <row r="333">
          <cell r="A333" t="str">
            <v>364-IG COMEDOR SHEKINA</v>
          </cell>
          <cell r="B333"/>
          <cell r="C333"/>
          <cell r="D333"/>
          <cell r="E333"/>
          <cell r="F333"/>
          <cell r="G333"/>
          <cell r="H333"/>
          <cell r="I333"/>
          <cell r="J333"/>
          <cell r="K333">
            <v>51</v>
          </cell>
          <cell r="L333"/>
          <cell r="M333"/>
          <cell r="N333"/>
          <cell r="O333"/>
        </row>
        <row r="334">
          <cell r="A334" t="str">
            <v>193 OR - FUNDACIÓN UNCIÓN FRESCA</v>
          </cell>
          <cell r="B334"/>
          <cell r="C334"/>
          <cell r="D334"/>
          <cell r="E334">
            <v>10</v>
          </cell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</row>
        <row r="335">
          <cell r="A335" t="str">
            <v>672 - FU FUNDACION NUEVO PACTO POR LA NIÑEZ</v>
          </cell>
          <cell r="B335"/>
          <cell r="C335">
            <v>10</v>
          </cell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</row>
        <row r="336">
          <cell r="A336" t="str">
            <v>360-IG IGLESIA CRISTIANA CASA DE REUNION</v>
          </cell>
          <cell r="B336"/>
          <cell r="C336"/>
          <cell r="D336"/>
          <cell r="E336"/>
          <cell r="F336"/>
          <cell r="G336">
            <v>35.5</v>
          </cell>
          <cell r="H336"/>
          <cell r="I336"/>
          <cell r="J336"/>
          <cell r="K336"/>
          <cell r="L336"/>
          <cell r="M336"/>
          <cell r="N336"/>
          <cell r="O336"/>
        </row>
        <row r="337">
          <cell r="A337" t="str">
            <v>719 FU FUNDACION VIDA NUEVA EL SHADDAI</v>
          </cell>
          <cell r="B337"/>
          <cell r="C337"/>
          <cell r="D337"/>
          <cell r="E337"/>
          <cell r="F337"/>
          <cell r="G337">
            <v>22.5</v>
          </cell>
          <cell r="H337"/>
          <cell r="I337"/>
          <cell r="J337"/>
          <cell r="K337"/>
          <cell r="L337"/>
          <cell r="M337"/>
          <cell r="N337"/>
          <cell r="O337"/>
        </row>
        <row r="338">
          <cell r="A338" t="str">
            <v>54 FU - FUNDACIÓN CASA HOGAR EL BUEN SAMARITANO</v>
          </cell>
          <cell r="B338"/>
          <cell r="C338"/>
          <cell r="D338">
            <v>50</v>
          </cell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</row>
        <row r="339">
          <cell r="A339" t="str">
            <v>710 - AS CLUB DE LEONES DE SONA</v>
          </cell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>
            <v>51</v>
          </cell>
          <cell r="N339"/>
          <cell r="O339"/>
        </row>
        <row r="340">
          <cell r="A340" t="str">
            <v>684 - FU FUNDACION CASA DEL REY JESUS (CENTRO 2)</v>
          </cell>
          <cell r="B340"/>
          <cell r="C340">
            <v>84</v>
          </cell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</row>
        <row r="341">
          <cell r="A341" t="str">
            <v>723 ASOCIACION AQUI ESTOY</v>
          </cell>
          <cell r="B341"/>
          <cell r="C341"/>
          <cell r="D341"/>
          <cell r="E341">
            <v>1.5</v>
          </cell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</row>
        <row r="342">
          <cell r="A342" t="str">
            <v>166 FU - FUNDACION CURAME</v>
          </cell>
          <cell r="B342"/>
          <cell r="C342">
            <v>10</v>
          </cell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</row>
        <row r="343">
          <cell r="A343" t="str">
            <v>390-FU FUNDACION CRISTIANA FAMILIAR EL TALLER DEL MAESTRO (CENTRO1)</v>
          </cell>
          <cell r="B343"/>
          <cell r="C343">
            <v>7.5</v>
          </cell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</row>
        <row r="344">
          <cell r="A344" t="str">
            <v>730-FU SOLIDARIDAD Y DESARROLLO DE PANAMA (VERAGUAS)</v>
          </cell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>
            <v>11</v>
          </cell>
          <cell r="N344"/>
          <cell r="O344"/>
        </row>
        <row r="345">
          <cell r="A345" t="str">
            <v>737- ASOCIACION CRISTIANA EBEN-EZER (ESTE)</v>
          </cell>
          <cell r="B345"/>
          <cell r="C345"/>
          <cell r="D345">
            <v>35</v>
          </cell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</row>
        <row r="346">
          <cell r="A346" t="str">
            <v>738- IG MINISTERIO DIOS CON NOSOTROS EMANUEL</v>
          </cell>
          <cell r="B346"/>
          <cell r="C346"/>
          <cell r="D346">
            <v>2.5</v>
          </cell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</row>
        <row r="347">
          <cell r="A347" t="str">
            <v>741-IG BUNKER DE ESPERANZA</v>
          </cell>
          <cell r="B347"/>
          <cell r="C347"/>
          <cell r="D347">
            <v>20</v>
          </cell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</row>
        <row r="348">
          <cell r="A348" t="str">
            <v>749-IG Ministerio Tabernáculo de Santidad Internación (Guararé)</v>
          </cell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>
            <v>6</v>
          </cell>
          <cell r="N348"/>
          <cell r="O348"/>
        </row>
        <row r="349">
          <cell r="A349" t="str">
            <v>750-IG MTSI Santiago</v>
          </cell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>
            <v>9</v>
          </cell>
          <cell r="N349"/>
          <cell r="O349"/>
        </row>
        <row r="350">
          <cell r="A350" t="str">
            <v>613-FU FUNDACION INMARE</v>
          </cell>
          <cell r="B350"/>
          <cell r="C350"/>
          <cell r="D350"/>
          <cell r="E350"/>
          <cell r="F350"/>
          <cell r="G350"/>
          <cell r="H350"/>
          <cell r="I350"/>
          <cell r="J350"/>
          <cell r="K350">
            <v>158</v>
          </cell>
          <cell r="L350"/>
          <cell r="M350"/>
          <cell r="N350"/>
          <cell r="O350"/>
        </row>
        <row r="351">
          <cell r="A351" t="str">
            <v>759-FU SOLO ES CUESTION DE FE</v>
          </cell>
          <cell r="B351"/>
          <cell r="C351"/>
          <cell r="D351">
            <v>2.5</v>
          </cell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</row>
        <row r="352">
          <cell r="A352" t="str">
            <v>275 IG CONCILIO GENERAL DE LAS ASAMBLEAS DE DIOS DE PANAMÁ</v>
          </cell>
          <cell r="B352"/>
          <cell r="C352">
            <v>15</v>
          </cell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</row>
        <row r="353">
          <cell r="A353" t="str">
            <v>752-IG Ministerio Tabernáculo De Santidad Internacional (Chitre)</v>
          </cell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>
            <v>11.5</v>
          </cell>
          <cell r="M353"/>
          <cell r="N353"/>
          <cell r="O353"/>
        </row>
        <row r="354">
          <cell r="A354" t="str">
            <v>201 OR - MISIONERAS MADRE LAURA</v>
          </cell>
          <cell r="B354"/>
          <cell r="C354">
            <v>10</v>
          </cell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</row>
        <row r="355">
          <cell r="A355" t="str">
            <v>765-IG EXPANSION MISIONERA RIOS DE AGUA VIVA</v>
          </cell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>
            <v>24</v>
          </cell>
          <cell r="M355"/>
          <cell r="N355"/>
          <cell r="O355"/>
        </row>
        <row r="356">
          <cell r="A356" t="str">
            <v>766-IG MINISTERIO BET-EL</v>
          </cell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>
            <v>40.5</v>
          </cell>
        </row>
        <row r="357">
          <cell r="A357" t="str">
            <v>785-FU FUNDACION GOTAS DE ESPERANZA</v>
          </cell>
          <cell r="B357"/>
          <cell r="C357"/>
          <cell r="D357"/>
          <cell r="E357">
            <v>2.5</v>
          </cell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</row>
        <row r="358">
          <cell r="A358" t="str">
            <v>793-FU Fundación Príncipes de Jehová</v>
          </cell>
          <cell r="B358"/>
          <cell r="C358"/>
          <cell r="D358"/>
          <cell r="E358"/>
          <cell r="F358"/>
          <cell r="G358"/>
          <cell r="H358"/>
          <cell r="I358">
            <v>2.5</v>
          </cell>
          <cell r="J358"/>
          <cell r="K358"/>
          <cell r="L358"/>
          <cell r="M358"/>
          <cell r="N358"/>
          <cell r="O358"/>
        </row>
        <row r="359">
          <cell r="A359" t="str">
            <v>791-FU FUNDACION DIVINO NINO JESUS DE MI CORAZON</v>
          </cell>
          <cell r="B359"/>
          <cell r="C359"/>
          <cell r="D359">
            <v>2.5</v>
          </cell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</row>
        <row r="360">
          <cell r="A360" t="str">
            <v>69 FU - FUNDACIÓN VIDA ABUNDANTE</v>
          </cell>
          <cell r="B360"/>
          <cell r="C360">
            <v>12.5</v>
          </cell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</row>
        <row r="361">
          <cell r="A361" t="str">
            <v>138 OR - HERMANAS FRANCISCANAS DE MARIA INMACULADALA</v>
          </cell>
          <cell r="B361"/>
          <cell r="C361"/>
          <cell r="D361"/>
          <cell r="E361"/>
          <cell r="F361"/>
          <cell r="G361"/>
          <cell r="H361">
            <v>3</v>
          </cell>
          <cell r="I361"/>
          <cell r="J361"/>
          <cell r="K361"/>
          <cell r="L361"/>
          <cell r="M361"/>
          <cell r="N361"/>
          <cell r="O361"/>
        </row>
        <row r="362">
          <cell r="A362" t="str">
            <v>3 IG - IGLESIA DEL NAZARENO</v>
          </cell>
          <cell r="B362"/>
          <cell r="C362"/>
          <cell r="D362"/>
          <cell r="E362">
            <v>65</v>
          </cell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</row>
        <row r="363">
          <cell r="A363" t="str">
            <v>232 IG MINISTERIO TIEMPO DE COSECHA</v>
          </cell>
          <cell r="B363"/>
          <cell r="C363"/>
          <cell r="D363"/>
          <cell r="E363"/>
          <cell r="F363"/>
          <cell r="G363"/>
          <cell r="H363"/>
          <cell r="I363">
            <v>12.5</v>
          </cell>
          <cell r="J363"/>
          <cell r="K363"/>
          <cell r="L363"/>
          <cell r="M363"/>
          <cell r="N363"/>
          <cell r="O363"/>
        </row>
        <row r="364">
          <cell r="A364" t="str">
            <v>661 - FU FUNDACION MAS INTEGRADOS (DARIEN)</v>
          </cell>
          <cell r="B364"/>
          <cell r="C364"/>
          <cell r="D364"/>
          <cell r="E364"/>
          <cell r="F364">
            <v>15</v>
          </cell>
          <cell r="G364"/>
          <cell r="H364"/>
          <cell r="I364"/>
          <cell r="J364"/>
          <cell r="K364"/>
          <cell r="L364"/>
          <cell r="M364"/>
          <cell r="N364"/>
          <cell r="O364"/>
        </row>
        <row r="365">
          <cell r="A365" t="str">
            <v>753-AS CLUB ACTIVO 20-30 DE CHITRE</v>
          </cell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>
            <v>5</v>
          </cell>
          <cell r="M365"/>
          <cell r="N365"/>
          <cell r="O365"/>
        </row>
        <row r="366">
          <cell r="A366" t="str">
            <v>8 PA - PARROQUIA SAN JUAN DE MACARACAS</v>
          </cell>
          <cell r="B366">
            <v>13</v>
          </cell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</row>
        <row r="367">
          <cell r="A367" t="str">
            <v>240 PA - PARROQUIA SAN JOSÉ - PESE</v>
          </cell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>
            <v>30</v>
          </cell>
          <cell r="M367"/>
          <cell r="N367"/>
          <cell r="O367"/>
        </row>
        <row r="368">
          <cell r="A368" t="str">
            <v>253 FU - FUNDACIÓN PARA EL BIENESTAR SOCIAL (CENTRO2)</v>
          </cell>
          <cell r="B368"/>
          <cell r="C368">
            <v>47.5</v>
          </cell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</row>
        <row r="369">
          <cell r="A369" t="str">
            <v>650 - IG ASOCIACION CRISTIANA EBEN - EZER #27 (ESTE)</v>
          </cell>
          <cell r="B369"/>
          <cell r="C369"/>
          <cell r="D369">
            <v>12.5</v>
          </cell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</row>
        <row r="370">
          <cell r="A370" t="str">
            <v>375-FU Ministerio a Dios sea la Gloria</v>
          </cell>
          <cell r="B370"/>
          <cell r="C370">
            <v>12.5</v>
          </cell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</row>
        <row r="371">
          <cell r="A371" t="str">
            <v>802-IG IGLESIA INTERNACIONAL DEL EVANGELIO CUADRANGULAR DE PANAMÁ</v>
          </cell>
          <cell r="B371"/>
          <cell r="C371">
            <v>10</v>
          </cell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</row>
        <row r="372">
          <cell r="A372" t="str">
            <v>734-FU MINISTERIO DE SALVACION EL CAMINO DE DIOS</v>
          </cell>
          <cell r="B372"/>
          <cell r="C372"/>
          <cell r="D372"/>
          <cell r="E372"/>
          <cell r="F372"/>
          <cell r="G372"/>
          <cell r="H372"/>
          <cell r="I372">
            <v>7.5</v>
          </cell>
          <cell r="J372"/>
          <cell r="K372"/>
          <cell r="L372"/>
          <cell r="M372"/>
          <cell r="N372"/>
          <cell r="O372"/>
        </row>
        <row r="373">
          <cell r="A373" t="str">
            <v>392-FU Fundacion Jerusalen Trono de Jehova III</v>
          </cell>
          <cell r="B373"/>
          <cell r="C373"/>
          <cell r="D373"/>
          <cell r="E373">
            <v>12.5</v>
          </cell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</row>
        <row r="374">
          <cell r="A374" t="str">
            <v>641 - IG IGLESIA EVANGELICA QUIRIAT SALEM (ESTE)</v>
          </cell>
          <cell r="B374"/>
          <cell r="C374"/>
          <cell r="D374">
            <v>25</v>
          </cell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</row>
        <row r="375">
          <cell r="A375" t="str">
            <v>756-FU Fundación Nuevas Rutas</v>
          </cell>
          <cell r="B375"/>
          <cell r="C375"/>
          <cell r="D375"/>
          <cell r="E375"/>
          <cell r="F375"/>
          <cell r="G375"/>
          <cell r="H375"/>
          <cell r="I375"/>
          <cell r="J375">
            <v>122</v>
          </cell>
          <cell r="K375"/>
          <cell r="L375"/>
          <cell r="M375"/>
          <cell r="N375"/>
          <cell r="O375"/>
        </row>
        <row r="376">
          <cell r="A376" t="str">
            <v>708 - FU MINISTERIO BERAKHAH INTERNACIONAL GUARARE</v>
          </cell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>
            <v>8.5</v>
          </cell>
        </row>
        <row r="377">
          <cell r="A377" t="str">
            <v>828-IG IDN LAS TINAJAS</v>
          </cell>
          <cell r="B377"/>
          <cell r="C377"/>
          <cell r="D377"/>
          <cell r="E377"/>
          <cell r="F377"/>
          <cell r="G377"/>
          <cell r="H377"/>
          <cell r="I377"/>
          <cell r="J377">
            <v>5</v>
          </cell>
          <cell r="K377"/>
          <cell r="L377"/>
          <cell r="M377"/>
          <cell r="N377"/>
          <cell r="O377"/>
        </row>
        <row r="378">
          <cell r="A378" t="str">
            <v>813-IG Comedor Centro De Esperanza Elohim</v>
          </cell>
          <cell r="B378"/>
          <cell r="C378"/>
          <cell r="D378"/>
          <cell r="E378"/>
          <cell r="F378"/>
          <cell r="G378"/>
          <cell r="H378"/>
          <cell r="I378"/>
          <cell r="J378"/>
          <cell r="K378">
            <v>16</v>
          </cell>
          <cell r="L378"/>
          <cell r="M378"/>
          <cell r="N378"/>
          <cell r="O378"/>
        </row>
        <row r="379">
          <cell r="A379" t="str">
            <v>770-IG CENTRO CRISTIANO NUEVA VIDA</v>
          </cell>
          <cell r="B379"/>
          <cell r="C379"/>
          <cell r="D379"/>
          <cell r="E379"/>
          <cell r="F379"/>
          <cell r="G379"/>
          <cell r="H379"/>
          <cell r="I379"/>
          <cell r="J379"/>
          <cell r="K379">
            <v>15</v>
          </cell>
          <cell r="L379"/>
          <cell r="M379"/>
          <cell r="N379"/>
          <cell r="O379"/>
        </row>
        <row r="380">
          <cell r="A380" t="str">
            <v>821-IG Ministerio de Adoracion Y Restauracion Guardadores del Pacto</v>
          </cell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>
            <v>9</v>
          </cell>
          <cell r="M380"/>
          <cell r="N380"/>
          <cell r="O380"/>
        </row>
        <row r="381">
          <cell r="A381" t="str">
            <v>731-FU CENTRO DE NIÑOS DOWN</v>
          </cell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>
            <v>9</v>
          </cell>
          <cell r="M381"/>
          <cell r="N381"/>
          <cell r="O381"/>
        </row>
        <row r="382">
          <cell r="A382" t="str">
            <v>PRODUCTOS LA DOÑA, S.A</v>
          </cell>
          <cell r="B382">
            <v>4</v>
          </cell>
          <cell r="C382">
            <v>457.5</v>
          </cell>
          <cell r="D382">
            <v>665</v>
          </cell>
          <cell r="E382">
            <v>245.5</v>
          </cell>
          <cell r="F382">
            <v>42</v>
          </cell>
          <cell r="G382">
            <v>117</v>
          </cell>
          <cell r="H382">
            <v>147</v>
          </cell>
          <cell r="I382">
            <v>72</v>
          </cell>
          <cell r="J382">
            <v>207.5</v>
          </cell>
          <cell r="K382">
            <v>168</v>
          </cell>
          <cell r="L382">
            <v>78</v>
          </cell>
          <cell r="M382">
            <v>23</v>
          </cell>
          <cell r="N382"/>
          <cell r="O382">
            <v>31.5</v>
          </cell>
        </row>
        <row r="383">
          <cell r="A383">
            <v>0</v>
          </cell>
          <cell r="B383">
            <v>4</v>
          </cell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</row>
        <row r="384">
          <cell r="A384" t="str">
            <v>662-IG MINISTERIO EVANGELICO EL APOSENTO ALTO (CENTRO 1)</v>
          </cell>
          <cell r="B384"/>
          <cell r="C384">
            <v>4</v>
          </cell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</row>
        <row r="385">
          <cell r="A385" t="str">
            <v>702 - FU MINISTERIO BERAKHAH INTERNACIONAL ARRAIJAN</v>
          </cell>
          <cell r="B385"/>
          <cell r="C385"/>
          <cell r="D385"/>
          <cell r="E385">
            <v>10.5</v>
          </cell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</row>
        <row r="386">
          <cell r="A386" t="str">
            <v>298-FU - MINISTERIO FUENTE DE VIDA PARA EL PERDIDO</v>
          </cell>
          <cell r="B386"/>
          <cell r="C386"/>
          <cell r="D386"/>
          <cell r="E386"/>
          <cell r="F386">
            <v>21</v>
          </cell>
          <cell r="G386"/>
          <cell r="H386"/>
          <cell r="I386"/>
          <cell r="J386"/>
          <cell r="K386"/>
          <cell r="L386"/>
          <cell r="M386"/>
          <cell r="N386"/>
          <cell r="O386"/>
        </row>
        <row r="387">
          <cell r="A387" t="str">
            <v>479-IG IGLESIA NUEVA ESPERANZA</v>
          </cell>
          <cell r="B387"/>
          <cell r="C387"/>
          <cell r="D387">
            <v>7</v>
          </cell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</row>
        <row r="388">
          <cell r="A388" t="str">
            <v>104 AS - ASOCIACIÓN HOGAR FELICIDAD</v>
          </cell>
          <cell r="B388"/>
          <cell r="C388"/>
          <cell r="D388"/>
          <cell r="E388">
            <v>93</v>
          </cell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</row>
        <row r="389">
          <cell r="A389" t="str">
            <v>175 AS - ASOCIACIÓN RESTAURANDO VIDAS</v>
          </cell>
          <cell r="B389"/>
          <cell r="C389"/>
          <cell r="D389">
            <v>16</v>
          </cell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</row>
        <row r="390">
          <cell r="A390" t="str">
            <v>178 IG - TEMPLO ZURIEL EL REFUGIO</v>
          </cell>
          <cell r="B390"/>
          <cell r="C390"/>
          <cell r="D390"/>
          <cell r="E390"/>
          <cell r="F390"/>
          <cell r="G390">
            <v>20</v>
          </cell>
          <cell r="H390"/>
          <cell r="I390"/>
          <cell r="J390"/>
          <cell r="K390"/>
          <cell r="L390"/>
          <cell r="M390"/>
          <cell r="N390"/>
          <cell r="O390"/>
        </row>
        <row r="391">
          <cell r="A391" t="str">
            <v>207 IG - IGLESIA CENTRO DE VIDA CRISTIANA</v>
          </cell>
          <cell r="B391"/>
          <cell r="C391"/>
          <cell r="D391">
            <v>33.5</v>
          </cell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</row>
        <row r="392">
          <cell r="A392" t="str">
            <v>493-FU Comedor Jesús es mi Pastor</v>
          </cell>
          <cell r="B392"/>
          <cell r="C392"/>
          <cell r="D392">
            <v>6</v>
          </cell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</row>
        <row r="393">
          <cell r="A393" t="str">
            <v>636- FU JAH - LIVE (JAHL) - COLON</v>
          </cell>
          <cell r="B393"/>
          <cell r="C393"/>
          <cell r="D393"/>
          <cell r="E393"/>
          <cell r="F393"/>
          <cell r="G393"/>
          <cell r="H393">
            <v>114</v>
          </cell>
          <cell r="I393"/>
          <cell r="J393"/>
          <cell r="K393"/>
          <cell r="L393"/>
          <cell r="M393"/>
          <cell r="N393"/>
          <cell r="O393"/>
        </row>
        <row r="394">
          <cell r="A394" t="str">
            <v>224 OR MISIONERAS DE LA CARIDAD DE COLON</v>
          </cell>
          <cell r="B394"/>
          <cell r="C394"/>
          <cell r="D394"/>
          <cell r="E394"/>
          <cell r="F394"/>
          <cell r="G394"/>
          <cell r="H394">
            <v>12</v>
          </cell>
          <cell r="I394"/>
          <cell r="J394"/>
          <cell r="K394"/>
          <cell r="L394"/>
          <cell r="M394"/>
          <cell r="N394"/>
          <cell r="O394"/>
        </row>
        <row r="395">
          <cell r="A395" t="str">
            <v>365-IG COMEDOR HEFZIBA</v>
          </cell>
          <cell r="B395"/>
          <cell r="C395"/>
          <cell r="D395"/>
          <cell r="E395"/>
          <cell r="F395"/>
          <cell r="G395"/>
          <cell r="H395"/>
          <cell r="I395">
            <v>16</v>
          </cell>
          <cell r="J395"/>
          <cell r="K395"/>
          <cell r="L395"/>
          <cell r="M395"/>
          <cell r="N395"/>
          <cell r="O395"/>
        </row>
        <row r="396">
          <cell r="A396" t="str">
            <v>407-IG ASOCIACION CRISTIANA INTERNACIONAL EBEN-EZER (OESTE)</v>
          </cell>
          <cell r="B396"/>
          <cell r="C396"/>
          <cell r="D396"/>
          <cell r="E396">
            <v>6</v>
          </cell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</row>
        <row r="397">
          <cell r="A397" t="str">
            <v>635 TEMPLO ADULAM</v>
          </cell>
          <cell r="B397"/>
          <cell r="C397"/>
          <cell r="D397"/>
          <cell r="E397">
            <v>10</v>
          </cell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</row>
        <row r="398">
          <cell r="A398" t="str">
            <v>470-FU IGLESIA MONTE SANTO</v>
          </cell>
          <cell r="B398"/>
          <cell r="C398"/>
          <cell r="D398">
            <v>12</v>
          </cell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</row>
        <row r="399">
          <cell r="A399" t="str">
            <v>687 - FU FUNDACION ARCA DE JESUS</v>
          </cell>
          <cell r="B399"/>
          <cell r="C399"/>
          <cell r="D399"/>
          <cell r="E399">
            <v>6</v>
          </cell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</row>
        <row r="400">
          <cell r="A400" t="str">
            <v>218 ED - LOS PREFERIDOS DEL SEÑOR (CENTRO2)</v>
          </cell>
          <cell r="B400"/>
          <cell r="C400">
            <v>24</v>
          </cell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</row>
        <row r="401">
          <cell r="A401" t="str">
            <v>187 IG - IGLESIA DE DIOS DE LA PROFECÍA</v>
          </cell>
          <cell r="B401"/>
          <cell r="C401"/>
          <cell r="D401">
            <v>72</v>
          </cell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</row>
        <row r="402">
          <cell r="A402" t="str">
            <v>321-IG IGLESIA DIOS ES MI PROVEEDOR Y SUSTENTO</v>
          </cell>
          <cell r="B402"/>
          <cell r="C402"/>
          <cell r="D402">
            <v>25</v>
          </cell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</row>
        <row r="403">
          <cell r="A403" t="str">
            <v>111 FU - FUNDACIÓN NUESTRA SEÑORA DEL CAMINO</v>
          </cell>
          <cell r="B403"/>
          <cell r="C403"/>
          <cell r="D403"/>
          <cell r="E403"/>
          <cell r="F403"/>
          <cell r="G403"/>
          <cell r="H403"/>
          <cell r="I403"/>
          <cell r="J403">
            <v>6</v>
          </cell>
          <cell r="K403"/>
          <cell r="L403"/>
          <cell r="M403"/>
          <cell r="N403"/>
          <cell r="O403"/>
        </row>
        <row r="404">
          <cell r="A404" t="str">
            <v>443-FU MINISTERIO BERAKHAH INTERNACIONAL COMEDOR LAS GARZAS #2</v>
          </cell>
          <cell r="B404"/>
          <cell r="C404"/>
          <cell r="D404">
            <v>22</v>
          </cell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</row>
        <row r="405">
          <cell r="A405" t="str">
            <v>694 - FU MINISTERIO BERAKHAH INTERNACIONAL TOCUMEN #2</v>
          </cell>
          <cell r="B405"/>
          <cell r="C405"/>
          <cell r="D405">
            <v>24.5</v>
          </cell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</row>
        <row r="406">
          <cell r="A406" t="str">
            <v>695 - FU MINISTERIO BERAKHAH INTERNACIONAL 24 DIC</v>
          </cell>
          <cell r="B406"/>
          <cell r="C406"/>
          <cell r="D406">
            <v>17.5</v>
          </cell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</row>
        <row r="407">
          <cell r="A407" t="str">
            <v>444-FU MINISTERIO BERAKHAH INTERNACIONAL COMEDOR LAS GARZAS #1</v>
          </cell>
          <cell r="B407"/>
          <cell r="C407"/>
          <cell r="D407">
            <v>18</v>
          </cell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</row>
        <row r="408">
          <cell r="A408" t="str">
            <v>366-FU CENTRO MISIONERO EL SHADAI (ESTE)</v>
          </cell>
          <cell r="B408"/>
          <cell r="C408"/>
          <cell r="D408">
            <v>30</v>
          </cell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</row>
        <row r="409">
          <cell r="A409" t="str">
            <v>498-FU COMEDOR NIÑOS DE BENDICION</v>
          </cell>
          <cell r="B409"/>
          <cell r="C409"/>
          <cell r="D409"/>
          <cell r="E409">
            <v>14</v>
          </cell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</row>
        <row r="410">
          <cell r="A410" t="str">
            <v>288 IG MINISTERIO EVANGELISTICO DE SANACION Y RESTAURACION, SENALES, MILAGROS Y MARAVILLAS (ESTE)</v>
          </cell>
          <cell r="B410"/>
          <cell r="C410"/>
          <cell r="D410">
            <v>2</v>
          </cell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</row>
        <row r="411">
          <cell r="A411" t="str">
            <v>373-FU MINISTERIO INTERNACIONAL BOANERGES</v>
          </cell>
          <cell r="B411"/>
          <cell r="C411"/>
          <cell r="D411"/>
          <cell r="E411"/>
          <cell r="F411"/>
          <cell r="G411"/>
          <cell r="H411"/>
          <cell r="I411">
            <v>17</v>
          </cell>
          <cell r="J411"/>
          <cell r="K411"/>
          <cell r="L411"/>
          <cell r="M411"/>
          <cell r="N411"/>
          <cell r="O411"/>
        </row>
        <row r="412">
          <cell r="A412" t="str">
            <v>197 FU FUNDACION SOCIAL CULTURAL Y AMBIENTAL DE VERACRUZ (OESTE)</v>
          </cell>
          <cell r="B412"/>
          <cell r="C412"/>
          <cell r="D412"/>
          <cell r="E412">
            <v>6</v>
          </cell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</row>
        <row r="413">
          <cell r="A413" t="str">
            <v>183 ED - BELÉN CASA DE PAN (ESTE)</v>
          </cell>
          <cell r="B413"/>
          <cell r="C413"/>
          <cell r="D413">
            <v>6</v>
          </cell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</row>
        <row r="414">
          <cell r="A414" t="str">
            <v>701 - FU MINISTERIO BERAKHAH INTERNACIONAL LOS ANDES</v>
          </cell>
          <cell r="B414"/>
          <cell r="C414"/>
          <cell r="D414"/>
          <cell r="E414"/>
          <cell r="F414"/>
          <cell r="G414"/>
          <cell r="H414"/>
          <cell r="I414">
            <v>4</v>
          </cell>
          <cell r="J414"/>
          <cell r="K414"/>
          <cell r="L414"/>
          <cell r="M414"/>
          <cell r="N414"/>
          <cell r="O414"/>
        </row>
        <row r="415">
          <cell r="A415" t="str">
            <v>431-IG IGLESIA ADVENTISTA DISTRITO 8</v>
          </cell>
          <cell r="B415"/>
          <cell r="C415"/>
          <cell r="D415">
            <v>4</v>
          </cell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</row>
        <row r="416">
          <cell r="A416" t="str">
            <v>261 - AS ASOCIACIÓN MINISTERIO SIRVIENDO A LA COMUNIDAD PARA JESUCRISTO</v>
          </cell>
          <cell r="B416"/>
          <cell r="C416">
            <v>1.5</v>
          </cell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</row>
        <row r="417">
          <cell r="A417" t="str">
            <v>211 IG - IGLESIA CRISTIANA KADOSH</v>
          </cell>
          <cell r="B417"/>
          <cell r="C417">
            <v>6</v>
          </cell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</row>
        <row r="418">
          <cell r="A418" t="str">
            <v>643 - IG TEMPLO PUERTA DEL CIELO (CHIRIQUI)</v>
          </cell>
          <cell r="B418"/>
          <cell r="C418"/>
          <cell r="D418"/>
          <cell r="E418"/>
          <cell r="F418"/>
          <cell r="G418"/>
          <cell r="H418"/>
          <cell r="I418"/>
          <cell r="J418">
            <v>22</v>
          </cell>
          <cell r="K418"/>
          <cell r="L418"/>
          <cell r="M418"/>
          <cell r="N418"/>
          <cell r="O418"/>
        </row>
        <row r="419">
          <cell r="A419" t="str">
            <v>368-FU MINISTERIO PACTO DE SANTIDAD</v>
          </cell>
          <cell r="B419"/>
          <cell r="C419">
            <v>36</v>
          </cell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</row>
        <row r="420">
          <cell r="A420" t="str">
            <v>654 - IG M.I.A.F NUEVA JERUSALEN PANAMA (ESTE)</v>
          </cell>
          <cell r="B420"/>
          <cell r="C420"/>
          <cell r="D420">
            <v>6</v>
          </cell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</row>
        <row r="421">
          <cell r="A421" t="str">
            <v>363-FU FUNDACION MINISTERIO DEL EVANGELIO ETERNO DEL REINO (NORTE)</v>
          </cell>
          <cell r="B421"/>
          <cell r="C421"/>
          <cell r="D421"/>
          <cell r="E421"/>
          <cell r="F421"/>
          <cell r="G421">
            <v>9</v>
          </cell>
          <cell r="H421"/>
          <cell r="I421"/>
          <cell r="J421"/>
          <cell r="K421"/>
          <cell r="L421"/>
          <cell r="M421"/>
          <cell r="N421"/>
          <cell r="O421"/>
        </row>
        <row r="422">
          <cell r="A422" t="str">
            <v>487-FU FUNDACION CASA AVE MARIA</v>
          </cell>
          <cell r="B422"/>
          <cell r="C422"/>
          <cell r="D422"/>
          <cell r="E422">
            <v>28</v>
          </cell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</row>
        <row r="423">
          <cell r="A423" t="str">
            <v>2 PA - PARROQUIA SAN JUAN MARIA VIANNEY (NORTE)</v>
          </cell>
          <cell r="B423"/>
          <cell r="C423"/>
          <cell r="D423"/>
          <cell r="E423"/>
          <cell r="F423"/>
          <cell r="G423"/>
          <cell r="H423"/>
          <cell r="I423">
            <v>22</v>
          </cell>
          <cell r="J423"/>
          <cell r="K423"/>
          <cell r="L423"/>
          <cell r="M423"/>
          <cell r="N423"/>
          <cell r="O423"/>
        </row>
        <row r="424">
          <cell r="A424" t="str">
            <v>696 - FU MINISTERIO BERAKHAH INTERNACIONAL CHEPO #1</v>
          </cell>
          <cell r="B424"/>
          <cell r="C424"/>
          <cell r="D424">
            <v>12.5</v>
          </cell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</row>
        <row r="425">
          <cell r="A425" t="str">
            <v>222 ED - MISERICORDIAR</v>
          </cell>
          <cell r="B425"/>
          <cell r="C425"/>
          <cell r="D425">
            <v>38</v>
          </cell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</row>
        <row r="426">
          <cell r="A426" t="str">
            <v>259 IG - ALCANCE VICTORIA PANAMÁ</v>
          </cell>
          <cell r="B426"/>
          <cell r="C426">
            <v>24</v>
          </cell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</row>
        <row r="427">
          <cell r="A427" t="str">
            <v>668 - FU FUNDACION CRISTIANA LA FE EN MARCHA</v>
          </cell>
          <cell r="B427"/>
          <cell r="C427"/>
          <cell r="D427"/>
          <cell r="E427"/>
          <cell r="F427"/>
          <cell r="G427"/>
          <cell r="H427"/>
          <cell r="I427"/>
          <cell r="J427">
            <v>106.5</v>
          </cell>
          <cell r="K427"/>
          <cell r="L427"/>
          <cell r="M427"/>
          <cell r="N427"/>
          <cell r="O427"/>
        </row>
        <row r="428">
          <cell r="A428" t="str">
            <v>379-FU Fundacion Ministerio Apostolico Manantial de Vida</v>
          </cell>
          <cell r="B428"/>
          <cell r="C428"/>
          <cell r="D428"/>
          <cell r="E428"/>
          <cell r="F428"/>
          <cell r="G428"/>
          <cell r="H428">
            <v>20</v>
          </cell>
          <cell r="I428"/>
          <cell r="J428"/>
          <cell r="K428"/>
          <cell r="L428"/>
          <cell r="M428"/>
          <cell r="N428"/>
          <cell r="O428"/>
        </row>
        <row r="429">
          <cell r="A429" t="str">
            <v>644 - IG TEMPLO SENDA DE VIDA (CHIRIQUÍ)</v>
          </cell>
          <cell r="B429"/>
          <cell r="C429"/>
          <cell r="D429"/>
          <cell r="E429"/>
          <cell r="F429"/>
          <cell r="G429"/>
          <cell r="H429"/>
          <cell r="I429"/>
          <cell r="J429">
            <v>24</v>
          </cell>
          <cell r="K429"/>
          <cell r="L429"/>
          <cell r="M429"/>
          <cell r="N429"/>
          <cell r="O429"/>
        </row>
        <row r="430">
          <cell r="A430" t="str">
            <v>387-AS Asociacion ODSSAR-OBC</v>
          </cell>
          <cell r="B430"/>
          <cell r="C430"/>
          <cell r="D430">
            <v>9</v>
          </cell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</row>
        <row r="431">
          <cell r="A431" t="str">
            <v>300 ED - BENEFICIARIOS</v>
          </cell>
          <cell r="B431"/>
          <cell r="C431"/>
          <cell r="D431">
            <v>15</v>
          </cell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</row>
        <row r="432">
          <cell r="A432" t="str">
            <v>657 - FU CENTRO COMUNITARIO MONTAÑAS DE ESPERANZA (RETIRO EN EL BAP)</v>
          </cell>
          <cell r="B432"/>
          <cell r="C432"/>
          <cell r="D432">
            <v>1</v>
          </cell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</row>
        <row r="433">
          <cell r="A433" t="str">
            <v>630-IG MIN.INTL.DE CRISTO PAZ DE DIOS</v>
          </cell>
          <cell r="B433"/>
          <cell r="C433">
            <v>96</v>
          </cell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</row>
        <row r="434">
          <cell r="A434" t="str">
            <v>260 IG - IGLESIA MISIONERA DE RESTAURACIÓN</v>
          </cell>
          <cell r="B434"/>
          <cell r="C434"/>
          <cell r="D434">
            <v>4</v>
          </cell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</row>
        <row r="435">
          <cell r="A435" t="str">
            <v>397-FU FUNDACION SHALOM PANAMA</v>
          </cell>
          <cell r="B435"/>
          <cell r="C435"/>
          <cell r="D435"/>
          <cell r="E435">
            <v>7</v>
          </cell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</row>
        <row r="436">
          <cell r="A436" t="str">
            <v>697 - FU MINISTERIO BERAKHAH INTERNACIONAL CHEPO #2</v>
          </cell>
          <cell r="B436"/>
          <cell r="C436"/>
          <cell r="D436">
            <v>11.5</v>
          </cell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</row>
        <row r="437">
          <cell r="A437" t="str">
            <v>195 ED - JUNTOS PODEMOS</v>
          </cell>
          <cell r="B437"/>
          <cell r="C437">
            <v>26</v>
          </cell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</row>
        <row r="438">
          <cell r="A438" t="str">
            <v>653 - FU FUNDACION LUIS CARLOS DIAZ (OESTE)</v>
          </cell>
          <cell r="B438"/>
          <cell r="C438"/>
          <cell r="D438"/>
          <cell r="E438">
            <v>3</v>
          </cell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</row>
        <row r="439">
          <cell r="A439" t="str">
            <v>423-FU FUNDACION CONSTRUYENDO VIDAS EN PANAMA</v>
          </cell>
          <cell r="B439"/>
          <cell r="C439"/>
          <cell r="D439"/>
          <cell r="E439">
            <v>5</v>
          </cell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</row>
        <row r="440">
          <cell r="A440" t="str">
            <v>670 - FU FUNDACION MINISTERIIO CRISTIANO EL REINO DE DIOS (ESTE)</v>
          </cell>
          <cell r="B440"/>
          <cell r="C440"/>
          <cell r="D440">
            <v>4</v>
          </cell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</row>
        <row r="441">
          <cell r="A441" t="str">
            <v>450-FU MINISTERIO DE RESTAURACION EFESIOS 4 (ESTE)</v>
          </cell>
          <cell r="B441"/>
          <cell r="C441"/>
          <cell r="D441">
            <v>16</v>
          </cell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</row>
        <row r="442">
          <cell r="A442" t="str">
            <v>235 FU - FUNDACION GRUPO ENVIADOS</v>
          </cell>
          <cell r="B442"/>
          <cell r="C442"/>
          <cell r="D442">
            <v>4</v>
          </cell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</row>
        <row r="443">
          <cell r="A443" t="str">
            <v>380-ED COMEDOR COMUNITARIO CASA DEL ALFARERO</v>
          </cell>
          <cell r="B443"/>
          <cell r="C443"/>
          <cell r="D443">
            <v>27.5</v>
          </cell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</row>
        <row r="444">
          <cell r="A444" t="str">
            <v>597- IG MINISTERIO APOSTOLICO NEMUEL INTERNACIONAL</v>
          </cell>
          <cell r="B444"/>
          <cell r="C444"/>
          <cell r="D444">
            <v>23</v>
          </cell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</row>
        <row r="445">
          <cell r="A445" t="str">
            <v>647 - IG CRISTO REY CAMBIANDO VIDAS (ESTE)</v>
          </cell>
          <cell r="B445"/>
          <cell r="C445"/>
          <cell r="D445">
            <v>12</v>
          </cell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</row>
        <row r="446">
          <cell r="A446" t="str">
            <v>417-AS CLUB DE LEONES DE PEDREGAL (ESTE)</v>
          </cell>
          <cell r="B446"/>
          <cell r="C446"/>
          <cell r="D446">
            <v>4</v>
          </cell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</row>
        <row r="447">
          <cell r="A447" t="str">
            <v>252 IG - MINISTERIO INTERNACIONAL DE AMISTADES CRISTIANAS</v>
          </cell>
          <cell r="B447"/>
          <cell r="C447"/>
          <cell r="D447">
            <v>6</v>
          </cell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</row>
        <row r="448">
          <cell r="A448" t="str">
            <v>339-AS ASOCIACION RESIDENCIA LISBETH</v>
          </cell>
          <cell r="B448"/>
          <cell r="C448"/>
          <cell r="D448">
            <v>25</v>
          </cell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</row>
        <row r="449">
          <cell r="A449" t="str">
            <v>144 OR - HERMANAS DE SAN JOSÉ DE LA APARICIÓN (RETIRA EN EL BANCO)</v>
          </cell>
          <cell r="B449"/>
          <cell r="C449"/>
          <cell r="D449">
            <v>16</v>
          </cell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</row>
        <row r="450">
          <cell r="A450" t="str">
            <v>270 FU - FUNDACIÓN MISERICORDIA DE DON BOSCO (OESTE)</v>
          </cell>
          <cell r="B450"/>
          <cell r="C450"/>
          <cell r="D450"/>
          <cell r="E450">
            <v>6</v>
          </cell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</row>
        <row r="451">
          <cell r="A451" t="str">
            <v>698 - FU MINISTERIO BERAKHAH INTERNACIONAL PASO BLANCO</v>
          </cell>
          <cell r="B451"/>
          <cell r="C451"/>
          <cell r="D451">
            <v>6</v>
          </cell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</row>
        <row r="452">
          <cell r="A452" t="str">
            <v>491-FU Fundación Aleluya</v>
          </cell>
          <cell r="B452"/>
          <cell r="C452"/>
          <cell r="D452"/>
          <cell r="E452"/>
          <cell r="F452"/>
          <cell r="G452">
            <v>7</v>
          </cell>
          <cell r="H452"/>
          <cell r="I452"/>
          <cell r="J452"/>
          <cell r="K452"/>
          <cell r="L452"/>
          <cell r="M452"/>
          <cell r="N452"/>
          <cell r="O452"/>
        </row>
        <row r="453">
          <cell r="A453" t="str">
            <v>642 - IG IGLESIA VIDA (CENTRO 1)</v>
          </cell>
          <cell r="B453"/>
          <cell r="C453">
            <v>2</v>
          </cell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</row>
        <row r="454">
          <cell r="A454" t="str">
            <v>681 - FU FUNDACION NUEVA SOCIEDAD (NORTE)</v>
          </cell>
          <cell r="B454"/>
          <cell r="C454"/>
          <cell r="D454"/>
          <cell r="E454"/>
          <cell r="F454"/>
          <cell r="G454"/>
          <cell r="H454"/>
          <cell r="I454">
            <v>2</v>
          </cell>
          <cell r="J454"/>
          <cell r="K454"/>
          <cell r="L454"/>
          <cell r="M454"/>
          <cell r="N454"/>
          <cell r="O454"/>
        </row>
        <row r="455">
          <cell r="A455" t="str">
            <v>671 - PA DIOCESIS DE PENONOME (COCLE)</v>
          </cell>
          <cell r="B455"/>
          <cell r="C455"/>
          <cell r="D455"/>
          <cell r="E455"/>
          <cell r="F455"/>
          <cell r="G455"/>
          <cell r="H455"/>
          <cell r="I455"/>
          <cell r="J455"/>
          <cell r="K455">
            <v>4</v>
          </cell>
          <cell r="L455"/>
          <cell r="M455"/>
          <cell r="N455"/>
          <cell r="O455"/>
        </row>
        <row r="456">
          <cell r="A456" t="str">
            <v>377-FU CENTRO CRISTIANO CASA DE DIOS PANAMA</v>
          </cell>
          <cell r="B456"/>
          <cell r="C456"/>
          <cell r="D456"/>
          <cell r="E456"/>
          <cell r="F456"/>
          <cell r="G456">
            <v>23</v>
          </cell>
          <cell r="H456"/>
          <cell r="I456"/>
          <cell r="J456"/>
          <cell r="K456"/>
          <cell r="L456"/>
          <cell r="M456"/>
          <cell r="N456"/>
          <cell r="O456"/>
        </row>
        <row r="457">
          <cell r="A457" t="str">
            <v>656 - FU FUNDACION COCINA DEL REINO Y AMIGOS (CENTRO 1)</v>
          </cell>
          <cell r="B457"/>
          <cell r="C457">
            <v>2</v>
          </cell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</row>
        <row r="458">
          <cell r="A458" t="str">
            <v>364-IG COMEDOR SHEKINA</v>
          </cell>
          <cell r="B458"/>
          <cell r="C458"/>
          <cell r="D458"/>
          <cell r="E458"/>
          <cell r="F458"/>
          <cell r="G458"/>
          <cell r="H458"/>
          <cell r="I458"/>
          <cell r="J458"/>
          <cell r="K458">
            <v>68</v>
          </cell>
          <cell r="L458"/>
          <cell r="M458"/>
          <cell r="N458"/>
          <cell r="O458"/>
        </row>
        <row r="459">
          <cell r="A459" t="str">
            <v>595-FU CENTRO DE LA MUJER Y LA NIÑEZ</v>
          </cell>
          <cell r="B459"/>
          <cell r="C459">
            <v>10</v>
          </cell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</row>
        <row r="460">
          <cell r="A460" t="str">
            <v>193 OR - FUNDACIÓN UNCIÓN FRESCA</v>
          </cell>
          <cell r="B460"/>
          <cell r="C460"/>
          <cell r="D460"/>
          <cell r="E460">
            <v>6</v>
          </cell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</row>
        <row r="461">
          <cell r="A461" t="str">
            <v>672 - FU FUNDACION NUEVO PACTO POR LA NIÑEZ</v>
          </cell>
          <cell r="B461"/>
          <cell r="C461">
            <v>4</v>
          </cell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</row>
        <row r="462">
          <cell r="A462" t="str">
            <v>118 FU - FUNDACIÓN UN NUEVO AMANECER</v>
          </cell>
          <cell r="B462"/>
          <cell r="C462"/>
          <cell r="D462"/>
          <cell r="E462">
            <v>12</v>
          </cell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</row>
        <row r="463">
          <cell r="A463" t="str">
            <v>360-IG IGLESIA CRISTIANA CASA DE REUNION</v>
          </cell>
          <cell r="B463"/>
          <cell r="C463"/>
          <cell r="D463"/>
          <cell r="E463"/>
          <cell r="F463"/>
          <cell r="G463">
            <v>42</v>
          </cell>
          <cell r="H463"/>
          <cell r="I463"/>
          <cell r="J463"/>
          <cell r="K463"/>
          <cell r="L463"/>
          <cell r="M463"/>
          <cell r="N463"/>
          <cell r="O463"/>
        </row>
        <row r="464">
          <cell r="A464" t="str">
            <v>719 FU FUNDACION VIDA NUEVA EL SHADDAI</v>
          </cell>
          <cell r="B464"/>
          <cell r="C464"/>
          <cell r="D464"/>
          <cell r="E464"/>
          <cell r="F464"/>
          <cell r="G464">
            <v>16</v>
          </cell>
          <cell r="H464"/>
          <cell r="I464"/>
          <cell r="J464"/>
          <cell r="K464"/>
          <cell r="L464"/>
          <cell r="M464"/>
          <cell r="N464"/>
          <cell r="O464"/>
        </row>
        <row r="465">
          <cell r="A465" t="str">
            <v>54 FU - FUNDACIÓN CASA HOGAR EL BUEN SAMARITANO</v>
          </cell>
          <cell r="B465"/>
          <cell r="C465"/>
          <cell r="D465">
            <v>26</v>
          </cell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</row>
        <row r="466">
          <cell r="A466" t="str">
            <v>684 - FU FUNDACION CASA DEL REY JESUS (CENTRO 2)</v>
          </cell>
          <cell r="B466"/>
          <cell r="C466">
            <v>93</v>
          </cell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</row>
        <row r="467">
          <cell r="A467" t="str">
            <v>723 ASOCIACION AQUI ESTOY</v>
          </cell>
          <cell r="B467"/>
          <cell r="C467"/>
          <cell r="D467"/>
          <cell r="E467">
            <v>8</v>
          </cell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</row>
        <row r="468">
          <cell r="A468" t="str">
            <v>596 IG- IGLESIA EVANGELICA TRINITARIA DIOS FUENTE DE PODER</v>
          </cell>
          <cell r="B468"/>
          <cell r="C468">
            <v>2</v>
          </cell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</row>
        <row r="469">
          <cell r="A469" t="str">
            <v>707 - FU MINISTERIO BERAKHAH INTERNACIONAL CAIMITILLO</v>
          </cell>
          <cell r="B469"/>
          <cell r="C469"/>
          <cell r="D469"/>
          <cell r="E469"/>
          <cell r="F469"/>
          <cell r="G469"/>
          <cell r="H469"/>
          <cell r="I469">
            <v>4</v>
          </cell>
          <cell r="J469"/>
          <cell r="K469"/>
          <cell r="L469"/>
          <cell r="M469"/>
          <cell r="N469"/>
          <cell r="O469"/>
        </row>
        <row r="470">
          <cell r="A470" t="str">
            <v>229 PA - PARROQUIA SAN CRISTOBAL DE CHEPO</v>
          </cell>
          <cell r="B470"/>
          <cell r="C470"/>
          <cell r="D470">
            <v>18</v>
          </cell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</row>
        <row r="471">
          <cell r="A471" t="str">
            <v>166 FU - FUNDACION CURAME</v>
          </cell>
          <cell r="B471"/>
          <cell r="C471">
            <v>4</v>
          </cell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</row>
        <row r="472">
          <cell r="A472" t="str">
            <v>390-FU FUNDACION CRISTIANA FAMILIAR EL TALLER DEL MAESTRO (CENTRO1)</v>
          </cell>
          <cell r="B472"/>
          <cell r="C472">
            <v>6</v>
          </cell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</row>
        <row r="473">
          <cell r="A473" t="str">
            <v>730-FU SOLIDARIDAD Y DESARROLLO DE PANAMA (VERAGUAS)</v>
          </cell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>
            <v>6</v>
          </cell>
          <cell r="N473"/>
          <cell r="O473"/>
        </row>
        <row r="474">
          <cell r="A474" t="str">
            <v>736-IG JESUS HACE MILAGROS</v>
          </cell>
          <cell r="B474"/>
          <cell r="C474"/>
          <cell r="D474"/>
          <cell r="E474"/>
          <cell r="F474"/>
          <cell r="G474"/>
          <cell r="H474"/>
          <cell r="I474"/>
          <cell r="J474">
            <v>7</v>
          </cell>
          <cell r="K474"/>
          <cell r="L474"/>
          <cell r="M474"/>
          <cell r="N474"/>
          <cell r="O474"/>
        </row>
        <row r="475">
          <cell r="A475" t="str">
            <v>737- ASOCIACION CRISTIANA EBEN-EZER (ESTE)</v>
          </cell>
          <cell r="B475"/>
          <cell r="C475"/>
          <cell r="D475">
            <v>10</v>
          </cell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</row>
        <row r="476">
          <cell r="A476" t="str">
            <v>738- IG MINISTERIO DIOS CON NOSOTROS EMANUEL</v>
          </cell>
          <cell r="B476"/>
          <cell r="C476"/>
          <cell r="D476">
            <v>37</v>
          </cell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</row>
        <row r="477">
          <cell r="A477" t="str">
            <v>733-IG LA ORACION FUERTE AL ESPIRITU SANTO</v>
          </cell>
          <cell r="B477"/>
          <cell r="C477">
            <v>6</v>
          </cell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</row>
        <row r="478">
          <cell r="A478" t="str">
            <v>745-FU CASA DE MISERICORDIA</v>
          </cell>
          <cell r="B478"/>
          <cell r="C478">
            <v>4</v>
          </cell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</row>
        <row r="479">
          <cell r="A479" t="str">
            <v>741-IG BUNKER DE ESPERANZA</v>
          </cell>
          <cell r="B479"/>
          <cell r="C479"/>
          <cell r="D479">
            <v>6</v>
          </cell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</row>
        <row r="480">
          <cell r="A480" t="str">
            <v>749-IG Ministerio Tabernáculo de Santidad Internación (Guararé)</v>
          </cell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>
            <v>17</v>
          </cell>
          <cell r="N480"/>
          <cell r="O480"/>
        </row>
        <row r="481">
          <cell r="A481" t="str">
            <v>613-FU FUNDACION INMARE</v>
          </cell>
          <cell r="B481"/>
          <cell r="C481"/>
          <cell r="D481"/>
          <cell r="E481"/>
          <cell r="F481"/>
          <cell r="G481"/>
          <cell r="H481"/>
          <cell r="I481"/>
          <cell r="J481"/>
          <cell r="K481">
            <v>88</v>
          </cell>
          <cell r="L481"/>
          <cell r="M481"/>
          <cell r="N481"/>
          <cell r="O481"/>
        </row>
        <row r="482">
          <cell r="A482" t="str">
            <v>759-FU SOLO ES CUESTION DE FE</v>
          </cell>
          <cell r="B482"/>
          <cell r="C482"/>
          <cell r="D482">
            <v>4</v>
          </cell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</row>
        <row r="483">
          <cell r="A483" t="str">
            <v>275 IG CONCILIO GENERAL DE LAS ASAMBLEAS DE DIOS DE PANAMÁ</v>
          </cell>
          <cell r="B483"/>
          <cell r="C483">
            <v>18</v>
          </cell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</row>
        <row r="484">
          <cell r="A484" t="str">
            <v>752-IG Ministerio Tabernáculo De Santidad Internacional (Chitre)</v>
          </cell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>
            <v>6</v>
          </cell>
          <cell r="M484"/>
          <cell r="N484"/>
          <cell r="O484"/>
        </row>
        <row r="485">
          <cell r="A485" t="str">
            <v>201 OR - MISIONERAS MADRE LAURA</v>
          </cell>
          <cell r="B485"/>
          <cell r="C485">
            <v>4</v>
          </cell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</row>
        <row r="486">
          <cell r="A486" t="str">
            <v>765-IG EXPANSION MISIONERA RIOS DE AGUA VIVA</v>
          </cell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>
            <v>43</v>
          </cell>
          <cell r="M486"/>
          <cell r="N486"/>
          <cell r="O486"/>
        </row>
        <row r="487">
          <cell r="A487" t="str">
            <v>766-IG MINISTERIO BET-EL</v>
          </cell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>
            <v>25</v>
          </cell>
        </row>
        <row r="488">
          <cell r="A488" t="str">
            <v>785-FU FUNDACION GOTAS DE ESPERANZA</v>
          </cell>
          <cell r="B488"/>
          <cell r="C488"/>
          <cell r="D488"/>
          <cell r="E488">
            <v>17</v>
          </cell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</row>
        <row r="489">
          <cell r="A489" t="str">
            <v>394-IG IGLESIA ESCUADRONES DEL EJERCITO DE DIOS (CENTRO2)</v>
          </cell>
          <cell r="B489"/>
          <cell r="C489">
            <v>11</v>
          </cell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</row>
        <row r="490">
          <cell r="A490" t="str">
            <v>789-FU Fundación Rescate de Alimentos</v>
          </cell>
          <cell r="B490"/>
          <cell r="C490">
            <v>8</v>
          </cell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</row>
        <row r="491">
          <cell r="A491" t="str">
            <v>793-FU Fundación Príncipes de Jehová</v>
          </cell>
          <cell r="B491"/>
          <cell r="C491"/>
          <cell r="D491"/>
          <cell r="E491"/>
          <cell r="F491"/>
          <cell r="G491"/>
          <cell r="H491"/>
          <cell r="I491">
            <v>2</v>
          </cell>
          <cell r="J491"/>
          <cell r="K491"/>
          <cell r="L491"/>
          <cell r="M491"/>
          <cell r="N491"/>
          <cell r="O491"/>
        </row>
        <row r="492">
          <cell r="A492" t="str">
            <v>138 OR - HERMANAS FRANCISCANAS DE MARIA INMACULADALA</v>
          </cell>
          <cell r="B492"/>
          <cell r="C492"/>
          <cell r="D492"/>
          <cell r="E492"/>
          <cell r="F492"/>
          <cell r="G492"/>
          <cell r="H492">
            <v>1</v>
          </cell>
          <cell r="I492"/>
          <cell r="J492"/>
          <cell r="K492"/>
          <cell r="L492"/>
          <cell r="M492"/>
          <cell r="N492"/>
          <cell r="O492"/>
        </row>
        <row r="493">
          <cell r="A493" t="str">
            <v>804-IG Templo Misionero Eclesiastés</v>
          </cell>
          <cell r="B493"/>
          <cell r="C493"/>
          <cell r="D493"/>
          <cell r="E493"/>
          <cell r="F493"/>
          <cell r="G493"/>
          <cell r="H493"/>
          <cell r="I493">
            <v>5</v>
          </cell>
          <cell r="J493"/>
          <cell r="K493"/>
          <cell r="L493"/>
          <cell r="M493"/>
          <cell r="N493"/>
          <cell r="O493"/>
        </row>
        <row r="494">
          <cell r="A494" t="str">
            <v>661 - FU FUNDACION MAS INTEGRADOS (DARIEN)</v>
          </cell>
          <cell r="B494"/>
          <cell r="C494"/>
          <cell r="D494"/>
          <cell r="E494"/>
          <cell r="F494">
            <v>13</v>
          </cell>
          <cell r="G494"/>
          <cell r="H494"/>
          <cell r="I494"/>
          <cell r="J494"/>
          <cell r="K494"/>
          <cell r="L494"/>
          <cell r="M494"/>
          <cell r="N494"/>
          <cell r="O494"/>
        </row>
        <row r="495">
          <cell r="A495" t="str">
            <v>753-AS CLUB ACTIVO 20-30 DE CHITRE</v>
          </cell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>
            <v>29</v>
          </cell>
          <cell r="M495"/>
          <cell r="N495"/>
          <cell r="O495"/>
        </row>
        <row r="496">
          <cell r="A496" t="str">
            <v>735-AS CHICHICA</v>
          </cell>
          <cell r="B496"/>
          <cell r="C496"/>
          <cell r="D496"/>
          <cell r="E496"/>
          <cell r="F496"/>
          <cell r="G496"/>
          <cell r="H496"/>
          <cell r="I496"/>
          <cell r="J496"/>
          <cell r="K496">
            <v>4</v>
          </cell>
          <cell r="L496"/>
          <cell r="M496"/>
          <cell r="N496"/>
          <cell r="O496"/>
        </row>
        <row r="497">
          <cell r="A497" t="str">
            <v>253 FU - FUNDACIÓN PARA EL BIENESTAR SOCIAL (CENTRO2)</v>
          </cell>
          <cell r="B497"/>
          <cell r="C497">
            <v>4</v>
          </cell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</row>
        <row r="498">
          <cell r="A498" t="str">
            <v>463-FU MINISTERIO BERAKHAH INTERNACIONAL COMEDOR OASIS DE ESPERANZA (ESTE)</v>
          </cell>
          <cell r="B498"/>
          <cell r="C498"/>
          <cell r="D498">
            <v>4</v>
          </cell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</row>
        <row r="499">
          <cell r="A499" t="str">
            <v>650 - IG ASOCIACION CRISTIANA EBEN - EZER #27 (ESTE)</v>
          </cell>
          <cell r="B499"/>
          <cell r="C499"/>
          <cell r="D499">
            <v>22</v>
          </cell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</row>
        <row r="500">
          <cell r="A500" t="str">
            <v>802-IG IGLESIA INTERNACIONAL DEL EVANGELIO CUADRANGULAR DE PANAMÁ</v>
          </cell>
          <cell r="B500"/>
          <cell r="C500">
            <v>2</v>
          </cell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</row>
        <row r="501">
          <cell r="A501" t="str">
            <v>814-IG Templo Morada Santa</v>
          </cell>
          <cell r="B501"/>
          <cell r="C501"/>
          <cell r="D501"/>
          <cell r="E501"/>
          <cell r="F501">
            <v>8</v>
          </cell>
          <cell r="G501"/>
          <cell r="H501"/>
          <cell r="I501"/>
          <cell r="J501"/>
          <cell r="K501"/>
          <cell r="L501"/>
          <cell r="M501"/>
          <cell r="N501"/>
          <cell r="O501"/>
        </row>
        <row r="502">
          <cell r="A502" t="str">
            <v>185 FU - FUNDACIÓN ABIA YALA</v>
          </cell>
          <cell r="B502"/>
          <cell r="C502">
            <v>5</v>
          </cell>
          <cell r="D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</row>
        <row r="503">
          <cell r="A503" t="str">
            <v>786-FU ACADEMIA DE FUTBOL ROMAN TORRES</v>
          </cell>
          <cell r="B503"/>
          <cell r="C503">
            <v>8</v>
          </cell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</row>
        <row r="504">
          <cell r="A504" t="str">
            <v>496-AS CUERPO DE VOLUNTARIAS DEL HOSPITAL DEL NIÑO</v>
          </cell>
          <cell r="B504"/>
          <cell r="C504">
            <v>43</v>
          </cell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</row>
        <row r="505">
          <cell r="A505" t="str">
            <v>641 - IG IGLESIA EVANGELICA QUIRIAT SALEM (ESTE)</v>
          </cell>
          <cell r="B505"/>
          <cell r="C505"/>
          <cell r="D505">
            <v>2</v>
          </cell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</row>
        <row r="506">
          <cell r="A506" t="str">
            <v>471-FU FUNDACION BUSCANDO UNA OPORTUNIDAD</v>
          </cell>
          <cell r="B506"/>
          <cell r="C506"/>
          <cell r="D506"/>
          <cell r="E506">
            <v>4</v>
          </cell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</row>
        <row r="507">
          <cell r="A507" t="str">
            <v>5 AS - ASOCIACIÓN DAME UNA OPORTUNIDAD</v>
          </cell>
          <cell r="B507"/>
          <cell r="C507">
            <v>4</v>
          </cell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</row>
        <row r="508">
          <cell r="A508" t="str">
            <v>756-FU Fundación Nuevas Rutas</v>
          </cell>
          <cell r="B508"/>
          <cell r="C508"/>
          <cell r="D508"/>
          <cell r="E508"/>
          <cell r="F508"/>
          <cell r="G508"/>
          <cell r="H508"/>
          <cell r="I508"/>
          <cell r="J508">
            <v>40</v>
          </cell>
          <cell r="K508"/>
          <cell r="L508"/>
          <cell r="M508"/>
          <cell r="N508"/>
          <cell r="O508"/>
        </row>
        <row r="509">
          <cell r="A509" t="str">
            <v>708 - FU MINISTERIO BERAKHAH INTERNACIONAL GUARARE</v>
          </cell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>
            <v>6.5</v>
          </cell>
        </row>
        <row r="510">
          <cell r="A510" t="str">
            <v>341-PA PARROQUIA SANTIAGO APOSTOL ALANJE (CHIRIQUÍ)</v>
          </cell>
          <cell r="B510"/>
          <cell r="C510"/>
          <cell r="D510"/>
          <cell r="E510"/>
          <cell r="F510"/>
          <cell r="G510"/>
          <cell r="H510"/>
          <cell r="I510"/>
          <cell r="J510">
            <v>2</v>
          </cell>
          <cell r="K510"/>
          <cell r="L510"/>
          <cell r="M510"/>
          <cell r="N510"/>
          <cell r="O510"/>
        </row>
        <row r="511">
          <cell r="A511" t="str">
            <v>422-AS Club de Leones de Penonome</v>
          </cell>
          <cell r="B511"/>
          <cell r="C511"/>
          <cell r="D511"/>
          <cell r="E511"/>
          <cell r="F511"/>
          <cell r="G511"/>
          <cell r="H511"/>
          <cell r="I511"/>
          <cell r="J511"/>
          <cell r="K511">
            <v>2</v>
          </cell>
          <cell r="L511"/>
          <cell r="M511"/>
          <cell r="N511"/>
          <cell r="O511"/>
        </row>
        <row r="512">
          <cell r="A512" t="str">
            <v>813-IG Comedor Centro De Esperanza Elohim</v>
          </cell>
          <cell r="B512"/>
          <cell r="C512"/>
          <cell r="D512"/>
          <cell r="E512"/>
          <cell r="F512"/>
          <cell r="G512"/>
          <cell r="H512"/>
          <cell r="I512"/>
          <cell r="J512"/>
          <cell r="K512">
            <v>2</v>
          </cell>
          <cell r="L512"/>
          <cell r="M512"/>
          <cell r="N512"/>
          <cell r="O512"/>
        </row>
        <row r="513">
          <cell r="A513" t="str">
            <v>827-FU Fundación Transformemos mi comunidad</v>
          </cell>
          <cell r="B513"/>
          <cell r="C513"/>
          <cell r="D513"/>
          <cell r="E513">
            <v>4</v>
          </cell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</row>
        <row r="514">
          <cell r="A514" t="str">
            <v>CORPORACION INTERNACIONAL DE ALIMENTOS, S.A.</v>
          </cell>
          <cell r="B514">
            <v>1878.5</v>
          </cell>
          <cell r="C514">
            <v>7776</v>
          </cell>
          <cell r="D514">
            <v>10405.5</v>
          </cell>
          <cell r="E514">
            <v>3496</v>
          </cell>
          <cell r="F514">
            <v>199</v>
          </cell>
          <cell r="G514">
            <v>562</v>
          </cell>
          <cell r="H514">
            <v>2817</v>
          </cell>
          <cell r="I514">
            <v>1033</v>
          </cell>
          <cell r="J514">
            <v>2264</v>
          </cell>
          <cell r="K514">
            <v>2918</v>
          </cell>
          <cell r="L514">
            <v>897</v>
          </cell>
          <cell r="M514">
            <v>709.5</v>
          </cell>
          <cell r="N514"/>
          <cell r="O514">
            <v>278.5</v>
          </cell>
        </row>
        <row r="515">
          <cell r="A515">
            <v>0</v>
          </cell>
          <cell r="B515">
            <v>113.5</v>
          </cell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</row>
        <row r="516">
          <cell r="A516" t="str">
            <v>662-IG MINISTERIO EVANGELICO EL APOSENTO ALTO (CENTRO 1)</v>
          </cell>
          <cell r="B516"/>
          <cell r="C516">
            <v>57</v>
          </cell>
          <cell r="D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</row>
        <row r="517">
          <cell r="A517" t="str">
            <v>209 IG - TEMPLO MISIONERO CRISTO TE LLAMA</v>
          </cell>
          <cell r="B517"/>
          <cell r="C517"/>
          <cell r="D517">
            <v>112</v>
          </cell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</row>
        <row r="518">
          <cell r="A518" t="str">
            <v>702 - FU MINISTERIO BERAKHAH INTERNACIONAL ARRAIJAN</v>
          </cell>
          <cell r="B518"/>
          <cell r="C518"/>
          <cell r="D518"/>
          <cell r="E518">
            <v>33</v>
          </cell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</row>
        <row r="519">
          <cell r="A519" t="str">
            <v>298-FU - MINISTERIO FUENTE DE VIDA PARA EL PERDIDO</v>
          </cell>
          <cell r="B519"/>
          <cell r="C519"/>
          <cell r="D519"/>
          <cell r="E519"/>
          <cell r="F519">
            <v>89</v>
          </cell>
          <cell r="G519"/>
          <cell r="H519"/>
          <cell r="I519"/>
          <cell r="J519"/>
          <cell r="K519"/>
          <cell r="L519"/>
          <cell r="M519"/>
          <cell r="N519"/>
          <cell r="O519"/>
        </row>
        <row r="520">
          <cell r="A520" t="str">
            <v>479-IG IGLESIA NUEVA ESPERANZA</v>
          </cell>
          <cell r="B520"/>
          <cell r="C520"/>
          <cell r="D520">
            <v>65</v>
          </cell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</row>
        <row r="521">
          <cell r="A521" t="str">
            <v>104 AS - ASOCIACIÓN HOGAR FELICIDAD</v>
          </cell>
          <cell r="B521"/>
          <cell r="C521"/>
          <cell r="D521"/>
          <cell r="E521">
            <v>300</v>
          </cell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</row>
        <row r="522">
          <cell r="A522" t="str">
            <v>175 AS - ASOCIACIÓN RESTAURANDO VIDAS</v>
          </cell>
          <cell r="B522"/>
          <cell r="C522"/>
          <cell r="D522">
            <v>88</v>
          </cell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</row>
        <row r="523">
          <cell r="A523" t="str">
            <v>178 IG - TEMPLO ZURIEL EL REFUGIO</v>
          </cell>
          <cell r="B523"/>
          <cell r="C523"/>
          <cell r="D523"/>
          <cell r="E523"/>
          <cell r="F523"/>
          <cell r="G523">
            <v>215</v>
          </cell>
          <cell r="H523"/>
          <cell r="I523"/>
          <cell r="J523"/>
          <cell r="K523"/>
          <cell r="L523"/>
          <cell r="M523"/>
          <cell r="N523"/>
          <cell r="O523"/>
        </row>
        <row r="524">
          <cell r="A524" t="str">
            <v>207 IG - IGLESIA CENTRO DE VIDA CRISTIANA</v>
          </cell>
          <cell r="B524"/>
          <cell r="C524"/>
          <cell r="D524">
            <v>155</v>
          </cell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</row>
        <row r="525">
          <cell r="A525" t="str">
            <v>493-FU Comedor Jesús es mi Pastor</v>
          </cell>
          <cell r="B525"/>
          <cell r="C525"/>
          <cell r="D525">
            <v>30</v>
          </cell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</row>
        <row r="526">
          <cell r="A526" t="str">
            <v>636- FU JAH - LIVE (JAHL) - COLON</v>
          </cell>
          <cell r="B526"/>
          <cell r="C526"/>
          <cell r="D526"/>
          <cell r="E526"/>
          <cell r="F526"/>
          <cell r="G526"/>
          <cell r="H526">
            <v>1807</v>
          </cell>
          <cell r="I526"/>
          <cell r="J526"/>
          <cell r="K526"/>
          <cell r="L526"/>
          <cell r="M526"/>
          <cell r="N526"/>
          <cell r="O526"/>
        </row>
        <row r="527">
          <cell r="A527" t="str">
            <v>224 OR MISIONERAS DE LA CARIDAD DE COLON</v>
          </cell>
          <cell r="B527"/>
          <cell r="C527"/>
          <cell r="D527"/>
          <cell r="E527"/>
          <cell r="F527"/>
          <cell r="G527"/>
          <cell r="H527">
            <v>189</v>
          </cell>
          <cell r="I527"/>
          <cell r="J527"/>
          <cell r="K527"/>
          <cell r="L527"/>
          <cell r="M527"/>
          <cell r="N527"/>
          <cell r="O527"/>
        </row>
        <row r="528">
          <cell r="A528" t="str">
            <v>365-IG COMEDOR HEFZIBA</v>
          </cell>
          <cell r="B528"/>
          <cell r="C528"/>
          <cell r="D528"/>
          <cell r="E528"/>
          <cell r="F528"/>
          <cell r="G528"/>
          <cell r="H528"/>
          <cell r="I528">
            <v>536</v>
          </cell>
          <cell r="J528"/>
          <cell r="K528"/>
          <cell r="L528"/>
          <cell r="M528"/>
          <cell r="N528"/>
          <cell r="O528"/>
        </row>
        <row r="529">
          <cell r="A529" t="str">
            <v>407-IG ASOCIACION CRISTIANA INTERNACIONAL EBEN-EZER (OESTE)</v>
          </cell>
          <cell r="B529"/>
          <cell r="C529"/>
          <cell r="D529"/>
          <cell r="E529">
            <v>17</v>
          </cell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A530" t="str">
            <v>635 TEMPLO ADULAM</v>
          </cell>
          <cell r="B530"/>
          <cell r="C530"/>
          <cell r="D530"/>
          <cell r="E530">
            <v>481</v>
          </cell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A531" t="str">
            <v>470-FU IGLESIA MONTE SANTO</v>
          </cell>
          <cell r="B531"/>
          <cell r="C531"/>
          <cell r="D531">
            <v>54</v>
          </cell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A532" t="str">
            <v>687 - FU FUNDACION ARCA DE JESUS</v>
          </cell>
          <cell r="B532"/>
          <cell r="C532"/>
          <cell r="D532"/>
          <cell r="E532">
            <v>398</v>
          </cell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A533" t="str">
            <v>218 ED - LOS PREFERIDOS DEL SEÑOR (CENTRO2)</v>
          </cell>
          <cell r="B533"/>
          <cell r="C533">
            <v>1714</v>
          </cell>
          <cell r="D533"/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A534" t="str">
            <v>187 IG - IGLESIA DE DIOS DE LA PROFECÍA</v>
          </cell>
          <cell r="B534"/>
          <cell r="C534"/>
          <cell r="D534">
            <v>1474</v>
          </cell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A535" t="str">
            <v>321-IG IGLESIA DIOS ES MI PROVEEDOR Y SUSTENTO</v>
          </cell>
          <cell r="B535"/>
          <cell r="C535"/>
          <cell r="D535">
            <v>509</v>
          </cell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A536" t="str">
            <v>111 FU - FUNDACIÓN NUESTRA SEÑORA DEL CAMINO</v>
          </cell>
          <cell r="B536"/>
          <cell r="C536"/>
          <cell r="D536"/>
          <cell r="E536"/>
          <cell r="F536"/>
          <cell r="G536"/>
          <cell r="H536"/>
          <cell r="I536"/>
          <cell r="J536">
            <v>311.5</v>
          </cell>
          <cell r="K536"/>
          <cell r="L536"/>
          <cell r="M536"/>
          <cell r="N536"/>
          <cell r="O536"/>
        </row>
        <row r="537">
          <cell r="A537" t="str">
            <v>443-FU MINISTERIO BERAKHAH INTERNACIONAL COMEDOR LAS GARZAS #2</v>
          </cell>
          <cell r="B537"/>
          <cell r="C537"/>
          <cell r="D537">
            <v>6</v>
          </cell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A538" t="str">
            <v>694 - FU MINISTERIO BERAKHAH INTERNACIONAL TOCUMEN #2</v>
          </cell>
          <cell r="B538"/>
          <cell r="C538"/>
          <cell r="D538">
            <v>133</v>
          </cell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A539" t="str">
            <v>695 - FU MINISTERIO BERAKHAH INTERNACIONAL 24 DIC</v>
          </cell>
          <cell r="B539"/>
          <cell r="C539"/>
          <cell r="D539">
            <v>290</v>
          </cell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A540" t="str">
            <v>703 - FU MINISTERIO BERAKHAH INTERNACIONAL FELIPILLO #3</v>
          </cell>
          <cell r="B540"/>
          <cell r="C540"/>
          <cell r="D540">
            <v>76</v>
          </cell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A541" t="str">
            <v>444-FU MINISTERIO BERAKHAH INTERNACIONAL COMEDOR LAS GARZAS #1</v>
          </cell>
          <cell r="B541"/>
          <cell r="C541"/>
          <cell r="D541">
            <v>133</v>
          </cell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A542" t="str">
            <v>693 - FU MINISTERIO BERAKHAH INTERNACIONAL TOCUMEN #1</v>
          </cell>
          <cell r="B542"/>
          <cell r="C542"/>
          <cell r="D542">
            <v>58</v>
          </cell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A543" t="str">
            <v>366-FU CENTRO MISIONERO EL SHADAI (ESTE)</v>
          </cell>
          <cell r="B543"/>
          <cell r="C543"/>
          <cell r="D543">
            <v>1027</v>
          </cell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A544" t="str">
            <v>498-FU COMEDOR NIÑOS DE BENDICION</v>
          </cell>
          <cell r="B544"/>
          <cell r="C544"/>
          <cell r="D544"/>
          <cell r="E544">
            <v>486</v>
          </cell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A545" t="str">
            <v>288 IG MINISTERIO EVANGELISTICO DE SANACION Y RESTAURACION, SENALES, MILAGROS Y MARAVILLAS (ESTE)</v>
          </cell>
          <cell r="B545"/>
          <cell r="C545"/>
          <cell r="D545">
            <v>311</v>
          </cell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A546" t="str">
            <v>373-FU MINISTERIO INTERNACIONAL BOANERGES</v>
          </cell>
          <cell r="B546"/>
          <cell r="C546"/>
          <cell r="D546"/>
          <cell r="E546"/>
          <cell r="F546"/>
          <cell r="G546"/>
          <cell r="H546"/>
          <cell r="I546">
            <v>54</v>
          </cell>
          <cell r="J546"/>
          <cell r="K546"/>
          <cell r="L546"/>
          <cell r="M546"/>
          <cell r="N546"/>
          <cell r="O546"/>
        </row>
        <row r="547">
          <cell r="A547" t="str">
            <v>197 FU FUNDACION SOCIAL CULTURAL Y AMBIENTAL DE VERACRUZ (OESTE)</v>
          </cell>
          <cell r="B547"/>
          <cell r="C547"/>
          <cell r="D547"/>
          <cell r="E547">
            <v>205</v>
          </cell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A548" t="str">
            <v>183 ED - BELÉN CASA DE PAN (ESTE)</v>
          </cell>
          <cell r="B548"/>
          <cell r="C548"/>
          <cell r="D548">
            <v>222</v>
          </cell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A549" t="str">
            <v>701 - FU MINISTERIO BERAKHAH INTERNACIONAL LOS ANDES</v>
          </cell>
          <cell r="B549"/>
          <cell r="C549"/>
          <cell r="D549"/>
          <cell r="E549"/>
          <cell r="F549"/>
          <cell r="G549"/>
          <cell r="H549"/>
          <cell r="I549">
            <v>12</v>
          </cell>
          <cell r="J549"/>
          <cell r="K549"/>
          <cell r="L549"/>
          <cell r="M549"/>
          <cell r="N549"/>
          <cell r="O549"/>
        </row>
        <row r="550">
          <cell r="A550" t="str">
            <v>691 - AR CARITAS ARQUIDIOCESANA</v>
          </cell>
          <cell r="B550"/>
          <cell r="C550">
            <v>34</v>
          </cell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A551" t="str">
            <v>431-IG IGLESIA ADVENTISTA DISTRITO 8</v>
          </cell>
          <cell r="B551"/>
          <cell r="C551"/>
          <cell r="D551">
            <v>170</v>
          </cell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A552" t="str">
            <v>261 - AS ASOCIACIÓN MINISTERIO SIRVIENDO A LA COMUNIDAD PARA JESUCRISTO</v>
          </cell>
          <cell r="B552"/>
          <cell r="C552">
            <v>8</v>
          </cell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A553" t="str">
            <v>211 IG - IGLESIA CRISTIANA KADOSH</v>
          </cell>
          <cell r="B553"/>
          <cell r="C553">
            <v>17</v>
          </cell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A554" t="str">
            <v>643 - IG TEMPLO PUERTA DEL CIELO (CHIRIQUI)</v>
          </cell>
          <cell r="B554"/>
          <cell r="C554"/>
          <cell r="D554"/>
          <cell r="E554"/>
          <cell r="F554"/>
          <cell r="G554"/>
          <cell r="H554"/>
          <cell r="I554"/>
          <cell r="J554">
            <v>230</v>
          </cell>
          <cell r="K554"/>
          <cell r="L554"/>
          <cell r="M554"/>
          <cell r="N554"/>
          <cell r="O554"/>
        </row>
        <row r="555">
          <cell r="A555" t="str">
            <v>51 PA - PARROQUIA SAN PIO DE PIETRELCINA (ESTE)</v>
          </cell>
          <cell r="B555"/>
          <cell r="C555"/>
          <cell r="D555">
            <v>34</v>
          </cell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A556" t="str">
            <v>368-FU MINISTERIO PACTO DE SANTIDAD</v>
          </cell>
          <cell r="B556"/>
          <cell r="C556">
            <v>201</v>
          </cell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A557" t="str">
            <v>654 - IG M.I.A.F NUEVA JERUSALEN PANAMA (ESTE)</v>
          </cell>
          <cell r="B557"/>
          <cell r="C557"/>
          <cell r="D557">
            <v>92</v>
          </cell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A558" t="str">
            <v>103 IG - IGLESIA DE LA GRACIA DE DIOS</v>
          </cell>
          <cell r="B558"/>
          <cell r="C558"/>
          <cell r="D558"/>
          <cell r="E558"/>
          <cell r="F558"/>
          <cell r="G558"/>
          <cell r="H558"/>
          <cell r="I558">
            <v>6</v>
          </cell>
          <cell r="J558"/>
          <cell r="K558"/>
          <cell r="L558"/>
          <cell r="M558"/>
          <cell r="N558"/>
          <cell r="O558"/>
        </row>
        <row r="559">
          <cell r="A559" t="str">
            <v>363-FU FUNDACION MINISTERIO DEL EVANGELIO ETERNO DEL REINO (NORTE)</v>
          </cell>
          <cell r="B559"/>
          <cell r="C559"/>
          <cell r="D559"/>
          <cell r="E559"/>
          <cell r="F559"/>
          <cell r="G559">
            <v>5</v>
          </cell>
          <cell r="H559"/>
          <cell r="I559"/>
          <cell r="J559"/>
          <cell r="K559"/>
          <cell r="L559"/>
          <cell r="M559"/>
          <cell r="N559"/>
          <cell r="O559"/>
        </row>
        <row r="560">
          <cell r="A560" t="str">
            <v>487-FU FUNDACION CASA AVE MARIA</v>
          </cell>
          <cell r="B560"/>
          <cell r="C560"/>
          <cell r="D560"/>
          <cell r="E560">
            <v>477</v>
          </cell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A561" t="str">
            <v>284 - IG MINISTERIO PAN DE VIDA</v>
          </cell>
          <cell r="B561"/>
          <cell r="C561"/>
          <cell r="D561"/>
          <cell r="E561"/>
          <cell r="F561"/>
          <cell r="G561"/>
          <cell r="H561"/>
          <cell r="I561"/>
          <cell r="J561">
            <v>60</v>
          </cell>
          <cell r="K561"/>
          <cell r="L561"/>
          <cell r="M561"/>
          <cell r="N561"/>
          <cell r="O561"/>
        </row>
        <row r="562">
          <cell r="A562" t="str">
            <v>2 PA - PARROQUIA SAN JUAN MARIA VIANNEY (NORTE)</v>
          </cell>
          <cell r="B562"/>
          <cell r="C562"/>
          <cell r="D562"/>
          <cell r="E562"/>
          <cell r="F562"/>
          <cell r="G562"/>
          <cell r="H562"/>
          <cell r="I562">
            <v>79</v>
          </cell>
          <cell r="J562"/>
          <cell r="K562"/>
          <cell r="L562"/>
          <cell r="M562"/>
          <cell r="N562"/>
          <cell r="O562"/>
        </row>
        <row r="563">
          <cell r="A563" t="str">
            <v>696 - FU MINISTERIO BERAKHAH INTERNACIONAL CHEPO #1</v>
          </cell>
          <cell r="B563"/>
          <cell r="C563"/>
          <cell r="D563">
            <v>113</v>
          </cell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A564" t="str">
            <v>472-FU FUNDACION TALITA CUMI</v>
          </cell>
          <cell r="B564"/>
          <cell r="C564"/>
          <cell r="D564">
            <v>118</v>
          </cell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A565" t="str">
            <v>222 ED - MISERICORDIAR</v>
          </cell>
          <cell r="B565"/>
          <cell r="C565"/>
          <cell r="D565">
            <v>312</v>
          </cell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A566" t="str">
            <v>259 IG - ALCANCE VICTORIA PANAMÁ</v>
          </cell>
          <cell r="B566"/>
          <cell r="C566">
            <v>199</v>
          </cell>
          <cell r="D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A567" t="str">
            <v>668 - FU FUNDACION CRISTIANA LA FE EN MARCHA</v>
          </cell>
          <cell r="B567"/>
          <cell r="C567"/>
          <cell r="D567"/>
          <cell r="E567"/>
          <cell r="F567"/>
          <cell r="G567"/>
          <cell r="H567"/>
          <cell r="I567"/>
          <cell r="J567">
            <v>429</v>
          </cell>
          <cell r="K567"/>
          <cell r="L567"/>
          <cell r="M567"/>
          <cell r="N567"/>
          <cell r="O567"/>
        </row>
        <row r="568">
          <cell r="A568" t="str">
            <v>379-FU Fundacion Ministerio Apostolico Manantial de Vida</v>
          </cell>
          <cell r="B568"/>
          <cell r="C568"/>
          <cell r="D568"/>
          <cell r="E568"/>
          <cell r="F568"/>
          <cell r="G568"/>
          <cell r="H568">
            <v>644</v>
          </cell>
          <cell r="I568"/>
          <cell r="J568"/>
          <cell r="K568"/>
          <cell r="L568"/>
          <cell r="M568"/>
          <cell r="N568"/>
          <cell r="O568"/>
        </row>
        <row r="569">
          <cell r="A569" t="str">
            <v>644 - IG TEMPLO SENDA DE VIDA (CHIRIQUÍ)</v>
          </cell>
          <cell r="B569"/>
          <cell r="C569"/>
          <cell r="D569"/>
          <cell r="E569"/>
          <cell r="F569"/>
          <cell r="G569"/>
          <cell r="H569"/>
          <cell r="I569"/>
          <cell r="J569">
            <v>147</v>
          </cell>
          <cell r="K569"/>
          <cell r="L569"/>
          <cell r="M569"/>
          <cell r="N569"/>
          <cell r="O569"/>
        </row>
        <row r="570">
          <cell r="A570" t="str">
            <v>387-AS Asociacion ODSSAR-OBC</v>
          </cell>
          <cell r="B570"/>
          <cell r="C570"/>
          <cell r="D570">
            <v>90</v>
          </cell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A571" t="str">
            <v>300 ED - BENEFICIARIOS</v>
          </cell>
          <cell r="B571"/>
          <cell r="C571"/>
          <cell r="D571">
            <v>1194.5</v>
          </cell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A572" t="str">
            <v>657 - FU CENTRO COMUNITARIO MONTAÑAS DE ESPERANZA (RETIRO EN EL BAP)</v>
          </cell>
          <cell r="B572"/>
          <cell r="C572"/>
          <cell r="D572">
            <v>24</v>
          </cell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A573" t="str">
            <v>630-IG MIN.INTL.DE CRISTO PAZ DE DIOS</v>
          </cell>
          <cell r="B573"/>
          <cell r="C573">
            <v>1410</v>
          </cell>
          <cell r="D573"/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A574" t="str">
            <v>260 IG - IGLESIA MISIONERA DE RESTAURACIÓN</v>
          </cell>
          <cell r="B574"/>
          <cell r="C574"/>
          <cell r="D574">
            <v>18</v>
          </cell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A575" t="str">
            <v>397-FU FUNDACION SHALOM PANAMA</v>
          </cell>
          <cell r="B575"/>
          <cell r="C575"/>
          <cell r="D575"/>
          <cell r="E575">
            <v>203</v>
          </cell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A576" t="str">
            <v>697 - FU MINISTERIO BERAKHAH INTERNACIONAL CHEPO #2</v>
          </cell>
          <cell r="B576"/>
          <cell r="C576"/>
          <cell r="D576">
            <v>69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A577" t="str">
            <v>700 - FU MINISTERIO BERAKHAH INTERNACIONAL TORRIJOS CARTER #2</v>
          </cell>
          <cell r="B577"/>
          <cell r="C577"/>
          <cell r="D577"/>
          <cell r="E577"/>
          <cell r="F577"/>
          <cell r="G577"/>
          <cell r="H577"/>
          <cell r="I577">
            <v>22</v>
          </cell>
          <cell r="J577"/>
          <cell r="K577"/>
          <cell r="L577"/>
          <cell r="M577"/>
          <cell r="N577"/>
          <cell r="O577"/>
        </row>
        <row r="578">
          <cell r="A578" t="str">
            <v>195 ED - JUNTOS PODEMOS</v>
          </cell>
          <cell r="B578"/>
          <cell r="C578">
            <v>333</v>
          </cell>
          <cell r="D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A579" t="str">
            <v>653 - FU FUNDACION LUIS CARLOS DIAZ (OESTE)</v>
          </cell>
          <cell r="B579"/>
          <cell r="C579"/>
          <cell r="D579"/>
          <cell r="E579">
            <v>262</v>
          </cell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A580" t="str">
            <v>423-FU FUNDACION CONSTRUYENDO VIDAS EN PANAMA</v>
          </cell>
          <cell r="B580"/>
          <cell r="C580"/>
          <cell r="D580"/>
          <cell r="E580">
            <v>6</v>
          </cell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A581" t="str">
            <v>709 - FU FUNRECRISTO</v>
          </cell>
          <cell r="B581"/>
          <cell r="C581"/>
          <cell r="D581">
            <v>88</v>
          </cell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A582" t="str">
            <v>450-FU MINISTERIO DE RESTAURACION EFESIOS 4 (ESTE)</v>
          </cell>
          <cell r="B582"/>
          <cell r="C582"/>
          <cell r="D582">
            <v>282</v>
          </cell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A583" t="str">
            <v>235 FU - FUNDACION GRUPO ENVIADOS</v>
          </cell>
          <cell r="B583"/>
          <cell r="C583"/>
          <cell r="D583">
            <v>256</v>
          </cell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A584" t="str">
            <v>640 - FU FUNDACIÓN CRISTIANA LA FE EN MARCHA (ESTE)</v>
          </cell>
          <cell r="B584"/>
          <cell r="C584"/>
          <cell r="D584">
            <v>15</v>
          </cell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A585" t="str">
            <v>380-ED COMEDOR COMUNITARIO CASA DEL ALFARERO</v>
          </cell>
          <cell r="B585"/>
          <cell r="C585"/>
          <cell r="D585">
            <v>27</v>
          </cell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A586" t="str">
            <v>202 FU - FUNDACIÓN HOGAR SAN JOSÉ (ESTE)</v>
          </cell>
          <cell r="B586"/>
          <cell r="C586"/>
          <cell r="D586">
            <v>129</v>
          </cell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A587" t="str">
            <v>116 AS - ASOCIACIÓN IGLESIA DE CRISTO ESTRELLA CRECIENTE</v>
          </cell>
          <cell r="B587"/>
          <cell r="C587"/>
          <cell r="D587">
            <v>21</v>
          </cell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A588" t="str">
            <v>451-IG IGLESIA MANANTIAL DE VIDA (ESTE)</v>
          </cell>
          <cell r="B588"/>
          <cell r="C588"/>
          <cell r="D588">
            <v>3</v>
          </cell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A589" t="str">
            <v>469-FU MINISTERIO CRISTIANO EL SHADAI</v>
          </cell>
          <cell r="B589"/>
          <cell r="C589"/>
          <cell r="D589">
            <v>20</v>
          </cell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A590" t="str">
            <v>597- IG MINISTERIO APOSTOLICO NEMUEL INTERNACIONAL</v>
          </cell>
          <cell r="B590"/>
          <cell r="C590"/>
          <cell r="D590">
            <v>131</v>
          </cell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A591" t="str">
            <v>647 - IG CRISTO REY CAMBIANDO VIDAS (ESTE)</v>
          </cell>
          <cell r="B591"/>
          <cell r="C591"/>
          <cell r="D591">
            <v>122</v>
          </cell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A592" t="str">
            <v>417-AS CLUB DE LEONES DE PEDREGAL (ESTE)</v>
          </cell>
          <cell r="B592"/>
          <cell r="C592"/>
          <cell r="D592">
            <v>245</v>
          </cell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A593" t="str">
            <v>252 IG - MINISTERIO INTERNACIONAL DE AMISTADES CRISTIANAS</v>
          </cell>
          <cell r="B593"/>
          <cell r="C593"/>
          <cell r="D593">
            <v>170</v>
          </cell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A594" t="str">
            <v>339-AS ASOCIACION RESIDENCIA LISBETH</v>
          </cell>
          <cell r="B594"/>
          <cell r="C594"/>
          <cell r="D594">
            <v>86</v>
          </cell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A595" t="str">
            <v>144 OR - HERMANAS DE SAN JOSÉ DE LA APARICIÓN (RETIRA EN EL BANCO)</v>
          </cell>
          <cell r="B595"/>
          <cell r="C595"/>
          <cell r="D595">
            <v>290</v>
          </cell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A596" t="str">
            <v>270 FU - FUNDACIÓN MISERICORDIA DE DON BOSCO (OESTE)</v>
          </cell>
          <cell r="B596"/>
          <cell r="C596"/>
          <cell r="D596"/>
          <cell r="E596">
            <v>68</v>
          </cell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A597" t="str">
            <v>698 - FU MINISTERIO BERAKHAH INTERNACIONAL PASO BLANCO</v>
          </cell>
          <cell r="B597"/>
          <cell r="C597"/>
          <cell r="D597">
            <v>21</v>
          </cell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A598" t="str">
            <v>381-FU FUNDAMIDOM</v>
          </cell>
          <cell r="B598"/>
          <cell r="C598"/>
          <cell r="D598"/>
          <cell r="E598">
            <v>55</v>
          </cell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A599" t="str">
            <v>491-FU Fundación Aleluya</v>
          </cell>
          <cell r="B599"/>
          <cell r="C599"/>
          <cell r="D599"/>
          <cell r="E599"/>
          <cell r="F599"/>
          <cell r="G599">
            <v>36</v>
          </cell>
          <cell r="H599"/>
          <cell r="I599"/>
          <cell r="J599"/>
          <cell r="K599"/>
          <cell r="L599"/>
          <cell r="M599"/>
          <cell r="N599"/>
          <cell r="O599"/>
        </row>
        <row r="600">
          <cell r="A600" t="str">
            <v>642 - IG IGLESIA VIDA (CENTRO 1)</v>
          </cell>
          <cell r="B600"/>
          <cell r="C600">
            <v>19</v>
          </cell>
          <cell r="D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A601" t="str">
            <v>681 - FU FUNDACION NUEVA SOCIEDAD (NORTE)</v>
          </cell>
          <cell r="B601"/>
          <cell r="C601"/>
          <cell r="D601"/>
          <cell r="E601"/>
          <cell r="F601"/>
          <cell r="G601"/>
          <cell r="H601"/>
          <cell r="I601">
            <v>74</v>
          </cell>
          <cell r="J601"/>
          <cell r="K601"/>
          <cell r="L601"/>
          <cell r="M601"/>
          <cell r="N601"/>
          <cell r="O601"/>
        </row>
        <row r="602">
          <cell r="A602" t="str">
            <v>94 OR - HOGAR SAN FRANCISCO DE ASÍS</v>
          </cell>
          <cell r="B602"/>
          <cell r="C602"/>
          <cell r="D602"/>
          <cell r="E602"/>
          <cell r="F602"/>
          <cell r="G602"/>
          <cell r="H602"/>
          <cell r="I602"/>
          <cell r="J602">
            <v>101.5</v>
          </cell>
          <cell r="K602"/>
          <cell r="L602"/>
          <cell r="M602"/>
          <cell r="N602"/>
          <cell r="O602"/>
        </row>
        <row r="603">
          <cell r="A603" t="str">
            <v>671 - PA DIOCESIS DE PENONOME (COCLE)</v>
          </cell>
          <cell r="B603"/>
          <cell r="C603"/>
          <cell r="D603"/>
          <cell r="E603"/>
          <cell r="F603"/>
          <cell r="G603"/>
          <cell r="H603"/>
          <cell r="I603"/>
          <cell r="J603"/>
          <cell r="K603">
            <v>59</v>
          </cell>
          <cell r="L603"/>
          <cell r="M603"/>
          <cell r="N603"/>
          <cell r="O603"/>
        </row>
        <row r="604">
          <cell r="A604" t="str">
            <v>377-FU CENTRO CRISTIANO CASA DE DIOS PANAMA</v>
          </cell>
          <cell r="B604"/>
          <cell r="C604"/>
          <cell r="D604"/>
          <cell r="E604"/>
          <cell r="F604"/>
          <cell r="G604">
            <v>20</v>
          </cell>
          <cell r="H604"/>
          <cell r="I604"/>
          <cell r="J604"/>
          <cell r="K604"/>
          <cell r="L604"/>
          <cell r="M604"/>
          <cell r="N604"/>
          <cell r="O604"/>
        </row>
        <row r="605">
          <cell r="A605" t="str">
            <v>Retiro de Merma</v>
          </cell>
          <cell r="B605">
            <v>1765</v>
          </cell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A606" t="str">
            <v>415-AS CLUB DE LEONES DE CHITRE</v>
          </cell>
          <cell r="B606"/>
          <cell r="C606"/>
          <cell r="D606"/>
          <cell r="E606"/>
          <cell r="F606"/>
          <cell r="G606"/>
          <cell r="H606"/>
          <cell r="I606"/>
          <cell r="J606"/>
          <cell r="K606"/>
          <cell r="L606">
            <v>58.5</v>
          </cell>
          <cell r="M606"/>
          <cell r="N606"/>
          <cell r="O606"/>
        </row>
        <row r="607">
          <cell r="A607" t="str">
            <v>656 - FU FUNDACION COCINA DEL REINO Y AMIGOS (CENTRO 1)</v>
          </cell>
          <cell r="B607"/>
          <cell r="C607">
            <v>121</v>
          </cell>
          <cell r="D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A608" t="str">
            <v>364-IG COMEDOR SHEKINA</v>
          </cell>
          <cell r="B608"/>
          <cell r="C608"/>
          <cell r="D608"/>
          <cell r="E608"/>
          <cell r="F608"/>
          <cell r="G608"/>
          <cell r="H608"/>
          <cell r="I608"/>
          <cell r="J608"/>
          <cell r="K608">
            <v>1057</v>
          </cell>
          <cell r="L608"/>
          <cell r="M608"/>
          <cell r="N608"/>
          <cell r="O608"/>
        </row>
        <row r="609">
          <cell r="A609" t="str">
            <v>595-FU CENTRO DE LA MUJER Y LA NIÑEZ</v>
          </cell>
          <cell r="B609"/>
          <cell r="C609">
            <v>53</v>
          </cell>
          <cell r="D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A610" t="str">
            <v>193 OR - FUNDACIÓN UNCIÓN FRESCA</v>
          </cell>
          <cell r="B610"/>
          <cell r="C610"/>
          <cell r="D610"/>
          <cell r="E610">
            <v>9</v>
          </cell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A611" t="str">
            <v>672 - FU FUNDACION NUEVO PACTO POR LA NIÑEZ</v>
          </cell>
          <cell r="B611"/>
          <cell r="C611">
            <v>65</v>
          </cell>
          <cell r="D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A612" t="str">
            <v>118 FU - FUNDACIÓN UN NUEVO AMANECER</v>
          </cell>
          <cell r="B612"/>
          <cell r="C612"/>
          <cell r="D612"/>
          <cell r="E612">
            <v>74</v>
          </cell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A613" t="str">
            <v>669 - IG IGLESIA CAMINO DE SANTIDAD (COLON)</v>
          </cell>
          <cell r="B613"/>
          <cell r="C613"/>
          <cell r="D613"/>
          <cell r="E613"/>
          <cell r="F613"/>
          <cell r="G613"/>
          <cell r="H613">
            <v>13</v>
          </cell>
          <cell r="I613"/>
          <cell r="J613"/>
          <cell r="K613"/>
          <cell r="L613"/>
          <cell r="M613"/>
          <cell r="N613"/>
          <cell r="O613"/>
        </row>
        <row r="614">
          <cell r="A614" t="str">
            <v>360-IG IGLESIA CRISTIANA CASA DE REUNION</v>
          </cell>
          <cell r="B614"/>
          <cell r="C614"/>
          <cell r="D614"/>
          <cell r="E614"/>
          <cell r="F614"/>
          <cell r="G614">
            <v>58</v>
          </cell>
          <cell r="H614"/>
          <cell r="I614"/>
          <cell r="J614"/>
          <cell r="K614"/>
          <cell r="L614"/>
          <cell r="M614"/>
          <cell r="N614"/>
          <cell r="O614"/>
        </row>
        <row r="615">
          <cell r="A615" t="str">
            <v>263 IG TABERNÁCULO DE DIOS DE SAN MIGUEL DEL EXQUISITO</v>
          </cell>
          <cell r="B615"/>
          <cell r="C615"/>
          <cell r="D615"/>
          <cell r="E615"/>
          <cell r="F615"/>
          <cell r="G615"/>
          <cell r="H615"/>
          <cell r="I615"/>
          <cell r="J615">
            <v>324</v>
          </cell>
          <cell r="K615"/>
          <cell r="L615"/>
          <cell r="M615"/>
          <cell r="N615"/>
          <cell r="O615"/>
        </row>
        <row r="616">
          <cell r="A616" t="str">
            <v>719 FU FUNDACION VIDA NUEVA EL SHADDAI</v>
          </cell>
          <cell r="B616"/>
          <cell r="C616"/>
          <cell r="D616"/>
          <cell r="E616"/>
          <cell r="F616"/>
          <cell r="G616">
            <v>228</v>
          </cell>
          <cell r="H616"/>
          <cell r="I616"/>
          <cell r="J616"/>
          <cell r="K616"/>
          <cell r="L616"/>
          <cell r="M616"/>
          <cell r="N616"/>
          <cell r="O616"/>
        </row>
        <row r="617">
          <cell r="A617" t="str">
            <v>54 FU - FUNDACIÓN CASA HOGAR EL BUEN SAMARITANO</v>
          </cell>
          <cell r="B617"/>
          <cell r="C617"/>
          <cell r="D617">
            <v>255</v>
          </cell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A618" t="str">
            <v>710 - AS CLUB DE LEONES DE SONA</v>
          </cell>
          <cell r="B618"/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  <cell r="M618">
            <v>303.5</v>
          </cell>
          <cell r="N618"/>
          <cell r="O618"/>
        </row>
        <row r="619">
          <cell r="A619" t="str">
            <v>684 - FU FUNDACION CASA DEL REY JESUS (CENTRO 2)</v>
          </cell>
          <cell r="B619"/>
          <cell r="C619">
            <v>998</v>
          </cell>
          <cell r="D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A620" t="str">
            <v>723 ASOCIACION AQUI ESTOY</v>
          </cell>
          <cell r="B620"/>
          <cell r="C620"/>
          <cell r="D620"/>
          <cell r="E620">
            <v>62</v>
          </cell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A621" t="str">
            <v>596 IG- IGLESIA EVANGELICA TRINITARIA DIOS FUENTE DE PODER</v>
          </cell>
          <cell r="B621"/>
          <cell r="C621">
            <v>152</v>
          </cell>
          <cell r="D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A622" t="str">
            <v>707 - FU MINISTERIO BERAKHAH INTERNACIONAL CAIMITILLO</v>
          </cell>
          <cell r="B622"/>
          <cell r="C622"/>
          <cell r="D622"/>
          <cell r="E622"/>
          <cell r="F622"/>
          <cell r="G622"/>
          <cell r="H622"/>
          <cell r="I622">
            <v>26</v>
          </cell>
          <cell r="J622"/>
          <cell r="K622"/>
          <cell r="L622"/>
          <cell r="M622"/>
          <cell r="N622"/>
          <cell r="O622"/>
        </row>
        <row r="623">
          <cell r="A623" t="str">
            <v>229 PA - PARROQUIA SAN CRISTOBAL DE CHEPO</v>
          </cell>
          <cell r="B623"/>
          <cell r="C623"/>
          <cell r="D623">
            <v>417</v>
          </cell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A624" t="str">
            <v>157-FU FUNDACION COMEDOR INFANTIL SENDEROS (CENTRO1)</v>
          </cell>
          <cell r="B624"/>
          <cell r="C624">
            <v>164</v>
          </cell>
          <cell r="D624"/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A625" t="str">
            <v>166 FU - FUNDACION CURAME</v>
          </cell>
          <cell r="B625"/>
          <cell r="C625">
            <v>155</v>
          </cell>
          <cell r="D625"/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A626" t="str">
            <v>390-FU FUNDACION CRISTIANA FAMILIAR EL TALLER DEL MAESTRO (CENTRO1)</v>
          </cell>
          <cell r="B626"/>
          <cell r="C626">
            <v>38</v>
          </cell>
          <cell r="D626"/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A627" t="str">
            <v>730-FU SOLIDARIDAD Y DESARROLLO DE PANAMA (VERAGUAS)</v>
          </cell>
          <cell r="B627"/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  <cell r="M627">
            <v>97</v>
          </cell>
          <cell r="N627"/>
          <cell r="O627"/>
        </row>
        <row r="628">
          <cell r="A628" t="str">
            <v>215 IG - IGLESIA INTERNACIONAL DEL EVANGELIO CUADRANGULAR DE (CHIRIQUÍ)</v>
          </cell>
          <cell r="B628"/>
          <cell r="C628"/>
          <cell r="D628"/>
          <cell r="E628"/>
          <cell r="F628"/>
          <cell r="G628"/>
          <cell r="H628"/>
          <cell r="I628"/>
          <cell r="J628">
            <v>7</v>
          </cell>
          <cell r="K628"/>
          <cell r="L628"/>
          <cell r="M628"/>
          <cell r="N628"/>
          <cell r="O628"/>
        </row>
        <row r="629">
          <cell r="A629" t="str">
            <v>737- ASOCIACION CRISTIANA EBEN-EZER (ESTE)</v>
          </cell>
          <cell r="B629"/>
          <cell r="C629"/>
          <cell r="D629">
            <v>195</v>
          </cell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A630" t="str">
            <v>738- IG MINISTERIO DIOS CON NOSOTROS EMANUEL</v>
          </cell>
          <cell r="B630"/>
          <cell r="C630"/>
          <cell r="D630">
            <v>171</v>
          </cell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A631" t="str">
            <v>743- ED CLUB FAMILIA DEPORTIVA</v>
          </cell>
          <cell r="B631"/>
          <cell r="C631">
            <v>24</v>
          </cell>
          <cell r="D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A632" t="str">
            <v>733-IG LA ORACION FUERTE AL ESPIRITU SANTO</v>
          </cell>
          <cell r="B632"/>
          <cell r="C632">
            <v>53</v>
          </cell>
          <cell r="D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A633" t="str">
            <v>745-FU CASA DE MISERICORDIA</v>
          </cell>
          <cell r="B633"/>
          <cell r="C633">
            <v>60</v>
          </cell>
          <cell r="D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A634" t="str">
            <v>748-IG MINISTERIO JESUCRISTO ES EL PAN DE VIDA</v>
          </cell>
          <cell r="B634"/>
          <cell r="C634"/>
          <cell r="D634"/>
          <cell r="E634"/>
          <cell r="F634"/>
          <cell r="G634"/>
          <cell r="H634"/>
          <cell r="I634">
            <v>11</v>
          </cell>
          <cell r="J634"/>
          <cell r="K634"/>
          <cell r="L634"/>
          <cell r="M634"/>
          <cell r="N634"/>
          <cell r="O634"/>
        </row>
        <row r="635">
          <cell r="A635" t="str">
            <v>741-IG BUNKER DE ESPERANZA</v>
          </cell>
          <cell r="B635"/>
          <cell r="C635"/>
          <cell r="D635">
            <v>91</v>
          </cell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A636" t="str">
            <v>749-IG Ministerio Tabernáculo de Santidad Internación (Guararé)</v>
          </cell>
          <cell r="B636"/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  <cell r="M636">
            <v>35</v>
          </cell>
          <cell r="N636"/>
          <cell r="O636"/>
        </row>
        <row r="637">
          <cell r="A637" t="str">
            <v>750-IG MTSI Santiago</v>
          </cell>
          <cell r="B637"/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  <cell r="M637">
            <v>174</v>
          </cell>
          <cell r="N637"/>
          <cell r="O637"/>
        </row>
        <row r="638">
          <cell r="A638" t="str">
            <v>613-FU FUNDACION INMARE</v>
          </cell>
          <cell r="B638"/>
          <cell r="C638"/>
          <cell r="D638"/>
          <cell r="E638"/>
          <cell r="F638"/>
          <cell r="G638"/>
          <cell r="H638"/>
          <cell r="I638"/>
          <cell r="J638"/>
          <cell r="K638">
            <v>956.5</v>
          </cell>
          <cell r="L638"/>
          <cell r="M638"/>
          <cell r="N638"/>
          <cell r="O638"/>
        </row>
        <row r="639">
          <cell r="A639" t="str">
            <v>760-FU AYUDAME A VIVIR</v>
          </cell>
          <cell r="B639"/>
          <cell r="C639"/>
          <cell r="D639"/>
          <cell r="E639"/>
          <cell r="F639"/>
          <cell r="G639"/>
          <cell r="H639"/>
          <cell r="I639">
            <v>76</v>
          </cell>
          <cell r="J639"/>
          <cell r="K639"/>
          <cell r="L639"/>
          <cell r="M639"/>
          <cell r="N639"/>
          <cell r="O639"/>
        </row>
        <row r="640">
          <cell r="A640" t="str">
            <v>281-FU FUNDACIÓN CAMBIO CREATIVO</v>
          </cell>
          <cell r="B640"/>
          <cell r="C640"/>
          <cell r="D640"/>
          <cell r="E640"/>
          <cell r="F640"/>
          <cell r="G640"/>
          <cell r="H640">
            <v>91</v>
          </cell>
          <cell r="I640"/>
          <cell r="J640"/>
          <cell r="K640"/>
          <cell r="L640"/>
          <cell r="M640"/>
          <cell r="N640"/>
          <cell r="O640"/>
        </row>
        <row r="641">
          <cell r="A641" t="str">
            <v>759-FU SOLO ES CUESTION DE FE</v>
          </cell>
          <cell r="B641"/>
          <cell r="C641"/>
          <cell r="D641">
            <v>32</v>
          </cell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A642" t="str">
            <v>275 IG CONCILIO GENERAL DE LAS ASAMBLEAS DE DIOS DE PANAMÁ</v>
          </cell>
          <cell r="B642"/>
          <cell r="C642">
            <v>332</v>
          </cell>
          <cell r="D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A643" t="str">
            <v>752-IG Ministerio Tabernáculo De Santidad Internacional (Chitre)</v>
          </cell>
          <cell r="B643"/>
          <cell r="C643"/>
          <cell r="D643"/>
          <cell r="E643"/>
          <cell r="F643"/>
          <cell r="G643"/>
          <cell r="H643"/>
          <cell r="I643"/>
          <cell r="J643"/>
          <cell r="K643"/>
          <cell r="L643">
            <v>71.5</v>
          </cell>
          <cell r="M643"/>
          <cell r="N643"/>
          <cell r="O643"/>
        </row>
        <row r="644">
          <cell r="A644" t="str">
            <v>758-FU RESTAURANDO EL PRIMER AMOR</v>
          </cell>
          <cell r="B644"/>
          <cell r="C644"/>
          <cell r="D644"/>
          <cell r="E644"/>
          <cell r="F644"/>
          <cell r="G644"/>
          <cell r="H644"/>
          <cell r="I644">
            <v>5</v>
          </cell>
          <cell r="J644"/>
          <cell r="K644"/>
          <cell r="L644"/>
          <cell r="M644"/>
          <cell r="N644"/>
          <cell r="O644"/>
        </row>
        <row r="645">
          <cell r="A645" t="str">
            <v>201 OR - MISIONERAS MADRE LAURA</v>
          </cell>
          <cell r="B645"/>
          <cell r="C645">
            <v>102</v>
          </cell>
          <cell r="D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A646" t="str">
            <v>765-IG EXPANSION MISIONERA RIOS DE AGUA VIVA</v>
          </cell>
          <cell r="B646"/>
          <cell r="C646"/>
          <cell r="D646"/>
          <cell r="E646"/>
          <cell r="F646"/>
          <cell r="G646"/>
          <cell r="H646"/>
          <cell r="I646"/>
          <cell r="J646"/>
          <cell r="K646"/>
          <cell r="L646">
            <v>337</v>
          </cell>
          <cell r="M646"/>
          <cell r="N646"/>
          <cell r="O646"/>
        </row>
        <row r="647">
          <cell r="A647" t="str">
            <v>766-IG MINISTERIO BET-EL</v>
          </cell>
          <cell r="B647"/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>
            <v>250</v>
          </cell>
        </row>
        <row r="648">
          <cell r="A648" t="str">
            <v>785-FU FUNDACION GOTAS DE ESPERANZA</v>
          </cell>
          <cell r="B648"/>
          <cell r="C648"/>
          <cell r="D648"/>
          <cell r="E648">
            <v>96</v>
          </cell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A649" t="str">
            <v>394-IG IGLESIA ESCUADRONES DEL EJERCITO DE DIOS (CENTRO2)</v>
          </cell>
          <cell r="B649"/>
          <cell r="C649">
            <v>127</v>
          </cell>
          <cell r="D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A650" t="str">
            <v>789-FU Fundación Rescate de Alimentos</v>
          </cell>
          <cell r="B650"/>
          <cell r="C650">
            <v>181</v>
          </cell>
          <cell r="D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A651" t="str">
            <v>424-AS MINISTERIO EL PODER DE LA SANGRE QUE LIBERTA (ESTE)</v>
          </cell>
          <cell r="B651"/>
          <cell r="C651"/>
          <cell r="D651">
            <v>3</v>
          </cell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A652" t="str">
            <v>793-FU Fundación Príncipes de Jehová</v>
          </cell>
          <cell r="B652"/>
          <cell r="C652"/>
          <cell r="D652"/>
          <cell r="E652"/>
          <cell r="F652"/>
          <cell r="G652"/>
          <cell r="H652"/>
          <cell r="I652">
            <v>41</v>
          </cell>
          <cell r="J652"/>
          <cell r="K652"/>
          <cell r="L652"/>
          <cell r="M652"/>
          <cell r="N652"/>
          <cell r="O652"/>
        </row>
        <row r="653">
          <cell r="A653" t="str">
            <v>791-FU FUNDACION DIVINO NINO JESUS DE MI CORAZON</v>
          </cell>
          <cell r="B653"/>
          <cell r="C653"/>
          <cell r="D653">
            <v>57</v>
          </cell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A654" t="str">
            <v>69 FU - FUNDACIÓN VIDA ABUNDANTE</v>
          </cell>
          <cell r="B654"/>
          <cell r="C654">
            <v>215</v>
          </cell>
          <cell r="D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A655" t="str">
            <v>598- IG IGLESIA GLORIA TRANSFORMADORA SHEKINAH</v>
          </cell>
          <cell r="B655"/>
          <cell r="C655"/>
          <cell r="D655"/>
          <cell r="E655">
            <v>48</v>
          </cell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A656" t="str">
            <v>138 OR - HERMANAS FRANCISCANAS DE MARIA INMACULADALA</v>
          </cell>
          <cell r="B656"/>
          <cell r="C656"/>
          <cell r="D656"/>
          <cell r="E656"/>
          <cell r="F656"/>
          <cell r="G656"/>
          <cell r="H656">
            <v>73</v>
          </cell>
          <cell r="I656"/>
          <cell r="J656"/>
          <cell r="K656"/>
          <cell r="L656"/>
          <cell r="M656"/>
          <cell r="N656"/>
          <cell r="O656"/>
        </row>
        <row r="657">
          <cell r="A657" t="str">
            <v>3 IG - IGLESIA DEL NAZARENO</v>
          </cell>
          <cell r="B657"/>
          <cell r="C657"/>
          <cell r="D657"/>
          <cell r="E657">
            <v>26</v>
          </cell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A658" t="str">
            <v>232 IG MINISTERIO TIEMPO DE COSECHA</v>
          </cell>
          <cell r="B658"/>
          <cell r="C658"/>
          <cell r="D658"/>
          <cell r="E658"/>
          <cell r="F658"/>
          <cell r="G658"/>
          <cell r="H658"/>
          <cell r="I658">
            <v>33</v>
          </cell>
          <cell r="J658"/>
          <cell r="K658"/>
          <cell r="L658"/>
          <cell r="M658"/>
          <cell r="N658"/>
          <cell r="O658"/>
        </row>
        <row r="659">
          <cell r="A659" t="str">
            <v>797-IG Templo Bendicion de Jehova</v>
          </cell>
          <cell r="B659"/>
          <cell r="C659"/>
          <cell r="D659"/>
          <cell r="E659"/>
          <cell r="F659"/>
          <cell r="G659"/>
          <cell r="H659"/>
          <cell r="I659">
            <v>21</v>
          </cell>
          <cell r="J659"/>
          <cell r="K659"/>
          <cell r="L659"/>
          <cell r="M659"/>
          <cell r="N659"/>
          <cell r="O659"/>
        </row>
        <row r="660">
          <cell r="A660" t="str">
            <v>804-IG Templo Misionero Eclesiastés</v>
          </cell>
          <cell r="B660"/>
          <cell r="C660"/>
          <cell r="D660"/>
          <cell r="E660"/>
          <cell r="F660"/>
          <cell r="G660"/>
          <cell r="H660"/>
          <cell r="I660">
            <v>4</v>
          </cell>
          <cell r="J660"/>
          <cell r="K660"/>
          <cell r="L660"/>
          <cell r="M660"/>
          <cell r="N660"/>
          <cell r="O660"/>
        </row>
        <row r="661">
          <cell r="A661" t="str">
            <v>661 - FU FUNDACION MAS INTEGRADOS (DARIEN)</v>
          </cell>
          <cell r="B661"/>
          <cell r="C661"/>
          <cell r="D661"/>
          <cell r="E661"/>
          <cell r="F661">
            <v>87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A662" t="str">
            <v>753-AS CLUB ACTIVO 20-30 DE CHITRE</v>
          </cell>
          <cell r="B662"/>
          <cell r="C662"/>
          <cell r="D662"/>
          <cell r="E662"/>
          <cell r="F662"/>
          <cell r="G662"/>
          <cell r="H662"/>
          <cell r="I662"/>
          <cell r="J662"/>
          <cell r="K662"/>
          <cell r="L662">
            <v>14</v>
          </cell>
          <cell r="M662"/>
          <cell r="N662"/>
          <cell r="O662"/>
        </row>
        <row r="663">
          <cell r="A663" t="str">
            <v>240 PA - PARROQUIA SAN JOSÉ - PESE</v>
          </cell>
          <cell r="B663"/>
          <cell r="C663"/>
          <cell r="D663"/>
          <cell r="E663"/>
          <cell r="F663"/>
          <cell r="G663"/>
          <cell r="H663"/>
          <cell r="I663"/>
          <cell r="J663"/>
          <cell r="K663"/>
          <cell r="L663">
            <v>150.5</v>
          </cell>
          <cell r="M663"/>
          <cell r="N663"/>
          <cell r="O663"/>
        </row>
        <row r="664">
          <cell r="A664" t="str">
            <v>735-AS CHICHICA</v>
          </cell>
          <cell r="B664"/>
          <cell r="C664"/>
          <cell r="D664"/>
          <cell r="E664"/>
          <cell r="F664"/>
          <cell r="G664"/>
          <cell r="H664"/>
          <cell r="I664"/>
          <cell r="J664"/>
          <cell r="K664">
            <v>740</v>
          </cell>
          <cell r="L664"/>
          <cell r="M664"/>
          <cell r="N664"/>
          <cell r="O664"/>
        </row>
        <row r="665">
          <cell r="A665" t="str">
            <v>20 FU - REMAR (CENTRO1)</v>
          </cell>
          <cell r="B665"/>
          <cell r="C665">
            <v>59</v>
          </cell>
          <cell r="D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A666" t="str">
            <v>253 FU - FUNDACIÓN PARA EL BIENESTAR SOCIAL (CENTRO2)</v>
          </cell>
          <cell r="B666"/>
          <cell r="C666">
            <v>356</v>
          </cell>
          <cell r="D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A667" t="str">
            <v>463-FU MINISTERIO BERAKHAH INTERNACIONAL COMEDOR OASIS DE ESPERANZA (ESTE)</v>
          </cell>
          <cell r="B667"/>
          <cell r="C667"/>
          <cell r="D667">
            <v>12</v>
          </cell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A668" t="str">
            <v>650 - IG ASOCIACION CRISTIANA EBEN - EZER #27 (ESTE)</v>
          </cell>
          <cell r="B668"/>
          <cell r="C668"/>
          <cell r="D668">
            <v>36</v>
          </cell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A669" t="str">
            <v>375-FU Ministerio a Dios sea la Gloria</v>
          </cell>
          <cell r="B669"/>
          <cell r="C669">
            <v>123</v>
          </cell>
          <cell r="D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A670" t="str">
            <v>802-IG IGLESIA INTERNACIONAL DEL EVANGELIO CUADRANGULAR DE PANAMÁ</v>
          </cell>
          <cell r="B670"/>
          <cell r="C670">
            <v>48</v>
          </cell>
          <cell r="D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A671" t="str">
            <v>227 FU - AID FOR AIDS PANAMÁ</v>
          </cell>
          <cell r="B671"/>
          <cell r="C671">
            <v>6</v>
          </cell>
          <cell r="D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A672" t="str">
            <v>814-IG Templo Morada Santa</v>
          </cell>
          <cell r="B672"/>
          <cell r="C672"/>
          <cell r="D672"/>
          <cell r="E672"/>
          <cell r="F672">
            <v>23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A673" t="str">
            <v>185 FU - FUNDACIÓN ABIA YALA</v>
          </cell>
          <cell r="B673"/>
          <cell r="C673">
            <v>30</v>
          </cell>
          <cell r="D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A674" t="str">
            <v>786-FU ACADEMIA DE FUTBOL ROMAN TORRES</v>
          </cell>
          <cell r="B674"/>
          <cell r="C674">
            <v>70</v>
          </cell>
          <cell r="D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A675" t="str">
            <v>496-AS CUERPO DE VOLUNTARIAS DEL HOSPITAL DEL NIÑO</v>
          </cell>
          <cell r="B675"/>
          <cell r="C675">
            <v>160</v>
          </cell>
          <cell r="D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A676" t="str">
            <v>734-FU MINISTERIO DE SALVACION EL CAMINO DE DIOS</v>
          </cell>
          <cell r="B676"/>
          <cell r="C676"/>
          <cell r="D676"/>
          <cell r="E676"/>
          <cell r="F676"/>
          <cell r="G676"/>
          <cell r="H676"/>
          <cell r="I676">
            <v>33</v>
          </cell>
          <cell r="J676"/>
          <cell r="K676"/>
          <cell r="L676"/>
          <cell r="M676"/>
          <cell r="N676"/>
          <cell r="O676"/>
        </row>
        <row r="677">
          <cell r="A677" t="str">
            <v>392-FU Fundacion Jerusalen Trono de Jehova III</v>
          </cell>
          <cell r="B677"/>
          <cell r="C677"/>
          <cell r="D677"/>
          <cell r="E677">
            <v>106</v>
          </cell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A678" t="str">
            <v>641 - IG IGLESIA EVANGELICA QUIRIAT SALEM (ESTE)</v>
          </cell>
          <cell r="B678"/>
          <cell r="C678"/>
          <cell r="D678">
            <v>83</v>
          </cell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A679" t="str">
            <v>471-FU FUNDACION BUSCANDO UNA OPORTUNIDAD</v>
          </cell>
          <cell r="B679"/>
          <cell r="C679"/>
          <cell r="D679"/>
          <cell r="E679">
            <v>84</v>
          </cell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A680" t="str">
            <v>5 AS - ASOCIACIÓN DAME UNA OPORTUNIDAD</v>
          </cell>
          <cell r="B680"/>
          <cell r="C680">
            <v>92</v>
          </cell>
          <cell r="D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A681" t="str">
            <v>756-FU Fundación Nuevas Rutas</v>
          </cell>
          <cell r="B681"/>
          <cell r="C681"/>
          <cell r="D681"/>
          <cell r="E681"/>
          <cell r="F681"/>
          <cell r="G681"/>
          <cell r="H681"/>
          <cell r="I681"/>
          <cell r="J681">
            <v>612</v>
          </cell>
          <cell r="K681"/>
          <cell r="L681"/>
          <cell r="M681"/>
          <cell r="N681"/>
          <cell r="O681"/>
        </row>
        <row r="682">
          <cell r="A682" t="str">
            <v>708 - FU MINISTERIO BERAKHAH INTERNACIONAL GUARARE</v>
          </cell>
          <cell r="B682"/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>
            <v>28.5</v>
          </cell>
        </row>
        <row r="683">
          <cell r="A683" t="str">
            <v>341-PA PARROQUIA SANTIAGO APOSTOL ALANJE (CHIRIQUÍ)</v>
          </cell>
          <cell r="B683"/>
          <cell r="C683"/>
          <cell r="D683"/>
          <cell r="E683"/>
          <cell r="F683"/>
          <cell r="G683"/>
          <cell r="H683"/>
          <cell r="I683"/>
          <cell r="J683">
            <v>14</v>
          </cell>
          <cell r="K683"/>
          <cell r="L683"/>
          <cell r="M683"/>
          <cell r="N683"/>
          <cell r="O683"/>
        </row>
        <row r="684">
          <cell r="A684" t="str">
            <v>114 FU - FUNDACION TEEN CHALLENGE PANAMA</v>
          </cell>
          <cell r="B684"/>
          <cell r="C684"/>
          <cell r="D684"/>
          <cell r="E684"/>
          <cell r="F684"/>
          <cell r="G684"/>
          <cell r="H684"/>
          <cell r="I684"/>
          <cell r="J684"/>
          <cell r="K684"/>
          <cell r="L684">
            <v>100</v>
          </cell>
          <cell r="M684"/>
          <cell r="N684"/>
          <cell r="O684"/>
        </row>
        <row r="685">
          <cell r="A685" t="str">
            <v>422-AS Club de Leones de Penonome</v>
          </cell>
          <cell r="B685"/>
          <cell r="C685"/>
          <cell r="D685"/>
          <cell r="E685"/>
          <cell r="F685"/>
          <cell r="G685"/>
          <cell r="H685"/>
          <cell r="I685"/>
          <cell r="J685"/>
          <cell r="K685">
            <v>16</v>
          </cell>
          <cell r="L685"/>
          <cell r="M685"/>
          <cell r="N685"/>
          <cell r="O685"/>
        </row>
        <row r="686">
          <cell r="A686" t="str">
            <v>828-IG IDN LAS TINAJAS</v>
          </cell>
          <cell r="B686"/>
          <cell r="C686"/>
          <cell r="D686"/>
          <cell r="E686"/>
          <cell r="F686"/>
          <cell r="G686"/>
          <cell r="H686"/>
          <cell r="I686"/>
          <cell r="J686">
            <v>28</v>
          </cell>
          <cell r="K686"/>
          <cell r="L686"/>
          <cell r="M686"/>
          <cell r="N686"/>
          <cell r="O686"/>
        </row>
        <row r="687">
          <cell r="A687" t="str">
            <v>813-IG Comedor Centro De Esperanza Elohim</v>
          </cell>
          <cell r="B687"/>
          <cell r="C687"/>
          <cell r="D687"/>
          <cell r="E687"/>
          <cell r="F687"/>
          <cell r="G687"/>
          <cell r="H687"/>
          <cell r="I687"/>
          <cell r="J687"/>
          <cell r="K687">
            <v>57.5</v>
          </cell>
          <cell r="L687"/>
          <cell r="M687"/>
          <cell r="N687"/>
          <cell r="O687"/>
        </row>
        <row r="688">
          <cell r="A688" t="str">
            <v>770-IG CENTRO CRISTIANO NUEVA VIDA</v>
          </cell>
          <cell r="B688"/>
          <cell r="C688"/>
          <cell r="D688"/>
          <cell r="E688"/>
          <cell r="F688"/>
          <cell r="G688"/>
          <cell r="H688"/>
          <cell r="I688"/>
          <cell r="J688"/>
          <cell r="K688">
            <v>32</v>
          </cell>
          <cell r="L688"/>
          <cell r="M688"/>
          <cell r="N688"/>
          <cell r="O688"/>
        </row>
        <row r="689">
          <cell r="A689" t="str">
            <v>728-FU ANCEC SANTIAGO</v>
          </cell>
          <cell r="B689"/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  <cell r="M689">
            <v>100</v>
          </cell>
          <cell r="N689"/>
          <cell r="O689"/>
        </row>
        <row r="690">
          <cell r="A690" t="str">
            <v>821-IG Ministerio de Adoracion Y Restauracion Guardadores del Pacto</v>
          </cell>
          <cell r="B690"/>
          <cell r="C690"/>
          <cell r="D690"/>
          <cell r="E690"/>
          <cell r="F690"/>
          <cell r="G690"/>
          <cell r="H690"/>
          <cell r="I690"/>
          <cell r="J690"/>
          <cell r="K690"/>
          <cell r="L690">
            <v>107</v>
          </cell>
          <cell r="M690"/>
          <cell r="N690"/>
          <cell r="O690"/>
        </row>
        <row r="691">
          <cell r="A691" t="str">
            <v>731-FU CENTRO DE NIÑOS DOWN</v>
          </cell>
          <cell r="B691"/>
          <cell r="C691"/>
          <cell r="D691"/>
          <cell r="E691"/>
          <cell r="F691"/>
          <cell r="G691"/>
          <cell r="H691"/>
          <cell r="I691"/>
          <cell r="J691"/>
          <cell r="K691"/>
          <cell r="L691">
            <v>58.5</v>
          </cell>
          <cell r="M691"/>
          <cell r="N691"/>
          <cell r="O691"/>
        </row>
        <row r="692">
          <cell r="A692" t="str">
            <v>245-FU MINISTERIO BERAKHAH INTERNACIONAL CUENTA PRINCIPAL</v>
          </cell>
          <cell r="B692"/>
          <cell r="C692"/>
          <cell r="D692">
            <v>170</v>
          </cell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A693" t="str">
            <v>FELIPE MOTTA, S.A</v>
          </cell>
          <cell r="B693">
            <v>0.95</v>
          </cell>
          <cell r="C693">
            <v>81</v>
          </cell>
          <cell r="D693">
            <v>113</v>
          </cell>
          <cell r="E693">
            <v>35</v>
          </cell>
          <cell r="F693">
            <v>1</v>
          </cell>
          <cell r="G693">
            <v>16</v>
          </cell>
          <cell r="H693">
            <v>28</v>
          </cell>
          <cell r="I693">
            <v>19</v>
          </cell>
          <cell r="J693">
            <v>3</v>
          </cell>
          <cell r="K693"/>
          <cell r="L693"/>
          <cell r="M693"/>
          <cell r="N693"/>
          <cell r="O693"/>
        </row>
        <row r="694">
          <cell r="A694" t="str">
            <v>178 IG - TEMPLO ZURIEL EL REFUGIO</v>
          </cell>
          <cell r="B694"/>
          <cell r="C694"/>
          <cell r="D694"/>
          <cell r="E694"/>
          <cell r="F694"/>
          <cell r="G694">
            <v>12</v>
          </cell>
          <cell r="H694"/>
          <cell r="I694"/>
          <cell r="J694"/>
          <cell r="K694"/>
          <cell r="L694"/>
          <cell r="M694"/>
          <cell r="N694"/>
          <cell r="O694"/>
        </row>
        <row r="695">
          <cell r="A695" t="str">
            <v>207 IG - IGLESIA CENTRO DE VIDA CRISTIANA</v>
          </cell>
          <cell r="B695"/>
          <cell r="C695"/>
          <cell r="D695">
            <v>5</v>
          </cell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A696" t="str">
            <v>636- FU JAH - LIVE (JAHL) - COLON</v>
          </cell>
          <cell r="B696"/>
          <cell r="C696"/>
          <cell r="D696"/>
          <cell r="E696"/>
          <cell r="F696"/>
          <cell r="G696"/>
          <cell r="H696">
            <v>23</v>
          </cell>
          <cell r="I696"/>
          <cell r="J696"/>
          <cell r="K696"/>
          <cell r="L696"/>
          <cell r="M696"/>
          <cell r="N696"/>
          <cell r="O696"/>
        </row>
        <row r="697">
          <cell r="A697" t="str">
            <v>224 OR MISIONERAS DE LA CARIDAD DE COLON</v>
          </cell>
          <cell r="B697"/>
          <cell r="C697"/>
          <cell r="D697"/>
          <cell r="E697"/>
          <cell r="F697"/>
          <cell r="G697"/>
          <cell r="H697">
            <v>5</v>
          </cell>
          <cell r="I697"/>
          <cell r="J697"/>
          <cell r="K697"/>
          <cell r="L697"/>
          <cell r="M697"/>
          <cell r="N697"/>
          <cell r="O697"/>
        </row>
        <row r="698">
          <cell r="A698" t="str">
            <v>365-IG COMEDOR HEFZIBA</v>
          </cell>
          <cell r="B698"/>
          <cell r="C698"/>
          <cell r="D698"/>
          <cell r="E698"/>
          <cell r="F698"/>
          <cell r="G698"/>
          <cell r="H698"/>
          <cell r="I698">
            <v>10</v>
          </cell>
          <cell r="J698"/>
          <cell r="K698"/>
          <cell r="L698"/>
          <cell r="M698"/>
          <cell r="N698"/>
          <cell r="O698"/>
        </row>
        <row r="699">
          <cell r="A699" t="str">
            <v>635 TEMPLO ADULAM</v>
          </cell>
          <cell r="B699"/>
          <cell r="C699"/>
          <cell r="D699"/>
          <cell r="E699">
            <v>8</v>
          </cell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A700" t="str">
            <v>687 - FU FUNDACION ARCA DE JESUS</v>
          </cell>
          <cell r="B700"/>
          <cell r="C700"/>
          <cell r="D700"/>
          <cell r="E700">
            <v>3</v>
          </cell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A701" t="str">
            <v>218 ED - LOS PREFERIDOS DEL SEÑOR (CENTRO2)</v>
          </cell>
          <cell r="B701"/>
          <cell r="C701">
            <v>9</v>
          </cell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A702" t="str">
            <v>187 IG - IGLESIA DE DIOS DE LA PROFECÍA</v>
          </cell>
          <cell r="B702"/>
          <cell r="C702"/>
          <cell r="D702">
            <v>30</v>
          </cell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A703" t="str">
            <v>321-IG IGLESIA DIOS ES MI PROVEEDOR Y SUSTENTO</v>
          </cell>
          <cell r="B703"/>
          <cell r="C703"/>
          <cell r="D703">
            <v>15</v>
          </cell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A704" t="str">
            <v>366-FU CENTRO MISIONERO EL SHADAI (ESTE)</v>
          </cell>
          <cell r="B704"/>
          <cell r="C704"/>
          <cell r="D704">
            <v>13</v>
          </cell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A705" t="str">
            <v>498-FU COMEDOR NIÑOS DE BENDICION</v>
          </cell>
          <cell r="B705"/>
          <cell r="C705"/>
          <cell r="D705"/>
          <cell r="E705">
            <v>8</v>
          </cell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A706" t="str">
            <v>197 FU FUNDACION SOCIAL CULTURAL Y AMBIENTAL DE VERACRUZ (OESTE)</v>
          </cell>
          <cell r="B706"/>
          <cell r="C706"/>
          <cell r="D706"/>
          <cell r="E706">
            <v>3</v>
          </cell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A707" t="str">
            <v>183 ED - BELÉN CASA DE PAN (ESTE)</v>
          </cell>
          <cell r="B707"/>
          <cell r="C707"/>
          <cell r="D707">
            <v>8</v>
          </cell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A708" t="str">
            <v>431-IG IGLESIA ADVENTISTA DISTRITO 8</v>
          </cell>
          <cell r="B708"/>
          <cell r="C708"/>
          <cell r="D708">
            <v>1</v>
          </cell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A709" t="str">
            <v>487-FU FUNDACION CASA AVE MARIA</v>
          </cell>
          <cell r="B709"/>
          <cell r="C709"/>
          <cell r="D709"/>
          <cell r="E709">
            <v>10</v>
          </cell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A710" t="str">
            <v>668 - FU FUNDACION CRISTIANA LA FE EN MARCHA</v>
          </cell>
          <cell r="B710"/>
          <cell r="C710"/>
          <cell r="D710"/>
          <cell r="E710"/>
          <cell r="F710"/>
          <cell r="G710"/>
          <cell r="H710"/>
          <cell r="I710"/>
          <cell r="J710">
            <v>3</v>
          </cell>
          <cell r="K710"/>
          <cell r="L710"/>
          <cell r="M710"/>
          <cell r="N710"/>
          <cell r="O710"/>
        </row>
        <row r="711">
          <cell r="A711" t="str">
            <v>630-IG MIN.INTL.DE CRISTO PAZ DE DIOS</v>
          </cell>
          <cell r="B711"/>
          <cell r="C711">
            <v>22</v>
          </cell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A712" t="str">
            <v>647 - IG CRISTO REY CAMBIANDO VIDAS (ESTE)</v>
          </cell>
          <cell r="B712"/>
          <cell r="C712"/>
          <cell r="D712">
            <v>5</v>
          </cell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A713" t="str">
            <v>252 IG - MINISTERIO INTERNACIONAL DE AMISTADES CRISTIANAS</v>
          </cell>
          <cell r="B713"/>
          <cell r="C713"/>
          <cell r="D713">
            <v>4</v>
          </cell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A714" t="str">
            <v>144 OR - HERMANAS DE SAN JOSÉ DE LA APARICIÓN (RETIRA EN EL BANCO)</v>
          </cell>
          <cell r="B714"/>
          <cell r="C714"/>
          <cell r="D714">
            <v>13</v>
          </cell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A715" t="str">
            <v>681 - FU FUNDACION NUEVA SOCIEDAD (NORTE)</v>
          </cell>
          <cell r="B715"/>
          <cell r="C715"/>
          <cell r="D715"/>
          <cell r="E715"/>
          <cell r="F715"/>
          <cell r="G715"/>
          <cell r="H715"/>
          <cell r="I715">
            <v>9</v>
          </cell>
          <cell r="J715"/>
          <cell r="K715"/>
          <cell r="L715"/>
          <cell r="M715"/>
          <cell r="N715"/>
          <cell r="O715"/>
        </row>
        <row r="716">
          <cell r="A716" t="str">
            <v>Retiro de Merma</v>
          </cell>
          <cell r="B716">
            <v>0.95</v>
          </cell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A717" t="str">
            <v>656 - FU FUNDACION COCINA DEL REINO Y AMIGOS (CENTRO 1)</v>
          </cell>
          <cell r="B717"/>
          <cell r="C717">
            <v>3</v>
          </cell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A718" t="str">
            <v>719 FU FUNDACION VIDA NUEVA EL SHADDAI</v>
          </cell>
          <cell r="B718"/>
          <cell r="C718"/>
          <cell r="D718"/>
          <cell r="E718"/>
          <cell r="F718"/>
          <cell r="G718">
            <v>4</v>
          </cell>
          <cell r="H718"/>
          <cell r="I718"/>
          <cell r="J718"/>
          <cell r="K718"/>
          <cell r="L718"/>
          <cell r="M718"/>
          <cell r="N718"/>
          <cell r="O718"/>
        </row>
        <row r="719">
          <cell r="A719" t="str">
            <v>684 - FU FUNDACION CASA DEL REY JESUS (CENTRO 2)</v>
          </cell>
          <cell r="B719"/>
          <cell r="C719">
            <v>21</v>
          </cell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A720" t="str">
            <v>229 PA - PARROQUIA SAN CRISTOBAL DE CHEPO</v>
          </cell>
          <cell r="B720"/>
          <cell r="C720"/>
          <cell r="D720">
            <v>5</v>
          </cell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A721" t="str">
            <v>737- ASOCIACION CRISTIANA EBEN-EZER (ESTE)</v>
          </cell>
          <cell r="B721"/>
          <cell r="C721"/>
          <cell r="D721">
            <v>9</v>
          </cell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A722" t="str">
            <v>275 IG CONCILIO GENERAL DE LAS ASAMBLEAS DE DIOS DE PANAMÁ</v>
          </cell>
          <cell r="B722"/>
          <cell r="C722">
            <v>9</v>
          </cell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A723" t="str">
            <v>201 OR - MISIONERAS MADRE LAURA</v>
          </cell>
          <cell r="B723"/>
          <cell r="C723">
            <v>9</v>
          </cell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A724" t="str">
            <v>394-IG IGLESIA ESCUADRONES DEL EJERCITO DE DIOS (CENTRO2)</v>
          </cell>
          <cell r="B724"/>
          <cell r="C724">
            <v>5</v>
          </cell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A725" t="str">
            <v>598- IG IGLESIA GLORIA TRANSFORMADORA SHEKINAH</v>
          </cell>
          <cell r="B725"/>
          <cell r="C725"/>
          <cell r="D725"/>
          <cell r="E725">
            <v>3</v>
          </cell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A726" t="str">
            <v>661 - FU FUNDACION MAS INTEGRADOS (DARIEN)</v>
          </cell>
          <cell r="B726"/>
          <cell r="C726"/>
          <cell r="D726"/>
          <cell r="E726"/>
          <cell r="F726">
            <v>1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A727" t="str">
            <v>375-FU Ministerio a Dios sea la Gloria</v>
          </cell>
          <cell r="B727"/>
          <cell r="C727">
            <v>3</v>
          </cell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A728" t="str">
            <v>245-FU MINISTERIO BERAKHAH INTERNACIONAL CUENTA PRINCIPAL</v>
          </cell>
          <cell r="B728"/>
          <cell r="C728"/>
          <cell r="D728">
            <v>5</v>
          </cell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A729" t="str">
            <v>ORDEN DE MALTA PANAMA ASOCIACION PANAMEÑA</v>
          </cell>
          <cell r="B729"/>
          <cell r="C729">
            <v>719</v>
          </cell>
          <cell r="D729">
            <v>991</v>
          </cell>
          <cell r="E729">
            <v>130</v>
          </cell>
          <cell r="F729">
            <v>15</v>
          </cell>
          <cell r="G729">
            <v>75</v>
          </cell>
          <cell r="H729"/>
          <cell r="I729">
            <v>5</v>
          </cell>
          <cell r="J729">
            <v>294</v>
          </cell>
          <cell r="K729">
            <v>210</v>
          </cell>
          <cell r="L729">
            <v>266</v>
          </cell>
          <cell r="M729">
            <v>70</v>
          </cell>
          <cell r="N729"/>
          <cell r="O729">
            <v>28</v>
          </cell>
        </row>
        <row r="730">
          <cell r="A730" t="str">
            <v>662-IG MINISTERIO EVANGELICO EL APOSENTO ALTO (CENTRO 1)</v>
          </cell>
          <cell r="B730"/>
          <cell r="C730">
            <v>15</v>
          </cell>
          <cell r="D730"/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A731" t="str">
            <v>702 - FU MINISTERIO BERAKHAH INTERNACIONAL ARRAIJAN</v>
          </cell>
          <cell r="B731"/>
          <cell r="C731"/>
          <cell r="D731"/>
          <cell r="E731">
            <v>20</v>
          </cell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A732" t="str">
            <v>298-FU - MINISTERIO FUENTE DE VIDA PARA EL PERDIDO</v>
          </cell>
          <cell r="B732"/>
          <cell r="C732"/>
          <cell r="D732"/>
          <cell r="E732"/>
          <cell r="F732">
            <v>15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A733" t="str">
            <v>175 AS - ASOCIACIÓN RESTAURANDO VIDAS</v>
          </cell>
          <cell r="B733"/>
          <cell r="C733"/>
          <cell r="D733">
            <v>25</v>
          </cell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A734" t="str">
            <v>178 IG - TEMPLO ZURIEL EL REFUGIO</v>
          </cell>
          <cell r="B734"/>
          <cell r="C734"/>
          <cell r="D734"/>
          <cell r="E734"/>
          <cell r="F734"/>
          <cell r="G734">
            <v>40</v>
          </cell>
          <cell r="H734"/>
          <cell r="I734"/>
          <cell r="J734"/>
          <cell r="K734"/>
          <cell r="L734"/>
          <cell r="M734"/>
          <cell r="N734"/>
          <cell r="O734"/>
        </row>
        <row r="735">
          <cell r="A735" t="str">
            <v>687 - FU FUNDACION ARCA DE JESUS</v>
          </cell>
          <cell r="B735"/>
          <cell r="C735"/>
          <cell r="D735"/>
          <cell r="E735">
            <v>60</v>
          </cell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A736" t="str">
            <v>218 ED - LOS PREFERIDOS DEL SEÑOR (CENTRO2)</v>
          </cell>
          <cell r="B736"/>
          <cell r="C736">
            <v>504</v>
          </cell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A737" t="str">
            <v>695 - FU MINISTERIO BERAKHAH INTERNACIONAL 24 DIC</v>
          </cell>
          <cell r="B737"/>
          <cell r="C737"/>
          <cell r="D737">
            <v>35</v>
          </cell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A738" t="str">
            <v>703 - FU MINISTERIO BERAKHAH INTERNACIONAL FELIPILLO #3</v>
          </cell>
          <cell r="B738"/>
          <cell r="C738"/>
          <cell r="D738">
            <v>20</v>
          </cell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A739" t="str">
            <v>654 - IG M.I.A.F NUEVA JERUSALEN PANAMA (ESTE)</v>
          </cell>
          <cell r="B739"/>
          <cell r="C739"/>
          <cell r="D739">
            <v>60</v>
          </cell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A740" t="str">
            <v>284 - IG MINISTERIO PAN DE VIDA</v>
          </cell>
          <cell r="B740"/>
          <cell r="C740"/>
          <cell r="D740"/>
          <cell r="E740"/>
          <cell r="F740"/>
          <cell r="G740"/>
          <cell r="H740"/>
          <cell r="I740"/>
          <cell r="J740">
            <v>14</v>
          </cell>
          <cell r="K740"/>
          <cell r="L740"/>
          <cell r="M740"/>
          <cell r="N740"/>
          <cell r="O740"/>
        </row>
        <row r="741">
          <cell r="A741" t="str">
            <v>2 PA - PARROQUIA SAN JUAN MARIA VIANNEY (NORTE)</v>
          </cell>
          <cell r="B741"/>
          <cell r="C741"/>
          <cell r="D741"/>
          <cell r="E741"/>
          <cell r="F741"/>
          <cell r="G741"/>
          <cell r="H741"/>
          <cell r="I741">
            <v>5</v>
          </cell>
          <cell r="J741"/>
          <cell r="K741"/>
          <cell r="L741"/>
          <cell r="M741"/>
          <cell r="N741"/>
          <cell r="O741"/>
        </row>
        <row r="742">
          <cell r="A742" t="str">
            <v>696 - FU MINISTERIO BERAKHAH INTERNACIONAL CHEPO #1</v>
          </cell>
          <cell r="B742"/>
          <cell r="C742"/>
          <cell r="D742">
            <v>35</v>
          </cell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A743" t="str">
            <v>668 - FU FUNDACION CRISTIANA LA FE EN MARCHA</v>
          </cell>
          <cell r="B743"/>
          <cell r="C743"/>
          <cell r="D743"/>
          <cell r="E743"/>
          <cell r="F743"/>
          <cell r="G743"/>
          <cell r="H743"/>
          <cell r="I743"/>
          <cell r="J743">
            <v>154</v>
          </cell>
          <cell r="K743"/>
          <cell r="L743"/>
          <cell r="M743"/>
          <cell r="N743"/>
          <cell r="O743"/>
        </row>
        <row r="744">
          <cell r="A744" t="str">
            <v>300 ED - BENEFICIARIOS</v>
          </cell>
          <cell r="B744"/>
          <cell r="C744"/>
          <cell r="D744">
            <v>576</v>
          </cell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A745" t="str">
            <v>397-FU FUNDACION SHALOM PANAMA</v>
          </cell>
          <cell r="B745"/>
          <cell r="C745"/>
          <cell r="D745"/>
          <cell r="E745">
            <v>50</v>
          </cell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A746" t="str">
            <v>697 - FU MINISTERIO BERAKHAH INTERNACIONAL CHEPO #2</v>
          </cell>
          <cell r="B746"/>
          <cell r="C746"/>
          <cell r="D746">
            <v>40</v>
          </cell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A747" t="str">
            <v>709 - FU FUNRECRISTO</v>
          </cell>
          <cell r="B747"/>
          <cell r="C747"/>
          <cell r="D747">
            <v>20</v>
          </cell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A748" t="str">
            <v>597- IG MINISTERIO APOSTOLICO NEMUEL INTERNACIONAL</v>
          </cell>
          <cell r="B748"/>
          <cell r="C748"/>
          <cell r="D748">
            <v>35</v>
          </cell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A749" t="str">
            <v>698 - FU MINISTERIO BERAKHAH INTERNACIONAL PASO BLANCO</v>
          </cell>
          <cell r="B749"/>
          <cell r="C749"/>
          <cell r="D749">
            <v>95</v>
          </cell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A750" t="str">
            <v>364-IG COMEDOR SHEKINA</v>
          </cell>
          <cell r="B750"/>
          <cell r="C750"/>
          <cell r="D750"/>
          <cell r="E750"/>
          <cell r="F750"/>
          <cell r="G750"/>
          <cell r="H750"/>
          <cell r="I750"/>
          <cell r="J750"/>
          <cell r="K750">
            <v>42</v>
          </cell>
          <cell r="L750"/>
          <cell r="M750"/>
          <cell r="N750"/>
          <cell r="O750"/>
        </row>
        <row r="751">
          <cell r="A751" t="str">
            <v>595-FU CENTRO DE LA MUJER Y LA NIÑEZ</v>
          </cell>
          <cell r="B751"/>
          <cell r="C751">
            <v>20</v>
          </cell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A752" t="str">
            <v>360-IG IGLESIA CRISTIANA CASA DE REUNION</v>
          </cell>
          <cell r="B752"/>
          <cell r="C752"/>
          <cell r="D752"/>
          <cell r="E752"/>
          <cell r="F752"/>
          <cell r="G752">
            <v>20</v>
          </cell>
          <cell r="H752"/>
          <cell r="I752"/>
          <cell r="J752"/>
          <cell r="K752"/>
          <cell r="L752"/>
          <cell r="M752"/>
          <cell r="N752"/>
          <cell r="O752"/>
        </row>
        <row r="753">
          <cell r="A753" t="str">
            <v>719 FU FUNDACION VIDA NUEVA EL SHADDAI</v>
          </cell>
          <cell r="B753"/>
          <cell r="C753"/>
          <cell r="D753"/>
          <cell r="E753"/>
          <cell r="F753"/>
          <cell r="G753">
            <v>15</v>
          </cell>
          <cell r="H753"/>
          <cell r="I753"/>
          <cell r="J753"/>
          <cell r="K753"/>
          <cell r="L753"/>
          <cell r="M753"/>
          <cell r="N753"/>
          <cell r="O753"/>
        </row>
        <row r="754">
          <cell r="A754" t="str">
            <v>54 FU - FUNDACIÓN CASA HOGAR EL BUEN SAMARITANO</v>
          </cell>
          <cell r="B754"/>
          <cell r="C754"/>
          <cell r="D754">
            <v>50</v>
          </cell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A755" t="str">
            <v>730-FU SOLIDARIDAD Y DESARROLLO DE PANAMA (VERAGUAS)</v>
          </cell>
          <cell r="B755"/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  <cell r="M755">
            <v>28</v>
          </cell>
          <cell r="N755"/>
          <cell r="O755"/>
        </row>
        <row r="756">
          <cell r="A756" t="str">
            <v>749-IG Ministerio Tabernáculo de Santidad Internación (Guararé)</v>
          </cell>
          <cell r="B756"/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  <cell r="M756">
            <v>42</v>
          </cell>
          <cell r="N756"/>
          <cell r="O756"/>
        </row>
        <row r="757">
          <cell r="A757" t="str">
            <v>613-FU FUNDACION INMARE</v>
          </cell>
          <cell r="B757"/>
          <cell r="C757"/>
          <cell r="D757"/>
          <cell r="E757"/>
          <cell r="F757"/>
          <cell r="G757"/>
          <cell r="H757"/>
          <cell r="I757"/>
          <cell r="J757"/>
          <cell r="K757">
            <v>56</v>
          </cell>
          <cell r="L757"/>
          <cell r="M757"/>
          <cell r="N757"/>
          <cell r="O757"/>
        </row>
        <row r="758">
          <cell r="A758" t="str">
            <v>752-IG Ministerio Tabernáculo De Santidad Internacional (Chitre)</v>
          </cell>
          <cell r="B758"/>
          <cell r="C758"/>
          <cell r="D758"/>
          <cell r="E758"/>
          <cell r="F758"/>
          <cell r="G758"/>
          <cell r="H758"/>
          <cell r="I758"/>
          <cell r="J758"/>
          <cell r="K758"/>
          <cell r="L758">
            <v>14</v>
          </cell>
          <cell r="M758"/>
          <cell r="N758"/>
          <cell r="O758"/>
        </row>
        <row r="759">
          <cell r="A759" t="str">
            <v>765-IG EXPANSION MISIONERA RIOS DE AGUA VIVA</v>
          </cell>
          <cell r="B759"/>
          <cell r="C759"/>
          <cell r="D759"/>
          <cell r="E759"/>
          <cell r="F759"/>
          <cell r="G759"/>
          <cell r="H759"/>
          <cell r="I759"/>
          <cell r="J759"/>
          <cell r="K759"/>
          <cell r="L759">
            <v>42</v>
          </cell>
          <cell r="M759"/>
          <cell r="N759"/>
          <cell r="O759"/>
        </row>
        <row r="760">
          <cell r="A760" t="str">
            <v>789-FU Fundación Rescate de Alimentos</v>
          </cell>
          <cell r="B760"/>
          <cell r="C760">
            <v>30</v>
          </cell>
          <cell r="D760"/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A761" t="str">
            <v>69 FU - FUNDACIÓN VIDA ABUNDANTE</v>
          </cell>
          <cell r="B761"/>
          <cell r="C761">
            <v>150</v>
          </cell>
          <cell r="D761"/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A762" t="str">
            <v>753-AS CLUB ACTIVO 20-30 DE CHITRE</v>
          </cell>
          <cell r="B762"/>
          <cell r="C762"/>
          <cell r="D762"/>
          <cell r="E762"/>
          <cell r="F762"/>
          <cell r="G762"/>
          <cell r="H762"/>
          <cell r="I762"/>
          <cell r="J762"/>
          <cell r="K762"/>
          <cell r="L762">
            <v>168</v>
          </cell>
          <cell r="M762"/>
          <cell r="N762"/>
          <cell r="O762"/>
        </row>
        <row r="763">
          <cell r="A763" t="str">
            <v>735-AS CHICHICA</v>
          </cell>
          <cell r="B763"/>
          <cell r="C763"/>
          <cell r="D763"/>
          <cell r="E763"/>
          <cell r="F763"/>
          <cell r="G763"/>
          <cell r="H763"/>
          <cell r="I763"/>
          <cell r="J763"/>
          <cell r="K763">
            <v>28</v>
          </cell>
          <cell r="L763"/>
          <cell r="M763"/>
          <cell r="N763"/>
          <cell r="O763"/>
        </row>
        <row r="764">
          <cell r="A764" t="str">
            <v>756-FU Fundación Nuevas Rutas</v>
          </cell>
          <cell r="B764"/>
          <cell r="C764"/>
          <cell r="D764"/>
          <cell r="E764"/>
          <cell r="F764"/>
          <cell r="G764"/>
          <cell r="H764"/>
          <cell r="I764"/>
          <cell r="J764">
            <v>112</v>
          </cell>
          <cell r="K764"/>
          <cell r="L764"/>
          <cell r="M764"/>
          <cell r="N764"/>
          <cell r="O764"/>
        </row>
        <row r="765">
          <cell r="A765" t="str">
            <v>708 - FU MINISTERIO BERAKHAH INTERNACIONAL GUARARE</v>
          </cell>
          <cell r="B765"/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>
            <v>28</v>
          </cell>
        </row>
        <row r="766">
          <cell r="A766" t="str">
            <v>114 FU - FUNDACION TEEN CHALLENGE PANAMA</v>
          </cell>
          <cell r="B766"/>
          <cell r="C766"/>
          <cell r="D766"/>
          <cell r="E766"/>
          <cell r="F766"/>
          <cell r="G766"/>
          <cell r="H766"/>
          <cell r="I766"/>
          <cell r="J766"/>
          <cell r="K766"/>
          <cell r="L766">
            <v>42</v>
          </cell>
          <cell r="M766"/>
          <cell r="N766"/>
          <cell r="O766"/>
        </row>
        <row r="767">
          <cell r="A767" t="str">
            <v>422-AS Club de Leones de Penonome</v>
          </cell>
          <cell r="B767"/>
          <cell r="C767"/>
          <cell r="D767"/>
          <cell r="E767"/>
          <cell r="F767"/>
          <cell r="G767"/>
          <cell r="H767"/>
          <cell r="I767"/>
          <cell r="J767"/>
          <cell r="K767">
            <v>70</v>
          </cell>
          <cell r="L767"/>
          <cell r="M767"/>
          <cell r="N767"/>
          <cell r="O767"/>
        </row>
        <row r="768">
          <cell r="A768" t="str">
            <v>828-IG IDN LAS TINAJAS</v>
          </cell>
          <cell r="B768"/>
          <cell r="C768"/>
          <cell r="D768"/>
          <cell r="E768"/>
          <cell r="F768"/>
          <cell r="G768"/>
          <cell r="H768"/>
          <cell r="I768"/>
          <cell r="J768">
            <v>14</v>
          </cell>
          <cell r="K768"/>
          <cell r="L768"/>
          <cell r="M768"/>
          <cell r="N768"/>
          <cell r="O768"/>
        </row>
        <row r="769">
          <cell r="A769" t="str">
            <v>813-IG Comedor Centro De Esperanza Elohim</v>
          </cell>
          <cell r="B769"/>
          <cell r="C769"/>
          <cell r="D769"/>
          <cell r="E769"/>
          <cell r="F769"/>
          <cell r="G769"/>
          <cell r="H769"/>
          <cell r="I769"/>
          <cell r="J769"/>
          <cell r="K769">
            <v>14</v>
          </cell>
          <cell r="L769"/>
          <cell r="M769"/>
          <cell r="N769"/>
          <cell r="O769"/>
        </row>
        <row r="770">
          <cell r="A770" t="str">
            <v>Grupo Calesa</v>
          </cell>
          <cell r="B770"/>
          <cell r="C770">
            <v>34</v>
          </cell>
          <cell r="D770">
            <v>46</v>
          </cell>
          <cell r="E770">
            <v>9</v>
          </cell>
          <cell r="F770"/>
          <cell r="G770">
            <v>8</v>
          </cell>
          <cell r="H770">
            <v>6</v>
          </cell>
          <cell r="I770">
            <v>2</v>
          </cell>
          <cell r="J770"/>
          <cell r="K770"/>
          <cell r="L770"/>
          <cell r="M770"/>
          <cell r="N770"/>
          <cell r="O770"/>
        </row>
        <row r="771">
          <cell r="A771" t="str">
            <v>702 - FU MINISTERIO BERAKHAH INTERNACIONAL ARRAIJAN</v>
          </cell>
          <cell r="B771"/>
          <cell r="C771"/>
          <cell r="D771"/>
          <cell r="E771">
            <v>2</v>
          </cell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A772" t="str">
            <v>178 IG - TEMPLO ZURIEL EL REFUGIO</v>
          </cell>
          <cell r="B772"/>
          <cell r="C772"/>
          <cell r="D772"/>
          <cell r="E772"/>
          <cell r="F772"/>
          <cell r="G772">
            <v>4</v>
          </cell>
          <cell r="H772"/>
          <cell r="I772"/>
          <cell r="J772"/>
          <cell r="K772"/>
          <cell r="L772"/>
          <cell r="M772"/>
          <cell r="N772"/>
          <cell r="O772"/>
        </row>
        <row r="773">
          <cell r="A773" t="str">
            <v>493-FU Comedor Jesús es mi Pastor</v>
          </cell>
          <cell r="B773"/>
          <cell r="C773"/>
          <cell r="D773">
            <v>4</v>
          </cell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A774" t="str">
            <v>187 IG - IGLESIA DE DIOS DE LA PROFECÍA</v>
          </cell>
          <cell r="B774"/>
          <cell r="C774"/>
          <cell r="D774">
            <v>4</v>
          </cell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A775" t="str">
            <v>321-IG IGLESIA DIOS ES MI PROVEEDOR Y SUSTENTO</v>
          </cell>
          <cell r="B775"/>
          <cell r="C775"/>
          <cell r="D775">
            <v>8</v>
          </cell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A776" t="str">
            <v>695 - FU MINISTERIO BERAKHAH INTERNACIONAL 24 DIC</v>
          </cell>
          <cell r="B776"/>
          <cell r="C776"/>
          <cell r="D776">
            <v>4</v>
          </cell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A777" t="str">
            <v>261 - AS ASOCIACIÓN MINISTERIO SIRVIENDO A LA COMUNIDAD PARA JESUCRISTO</v>
          </cell>
          <cell r="B777"/>
          <cell r="C777">
            <v>2</v>
          </cell>
          <cell r="D777"/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A778" t="str">
            <v>363-FU FUNDACION MINISTERIO DEL EVANGELIO ETERNO DEL REINO (NORTE)</v>
          </cell>
          <cell r="B778"/>
          <cell r="C778"/>
          <cell r="D778"/>
          <cell r="E778"/>
          <cell r="F778"/>
          <cell r="G778">
            <v>4</v>
          </cell>
          <cell r="H778"/>
          <cell r="I778"/>
          <cell r="J778"/>
          <cell r="K778"/>
          <cell r="L778"/>
          <cell r="M778"/>
          <cell r="N778"/>
          <cell r="O778"/>
        </row>
        <row r="779">
          <cell r="A779" t="str">
            <v>487-FU FUNDACION CASA AVE MARIA</v>
          </cell>
          <cell r="B779"/>
          <cell r="C779"/>
          <cell r="D779"/>
          <cell r="E779">
            <v>2</v>
          </cell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A780" t="str">
            <v>696 - FU MINISTERIO BERAKHAH INTERNACIONAL CHEPO #1</v>
          </cell>
          <cell r="B780"/>
          <cell r="C780"/>
          <cell r="D780">
            <v>2</v>
          </cell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A781" t="str">
            <v>472-FU FUNDACION TALITA CUMI</v>
          </cell>
          <cell r="B781"/>
          <cell r="C781"/>
          <cell r="D781">
            <v>2</v>
          </cell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A782" t="str">
            <v>379-FU Fundacion Ministerio Apostolico Manantial de Vida</v>
          </cell>
          <cell r="B782"/>
          <cell r="C782"/>
          <cell r="D782"/>
          <cell r="E782"/>
          <cell r="F782"/>
          <cell r="G782"/>
          <cell r="H782">
            <v>6</v>
          </cell>
          <cell r="I782"/>
          <cell r="J782"/>
          <cell r="K782"/>
          <cell r="L782"/>
          <cell r="M782"/>
          <cell r="N782"/>
          <cell r="O782"/>
        </row>
        <row r="783">
          <cell r="A783" t="str">
            <v>387-AS Asociacion ODSSAR-OBC</v>
          </cell>
          <cell r="B783"/>
          <cell r="C783"/>
          <cell r="D783">
            <v>10</v>
          </cell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A784" t="str">
            <v>697 - FU MINISTERIO BERAKHAH INTERNACIONAL CHEPO #2</v>
          </cell>
          <cell r="B784"/>
          <cell r="C784"/>
          <cell r="D784">
            <v>2</v>
          </cell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A785" t="str">
            <v>252 IG - MINISTERIO INTERNACIONAL DE AMISTADES CRISTIANAS</v>
          </cell>
          <cell r="B785"/>
          <cell r="C785"/>
          <cell r="D785">
            <v>2</v>
          </cell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A786" t="str">
            <v>381-FU FUNDAMIDOM</v>
          </cell>
          <cell r="B786"/>
          <cell r="C786"/>
          <cell r="D786"/>
          <cell r="E786">
            <v>5</v>
          </cell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A787" t="str">
            <v>642 - IG IGLESIA VIDA (CENTRO 1)</v>
          </cell>
          <cell r="B787"/>
          <cell r="C787">
            <v>2</v>
          </cell>
          <cell r="D787"/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A788" t="str">
            <v>681 - FU FUNDACION NUEVA SOCIEDAD (NORTE)</v>
          </cell>
          <cell r="B788"/>
          <cell r="C788"/>
          <cell r="D788"/>
          <cell r="E788"/>
          <cell r="F788"/>
          <cell r="G788"/>
          <cell r="H788"/>
          <cell r="I788">
            <v>2</v>
          </cell>
          <cell r="J788"/>
          <cell r="K788"/>
          <cell r="L788"/>
          <cell r="M788"/>
          <cell r="N788"/>
          <cell r="O788"/>
        </row>
        <row r="789">
          <cell r="A789" t="str">
            <v>684 - FU FUNDACION CASA DEL REY JESUS (CENTRO 2)</v>
          </cell>
          <cell r="B789"/>
          <cell r="C789">
            <v>4</v>
          </cell>
          <cell r="D789"/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A790" t="str">
            <v>596 IG- IGLESIA EVANGELICA TRINITARIA DIOS FUENTE DE PODER</v>
          </cell>
          <cell r="B790"/>
          <cell r="C790">
            <v>2</v>
          </cell>
          <cell r="D790"/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A791" t="str">
            <v>229 PA - PARROQUIA SAN CRISTOBAL DE CHEPO</v>
          </cell>
          <cell r="B791"/>
          <cell r="C791"/>
          <cell r="D791">
            <v>4</v>
          </cell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A792" t="str">
            <v>390-FU FUNDACION CRISTIANA FAMILIAR EL TALLER DEL MAESTRO (CENTRO1)</v>
          </cell>
          <cell r="B792"/>
          <cell r="C792">
            <v>6</v>
          </cell>
          <cell r="D792"/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A793" t="str">
            <v>738- IG MINISTERIO DIOS CON NOSOTROS EMANUEL</v>
          </cell>
          <cell r="B793"/>
          <cell r="C793"/>
          <cell r="D793">
            <v>2</v>
          </cell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A794" t="str">
            <v>745-FU CASA DE MISERICORDIA</v>
          </cell>
          <cell r="B794"/>
          <cell r="C794">
            <v>2</v>
          </cell>
          <cell r="D794"/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A795" t="str">
            <v>789-FU Fundación Rescate de Alimentos</v>
          </cell>
          <cell r="B795"/>
          <cell r="C795">
            <v>4</v>
          </cell>
          <cell r="D795"/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A796" t="str">
            <v>424-AS MINISTERIO EL PODER DE LA SANGRE QUE LIBERTA (ESTE)</v>
          </cell>
          <cell r="B796"/>
          <cell r="C796"/>
          <cell r="D796">
            <v>2</v>
          </cell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A797" t="str">
            <v>375-FU Ministerio a Dios sea la Gloria</v>
          </cell>
          <cell r="B797"/>
          <cell r="C797">
            <v>6</v>
          </cell>
          <cell r="D797"/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A798" t="str">
            <v>185 FU - FUNDACIÓN ABIA YALA</v>
          </cell>
          <cell r="B798"/>
          <cell r="C798">
            <v>6</v>
          </cell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A799" t="str">
            <v>NESTLE PANAMA</v>
          </cell>
          <cell r="B799">
            <v>24.6</v>
          </cell>
          <cell r="C799">
            <v>3790</v>
          </cell>
          <cell r="D799">
            <v>5243.5</v>
          </cell>
          <cell r="E799">
            <v>1838.5</v>
          </cell>
          <cell r="F799">
            <v>99.5</v>
          </cell>
          <cell r="G799">
            <v>514</v>
          </cell>
          <cell r="H799">
            <v>1722.5</v>
          </cell>
          <cell r="I799">
            <v>526</v>
          </cell>
          <cell r="J799">
            <v>4735</v>
          </cell>
          <cell r="K799">
            <v>5338</v>
          </cell>
          <cell r="L799">
            <v>190</v>
          </cell>
          <cell r="M799">
            <v>190</v>
          </cell>
          <cell r="N799"/>
          <cell r="O799">
            <v>30</v>
          </cell>
        </row>
        <row r="800">
          <cell r="A800" t="str">
            <v>662-IG MINISTERIO EVANGELICO EL APOSENTO ALTO (CENTRO 1)</v>
          </cell>
          <cell r="B800"/>
          <cell r="C800">
            <v>9.5</v>
          </cell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A801" t="str">
            <v>209 IG - TEMPLO MISIONERO CRISTO TE LLAMA</v>
          </cell>
          <cell r="B801"/>
          <cell r="C801"/>
          <cell r="D801">
            <v>62</v>
          </cell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A802" t="str">
            <v>702 - FU MINISTERIO BERAKHAH INTERNACIONAL ARRAIJAN</v>
          </cell>
          <cell r="B802"/>
          <cell r="C802"/>
          <cell r="D802"/>
          <cell r="E802">
            <v>18</v>
          </cell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A803" t="str">
            <v>298-FU - MINISTERIO FUENTE DE VIDA PARA EL PERDIDO</v>
          </cell>
          <cell r="B803"/>
          <cell r="C803"/>
          <cell r="D803"/>
          <cell r="E803"/>
          <cell r="F803">
            <v>58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A804" t="str">
            <v>479-IG IGLESIA NUEVA ESPERANZA</v>
          </cell>
          <cell r="B804"/>
          <cell r="C804"/>
          <cell r="D804">
            <v>22.5</v>
          </cell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A805" t="str">
            <v>104 AS - ASOCIACIÓN HOGAR FELICIDAD</v>
          </cell>
          <cell r="B805"/>
          <cell r="C805"/>
          <cell r="D805"/>
          <cell r="E805">
            <v>35.5</v>
          </cell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A806" t="str">
            <v>175 AS - ASOCIACIÓN RESTAURANDO VIDAS</v>
          </cell>
          <cell r="B806"/>
          <cell r="C806"/>
          <cell r="D806">
            <v>18</v>
          </cell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A807" t="str">
            <v>178 IG - TEMPLO ZURIEL EL REFUGIO</v>
          </cell>
          <cell r="B807"/>
          <cell r="C807"/>
          <cell r="D807"/>
          <cell r="E807"/>
          <cell r="F807"/>
          <cell r="G807">
            <v>335.5</v>
          </cell>
          <cell r="H807"/>
          <cell r="I807"/>
          <cell r="J807"/>
          <cell r="K807"/>
          <cell r="L807"/>
          <cell r="M807"/>
          <cell r="N807"/>
          <cell r="O807"/>
        </row>
        <row r="808">
          <cell r="A808" t="str">
            <v>207 IG - IGLESIA CENTRO DE VIDA CRISTIANA</v>
          </cell>
          <cell r="B808"/>
          <cell r="C808"/>
          <cell r="D808">
            <v>152</v>
          </cell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A809" t="str">
            <v>636- FU JAH - LIVE (JAHL) - COLON</v>
          </cell>
          <cell r="B809"/>
          <cell r="C809"/>
          <cell r="D809"/>
          <cell r="E809"/>
          <cell r="F809"/>
          <cell r="G809"/>
          <cell r="H809">
            <v>1187</v>
          </cell>
          <cell r="I809"/>
          <cell r="J809"/>
          <cell r="K809"/>
          <cell r="L809"/>
          <cell r="M809"/>
          <cell r="N809"/>
          <cell r="O809"/>
        </row>
        <row r="810">
          <cell r="A810" t="str">
            <v>224 OR MISIONERAS DE LA CARIDAD DE COLON</v>
          </cell>
          <cell r="B810"/>
          <cell r="C810"/>
          <cell r="D810"/>
          <cell r="E810"/>
          <cell r="F810"/>
          <cell r="G810"/>
          <cell r="H810">
            <v>88</v>
          </cell>
          <cell r="I810"/>
          <cell r="J810"/>
          <cell r="K810"/>
          <cell r="L810"/>
          <cell r="M810"/>
          <cell r="N810"/>
          <cell r="O810"/>
        </row>
        <row r="811">
          <cell r="A811" t="str">
            <v>365-IG COMEDOR HEFZIBA</v>
          </cell>
          <cell r="B811"/>
          <cell r="C811"/>
          <cell r="D811"/>
          <cell r="E811"/>
          <cell r="F811"/>
          <cell r="G811"/>
          <cell r="H811"/>
          <cell r="I811">
            <v>232.5</v>
          </cell>
          <cell r="J811"/>
          <cell r="K811"/>
          <cell r="L811"/>
          <cell r="M811"/>
          <cell r="N811"/>
          <cell r="O811"/>
        </row>
        <row r="812">
          <cell r="A812" t="str">
            <v>635 TEMPLO ADULAM</v>
          </cell>
          <cell r="B812"/>
          <cell r="C812"/>
          <cell r="D812"/>
          <cell r="E812">
            <v>258</v>
          </cell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A813" t="str">
            <v>470-FU IGLESIA MONTE SANTO</v>
          </cell>
          <cell r="B813"/>
          <cell r="C813"/>
          <cell r="D813">
            <v>80</v>
          </cell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A814" t="str">
            <v>687 - FU FUNDACION ARCA DE JESUS</v>
          </cell>
          <cell r="B814"/>
          <cell r="C814"/>
          <cell r="D814"/>
          <cell r="E814">
            <v>275</v>
          </cell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A815" t="str">
            <v>218 ED - LOS PREFERIDOS DEL SEÑOR (CENTRO2)</v>
          </cell>
          <cell r="B815"/>
          <cell r="C815">
            <v>536</v>
          </cell>
          <cell r="D815"/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A816" t="str">
            <v>187 IG - IGLESIA DE DIOS DE LA PROFECÍA</v>
          </cell>
          <cell r="B816"/>
          <cell r="C816"/>
          <cell r="D816">
            <v>1195.5</v>
          </cell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A817" t="str">
            <v>321-IG IGLESIA DIOS ES MI PROVEEDOR Y SUSTENTO</v>
          </cell>
          <cell r="B817"/>
          <cell r="C817"/>
          <cell r="D817">
            <v>464</v>
          </cell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A818" t="str">
            <v>111 FU - FUNDACIÓN NUESTRA SEÑORA DEL CAMINO</v>
          </cell>
          <cell r="B818"/>
          <cell r="C818"/>
          <cell r="D818"/>
          <cell r="E818"/>
          <cell r="F818"/>
          <cell r="G818"/>
          <cell r="H818"/>
          <cell r="I818"/>
          <cell r="J818">
            <v>65</v>
          </cell>
          <cell r="K818"/>
          <cell r="L818"/>
          <cell r="M818"/>
          <cell r="N818"/>
          <cell r="O818"/>
        </row>
        <row r="819">
          <cell r="A819" t="str">
            <v>694 - FU MINISTERIO BERAKHAH INTERNACIONAL TOCUMEN #2</v>
          </cell>
          <cell r="B819"/>
          <cell r="C819"/>
          <cell r="D819">
            <v>97</v>
          </cell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A820" t="str">
            <v>695 - FU MINISTERIO BERAKHAH INTERNACIONAL 24 DIC</v>
          </cell>
          <cell r="B820"/>
          <cell r="C820"/>
          <cell r="D820">
            <v>62</v>
          </cell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A821" t="str">
            <v>693 - FU MINISTERIO BERAKHAH INTERNACIONAL TOCUMEN #1</v>
          </cell>
          <cell r="B821"/>
          <cell r="C821"/>
          <cell r="D821">
            <v>57</v>
          </cell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A822" t="str">
            <v>366-FU CENTRO MISIONERO EL SHADAI (ESTE)</v>
          </cell>
          <cell r="B822"/>
          <cell r="C822"/>
          <cell r="D822">
            <v>528</v>
          </cell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A823" t="str">
            <v>498-FU COMEDOR NIÑOS DE BENDICION</v>
          </cell>
          <cell r="B823"/>
          <cell r="C823"/>
          <cell r="D823"/>
          <cell r="E823">
            <v>308</v>
          </cell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A824" t="str">
            <v>288 IG MINISTERIO EVANGELISTICO DE SANACION Y RESTAURACION, SENALES, MILAGROS Y MARAVILLAS (ESTE)</v>
          </cell>
          <cell r="B824"/>
          <cell r="C824"/>
          <cell r="D824">
            <v>114</v>
          </cell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A825" t="str">
            <v>373-FU MINISTERIO INTERNACIONAL BOANERGES</v>
          </cell>
          <cell r="B825"/>
          <cell r="C825"/>
          <cell r="D825"/>
          <cell r="E825"/>
          <cell r="F825"/>
          <cell r="G825"/>
          <cell r="H825"/>
          <cell r="I825">
            <v>4</v>
          </cell>
          <cell r="J825"/>
          <cell r="K825"/>
          <cell r="L825"/>
          <cell r="M825"/>
          <cell r="N825"/>
          <cell r="O825"/>
        </row>
        <row r="826">
          <cell r="A826" t="str">
            <v>197 FU FUNDACION SOCIAL CULTURAL Y AMBIENTAL DE VERACRUZ (OESTE)</v>
          </cell>
          <cell r="B826"/>
          <cell r="C826"/>
          <cell r="D826"/>
          <cell r="E826">
            <v>93</v>
          </cell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A827" t="str">
            <v>183 ED - BELÉN CASA DE PAN (ESTE)</v>
          </cell>
          <cell r="B827"/>
          <cell r="C827"/>
          <cell r="D827">
            <v>160.5</v>
          </cell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A828" t="str">
            <v>701 - FU MINISTERIO BERAKHAH INTERNACIONAL LOS ANDES</v>
          </cell>
          <cell r="B828"/>
          <cell r="C828"/>
          <cell r="D828"/>
          <cell r="E828"/>
          <cell r="F828"/>
          <cell r="G828"/>
          <cell r="H828"/>
          <cell r="I828">
            <v>9.5</v>
          </cell>
          <cell r="J828"/>
          <cell r="K828"/>
          <cell r="L828"/>
          <cell r="M828"/>
          <cell r="N828"/>
          <cell r="O828"/>
        </row>
        <row r="829">
          <cell r="A829" t="str">
            <v>431-IG IGLESIA ADVENTISTA DISTRITO 8</v>
          </cell>
          <cell r="B829"/>
          <cell r="C829"/>
          <cell r="D829">
            <v>19</v>
          </cell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A830" t="str">
            <v>261 - AS ASOCIACIÓN MINISTERIO SIRVIENDO A LA COMUNIDAD PARA JESUCRISTO</v>
          </cell>
          <cell r="B830"/>
          <cell r="C830">
            <v>9.5</v>
          </cell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A831" t="str">
            <v>643 - IG TEMPLO PUERTA DEL CIELO (CHIRIQUI)</v>
          </cell>
          <cell r="B831"/>
          <cell r="C831"/>
          <cell r="D831"/>
          <cell r="E831"/>
          <cell r="F831"/>
          <cell r="G831"/>
          <cell r="H831"/>
          <cell r="I831"/>
          <cell r="J831">
            <v>44</v>
          </cell>
          <cell r="K831"/>
          <cell r="L831"/>
          <cell r="M831"/>
          <cell r="N831"/>
          <cell r="O831"/>
        </row>
        <row r="832">
          <cell r="A832" t="str">
            <v>51 PA - PARROQUIA SAN PIO DE PIETRELCINA (ESTE)</v>
          </cell>
          <cell r="B832"/>
          <cell r="C832"/>
          <cell r="D832">
            <v>8.5</v>
          </cell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A833" t="str">
            <v>368-FU MINISTERIO PACTO DE SANTIDAD</v>
          </cell>
          <cell r="B833"/>
          <cell r="C833">
            <v>222</v>
          </cell>
          <cell r="D833"/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A834" t="str">
            <v>654 - IG M.I.A.F NUEVA JERUSALEN PANAMA (ESTE)</v>
          </cell>
          <cell r="B834"/>
          <cell r="C834"/>
          <cell r="D834">
            <v>53</v>
          </cell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A835" t="str">
            <v>363-FU FUNDACION MINISTERIO DEL EVANGELIO ETERNO DEL REINO (NORTE)</v>
          </cell>
          <cell r="B835"/>
          <cell r="C835"/>
          <cell r="D835"/>
          <cell r="E835"/>
          <cell r="F835"/>
          <cell r="G835">
            <v>9.5</v>
          </cell>
          <cell r="H835"/>
          <cell r="I835"/>
          <cell r="J835"/>
          <cell r="K835"/>
          <cell r="L835"/>
          <cell r="M835"/>
          <cell r="N835"/>
          <cell r="O835"/>
        </row>
        <row r="836">
          <cell r="A836" t="str">
            <v>487-FU FUNDACION CASA AVE MARIA</v>
          </cell>
          <cell r="B836"/>
          <cell r="C836"/>
          <cell r="D836"/>
          <cell r="E836">
            <v>264.5</v>
          </cell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A837" t="str">
            <v>284 - IG MINISTERIO PAN DE VIDA</v>
          </cell>
          <cell r="B837"/>
          <cell r="C837"/>
          <cell r="D837"/>
          <cell r="E837"/>
          <cell r="F837"/>
          <cell r="G837"/>
          <cell r="H837"/>
          <cell r="I837"/>
          <cell r="J837">
            <v>909.5</v>
          </cell>
          <cell r="K837"/>
          <cell r="L837"/>
          <cell r="M837"/>
          <cell r="N837"/>
          <cell r="O837"/>
        </row>
        <row r="838">
          <cell r="A838" t="str">
            <v>2 PA - PARROQUIA SAN JUAN MARIA VIANNEY (NORTE)</v>
          </cell>
          <cell r="B838"/>
          <cell r="C838"/>
          <cell r="D838"/>
          <cell r="E838"/>
          <cell r="F838"/>
          <cell r="G838"/>
          <cell r="H838"/>
          <cell r="I838">
            <v>71</v>
          </cell>
          <cell r="J838"/>
          <cell r="K838"/>
          <cell r="L838"/>
          <cell r="M838"/>
          <cell r="N838"/>
          <cell r="O838"/>
        </row>
        <row r="839">
          <cell r="A839" t="str">
            <v>696 - FU MINISTERIO BERAKHAH INTERNACIONAL CHEPO #1</v>
          </cell>
          <cell r="B839"/>
          <cell r="C839"/>
          <cell r="D839">
            <v>5</v>
          </cell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A840" t="str">
            <v>472-FU FUNDACION TALITA CUMI</v>
          </cell>
          <cell r="B840"/>
          <cell r="C840"/>
          <cell r="D840">
            <v>100.5</v>
          </cell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A841" t="str">
            <v>222 ED - MISERICORDIAR</v>
          </cell>
          <cell r="B841"/>
          <cell r="C841"/>
          <cell r="D841">
            <v>78</v>
          </cell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A842" t="str">
            <v>259 IG - ALCANCE VICTORIA PANAMÁ</v>
          </cell>
          <cell r="B842"/>
          <cell r="C842">
            <v>52.5</v>
          </cell>
          <cell r="D842"/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A843" t="str">
            <v>668 - FU FUNDACION CRISTIANA LA FE EN MARCHA</v>
          </cell>
          <cell r="B843"/>
          <cell r="C843"/>
          <cell r="D843"/>
          <cell r="E843"/>
          <cell r="F843"/>
          <cell r="G843"/>
          <cell r="H843"/>
          <cell r="I843"/>
          <cell r="J843">
            <v>3213.5</v>
          </cell>
          <cell r="K843"/>
          <cell r="L843"/>
          <cell r="M843"/>
          <cell r="N843"/>
          <cell r="O843"/>
        </row>
        <row r="844">
          <cell r="A844" t="str">
            <v>379-FU Fundacion Ministerio Apostolico Manantial de Vida</v>
          </cell>
          <cell r="B844"/>
          <cell r="C844"/>
          <cell r="D844"/>
          <cell r="E844"/>
          <cell r="F844"/>
          <cell r="G844"/>
          <cell r="H844">
            <v>374</v>
          </cell>
          <cell r="I844"/>
          <cell r="J844"/>
          <cell r="K844"/>
          <cell r="L844"/>
          <cell r="M844"/>
          <cell r="N844"/>
          <cell r="O844"/>
        </row>
        <row r="845">
          <cell r="A845" t="str">
            <v>644 - IG TEMPLO SENDA DE VIDA (CHIRIQUÍ)</v>
          </cell>
          <cell r="B845"/>
          <cell r="C845"/>
          <cell r="D845"/>
          <cell r="E845"/>
          <cell r="F845"/>
          <cell r="G845"/>
          <cell r="H845"/>
          <cell r="I845"/>
          <cell r="J845">
            <v>15</v>
          </cell>
          <cell r="K845"/>
          <cell r="L845"/>
          <cell r="M845"/>
          <cell r="N845"/>
          <cell r="O845"/>
        </row>
        <row r="846">
          <cell r="A846" t="str">
            <v>387-AS Asociacion ODSSAR-OBC</v>
          </cell>
          <cell r="B846"/>
          <cell r="C846"/>
          <cell r="D846">
            <v>22.5</v>
          </cell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A847" t="str">
            <v>300 ED - BENEFICIARIOS</v>
          </cell>
          <cell r="B847"/>
          <cell r="C847"/>
          <cell r="D847">
            <v>201.5</v>
          </cell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A848" t="str">
            <v>630-IG MIN.INTL.DE CRISTO PAZ DE DIOS</v>
          </cell>
          <cell r="B848"/>
          <cell r="C848">
            <v>1366.5</v>
          </cell>
          <cell r="D848"/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A849" t="str">
            <v>397-FU FUNDACION SHALOM PANAMA</v>
          </cell>
          <cell r="B849"/>
          <cell r="C849"/>
          <cell r="D849"/>
          <cell r="E849">
            <v>60</v>
          </cell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A850" t="str">
            <v>697 - FU MINISTERIO BERAKHAH INTERNACIONAL CHEPO #2</v>
          </cell>
          <cell r="B850"/>
          <cell r="C850"/>
          <cell r="D850">
            <v>19</v>
          </cell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A851" t="str">
            <v>700 - FU MINISTERIO BERAKHAH INTERNACIONAL TORRIJOS CARTER #2</v>
          </cell>
          <cell r="B851"/>
          <cell r="C851"/>
          <cell r="D851"/>
          <cell r="E851"/>
          <cell r="F851"/>
          <cell r="G851"/>
          <cell r="H851"/>
          <cell r="I851">
            <v>28.5</v>
          </cell>
          <cell r="J851"/>
          <cell r="K851"/>
          <cell r="L851"/>
          <cell r="M851"/>
          <cell r="N851"/>
          <cell r="O851"/>
        </row>
        <row r="852">
          <cell r="A852" t="str">
            <v>195 ED - JUNTOS PODEMOS</v>
          </cell>
          <cell r="B852"/>
          <cell r="C852">
            <v>70</v>
          </cell>
          <cell r="D852"/>
          <cell r="E852"/>
          <cell r="F852"/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A853" t="str">
            <v>709 - FU FUNRECRISTO</v>
          </cell>
          <cell r="B853"/>
          <cell r="C853"/>
          <cell r="D853">
            <v>27</v>
          </cell>
          <cell r="E853"/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A854" t="str">
            <v>670 - FU FUNDACION MINISTERIIO CRISTIANO EL REINO DE DIOS (ESTE)</v>
          </cell>
          <cell r="B854"/>
          <cell r="C854"/>
          <cell r="D854">
            <v>35</v>
          </cell>
          <cell r="E854"/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A855" t="str">
            <v>450-FU MINISTERIO DE RESTAURACION EFESIOS 4 (ESTE)</v>
          </cell>
          <cell r="B855"/>
          <cell r="C855"/>
          <cell r="D855">
            <v>129</v>
          </cell>
          <cell r="E855"/>
          <cell r="F855"/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A856" t="str">
            <v>235 FU - FUNDACION GRUPO ENVIADOS</v>
          </cell>
          <cell r="B856"/>
          <cell r="C856"/>
          <cell r="D856">
            <v>102</v>
          </cell>
          <cell r="E856"/>
          <cell r="F856"/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A857" t="str">
            <v>202 FU - FUNDACIÓN HOGAR SAN JOSÉ (ESTE)</v>
          </cell>
          <cell r="B857"/>
          <cell r="C857"/>
          <cell r="D857">
            <v>69.5</v>
          </cell>
          <cell r="E857"/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A858" t="str">
            <v>116 AS - ASOCIACIÓN IGLESIA DE CRISTO ESTRELLA CRECIENTE</v>
          </cell>
          <cell r="B858"/>
          <cell r="C858"/>
          <cell r="D858">
            <v>13.5</v>
          </cell>
          <cell r="E858"/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A859" t="str">
            <v>469-FU MINISTERIO CRISTIANO EL SHADAI</v>
          </cell>
          <cell r="B859"/>
          <cell r="C859"/>
          <cell r="D859">
            <v>11</v>
          </cell>
          <cell r="E859"/>
          <cell r="F859"/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A860" t="str">
            <v>597- IG MINISTERIO APOSTOLICO NEMUEL INTERNACIONAL</v>
          </cell>
          <cell r="B860"/>
          <cell r="C860"/>
          <cell r="D860">
            <v>71.5</v>
          </cell>
          <cell r="E860"/>
          <cell r="F860"/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A861" t="str">
            <v>647 - IG CRISTO REY CAMBIANDO VIDAS (ESTE)</v>
          </cell>
          <cell r="B861"/>
          <cell r="C861"/>
          <cell r="D861">
            <v>29</v>
          </cell>
          <cell r="E861"/>
          <cell r="F861"/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A862" t="str">
            <v>417-AS CLUB DE LEONES DE PEDREGAL (ESTE)</v>
          </cell>
          <cell r="B862"/>
          <cell r="C862"/>
          <cell r="D862">
            <v>131.5</v>
          </cell>
          <cell r="E862"/>
          <cell r="F862"/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A863" t="str">
            <v>252 IG - MINISTERIO INTERNACIONAL DE AMISTADES CRISTIANAS</v>
          </cell>
          <cell r="B863"/>
          <cell r="C863"/>
          <cell r="D863">
            <v>91</v>
          </cell>
          <cell r="E863"/>
          <cell r="F863"/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A864" t="str">
            <v>339-AS ASOCIACION RESIDENCIA LISBETH</v>
          </cell>
          <cell r="B864"/>
          <cell r="C864"/>
          <cell r="D864">
            <v>74.5</v>
          </cell>
          <cell r="E864"/>
          <cell r="F864"/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A865" t="str">
            <v>144 OR - HERMANAS DE SAN JOSÉ DE LA APARICIÓN (RETIRA EN EL BANCO)</v>
          </cell>
          <cell r="B865"/>
          <cell r="C865"/>
          <cell r="D865">
            <v>175</v>
          </cell>
          <cell r="E865"/>
          <cell r="F865"/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A866" t="str">
            <v>270 FU - FUNDACIÓN MISERICORDIA DE DON BOSCO (OESTE)</v>
          </cell>
          <cell r="B866"/>
          <cell r="C866"/>
          <cell r="D866"/>
          <cell r="E866">
            <v>14.5</v>
          </cell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A867" t="str">
            <v>698 - FU MINISTERIO BERAKHAH INTERNACIONAL PASO BLANCO</v>
          </cell>
          <cell r="B867"/>
          <cell r="C867"/>
          <cell r="D867">
            <v>36</v>
          </cell>
          <cell r="E867"/>
          <cell r="F867"/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A868" t="str">
            <v>381-FU FUNDAMIDOM</v>
          </cell>
          <cell r="B868"/>
          <cell r="C868"/>
          <cell r="D868"/>
          <cell r="E868">
            <v>39.5</v>
          </cell>
          <cell r="F868"/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A869" t="str">
            <v>491-FU Fundación Aleluya</v>
          </cell>
          <cell r="B869"/>
          <cell r="C869"/>
          <cell r="D869"/>
          <cell r="E869"/>
          <cell r="F869"/>
          <cell r="G869">
            <v>14.5</v>
          </cell>
          <cell r="H869"/>
          <cell r="I869"/>
          <cell r="J869"/>
          <cell r="K869"/>
          <cell r="L869"/>
          <cell r="M869"/>
          <cell r="N869"/>
          <cell r="O869"/>
        </row>
        <row r="870">
          <cell r="A870" t="str">
            <v>681 - FU FUNDACION NUEVA SOCIEDAD (NORTE)</v>
          </cell>
          <cell r="B870"/>
          <cell r="C870"/>
          <cell r="D870"/>
          <cell r="E870"/>
          <cell r="F870"/>
          <cell r="G870"/>
          <cell r="H870"/>
          <cell r="I870">
            <v>84</v>
          </cell>
          <cell r="J870"/>
          <cell r="K870"/>
          <cell r="L870"/>
          <cell r="M870"/>
          <cell r="N870"/>
          <cell r="O870"/>
        </row>
        <row r="871">
          <cell r="A871" t="str">
            <v>671 - PA DIOCESIS DE PENONOME (COCLE)</v>
          </cell>
          <cell r="B871"/>
          <cell r="C871"/>
          <cell r="D871"/>
          <cell r="E871"/>
          <cell r="F871"/>
          <cell r="G871"/>
          <cell r="H871"/>
          <cell r="I871"/>
          <cell r="J871"/>
          <cell r="K871">
            <v>45</v>
          </cell>
          <cell r="L871"/>
          <cell r="M871"/>
          <cell r="N871"/>
          <cell r="O871"/>
        </row>
        <row r="872">
          <cell r="A872" t="str">
            <v>Retiro de Merma</v>
          </cell>
          <cell r="B872">
            <v>24.6</v>
          </cell>
          <cell r="C872"/>
          <cell r="D872"/>
          <cell r="E872"/>
          <cell r="F872"/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A873" t="str">
            <v>656 - FU FUNDACION COCINA DEL REINO Y AMIGOS (CENTRO 1)</v>
          </cell>
          <cell r="B873"/>
          <cell r="C873">
            <v>93</v>
          </cell>
          <cell r="D873"/>
          <cell r="E873"/>
          <cell r="F873"/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A874" t="str">
            <v>364-IG COMEDOR SHEKINA</v>
          </cell>
          <cell r="B874"/>
          <cell r="C874"/>
          <cell r="D874"/>
          <cell r="E874"/>
          <cell r="F874"/>
          <cell r="G874"/>
          <cell r="H874"/>
          <cell r="I874"/>
          <cell r="J874"/>
          <cell r="K874">
            <v>1119</v>
          </cell>
          <cell r="L874"/>
          <cell r="M874"/>
          <cell r="N874"/>
          <cell r="O874"/>
        </row>
        <row r="875">
          <cell r="A875" t="str">
            <v>595-FU CENTRO DE LA MUJER Y LA NIÑEZ</v>
          </cell>
          <cell r="B875"/>
          <cell r="C875">
            <v>46</v>
          </cell>
          <cell r="D875"/>
          <cell r="E875"/>
          <cell r="F875"/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A876" t="str">
            <v>193 OR - FUNDACIÓN UNCIÓN FRESCA</v>
          </cell>
          <cell r="B876"/>
          <cell r="C876"/>
          <cell r="D876"/>
          <cell r="E876">
            <v>73</v>
          </cell>
          <cell r="F876"/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A877" t="str">
            <v>672 - FU FUNDACION NUEVO PACTO POR LA NIÑEZ</v>
          </cell>
          <cell r="B877"/>
          <cell r="C877">
            <v>45</v>
          </cell>
          <cell r="D877"/>
          <cell r="E877"/>
          <cell r="F877"/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A878" t="str">
            <v>118 FU - FUNDACIÓN UN NUEVO AMANECER</v>
          </cell>
          <cell r="B878"/>
          <cell r="C878"/>
          <cell r="D878"/>
          <cell r="E878">
            <v>10</v>
          </cell>
          <cell r="F878"/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A879" t="str">
            <v>669 - IG IGLESIA CAMINO DE SANTIDAD (COLON)</v>
          </cell>
          <cell r="B879"/>
          <cell r="C879"/>
          <cell r="D879"/>
          <cell r="E879"/>
          <cell r="F879"/>
          <cell r="G879"/>
          <cell r="H879">
            <v>6</v>
          </cell>
          <cell r="I879"/>
          <cell r="J879"/>
          <cell r="K879"/>
          <cell r="L879"/>
          <cell r="M879"/>
          <cell r="N879"/>
          <cell r="O879"/>
        </row>
        <row r="880">
          <cell r="A880" t="str">
            <v>360-IG IGLESIA CRISTIANA CASA DE REUNION</v>
          </cell>
          <cell r="B880"/>
          <cell r="C880"/>
          <cell r="D880"/>
          <cell r="E880"/>
          <cell r="F880"/>
          <cell r="G880">
            <v>47.5</v>
          </cell>
          <cell r="H880"/>
          <cell r="I880"/>
          <cell r="J880"/>
          <cell r="K880"/>
          <cell r="L880"/>
          <cell r="M880"/>
          <cell r="N880"/>
          <cell r="O880"/>
        </row>
        <row r="881">
          <cell r="A881" t="str">
            <v>263 IG TABERNÁCULO DE DIOS DE SAN MIGUEL DEL EXQUISITO</v>
          </cell>
          <cell r="B881"/>
          <cell r="C881"/>
          <cell r="D881"/>
          <cell r="E881"/>
          <cell r="F881"/>
          <cell r="G881"/>
          <cell r="H881"/>
          <cell r="I881"/>
          <cell r="J881">
            <v>74</v>
          </cell>
          <cell r="K881"/>
          <cell r="L881"/>
          <cell r="M881"/>
          <cell r="N881"/>
          <cell r="O881"/>
        </row>
        <row r="882">
          <cell r="A882" t="str">
            <v>719 FU FUNDACION VIDA NUEVA EL SHADDAI</v>
          </cell>
          <cell r="B882"/>
          <cell r="C882"/>
          <cell r="D882"/>
          <cell r="E882"/>
          <cell r="F882"/>
          <cell r="G882">
            <v>107</v>
          </cell>
          <cell r="H882"/>
          <cell r="I882"/>
          <cell r="J882"/>
          <cell r="K882"/>
          <cell r="L882"/>
          <cell r="M882"/>
          <cell r="N882"/>
          <cell r="O882"/>
        </row>
        <row r="883">
          <cell r="A883" t="str">
            <v>54 FU - FUNDACIÓN CASA HOGAR EL BUEN SAMARITANO</v>
          </cell>
          <cell r="B883"/>
          <cell r="C883"/>
          <cell r="D883">
            <v>244</v>
          </cell>
          <cell r="E883"/>
          <cell r="F883"/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A884" t="str">
            <v>710 - AS CLUB DE LEONES DE SONA</v>
          </cell>
          <cell r="B884"/>
          <cell r="C884"/>
          <cell r="D884"/>
          <cell r="E884"/>
          <cell r="F884"/>
          <cell r="G884"/>
          <cell r="H884"/>
          <cell r="I884"/>
          <cell r="J884"/>
          <cell r="K884"/>
          <cell r="L884"/>
          <cell r="M884">
            <v>38</v>
          </cell>
          <cell r="N884"/>
          <cell r="O884"/>
        </row>
        <row r="885">
          <cell r="A885" t="str">
            <v>684 - FU FUNDACION CASA DEL REY JESUS (CENTRO 2)</v>
          </cell>
          <cell r="B885"/>
          <cell r="C885">
            <v>595</v>
          </cell>
          <cell r="D885"/>
          <cell r="E885"/>
          <cell r="F885"/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A886" t="str">
            <v>723 ASOCIACION AQUI ESTOY</v>
          </cell>
          <cell r="B886"/>
          <cell r="C886"/>
          <cell r="D886"/>
          <cell r="E886">
            <v>13.5</v>
          </cell>
          <cell r="F886"/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A887" t="str">
            <v>596 IG- IGLESIA EVANGELICA TRINITARIA DIOS FUENTE DE PODER</v>
          </cell>
          <cell r="B887"/>
          <cell r="C887">
            <v>17</v>
          </cell>
          <cell r="D887"/>
          <cell r="E887"/>
          <cell r="F887"/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A888" t="str">
            <v>707 - FU MINISTERIO BERAKHAH INTERNACIONAL CAIMITILLO</v>
          </cell>
          <cell r="B888"/>
          <cell r="C888"/>
          <cell r="D888"/>
          <cell r="E888"/>
          <cell r="F888"/>
          <cell r="G888"/>
          <cell r="H888"/>
          <cell r="I888">
            <v>26</v>
          </cell>
          <cell r="J888"/>
          <cell r="K888"/>
          <cell r="L888"/>
          <cell r="M888"/>
          <cell r="N888"/>
          <cell r="O888"/>
        </row>
        <row r="889">
          <cell r="A889" t="str">
            <v>229 PA - PARROQUIA SAN CRISTOBAL DE CHEPO</v>
          </cell>
          <cell r="B889"/>
          <cell r="C889"/>
          <cell r="D889">
            <v>56.5</v>
          </cell>
          <cell r="E889"/>
          <cell r="F889"/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A890" t="str">
            <v>166 FU - FUNDACION CURAME</v>
          </cell>
          <cell r="B890"/>
          <cell r="C890">
            <v>28.5</v>
          </cell>
          <cell r="D890"/>
          <cell r="E890"/>
          <cell r="F890"/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A891" t="str">
            <v>390-FU FUNDACION CRISTIANA FAMILIAR EL TALLER DEL MAESTRO (CENTRO1)</v>
          </cell>
          <cell r="B891"/>
          <cell r="C891">
            <v>12.5</v>
          </cell>
          <cell r="D891"/>
          <cell r="E891"/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A892" t="str">
            <v>730-FU SOLIDARIDAD Y DESARROLLO DE PANAMA (VERAGUAS)</v>
          </cell>
          <cell r="B892"/>
          <cell r="C892"/>
          <cell r="D892"/>
          <cell r="E892"/>
          <cell r="F892"/>
          <cell r="G892"/>
          <cell r="H892"/>
          <cell r="I892"/>
          <cell r="J892"/>
          <cell r="K892"/>
          <cell r="L892"/>
          <cell r="M892">
            <v>63</v>
          </cell>
          <cell r="N892"/>
          <cell r="O892"/>
        </row>
        <row r="893">
          <cell r="A893" t="str">
            <v>737- ASOCIACION CRISTIANA EBEN-EZER (ESTE)</v>
          </cell>
          <cell r="B893"/>
          <cell r="C893"/>
          <cell r="D893">
            <v>86</v>
          </cell>
          <cell r="E893"/>
          <cell r="F893"/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A894" t="str">
            <v>738- IG MINISTERIO DIOS CON NOSOTROS EMANUEL</v>
          </cell>
          <cell r="B894"/>
          <cell r="C894"/>
          <cell r="D894">
            <v>19.5</v>
          </cell>
          <cell r="E894"/>
          <cell r="F894"/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A895" t="str">
            <v>743- ED CLUB FAMILIA DEPORTIVA</v>
          </cell>
          <cell r="B895"/>
          <cell r="C895">
            <v>29</v>
          </cell>
          <cell r="D895"/>
          <cell r="E895"/>
          <cell r="F895"/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A896" t="str">
            <v>733-IG LA ORACION FUERTE AL ESPIRITU SANTO</v>
          </cell>
          <cell r="B896"/>
          <cell r="C896">
            <v>9.5</v>
          </cell>
          <cell r="D896"/>
          <cell r="E896"/>
          <cell r="F896"/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A897" t="str">
            <v>745-FU CASA DE MISERICORDIA</v>
          </cell>
          <cell r="B897"/>
          <cell r="C897">
            <v>9.5</v>
          </cell>
          <cell r="D897"/>
          <cell r="E897"/>
          <cell r="F897"/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A898" t="str">
            <v>741-IG BUNKER DE ESPERANZA</v>
          </cell>
          <cell r="B898"/>
          <cell r="C898"/>
          <cell r="D898">
            <v>51.5</v>
          </cell>
          <cell r="E898"/>
          <cell r="F898"/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A899" t="str">
            <v>749-IG Ministerio Tabernáculo de Santidad Internación (Guararé)</v>
          </cell>
          <cell r="B899"/>
          <cell r="C899"/>
          <cell r="D899"/>
          <cell r="E899"/>
          <cell r="F899"/>
          <cell r="G899"/>
          <cell r="H899"/>
          <cell r="I899"/>
          <cell r="J899"/>
          <cell r="K899"/>
          <cell r="L899"/>
          <cell r="M899">
            <v>38</v>
          </cell>
          <cell r="N899"/>
          <cell r="O899"/>
        </row>
        <row r="900">
          <cell r="A900" t="str">
            <v>750-IG MTSI Santiago</v>
          </cell>
          <cell r="B900"/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  <cell r="M900">
            <v>19</v>
          </cell>
          <cell r="N900"/>
          <cell r="O900"/>
        </row>
        <row r="901">
          <cell r="A901" t="str">
            <v>613-FU FUNDACION INMARE</v>
          </cell>
          <cell r="B901"/>
          <cell r="C901"/>
          <cell r="D901"/>
          <cell r="E901"/>
          <cell r="F901"/>
          <cell r="G901"/>
          <cell r="H901"/>
          <cell r="I901"/>
          <cell r="J901"/>
          <cell r="K901">
            <v>4108</v>
          </cell>
          <cell r="L901"/>
          <cell r="M901"/>
          <cell r="N901"/>
          <cell r="O901"/>
        </row>
        <row r="902">
          <cell r="A902" t="str">
            <v>760-FU AYUDAME A VIVIR</v>
          </cell>
          <cell r="B902"/>
          <cell r="C902"/>
          <cell r="D902"/>
          <cell r="E902"/>
          <cell r="F902"/>
          <cell r="G902"/>
          <cell r="H902"/>
          <cell r="I902">
            <v>25.5</v>
          </cell>
          <cell r="J902"/>
          <cell r="K902"/>
          <cell r="L902"/>
          <cell r="M902"/>
          <cell r="N902"/>
          <cell r="O902"/>
        </row>
        <row r="903">
          <cell r="A903" t="str">
            <v>281-FU FUNDACIÓN CAMBIO CREATIVO</v>
          </cell>
          <cell r="B903"/>
          <cell r="C903"/>
          <cell r="D903"/>
          <cell r="E903"/>
          <cell r="F903"/>
          <cell r="G903"/>
          <cell r="H903">
            <v>35</v>
          </cell>
          <cell r="I903"/>
          <cell r="J903"/>
          <cell r="K903"/>
          <cell r="L903"/>
          <cell r="M903"/>
          <cell r="N903"/>
          <cell r="O903"/>
        </row>
        <row r="904">
          <cell r="A904" t="str">
            <v>275 IG CONCILIO GENERAL DE LAS ASAMBLEAS DE DIOS DE PANAMÁ</v>
          </cell>
          <cell r="B904"/>
          <cell r="C904">
            <v>103</v>
          </cell>
          <cell r="D904"/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A905" t="str">
            <v>201 OR - MISIONERAS MADRE LAURA</v>
          </cell>
          <cell r="B905"/>
          <cell r="C905">
            <v>48.5</v>
          </cell>
          <cell r="D905"/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A906" t="str">
            <v>765-IG EXPANSION MISIONERA RIOS DE AGUA VIVA</v>
          </cell>
          <cell r="B906"/>
          <cell r="C906"/>
          <cell r="D906"/>
          <cell r="E906"/>
          <cell r="F906"/>
          <cell r="G906"/>
          <cell r="H906"/>
          <cell r="I906"/>
          <cell r="J906"/>
          <cell r="K906"/>
          <cell r="L906">
            <v>171</v>
          </cell>
          <cell r="M906"/>
          <cell r="N906"/>
          <cell r="O906"/>
        </row>
        <row r="907">
          <cell r="A907" t="str">
            <v>766-IG MINISTERIO BET-EL</v>
          </cell>
          <cell r="B907"/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>
            <v>25</v>
          </cell>
        </row>
        <row r="908">
          <cell r="A908" t="str">
            <v>785-FU FUNDACION GOTAS DE ESPERANZA</v>
          </cell>
          <cell r="B908"/>
          <cell r="C908"/>
          <cell r="D908"/>
          <cell r="E908">
            <v>92</v>
          </cell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A909" t="str">
            <v>394-IG IGLESIA ESCUADRONES DEL EJERCITO DE DIOS (CENTRO2)</v>
          </cell>
          <cell r="B909"/>
          <cell r="C909">
            <v>38.5</v>
          </cell>
          <cell r="D909"/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A910" t="str">
            <v>789-FU Fundación Rescate de Alimentos</v>
          </cell>
          <cell r="B910"/>
          <cell r="C910">
            <v>39</v>
          </cell>
          <cell r="D910"/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A911" t="str">
            <v>424-AS MINISTERIO EL PODER DE LA SANGRE QUE LIBERTA (ESTE)</v>
          </cell>
          <cell r="B911"/>
          <cell r="C911"/>
          <cell r="D911">
            <v>36</v>
          </cell>
          <cell r="E911"/>
          <cell r="F911"/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A912" t="str">
            <v>791-FU FUNDACION DIVINO NINO JESUS DE MI CORAZON</v>
          </cell>
          <cell r="B912"/>
          <cell r="C912"/>
          <cell r="D912">
            <v>67</v>
          </cell>
          <cell r="E912"/>
          <cell r="F912"/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A913" t="str">
            <v>69 FU - FUNDACIÓN VIDA ABUNDANTE</v>
          </cell>
          <cell r="B913"/>
          <cell r="C913">
            <v>40</v>
          </cell>
          <cell r="D913"/>
          <cell r="E913"/>
          <cell r="F913"/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A914" t="str">
            <v>598- IG IGLESIA GLORIA TRANSFORMADORA SHEKINAH</v>
          </cell>
          <cell r="B914"/>
          <cell r="C914"/>
          <cell r="D914"/>
          <cell r="E914">
            <v>127</v>
          </cell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A915" t="str">
            <v>138 OR - HERMANAS FRANCISCANAS DE MARIA INMACULADALA</v>
          </cell>
          <cell r="B915"/>
          <cell r="C915"/>
          <cell r="D915"/>
          <cell r="E915"/>
          <cell r="F915"/>
          <cell r="G915"/>
          <cell r="H915">
            <v>32.5</v>
          </cell>
          <cell r="I915"/>
          <cell r="J915"/>
          <cell r="K915"/>
          <cell r="L915"/>
          <cell r="M915"/>
          <cell r="N915"/>
          <cell r="O915"/>
        </row>
        <row r="916">
          <cell r="A916" t="str">
            <v>3 IG - IGLESIA DEL NAZARENO</v>
          </cell>
          <cell r="B916"/>
          <cell r="C916"/>
          <cell r="D916"/>
          <cell r="E916">
            <v>76</v>
          </cell>
          <cell r="F916"/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A917" t="str">
            <v>232 IG MINISTERIO TIEMPO DE COSECHA</v>
          </cell>
          <cell r="B917"/>
          <cell r="C917"/>
          <cell r="D917"/>
          <cell r="E917"/>
          <cell r="F917"/>
          <cell r="G917"/>
          <cell r="H917"/>
          <cell r="I917">
            <v>28</v>
          </cell>
          <cell r="J917"/>
          <cell r="K917"/>
          <cell r="L917"/>
          <cell r="M917"/>
          <cell r="N917"/>
          <cell r="O917"/>
        </row>
        <row r="918">
          <cell r="A918" t="str">
            <v>661 - FU FUNDACION MAS INTEGRADOS (DARIEN)</v>
          </cell>
          <cell r="B918"/>
          <cell r="C918"/>
          <cell r="D918"/>
          <cell r="E918"/>
          <cell r="F918">
            <v>32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A919" t="str">
            <v>240 PA - PARROQUIA SAN JOSÉ - PESE</v>
          </cell>
          <cell r="B919"/>
          <cell r="C919"/>
          <cell r="D919"/>
          <cell r="E919"/>
          <cell r="F919"/>
          <cell r="G919"/>
          <cell r="H919"/>
          <cell r="I919"/>
          <cell r="J919"/>
          <cell r="K919"/>
          <cell r="L919">
            <v>19</v>
          </cell>
          <cell r="M919"/>
          <cell r="N919"/>
          <cell r="O919"/>
        </row>
        <row r="920">
          <cell r="A920" t="str">
            <v>253 FU - FUNDACIÓN PARA EL BIENESTAR SOCIAL (CENTRO2)</v>
          </cell>
          <cell r="B920"/>
          <cell r="C920">
            <v>189</v>
          </cell>
          <cell r="D920"/>
          <cell r="E920"/>
          <cell r="F920"/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A921" t="str">
            <v>650 - IG ASOCIACION CRISTIANA EBEN - EZER #27 (ESTE)</v>
          </cell>
          <cell r="B921"/>
          <cell r="C921"/>
          <cell r="D921">
            <v>82.5</v>
          </cell>
          <cell r="E921"/>
          <cell r="F921"/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A922" t="str">
            <v>375-FU Ministerio a Dios sea la Gloria</v>
          </cell>
          <cell r="B922"/>
          <cell r="C922">
            <v>72.5</v>
          </cell>
          <cell r="D922"/>
          <cell r="E922"/>
          <cell r="F922"/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A923" t="str">
            <v>802-IG IGLESIA INTERNACIONAL DEL EVANGELIO CUADRANGULAR DE PANAMÁ</v>
          </cell>
          <cell r="B923"/>
          <cell r="C923">
            <v>27</v>
          </cell>
          <cell r="D923"/>
          <cell r="E923"/>
          <cell r="F923"/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A924" t="str">
            <v>814-IG Templo Morada Santa</v>
          </cell>
          <cell r="B924"/>
          <cell r="C924"/>
          <cell r="D924"/>
          <cell r="E924"/>
          <cell r="F924">
            <v>9.5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A925" t="str">
            <v>185 FU - FUNDACIÓN ABIA YALA</v>
          </cell>
          <cell r="B925"/>
          <cell r="C925">
            <v>38</v>
          </cell>
          <cell r="D925"/>
          <cell r="E925"/>
          <cell r="F925"/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A926" t="str">
            <v>786-FU ACADEMIA DE FUTBOL ROMAN TORRES</v>
          </cell>
          <cell r="B926"/>
          <cell r="C926">
            <v>19.5</v>
          </cell>
          <cell r="D926"/>
          <cell r="E926"/>
          <cell r="F926"/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A927" t="str">
            <v>496-AS CUERPO DE VOLUNTARIAS DEL HOSPITAL DEL NIÑO</v>
          </cell>
          <cell r="B927"/>
          <cell r="C927">
            <v>24</v>
          </cell>
          <cell r="D927"/>
          <cell r="E927"/>
          <cell r="F927"/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A928" t="str">
            <v>734-FU MINISTERIO DE SALVACION EL CAMINO DE DIOS</v>
          </cell>
          <cell r="B928"/>
          <cell r="C928"/>
          <cell r="D928"/>
          <cell r="E928"/>
          <cell r="F928"/>
          <cell r="G928"/>
          <cell r="H928"/>
          <cell r="I928">
            <v>17</v>
          </cell>
          <cell r="J928"/>
          <cell r="K928"/>
          <cell r="L928"/>
          <cell r="M928"/>
          <cell r="N928"/>
          <cell r="O928"/>
        </row>
        <row r="929">
          <cell r="A929" t="str">
            <v>392-FU Fundacion Jerusalen Trono de Jehova III</v>
          </cell>
          <cell r="B929"/>
          <cell r="C929"/>
          <cell r="D929"/>
          <cell r="E929">
            <v>46</v>
          </cell>
          <cell r="F929"/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A930" t="str">
            <v>641 - IG IGLESIA EVANGELICA QUIRIAT SALEM (ESTE)</v>
          </cell>
          <cell r="B930"/>
          <cell r="C930"/>
          <cell r="D930">
            <v>38.5</v>
          </cell>
          <cell r="E930"/>
          <cell r="F930"/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A931" t="str">
            <v>756-FU Fundación Nuevas Rutas</v>
          </cell>
          <cell r="B931"/>
          <cell r="C931"/>
          <cell r="D931"/>
          <cell r="E931"/>
          <cell r="F931"/>
          <cell r="G931"/>
          <cell r="H931"/>
          <cell r="I931"/>
          <cell r="J931">
            <v>396</v>
          </cell>
          <cell r="K931"/>
          <cell r="L931"/>
          <cell r="M931"/>
          <cell r="N931"/>
          <cell r="O931"/>
        </row>
        <row r="932">
          <cell r="A932" t="str">
            <v>708 - FU MINISTERIO BERAKHAH INTERNACIONAL GUARARE</v>
          </cell>
          <cell r="B932"/>
          <cell r="C932"/>
          <cell r="D932"/>
          <cell r="E932"/>
          <cell r="F932"/>
          <cell r="G932"/>
          <cell r="H932"/>
          <cell r="I932"/>
          <cell r="J932"/>
          <cell r="K932"/>
          <cell r="L932"/>
          <cell r="M932"/>
          <cell r="N932"/>
          <cell r="O932">
            <v>5</v>
          </cell>
        </row>
        <row r="933">
          <cell r="A933" t="str">
            <v>422-AS Club de Leones de Penonome</v>
          </cell>
          <cell r="B933"/>
          <cell r="C933"/>
          <cell r="D933"/>
          <cell r="E933"/>
          <cell r="F933"/>
          <cell r="G933"/>
          <cell r="H933"/>
          <cell r="I933"/>
          <cell r="J933"/>
          <cell r="K933">
            <v>38</v>
          </cell>
          <cell r="L933"/>
          <cell r="M933"/>
          <cell r="N933"/>
          <cell r="O933"/>
        </row>
        <row r="934">
          <cell r="A934" t="str">
            <v>828-IG IDN LAS TINAJAS</v>
          </cell>
          <cell r="B934"/>
          <cell r="C934"/>
          <cell r="D934"/>
          <cell r="E934"/>
          <cell r="F934"/>
          <cell r="G934"/>
          <cell r="H934"/>
          <cell r="I934"/>
          <cell r="J934">
            <v>18</v>
          </cell>
          <cell r="K934"/>
          <cell r="L934"/>
          <cell r="M934"/>
          <cell r="N934"/>
          <cell r="O934"/>
        </row>
        <row r="935">
          <cell r="A935" t="str">
            <v>813-IG Comedor Centro De Esperanza Elohim</v>
          </cell>
          <cell r="B935"/>
          <cell r="C935"/>
          <cell r="D935"/>
          <cell r="E935"/>
          <cell r="F935"/>
          <cell r="G935"/>
          <cell r="H935"/>
          <cell r="I935"/>
          <cell r="J935"/>
          <cell r="K935">
            <v>28</v>
          </cell>
          <cell r="L935"/>
          <cell r="M935"/>
          <cell r="N935"/>
          <cell r="O935"/>
        </row>
        <row r="936">
          <cell r="A936" t="str">
            <v>728-FU ANCEC SANTIAGO</v>
          </cell>
          <cell r="B936"/>
          <cell r="C936"/>
          <cell r="D936"/>
          <cell r="E936"/>
          <cell r="F936"/>
          <cell r="G936"/>
          <cell r="H936"/>
          <cell r="I936"/>
          <cell r="J936"/>
          <cell r="K936"/>
          <cell r="L936"/>
          <cell r="M936">
            <v>32</v>
          </cell>
          <cell r="N936"/>
          <cell r="O936"/>
        </row>
        <row r="937">
          <cell r="A937" t="str">
            <v>245-FU MINISTERIO BERAKHAH INTERNACIONAL CUENTA PRINCIPAL</v>
          </cell>
          <cell r="B937"/>
          <cell r="C937"/>
          <cell r="D937">
            <v>47</v>
          </cell>
          <cell r="E937"/>
          <cell r="F937"/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A938" t="str">
            <v>827-FU Fundación Transformemos mi comunidad</v>
          </cell>
          <cell r="B938"/>
          <cell r="C938"/>
          <cell r="D938"/>
          <cell r="E938">
            <v>35</v>
          </cell>
          <cell r="F938"/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A939" t="str">
            <v>PRODUCTOS TOLEDANO</v>
          </cell>
          <cell r="B939">
            <v>57</v>
          </cell>
          <cell r="C939">
            <v>394</v>
          </cell>
          <cell r="D939">
            <v>854</v>
          </cell>
          <cell r="E939">
            <v>383</v>
          </cell>
          <cell r="F939">
            <v>58</v>
          </cell>
          <cell r="G939">
            <v>74</v>
          </cell>
          <cell r="H939">
            <v>42</v>
          </cell>
          <cell r="I939">
            <v>109</v>
          </cell>
          <cell r="J939">
            <v>395</v>
          </cell>
          <cell r="K939">
            <v>1350</v>
          </cell>
          <cell r="L939">
            <v>357</v>
          </cell>
          <cell r="M939">
            <v>379</v>
          </cell>
          <cell r="N939"/>
          <cell r="O939">
            <v>68</v>
          </cell>
        </row>
        <row r="940">
          <cell r="A940">
            <v>0</v>
          </cell>
          <cell r="B940">
            <v>39</v>
          </cell>
          <cell r="C940"/>
          <cell r="D940"/>
          <cell r="E940"/>
          <cell r="F940"/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A941" t="str">
            <v>662-IG MINISTERIO EVANGELICO EL APOSENTO ALTO (CENTRO 1)</v>
          </cell>
          <cell r="B941"/>
          <cell r="C941">
            <v>4</v>
          </cell>
          <cell r="D941"/>
          <cell r="E941"/>
          <cell r="F941"/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A942" t="str">
            <v>298-FU - MINISTERIO FUENTE DE VIDA PARA EL PERDIDO</v>
          </cell>
          <cell r="B942"/>
          <cell r="C942"/>
          <cell r="D942"/>
          <cell r="E942"/>
          <cell r="F942">
            <v>36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A943" t="str">
            <v>479-IG IGLESIA NUEVA ESPERANZA</v>
          </cell>
          <cell r="B943"/>
          <cell r="C943"/>
          <cell r="D943">
            <v>26</v>
          </cell>
          <cell r="E943"/>
          <cell r="F943"/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A944" t="str">
            <v>104 AS - ASOCIACIÓN HOGAR FELICIDAD</v>
          </cell>
          <cell r="B944"/>
          <cell r="C944"/>
          <cell r="D944"/>
          <cell r="E944">
            <v>20</v>
          </cell>
          <cell r="F944"/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A945" t="str">
            <v>178 IG - TEMPLO ZURIEL EL REFUGIO</v>
          </cell>
          <cell r="B945"/>
          <cell r="C945"/>
          <cell r="D945"/>
          <cell r="E945"/>
          <cell r="F945"/>
          <cell r="G945">
            <v>62</v>
          </cell>
          <cell r="H945"/>
          <cell r="I945"/>
          <cell r="J945"/>
          <cell r="K945"/>
          <cell r="L945"/>
          <cell r="M945"/>
          <cell r="N945"/>
          <cell r="O945"/>
        </row>
        <row r="946">
          <cell r="A946" t="str">
            <v>207 IG - IGLESIA CENTRO DE VIDA CRISTIANA</v>
          </cell>
          <cell r="B946"/>
          <cell r="C946"/>
          <cell r="D946">
            <v>34</v>
          </cell>
          <cell r="E946"/>
          <cell r="F946"/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A947" t="str">
            <v>636- FU JAH - LIVE (JAHL) - COLON</v>
          </cell>
          <cell r="B947"/>
          <cell r="C947"/>
          <cell r="D947"/>
          <cell r="E947"/>
          <cell r="F947"/>
          <cell r="G947"/>
          <cell r="H947">
            <v>28</v>
          </cell>
          <cell r="I947"/>
          <cell r="J947"/>
          <cell r="K947"/>
          <cell r="L947"/>
          <cell r="M947"/>
          <cell r="N947"/>
          <cell r="O947"/>
        </row>
        <row r="948">
          <cell r="A948" t="str">
            <v>224 OR MISIONERAS DE LA CARIDAD DE COLON</v>
          </cell>
          <cell r="B948"/>
          <cell r="C948"/>
          <cell r="D948"/>
          <cell r="E948"/>
          <cell r="F948"/>
          <cell r="G948"/>
          <cell r="H948">
            <v>14</v>
          </cell>
          <cell r="I948"/>
          <cell r="J948"/>
          <cell r="K948"/>
          <cell r="L948"/>
          <cell r="M948"/>
          <cell r="N948"/>
          <cell r="O948"/>
        </row>
        <row r="949">
          <cell r="A949" t="str">
            <v>365-IG COMEDOR HEFZIBA</v>
          </cell>
          <cell r="B949"/>
          <cell r="C949"/>
          <cell r="D949"/>
          <cell r="E949"/>
          <cell r="F949"/>
          <cell r="G949"/>
          <cell r="H949"/>
          <cell r="I949">
            <v>57</v>
          </cell>
          <cell r="J949"/>
          <cell r="K949"/>
          <cell r="L949"/>
          <cell r="M949"/>
          <cell r="N949"/>
          <cell r="O949"/>
        </row>
        <row r="950">
          <cell r="A950" t="str">
            <v>635 TEMPLO ADULAM</v>
          </cell>
          <cell r="B950"/>
          <cell r="C950"/>
          <cell r="D950"/>
          <cell r="E950">
            <v>47</v>
          </cell>
          <cell r="F950"/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A951" t="str">
            <v>470-FU IGLESIA MONTE SANTO</v>
          </cell>
          <cell r="B951"/>
          <cell r="C951"/>
          <cell r="D951">
            <v>2</v>
          </cell>
          <cell r="E951"/>
          <cell r="F951"/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A952" t="str">
            <v>687 - FU FUNDACION ARCA DE JESUS</v>
          </cell>
          <cell r="B952"/>
          <cell r="C952"/>
          <cell r="D952"/>
          <cell r="E952">
            <v>6</v>
          </cell>
          <cell r="F952"/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A953" t="str">
            <v>218 ED - LOS PREFERIDOS DEL SEÑOR (CENTRO2)</v>
          </cell>
          <cell r="B953"/>
          <cell r="C953">
            <v>76</v>
          </cell>
          <cell r="D953"/>
          <cell r="E953"/>
          <cell r="F953"/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A954" t="str">
            <v>187 IG - IGLESIA DE DIOS DE LA PROFECÍA</v>
          </cell>
          <cell r="B954"/>
          <cell r="C954"/>
          <cell r="D954">
            <v>81</v>
          </cell>
          <cell r="E954"/>
          <cell r="F954"/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A955" t="str">
            <v>321-IG IGLESIA DIOS ES MI PROVEEDOR Y SUSTENTO</v>
          </cell>
          <cell r="B955"/>
          <cell r="C955"/>
          <cell r="D955">
            <v>60</v>
          </cell>
          <cell r="E955"/>
          <cell r="F955"/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A956" t="str">
            <v>111 FU - FUNDACIÓN NUESTRA SEÑORA DEL CAMINO</v>
          </cell>
          <cell r="B956"/>
          <cell r="C956"/>
          <cell r="D956"/>
          <cell r="E956"/>
          <cell r="F956"/>
          <cell r="G956"/>
          <cell r="H956"/>
          <cell r="I956"/>
          <cell r="J956">
            <v>70</v>
          </cell>
          <cell r="K956"/>
          <cell r="L956"/>
          <cell r="M956"/>
          <cell r="N956"/>
          <cell r="O956"/>
        </row>
        <row r="957">
          <cell r="A957" t="str">
            <v>443-FU MINISTERIO BERAKHAH INTERNACIONAL COMEDOR LAS GARZAS #2</v>
          </cell>
          <cell r="B957"/>
          <cell r="C957"/>
          <cell r="D957">
            <v>12</v>
          </cell>
          <cell r="E957"/>
          <cell r="F957"/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A958" t="str">
            <v>694 - FU MINISTERIO BERAKHAH INTERNACIONAL TOCUMEN #2</v>
          </cell>
          <cell r="B958"/>
          <cell r="C958"/>
          <cell r="D958">
            <v>48</v>
          </cell>
          <cell r="E958"/>
          <cell r="F958"/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A959" t="str">
            <v>695 - FU MINISTERIO BERAKHAH INTERNACIONAL 24 DIC</v>
          </cell>
          <cell r="B959"/>
          <cell r="C959"/>
          <cell r="D959">
            <v>12</v>
          </cell>
          <cell r="E959"/>
          <cell r="F959"/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A960" t="str">
            <v>703 - FU MINISTERIO BERAKHAH INTERNACIONAL FELIPILLO #3</v>
          </cell>
          <cell r="B960"/>
          <cell r="C960"/>
          <cell r="D960">
            <v>12</v>
          </cell>
          <cell r="E960"/>
          <cell r="F960"/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A961" t="str">
            <v>366-FU CENTRO MISIONERO EL SHADAI (ESTE)</v>
          </cell>
          <cell r="B961"/>
          <cell r="C961"/>
          <cell r="D961">
            <v>87</v>
          </cell>
          <cell r="E961"/>
          <cell r="F961"/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A962" t="str">
            <v>498-FU COMEDOR NIÑOS DE BENDICION</v>
          </cell>
          <cell r="B962"/>
          <cell r="C962"/>
          <cell r="D962"/>
          <cell r="E962">
            <v>37</v>
          </cell>
          <cell r="F962"/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A963" t="str">
            <v>288 IG MINISTERIO EVANGELISTICO DE SANACION Y RESTAURACION, SENALES, MILAGROS Y MARAVILLAS (ESTE)</v>
          </cell>
          <cell r="B963"/>
          <cell r="C963"/>
          <cell r="D963">
            <v>24</v>
          </cell>
          <cell r="E963"/>
          <cell r="F963"/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A964" t="str">
            <v>373-FU MINISTERIO INTERNACIONAL BOANERGES</v>
          </cell>
          <cell r="B964"/>
          <cell r="C964"/>
          <cell r="D964"/>
          <cell r="E964"/>
          <cell r="F964"/>
          <cell r="G964"/>
          <cell r="H964"/>
          <cell r="I964">
            <v>26</v>
          </cell>
          <cell r="J964"/>
          <cell r="K964"/>
          <cell r="L964"/>
          <cell r="M964"/>
          <cell r="N964"/>
          <cell r="O964"/>
        </row>
        <row r="965">
          <cell r="A965" t="str">
            <v>183 ED - BELÉN CASA DE PAN (ESTE)</v>
          </cell>
          <cell r="B965"/>
          <cell r="C965"/>
          <cell r="D965">
            <v>12</v>
          </cell>
          <cell r="E965"/>
          <cell r="F965"/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A966" t="str">
            <v>691 - AR CARITAS ARQUIDIOCESANA</v>
          </cell>
          <cell r="B966"/>
          <cell r="C966">
            <v>12</v>
          </cell>
          <cell r="D966"/>
          <cell r="E966"/>
          <cell r="F966"/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A967" t="str">
            <v>643 - IG TEMPLO PUERTA DEL CIELO (CHIRIQUI)</v>
          </cell>
          <cell r="B967"/>
          <cell r="C967"/>
          <cell r="D967"/>
          <cell r="E967"/>
          <cell r="F967"/>
          <cell r="G967"/>
          <cell r="H967"/>
          <cell r="I967"/>
          <cell r="J967">
            <v>51</v>
          </cell>
          <cell r="K967"/>
          <cell r="L967"/>
          <cell r="M967"/>
          <cell r="N967"/>
          <cell r="O967"/>
        </row>
        <row r="968">
          <cell r="A968" t="str">
            <v>368-FU MINISTERIO PACTO DE SANTIDAD</v>
          </cell>
          <cell r="B968"/>
          <cell r="C968">
            <v>18</v>
          </cell>
          <cell r="D968"/>
          <cell r="E968"/>
          <cell r="F968"/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A969" t="str">
            <v>654 - IG M.I.A.F NUEVA JERUSALEN PANAMA (ESTE)</v>
          </cell>
          <cell r="B969"/>
          <cell r="C969"/>
          <cell r="D969">
            <v>18</v>
          </cell>
          <cell r="E969"/>
          <cell r="F969"/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A970" t="str">
            <v>487-FU FUNDACION CASA AVE MARIA</v>
          </cell>
          <cell r="B970"/>
          <cell r="C970"/>
          <cell r="D970"/>
          <cell r="E970">
            <v>170</v>
          </cell>
          <cell r="F970"/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A971" t="str">
            <v>284 - IG MINISTERIO PAN DE VIDA</v>
          </cell>
          <cell r="B971"/>
          <cell r="C971"/>
          <cell r="D971"/>
          <cell r="E971"/>
          <cell r="F971"/>
          <cell r="G971"/>
          <cell r="H971"/>
          <cell r="I971"/>
          <cell r="J971">
            <v>25</v>
          </cell>
          <cell r="K971"/>
          <cell r="L971"/>
          <cell r="M971"/>
          <cell r="N971"/>
          <cell r="O971"/>
        </row>
        <row r="972">
          <cell r="A972" t="str">
            <v>2 PA - PARROQUIA SAN JUAN MARIA VIANNEY (NORTE)</v>
          </cell>
          <cell r="B972"/>
          <cell r="C972"/>
          <cell r="D972"/>
          <cell r="E972"/>
          <cell r="F972"/>
          <cell r="G972"/>
          <cell r="H972"/>
          <cell r="I972">
            <v>14</v>
          </cell>
          <cell r="J972"/>
          <cell r="K972"/>
          <cell r="L972"/>
          <cell r="M972"/>
          <cell r="N972"/>
          <cell r="O972"/>
        </row>
        <row r="973">
          <cell r="A973" t="str">
            <v>696 - FU MINISTERIO BERAKHAH INTERNACIONAL CHEPO #1</v>
          </cell>
          <cell r="B973"/>
          <cell r="C973"/>
          <cell r="D973">
            <v>4</v>
          </cell>
          <cell r="E973"/>
          <cell r="F973"/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A974" t="str">
            <v>222 ED - MISERICORDIAR</v>
          </cell>
          <cell r="B974"/>
          <cell r="C974"/>
          <cell r="D974">
            <v>26</v>
          </cell>
          <cell r="E974"/>
          <cell r="F974"/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A975" t="str">
            <v>259 IG - ALCANCE VICTORIA PANAMÁ</v>
          </cell>
          <cell r="B975"/>
          <cell r="C975">
            <v>15</v>
          </cell>
          <cell r="D975"/>
          <cell r="E975"/>
          <cell r="F975"/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A976" t="str">
            <v>668 - FU FUNDACION CRISTIANA LA FE EN MARCHA</v>
          </cell>
          <cell r="B976"/>
          <cell r="C976"/>
          <cell r="D976"/>
          <cell r="E976"/>
          <cell r="F976"/>
          <cell r="G976"/>
          <cell r="H976"/>
          <cell r="I976"/>
          <cell r="J976">
            <v>16</v>
          </cell>
          <cell r="K976"/>
          <cell r="L976"/>
          <cell r="M976"/>
          <cell r="N976"/>
          <cell r="O976"/>
        </row>
        <row r="977">
          <cell r="A977" t="str">
            <v>644 - IG TEMPLO SENDA DE VIDA (CHIRIQUÍ)</v>
          </cell>
          <cell r="B977"/>
          <cell r="C977"/>
          <cell r="D977"/>
          <cell r="E977"/>
          <cell r="F977"/>
          <cell r="G977"/>
          <cell r="H977"/>
          <cell r="I977"/>
          <cell r="J977">
            <v>21</v>
          </cell>
          <cell r="K977"/>
          <cell r="L977"/>
          <cell r="M977"/>
          <cell r="N977"/>
          <cell r="O977"/>
        </row>
        <row r="978">
          <cell r="A978" t="str">
            <v>387-AS Asociacion ODSSAR-OBC</v>
          </cell>
          <cell r="B978"/>
          <cell r="C978"/>
          <cell r="D978">
            <v>12</v>
          </cell>
          <cell r="E978"/>
          <cell r="F978"/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A979" t="str">
            <v>300 ED - BENEFICIARIOS</v>
          </cell>
          <cell r="B979"/>
          <cell r="C979"/>
          <cell r="D979">
            <v>130</v>
          </cell>
          <cell r="E979"/>
          <cell r="F979"/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A980" t="str">
            <v>657 - FU CENTRO COMUNITARIO MONTAÑAS DE ESPERANZA (RETIRO EN EL BAP)</v>
          </cell>
          <cell r="B980"/>
          <cell r="C980"/>
          <cell r="D980">
            <v>12</v>
          </cell>
          <cell r="E980"/>
          <cell r="F980"/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A981" t="str">
            <v>630-IG MIN.INTL.DE CRISTO PAZ DE DIOS</v>
          </cell>
          <cell r="B981"/>
          <cell r="C981">
            <v>59</v>
          </cell>
          <cell r="D981"/>
          <cell r="E981"/>
          <cell r="F981"/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A982" t="str">
            <v>260 IG - IGLESIA MISIONERA DE RESTAURACIÓN</v>
          </cell>
          <cell r="B982"/>
          <cell r="C982"/>
          <cell r="D982">
            <v>24</v>
          </cell>
          <cell r="E982"/>
          <cell r="F982"/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A983" t="str">
            <v>397-FU FUNDACION SHALOM PANAMA</v>
          </cell>
          <cell r="B983"/>
          <cell r="C983"/>
          <cell r="D983"/>
          <cell r="E983">
            <v>14</v>
          </cell>
          <cell r="F983"/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A984" t="str">
            <v>195 ED - JUNTOS PODEMOS</v>
          </cell>
          <cell r="B984"/>
          <cell r="C984">
            <v>64</v>
          </cell>
          <cell r="D984"/>
          <cell r="E984"/>
          <cell r="F984"/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A985" t="str">
            <v>653 - FU FUNDACION LUIS CARLOS DIAZ (OESTE)</v>
          </cell>
          <cell r="B985"/>
          <cell r="C985"/>
          <cell r="D985"/>
          <cell r="E985">
            <v>6</v>
          </cell>
          <cell r="F985"/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A986" t="str">
            <v>709 - FU FUNRECRISTO</v>
          </cell>
          <cell r="B986"/>
          <cell r="C986"/>
          <cell r="D986">
            <v>14</v>
          </cell>
          <cell r="E986"/>
          <cell r="F986"/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A987" t="str">
            <v>670 - FU FUNDACION MINISTERIIO CRISTIANO EL REINO DE DIOS (ESTE)</v>
          </cell>
          <cell r="B987"/>
          <cell r="C987"/>
          <cell r="D987">
            <v>11</v>
          </cell>
          <cell r="E987"/>
          <cell r="F987"/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A988" t="str">
            <v>380-ED COMEDOR COMUNITARIO CASA DEL ALFARERO</v>
          </cell>
          <cell r="B988"/>
          <cell r="C988"/>
          <cell r="D988">
            <v>12</v>
          </cell>
          <cell r="E988"/>
          <cell r="F988"/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A989" t="str">
            <v>202 FU - FUNDACIÓN HOGAR SAN JOSÉ (ESTE)</v>
          </cell>
          <cell r="B989"/>
          <cell r="C989"/>
          <cell r="D989">
            <v>12</v>
          </cell>
          <cell r="E989"/>
          <cell r="F989"/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A990" t="str">
            <v>469-FU MINISTERIO CRISTIANO EL SHADAI</v>
          </cell>
          <cell r="B990"/>
          <cell r="C990"/>
          <cell r="D990">
            <v>4</v>
          </cell>
          <cell r="E990"/>
          <cell r="F990"/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A991" t="str">
            <v>597- IG MINISTERIO APOSTOLICO NEMUEL INTERNACIONAL</v>
          </cell>
          <cell r="B991"/>
          <cell r="C991"/>
          <cell r="D991">
            <v>16</v>
          </cell>
          <cell r="E991"/>
          <cell r="F991"/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A992" t="str">
            <v>647 - IG CRISTO REY CAMBIANDO VIDAS (ESTE)</v>
          </cell>
          <cell r="B992"/>
          <cell r="C992"/>
          <cell r="D992">
            <v>16</v>
          </cell>
          <cell r="E992"/>
          <cell r="F992"/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A993" t="str">
            <v>339-AS ASOCIACION RESIDENCIA LISBETH</v>
          </cell>
          <cell r="B993"/>
          <cell r="C993"/>
          <cell r="D993">
            <v>31</v>
          </cell>
          <cell r="E993"/>
          <cell r="F993"/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A994" t="str">
            <v>381-FU FUNDAMIDOM</v>
          </cell>
          <cell r="B994"/>
          <cell r="C994"/>
          <cell r="D994"/>
          <cell r="E994">
            <v>6</v>
          </cell>
          <cell r="F994"/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A995" t="str">
            <v>491-FU Fundación Aleluya</v>
          </cell>
          <cell r="B995"/>
          <cell r="C995"/>
          <cell r="D995"/>
          <cell r="E995"/>
          <cell r="F995"/>
          <cell r="G995">
            <v>6</v>
          </cell>
          <cell r="H995"/>
          <cell r="I995"/>
          <cell r="J995"/>
          <cell r="K995"/>
          <cell r="L995"/>
          <cell r="M995"/>
          <cell r="N995"/>
          <cell r="O995"/>
        </row>
        <row r="996">
          <cell r="A996" t="str">
            <v>681 - FU FUNDACION NUEVA SOCIEDAD (NORTE)</v>
          </cell>
          <cell r="B996"/>
          <cell r="C996"/>
          <cell r="D996"/>
          <cell r="E996"/>
          <cell r="F996"/>
          <cell r="G996"/>
          <cell r="H996"/>
          <cell r="I996">
            <v>2</v>
          </cell>
          <cell r="J996"/>
          <cell r="K996"/>
          <cell r="L996"/>
          <cell r="M996"/>
          <cell r="N996"/>
          <cell r="O996"/>
        </row>
        <row r="997">
          <cell r="A997" t="str">
            <v>94 OR - HOGAR SAN FRANCISCO DE ASÍS</v>
          </cell>
          <cell r="B997"/>
          <cell r="C997"/>
          <cell r="D997"/>
          <cell r="E997"/>
          <cell r="F997"/>
          <cell r="G997"/>
          <cell r="H997"/>
          <cell r="I997"/>
          <cell r="J997">
            <v>38</v>
          </cell>
          <cell r="K997"/>
          <cell r="L997"/>
          <cell r="M997"/>
          <cell r="N997"/>
          <cell r="O997"/>
        </row>
        <row r="998">
          <cell r="A998" t="str">
            <v>671 - PA DIOCESIS DE PENONOME (COCLE)</v>
          </cell>
          <cell r="B998"/>
          <cell r="C998"/>
          <cell r="D998"/>
          <cell r="E998"/>
          <cell r="F998"/>
          <cell r="G998"/>
          <cell r="H998"/>
          <cell r="I998"/>
          <cell r="J998"/>
          <cell r="K998">
            <v>18</v>
          </cell>
          <cell r="L998"/>
          <cell r="M998"/>
          <cell r="N998"/>
          <cell r="O998"/>
        </row>
        <row r="999">
          <cell r="A999" t="str">
            <v>377-FU CENTRO CRISTIANO CASA DE DIOS PANAMA</v>
          </cell>
          <cell r="B999"/>
          <cell r="C999"/>
          <cell r="D999"/>
          <cell r="E999"/>
          <cell r="F999"/>
          <cell r="G999">
            <v>2</v>
          </cell>
          <cell r="H999"/>
          <cell r="I999"/>
          <cell r="J999"/>
          <cell r="K999"/>
          <cell r="L999"/>
          <cell r="M999"/>
          <cell r="N999"/>
          <cell r="O999"/>
        </row>
        <row r="1000">
          <cell r="A1000" t="str">
            <v>415-AS CLUB DE LEONES DE CHITRE</v>
          </cell>
          <cell r="B1000"/>
          <cell r="C1000"/>
          <cell r="D1000"/>
          <cell r="E1000"/>
          <cell r="F1000"/>
          <cell r="G1000"/>
          <cell r="H1000"/>
          <cell r="I1000"/>
          <cell r="J1000"/>
          <cell r="K1000"/>
          <cell r="L1000">
            <v>24</v>
          </cell>
          <cell r="M1000"/>
          <cell r="N1000"/>
          <cell r="O1000"/>
        </row>
        <row r="1001">
          <cell r="A1001" t="str">
            <v>364-IG COMEDOR SHEKINA</v>
          </cell>
          <cell r="B1001"/>
          <cell r="C1001"/>
          <cell r="D1001"/>
          <cell r="E1001"/>
          <cell r="F1001"/>
          <cell r="G1001"/>
          <cell r="H1001"/>
          <cell r="I1001"/>
          <cell r="J1001"/>
          <cell r="K1001">
            <v>80</v>
          </cell>
          <cell r="L1001"/>
          <cell r="M1001"/>
          <cell r="N1001"/>
          <cell r="O1001"/>
        </row>
        <row r="1002">
          <cell r="A1002" t="str">
            <v>595-FU CENTRO DE LA MUJER Y LA NIÑEZ</v>
          </cell>
          <cell r="B1002"/>
          <cell r="C1002">
            <v>12</v>
          </cell>
          <cell r="D1002"/>
          <cell r="E1002"/>
          <cell r="F1002"/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A1003" t="str">
            <v>118 FU - FUNDACIÓN UN NUEVO AMANECER</v>
          </cell>
          <cell r="B1003"/>
          <cell r="C1003"/>
          <cell r="D1003"/>
          <cell r="E1003">
            <v>12</v>
          </cell>
          <cell r="F1003"/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A1004" t="str">
            <v>360-IG IGLESIA CRISTIANA CASA DE REUNION</v>
          </cell>
          <cell r="B1004"/>
          <cell r="C1004"/>
          <cell r="D1004"/>
          <cell r="E1004"/>
          <cell r="F1004"/>
          <cell r="G1004">
            <v>2</v>
          </cell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A1005" t="str">
            <v>263 IG TABERNÁCULO DE DIOS DE SAN MIGUEL DEL EXQUISITO</v>
          </cell>
          <cell r="B1005"/>
          <cell r="C1005"/>
          <cell r="D1005"/>
          <cell r="E1005"/>
          <cell r="F1005"/>
          <cell r="G1005"/>
          <cell r="H1005"/>
          <cell r="I1005"/>
          <cell r="J1005">
            <v>42</v>
          </cell>
          <cell r="K1005"/>
          <cell r="L1005"/>
          <cell r="M1005"/>
          <cell r="N1005"/>
          <cell r="O1005"/>
        </row>
        <row r="1006">
          <cell r="A1006" t="str">
            <v>719 FU FUNDACION VIDA NUEVA EL SHADDAI</v>
          </cell>
          <cell r="B1006"/>
          <cell r="C1006"/>
          <cell r="D1006"/>
          <cell r="E1006"/>
          <cell r="F1006"/>
          <cell r="G1006">
            <v>2</v>
          </cell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A1007" t="str">
            <v>54 FU - FUNDACIÓN CASA HOGAR EL BUEN SAMARITANO</v>
          </cell>
          <cell r="B1007"/>
          <cell r="C1007"/>
          <cell r="D1007">
            <v>12</v>
          </cell>
          <cell r="E1007"/>
          <cell r="F1007"/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A1008" t="str">
            <v>710 - AS CLUB DE LEONES DE SONA</v>
          </cell>
          <cell r="B1008"/>
          <cell r="C1008"/>
          <cell r="D1008"/>
          <cell r="E1008"/>
          <cell r="F1008"/>
          <cell r="G1008"/>
          <cell r="H1008"/>
          <cell r="I1008"/>
          <cell r="J1008"/>
          <cell r="K1008"/>
          <cell r="L1008"/>
          <cell r="M1008">
            <v>92</v>
          </cell>
          <cell r="N1008"/>
          <cell r="O1008"/>
        </row>
        <row r="1009">
          <cell r="A1009" t="str">
            <v>684 - FU FUNDACION CASA DEL REY JESUS (CENTRO 2)</v>
          </cell>
          <cell r="B1009"/>
          <cell r="C1009">
            <v>47</v>
          </cell>
          <cell r="D1009"/>
          <cell r="E1009"/>
          <cell r="F1009"/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A1010" t="str">
            <v>723 ASOCIACION AQUI ESTOY</v>
          </cell>
          <cell r="B1010"/>
          <cell r="C1010"/>
          <cell r="D1010"/>
          <cell r="E1010">
            <v>12</v>
          </cell>
          <cell r="F1010"/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A1011" t="str">
            <v>596 IG- IGLESIA EVANGELICA TRINITARIA DIOS FUENTE DE PODER</v>
          </cell>
          <cell r="B1011"/>
          <cell r="C1011">
            <v>4</v>
          </cell>
          <cell r="D1011"/>
          <cell r="E1011"/>
          <cell r="F1011"/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A1012" t="str">
            <v>229 PA - PARROQUIA SAN CRISTOBAL DE CHEPO</v>
          </cell>
          <cell r="B1012"/>
          <cell r="C1012"/>
          <cell r="D1012">
            <v>14</v>
          </cell>
          <cell r="E1012"/>
          <cell r="F1012"/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A1013" t="str">
            <v>166 FU - FUNDACION CURAME</v>
          </cell>
          <cell r="B1013"/>
          <cell r="C1013">
            <v>13</v>
          </cell>
          <cell r="D1013"/>
          <cell r="E1013"/>
          <cell r="F1013"/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A1014" t="str">
            <v>730-FU SOLIDARIDAD Y DESARROLLO DE PANAMA (VERAGUAS)</v>
          </cell>
          <cell r="B1014"/>
          <cell r="C1014"/>
          <cell r="D1014"/>
          <cell r="E1014"/>
          <cell r="F1014"/>
          <cell r="G1014"/>
          <cell r="H1014"/>
          <cell r="I1014"/>
          <cell r="J1014"/>
          <cell r="K1014"/>
          <cell r="L1014"/>
          <cell r="M1014">
            <v>28</v>
          </cell>
          <cell r="N1014"/>
          <cell r="O1014"/>
        </row>
        <row r="1015">
          <cell r="A1015" t="str">
            <v>215 IG - IGLESIA INTERNACIONAL DEL EVANGELIO CUADRANGULAR DE (CHIRIQUÍ)</v>
          </cell>
          <cell r="B1015"/>
          <cell r="C1015"/>
          <cell r="D1015"/>
          <cell r="E1015"/>
          <cell r="F1015"/>
          <cell r="G1015"/>
          <cell r="H1015"/>
          <cell r="I1015"/>
          <cell r="J1015">
            <v>15</v>
          </cell>
          <cell r="K1015"/>
          <cell r="L1015"/>
          <cell r="M1015"/>
          <cell r="N1015"/>
          <cell r="O1015"/>
        </row>
        <row r="1016">
          <cell r="A1016" t="str">
            <v>738- IG MINISTERIO DIOS CON NOSOTROS EMANUEL</v>
          </cell>
          <cell r="B1016"/>
          <cell r="C1016"/>
          <cell r="D1016">
            <v>12</v>
          </cell>
          <cell r="E1016"/>
          <cell r="F1016"/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A1017" t="str">
            <v>745-FU CASA DE MISERICORDIA</v>
          </cell>
          <cell r="B1017"/>
          <cell r="C1017">
            <v>4</v>
          </cell>
          <cell r="D1017"/>
          <cell r="E1017"/>
          <cell r="F1017"/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A1018" t="str">
            <v>741-IG BUNKER DE ESPERANZA</v>
          </cell>
          <cell r="B1018"/>
          <cell r="C1018"/>
          <cell r="D1018">
            <v>4</v>
          </cell>
          <cell r="E1018"/>
          <cell r="F1018"/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A1019" t="str">
            <v>749-IG Ministerio Tabernáculo de Santidad Internación (Guararé)</v>
          </cell>
          <cell r="B1019"/>
          <cell r="C1019"/>
          <cell r="D1019"/>
          <cell r="E1019"/>
          <cell r="F1019"/>
          <cell r="G1019"/>
          <cell r="H1019"/>
          <cell r="I1019"/>
          <cell r="J1019"/>
          <cell r="K1019"/>
          <cell r="L1019"/>
          <cell r="M1019">
            <v>26</v>
          </cell>
          <cell r="N1019"/>
          <cell r="O1019"/>
        </row>
        <row r="1020">
          <cell r="A1020" t="str">
            <v>750-IG MTSI Santiago</v>
          </cell>
          <cell r="B1020"/>
          <cell r="C1020"/>
          <cell r="D1020"/>
          <cell r="E1020"/>
          <cell r="F1020"/>
          <cell r="G1020"/>
          <cell r="H1020"/>
          <cell r="I1020"/>
          <cell r="J1020"/>
          <cell r="K1020"/>
          <cell r="L1020"/>
          <cell r="M1020">
            <v>226</v>
          </cell>
          <cell r="N1020"/>
          <cell r="O1020"/>
        </row>
        <row r="1021">
          <cell r="A1021" t="str">
            <v>613-FU FUNDACION INMARE</v>
          </cell>
          <cell r="B1021"/>
          <cell r="C1021"/>
          <cell r="D1021"/>
          <cell r="E1021"/>
          <cell r="F1021"/>
          <cell r="G1021"/>
          <cell r="H1021"/>
          <cell r="I1021"/>
          <cell r="J1021"/>
          <cell r="K1021">
            <v>1240</v>
          </cell>
          <cell r="L1021"/>
          <cell r="M1021"/>
          <cell r="N1021"/>
          <cell r="O1021"/>
        </row>
        <row r="1022">
          <cell r="A1022" t="str">
            <v>760-FU AYUDAME A VIVIR</v>
          </cell>
          <cell r="B1022"/>
          <cell r="C1022"/>
          <cell r="D1022"/>
          <cell r="E1022"/>
          <cell r="F1022"/>
          <cell r="G1022"/>
          <cell r="H1022"/>
          <cell r="I1022">
            <v>6</v>
          </cell>
          <cell r="J1022"/>
          <cell r="K1022"/>
          <cell r="L1022"/>
          <cell r="M1022"/>
          <cell r="N1022"/>
          <cell r="O1022"/>
        </row>
        <row r="1023">
          <cell r="A1023" t="str">
            <v>759-FU SOLO ES CUESTION DE FE</v>
          </cell>
          <cell r="B1023"/>
          <cell r="C1023"/>
          <cell r="D1023">
            <v>3</v>
          </cell>
          <cell r="E1023"/>
          <cell r="F1023"/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A1024" t="str">
            <v>275 IG CONCILIO GENERAL DE LAS ASAMBLEAS DE DIOS DE PANAMÁ</v>
          </cell>
          <cell r="B1024"/>
          <cell r="C1024">
            <v>14</v>
          </cell>
          <cell r="D1024"/>
          <cell r="E1024"/>
          <cell r="F1024"/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A1025" t="str">
            <v>752-IG Ministerio Tabernáculo De Santidad Internacional (Chitre)</v>
          </cell>
          <cell r="B1025"/>
          <cell r="C1025"/>
          <cell r="D1025"/>
          <cell r="E1025"/>
          <cell r="F1025"/>
          <cell r="G1025"/>
          <cell r="H1025"/>
          <cell r="I1025"/>
          <cell r="J1025"/>
          <cell r="K1025"/>
          <cell r="L1025">
            <v>24</v>
          </cell>
          <cell r="M1025"/>
          <cell r="N1025"/>
          <cell r="O1025"/>
        </row>
        <row r="1026">
          <cell r="A1026" t="str">
            <v>758-FU RESTAURANDO EL PRIMER AMOR</v>
          </cell>
          <cell r="B1026"/>
          <cell r="C1026"/>
          <cell r="D1026"/>
          <cell r="E1026"/>
          <cell r="F1026"/>
          <cell r="G1026"/>
          <cell r="H1026"/>
          <cell r="I1026">
            <v>2</v>
          </cell>
          <cell r="J1026"/>
          <cell r="K1026"/>
          <cell r="L1026"/>
          <cell r="M1026"/>
          <cell r="N1026"/>
          <cell r="O1026"/>
        </row>
        <row r="1027">
          <cell r="A1027" t="str">
            <v>765-IG EXPANSION MISIONERA RIOS DE AGUA VIVA</v>
          </cell>
          <cell r="B1027"/>
          <cell r="C1027"/>
          <cell r="D1027"/>
          <cell r="E1027"/>
          <cell r="F1027"/>
          <cell r="G1027"/>
          <cell r="H1027"/>
          <cell r="I1027"/>
          <cell r="J1027"/>
          <cell r="K1027"/>
          <cell r="L1027">
            <v>149</v>
          </cell>
          <cell r="M1027"/>
          <cell r="N1027"/>
          <cell r="O1027"/>
        </row>
        <row r="1028">
          <cell r="A1028" t="str">
            <v>766-IG MINISTERIO BET-EL</v>
          </cell>
          <cell r="B1028"/>
          <cell r="C1028"/>
          <cell r="D1028"/>
          <cell r="E1028"/>
          <cell r="F1028"/>
          <cell r="G1028"/>
          <cell r="H1028"/>
          <cell r="I1028"/>
          <cell r="J1028"/>
          <cell r="K1028"/>
          <cell r="L1028"/>
          <cell r="M1028"/>
          <cell r="N1028"/>
          <cell r="O1028">
            <v>62</v>
          </cell>
        </row>
        <row r="1029">
          <cell r="A1029" t="str">
            <v>785-FU FUNDACION GOTAS DE ESPERANZA</v>
          </cell>
          <cell r="B1029"/>
          <cell r="C1029"/>
          <cell r="D1029"/>
          <cell r="E1029">
            <v>26</v>
          </cell>
          <cell r="F1029"/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A1030" t="str">
            <v>394-IG IGLESIA ESCUADRONES DEL EJERCITO DE DIOS (CENTRO2)</v>
          </cell>
          <cell r="B1030"/>
          <cell r="C1030">
            <v>14</v>
          </cell>
          <cell r="D1030"/>
          <cell r="E1030"/>
          <cell r="F1030"/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A1031" t="str">
            <v>789-FU Fundación Rescate de Alimentos</v>
          </cell>
          <cell r="B1031"/>
          <cell r="C1031">
            <v>38</v>
          </cell>
          <cell r="D1031"/>
          <cell r="E1031"/>
          <cell r="F1031"/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A1032" t="str">
            <v>793-FU Fundación Príncipes de Jehová</v>
          </cell>
          <cell r="B1032"/>
          <cell r="C1032"/>
          <cell r="D1032"/>
          <cell r="E1032"/>
          <cell r="F1032"/>
          <cell r="G1032"/>
          <cell r="H1032"/>
          <cell r="I1032">
            <v>2</v>
          </cell>
          <cell r="J1032"/>
          <cell r="K1032"/>
          <cell r="L1032"/>
          <cell r="M1032"/>
          <cell r="N1032"/>
          <cell r="O1032"/>
        </row>
        <row r="1033">
          <cell r="A1033" t="str">
            <v>3 IG - IGLESIA DEL NAZARENO</v>
          </cell>
          <cell r="B1033"/>
          <cell r="C1033"/>
          <cell r="D1033"/>
          <cell r="E1033">
            <v>16</v>
          </cell>
          <cell r="F1033"/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A1034" t="str">
            <v>661 - FU FUNDACION MAS INTEGRADOS (DARIEN)</v>
          </cell>
          <cell r="B1034"/>
          <cell r="C1034"/>
          <cell r="D1034"/>
          <cell r="E1034"/>
          <cell r="F1034">
            <v>18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A1035" t="str">
            <v>753-AS CLUB ACTIVO 20-30 DE CHITRE</v>
          </cell>
          <cell r="B1035"/>
          <cell r="C1035"/>
          <cell r="D1035"/>
          <cell r="E1035"/>
          <cell r="F1035"/>
          <cell r="G1035"/>
          <cell r="H1035"/>
          <cell r="I1035"/>
          <cell r="J1035"/>
          <cell r="K1035"/>
          <cell r="L1035">
            <v>54</v>
          </cell>
          <cell r="M1035"/>
          <cell r="N1035"/>
          <cell r="O1035"/>
        </row>
        <row r="1036">
          <cell r="A1036" t="str">
            <v>8 PA - PARROQUIA SAN JUAN DE MACARACAS</v>
          </cell>
          <cell r="B1036">
            <v>18</v>
          </cell>
          <cell r="C1036"/>
          <cell r="D1036"/>
          <cell r="E1036"/>
          <cell r="F1036"/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A1037" t="str">
            <v>240 PA - PARROQUIA SAN JOSÉ - PESE</v>
          </cell>
          <cell r="B1037"/>
          <cell r="C1037"/>
          <cell r="D1037"/>
          <cell r="E1037"/>
          <cell r="F1037"/>
          <cell r="G1037"/>
          <cell r="H1037"/>
          <cell r="I1037"/>
          <cell r="J1037"/>
          <cell r="K1037"/>
          <cell r="L1037">
            <v>58</v>
          </cell>
          <cell r="M1037"/>
          <cell r="N1037"/>
          <cell r="O1037"/>
        </row>
        <row r="1038">
          <cell r="A1038" t="str">
            <v>463-FU MINISTERIO BERAKHAH INTERNACIONAL COMEDOR OASIS DE ESPERANZA (ESTE)</v>
          </cell>
          <cell r="B1038"/>
          <cell r="C1038"/>
          <cell r="D1038">
            <v>24</v>
          </cell>
          <cell r="E1038"/>
          <cell r="F1038"/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A1039" t="str">
            <v>814-IG Templo Morada Santa</v>
          </cell>
          <cell r="B1039"/>
          <cell r="C1039"/>
          <cell r="D1039"/>
          <cell r="E1039"/>
          <cell r="F1039">
            <v>4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A1040" t="str">
            <v>392-FU Fundacion Jerusalen Trono de Jehova III</v>
          </cell>
          <cell r="B1040"/>
          <cell r="C1040"/>
          <cell r="D1040"/>
          <cell r="E1040">
            <v>4</v>
          </cell>
          <cell r="F1040"/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A1041" t="str">
            <v>756-FU Fundación Nuevas Rutas</v>
          </cell>
          <cell r="B1041"/>
          <cell r="C1041"/>
          <cell r="D1041"/>
          <cell r="E1041"/>
          <cell r="F1041"/>
          <cell r="G1041"/>
          <cell r="H1041"/>
          <cell r="I1041"/>
          <cell r="J1041">
            <v>43</v>
          </cell>
          <cell r="K1041"/>
          <cell r="L1041"/>
          <cell r="M1041"/>
          <cell r="N1041"/>
          <cell r="O1041"/>
        </row>
        <row r="1042">
          <cell r="A1042" t="str">
            <v>708 - FU MINISTERIO BERAKHAH INTERNACIONAL GUARARE</v>
          </cell>
          <cell r="B1042"/>
          <cell r="C1042"/>
          <cell r="D1042"/>
          <cell r="E1042"/>
          <cell r="F1042"/>
          <cell r="G1042"/>
          <cell r="H1042"/>
          <cell r="I1042"/>
          <cell r="J1042"/>
          <cell r="K1042"/>
          <cell r="L1042"/>
          <cell r="M1042"/>
          <cell r="N1042"/>
          <cell r="O1042">
            <v>6</v>
          </cell>
        </row>
        <row r="1043">
          <cell r="A1043" t="str">
            <v>341-PA PARROQUIA SANTIAGO APOSTOL ALANJE (CHIRIQUÍ)</v>
          </cell>
          <cell r="B1043"/>
          <cell r="C1043"/>
          <cell r="D1043"/>
          <cell r="E1043"/>
          <cell r="F1043"/>
          <cell r="G1043"/>
          <cell r="H1043"/>
          <cell r="I1043"/>
          <cell r="J1043">
            <v>64</v>
          </cell>
          <cell r="K1043"/>
          <cell r="L1043"/>
          <cell r="M1043"/>
          <cell r="N1043"/>
          <cell r="O1043"/>
        </row>
        <row r="1044">
          <cell r="A1044" t="str">
            <v>828-IG IDN LAS TINAJAS</v>
          </cell>
          <cell r="B1044"/>
          <cell r="C1044"/>
          <cell r="D1044"/>
          <cell r="E1044"/>
          <cell r="F1044"/>
          <cell r="G1044"/>
          <cell r="H1044"/>
          <cell r="I1044"/>
          <cell r="J1044">
            <v>10</v>
          </cell>
          <cell r="K1044"/>
          <cell r="L1044"/>
          <cell r="M1044"/>
          <cell r="N1044"/>
          <cell r="O1044"/>
        </row>
        <row r="1045">
          <cell r="A1045" t="str">
            <v>813-IG Comedor Centro De Esperanza Elohim</v>
          </cell>
          <cell r="B1045"/>
          <cell r="C1045"/>
          <cell r="D1045"/>
          <cell r="E1045"/>
          <cell r="F1045"/>
          <cell r="G1045"/>
          <cell r="H1045"/>
          <cell r="I1045"/>
          <cell r="J1045"/>
          <cell r="K1045">
            <v>5</v>
          </cell>
          <cell r="L1045"/>
          <cell r="M1045"/>
          <cell r="N1045"/>
          <cell r="O1045"/>
        </row>
        <row r="1046">
          <cell r="A1046" t="str">
            <v>770-IG CENTRO CRISTIANO NUEVA VIDA</v>
          </cell>
          <cell r="B1046"/>
          <cell r="C1046"/>
          <cell r="D1046"/>
          <cell r="E1046"/>
          <cell r="F1046"/>
          <cell r="G1046"/>
          <cell r="H1046"/>
          <cell r="I1046"/>
          <cell r="J1046"/>
          <cell r="K1046">
            <v>7</v>
          </cell>
          <cell r="L1046"/>
          <cell r="M1046"/>
          <cell r="N1046"/>
          <cell r="O1046"/>
        </row>
        <row r="1047">
          <cell r="A1047" t="str">
            <v>728-FU ANCEC SANTIAGO</v>
          </cell>
          <cell r="B1047"/>
          <cell r="C1047"/>
          <cell r="D1047"/>
          <cell r="E1047"/>
          <cell r="F1047"/>
          <cell r="G1047"/>
          <cell r="H1047"/>
          <cell r="I1047"/>
          <cell r="J1047"/>
          <cell r="K1047"/>
          <cell r="L1047"/>
          <cell r="M1047">
            <v>7</v>
          </cell>
          <cell r="N1047"/>
          <cell r="O1047"/>
        </row>
        <row r="1048">
          <cell r="A1048" t="str">
            <v>821-IG Ministerio de Adoracion Y Restauracion Guardadores del Pacto</v>
          </cell>
          <cell r="B1048"/>
          <cell r="C1048"/>
          <cell r="D1048"/>
          <cell r="E1048"/>
          <cell r="F1048"/>
          <cell r="G1048"/>
          <cell r="H1048"/>
          <cell r="I1048"/>
          <cell r="J1048"/>
          <cell r="K1048"/>
          <cell r="L1048">
            <v>24</v>
          </cell>
          <cell r="M1048"/>
          <cell r="N1048"/>
          <cell r="O1048"/>
        </row>
        <row r="1049">
          <cell r="A1049" t="str">
            <v>731-FU CENTRO DE NIÑOS DOWN</v>
          </cell>
          <cell r="B1049"/>
          <cell r="C1049"/>
          <cell r="D1049"/>
          <cell r="E1049"/>
          <cell r="F1049"/>
          <cell r="G1049"/>
          <cell r="H1049"/>
          <cell r="I1049"/>
          <cell r="J1049"/>
          <cell r="K1049"/>
          <cell r="L1049">
            <v>24</v>
          </cell>
          <cell r="M1049"/>
          <cell r="N1049"/>
          <cell r="O1049"/>
        </row>
        <row r="1050">
          <cell r="A1050" t="str">
            <v>245-FU MINISTERIO BERAKHAH INTERNACIONAL CUENTA PRINCIPAL</v>
          </cell>
          <cell r="B1050"/>
          <cell r="C1050"/>
          <cell r="D1050">
            <v>33</v>
          </cell>
          <cell r="E1050"/>
          <cell r="F1050"/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A1051" t="str">
            <v>827-FU Fundación Transformemos mi comunidad</v>
          </cell>
          <cell r="B1051"/>
          <cell r="C1051"/>
          <cell r="D1051"/>
          <cell r="E1051">
            <v>7</v>
          </cell>
          <cell r="F1051"/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A1052" t="str">
            <v>ALIMENTOS CÁRNICOS DE PANAMA ,S.A</v>
          </cell>
          <cell r="B1052"/>
          <cell r="C1052">
            <v>24</v>
          </cell>
          <cell r="D1052">
            <v>42</v>
          </cell>
          <cell r="E1052">
            <v>16</v>
          </cell>
          <cell r="F1052"/>
          <cell r="G1052">
            <v>10</v>
          </cell>
          <cell r="H1052">
            <v>8</v>
          </cell>
          <cell r="I1052">
            <v>8</v>
          </cell>
          <cell r="J1052"/>
          <cell r="K1052"/>
          <cell r="L1052"/>
          <cell r="M1052"/>
          <cell r="N1052"/>
          <cell r="O1052"/>
        </row>
        <row r="1053">
          <cell r="A1053" t="str">
            <v>209 IG - TEMPLO MISIONERO CRISTO TE LLAMA</v>
          </cell>
          <cell r="B1053"/>
          <cell r="C1053"/>
          <cell r="D1053">
            <v>8</v>
          </cell>
          <cell r="E1053"/>
          <cell r="F1053"/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A1054" t="str">
            <v>104 AS - ASOCIACIÓN HOGAR FELICIDAD</v>
          </cell>
          <cell r="B1054"/>
          <cell r="C1054"/>
          <cell r="D1054"/>
          <cell r="E1054">
            <v>8</v>
          </cell>
          <cell r="F1054"/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A1055" t="str">
            <v>178 IG - TEMPLO ZURIEL EL REFUGIO</v>
          </cell>
          <cell r="B1055"/>
          <cell r="C1055"/>
          <cell r="D1055"/>
          <cell r="E1055"/>
          <cell r="F1055"/>
          <cell r="G1055">
            <v>10</v>
          </cell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A1056" t="str">
            <v>636- FU JAH - LIVE (JAHL) - COLON</v>
          </cell>
          <cell r="B1056"/>
          <cell r="C1056"/>
          <cell r="D1056"/>
          <cell r="E1056"/>
          <cell r="F1056"/>
          <cell r="G1056"/>
          <cell r="H1056">
            <v>8</v>
          </cell>
          <cell r="I1056"/>
          <cell r="J1056"/>
          <cell r="K1056"/>
          <cell r="L1056"/>
          <cell r="M1056"/>
          <cell r="N1056"/>
          <cell r="O1056"/>
        </row>
        <row r="1057">
          <cell r="A1057" t="str">
            <v>365-IG COMEDOR HEFZIBA</v>
          </cell>
          <cell r="B1057"/>
          <cell r="C1057"/>
          <cell r="D1057"/>
          <cell r="E1057"/>
          <cell r="F1057"/>
          <cell r="G1057"/>
          <cell r="H1057"/>
          <cell r="I1057">
            <v>8</v>
          </cell>
          <cell r="J1057"/>
          <cell r="K1057"/>
          <cell r="L1057"/>
          <cell r="M1057"/>
          <cell r="N1057"/>
          <cell r="O1057"/>
        </row>
        <row r="1058">
          <cell r="A1058" t="str">
            <v>635 TEMPLO ADULAM</v>
          </cell>
          <cell r="B1058"/>
          <cell r="C1058"/>
          <cell r="D1058"/>
          <cell r="E1058">
            <v>8</v>
          </cell>
          <cell r="F1058"/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A1059" t="str">
            <v>218 ED - LOS PREFERIDOS DEL SEÑOR (CENTRO2)</v>
          </cell>
          <cell r="B1059"/>
          <cell r="C1059">
            <v>8</v>
          </cell>
          <cell r="D1059"/>
          <cell r="E1059"/>
          <cell r="F1059"/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A1060" t="str">
            <v>187 IG - IGLESIA DE DIOS DE LA PROFECÍA</v>
          </cell>
          <cell r="B1060"/>
          <cell r="C1060"/>
          <cell r="D1060">
            <v>8</v>
          </cell>
          <cell r="E1060"/>
          <cell r="F1060"/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A1061" t="str">
            <v>366-FU CENTRO MISIONERO EL SHADAI (ESTE)</v>
          </cell>
          <cell r="B1061"/>
          <cell r="C1061"/>
          <cell r="D1061">
            <v>8</v>
          </cell>
          <cell r="E1061"/>
          <cell r="F1061"/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A1062" t="str">
            <v>417-AS CLUB DE LEONES DE PEDREGAL (ESTE)</v>
          </cell>
          <cell r="B1062"/>
          <cell r="C1062"/>
          <cell r="D1062">
            <v>8</v>
          </cell>
          <cell r="E1062"/>
          <cell r="F1062"/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A1063" t="str">
            <v>166 FU - FUNDACION CURAME</v>
          </cell>
          <cell r="B1063"/>
          <cell r="C1063">
            <v>8</v>
          </cell>
          <cell r="D1063"/>
          <cell r="E1063"/>
          <cell r="F1063"/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A1064" t="str">
            <v>737- ASOCIACION CRISTIANA EBEN-EZER (ESTE)</v>
          </cell>
          <cell r="B1064"/>
          <cell r="C1064"/>
          <cell r="D1064">
            <v>10</v>
          </cell>
          <cell r="E1064"/>
          <cell r="F1064"/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A1065" t="str">
            <v>201 OR - MISIONERAS MADRE LAURA</v>
          </cell>
          <cell r="B1065"/>
          <cell r="C1065">
            <v>8</v>
          </cell>
          <cell r="D1065"/>
          <cell r="E1065"/>
          <cell r="F1065"/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A1066" t="str">
            <v>Price-Smart-Panama S.A</v>
          </cell>
          <cell r="B1066">
            <v>258.08</v>
          </cell>
          <cell r="C1066">
            <v>1043.3899999999999</v>
          </cell>
          <cell r="D1066">
            <v>2149.3199999999997</v>
          </cell>
          <cell r="E1066">
            <v>730.5</v>
          </cell>
          <cell r="F1066">
            <v>15.25</v>
          </cell>
          <cell r="G1066">
            <v>78.5</v>
          </cell>
          <cell r="H1066">
            <v>491.5</v>
          </cell>
          <cell r="I1066">
            <v>149.57</v>
          </cell>
          <cell r="J1066">
            <v>265</v>
          </cell>
          <cell r="K1066">
            <v>163</v>
          </cell>
          <cell r="L1066">
            <v>192</v>
          </cell>
          <cell r="M1066">
            <v>134.19999999999999</v>
          </cell>
          <cell r="N1066"/>
          <cell r="O1066">
            <v>24</v>
          </cell>
        </row>
        <row r="1067">
          <cell r="A1067">
            <v>0</v>
          </cell>
          <cell r="B1067">
            <v>3</v>
          </cell>
          <cell r="C1067"/>
          <cell r="D1067"/>
          <cell r="E1067"/>
          <cell r="F1067"/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A1068" t="str">
            <v>209 IG - TEMPLO MISIONERO CRISTO TE LLAMA</v>
          </cell>
          <cell r="B1068"/>
          <cell r="C1068"/>
          <cell r="D1068">
            <v>20</v>
          </cell>
          <cell r="E1068"/>
          <cell r="F1068"/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A1069" t="str">
            <v>702 - FU MINISTERIO BERAKHAH INTERNACIONAL ARRAIJAN</v>
          </cell>
          <cell r="B1069"/>
          <cell r="C1069"/>
          <cell r="D1069"/>
          <cell r="E1069">
            <v>2</v>
          </cell>
          <cell r="F1069"/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A1070" t="str">
            <v>298-FU - MINISTERIO FUENTE DE VIDA PARA EL PERDIDO</v>
          </cell>
          <cell r="B1070"/>
          <cell r="C1070"/>
          <cell r="D1070"/>
          <cell r="E1070"/>
          <cell r="F1070">
            <v>9.25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A1071" t="str">
            <v>479-IG IGLESIA NUEVA ESPERANZA</v>
          </cell>
          <cell r="B1071"/>
          <cell r="C1071"/>
          <cell r="D1071">
            <v>0.5</v>
          </cell>
          <cell r="E1071"/>
          <cell r="F1071"/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A1072" t="str">
            <v>104 AS - ASOCIACIÓN HOGAR FELICIDAD</v>
          </cell>
          <cell r="B1072"/>
          <cell r="C1072"/>
          <cell r="D1072"/>
          <cell r="E1072">
            <v>27.5</v>
          </cell>
          <cell r="F1072"/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A1073" t="str">
            <v>178 IG - TEMPLO ZURIEL EL REFUGIO</v>
          </cell>
          <cell r="B1073"/>
          <cell r="C1073"/>
          <cell r="D1073"/>
          <cell r="E1073"/>
          <cell r="F1073"/>
          <cell r="G1073">
            <v>68</v>
          </cell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A1074" t="str">
            <v>207 IG - IGLESIA CENTRO DE VIDA CRISTIANA</v>
          </cell>
          <cell r="B1074"/>
          <cell r="C1074"/>
          <cell r="D1074">
            <v>59.5</v>
          </cell>
          <cell r="E1074"/>
          <cell r="F1074"/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A1075" t="str">
            <v>493-FU Comedor Jesús es mi Pastor</v>
          </cell>
          <cell r="B1075"/>
          <cell r="C1075"/>
          <cell r="D1075">
            <v>6</v>
          </cell>
          <cell r="E1075"/>
          <cell r="F1075"/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A1076" t="str">
            <v>636- FU JAH - LIVE (JAHL) - COLON</v>
          </cell>
          <cell r="B1076"/>
          <cell r="C1076"/>
          <cell r="D1076"/>
          <cell r="E1076"/>
          <cell r="F1076"/>
          <cell r="G1076"/>
          <cell r="H1076">
            <v>376</v>
          </cell>
          <cell r="I1076"/>
          <cell r="J1076"/>
          <cell r="K1076"/>
          <cell r="L1076"/>
          <cell r="M1076"/>
          <cell r="N1076"/>
          <cell r="O1076"/>
        </row>
        <row r="1077">
          <cell r="A1077" t="str">
            <v>224 OR MISIONERAS DE LA CARIDAD DE COLON</v>
          </cell>
          <cell r="B1077"/>
          <cell r="C1077"/>
          <cell r="D1077"/>
          <cell r="E1077"/>
          <cell r="F1077"/>
          <cell r="G1077"/>
          <cell r="H1077">
            <v>4</v>
          </cell>
          <cell r="I1077"/>
          <cell r="J1077"/>
          <cell r="K1077"/>
          <cell r="L1077"/>
          <cell r="M1077"/>
          <cell r="N1077"/>
          <cell r="O1077"/>
        </row>
        <row r="1078">
          <cell r="A1078" t="str">
            <v>365-IG COMEDOR HEFZIBA</v>
          </cell>
          <cell r="B1078"/>
          <cell r="C1078"/>
          <cell r="D1078"/>
          <cell r="E1078"/>
          <cell r="F1078"/>
          <cell r="G1078"/>
          <cell r="H1078"/>
          <cell r="I1078">
            <v>84</v>
          </cell>
          <cell r="J1078"/>
          <cell r="K1078"/>
          <cell r="L1078"/>
          <cell r="M1078"/>
          <cell r="N1078"/>
          <cell r="O1078"/>
        </row>
        <row r="1079">
          <cell r="A1079" t="str">
            <v>635 TEMPLO ADULAM</v>
          </cell>
          <cell r="B1079"/>
          <cell r="C1079"/>
          <cell r="D1079"/>
          <cell r="E1079">
            <v>86</v>
          </cell>
          <cell r="F1079"/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A1080" t="str">
            <v>470-FU IGLESIA MONTE SANTO</v>
          </cell>
          <cell r="B1080"/>
          <cell r="C1080"/>
          <cell r="D1080">
            <v>18</v>
          </cell>
          <cell r="E1080"/>
          <cell r="F1080"/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A1081" t="str">
            <v>687 - FU FUNDACION ARCA DE JESUS</v>
          </cell>
          <cell r="B1081"/>
          <cell r="C1081"/>
          <cell r="D1081"/>
          <cell r="E1081">
            <v>62</v>
          </cell>
          <cell r="F1081"/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A1082" t="str">
            <v>218 ED - LOS PREFERIDOS DEL SEÑOR (CENTRO2)</v>
          </cell>
          <cell r="B1082"/>
          <cell r="C1082">
            <v>164</v>
          </cell>
          <cell r="D1082"/>
          <cell r="E1082"/>
          <cell r="F1082"/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A1083" t="str">
            <v>187 IG - IGLESIA DE DIOS DE LA PROFECÍA</v>
          </cell>
          <cell r="B1083"/>
          <cell r="C1083"/>
          <cell r="D1083">
            <v>315</v>
          </cell>
          <cell r="E1083"/>
          <cell r="F1083"/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A1084" t="str">
            <v>321-IG IGLESIA DIOS ES MI PROVEEDOR Y SUSTENTO</v>
          </cell>
          <cell r="B1084"/>
          <cell r="C1084"/>
          <cell r="D1084">
            <v>199</v>
          </cell>
          <cell r="E1084"/>
          <cell r="F1084"/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A1085" t="str">
            <v>111 FU - FUNDACIÓN NUESTRA SEÑORA DEL CAMINO</v>
          </cell>
          <cell r="B1085"/>
          <cell r="C1085"/>
          <cell r="D1085"/>
          <cell r="E1085"/>
          <cell r="F1085"/>
          <cell r="G1085"/>
          <cell r="H1085"/>
          <cell r="I1085"/>
          <cell r="J1085">
            <v>13</v>
          </cell>
          <cell r="K1085"/>
          <cell r="L1085"/>
          <cell r="M1085"/>
          <cell r="N1085"/>
          <cell r="O1085"/>
        </row>
        <row r="1086">
          <cell r="A1086" t="str">
            <v>694 - FU MINISTERIO BERAKHAH INTERNACIONAL TOCUMEN #2</v>
          </cell>
          <cell r="B1086"/>
          <cell r="C1086"/>
          <cell r="D1086">
            <v>8</v>
          </cell>
          <cell r="E1086"/>
          <cell r="F1086"/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A1087" t="str">
            <v>695 - FU MINISTERIO BERAKHAH INTERNACIONAL 24 DIC</v>
          </cell>
          <cell r="B1087"/>
          <cell r="C1087"/>
          <cell r="D1087">
            <v>24</v>
          </cell>
          <cell r="E1087"/>
          <cell r="F1087"/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A1088" t="str">
            <v>703 - FU MINISTERIO BERAKHAH INTERNACIONAL FELIPILLO #3</v>
          </cell>
          <cell r="B1088"/>
          <cell r="C1088"/>
          <cell r="D1088">
            <v>3</v>
          </cell>
          <cell r="E1088"/>
          <cell r="F1088"/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A1089" t="str">
            <v>444-FU MINISTERIO BERAKHAH INTERNACIONAL COMEDOR LAS GARZAS #1</v>
          </cell>
          <cell r="B1089"/>
          <cell r="C1089"/>
          <cell r="D1089">
            <v>4</v>
          </cell>
          <cell r="E1089"/>
          <cell r="F1089"/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A1090" t="str">
            <v>366-FU CENTRO MISIONERO EL SHADAI (ESTE)</v>
          </cell>
          <cell r="B1090"/>
          <cell r="C1090"/>
          <cell r="D1090">
            <v>237</v>
          </cell>
          <cell r="E1090"/>
          <cell r="F1090"/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A1091" t="str">
            <v>498-FU COMEDOR NIÑOS DE BENDICION</v>
          </cell>
          <cell r="B1091"/>
          <cell r="C1091"/>
          <cell r="D1091"/>
          <cell r="E1091">
            <v>103</v>
          </cell>
          <cell r="F1091"/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A1092" t="str">
            <v>288 IG MINISTERIO EVANGELISTICO DE SANACION Y RESTAURACION, SENALES, MILAGROS Y MARAVILLAS (ESTE)</v>
          </cell>
          <cell r="B1092"/>
          <cell r="C1092"/>
          <cell r="D1092">
            <v>14</v>
          </cell>
          <cell r="E1092"/>
          <cell r="F1092"/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A1093" t="str">
            <v>373-FU MINISTERIO INTERNACIONAL BOANERGES</v>
          </cell>
          <cell r="B1093"/>
          <cell r="C1093"/>
          <cell r="D1093"/>
          <cell r="E1093"/>
          <cell r="F1093"/>
          <cell r="G1093"/>
          <cell r="H1093"/>
          <cell r="I1093">
            <v>1.25</v>
          </cell>
          <cell r="J1093"/>
          <cell r="K1093"/>
          <cell r="L1093"/>
          <cell r="M1093"/>
          <cell r="N1093"/>
          <cell r="O1093"/>
        </row>
        <row r="1094">
          <cell r="A1094" t="str">
            <v>197 FU FUNDACION SOCIAL CULTURAL Y AMBIENTAL DE VERACRUZ (OESTE)</v>
          </cell>
          <cell r="B1094"/>
          <cell r="C1094"/>
          <cell r="D1094"/>
          <cell r="E1094">
            <v>55</v>
          </cell>
          <cell r="F1094"/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A1095" t="str">
            <v>183 ED - BELÉN CASA DE PAN (ESTE)</v>
          </cell>
          <cell r="B1095"/>
          <cell r="C1095"/>
          <cell r="D1095">
            <v>64</v>
          </cell>
          <cell r="E1095"/>
          <cell r="F1095"/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A1096" t="str">
            <v>431-IG IGLESIA ADVENTISTA DISTRITO 8</v>
          </cell>
          <cell r="B1096"/>
          <cell r="C1096"/>
          <cell r="D1096">
            <v>29</v>
          </cell>
          <cell r="E1096"/>
          <cell r="F1096"/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A1097" t="str">
            <v>643 - IG TEMPLO PUERTA DEL CIELO (CHIRIQUI)</v>
          </cell>
          <cell r="B1097"/>
          <cell r="C1097"/>
          <cell r="D1097"/>
          <cell r="E1097"/>
          <cell r="F1097"/>
          <cell r="G1097"/>
          <cell r="H1097"/>
          <cell r="I1097"/>
          <cell r="J1097">
            <v>2</v>
          </cell>
          <cell r="K1097"/>
          <cell r="L1097"/>
          <cell r="M1097"/>
          <cell r="N1097"/>
          <cell r="O1097"/>
        </row>
        <row r="1098">
          <cell r="A1098" t="str">
            <v>51 PA - PARROQUIA SAN PIO DE PIETRELCINA (ESTE)</v>
          </cell>
          <cell r="B1098"/>
          <cell r="C1098"/>
          <cell r="D1098">
            <v>0.75</v>
          </cell>
          <cell r="E1098"/>
          <cell r="F1098"/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A1099" t="str">
            <v>368-FU MINISTERIO PACTO DE SANTIDAD</v>
          </cell>
          <cell r="B1099"/>
          <cell r="C1099">
            <v>13</v>
          </cell>
          <cell r="D1099"/>
          <cell r="E1099"/>
          <cell r="F1099"/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A1100" t="str">
            <v>654 - IG M.I.A.F NUEVA JERUSALEN PANAMA (ESTE)</v>
          </cell>
          <cell r="B1100"/>
          <cell r="C1100"/>
          <cell r="D1100">
            <v>3</v>
          </cell>
          <cell r="E1100"/>
          <cell r="F1100"/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A1101" t="str">
            <v>363-FU FUNDACION MINISTERIO DEL EVANGELIO ETERNO DEL REINO (NORTE)</v>
          </cell>
          <cell r="B1101"/>
          <cell r="C1101"/>
          <cell r="D1101"/>
          <cell r="E1101"/>
          <cell r="F1101"/>
          <cell r="G1101">
            <v>1.5</v>
          </cell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A1102" t="str">
            <v>487-FU FUNDACION CASA AVE MARIA</v>
          </cell>
          <cell r="B1102"/>
          <cell r="C1102"/>
          <cell r="D1102"/>
          <cell r="E1102">
            <v>214</v>
          </cell>
          <cell r="F1102"/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A1103" t="str">
            <v>284 - IG MINISTERIO PAN DE VIDA</v>
          </cell>
          <cell r="B1103"/>
          <cell r="C1103"/>
          <cell r="D1103"/>
          <cell r="E1103"/>
          <cell r="F1103"/>
          <cell r="G1103"/>
          <cell r="H1103"/>
          <cell r="I1103"/>
          <cell r="J1103">
            <v>6</v>
          </cell>
          <cell r="K1103"/>
          <cell r="L1103"/>
          <cell r="M1103"/>
          <cell r="N1103"/>
          <cell r="O1103"/>
        </row>
        <row r="1104">
          <cell r="A1104" t="str">
            <v>2 PA - PARROQUIA SAN JUAN MARIA VIANNEY (NORTE)</v>
          </cell>
          <cell r="B1104"/>
          <cell r="C1104"/>
          <cell r="D1104"/>
          <cell r="E1104"/>
          <cell r="F1104"/>
          <cell r="G1104"/>
          <cell r="H1104"/>
          <cell r="I1104">
            <v>4.5</v>
          </cell>
          <cell r="J1104"/>
          <cell r="K1104"/>
          <cell r="L1104"/>
          <cell r="M1104"/>
          <cell r="N1104"/>
          <cell r="O1104"/>
        </row>
        <row r="1105">
          <cell r="A1105" t="str">
            <v>696 - FU MINISTERIO BERAKHAH INTERNACIONAL CHEPO #1</v>
          </cell>
          <cell r="B1105"/>
          <cell r="C1105"/>
          <cell r="D1105">
            <v>5.5</v>
          </cell>
          <cell r="E1105"/>
          <cell r="F1105"/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A1106" t="str">
            <v>472-FU FUNDACION TALITA CUMI</v>
          </cell>
          <cell r="B1106"/>
          <cell r="C1106"/>
          <cell r="D1106">
            <v>0.25</v>
          </cell>
          <cell r="E1106"/>
          <cell r="F1106"/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A1107" t="str">
            <v>222 ED - MISERICORDIAR</v>
          </cell>
          <cell r="B1107"/>
          <cell r="C1107"/>
          <cell r="D1107">
            <v>96</v>
          </cell>
          <cell r="E1107"/>
          <cell r="F1107"/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A1108" t="str">
            <v>259 IG - ALCANCE VICTORIA PANAMÁ</v>
          </cell>
          <cell r="B1108"/>
          <cell r="C1108">
            <v>8.75</v>
          </cell>
          <cell r="D1108"/>
          <cell r="E1108"/>
          <cell r="F1108"/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A1109" t="str">
            <v>668 - FU FUNDACION CRISTIANA LA FE EN MARCHA</v>
          </cell>
          <cell r="B1109"/>
          <cell r="C1109"/>
          <cell r="D1109"/>
          <cell r="E1109"/>
          <cell r="F1109"/>
          <cell r="G1109"/>
          <cell r="H1109"/>
          <cell r="I1109"/>
          <cell r="J1109">
            <v>26</v>
          </cell>
          <cell r="K1109"/>
          <cell r="L1109"/>
          <cell r="M1109"/>
          <cell r="N1109"/>
          <cell r="O1109"/>
        </row>
        <row r="1110">
          <cell r="A1110" t="str">
            <v>379-FU Fundacion Ministerio Apostolico Manantial de Vida</v>
          </cell>
          <cell r="B1110"/>
          <cell r="C1110"/>
          <cell r="D1110"/>
          <cell r="E1110"/>
          <cell r="F1110"/>
          <cell r="G1110"/>
          <cell r="H1110">
            <v>111</v>
          </cell>
          <cell r="I1110"/>
          <cell r="J1110"/>
          <cell r="K1110"/>
          <cell r="L1110"/>
          <cell r="M1110"/>
          <cell r="N1110"/>
          <cell r="O1110"/>
        </row>
        <row r="1111">
          <cell r="A1111" t="str">
            <v>644 - IG TEMPLO SENDA DE VIDA (CHIRIQUÍ)</v>
          </cell>
          <cell r="B1111"/>
          <cell r="C1111"/>
          <cell r="D1111"/>
          <cell r="E1111"/>
          <cell r="F1111"/>
          <cell r="G1111"/>
          <cell r="H1111"/>
          <cell r="I1111"/>
          <cell r="J1111">
            <v>2</v>
          </cell>
          <cell r="K1111"/>
          <cell r="L1111"/>
          <cell r="M1111"/>
          <cell r="N1111"/>
          <cell r="O1111"/>
        </row>
        <row r="1112">
          <cell r="A1112" t="str">
            <v>387-AS Asociacion ODSSAR-OBC</v>
          </cell>
          <cell r="B1112"/>
          <cell r="C1112"/>
          <cell r="D1112">
            <v>12</v>
          </cell>
          <cell r="E1112"/>
          <cell r="F1112"/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A1113" t="str">
            <v>300 ED - BENEFICIARIOS</v>
          </cell>
          <cell r="B1113"/>
          <cell r="C1113"/>
          <cell r="D1113">
            <v>33</v>
          </cell>
          <cell r="E1113"/>
          <cell r="F1113"/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A1114" t="str">
            <v>657 - FU CENTRO COMUNITARIO MONTAÑAS DE ESPERANZA (RETIRO EN EL BAP)</v>
          </cell>
          <cell r="B1114"/>
          <cell r="C1114"/>
          <cell r="D1114">
            <v>2</v>
          </cell>
          <cell r="E1114"/>
          <cell r="F1114"/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A1115" t="str">
            <v>630-IG MIN.INTL.DE CRISTO PAZ DE DIOS</v>
          </cell>
          <cell r="B1115"/>
          <cell r="C1115">
            <v>270.5</v>
          </cell>
          <cell r="D1115"/>
          <cell r="E1115"/>
          <cell r="F1115"/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A1116" t="str">
            <v>260 IG - IGLESIA MISIONERA DE RESTAURACIÓN</v>
          </cell>
          <cell r="B1116"/>
          <cell r="C1116"/>
          <cell r="D1116">
            <v>25</v>
          </cell>
          <cell r="E1116"/>
          <cell r="F1116"/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A1117" t="str">
            <v>397-FU FUNDACION SHALOM PANAMA</v>
          </cell>
          <cell r="B1117"/>
          <cell r="C1117"/>
          <cell r="D1117"/>
          <cell r="E1117">
            <v>41.5</v>
          </cell>
          <cell r="F1117"/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A1118" t="str">
            <v>697 - FU MINISTERIO BERAKHAH INTERNACIONAL CHEPO #2</v>
          </cell>
          <cell r="B1118"/>
          <cell r="C1118"/>
          <cell r="D1118">
            <v>7</v>
          </cell>
          <cell r="E1118"/>
          <cell r="F1118"/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A1119" t="str">
            <v>195 ED - JUNTOS PODEMOS</v>
          </cell>
          <cell r="B1119"/>
          <cell r="C1119">
            <v>2.0699999999999998</v>
          </cell>
          <cell r="D1119"/>
          <cell r="E1119"/>
          <cell r="F1119"/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A1120" t="str">
            <v>709 - FU FUNRECRISTO</v>
          </cell>
          <cell r="B1120"/>
          <cell r="C1120"/>
          <cell r="D1120">
            <v>27.07</v>
          </cell>
          <cell r="E1120"/>
          <cell r="F1120"/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A1121" t="str">
            <v>670 - FU FUNDACION MINISTERIIO CRISTIANO EL REINO DE DIOS (ESTE)</v>
          </cell>
          <cell r="B1121"/>
          <cell r="C1121"/>
          <cell r="D1121">
            <v>32</v>
          </cell>
          <cell r="E1121"/>
          <cell r="F1121"/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A1122" t="str">
            <v>450-FU MINISTERIO DE RESTAURACION EFESIOS 4 (ESTE)</v>
          </cell>
          <cell r="B1122"/>
          <cell r="C1122"/>
          <cell r="D1122">
            <v>13</v>
          </cell>
          <cell r="E1122"/>
          <cell r="F1122"/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A1123" t="str">
            <v>235 FU - FUNDACION GRUPO ENVIADOS</v>
          </cell>
          <cell r="B1123"/>
          <cell r="C1123"/>
          <cell r="D1123">
            <v>70</v>
          </cell>
          <cell r="E1123"/>
          <cell r="F1123"/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A1124" t="str">
            <v>380-ED COMEDOR COMUNITARIO CASA DEL ALFARERO</v>
          </cell>
          <cell r="B1124"/>
          <cell r="C1124"/>
          <cell r="D1124">
            <v>4</v>
          </cell>
          <cell r="E1124"/>
          <cell r="F1124"/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A1125" t="str">
            <v>202 FU - FUNDACIÓN HOGAR SAN JOSÉ (ESTE)</v>
          </cell>
          <cell r="B1125"/>
          <cell r="C1125"/>
          <cell r="D1125">
            <v>16</v>
          </cell>
          <cell r="E1125"/>
          <cell r="F1125"/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A1126" t="str">
            <v>116 AS - ASOCIACIÓN IGLESIA DE CRISTO ESTRELLA CRECIENTE</v>
          </cell>
          <cell r="B1126"/>
          <cell r="C1126"/>
          <cell r="D1126">
            <v>23</v>
          </cell>
          <cell r="E1126"/>
          <cell r="F1126"/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A1127" t="str">
            <v>469-FU MINISTERIO CRISTIANO EL SHADAI</v>
          </cell>
          <cell r="B1127"/>
          <cell r="C1127"/>
          <cell r="D1127">
            <v>1</v>
          </cell>
          <cell r="E1127"/>
          <cell r="F1127"/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A1128" t="str">
            <v>597- IG MINISTERIO APOSTOLICO NEMUEL INTERNACIONAL</v>
          </cell>
          <cell r="B1128"/>
          <cell r="C1128"/>
          <cell r="D1128">
            <v>16</v>
          </cell>
          <cell r="E1128"/>
          <cell r="F1128"/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A1129" t="str">
            <v>647 - IG CRISTO REY CAMBIANDO VIDAS (ESTE)</v>
          </cell>
          <cell r="B1129"/>
          <cell r="C1129"/>
          <cell r="D1129">
            <v>54</v>
          </cell>
          <cell r="E1129"/>
          <cell r="F1129"/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A1130" t="str">
            <v>417-AS CLUB DE LEONES DE PEDREGAL (ESTE)</v>
          </cell>
          <cell r="B1130"/>
          <cell r="C1130"/>
          <cell r="D1130">
            <v>69</v>
          </cell>
          <cell r="E1130"/>
          <cell r="F1130"/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A1131" t="str">
            <v>144 OR - HERMANAS DE SAN JOSÉ DE LA APARICIÓN (RETIRA EN EL BANCO)</v>
          </cell>
          <cell r="B1131"/>
          <cell r="C1131"/>
          <cell r="D1131">
            <v>173</v>
          </cell>
          <cell r="E1131"/>
          <cell r="F1131"/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A1132" t="str">
            <v>270 FU - FUNDACIÓN MISERICORDIA DE DON BOSCO (OESTE)</v>
          </cell>
          <cell r="B1132"/>
          <cell r="C1132"/>
          <cell r="D1132"/>
          <cell r="E1132">
            <v>0.5</v>
          </cell>
          <cell r="F1132"/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A1133" t="str">
            <v>381-FU FUNDAMIDOM</v>
          </cell>
          <cell r="B1133"/>
          <cell r="C1133"/>
          <cell r="D1133"/>
          <cell r="E1133">
            <v>0.5</v>
          </cell>
          <cell r="F1133"/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A1134" t="str">
            <v>681 - FU FUNDACION NUEVA SOCIEDAD (NORTE)</v>
          </cell>
          <cell r="B1134"/>
          <cell r="C1134"/>
          <cell r="D1134"/>
          <cell r="E1134"/>
          <cell r="F1134"/>
          <cell r="G1134"/>
          <cell r="H1134"/>
          <cell r="I1134">
            <v>12.25</v>
          </cell>
          <cell r="J1134"/>
          <cell r="K1134"/>
          <cell r="L1134"/>
          <cell r="M1134"/>
          <cell r="N1134"/>
          <cell r="O1134"/>
        </row>
        <row r="1135">
          <cell r="A1135" t="str">
            <v>94 OR - HOGAR SAN FRANCISCO DE ASÍS</v>
          </cell>
          <cell r="B1135"/>
          <cell r="C1135"/>
          <cell r="D1135"/>
          <cell r="E1135"/>
          <cell r="F1135"/>
          <cell r="G1135"/>
          <cell r="H1135"/>
          <cell r="I1135"/>
          <cell r="J1135">
            <v>14</v>
          </cell>
          <cell r="K1135"/>
          <cell r="L1135"/>
          <cell r="M1135"/>
          <cell r="N1135"/>
          <cell r="O1135"/>
        </row>
        <row r="1136">
          <cell r="A1136" t="str">
            <v>671 - PA DIOCESIS DE PENONOME (COCLE)</v>
          </cell>
          <cell r="B1136"/>
          <cell r="C1136"/>
          <cell r="D1136"/>
          <cell r="E1136"/>
          <cell r="F1136"/>
          <cell r="G1136"/>
          <cell r="H1136"/>
          <cell r="I1136"/>
          <cell r="J1136"/>
          <cell r="K1136">
            <v>2</v>
          </cell>
          <cell r="L1136"/>
          <cell r="M1136"/>
          <cell r="N1136"/>
          <cell r="O1136"/>
        </row>
        <row r="1137">
          <cell r="A1137" t="str">
            <v>377-FU CENTRO CRISTIANO CASA DE DIOS PANAMA</v>
          </cell>
          <cell r="B1137"/>
          <cell r="C1137"/>
          <cell r="D1137"/>
          <cell r="E1137"/>
          <cell r="F1137"/>
          <cell r="G1137">
            <v>0.25</v>
          </cell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A1138" t="str">
            <v>Retiro de Merma</v>
          </cell>
          <cell r="B1138">
            <v>243.07999999999998</v>
          </cell>
          <cell r="C1138"/>
          <cell r="D1138"/>
          <cell r="E1138"/>
          <cell r="F1138"/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A1139" t="str">
            <v>415-AS CLUB DE LEONES DE CHITRE</v>
          </cell>
          <cell r="B1139"/>
          <cell r="C1139"/>
          <cell r="D1139"/>
          <cell r="E1139"/>
          <cell r="F1139"/>
          <cell r="G1139"/>
          <cell r="H1139"/>
          <cell r="I1139"/>
          <cell r="J1139"/>
          <cell r="K1139"/>
          <cell r="L1139">
            <v>22</v>
          </cell>
          <cell r="M1139"/>
          <cell r="N1139"/>
          <cell r="O1139"/>
        </row>
        <row r="1140">
          <cell r="A1140" t="str">
            <v>656 - FU FUNDACION COCINA DEL REINO Y AMIGOS (CENTRO 1)</v>
          </cell>
          <cell r="B1140"/>
          <cell r="C1140">
            <v>18</v>
          </cell>
          <cell r="D1140"/>
          <cell r="E1140"/>
          <cell r="F1140"/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A1141" t="str">
            <v>364-IG COMEDOR SHEKINA</v>
          </cell>
          <cell r="B1141"/>
          <cell r="C1141"/>
          <cell r="D1141"/>
          <cell r="E1141"/>
          <cell r="F1141"/>
          <cell r="G1141"/>
          <cell r="H1141"/>
          <cell r="I1141"/>
          <cell r="J1141"/>
          <cell r="K1141">
            <v>110</v>
          </cell>
          <cell r="L1141"/>
          <cell r="M1141"/>
          <cell r="N1141"/>
          <cell r="O1141"/>
        </row>
        <row r="1142">
          <cell r="A1142" t="str">
            <v>595-FU CENTRO DE LA MUJER Y LA NIÑEZ</v>
          </cell>
          <cell r="B1142"/>
          <cell r="C1142">
            <v>1</v>
          </cell>
          <cell r="D1142"/>
          <cell r="E1142"/>
          <cell r="F1142"/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A1143" t="str">
            <v>672 - FU FUNDACION NUEVO PACTO POR LA NIÑEZ</v>
          </cell>
          <cell r="B1143"/>
          <cell r="C1143">
            <v>8</v>
          </cell>
          <cell r="D1143"/>
          <cell r="E1143"/>
          <cell r="F1143"/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A1144" t="str">
            <v>360-IG IGLESIA CRISTIANA CASA DE REUNION</v>
          </cell>
          <cell r="B1144"/>
          <cell r="C1144"/>
          <cell r="D1144"/>
          <cell r="E1144"/>
          <cell r="F1144"/>
          <cell r="G1144">
            <v>8.75</v>
          </cell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A1145" t="str">
            <v>263 IG TABERNÁCULO DE DIOS DE SAN MIGUEL DEL EXQUISITO</v>
          </cell>
          <cell r="B1145"/>
          <cell r="C1145"/>
          <cell r="D1145"/>
          <cell r="E1145"/>
          <cell r="F1145"/>
          <cell r="G1145"/>
          <cell r="H1145"/>
          <cell r="I1145"/>
          <cell r="J1145">
            <v>65</v>
          </cell>
          <cell r="K1145"/>
          <cell r="L1145"/>
          <cell r="M1145"/>
          <cell r="N1145"/>
          <cell r="O1145"/>
        </row>
        <row r="1146">
          <cell r="A1146" t="str">
            <v>54 FU - FUNDACIÓN CASA HOGAR EL BUEN SAMARITANO</v>
          </cell>
          <cell r="B1146"/>
          <cell r="C1146"/>
          <cell r="D1146">
            <v>104</v>
          </cell>
          <cell r="E1146"/>
          <cell r="F1146"/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A1147" t="str">
            <v>710 - AS CLUB DE LEONES DE SONA</v>
          </cell>
          <cell r="B1147"/>
          <cell r="C1147"/>
          <cell r="D1147"/>
          <cell r="E1147"/>
          <cell r="F1147"/>
          <cell r="G1147"/>
          <cell r="H1147"/>
          <cell r="I1147"/>
          <cell r="J1147"/>
          <cell r="K1147"/>
          <cell r="L1147"/>
          <cell r="M1147">
            <v>50</v>
          </cell>
          <cell r="N1147"/>
          <cell r="O1147"/>
        </row>
        <row r="1148">
          <cell r="A1148" t="str">
            <v>684 - FU FUNDACION CASA DEL REY JESUS (CENTRO 2)</v>
          </cell>
          <cell r="B1148"/>
          <cell r="C1148">
            <v>213</v>
          </cell>
          <cell r="D1148"/>
          <cell r="E1148"/>
          <cell r="F1148"/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A1149" t="str">
            <v>596 IG- IGLESIA EVANGELICA TRINITARIA DIOS FUENTE DE PODER</v>
          </cell>
          <cell r="B1149"/>
          <cell r="C1149">
            <v>7.07</v>
          </cell>
          <cell r="D1149"/>
          <cell r="E1149"/>
          <cell r="F1149"/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A1150" t="str">
            <v>707 - FU MINISTERIO BERAKHAH INTERNACIONAL CAIMITILLO</v>
          </cell>
          <cell r="B1150"/>
          <cell r="C1150"/>
          <cell r="D1150"/>
          <cell r="E1150"/>
          <cell r="F1150"/>
          <cell r="G1150"/>
          <cell r="H1150"/>
          <cell r="I1150">
            <v>8.57</v>
          </cell>
          <cell r="J1150"/>
          <cell r="K1150"/>
          <cell r="L1150"/>
          <cell r="M1150"/>
          <cell r="N1150"/>
          <cell r="O1150"/>
        </row>
        <row r="1151">
          <cell r="A1151" t="str">
            <v>229 PA - PARROQUIA SAN CRISTOBAL DE CHEPO</v>
          </cell>
          <cell r="B1151"/>
          <cell r="C1151"/>
          <cell r="D1151">
            <v>111.75</v>
          </cell>
          <cell r="E1151"/>
          <cell r="F1151"/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A1152" t="str">
            <v>166 FU - FUNDACION CURAME</v>
          </cell>
          <cell r="B1152"/>
          <cell r="C1152">
            <v>30</v>
          </cell>
          <cell r="D1152"/>
          <cell r="E1152"/>
          <cell r="F1152"/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A1153" t="str">
            <v>390-FU FUNDACION CRISTIANA FAMILIAR EL TALLER DEL MAESTRO (CENTRO1)</v>
          </cell>
          <cell r="B1153"/>
          <cell r="C1153">
            <v>4</v>
          </cell>
          <cell r="D1153"/>
          <cell r="E1153"/>
          <cell r="F1153"/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A1154" t="str">
            <v>730-FU SOLIDARIDAD Y DESARROLLO DE PANAMA (VERAGUAS)</v>
          </cell>
          <cell r="B1154"/>
          <cell r="C1154"/>
          <cell r="D1154"/>
          <cell r="E1154"/>
          <cell r="F1154"/>
          <cell r="G1154"/>
          <cell r="H1154"/>
          <cell r="I1154"/>
          <cell r="J1154"/>
          <cell r="K1154"/>
          <cell r="L1154"/>
          <cell r="M1154">
            <v>4</v>
          </cell>
          <cell r="N1154"/>
          <cell r="O1154"/>
        </row>
        <row r="1155">
          <cell r="A1155" t="str">
            <v>737- ASOCIACION CRISTIANA EBEN-EZER (ESTE)</v>
          </cell>
          <cell r="B1155"/>
          <cell r="C1155"/>
          <cell r="D1155">
            <v>13</v>
          </cell>
          <cell r="E1155"/>
          <cell r="F1155"/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A1156" t="str">
            <v>738- IG MINISTERIO DIOS CON NOSOTROS EMANUEL</v>
          </cell>
          <cell r="B1156"/>
          <cell r="C1156"/>
          <cell r="D1156">
            <v>8</v>
          </cell>
          <cell r="E1156"/>
          <cell r="F1156"/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A1157" t="str">
            <v>745-FU CASA DE MISERICORDIA</v>
          </cell>
          <cell r="B1157"/>
          <cell r="C1157">
            <v>8</v>
          </cell>
          <cell r="D1157"/>
          <cell r="E1157"/>
          <cell r="F1157"/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A1158" t="str">
            <v>741-IG BUNKER DE ESPERANZA</v>
          </cell>
          <cell r="B1158"/>
          <cell r="C1158"/>
          <cell r="D1158">
            <v>179</v>
          </cell>
          <cell r="E1158"/>
          <cell r="F1158"/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A1159" t="str">
            <v>749-IG Ministerio Tabernáculo de Santidad Internación (Guararé)</v>
          </cell>
          <cell r="B1159"/>
          <cell r="C1159"/>
          <cell r="D1159"/>
          <cell r="E1159"/>
          <cell r="F1159"/>
          <cell r="G1159"/>
          <cell r="H1159"/>
          <cell r="I1159"/>
          <cell r="J1159"/>
          <cell r="K1159"/>
          <cell r="L1159"/>
          <cell r="M1159">
            <v>6.1999999999999993</v>
          </cell>
          <cell r="N1159"/>
          <cell r="O1159"/>
        </row>
        <row r="1160">
          <cell r="A1160" t="str">
            <v>750-IG MTSI Santiago</v>
          </cell>
          <cell r="B1160"/>
          <cell r="C1160"/>
          <cell r="D1160"/>
          <cell r="E1160"/>
          <cell r="F1160"/>
          <cell r="G1160"/>
          <cell r="H1160"/>
          <cell r="I1160"/>
          <cell r="J1160"/>
          <cell r="K1160"/>
          <cell r="L1160"/>
          <cell r="M1160">
            <v>50</v>
          </cell>
          <cell r="N1160"/>
          <cell r="O1160"/>
        </row>
        <row r="1161">
          <cell r="A1161" t="str">
            <v>613-FU FUNDACION INMARE</v>
          </cell>
          <cell r="B1161"/>
          <cell r="C1161"/>
          <cell r="D1161"/>
          <cell r="E1161"/>
          <cell r="F1161"/>
          <cell r="G1161"/>
          <cell r="H1161"/>
          <cell r="I1161"/>
          <cell r="J1161"/>
          <cell r="K1161">
            <v>45.000000000000007</v>
          </cell>
          <cell r="L1161"/>
          <cell r="M1161"/>
          <cell r="N1161"/>
          <cell r="O1161"/>
        </row>
        <row r="1162">
          <cell r="A1162" t="str">
            <v>275 IG CONCILIO GENERAL DE LAS ASAMBLEAS DE DIOS DE PANAMÁ</v>
          </cell>
          <cell r="B1162"/>
          <cell r="C1162">
            <v>61</v>
          </cell>
          <cell r="D1162"/>
          <cell r="E1162"/>
          <cell r="F1162"/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A1163" t="str">
            <v>752-IG Ministerio Tabernáculo De Santidad Internacional (Chitre)</v>
          </cell>
          <cell r="B1163"/>
          <cell r="C1163"/>
          <cell r="D1163"/>
          <cell r="E1163"/>
          <cell r="F1163"/>
          <cell r="G1163"/>
          <cell r="H1163"/>
          <cell r="I1163"/>
          <cell r="J1163"/>
          <cell r="K1163"/>
          <cell r="L1163">
            <v>22</v>
          </cell>
          <cell r="M1163"/>
          <cell r="N1163"/>
          <cell r="O1163"/>
        </row>
        <row r="1164">
          <cell r="A1164" t="str">
            <v>758-FU RESTAURANDO EL PRIMER AMOR</v>
          </cell>
          <cell r="B1164"/>
          <cell r="C1164"/>
          <cell r="D1164"/>
          <cell r="E1164"/>
          <cell r="F1164"/>
          <cell r="G1164"/>
          <cell r="H1164"/>
          <cell r="I1164">
            <v>8</v>
          </cell>
          <cell r="J1164"/>
          <cell r="K1164"/>
          <cell r="L1164"/>
          <cell r="M1164"/>
          <cell r="N1164"/>
          <cell r="O1164"/>
        </row>
        <row r="1165">
          <cell r="A1165" t="str">
            <v>201 OR - MISIONERAS MADRE LAURA</v>
          </cell>
          <cell r="B1165"/>
          <cell r="C1165">
            <v>13</v>
          </cell>
          <cell r="D1165"/>
          <cell r="E1165"/>
          <cell r="F1165"/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A1166" t="str">
            <v>765-IG EXPANSION MISIONERA RIOS DE AGUA VIVA</v>
          </cell>
          <cell r="B1166"/>
          <cell r="C1166"/>
          <cell r="D1166"/>
          <cell r="E1166"/>
          <cell r="F1166"/>
          <cell r="G1166"/>
          <cell r="H1166"/>
          <cell r="I1166"/>
          <cell r="J1166"/>
          <cell r="K1166"/>
          <cell r="L1166">
            <v>59</v>
          </cell>
          <cell r="M1166"/>
          <cell r="N1166"/>
          <cell r="O1166"/>
        </row>
        <row r="1167">
          <cell r="A1167" t="str">
            <v>766-IG MINISTERIO BET-EL</v>
          </cell>
          <cell r="B1167"/>
          <cell r="C1167"/>
          <cell r="D1167"/>
          <cell r="E1167"/>
          <cell r="F1167"/>
          <cell r="G1167"/>
          <cell r="H1167"/>
          <cell r="I1167"/>
          <cell r="J1167"/>
          <cell r="K1167"/>
          <cell r="L1167"/>
          <cell r="M1167"/>
          <cell r="N1167"/>
          <cell r="O1167">
            <v>24</v>
          </cell>
        </row>
        <row r="1168">
          <cell r="A1168" t="str">
            <v>785-FU FUNDACION GOTAS DE ESPERANZA</v>
          </cell>
          <cell r="B1168"/>
          <cell r="C1168"/>
          <cell r="D1168"/>
          <cell r="E1168">
            <v>30.5</v>
          </cell>
          <cell r="F1168"/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A1169" t="str">
            <v>394-IG IGLESIA ESCUADRONES DEL EJERCITO DE DIOS (CENTRO2)</v>
          </cell>
          <cell r="B1169"/>
          <cell r="C1169">
            <v>62</v>
          </cell>
          <cell r="D1169"/>
          <cell r="E1169"/>
          <cell r="F1169"/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A1170" t="str">
            <v>789-FU Fundación Rescate de Alimentos</v>
          </cell>
          <cell r="B1170"/>
          <cell r="C1170">
            <v>24</v>
          </cell>
          <cell r="D1170"/>
          <cell r="E1170"/>
          <cell r="F1170"/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A1171" t="str">
            <v>793-FU Fundación Príncipes de Jehová</v>
          </cell>
          <cell r="B1171"/>
          <cell r="C1171"/>
          <cell r="D1171"/>
          <cell r="E1171"/>
          <cell r="F1171"/>
          <cell r="G1171"/>
          <cell r="H1171"/>
          <cell r="I1171">
            <v>4</v>
          </cell>
          <cell r="J1171"/>
          <cell r="K1171"/>
          <cell r="L1171"/>
          <cell r="M1171"/>
          <cell r="N1171"/>
          <cell r="O1171"/>
        </row>
        <row r="1172">
          <cell r="A1172" t="str">
            <v>791-FU FUNDACION DIVINO NINO JESUS DE MI CORAZON</v>
          </cell>
          <cell r="B1172"/>
          <cell r="C1172"/>
          <cell r="D1172">
            <v>30</v>
          </cell>
          <cell r="E1172"/>
          <cell r="F1172"/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A1173" t="str">
            <v>598- IG IGLESIA GLORIA TRANSFORMADORA SHEKINAH</v>
          </cell>
          <cell r="B1173"/>
          <cell r="C1173"/>
          <cell r="D1173"/>
          <cell r="E1173">
            <v>16</v>
          </cell>
          <cell r="F1173"/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A1174" t="str">
            <v>138 OR - HERMANAS FRANCISCANAS DE MARIA INMACULADALA</v>
          </cell>
          <cell r="B1174"/>
          <cell r="C1174"/>
          <cell r="D1174"/>
          <cell r="E1174"/>
          <cell r="F1174"/>
          <cell r="G1174"/>
          <cell r="H1174">
            <v>0.5</v>
          </cell>
          <cell r="I1174"/>
          <cell r="J1174"/>
          <cell r="K1174"/>
          <cell r="L1174"/>
          <cell r="M1174"/>
          <cell r="N1174"/>
          <cell r="O1174"/>
        </row>
        <row r="1175">
          <cell r="A1175" t="str">
            <v>3 IG - IGLESIA DEL NAZARENO</v>
          </cell>
          <cell r="B1175"/>
          <cell r="C1175"/>
          <cell r="D1175"/>
          <cell r="E1175">
            <v>8</v>
          </cell>
          <cell r="F1175"/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A1176" t="str">
            <v>232 IG MINISTERIO TIEMPO DE COSECHA</v>
          </cell>
          <cell r="B1176"/>
          <cell r="C1176"/>
          <cell r="D1176"/>
          <cell r="E1176"/>
          <cell r="F1176"/>
          <cell r="G1176"/>
          <cell r="H1176"/>
          <cell r="I1176">
            <v>27</v>
          </cell>
          <cell r="J1176"/>
          <cell r="K1176"/>
          <cell r="L1176"/>
          <cell r="M1176"/>
          <cell r="N1176"/>
          <cell r="O1176"/>
        </row>
        <row r="1177">
          <cell r="A1177" t="str">
            <v>8 PA - PARROQUIA SAN JUAN DE MACARACAS</v>
          </cell>
          <cell r="B1177">
            <v>12</v>
          </cell>
          <cell r="C1177"/>
          <cell r="D1177"/>
          <cell r="E1177"/>
          <cell r="F1177"/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A1178" t="str">
            <v>240 PA - PARROQUIA SAN JOSÉ - PESE</v>
          </cell>
          <cell r="B1178"/>
          <cell r="C1178"/>
          <cell r="D1178"/>
          <cell r="E1178"/>
          <cell r="F1178"/>
          <cell r="G1178"/>
          <cell r="H1178"/>
          <cell r="I1178"/>
          <cell r="J1178"/>
          <cell r="K1178"/>
          <cell r="L1178">
            <v>87</v>
          </cell>
          <cell r="M1178"/>
          <cell r="N1178"/>
          <cell r="O1178"/>
        </row>
        <row r="1179">
          <cell r="A1179" t="str">
            <v>253 FU - FUNDACIÓN PARA EL BIENESTAR SOCIAL (CENTRO2)</v>
          </cell>
          <cell r="B1179"/>
          <cell r="C1179">
            <v>82</v>
          </cell>
          <cell r="D1179"/>
          <cell r="E1179"/>
          <cell r="F1179"/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A1180" t="str">
            <v>650 - IG ASOCIACION CRISTIANA EBEN - EZER #27 (ESTE)</v>
          </cell>
          <cell r="B1180"/>
          <cell r="C1180"/>
          <cell r="D1180">
            <v>2</v>
          </cell>
          <cell r="E1180"/>
          <cell r="F1180"/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A1181" t="str">
            <v>802-IG IGLESIA INTERNACIONAL DEL EVANGELIO CUADRANGULAR DE PANAMÁ</v>
          </cell>
          <cell r="B1181"/>
          <cell r="C1181">
            <v>18</v>
          </cell>
          <cell r="D1181"/>
          <cell r="E1181"/>
          <cell r="F1181"/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A1182" t="str">
            <v>227 FU - AID FOR AIDS PANAMÁ</v>
          </cell>
          <cell r="B1182"/>
          <cell r="C1182">
            <v>4</v>
          </cell>
          <cell r="D1182"/>
          <cell r="E1182"/>
          <cell r="F1182"/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A1183" t="str">
            <v>814-IG Templo Morada Santa</v>
          </cell>
          <cell r="B1183"/>
          <cell r="C1183"/>
          <cell r="D1183"/>
          <cell r="E1183"/>
          <cell r="F1183">
            <v>6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A1184" t="str">
            <v>392-FU Fundacion Jerusalen Trono de Jehova III</v>
          </cell>
          <cell r="B1184"/>
          <cell r="C1184"/>
          <cell r="D1184"/>
          <cell r="E1184">
            <v>28</v>
          </cell>
          <cell r="F1184"/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A1185" t="str">
            <v>471-FU FUNDACION BUSCANDO UNA OPORTUNIDAD</v>
          </cell>
          <cell r="B1185"/>
          <cell r="C1185"/>
          <cell r="D1185"/>
          <cell r="E1185">
            <v>24</v>
          </cell>
          <cell r="F1185"/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A1186" t="str">
            <v>5 AS - ASOCIACIÓN DAME UNA OPORTUNIDAD</v>
          </cell>
          <cell r="B1186"/>
          <cell r="C1186">
            <v>32</v>
          </cell>
          <cell r="D1186"/>
          <cell r="E1186"/>
          <cell r="F1186"/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A1187" t="str">
            <v>756-FU Fundación Nuevas Rutas</v>
          </cell>
          <cell r="B1187"/>
          <cell r="C1187"/>
          <cell r="D1187"/>
          <cell r="E1187"/>
          <cell r="F1187"/>
          <cell r="G1187"/>
          <cell r="H1187"/>
          <cell r="I1187"/>
          <cell r="J1187">
            <v>110</v>
          </cell>
          <cell r="K1187"/>
          <cell r="L1187"/>
          <cell r="M1187"/>
          <cell r="N1187"/>
          <cell r="O1187"/>
        </row>
        <row r="1188">
          <cell r="A1188" t="str">
            <v>828-IG IDN LAS TINAJAS</v>
          </cell>
          <cell r="B1188"/>
          <cell r="C1188"/>
          <cell r="D1188"/>
          <cell r="E1188"/>
          <cell r="F1188"/>
          <cell r="G1188"/>
          <cell r="H1188"/>
          <cell r="I1188"/>
          <cell r="J1188">
            <v>27</v>
          </cell>
          <cell r="K1188"/>
          <cell r="L1188"/>
          <cell r="M1188"/>
          <cell r="N1188"/>
          <cell r="O1188"/>
        </row>
        <row r="1189">
          <cell r="A1189" t="str">
            <v>770-IG CENTRO CRISTIANO NUEVA VIDA</v>
          </cell>
          <cell r="B1189"/>
          <cell r="C1189"/>
          <cell r="D1189"/>
          <cell r="E1189"/>
          <cell r="F1189"/>
          <cell r="G1189"/>
          <cell r="H1189"/>
          <cell r="I1189"/>
          <cell r="J1189"/>
          <cell r="K1189">
            <v>6</v>
          </cell>
          <cell r="L1189"/>
          <cell r="M1189"/>
          <cell r="N1189"/>
          <cell r="O1189"/>
        </row>
        <row r="1190">
          <cell r="A1190" t="str">
            <v>728-FU ANCEC SANTIAGO</v>
          </cell>
          <cell r="B1190"/>
          <cell r="C1190"/>
          <cell r="D1190"/>
          <cell r="E1190"/>
          <cell r="F1190"/>
          <cell r="G1190"/>
          <cell r="H1190"/>
          <cell r="I1190"/>
          <cell r="J1190"/>
          <cell r="K1190"/>
          <cell r="L1190"/>
          <cell r="M1190">
            <v>24</v>
          </cell>
          <cell r="N1190"/>
          <cell r="O1190"/>
        </row>
        <row r="1191">
          <cell r="A1191" t="str">
            <v>731-FU CENTRO DE NIÑOS DOWN</v>
          </cell>
          <cell r="B1191"/>
          <cell r="C1191"/>
          <cell r="D1191"/>
          <cell r="E1191"/>
          <cell r="F1191"/>
          <cell r="G1191"/>
          <cell r="H1191"/>
          <cell r="I1191"/>
          <cell r="J1191"/>
          <cell r="K1191"/>
          <cell r="L1191">
            <v>2</v>
          </cell>
          <cell r="M1191"/>
          <cell r="N1191"/>
          <cell r="O1191"/>
        </row>
        <row r="1192">
          <cell r="A1192" t="str">
            <v>245-FU MINISTERIO BERAKHAH INTERNACIONAL CUENTA PRINCIPAL</v>
          </cell>
          <cell r="B1192"/>
          <cell r="C1192"/>
          <cell r="D1192">
            <v>18</v>
          </cell>
          <cell r="E1192"/>
          <cell r="F1192"/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A1193" t="str">
            <v>827-FU Fundación Transformemos mi comunidad</v>
          </cell>
          <cell r="B1193"/>
          <cell r="C1193"/>
          <cell r="D1193"/>
          <cell r="E1193">
            <v>32</v>
          </cell>
          <cell r="F1193"/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A1194" t="str">
            <v>Vima Foods Panamá S.A.</v>
          </cell>
          <cell r="B1194"/>
          <cell r="C1194">
            <v>9</v>
          </cell>
          <cell r="D1194">
            <v>15</v>
          </cell>
          <cell r="E1194">
            <v>8</v>
          </cell>
          <cell r="F1194">
            <v>4</v>
          </cell>
          <cell r="G1194">
            <v>1</v>
          </cell>
          <cell r="H1194"/>
          <cell r="I1194">
            <v>2</v>
          </cell>
          <cell r="J1194"/>
          <cell r="K1194"/>
          <cell r="L1194"/>
          <cell r="M1194"/>
          <cell r="N1194"/>
          <cell r="O1194"/>
        </row>
        <row r="1195">
          <cell r="A1195" t="str">
            <v>662-IG MINISTERIO EVANGELICO EL APOSENTO ALTO (CENTRO 1)</v>
          </cell>
          <cell r="B1195"/>
          <cell r="C1195">
            <v>5</v>
          </cell>
          <cell r="D1195"/>
          <cell r="E1195"/>
          <cell r="F1195"/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A1196" t="str">
            <v>298-FU - MINISTERIO FUENTE DE VIDA PARA EL PERDIDO</v>
          </cell>
          <cell r="B1196"/>
          <cell r="C1196"/>
          <cell r="D1196"/>
          <cell r="E1196"/>
          <cell r="F1196">
            <v>4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A1197" t="str">
            <v>479-IG IGLESIA NUEVA ESPERANZA</v>
          </cell>
          <cell r="B1197"/>
          <cell r="C1197"/>
          <cell r="D1197">
            <v>2</v>
          </cell>
          <cell r="E1197"/>
          <cell r="F1197"/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A1198" t="str">
            <v>104 AS - ASOCIACIÓN HOGAR FELICIDAD</v>
          </cell>
          <cell r="B1198"/>
          <cell r="C1198"/>
          <cell r="D1198"/>
          <cell r="E1198">
            <v>2</v>
          </cell>
          <cell r="F1198"/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A1199" t="str">
            <v>178 IG - TEMPLO ZURIEL EL REFUGIO</v>
          </cell>
          <cell r="B1199"/>
          <cell r="C1199"/>
          <cell r="D1199"/>
          <cell r="E1199"/>
          <cell r="F1199"/>
          <cell r="G1199">
            <v>1</v>
          </cell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A1200" t="str">
            <v>288 IG MINISTERIO EVANGELISTICO DE SANACION Y RESTAURACION, SENALES, MILAGROS Y MARAVILLAS (ESTE)</v>
          </cell>
          <cell r="B1200"/>
          <cell r="C1200"/>
          <cell r="D1200">
            <v>2</v>
          </cell>
          <cell r="E1200"/>
          <cell r="F1200"/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A1201" t="str">
            <v>654 - IG M.I.A.F NUEVA JERUSALEN PANAMA (ESTE)</v>
          </cell>
          <cell r="B1201"/>
          <cell r="C1201"/>
          <cell r="D1201">
            <v>1</v>
          </cell>
          <cell r="E1201"/>
          <cell r="F1201"/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A1202" t="str">
            <v>709 - FU FUNRECRISTO</v>
          </cell>
          <cell r="B1202"/>
          <cell r="C1202"/>
          <cell r="D1202">
            <v>1</v>
          </cell>
          <cell r="E1202"/>
          <cell r="F1202"/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A1203" t="str">
            <v>597- IG MINISTERIO APOSTOLICO NEMUEL INTERNACIONAL</v>
          </cell>
          <cell r="B1203"/>
          <cell r="C1203"/>
          <cell r="D1203">
            <v>4</v>
          </cell>
          <cell r="E1203"/>
          <cell r="F1203"/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A1204" t="str">
            <v>417-AS CLUB DE LEONES DE PEDREGAL (ESTE)</v>
          </cell>
          <cell r="B1204"/>
          <cell r="C1204"/>
          <cell r="D1204">
            <v>2</v>
          </cell>
          <cell r="E1204"/>
          <cell r="F1204"/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A1205" t="str">
            <v>381-FU FUNDAMIDOM</v>
          </cell>
          <cell r="B1205"/>
          <cell r="C1205"/>
          <cell r="D1205"/>
          <cell r="E1205">
            <v>4</v>
          </cell>
          <cell r="F1205"/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A1206" t="str">
            <v>723 ASOCIACION AQUI ESTOY</v>
          </cell>
          <cell r="B1206"/>
          <cell r="C1206"/>
          <cell r="D1206"/>
          <cell r="E1206">
            <v>1</v>
          </cell>
          <cell r="F1206"/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A1207" t="str">
            <v>229 PA - PARROQUIA SAN CRISTOBAL DE CHEPO</v>
          </cell>
          <cell r="B1207"/>
          <cell r="C1207"/>
          <cell r="D1207">
            <v>1</v>
          </cell>
          <cell r="E1207"/>
          <cell r="F1207"/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A1208" t="str">
            <v>738- IG MINISTERIO DIOS CON NOSOTROS EMANUEL</v>
          </cell>
          <cell r="B1208"/>
          <cell r="C1208"/>
          <cell r="D1208">
            <v>1</v>
          </cell>
          <cell r="E1208"/>
          <cell r="F1208"/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A1209" t="str">
            <v>759-FU SOLO ES CUESTION DE FE</v>
          </cell>
          <cell r="B1209"/>
          <cell r="C1209"/>
          <cell r="D1209">
            <v>1</v>
          </cell>
          <cell r="E1209"/>
          <cell r="F1209"/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A1210" t="str">
            <v>785-FU FUNDACION GOTAS DE ESPERANZA</v>
          </cell>
          <cell r="B1210"/>
          <cell r="C1210"/>
          <cell r="D1210"/>
          <cell r="E1210">
            <v>1</v>
          </cell>
          <cell r="F1210"/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A1211" t="str">
            <v>394-IG IGLESIA ESCUADRONES DEL EJERCITO DE DIOS (CENTRO2)</v>
          </cell>
          <cell r="B1211"/>
          <cell r="C1211">
            <v>1</v>
          </cell>
          <cell r="D1211"/>
          <cell r="E1211"/>
          <cell r="F1211"/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A1212" t="str">
            <v>793-FU Fundación Príncipes de Jehová</v>
          </cell>
          <cell r="B1212"/>
          <cell r="C1212"/>
          <cell r="D1212"/>
          <cell r="E1212"/>
          <cell r="F1212"/>
          <cell r="G1212"/>
          <cell r="H1212"/>
          <cell r="I1212">
            <v>2</v>
          </cell>
          <cell r="J1212"/>
          <cell r="K1212"/>
          <cell r="L1212"/>
          <cell r="M1212"/>
          <cell r="N1212"/>
          <cell r="O1212"/>
        </row>
        <row r="1213">
          <cell r="A1213" t="str">
            <v>185 FU - FUNDACIÓN ABIA YALA</v>
          </cell>
          <cell r="B1213"/>
          <cell r="C1213">
            <v>3</v>
          </cell>
          <cell r="D1213"/>
          <cell r="E1213"/>
          <cell r="F1213"/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A1214" t="str">
            <v>PRODUCTOS KIENER</v>
          </cell>
          <cell r="B1214"/>
          <cell r="C1214">
            <v>243</v>
          </cell>
          <cell r="D1214">
            <v>314</v>
          </cell>
          <cell r="E1214">
            <v>74</v>
          </cell>
          <cell r="F1214">
            <v>32</v>
          </cell>
          <cell r="G1214">
            <v>38</v>
          </cell>
          <cell r="H1214">
            <v>18</v>
          </cell>
          <cell r="I1214">
            <v>52</v>
          </cell>
          <cell r="J1214">
            <v>2</v>
          </cell>
          <cell r="K1214"/>
          <cell r="L1214"/>
          <cell r="M1214"/>
          <cell r="N1214"/>
          <cell r="O1214"/>
        </row>
        <row r="1215">
          <cell r="A1215" t="str">
            <v>702 - FU MINISTERIO BERAKHAH INTERNACIONAL ARRAIJAN</v>
          </cell>
          <cell r="B1215"/>
          <cell r="C1215"/>
          <cell r="D1215"/>
          <cell r="E1215">
            <v>8</v>
          </cell>
          <cell r="F1215"/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A1216" t="str">
            <v>298-FU - MINISTERIO FUENTE DE VIDA PARA EL PERDIDO</v>
          </cell>
          <cell r="B1216"/>
          <cell r="C1216"/>
          <cell r="D1216"/>
          <cell r="E1216"/>
          <cell r="F1216">
            <v>18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A1217" t="str">
            <v>479-IG IGLESIA NUEVA ESPERANZA</v>
          </cell>
          <cell r="B1217"/>
          <cell r="C1217"/>
          <cell r="D1217">
            <v>4</v>
          </cell>
          <cell r="E1217"/>
          <cell r="F1217"/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A1218" t="str">
            <v>175 AS - ASOCIACIÓN RESTAURANDO VIDAS</v>
          </cell>
          <cell r="B1218"/>
          <cell r="C1218"/>
          <cell r="D1218">
            <v>12</v>
          </cell>
          <cell r="E1218"/>
          <cell r="F1218"/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A1219" t="str">
            <v>178 IG - TEMPLO ZURIEL EL REFUGIO</v>
          </cell>
          <cell r="B1219"/>
          <cell r="C1219"/>
          <cell r="D1219"/>
          <cell r="E1219"/>
          <cell r="F1219"/>
          <cell r="G1219">
            <v>12</v>
          </cell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A1220" t="str">
            <v>207 IG - IGLESIA CENTRO DE VIDA CRISTIANA</v>
          </cell>
          <cell r="B1220"/>
          <cell r="C1220"/>
          <cell r="D1220">
            <v>2</v>
          </cell>
          <cell r="E1220"/>
          <cell r="F1220"/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A1221" t="str">
            <v>493-FU Comedor Jesús es mi Pastor</v>
          </cell>
          <cell r="B1221"/>
          <cell r="C1221"/>
          <cell r="D1221">
            <v>4</v>
          </cell>
          <cell r="E1221"/>
          <cell r="F1221"/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A1222" t="str">
            <v>636- FU JAH - LIVE (JAHL) - COLON</v>
          </cell>
          <cell r="B1222"/>
          <cell r="C1222"/>
          <cell r="D1222"/>
          <cell r="E1222"/>
          <cell r="F1222"/>
          <cell r="G1222"/>
          <cell r="H1222">
            <v>10</v>
          </cell>
          <cell r="I1222"/>
          <cell r="J1222"/>
          <cell r="K1222"/>
          <cell r="L1222"/>
          <cell r="M1222"/>
          <cell r="N1222"/>
          <cell r="O1222"/>
        </row>
        <row r="1223">
          <cell r="A1223" t="str">
            <v>365-IG COMEDOR HEFZIBA</v>
          </cell>
          <cell r="B1223"/>
          <cell r="C1223"/>
          <cell r="D1223"/>
          <cell r="E1223"/>
          <cell r="F1223"/>
          <cell r="G1223"/>
          <cell r="H1223"/>
          <cell r="I1223">
            <v>8</v>
          </cell>
          <cell r="J1223"/>
          <cell r="K1223"/>
          <cell r="L1223"/>
          <cell r="M1223"/>
          <cell r="N1223"/>
          <cell r="O1223"/>
        </row>
        <row r="1224">
          <cell r="A1224" t="str">
            <v>635 TEMPLO ADULAM</v>
          </cell>
          <cell r="B1224"/>
          <cell r="C1224"/>
          <cell r="D1224"/>
          <cell r="E1224">
            <v>4</v>
          </cell>
          <cell r="F1224"/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A1225" t="str">
            <v>470-FU IGLESIA MONTE SANTO</v>
          </cell>
          <cell r="B1225"/>
          <cell r="C1225"/>
          <cell r="D1225">
            <v>14</v>
          </cell>
          <cell r="E1225"/>
          <cell r="F1225"/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A1226" t="str">
            <v>687 - FU FUNDACION ARCA DE JESUS</v>
          </cell>
          <cell r="B1226"/>
          <cell r="C1226"/>
          <cell r="D1226"/>
          <cell r="E1226">
            <v>8</v>
          </cell>
          <cell r="F1226"/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A1227" t="str">
            <v>218 ED - LOS PREFERIDOS DEL SEÑOR (CENTRO2)</v>
          </cell>
          <cell r="B1227"/>
          <cell r="C1227">
            <v>62</v>
          </cell>
          <cell r="D1227"/>
          <cell r="E1227"/>
          <cell r="F1227"/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A1228" t="str">
            <v>187 IG - IGLESIA DE DIOS DE LA PROFECÍA</v>
          </cell>
          <cell r="B1228"/>
          <cell r="C1228"/>
          <cell r="D1228">
            <v>26</v>
          </cell>
          <cell r="E1228"/>
          <cell r="F1228"/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A1229" t="str">
            <v>321-IG IGLESIA DIOS ES MI PROVEEDOR Y SUSTENTO</v>
          </cell>
          <cell r="B1229"/>
          <cell r="C1229"/>
          <cell r="D1229">
            <v>18</v>
          </cell>
          <cell r="E1229"/>
          <cell r="F1229"/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A1230" t="str">
            <v>694 - FU MINISTERIO BERAKHAH INTERNACIONAL TOCUMEN #2</v>
          </cell>
          <cell r="B1230"/>
          <cell r="C1230"/>
          <cell r="D1230">
            <v>8</v>
          </cell>
          <cell r="E1230"/>
          <cell r="F1230"/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A1231" t="str">
            <v>695 - FU MINISTERIO BERAKHAH INTERNACIONAL 24 DIC</v>
          </cell>
          <cell r="B1231"/>
          <cell r="C1231"/>
          <cell r="D1231">
            <v>6</v>
          </cell>
          <cell r="E1231"/>
          <cell r="F1231"/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A1232" t="str">
            <v>703 - FU MINISTERIO BERAKHAH INTERNACIONAL FELIPILLO #3</v>
          </cell>
          <cell r="B1232"/>
          <cell r="C1232"/>
          <cell r="D1232">
            <v>4</v>
          </cell>
          <cell r="E1232"/>
          <cell r="F1232"/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A1233" t="str">
            <v>444-FU MINISTERIO BERAKHAH INTERNACIONAL COMEDOR LAS GARZAS #1</v>
          </cell>
          <cell r="B1233"/>
          <cell r="C1233"/>
          <cell r="D1233">
            <v>4</v>
          </cell>
          <cell r="E1233"/>
          <cell r="F1233"/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A1234" t="str">
            <v>366-FU CENTRO MISIONERO EL SHADAI (ESTE)</v>
          </cell>
          <cell r="B1234"/>
          <cell r="C1234"/>
          <cell r="D1234">
            <v>14</v>
          </cell>
          <cell r="E1234"/>
          <cell r="F1234"/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A1235" t="str">
            <v>498-FU COMEDOR NIÑOS DE BENDICION</v>
          </cell>
          <cell r="B1235"/>
          <cell r="C1235"/>
          <cell r="D1235"/>
          <cell r="E1235">
            <v>8</v>
          </cell>
          <cell r="F1235"/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A1236" t="str">
            <v>288 IG MINISTERIO EVANGELISTICO DE SANACION Y RESTAURACION, SENALES, MILAGROS Y MARAVILLAS (ESTE)</v>
          </cell>
          <cell r="B1236"/>
          <cell r="C1236"/>
          <cell r="D1236">
            <v>8</v>
          </cell>
          <cell r="E1236"/>
          <cell r="F1236"/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A1237" t="str">
            <v>373-FU MINISTERIO INTERNACIONAL BOANERGES</v>
          </cell>
          <cell r="B1237"/>
          <cell r="C1237"/>
          <cell r="D1237"/>
          <cell r="E1237"/>
          <cell r="F1237"/>
          <cell r="G1237"/>
          <cell r="H1237"/>
          <cell r="I1237">
            <v>10</v>
          </cell>
          <cell r="J1237"/>
          <cell r="K1237"/>
          <cell r="L1237"/>
          <cell r="M1237"/>
          <cell r="N1237"/>
          <cell r="O1237"/>
        </row>
        <row r="1238">
          <cell r="A1238" t="str">
            <v>197 FU FUNDACION SOCIAL CULTURAL Y AMBIENTAL DE VERACRUZ (OESTE)</v>
          </cell>
          <cell r="B1238"/>
          <cell r="C1238"/>
          <cell r="D1238"/>
          <cell r="E1238">
            <v>8</v>
          </cell>
          <cell r="F1238"/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A1239" t="str">
            <v>183 ED - BELÉN CASA DE PAN (ESTE)</v>
          </cell>
          <cell r="B1239"/>
          <cell r="C1239"/>
          <cell r="D1239">
            <v>4</v>
          </cell>
          <cell r="E1239"/>
          <cell r="F1239"/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A1240" t="str">
            <v>691 - AR CARITAS ARQUIDIOCESANA</v>
          </cell>
          <cell r="B1240"/>
          <cell r="C1240">
            <v>2</v>
          </cell>
          <cell r="D1240"/>
          <cell r="E1240"/>
          <cell r="F1240"/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A1241" t="str">
            <v>431-IG IGLESIA ADVENTISTA DISTRITO 8</v>
          </cell>
          <cell r="B1241"/>
          <cell r="C1241"/>
          <cell r="D1241">
            <v>2</v>
          </cell>
          <cell r="E1241"/>
          <cell r="F1241"/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A1242" t="str">
            <v>211 IG - IGLESIA CRISTIANA KADOSH</v>
          </cell>
          <cell r="B1242"/>
          <cell r="C1242">
            <v>2</v>
          </cell>
          <cell r="D1242"/>
          <cell r="E1242"/>
          <cell r="F1242"/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A1243" t="str">
            <v>368-FU MINISTERIO PACTO DE SANTIDAD</v>
          </cell>
          <cell r="B1243"/>
          <cell r="C1243">
            <v>6</v>
          </cell>
          <cell r="D1243"/>
          <cell r="E1243"/>
          <cell r="F1243"/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A1244" t="str">
            <v>2 PA - PARROQUIA SAN JUAN MARIA VIANNEY (NORTE)</v>
          </cell>
          <cell r="B1244"/>
          <cell r="C1244"/>
          <cell r="D1244"/>
          <cell r="E1244"/>
          <cell r="F1244"/>
          <cell r="G1244"/>
          <cell r="H1244"/>
          <cell r="I1244">
            <v>2</v>
          </cell>
          <cell r="J1244"/>
          <cell r="K1244"/>
          <cell r="L1244"/>
          <cell r="M1244"/>
          <cell r="N1244"/>
          <cell r="O1244"/>
        </row>
        <row r="1245">
          <cell r="A1245" t="str">
            <v>696 - FU MINISTERIO BERAKHAH INTERNACIONAL CHEPO #1</v>
          </cell>
          <cell r="B1245"/>
          <cell r="C1245"/>
          <cell r="D1245">
            <v>4</v>
          </cell>
          <cell r="E1245"/>
          <cell r="F1245"/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A1246" t="str">
            <v>472-FU FUNDACION TALITA CUMI</v>
          </cell>
          <cell r="B1246"/>
          <cell r="C1246"/>
          <cell r="D1246">
            <v>4</v>
          </cell>
          <cell r="E1246"/>
          <cell r="F1246"/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A1247" t="str">
            <v>222 ED - MISERICORDIAR</v>
          </cell>
          <cell r="B1247"/>
          <cell r="C1247"/>
          <cell r="D1247">
            <v>38</v>
          </cell>
          <cell r="E1247"/>
          <cell r="F1247"/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A1248" t="str">
            <v>259 IG - ALCANCE VICTORIA PANAMÁ</v>
          </cell>
          <cell r="B1248"/>
          <cell r="C1248">
            <v>6</v>
          </cell>
          <cell r="D1248"/>
          <cell r="E1248"/>
          <cell r="F1248"/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A1249" t="str">
            <v>668 - FU FUNDACION CRISTIANA LA FE EN MARCHA</v>
          </cell>
          <cell r="B1249"/>
          <cell r="C1249"/>
          <cell r="D1249"/>
          <cell r="E1249"/>
          <cell r="F1249"/>
          <cell r="G1249"/>
          <cell r="H1249"/>
          <cell r="I1249"/>
          <cell r="J1249">
            <v>2</v>
          </cell>
          <cell r="K1249"/>
          <cell r="L1249"/>
          <cell r="M1249"/>
          <cell r="N1249"/>
          <cell r="O1249"/>
        </row>
        <row r="1250">
          <cell r="A1250" t="str">
            <v>379-FU Fundacion Ministerio Apostolico Manantial de Vida</v>
          </cell>
          <cell r="B1250"/>
          <cell r="C1250"/>
          <cell r="D1250"/>
          <cell r="E1250"/>
          <cell r="F1250"/>
          <cell r="G1250"/>
          <cell r="H1250">
            <v>8</v>
          </cell>
          <cell r="I1250"/>
          <cell r="J1250"/>
          <cell r="K1250"/>
          <cell r="L1250"/>
          <cell r="M1250"/>
          <cell r="N1250"/>
          <cell r="O1250"/>
        </row>
        <row r="1251">
          <cell r="A1251" t="str">
            <v>387-AS Asociacion ODSSAR-OBC</v>
          </cell>
          <cell r="B1251"/>
          <cell r="C1251"/>
          <cell r="D1251">
            <v>2</v>
          </cell>
          <cell r="E1251"/>
          <cell r="F1251"/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A1252" t="str">
            <v>300 ED - BENEFICIARIOS</v>
          </cell>
          <cell r="B1252"/>
          <cell r="C1252"/>
          <cell r="D1252">
            <v>18</v>
          </cell>
          <cell r="E1252"/>
          <cell r="F1252"/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A1253" t="str">
            <v>630-IG MIN.INTL.DE CRISTO PAZ DE DIOS</v>
          </cell>
          <cell r="B1253"/>
          <cell r="C1253">
            <v>18</v>
          </cell>
          <cell r="D1253"/>
          <cell r="E1253"/>
          <cell r="F1253"/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A1254" t="str">
            <v>397-FU FUNDACION SHALOM PANAMA</v>
          </cell>
          <cell r="B1254"/>
          <cell r="C1254"/>
          <cell r="D1254"/>
          <cell r="E1254">
            <v>2</v>
          </cell>
          <cell r="F1254"/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A1255" t="str">
            <v>697 - FU MINISTERIO BERAKHAH INTERNACIONAL CHEPO #2</v>
          </cell>
          <cell r="B1255"/>
          <cell r="C1255"/>
          <cell r="D1255">
            <v>10</v>
          </cell>
          <cell r="E1255"/>
          <cell r="F1255"/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A1256" t="str">
            <v>195 ED - JUNTOS PODEMOS</v>
          </cell>
          <cell r="B1256"/>
          <cell r="C1256">
            <v>26</v>
          </cell>
          <cell r="D1256"/>
          <cell r="E1256"/>
          <cell r="F1256"/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A1257" t="str">
            <v>653 - FU FUNDACION LUIS CARLOS DIAZ (OESTE)</v>
          </cell>
          <cell r="B1257"/>
          <cell r="C1257"/>
          <cell r="D1257"/>
          <cell r="E1257">
            <v>6</v>
          </cell>
          <cell r="F1257"/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A1258" t="str">
            <v>450-FU MINISTERIO DE RESTAURACION EFESIOS 4 (ESTE)</v>
          </cell>
          <cell r="B1258"/>
          <cell r="C1258"/>
          <cell r="D1258">
            <v>4</v>
          </cell>
          <cell r="E1258"/>
          <cell r="F1258"/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A1259" t="str">
            <v>235 FU - FUNDACION GRUPO ENVIADOS</v>
          </cell>
          <cell r="B1259"/>
          <cell r="C1259"/>
          <cell r="D1259">
            <v>4</v>
          </cell>
          <cell r="E1259"/>
          <cell r="F1259"/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A1260" t="str">
            <v>380-ED COMEDOR COMUNITARIO CASA DEL ALFARERO</v>
          </cell>
          <cell r="B1260"/>
          <cell r="C1260"/>
          <cell r="D1260">
            <v>2</v>
          </cell>
          <cell r="E1260"/>
          <cell r="F1260"/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A1261" t="str">
            <v>202 FU - FUNDACIÓN HOGAR SAN JOSÉ (ESTE)</v>
          </cell>
          <cell r="B1261"/>
          <cell r="C1261"/>
          <cell r="D1261">
            <v>2</v>
          </cell>
          <cell r="E1261"/>
          <cell r="F1261"/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A1262" t="str">
            <v>451-IG IGLESIA MANANTIAL DE VIDA (ESTE)</v>
          </cell>
          <cell r="B1262"/>
          <cell r="C1262"/>
          <cell r="D1262">
            <v>4</v>
          </cell>
          <cell r="E1262"/>
          <cell r="F1262"/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A1263" t="str">
            <v>597- IG MINISTERIO APOSTOLICO NEMUEL INTERNACIONAL</v>
          </cell>
          <cell r="B1263"/>
          <cell r="C1263"/>
          <cell r="D1263">
            <v>12</v>
          </cell>
          <cell r="E1263"/>
          <cell r="F1263"/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A1264" t="str">
            <v>252 IG - MINISTERIO INTERNACIONAL DE AMISTADES CRISTIANAS</v>
          </cell>
          <cell r="B1264"/>
          <cell r="C1264"/>
          <cell r="D1264">
            <v>8</v>
          </cell>
          <cell r="E1264"/>
          <cell r="F1264"/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A1265" t="str">
            <v>144 OR - HERMANAS DE SAN JOSÉ DE LA APARICIÓN (RETIRA EN EL BANCO)</v>
          </cell>
          <cell r="B1265"/>
          <cell r="C1265"/>
          <cell r="D1265">
            <v>8</v>
          </cell>
          <cell r="E1265"/>
          <cell r="F1265"/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A1266" t="str">
            <v>270 FU - FUNDACIÓN MISERICORDIA DE DON BOSCO (OESTE)</v>
          </cell>
          <cell r="B1266"/>
          <cell r="C1266"/>
          <cell r="D1266"/>
          <cell r="E1266">
            <v>4</v>
          </cell>
          <cell r="F1266"/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A1267" t="str">
            <v>381-FU FUNDAMIDOM</v>
          </cell>
          <cell r="B1267"/>
          <cell r="C1267"/>
          <cell r="D1267"/>
          <cell r="E1267">
            <v>2</v>
          </cell>
          <cell r="F1267"/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A1268" t="str">
            <v>491-FU Fundación Aleluya</v>
          </cell>
          <cell r="B1268"/>
          <cell r="C1268"/>
          <cell r="D1268"/>
          <cell r="E1268"/>
          <cell r="F1268"/>
          <cell r="G1268">
            <v>4</v>
          </cell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A1269" t="str">
            <v>681 - FU FUNDACION NUEVA SOCIEDAD (NORTE)</v>
          </cell>
          <cell r="B1269"/>
          <cell r="C1269"/>
          <cell r="D1269"/>
          <cell r="E1269"/>
          <cell r="F1269"/>
          <cell r="G1269"/>
          <cell r="H1269"/>
          <cell r="I1269">
            <v>4</v>
          </cell>
          <cell r="J1269"/>
          <cell r="K1269"/>
          <cell r="L1269"/>
          <cell r="M1269"/>
          <cell r="N1269"/>
          <cell r="O1269"/>
        </row>
        <row r="1270">
          <cell r="A1270" t="str">
            <v>377-FU CENTRO CRISTIANO CASA DE DIOS PANAMA</v>
          </cell>
          <cell r="B1270"/>
          <cell r="C1270"/>
          <cell r="D1270"/>
          <cell r="E1270"/>
          <cell r="F1270"/>
          <cell r="G1270">
            <v>12</v>
          </cell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A1271" t="str">
            <v>656 - FU FUNDACION COCINA DEL REINO Y AMIGOS (CENTRO 1)</v>
          </cell>
          <cell r="B1271"/>
          <cell r="C1271">
            <v>4</v>
          </cell>
          <cell r="D1271"/>
          <cell r="E1271"/>
          <cell r="F1271"/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A1272" t="str">
            <v>595-FU CENTRO DE LA MUJER Y LA NIÑEZ</v>
          </cell>
          <cell r="B1272"/>
          <cell r="C1272">
            <v>4</v>
          </cell>
          <cell r="D1272"/>
          <cell r="E1272"/>
          <cell r="F1272"/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A1273" t="str">
            <v>360-IG IGLESIA CRISTIANA CASA DE REUNION</v>
          </cell>
          <cell r="B1273"/>
          <cell r="C1273"/>
          <cell r="D1273"/>
          <cell r="E1273"/>
          <cell r="F1273"/>
          <cell r="G1273">
            <v>8</v>
          </cell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A1274" t="str">
            <v>719 FU FUNDACION VIDA NUEVA EL SHADDAI</v>
          </cell>
          <cell r="B1274"/>
          <cell r="C1274"/>
          <cell r="D1274"/>
          <cell r="E1274"/>
          <cell r="F1274"/>
          <cell r="G1274">
            <v>2</v>
          </cell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A1275" t="str">
            <v>54 FU - FUNDACIÓN CASA HOGAR EL BUEN SAMARITANO</v>
          </cell>
          <cell r="B1275"/>
          <cell r="C1275"/>
          <cell r="D1275">
            <v>30</v>
          </cell>
          <cell r="E1275"/>
          <cell r="F1275"/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A1276" t="str">
            <v>684 - FU FUNDACION CASA DEL REY JESUS (CENTRO 2)</v>
          </cell>
          <cell r="B1276"/>
          <cell r="C1276">
            <v>19</v>
          </cell>
          <cell r="D1276"/>
          <cell r="E1276"/>
          <cell r="F1276"/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A1277" t="str">
            <v>723 ASOCIACION AQUI ESTOY</v>
          </cell>
          <cell r="B1277"/>
          <cell r="C1277"/>
          <cell r="D1277"/>
          <cell r="E1277">
            <v>6</v>
          </cell>
          <cell r="F1277"/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A1278" t="str">
            <v>229 PA - PARROQUIA SAN CRISTOBAL DE CHEPO</v>
          </cell>
          <cell r="B1278"/>
          <cell r="C1278"/>
          <cell r="D1278">
            <v>6</v>
          </cell>
          <cell r="E1278"/>
          <cell r="F1278"/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A1279" t="str">
            <v>166 FU - FUNDACION CURAME</v>
          </cell>
          <cell r="B1279"/>
          <cell r="C1279">
            <v>4</v>
          </cell>
          <cell r="D1279"/>
          <cell r="E1279"/>
          <cell r="F1279"/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A1280" t="str">
            <v>390-FU FUNDACION CRISTIANA FAMILIAR EL TALLER DEL MAESTRO (CENTRO1)</v>
          </cell>
          <cell r="B1280"/>
          <cell r="C1280">
            <v>6</v>
          </cell>
          <cell r="D1280"/>
          <cell r="E1280"/>
          <cell r="F1280"/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A1281" t="str">
            <v>737- ASOCIACION CRISTIANA EBEN-EZER (ESTE)</v>
          </cell>
          <cell r="B1281"/>
          <cell r="C1281"/>
          <cell r="D1281">
            <v>4</v>
          </cell>
          <cell r="E1281"/>
          <cell r="F1281"/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A1282" t="str">
            <v>733-IG LA ORACION FUERTE AL ESPIRITU SANTO</v>
          </cell>
          <cell r="B1282"/>
          <cell r="C1282">
            <v>4</v>
          </cell>
          <cell r="D1282"/>
          <cell r="E1282"/>
          <cell r="F1282"/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A1283" t="str">
            <v>745-FU CASA DE MISERICORDIA</v>
          </cell>
          <cell r="B1283"/>
          <cell r="C1283">
            <v>2</v>
          </cell>
          <cell r="D1283"/>
          <cell r="E1283"/>
          <cell r="F1283"/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A1284" t="str">
            <v>748-IG MINISTERIO JESUCRISTO ES EL PAN DE VIDA</v>
          </cell>
          <cell r="B1284"/>
          <cell r="C1284"/>
          <cell r="D1284"/>
          <cell r="E1284"/>
          <cell r="F1284"/>
          <cell r="G1284"/>
          <cell r="H1284"/>
          <cell r="I1284">
            <v>2</v>
          </cell>
          <cell r="J1284"/>
          <cell r="K1284"/>
          <cell r="L1284"/>
          <cell r="M1284"/>
          <cell r="N1284"/>
          <cell r="O1284"/>
        </row>
        <row r="1285">
          <cell r="A1285" t="str">
            <v>741-IG BUNKER DE ESPERANZA</v>
          </cell>
          <cell r="B1285"/>
          <cell r="C1285"/>
          <cell r="D1285">
            <v>6</v>
          </cell>
          <cell r="E1285"/>
          <cell r="F1285"/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A1286" t="str">
            <v>760-FU AYUDAME A VIVIR</v>
          </cell>
          <cell r="B1286"/>
          <cell r="C1286"/>
          <cell r="D1286"/>
          <cell r="E1286"/>
          <cell r="F1286"/>
          <cell r="G1286"/>
          <cell r="H1286"/>
          <cell r="I1286">
            <v>4</v>
          </cell>
          <cell r="J1286"/>
          <cell r="K1286"/>
          <cell r="L1286"/>
          <cell r="M1286"/>
          <cell r="N1286"/>
          <cell r="O1286"/>
        </row>
        <row r="1287">
          <cell r="A1287" t="str">
            <v>759-FU SOLO ES CUESTION DE FE</v>
          </cell>
          <cell r="B1287"/>
          <cell r="C1287"/>
          <cell r="D1287">
            <v>2</v>
          </cell>
          <cell r="E1287"/>
          <cell r="F1287"/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A1288" t="str">
            <v>275 IG CONCILIO GENERAL DE LAS ASAMBLEAS DE DIOS DE PANAMÁ</v>
          </cell>
          <cell r="B1288"/>
          <cell r="C1288">
            <v>6</v>
          </cell>
          <cell r="D1288"/>
          <cell r="E1288"/>
          <cell r="F1288"/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A1289" t="str">
            <v>758-FU RESTAURANDO EL PRIMER AMOR</v>
          </cell>
          <cell r="B1289"/>
          <cell r="C1289"/>
          <cell r="D1289"/>
          <cell r="E1289"/>
          <cell r="F1289"/>
          <cell r="G1289"/>
          <cell r="H1289"/>
          <cell r="I1289">
            <v>4</v>
          </cell>
          <cell r="J1289"/>
          <cell r="K1289"/>
          <cell r="L1289"/>
          <cell r="M1289"/>
          <cell r="N1289"/>
          <cell r="O1289"/>
        </row>
        <row r="1290">
          <cell r="A1290" t="str">
            <v>201 OR - MISIONERAS MADRE LAURA</v>
          </cell>
          <cell r="B1290"/>
          <cell r="C1290">
            <v>2</v>
          </cell>
          <cell r="D1290"/>
          <cell r="E1290"/>
          <cell r="F1290"/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A1291" t="str">
            <v>785-FU FUNDACION GOTAS DE ESPERANZA</v>
          </cell>
          <cell r="B1291"/>
          <cell r="C1291"/>
          <cell r="D1291"/>
          <cell r="E1291">
            <v>6</v>
          </cell>
          <cell r="F1291"/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A1292" t="str">
            <v>394-IG IGLESIA ESCUADRONES DEL EJERCITO DE DIOS (CENTRO2)</v>
          </cell>
          <cell r="B1292"/>
          <cell r="C1292">
            <v>20</v>
          </cell>
          <cell r="D1292"/>
          <cell r="E1292"/>
          <cell r="F1292"/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A1293" t="str">
            <v>789-FU Fundación Rescate de Alimentos</v>
          </cell>
          <cell r="B1293"/>
          <cell r="C1293">
            <v>22</v>
          </cell>
          <cell r="D1293"/>
          <cell r="E1293"/>
          <cell r="F1293"/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A1294" t="str">
            <v>793-FU Fundación Príncipes de Jehová</v>
          </cell>
          <cell r="B1294"/>
          <cell r="C1294"/>
          <cell r="D1294"/>
          <cell r="E1294"/>
          <cell r="F1294"/>
          <cell r="G1294"/>
          <cell r="H1294"/>
          <cell r="I1294">
            <v>12</v>
          </cell>
          <cell r="J1294"/>
          <cell r="K1294"/>
          <cell r="L1294"/>
          <cell r="M1294"/>
          <cell r="N1294"/>
          <cell r="O1294"/>
        </row>
        <row r="1295">
          <cell r="A1295" t="str">
            <v>791-FU FUNDACION DIVINO NINO JESUS DE MI CORAZON</v>
          </cell>
          <cell r="B1295"/>
          <cell r="C1295"/>
          <cell r="D1295">
            <v>2</v>
          </cell>
          <cell r="E1295"/>
          <cell r="F1295"/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A1296" t="str">
            <v>598- IG IGLESIA GLORIA TRANSFORMADORA SHEKINAH</v>
          </cell>
          <cell r="B1296"/>
          <cell r="C1296"/>
          <cell r="D1296"/>
          <cell r="E1296">
            <v>2</v>
          </cell>
          <cell r="F1296"/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A1297" t="str">
            <v>3 IG - IGLESIA DEL NAZARENO</v>
          </cell>
          <cell r="B1297"/>
          <cell r="C1297"/>
          <cell r="D1297"/>
          <cell r="E1297">
            <v>2</v>
          </cell>
          <cell r="F1297"/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A1298" t="str">
            <v>804-IG Templo Misionero Eclesiastés</v>
          </cell>
          <cell r="B1298"/>
          <cell r="C1298"/>
          <cell r="D1298"/>
          <cell r="E1298"/>
          <cell r="F1298"/>
          <cell r="G1298"/>
          <cell r="H1298"/>
          <cell r="I1298">
            <v>2</v>
          </cell>
          <cell r="J1298"/>
          <cell r="K1298"/>
          <cell r="L1298"/>
          <cell r="M1298"/>
          <cell r="N1298"/>
          <cell r="O1298"/>
        </row>
        <row r="1299">
          <cell r="A1299" t="str">
            <v>661 - FU FUNDACION MAS INTEGRADOS (DARIEN)</v>
          </cell>
          <cell r="B1299"/>
          <cell r="C1299"/>
          <cell r="D1299"/>
          <cell r="E1299"/>
          <cell r="F1299">
            <v>14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A1300" t="str">
            <v>253 FU - FUNDACIÓN PARA EL BIENESTAR SOCIAL (CENTRO2)</v>
          </cell>
          <cell r="B1300"/>
          <cell r="C1300">
            <v>4</v>
          </cell>
          <cell r="D1300"/>
          <cell r="E1300"/>
          <cell r="F1300"/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A1301" t="str">
            <v>463-FU MINISTERIO BERAKHAH INTERNACIONAL COMEDOR OASIS DE ESPERANZA (ESTE)</v>
          </cell>
          <cell r="B1301"/>
          <cell r="C1301"/>
          <cell r="D1301">
            <v>4</v>
          </cell>
          <cell r="E1301"/>
          <cell r="F1301"/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A1302" t="str">
            <v>650 - IG ASOCIACION CRISTIANA EBEN - EZER #27 (ESTE)</v>
          </cell>
          <cell r="B1302"/>
          <cell r="C1302"/>
          <cell r="D1302">
            <v>8</v>
          </cell>
          <cell r="E1302"/>
          <cell r="F1302"/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A1303" t="str">
            <v>375-FU Ministerio a Dios sea la Gloria</v>
          </cell>
          <cell r="B1303"/>
          <cell r="C1303">
            <v>8</v>
          </cell>
          <cell r="D1303"/>
          <cell r="E1303"/>
          <cell r="F1303"/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A1304" t="str">
            <v>802-IG IGLESIA INTERNACIONAL DEL EVANGELIO CUADRANGULAR DE PANAMÁ</v>
          </cell>
          <cell r="B1304"/>
          <cell r="C1304">
            <v>4</v>
          </cell>
          <cell r="D1304"/>
          <cell r="E1304"/>
          <cell r="F1304"/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A1305" t="str">
            <v>786-FU ACADEMIA DE FUTBOL ROMAN TORRES</v>
          </cell>
          <cell r="B1305"/>
          <cell r="C1305">
            <v>6</v>
          </cell>
          <cell r="D1305"/>
          <cell r="E1305"/>
          <cell r="F1305"/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A1306" t="str">
            <v>734-FU MINISTERIO DE SALVACION EL CAMINO DE DIOS</v>
          </cell>
          <cell r="B1306"/>
          <cell r="C1306"/>
          <cell r="D1306"/>
          <cell r="E1306"/>
          <cell r="F1306"/>
          <cell r="G1306"/>
          <cell r="H1306"/>
          <cell r="I1306">
            <v>4</v>
          </cell>
          <cell r="J1306"/>
          <cell r="K1306"/>
          <cell r="L1306"/>
          <cell r="M1306"/>
          <cell r="N1306"/>
          <cell r="O1306"/>
        </row>
        <row r="1307">
          <cell r="A1307" t="str">
            <v>392-FU Fundacion Jerusalen Trono de Jehova III</v>
          </cell>
          <cell r="B1307"/>
          <cell r="C1307"/>
          <cell r="D1307"/>
          <cell r="E1307">
            <v>2</v>
          </cell>
          <cell r="F1307"/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A1308" t="str">
            <v>641 - IG IGLESIA EVANGELICA QUIRIAT SALEM (ESTE)</v>
          </cell>
          <cell r="B1308"/>
          <cell r="C1308"/>
          <cell r="D1308">
            <v>2</v>
          </cell>
          <cell r="E1308"/>
          <cell r="F1308"/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A1309" t="str">
            <v>471-FU FUNDACION BUSCANDO UNA OPORTUNIDAD</v>
          </cell>
          <cell r="B1309"/>
          <cell r="C1309"/>
          <cell r="D1309"/>
          <cell r="E1309">
            <v>2</v>
          </cell>
          <cell r="F1309"/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A1310" t="str">
            <v>5 AS - ASOCIACIÓN DAME UNA OPORTUNIDAD</v>
          </cell>
          <cell r="B1310"/>
          <cell r="C1310">
            <v>6</v>
          </cell>
          <cell r="D1310"/>
          <cell r="E1310"/>
          <cell r="F1310"/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A1311" t="str">
            <v>827-FU Fundación Transformemos mi comunidad</v>
          </cell>
          <cell r="B1311"/>
          <cell r="C1311"/>
          <cell r="D1311"/>
          <cell r="E1311">
            <v>4</v>
          </cell>
          <cell r="F1311"/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A1312" t="str">
            <v>SALVA - MAR,</v>
          </cell>
          <cell r="B1312"/>
          <cell r="C1312">
            <v>120</v>
          </cell>
          <cell r="D1312">
            <v>304</v>
          </cell>
          <cell r="E1312">
            <v>104</v>
          </cell>
          <cell r="F1312"/>
          <cell r="G1312">
            <v>8</v>
          </cell>
          <cell r="H1312">
            <v>96</v>
          </cell>
          <cell r="I1312">
            <v>24</v>
          </cell>
          <cell r="J1312">
            <v>153</v>
          </cell>
          <cell r="K1312">
            <v>65</v>
          </cell>
          <cell r="L1312">
            <v>15</v>
          </cell>
          <cell r="M1312">
            <v>70</v>
          </cell>
          <cell r="N1312"/>
          <cell r="O1312">
            <v>8</v>
          </cell>
        </row>
        <row r="1313">
          <cell r="A1313" t="str">
            <v>479-IG IGLESIA NUEVA ESPERANZA</v>
          </cell>
          <cell r="B1313"/>
          <cell r="C1313"/>
          <cell r="D1313">
            <v>8</v>
          </cell>
          <cell r="E1313"/>
          <cell r="F1313"/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A1314" t="str">
            <v>178 IG - TEMPLO ZURIEL EL REFUGIO</v>
          </cell>
          <cell r="B1314"/>
          <cell r="C1314"/>
          <cell r="D1314"/>
          <cell r="E1314"/>
          <cell r="F1314"/>
          <cell r="G1314">
            <v>8</v>
          </cell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A1315" t="str">
            <v>636- FU JAH - LIVE (JAHL) - COLON</v>
          </cell>
          <cell r="B1315"/>
          <cell r="C1315"/>
          <cell r="D1315"/>
          <cell r="E1315"/>
          <cell r="F1315"/>
          <cell r="G1315"/>
          <cell r="H1315">
            <v>88</v>
          </cell>
          <cell r="I1315"/>
          <cell r="J1315"/>
          <cell r="K1315"/>
          <cell r="L1315"/>
          <cell r="M1315"/>
          <cell r="N1315"/>
          <cell r="O1315"/>
        </row>
        <row r="1316">
          <cell r="A1316" t="str">
            <v>365-IG COMEDOR HEFZIBA</v>
          </cell>
          <cell r="B1316"/>
          <cell r="C1316"/>
          <cell r="D1316"/>
          <cell r="E1316"/>
          <cell r="F1316"/>
          <cell r="G1316"/>
          <cell r="H1316"/>
          <cell r="I1316">
            <v>16</v>
          </cell>
          <cell r="J1316"/>
          <cell r="K1316"/>
          <cell r="L1316"/>
          <cell r="M1316"/>
          <cell r="N1316"/>
          <cell r="O1316"/>
        </row>
        <row r="1317">
          <cell r="A1317" t="str">
            <v>635 TEMPLO ADULAM</v>
          </cell>
          <cell r="B1317"/>
          <cell r="C1317"/>
          <cell r="D1317"/>
          <cell r="E1317">
            <v>16</v>
          </cell>
          <cell r="F1317"/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A1318" t="str">
            <v>687 - FU FUNDACION ARCA DE JESUS</v>
          </cell>
          <cell r="B1318"/>
          <cell r="C1318"/>
          <cell r="D1318"/>
          <cell r="E1318">
            <v>24</v>
          </cell>
          <cell r="F1318"/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A1319" t="str">
            <v>187 IG - IGLESIA DE DIOS DE LA PROFECÍA</v>
          </cell>
          <cell r="B1319"/>
          <cell r="C1319"/>
          <cell r="D1319">
            <v>40</v>
          </cell>
          <cell r="E1319"/>
          <cell r="F1319"/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A1320" t="str">
            <v>111 FU - FUNDACIÓN NUESTRA SEÑORA DEL CAMINO</v>
          </cell>
          <cell r="B1320"/>
          <cell r="C1320"/>
          <cell r="D1320"/>
          <cell r="E1320"/>
          <cell r="F1320"/>
          <cell r="G1320"/>
          <cell r="H1320"/>
          <cell r="I1320"/>
          <cell r="J1320">
            <v>66</v>
          </cell>
          <cell r="K1320"/>
          <cell r="L1320"/>
          <cell r="M1320"/>
          <cell r="N1320"/>
          <cell r="O1320"/>
        </row>
        <row r="1321">
          <cell r="A1321" t="str">
            <v>695 - FU MINISTERIO BERAKHAH INTERNACIONAL 24 DIC</v>
          </cell>
          <cell r="B1321"/>
          <cell r="C1321"/>
          <cell r="D1321">
            <v>8</v>
          </cell>
          <cell r="E1321"/>
          <cell r="F1321"/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A1322" t="str">
            <v>366-FU CENTRO MISIONERO EL SHADAI (ESTE)</v>
          </cell>
          <cell r="B1322"/>
          <cell r="C1322"/>
          <cell r="D1322">
            <v>24</v>
          </cell>
          <cell r="E1322"/>
          <cell r="F1322"/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A1323" t="str">
            <v>498-FU COMEDOR NIÑOS DE BENDICION</v>
          </cell>
          <cell r="B1323"/>
          <cell r="C1323"/>
          <cell r="D1323"/>
          <cell r="E1323">
            <v>8</v>
          </cell>
          <cell r="F1323"/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A1324" t="str">
            <v>288 IG MINISTERIO EVANGELISTICO DE SANACION Y RESTAURACION, SENALES, MILAGROS Y MARAVILLAS (ESTE)</v>
          </cell>
          <cell r="B1324"/>
          <cell r="C1324"/>
          <cell r="D1324">
            <v>16</v>
          </cell>
          <cell r="E1324"/>
          <cell r="F1324"/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A1325" t="str">
            <v>197 FU FUNDACION SOCIAL CULTURAL Y AMBIENTAL DE VERACRUZ (OESTE)</v>
          </cell>
          <cell r="B1325"/>
          <cell r="C1325"/>
          <cell r="D1325"/>
          <cell r="E1325">
            <v>8</v>
          </cell>
          <cell r="F1325"/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A1326" t="str">
            <v>51 PA - PARROQUIA SAN PIO DE PIETRELCINA (ESTE)</v>
          </cell>
          <cell r="B1326"/>
          <cell r="C1326"/>
          <cell r="D1326">
            <v>16</v>
          </cell>
          <cell r="E1326"/>
          <cell r="F1326"/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A1327" t="str">
            <v>487-FU FUNDACION CASA AVE MARIA</v>
          </cell>
          <cell r="B1327"/>
          <cell r="C1327"/>
          <cell r="D1327"/>
          <cell r="E1327">
            <v>32</v>
          </cell>
          <cell r="F1327"/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A1328" t="str">
            <v>2 PA - PARROQUIA SAN JUAN MARIA VIANNEY (NORTE)</v>
          </cell>
          <cell r="B1328"/>
          <cell r="C1328"/>
          <cell r="D1328"/>
          <cell r="E1328"/>
          <cell r="F1328"/>
          <cell r="G1328"/>
          <cell r="H1328"/>
          <cell r="I1328">
            <v>8</v>
          </cell>
          <cell r="J1328"/>
          <cell r="K1328"/>
          <cell r="L1328"/>
          <cell r="M1328"/>
          <cell r="N1328"/>
          <cell r="O1328"/>
        </row>
        <row r="1329">
          <cell r="A1329" t="str">
            <v>379-FU Fundacion Ministerio Apostolico Manantial de Vida</v>
          </cell>
          <cell r="B1329"/>
          <cell r="C1329"/>
          <cell r="D1329"/>
          <cell r="E1329"/>
          <cell r="F1329"/>
          <cell r="G1329"/>
          <cell r="H1329">
            <v>8</v>
          </cell>
          <cell r="I1329"/>
          <cell r="J1329"/>
          <cell r="K1329"/>
          <cell r="L1329"/>
          <cell r="M1329"/>
          <cell r="N1329"/>
          <cell r="O1329"/>
        </row>
        <row r="1330">
          <cell r="A1330" t="str">
            <v>644 - IG TEMPLO SENDA DE VIDA (CHIRIQUÍ)</v>
          </cell>
          <cell r="B1330"/>
          <cell r="C1330"/>
          <cell r="D1330"/>
          <cell r="E1330"/>
          <cell r="F1330"/>
          <cell r="G1330"/>
          <cell r="H1330"/>
          <cell r="I1330"/>
          <cell r="J1330">
            <v>16</v>
          </cell>
          <cell r="K1330"/>
          <cell r="L1330"/>
          <cell r="M1330"/>
          <cell r="N1330"/>
          <cell r="O1330"/>
        </row>
        <row r="1331">
          <cell r="A1331" t="str">
            <v>387-AS Asociacion ODSSAR-OBC</v>
          </cell>
          <cell r="B1331"/>
          <cell r="C1331"/>
          <cell r="D1331">
            <v>8</v>
          </cell>
          <cell r="E1331"/>
          <cell r="F1331"/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A1332" t="str">
            <v>300 ED - BENEFICIARIOS</v>
          </cell>
          <cell r="B1332"/>
          <cell r="C1332"/>
          <cell r="D1332">
            <v>40</v>
          </cell>
          <cell r="E1332"/>
          <cell r="F1332"/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A1333" t="str">
            <v>630-IG MIN.INTL.DE CRISTO PAZ DE DIOS</v>
          </cell>
          <cell r="B1333"/>
          <cell r="C1333">
            <v>40</v>
          </cell>
          <cell r="D1333"/>
          <cell r="E1333"/>
          <cell r="F1333"/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A1334" t="str">
            <v>397-FU FUNDACION SHALOM PANAMA</v>
          </cell>
          <cell r="B1334"/>
          <cell r="C1334"/>
          <cell r="D1334"/>
          <cell r="E1334">
            <v>8</v>
          </cell>
          <cell r="F1334"/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A1335" t="str">
            <v>450-FU MINISTERIO DE RESTAURACION EFESIOS 4 (ESTE)</v>
          </cell>
          <cell r="B1335"/>
          <cell r="C1335"/>
          <cell r="D1335">
            <v>8</v>
          </cell>
          <cell r="E1335"/>
          <cell r="F1335"/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A1336" t="str">
            <v>202 FU - FUNDACIÓN HOGAR SAN JOSÉ (ESTE)</v>
          </cell>
          <cell r="B1336"/>
          <cell r="C1336"/>
          <cell r="D1336">
            <v>16</v>
          </cell>
          <cell r="E1336"/>
          <cell r="F1336"/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A1337" t="str">
            <v>417-AS CLUB DE LEONES DE PEDREGAL (ESTE)</v>
          </cell>
          <cell r="B1337"/>
          <cell r="C1337"/>
          <cell r="D1337">
            <v>16</v>
          </cell>
          <cell r="E1337"/>
          <cell r="F1337"/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A1338" t="str">
            <v>144 OR - HERMANAS DE SAN JOSÉ DE LA APARICIÓN (RETIRA EN EL BANCO)</v>
          </cell>
          <cell r="B1338"/>
          <cell r="C1338"/>
          <cell r="D1338">
            <v>32</v>
          </cell>
          <cell r="E1338"/>
          <cell r="F1338"/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A1339" t="str">
            <v>94 OR - HOGAR SAN FRANCISCO DE ASÍS</v>
          </cell>
          <cell r="B1339"/>
          <cell r="C1339"/>
          <cell r="D1339"/>
          <cell r="E1339"/>
          <cell r="F1339"/>
          <cell r="G1339"/>
          <cell r="H1339"/>
          <cell r="I1339"/>
          <cell r="J1339">
            <v>71</v>
          </cell>
          <cell r="K1339"/>
          <cell r="L1339"/>
          <cell r="M1339"/>
          <cell r="N1339"/>
          <cell r="O1339"/>
        </row>
        <row r="1340">
          <cell r="A1340" t="str">
            <v>656 - FU FUNDACION COCINA DEL REINO Y AMIGOS (CENTRO 1)</v>
          </cell>
          <cell r="B1340"/>
          <cell r="C1340">
            <v>8</v>
          </cell>
          <cell r="D1340"/>
          <cell r="E1340"/>
          <cell r="F1340"/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A1341" t="str">
            <v>364-IG COMEDOR SHEKINA</v>
          </cell>
          <cell r="B1341"/>
          <cell r="C1341"/>
          <cell r="D1341"/>
          <cell r="E1341"/>
          <cell r="F1341"/>
          <cell r="G1341"/>
          <cell r="H1341"/>
          <cell r="I1341"/>
          <cell r="J1341"/>
          <cell r="K1341">
            <v>30</v>
          </cell>
          <cell r="L1341"/>
          <cell r="M1341"/>
          <cell r="N1341"/>
          <cell r="O1341"/>
        </row>
        <row r="1342">
          <cell r="A1342" t="str">
            <v>54 FU - FUNDACIÓN CASA HOGAR EL BUEN SAMARITANO</v>
          </cell>
          <cell r="B1342"/>
          <cell r="C1342"/>
          <cell r="D1342">
            <v>40</v>
          </cell>
          <cell r="E1342"/>
          <cell r="F1342"/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A1343" t="str">
            <v>710 - AS CLUB DE LEONES DE SONA</v>
          </cell>
          <cell r="B1343"/>
          <cell r="C1343"/>
          <cell r="D1343"/>
          <cell r="E1343"/>
          <cell r="F1343"/>
          <cell r="G1343"/>
          <cell r="H1343"/>
          <cell r="I1343"/>
          <cell r="J1343"/>
          <cell r="K1343"/>
          <cell r="L1343"/>
          <cell r="M1343">
            <v>20</v>
          </cell>
          <cell r="N1343"/>
          <cell r="O1343"/>
        </row>
        <row r="1344">
          <cell r="A1344" t="str">
            <v>684 - FU FUNDACION CASA DEL REY JESUS (CENTRO 2)</v>
          </cell>
          <cell r="B1344"/>
          <cell r="C1344">
            <v>40</v>
          </cell>
          <cell r="D1344"/>
          <cell r="E1344"/>
          <cell r="F1344"/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A1345" t="str">
            <v>737- ASOCIACION CRISTIANA EBEN-EZER (ESTE)</v>
          </cell>
          <cell r="B1345"/>
          <cell r="C1345"/>
          <cell r="D1345">
            <v>8</v>
          </cell>
          <cell r="E1345"/>
          <cell r="F1345"/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A1346" t="str">
            <v>738- IG MINISTERIO DIOS CON NOSOTROS EMANUEL</v>
          </cell>
          <cell r="B1346"/>
          <cell r="C1346"/>
          <cell r="D1346">
            <v>8</v>
          </cell>
          <cell r="E1346"/>
          <cell r="F1346"/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A1347" t="str">
            <v>750-IG MTSI Santiago</v>
          </cell>
          <cell r="B1347"/>
          <cell r="C1347"/>
          <cell r="D1347"/>
          <cell r="E1347"/>
          <cell r="F1347"/>
          <cell r="G1347"/>
          <cell r="H1347"/>
          <cell r="I1347"/>
          <cell r="J1347"/>
          <cell r="K1347"/>
          <cell r="L1347"/>
          <cell r="M1347">
            <v>30</v>
          </cell>
          <cell r="N1347"/>
          <cell r="O1347"/>
        </row>
        <row r="1348">
          <cell r="A1348" t="str">
            <v>613-FU FUNDACION INMARE</v>
          </cell>
          <cell r="B1348"/>
          <cell r="C1348"/>
          <cell r="D1348"/>
          <cell r="E1348"/>
          <cell r="F1348"/>
          <cell r="G1348"/>
          <cell r="H1348"/>
          <cell r="I1348"/>
          <cell r="J1348"/>
          <cell r="K1348">
            <v>15</v>
          </cell>
          <cell r="L1348"/>
          <cell r="M1348"/>
          <cell r="N1348"/>
          <cell r="O1348"/>
        </row>
        <row r="1349">
          <cell r="A1349" t="str">
            <v>766-IG MINISTERIO BET-EL</v>
          </cell>
          <cell r="B1349"/>
          <cell r="C1349"/>
          <cell r="D1349"/>
          <cell r="E1349"/>
          <cell r="F1349"/>
          <cell r="G1349"/>
          <cell r="H1349"/>
          <cell r="I1349"/>
          <cell r="J1349"/>
          <cell r="K1349"/>
          <cell r="L1349"/>
          <cell r="M1349"/>
          <cell r="N1349"/>
          <cell r="O1349">
            <v>8</v>
          </cell>
        </row>
        <row r="1350">
          <cell r="A1350" t="str">
            <v>240 PA - PARROQUIA SAN JOSÉ - PESE</v>
          </cell>
          <cell r="B1350"/>
          <cell r="C1350"/>
          <cell r="D1350"/>
          <cell r="E1350"/>
          <cell r="F1350"/>
          <cell r="G1350"/>
          <cell r="H1350"/>
          <cell r="I1350"/>
          <cell r="J1350"/>
          <cell r="K1350"/>
          <cell r="L1350">
            <v>15</v>
          </cell>
          <cell r="M1350"/>
          <cell r="N1350"/>
          <cell r="O1350"/>
        </row>
        <row r="1351">
          <cell r="A1351" t="str">
            <v>253 FU - FUNDACIÓN PARA EL BIENESTAR SOCIAL (CENTRO2)</v>
          </cell>
          <cell r="B1351"/>
          <cell r="C1351">
            <v>16</v>
          </cell>
          <cell r="D1351"/>
          <cell r="E1351"/>
          <cell r="F1351"/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A1352" t="str">
            <v>375-FU Ministerio a Dios sea la Gloria</v>
          </cell>
          <cell r="B1352"/>
          <cell r="C1352">
            <v>8</v>
          </cell>
          <cell r="D1352"/>
          <cell r="E1352"/>
          <cell r="F1352"/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A1353" t="str">
            <v>802-IG IGLESIA INTERNACIONAL DEL EVANGELIO CUADRANGULAR DE PANAMÁ</v>
          </cell>
          <cell r="B1353"/>
          <cell r="C1353">
            <v>8</v>
          </cell>
          <cell r="D1353"/>
          <cell r="E1353"/>
          <cell r="F1353"/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A1354" t="str">
            <v>392-FU Fundacion Jerusalen Trono de Jehova III</v>
          </cell>
          <cell r="B1354"/>
          <cell r="C1354"/>
          <cell r="D1354"/>
          <cell r="E1354">
            <v>8</v>
          </cell>
          <cell r="F1354"/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A1355" t="str">
            <v>641 - IG IGLESIA EVANGELICA QUIRIAT SALEM (ESTE)</v>
          </cell>
          <cell r="B1355"/>
          <cell r="C1355"/>
          <cell r="D1355">
            <v>8</v>
          </cell>
          <cell r="E1355"/>
          <cell r="F1355"/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A1356" t="str">
            <v>813-IG Comedor Centro De Esperanza Elohim</v>
          </cell>
          <cell r="B1356"/>
          <cell r="C1356"/>
          <cell r="D1356"/>
          <cell r="E1356"/>
          <cell r="F1356"/>
          <cell r="G1356"/>
          <cell r="H1356"/>
          <cell r="I1356"/>
          <cell r="J1356"/>
          <cell r="K1356">
            <v>15</v>
          </cell>
          <cell r="L1356"/>
          <cell r="M1356"/>
          <cell r="N1356"/>
          <cell r="O1356"/>
        </row>
        <row r="1357">
          <cell r="A1357" t="str">
            <v>770-IG CENTRO CRISTIANO NUEVA VIDA</v>
          </cell>
          <cell r="B1357"/>
          <cell r="C1357"/>
          <cell r="D1357"/>
          <cell r="E1357"/>
          <cell r="F1357"/>
          <cell r="G1357"/>
          <cell r="H1357"/>
          <cell r="I1357"/>
          <cell r="J1357"/>
          <cell r="K1357">
            <v>5</v>
          </cell>
          <cell r="L1357"/>
          <cell r="M1357"/>
          <cell r="N1357"/>
          <cell r="O1357"/>
        </row>
        <row r="1358">
          <cell r="A1358" t="str">
            <v>728-FU ANCEC SANTIAGO</v>
          </cell>
          <cell r="B1358"/>
          <cell r="C1358"/>
          <cell r="D1358"/>
          <cell r="E1358"/>
          <cell r="F1358"/>
          <cell r="G1358"/>
          <cell r="H1358"/>
          <cell r="I1358"/>
          <cell r="J1358"/>
          <cell r="K1358"/>
          <cell r="L1358"/>
          <cell r="M1358">
            <v>20</v>
          </cell>
          <cell r="N1358"/>
          <cell r="O1358"/>
        </row>
        <row r="1359">
          <cell r="A1359" t="str">
            <v>245-FU MINISTERIO BERAKHAH INTERNACIONAL CUENTA PRINCIPAL</v>
          </cell>
          <cell r="B1359"/>
          <cell r="C1359"/>
          <cell r="D1359">
            <v>8</v>
          </cell>
          <cell r="E1359"/>
          <cell r="F1359"/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A1360" t="str">
            <v>IMPORTADORA FRUTA INTERNACIONAL PANAMÁ, S.A.</v>
          </cell>
          <cell r="B1360"/>
          <cell r="C1360">
            <v>632</v>
          </cell>
          <cell r="D1360">
            <v>1292</v>
          </cell>
          <cell r="E1360">
            <v>380</v>
          </cell>
          <cell r="F1360"/>
          <cell r="G1360"/>
          <cell r="H1360">
            <v>520</v>
          </cell>
          <cell r="I1360">
            <v>240</v>
          </cell>
          <cell r="J1360">
            <v>40</v>
          </cell>
          <cell r="K1360"/>
          <cell r="L1360"/>
          <cell r="M1360"/>
          <cell r="N1360"/>
          <cell r="O1360"/>
        </row>
        <row r="1361">
          <cell r="A1361" t="str">
            <v>493-FU Comedor Jesús es mi Pastor</v>
          </cell>
          <cell r="B1361"/>
          <cell r="C1361"/>
          <cell r="D1361">
            <v>20</v>
          </cell>
          <cell r="E1361"/>
          <cell r="F1361"/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A1362" t="str">
            <v>636- FU JAH - LIVE (JAHL) - COLON</v>
          </cell>
          <cell r="B1362"/>
          <cell r="C1362"/>
          <cell r="D1362"/>
          <cell r="E1362"/>
          <cell r="F1362"/>
          <cell r="G1362"/>
          <cell r="H1362">
            <v>360</v>
          </cell>
          <cell r="I1362"/>
          <cell r="J1362"/>
          <cell r="K1362"/>
          <cell r="L1362"/>
          <cell r="M1362"/>
          <cell r="N1362"/>
          <cell r="O1362"/>
        </row>
        <row r="1363">
          <cell r="A1363" t="str">
            <v>365-IG COMEDOR HEFZIBA</v>
          </cell>
          <cell r="B1363"/>
          <cell r="C1363"/>
          <cell r="D1363"/>
          <cell r="E1363"/>
          <cell r="F1363"/>
          <cell r="G1363"/>
          <cell r="H1363"/>
          <cell r="I1363">
            <v>140</v>
          </cell>
          <cell r="J1363"/>
          <cell r="K1363"/>
          <cell r="L1363"/>
          <cell r="M1363"/>
          <cell r="N1363"/>
          <cell r="O1363"/>
        </row>
        <row r="1364">
          <cell r="A1364" t="str">
            <v>635 TEMPLO ADULAM</v>
          </cell>
          <cell r="B1364"/>
          <cell r="C1364"/>
          <cell r="D1364"/>
          <cell r="E1364">
            <v>60</v>
          </cell>
          <cell r="F1364"/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A1365" t="str">
            <v>687 - FU FUNDACION ARCA DE JESUS</v>
          </cell>
          <cell r="B1365"/>
          <cell r="C1365"/>
          <cell r="D1365"/>
          <cell r="E1365">
            <v>80</v>
          </cell>
          <cell r="F1365"/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A1366" t="str">
            <v>218 ED - LOS PREFERIDOS DEL SEÑOR (CENTRO2)</v>
          </cell>
          <cell r="B1366"/>
          <cell r="C1366">
            <v>156</v>
          </cell>
          <cell r="D1366"/>
          <cell r="E1366"/>
          <cell r="F1366"/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A1367" t="str">
            <v>187 IG - IGLESIA DE DIOS DE LA PROFECÍA</v>
          </cell>
          <cell r="B1367"/>
          <cell r="C1367"/>
          <cell r="D1367">
            <v>120</v>
          </cell>
          <cell r="E1367"/>
          <cell r="F1367"/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A1368" t="str">
            <v>321-IG IGLESIA DIOS ES MI PROVEEDOR Y SUSTENTO</v>
          </cell>
          <cell r="B1368"/>
          <cell r="C1368"/>
          <cell r="D1368">
            <v>340</v>
          </cell>
          <cell r="E1368"/>
          <cell r="F1368"/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A1369" t="str">
            <v>695 - FU MINISTERIO BERAKHAH INTERNACIONAL 24 DIC</v>
          </cell>
          <cell r="B1369"/>
          <cell r="C1369"/>
          <cell r="D1369">
            <v>20</v>
          </cell>
          <cell r="E1369"/>
          <cell r="F1369"/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A1370" t="str">
            <v>366-FU CENTRO MISIONERO EL SHADAI (ESTE)</v>
          </cell>
          <cell r="B1370"/>
          <cell r="C1370"/>
          <cell r="D1370">
            <v>140</v>
          </cell>
          <cell r="E1370"/>
          <cell r="F1370"/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A1371" t="str">
            <v>498-FU COMEDOR NIÑOS DE BENDICION</v>
          </cell>
          <cell r="B1371"/>
          <cell r="C1371"/>
          <cell r="D1371"/>
          <cell r="E1371">
            <v>60</v>
          </cell>
          <cell r="F1371"/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A1372" t="str">
            <v>288 IG MINISTERIO EVANGELISTICO DE SANACION Y RESTAURACION, SENALES, MILAGROS Y MARAVILLAS (ESTE)</v>
          </cell>
          <cell r="B1372"/>
          <cell r="C1372"/>
          <cell r="D1372">
            <v>40</v>
          </cell>
          <cell r="E1372"/>
          <cell r="F1372"/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A1373" t="str">
            <v>197 FU FUNDACION SOCIAL CULTURAL Y AMBIENTAL DE VERACRUZ (OESTE)</v>
          </cell>
          <cell r="B1373"/>
          <cell r="C1373"/>
          <cell r="D1373"/>
          <cell r="E1373">
            <v>20</v>
          </cell>
          <cell r="F1373"/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A1374" t="str">
            <v>183 ED - BELÉN CASA DE PAN (ESTE)</v>
          </cell>
          <cell r="B1374"/>
          <cell r="C1374"/>
          <cell r="D1374">
            <v>20</v>
          </cell>
          <cell r="E1374"/>
          <cell r="F1374"/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A1375" t="str">
            <v>654 - IG M.I.A.F NUEVA JERUSALEN PANAMA (ESTE)</v>
          </cell>
          <cell r="B1375"/>
          <cell r="C1375"/>
          <cell r="D1375">
            <v>40</v>
          </cell>
          <cell r="E1375"/>
          <cell r="F1375"/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A1376" t="str">
            <v>487-FU FUNDACION CASA AVE MARIA</v>
          </cell>
          <cell r="B1376"/>
          <cell r="C1376"/>
          <cell r="D1376"/>
          <cell r="E1376">
            <v>140</v>
          </cell>
          <cell r="F1376"/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A1377" t="str">
            <v>259 IG - ALCANCE VICTORIA PANAMÁ</v>
          </cell>
          <cell r="B1377"/>
          <cell r="C1377">
            <v>20</v>
          </cell>
          <cell r="D1377"/>
          <cell r="E1377"/>
          <cell r="F1377"/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A1378" t="str">
            <v>668 - FU FUNDACION CRISTIANA LA FE EN MARCHA</v>
          </cell>
          <cell r="B1378"/>
          <cell r="C1378"/>
          <cell r="D1378"/>
          <cell r="E1378"/>
          <cell r="F1378"/>
          <cell r="G1378"/>
          <cell r="H1378"/>
          <cell r="I1378"/>
          <cell r="J1378">
            <v>40</v>
          </cell>
          <cell r="K1378"/>
          <cell r="L1378"/>
          <cell r="M1378"/>
          <cell r="N1378"/>
          <cell r="O1378"/>
        </row>
        <row r="1379">
          <cell r="A1379" t="str">
            <v>379-FU Fundacion Ministerio Apostolico Manantial de Vida</v>
          </cell>
          <cell r="B1379"/>
          <cell r="C1379"/>
          <cell r="D1379"/>
          <cell r="E1379"/>
          <cell r="F1379"/>
          <cell r="G1379"/>
          <cell r="H1379">
            <v>140</v>
          </cell>
          <cell r="I1379"/>
          <cell r="J1379"/>
          <cell r="K1379"/>
          <cell r="L1379"/>
          <cell r="M1379"/>
          <cell r="N1379"/>
          <cell r="O1379"/>
        </row>
        <row r="1380">
          <cell r="A1380" t="str">
            <v>630-IG MIN.INTL.DE CRISTO PAZ DE DIOS</v>
          </cell>
          <cell r="B1380"/>
          <cell r="C1380">
            <v>80</v>
          </cell>
          <cell r="D1380"/>
          <cell r="E1380"/>
          <cell r="F1380"/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A1381" t="str">
            <v>260 IG - IGLESIA MISIONERA DE RESTAURACIÓN</v>
          </cell>
          <cell r="B1381"/>
          <cell r="C1381"/>
          <cell r="D1381">
            <v>60</v>
          </cell>
          <cell r="E1381"/>
          <cell r="F1381"/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A1382" t="str">
            <v>709 - FU FUNRECRISTO</v>
          </cell>
          <cell r="B1382"/>
          <cell r="C1382"/>
          <cell r="D1382">
            <v>60</v>
          </cell>
          <cell r="E1382"/>
          <cell r="F1382"/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A1383" t="str">
            <v>235 FU - FUNDACION GRUPO ENVIADOS</v>
          </cell>
          <cell r="B1383"/>
          <cell r="C1383"/>
          <cell r="D1383">
            <v>20</v>
          </cell>
          <cell r="E1383"/>
          <cell r="F1383"/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A1384" t="str">
            <v>202 FU - FUNDACIÓN HOGAR SAN JOSÉ (ESTE)</v>
          </cell>
          <cell r="B1384"/>
          <cell r="C1384"/>
          <cell r="D1384">
            <v>120</v>
          </cell>
          <cell r="E1384"/>
          <cell r="F1384"/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A1385" t="str">
            <v>469-FU MINISTERIO CRISTIANO EL SHADAI</v>
          </cell>
          <cell r="B1385"/>
          <cell r="C1385"/>
          <cell r="D1385">
            <v>16</v>
          </cell>
          <cell r="E1385"/>
          <cell r="F1385"/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A1386" t="str">
            <v>597- IG MINISTERIO APOSTOLICO NEMUEL INTERNACIONAL</v>
          </cell>
          <cell r="B1386"/>
          <cell r="C1386"/>
          <cell r="D1386">
            <v>20</v>
          </cell>
          <cell r="E1386"/>
          <cell r="F1386"/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A1387" t="str">
            <v>417-AS CLUB DE LEONES DE PEDREGAL (ESTE)</v>
          </cell>
          <cell r="B1387"/>
          <cell r="C1387"/>
          <cell r="D1387">
            <v>60</v>
          </cell>
          <cell r="E1387"/>
          <cell r="F1387"/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A1388" t="str">
            <v>144 OR - HERMANAS DE SAN JOSÉ DE LA APARICIÓN (RETIRA EN EL BANCO)</v>
          </cell>
          <cell r="B1388"/>
          <cell r="C1388"/>
          <cell r="D1388">
            <v>40</v>
          </cell>
          <cell r="E1388"/>
          <cell r="F1388"/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A1389" t="str">
            <v>684 - FU FUNDACION CASA DEL REY JESUS (CENTRO 2)</v>
          </cell>
          <cell r="B1389"/>
          <cell r="C1389">
            <v>100</v>
          </cell>
          <cell r="D1389"/>
          <cell r="E1389"/>
          <cell r="F1389"/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A1390" t="str">
            <v>229 PA - PARROQUIA SAN CRISTOBAL DE CHEPO</v>
          </cell>
          <cell r="B1390"/>
          <cell r="C1390"/>
          <cell r="D1390">
            <v>40</v>
          </cell>
          <cell r="E1390"/>
          <cell r="F1390"/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A1391" t="str">
            <v>738- IG MINISTERIO DIOS CON NOSOTROS EMANUEL</v>
          </cell>
          <cell r="B1391"/>
          <cell r="C1391"/>
          <cell r="D1391">
            <v>56</v>
          </cell>
          <cell r="E1391"/>
          <cell r="F1391"/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A1392" t="str">
            <v>743- ED CLUB FAMILIA DEPORTIVA</v>
          </cell>
          <cell r="B1392"/>
          <cell r="C1392">
            <v>40</v>
          </cell>
          <cell r="D1392"/>
          <cell r="E1392"/>
          <cell r="F1392"/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A1393" t="str">
            <v>741-IG BUNKER DE ESPERANZA</v>
          </cell>
          <cell r="B1393"/>
          <cell r="C1393"/>
          <cell r="D1393">
            <v>20</v>
          </cell>
          <cell r="E1393"/>
          <cell r="F1393"/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A1394" t="str">
            <v>281-FU FUNDACIÓN CAMBIO CREATIVO</v>
          </cell>
          <cell r="B1394"/>
          <cell r="C1394"/>
          <cell r="D1394"/>
          <cell r="E1394"/>
          <cell r="F1394"/>
          <cell r="G1394"/>
          <cell r="H1394">
            <v>20</v>
          </cell>
          <cell r="I1394"/>
          <cell r="J1394"/>
          <cell r="K1394"/>
          <cell r="L1394"/>
          <cell r="M1394"/>
          <cell r="N1394"/>
          <cell r="O1394"/>
        </row>
        <row r="1395">
          <cell r="A1395" t="str">
            <v>394-IG IGLESIA ESCUADRONES DEL EJERCITO DE DIOS (CENTRO2)</v>
          </cell>
          <cell r="B1395"/>
          <cell r="C1395">
            <v>56</v>
          </cell>
          <cell r="D1395"/>
          <cell r="E1395"/>
          <cell r="F1395"/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A1396" t="str">
            <v>789-FU Fundación Rescate de Alimentos</v>
          </cell>
          <cell r="B1396"/>
          <cell r="C1396">
            <v>20</v>
          </cell>
          <cell r="D1396"/>
          <cell r="E1396"/>
          <cell r="F1396"/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A1397" t="str">
            <v>232 IG MINISTERIO TIEMPO DE COSECHA</v>
          </cell>
          <cell r="B1397"/>
          <cell r="C1397"/>
          <cell r="D1397"/>
          <cell r="E1397"/>
          <cell r="F1397"/>
          <cell r="G1397"/>
          <cell r="H1397"/>
          <cell r="I1397">
            <v>60</v>
          </cell>
          <cell r="J1397"/>
          <cell r="K1397"/>
          <cell r="L1397"/>
          <cell r="M1397"/>
          <cell r="N1397"/>
          <cell r="O1397"/>
        </row>
        <row r="1398">
          <cell r="A1398" t="str">
            <v>804-IG Templo Misionero Eclesiastés</v>
          </cell>
          <cell r="B1398"/>
          <cell r="C1398"/>
          <cell r="D1398"/>
          <cell r="E1398"/>
          <cell r="F1398"/>
          <cell r="G1398"/>
          <cell r="H1398"/>
          <cell r="I1398">
            <v>20</v>
          </cell>
          <cell r="J1398"/>
          <cell r="K1398"/>
          <cell r="L1398"/>
          <cell r="M1398"/>
          <cell r="N1398"/>
          <cell r="O1398"/>
        </row>
        <row r="1399">
          <cell r="A1399" t="str">
            <v>253 FU - FUNDACIÓN PARA EL BIENESTAR SOCIAL (CENTRO2)</v>
          </cell>
          <cell r="B1399"/>
          <cell r="C1399">
            <v>80</v>
          </cell>
          <cell r="D1399"/>
          <cell r="E1399"/>
          <cell r="F1399"/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A1400" t="str">
            <v>375-FU Ministerio a Dios sea la Gloria</v>
          </cell>
          <cell r="B1400"/>
          <cell r="C1400">
            <v>20</v>
          </cell>
          <cell r="D1400"/>
          <cell r="E1400"/>
          <cell r="F1400"/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A1401" t="str">
            <v>802-IG IGLESIA INTERNACIONAL DEL EVANGELIO CUADRANGULAR DE PANAMÁ</v>
          </cell>
          <cell r="B1401"/>
          <cell r="C1401">
            <v>60</v>
          </cell>
          <cell r="D1401"/>
          <cell r="E1401"/>
          <cell r="F1401"/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A1402" t="str">
            <v>734-FU MINISTERIO DE SALVACION EL CAMINO DE DIOS</v>
          </cell>
          <cell r="B1402"/>
          <cell r="C1402"/>
          <cell r="D1402"/>
          <cell r="E1402"/>
          <cell r="F1402"/>
          <cell r="G1402"/>
          <cell r="H1402"/>
          <cell r="I1402">
            <v>20</v>
          </cell>
          <cell r="J1402"/>
          <cell r="K1402"/>
          <cell r="L1402"/>
          <cell r="M1402"/>
          <cell r="N1402"/>
          <cell r="O1402"/>
        </row>
        <row r="1403">
          <cell r="A1403" t="str">
            <v>392-FU Fundacion Jerusalen Trono de Jehova III</v>
          </cell>
          <cell r="B1403"/>
          <cell r="C1403"/>
          <cell r="D1403"/>
          <cell r="E1403">
            <v>20</v>
          </cell>
          <cell r="F1403"/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A1404" t="str">
            <v>641 - IG IGLESIA EVANGELICA QUIRIAT SALEM (ESTE)</v>
          </cell>
          <cell r="B1404"/>
          <cell r="C1404"/>
          <cell r="D1404">
            <v>40</v>
          </cell>
          <cell r="E1404"/>
          <cell r="F1404"/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A1405" t="str">
            <v>MERCA PANAMA</v>
          </cell>
          <cell r="B1405">
            <v>452</v>
          </cell>
          <cell r="C1405">
            <v>3341</v>
          </cell>
          <cell r="D1405">
            <v>4440</v>
          </cell>
          <cell r="E1405">
            <v>1290</v>
          </cell>
          <cell r="F1405">
            <v>20</v>
          </cell>
          <cell r="G1405">
            <v>150</v>
          </cell>
          <cell r="H1405">
            <v>800</v>
          </cell>
          <cell r="I1405">
            <v>350</v>
          </cell>
          <cell r="J1405">
            <v>70</v>
          </cell>
          <cell r="K1405">
            <v>20</v>
          </cell>
          <cell r="L1405"/>
          <cell r="M1405"/>
          <cell r="N1405"/>
          <cell r="O1405"/>
        </row>
        <row r="1406">
          <cell r="A1406" t="str">
            <v>209 IG - TEMPLO MISIONERO CRISTO TE LLAMA</v>
          </cell>
          <cell r="B1406"/>
          <cell r="C1406"/>
          <cell r="D1406">
            <v>120</v>
          </cell>
          <cell r="E1406"/>
          <cell r="F1406"/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A1407" t="str">
            <v>178 IG - TEMPLO ZURIEL EL REFUGIO</v>
          </cell>
          <cell r="B1407"/>
          <cell r="C1407"/>
          <cell r="D1407"/>
          <cell r="E1407"/>
          <cell r="F1407"/>
          <cell r="G1407">
            <v>150</v>
          </cell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A1408" t="str">
            <v>207 IG - IGLESIA CENTRO DE VIDA CRISTIANA</v>
          </cell>
          <cell r="B1408"/>
          <cell r="C1408"/>
          <cell r="D1408">
            <v>120</v>
          </cell>
          <cell r="E1408"/>
          <cell r="F1408"/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A1409" t="str">
            <v>493-FU Comedor Jesús es mi Pastor</v>
          </cell>
          <cell r="B1409"/>
          <cell r="C1409"/>
          <cell r="D1409">
            <v>20</v>
          </cell>
          <cell r="E1409"/>
          <cell r="F1409"/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A1410" t="str">
            <v>636- FU JAH - LIVE (JAHL) - COLON</v>
          </cell>
          <cell r="B1410"/>
          <cell r="C1410"/>
          <cell r="D1410"/>
          <cell r="E1410"/>
          <cell r="F1410"/>
          <cell r="G1410"/>
          <cell r="H1410">
            <v>600</v>
          </cell>
          <cell r="I1410"/>
          <cell r="J1410"/>
          <cell r="K1410"/>
          <cell r="L1410"/>
          <cell r="M1410"/>
          <cell r="N1410"/>
          <cell r="O1410"/>
        </row>
        <row r="1411">
          <cell r="A1411" t="str">
            <v>365-IG COMEDOR HEFZIBA</v>
          </cell>
          <cell r="B1411"/>
          <cell r="C1411"/>
          <cell r="D1411"/>
          <cell r="E1411"/>
          <cell r="F1411"/>
          <cell r="G1411"/>
          <cell r="H1411"/>
          <cell r="I1411">
            <v>300</v>
          </cell>
          <cell r="J1411"/>
          <cell r="K1411"/>
          <cell r="L1411"/>
          <cell r="M1411"/>
          <cell r="N1411"/>
          <cell r="O1411"/>
        </row>
        <row r="1412">
          <cell r="A1412" t="str">
            <v>635 TEMPLO ADULAM</v>
          </cell>
          <cell r="B1412"/>
          <cell r="C1412"/>
          <cell r="D1412"/>
          <cell r="E1412">
            <v>250</v>
          </cell>
          <cell r="F1412"/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A1413" t="str">
            <v>470-FU IGLESIA MONTE SANTO</v>
          </cell>
          <cell r="B1413"/>
          <cell r="C1413"/>
          <cell r="D1413">
            <v>50</v>
          </cell>
          <cell r="E1413"/>
          <cell r="F1413"/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A1414" t="str">
            <v>687 - FU FUNDACION ARCA DE JESUS</v>
          </cell>
          <cell r="B1414"/>
          <cell r="C1414"/>
          <cell r="D1414"/>
          <cell r="E1414">
            <v>200</v>
          </cell>
          <cell r="F1414"/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A1415" t="str">
            <v>218 ED - LOS PREFERIDOS DEL SEÑOR (CENTRO2)</v>
          </cell>
          <cell r="B1415"/>
          <cell r="C1415">
            <v>590</v>
          </cell>
          <cell r="D1415"/>
          <cell r="E1415"/>
          <cell r="F1415"/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A1416" t="str">
            <v>187 IG - IGLESIA DE DIOS DE LA PROFECÍA</v>
          </cell>
          <cell r="B1416"/>
          <cell r="C1416"/>
          <cell r="D1416">
            <v>860</v>
          </cell>
          <cell r="E1416"/>
          <cell r="F1416"/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A1417" t="str">
            <v>321-IG IGLESIA DIOS ES MI PROVEEDOR Y SUSTENTO</v>
          </cell>
          <cell r="B1417"/>
          <cell r="C1417"/>
          <cell r="D1417">
            <v>440</v>
          </cell>
          <cell r="E1417"/>
          <cell r="F1417"/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A1418" t="str">
            <v>694 - FU MINISTERIO BERAKHAH INTERNACIONAL TOCUMEN #2</v>
          </cell>
          <cell r="B1418"/>
          <cell r="C1418"/>
          <cell r="D1418">
            <v>40</v>
          </cell>
          <cell r="E1418"/>
          <cell r="F1418"/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A1419" t="str">
            <v>695 - FU MINISTERIO BERAKHAH INTERNACIONAL 24 DIC</v>
          </cell>
          <cell r="B1419"/>
          <cell r="C1419"/>
          <cell r="D1419">
            <v>30</v>
          </cell>
          <cell r="E1419"/>
          <cell r="F1419"/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A1420" t="str">
            <v>366-FU CENTRO MISIONERO EL SHADAI (ESTE)</v>
          </cell>
          <cell r="B1420"/>
          <cell r="C1420"/>
          <cell r="D1420">
            <v>430</v>
          </cell>
          <cell r="E1420"/>
          <cell r="F1420"/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A1421" t="str">
            <v>498-FU COMEDOR NIÑOS DE BENDICION</v>
          </cell>
          <cell r="B1421"/>
          <cell r="C1421"/>
          <cell r="D1421"/>
          <cell r="E1421">
            <v>190</v>
          </cell>
          <cell r="F1421"/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A1422" t="str">
            <v>197 FU FUNDACION SOCIAL CULTURAL Y AMBIENTAL DE VERACRUZ (OESTE)</v>
          </cell>
          <cell r="B1422"/>
          <cell r="C1422"/>
          <cell r="D1422"/>
          <cell r="E1422">
            <v>220</v>
          </cell>
          <cell r="F1422"/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A1423" t="str">
            <v>183 ED - BELÉN CASA DE PAN (ESTE)</v>
          </cell>
          <cell r="B1423"/>
          <cell r="C1423"/>
          <cell r="D1423">
            <v>160</v>
          </cell>
          <cell r="E1423"/>
          <cell r="F1423"/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A1424" t="str">
            <v>431-IG IGLESIA ADVENTISTA DISTRITO 8</v>
          </cell>
          <cell r="B1424"/>
          <cell r="C1424"/>
          <cell r="D1424">
            <v>80</v>
          </cell>
          <cell r="E1424"/>
          <cell r="F1424"/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A1425" t="str">
            <v>368-FU MINISTERIO PACTO DE SANTIDAD</v>
          </cell>
          <cell r="B1425"/>
          <cell r="C1425">
            <v>20</v>
          </cell>
          <cell r="D1425"/>
          <cell r="E1425"/>
          <cell r="F1425"/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A1426" t="str">
            <v>487-FU FUNDACION CASA AVE MARIA</v>
          </cell>
          <cell r="B1426"/>
          <cell r="C1426"/>
          <cell r="D1426"/>
          <cell r="E1426">
            <v>130</v>
          </cell>
          <cell r="F1426"/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A1427" t="str">
            <v>222 ED - MISERICORDIAR</v>
          </cell>
          <cell r="B1427"/>
          <cell r="C1427"/>
          <cell r="D1427">
            <v>260</v>
          </cell>
          <cell r="E1427"/>
          <cell r="F1427"/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A1428" t="str">
            <v>668 - FU FUNDACION CRISTIANA LA FE EN MARCHA</v>
          </cell>
          <cell r="B1428"/>
          <cell r="C1428"/>
          <cell r="D1428"/>
          <cell r="E1428"/>
          <cell r="F1428"/>
          <cell r="G1428"/>
          <cell r="H1428"/>
          <cell r="I1428"/>
          <cell r="J1428">
            <v>50</v>
          </cell>
          <cell r="K1428"/>
          <cell r="L1428"/>
          <cell r="M1428"/>
          <cell r="N1428"/>
          <cell r="O1428"/>
        </row>
        <row r="1429">
          <cell r="A1429" t="str">
            <v>379-FU Fundacion Ministerio Apostolico Manantial de Vida</v>
          </cell>
          <cell r="B1429"/>
          <cell r="C1429"/>
          <cell r="D1429"/>
          <cell r="E1429"/>
          <cell r="F1429"/>
          <cell r="G1429"/>
          <cell r="H1429">
            <v>200</v>
          </cell>
          <cell r="I1429"/>
          <cell r="J1429"/>
          <cell r="K1429"/>
          <cell r="L1429"/>
          <cell r="M1429"/>
          <cell r="N1429"/>
          <cell r="O1429"/>
        </row>
        <row r="1430">
          <cell r="A1430" t="str">
            <v>300 ED - BENEFICIARIOS</v>
          </cell>
          <cell r="B1430"/>
          <cell r="C1430"/>
          <cell r="D1430">
            <v>20</v>
          </cell>
          <cell r="E1430"/>
          <cell r="F1430"/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A1431" t="str">
            <v>630-IG MIN.INTL.DE CRISTO PAZ DE DIOS</v>
          </cell>
          <cell r="B1431"/>
          <cell r="C1431">
            <v>570</v>
          </cell>
          <cell r="D1431"/>
          <cell r="E1431"/>
          <cell r="F1431"/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A1432" t="str">
            <v>260 IG - IGLESIA MISIONERA DE RESTAURACIÓN</v>
          </cell>
          <cell r="B1432"/>
          <cell r="C1432"/>
          <cell r="D1432">
            <v>50</v>
          </cell>
          <cell r="E1432"/>
          <cell r="F1432"/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A1433" t="str">
            <v>397-FU FUNDACION SHALOM PANAMA</v>
          </cell>
          <cell r="B1433"/>
          <cell r="C1433"/>
          <cell r="D1433"/>
          <cell r="E1433">
            <v>30</v>
          </cell>
          <cell r="F1433"/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A1434" t="str">
            <v>670 - FU FUNDACION MINISTERIIO CRISTIANO EL REINO DE DIOS (ESTE)</v>
          </cell>
          <cell r="B1434"/>
          <cell r="C1434"/>
          <cell r="D1434">
            <v>20</v>
          </cell>
          <cell r="E1434"/>
          <cell r="F1434"/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A1435" t="str">
            <v>450-FU MINISTERIO DE RESTAURACION EFESIOS 4 (ESTE)</v>
          </cell>
          <cell r="B1435"/>
          <cell r="C1435"/>
          <cell r="D1435">
            <v>120</v>
          </cell>
          <cell r="E1435"/>
          <cell r="F1435"/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A1436" t="str">
            <v>235 FU - FUNDACION GRUPO ENVIADOS</v>
          </cell>
          <cell r="B1436"/>
          <cell r="C1436"/>
          <cell r="D1436">
            <v>140</v>
          </cell>
          <cell r="E1436"/>
          <cell r="F1436"/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A1437" t="str">
            <v>202 FU - FUNDACIÓN HOGAR SAN JOSÉ (ESTE)</v>
          </cell>
          <cell r="B1437"/>
          <cell r="C1437"/>
          <cell r="D1437">
            <v>110</v>
          </cell>
          <cell r="E1437"/>
          <cell r="F1437"/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A1438" t="str">
            <v>116 AS - ASOCIACIÓN IGLESIA DE CRISTO ESTRELLA CRECIENTE</v>
          </cell>
          <cell r="B1438"/>
          <cell r="C1438"/>
          <cell r="D1438">
            <v>10</v>
          </cell>
          <cell r="E1438"/>
          <cell r="F1438"/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A1439" t="str">
            <v>469-FU MINISTERIO CRISTIANO EL SHADAI</v>
          </cell>
          <cell r="B1439"/>
          <cell r="C1439"/>
          <cell r="D1439">
            <v>50</v>
          </cell>
          <cell r="E1439"/>
          <cell r="F1439"/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A1440" t="str">
            <v>597- IG MINISTERIO APOSTOLICO NEMUEL INTERNACIONAL</v>
          </cell>
          <cell r="B1440"/>
          <cell r="C1440"/>
          <cell r="D1440">
            <v>50</v>
          </cell>
          <cell r="E1440"/>
          <cell r="F1440"/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A1441" t="str">
            <v>647 - IG CRISTO REY CAMBIANDO VIDAS (ESTE)</v>
          </cell>
          <cell r="B1441"/>
          <cell r="C1441"/>
          <cell r="D1441">
            <v>50</v>
          </cell>
          <cell r="E1441"/>
          <cell r="F1441"/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A1442" t="str">
            <v>417-AS CLUB DE LEONES DE PEDREGAL (ESTE)</v>
          </cell>
          <cell r="B1442"/>
          <cell r="C1442"/>
          <cell r="D1442">
            <v>140</v>
          </cell>
          <cell r="E1442"/>
          <cell r="F1442"/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A1443" t="str">
            <v>144 OR - HERMANAS DE SAN JOSÉ DE LA APARICIÓN (RETIRA EN EL BANCO)</v>
          </cell>
          <cell r="B1443"/>
          <cell r="C1443"/>
          <cell r="D1443">
            <v>360</v>
          </cell>
          <cell r="E1443"/>
          <cell r="F1443"/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A1444" t="str">
            <v>681 - FU FUNDACION NUEVA SOCIEDAD (NORTE)</v>
          </cell>
          <cell r="B1444"/>
          <cell r="C1444"/>
          <cell r="D1444"/>
          <cell r="E1444"/>
          <cell r="F1444"/>
          <cell r="G1444"/>
          <cell r="H1444"/>
          <cell r="I1444">
            <v>50</v>
          </cell>
          <cell r="J1444"/>
          <cell r="K1444"/>
          <cell r="L1444"/>
          <cell r="M1444"/>
          <cell r="N1444"/>
          <cell r="O1444"/>
        </row>
        <row r="1445">
          <cell r="A1445" t="str">
            <v>94 OR - HOGAR SAN FRANCISCO DE ASÍS</v>
          </cell>
          <cell r="B1445"/>
          <cell r="C1445"/>
          <cell r="D1445"/>
          <cell r="E1445"/>
          <cell r="F1445"/>
          <cell r="G1445"/>
          <cell r="H1445"/>
          <cell r="I1445"/>
          <cell r="J1445">
            <v>20</v>
          </cell>
          <cell r="K1445"/>
          <cell r="L1445"/>
          <cell r="M1445"/>
          <cell r="N1445"/>
          <cell r="O1445"/>
        </row>
        <row r="1446">
          <cell r="A1446" t="str">
            <v>622-NV BENEFICIARIOS NV</v>
          </cell>
          <cell r="B1446"/>
          <cell r="C1446">
            <v>20</v>
          </cell>
          <cell r="D1446"/>
          <cell r="E1446"/>
          <cell r="F1446"/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A1447" t="str">
            <v>Retiro de Merma</v>
          </cell>
          <cell r="B1447">
            <v>452</v>
          </cell>
          <cell r="C1447"/>
          <cell r="D1447"/>
          <cell r="E1447"/>
          <cell r="F1447"/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A1448" t="str">
            <v>656 - FU FUNDACION COCINA DEL REINO Y AMIGOS (CENTRO 1)</v>
          </cell>
          <cell r="B1448"/>
          <cell r="C1448">
            <v>200</v>
          </cell>
          <cell r="D1448"/>
          <cell r="E1448"/>
          <cell r="F1448"/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A1449" t="str">
            <v>672 - FU FUNDACION NUEVO PACTO POR LA NIÑEZ</v>
          </cell>
          <cell r="B1449"/>
          <cell r="C1449">
            <v>40</v>
          </cell>
          <cell r="D1449"/>
          <cell r="E1449"/>
          <cell r="F1449"/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A1450" t="str">
            <v>54 FU - FUNDACIÓN CASA HOGAR EL BUEN SAMARITANO</v>
          </cell>
          <cell r="B1450"/>
          <cell r="C1450"/>
          <cell r="D1450">
            <v>50</v>
          </cell>
          <cell r="E1450"/>
          <cell r="F1450"/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A1451" t="str">
            <v>684 - FU FUNDACION CASA DEL REY JESUS (CENTRO 2)</v>
          </cell>
          <cell r="B1451"/>
          <cell r="C1451">
            <v>520</v>
          </cell>
          <cell r="D1451"/>
          <cell r="E1451"/>
          <cell r="F1451"/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A1452" t="str">
            <v>229 PA - PARROQUIA SAN CRISTOBAL DE CHEPO</v>
          </cell>
          <cell r="B1452"/>
          <cell r="C1452"/>
          <cell r="D1452">
            <v>60</v>
          </cell>
          <cell r="E1452"/>
          <cell r="F1452"/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A1453" t="str">
            <v>166 FU - FUNDACION CURAME</v>
          </cell>
          <cell r="B1453"/>
          <cell r="C1453">
            <v>40</v>
          </cell>
          <cell r="D1453"/>
          <cell r="E1453"/>
          <cell r="F1453"/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A1454" t="str">
            <v>737- ASOCIACION CRISTIANA EBEN-EZER (ESTE)</v>
          </cell>
          <cell r="B1454"/>
          <cell r="C1454"/>
          <cell r="D1454">
            <v>150</v>
          </cell>
          <cell r="E1454"/>
          <cell r="F1454"/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A1455" t="str">
            <v>738- IG MINISTERIO DIOS CON NOSOTROS EMANUEL</v>
          </cell>
          <cell r="B1455"/>
          <cell r="C1455"/>
          <cell r="D1455">
            <v>40</v>
          </cell>
          <cell r="E1455"/>
          <cell r="F1455"/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A1456" t="str">
            <v>741-IG BUNKER DE ESPERANZA</v>
          </cell>
          <cell r="B1456"/>
          <cell r="C1456"/>
          <cell r="D1456">
            <v>40</v>
          </cell>
          <cell r="E1456"/>
          <cell r="F1456"/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A1457" t="str">
            <v>613-FU FUNDACION INMARE</v>
          </cell>
          <cell r="B1457"/>
          <cell r="C1457"/>
          <cell r="D1457"/>
          <cell r="E1457"/>
          <cell r="F1457"/>
          <cell r="G1457"/>
          <cell r="H1457"/>
          <cell r="I1457"/>
          <cell r="J1457"/>
          <cell r="K1457">
            <v>20</v>
          </cell>
          <cell r="L1457"/>
          <cell r="M1457"/>
          <cell r="N1457"/>
          <cell r="O1457"/>
        </row>
        <row r="1458">
          <cell r="A1458" t="str">
            <v>759-FU SOLO ES CUESTION DE FE</v>
          </cell>
          <cell r="B1458"/>
          <cell r="C1458"/>
          <cell r="D1458">
            <v>50</v>
          </cell>
          <cell r="E1458"/>
          <cell r="F1458"/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A1459" t="str">
            <v>275 IG CONCILIO GENERAL DE LAS ASAMBLEAS DE DIOS DE PANAMÁ</v>
          </cell>
          <cell r="B1459"/>
          <cell r="C1459">
            <v>50</v>
          </cell>
          <cell r="D1459"/>
          <cell r="E1459"/>
          <cell r="F1459"/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A1460" t="str">
            <v>201 OR - MISIONERAS MADRE LAURA</v>
          </cell>
          <cell r="B1460"/>
          <cell r="C1460">
            <v>90</v>
          </cell>
          <cell r="D1460"/>
          <cell r="E1460"/>
          <cell r="F1460"/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A1461" t="str">
            <v>394-IG IGLESIA ESCUADRONES DEL EJERCITO DE DIOS (CENTRO2)</v>
          </cell>
          <cell r="B1461"/>
          <cell r="C1461">
            <v>50</v>
          </cell>
          <cell r="D1461"/>
          <cell r="E1461"/>
          <cell r="F1461"/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A1462" t="str">
            <v>789-FU Fundación Rescate de Alimentos</v>
          </cell>
          <cell r="B1462"/>
          <cell r="C1462">
            <v>30</v>
          </cell>
          <cell r="D1462"/>
          <cell r="E1462"/>
          <cell r="F1462"/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A1463" t="str">
            <v>791-FU FUNDACION DIVINO NINO JESUS DE MI CORAZON</v>
          </cell>
          <cell r="B1463"/>
          <cell r="C1463"/>
          <cell r="D1463">
            <v>70</v>
          </cell>
          <cell r="E1463"/>
          <cell r="F1463"/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A1464" t="str">
            <v>598- IG IGLESIA GLORIA TRANSFORMADORA SHEKINAH</v>
          </cell>
          <cell r="B1464"/>
          <cell r="C1464"/>
          <cell r="D1464"/>
          <cell r="E1464">
            <v>50</v>
          </cell>
          <cell r="F1464"/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A1465" t="str">
            <v>3 IG - IGLESIA DEL NAZARENO</v>
          </cell>
          <cell r="B1465"/>
          <cell r="C1465"/>
          <cell r="D1465"/>
          <cell r="E1465">
            <v>50</v>
          </cell>
          <cell r="F1465"/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A1466" t="str">
            <v>20 FU - REMAR (CENTRO1)</v>
          </cell>
          <cell r="B1466"/>
          <cell r="C1466">
            <v>991</v>
          </cell>
          <cell r="D1466"/>
          <cell r="E1466"/>
          <cell r="F1466"/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A1467" t="str">
            <v>253 FU - FUNDACIÓN PARA EL BIENESTAR SOCIAL (CENTRO2)</v>
          </cell>
          <cell r="B1467"/>
          <cell r="C1467">
            <v>90</v>
          </cell>
          <cell r="D1467"/>
          <cell r="E1467"/>
          <cell r="F1467"/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A1468" t="str">
            <v>650 - IG ASOCIACION CRISTIANA EBEN - EZER #27 (ESTE)</v>
          </cell>
          <cell r="B1468"/>
          <cell r="C1468"/>
          <cell r="D1468">
            <v>100</v>
          </cell>
          <cell r="E1468"/>
          <cell r="F1468"/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A1469" t="str">
            <v>802-IG IGLESIA INTERNACIONAL DEL EVANGELIO CUADRANGULAR DE PANAMÁ</v>
          </cell>
          <cell r="B1469"/>
          <cell r="C1469">
            <v>40</v>
          </cell>
          <cell r="D1469"/>
          <cell r="E1469"/>
          <cell r="F1469"/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A1470" t="str">
            <v>814-IG Templo Morada Santa</v>
          </cell>
          <cell r="B1470"/>
          <cell r="C1470"/>
          <cell r="D1470"/>
          <cell r="E1470"/>
          <cell r="F1470">
            <v>20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A1471" t="str">
            <v>392-FU Fundacion Jerusalen Trono de Jehova III</v>
          </cell>
          <cell r="B1471"/>
          <cell r="C1471"/>
          <cell r="D1471"/>
          <cell r="E1471">
            <v>80</v>
          </cell>
          <cell r="F1471"/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A1472" t="str">
            <v>641 - IG IGLESIA EVANGELICA QUIRIAT SALEM (ESTE)</v>
          </cell>
          <cell r="B1472"/>
          <cell r="C1472"/>
          <cell r="D1472">
            <v>100</v>
          </cell>
          <cell r="E1472"/>
          <cell r="F1472"/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A1473" t="str">
            <v>471-FU FUNDACION BUSCANDO UNA OPORTUNIDAD</v>
          </cell>
          <cell r="B1473"/>
          <cell r="C1473"/>
          <cell r="D1473"/>
          <cell r="E1473">
            <v>70</v>
          </cell>
          <cell r="F1473"/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A1474" t="str">
            <v>245-FU MINISTERIO BERAKHAH INTERNACIONAL CUENTA PRINCIPAL</v>
          </cell>
          <cell r="B1474"/>
          <cell r="C1474"/>
          <cell r="D1474">
            <v>50</v>
          </cell>
          <cell r="E1474"/>
          <cell r="F1474"/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A1475" t="str">
            <v>827-FU Fundación Transformemos mi comunidad</v>
          </cell>
          <cell r="B1475"/>
          <cell r="C1475"/>
          <cell r="D1475"/>
          <cell r="E1475">
            <v>20</v>
          </cell>
          <cell r="F1475"/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A1476" t="str">
            <v>PROGRAMA KILOS DE ESPERANZA</v>
          </cell>
          <cell r="B1476"/>
          <cell r="C1476">
            <v>135.6</v>
          </cell>
          <cell r="D1476">
            <v>147.88</v>
          </cell>
          <cell r="E1476">
            <v>127.84</v>
          </cell>
          <cell r="F1476">
            <v>6</v>
          </cell>
          <cell r="G1476">
            <v>17</v>
          </cell>
          <cell r="H1476">
            <v>69</v>
          </cell>
          <cell r="I1476">
            <v>22</v>
          </cell>
          <cell r="J1476"/>
          <cell r="K1476"/>
          <cell r="L1476"/>
          <cell r="M1476"/>
          <cell r="N1476"/>
          <cell r="O1476"/>
        </row>
        <row r="1477">
          <cell r="A1477" t="str">
            <v>662-IG MINISTERIO EVANGELICO EL APOSENTO ALTO (CENTRO 1)</v>
          </cell>
          <cell r="B1477"/>
          <cell r="C1477">
            <v>3</v>
          </cell>
          <cell r="D1477"/>
          <cell r="E1477"/>
          <cell r="F1477"/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A1478" t="str">
            <v>298-FU - MINISTERIO FUENTE DE VIDA PARA EL PERDIDO</v>
          </cell>
          <cell r="B1478"/>
          <cell r="C1478"/>
          <cell r="D1478"/>
          <cell r="E1478"/>
          <cell r="F1478">
            <v>6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A1479" t="str">
            <v>479-IG IGLESIA NUEVA ESPERANZA</v>
          </cell>
          <cell r="B1479"/>
          <cell r="C1479"/>
          <cell r="D1479">
            <v>9.9600000000000009</v>
          </cell>
          <cell r="E1479"/>
          <cell r="F1479"/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A1480" t="str">
            <v>104 AS - ASOCIACIÓN HOGAR FELICIDAD</v>
          </cell>
          <cell r="B1480"/>
          <cell r="C1480"/>
          <cell r="D1480"/>
          <cell r="E1480">
            <v>26.84</v>
          </cell>
          <cell r="F1480"/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A1481" t="str">
            <v>175 AS - ASOCIACIÓN RESTAURANDO VIDAS</v>
          </cell>
          <cell r="B1481"/>
          <cell r="C1481"/>
          <cell r="D1481">
            <v>2</v>
          </cell>
          <cell r="E1481"/>
          <cell r="F1481"/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A1482" t="str">
            <v>178 IG - TEMPLO ZURIEL EL REFUGIO</v>
          </cell>
          <cell r="B1482"/>
          <cell r="C1482"/>
          <cell r="D1482"/>
          <cell r="E1482"/>
          <cell r="F1482"/>
          <cell r="G1482">
            <v>3</v>
          </cell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A1483" t="str">
            <v>493-FU Comedor Jesús es mi Pastor</v>
          </cell>
          <cell r="B1483"/>
          <cell r="C1483"/>
          <cell r="D1483">
            <v>8</v>
          </cell>
          <cell r="E1483"/>
          <cell r="F1483"/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A1484" t="str">
            <v>636- FU JAH - LIVE (JAHL) - COLON</v>
          </cell>
          <cell r="B1484"/>
          <cell r="C1484"/>
          <cell r="D1484"/>
          <cell r="E1484"/>
          <cell r="F1484"/>
          <cell r="G1484"/>
          <cell r="H1484">
            <v>63</v>
          </cell>
          <cell r="I1484"/>
          <cell r="J1484"/>
          <cell r="K1484"/>
          <cell r="L1484"/>
          <cell r="M1484"/>
          <cell r="N1484"/>
          <cell r="O1484"/>
        </row>
        <row r="1485">
          <cell r="A1485" t="str">
            <v>365-IG COMEDOR HEFZIBA</v>
          </cell>
          <cell r="B1485"/>
          <cell r="C1485"/>
          <cell r="D1485"/>
          <cell r="E1485"/>
          <cell r="F1485"/>
          <cell r="G1485"/>
          <cell r="H1485"/>
          <cell r="I1485">
            <v>3</v>
          </cell>
          <cell r="J1485"/>
          <cell r="K1485"/>
          <cell r="L1485"/>
          <cell r="M1485"/>
          <cell r="N1485"/>
          <cell r="O1485"/>
        </row>
        <row r="1486">
          <cell r="A1486" t="str">
            <v>407-IG ASOCIACION CRISTIANA INTERNACIONAL EBEN-EZER (OESTE)</v>
          </cell>
          <cell r="B1486"/>
          <cell r="C1486"/>
          <cell r="D1486"/>
          <cell r="E1486">
            <v>9</v>
          </cell>
          <cell r="F1486"/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A1487" t="str">
            <v>470-FU IGLESIA MONTE SANTO</v>
          </cell>
          <cell r="B1487"/>
          <cell r="C1487"/>
          <cell r="D1487">
            <v>9.9600000000000009</v>
          </cell>
          <cell r="E1487"/>
          <cell r="F1487"/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A1488" t="str">
            <v>687 - FU FUNDACION ARCA DE JESUS</v>
          </cell>
          <cell r="B1488"/>
          <cell r="C1488"/>
          <cell r="D1488"/>
          <cell r="E1488">
            <v>9</v>
          </cell>
          <cell r="F1488"/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A1489" t="str">
            <v>218 ED - LOS PREFERIDOS DEL SEÑOR (CENTRO2)</v>
          </cell>
          <cell r="B1489"/>
          <cell r="C1489">
            <v>48</v>
          </cell>
          <cell r="D1489"/>
          <cell r="E1489"/>
          <cell r="F1489"/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A1490" t="str">
            <v>187 IG - IGLESIA DE DIOS DE LA PROFECÍA</v>
          </cell>
          <cell r="B1490"/>
          <cell r="C1490"/>
          <cell r="D1490">
            <v>3</v>
          </cell>
          <cell r="E1490"/>
          <cell r="F1490"/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A1491" t="str">
            <v>321-IG IGLESIA DIOS ES MI PROVEEDOR Y SUSTENTO</v>
          </cell>
          <cell r="B1491"/>
          <cell r="C1491"/>
          <cell r="D1491">
            <v>3</v>
          </cell>
          <cell r="E1491"/>
          <cell r="F1491"/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A1492" t="str">
            <v>694 - FU MINISTERIO BERAKHAH INTERNACIONAL TOCUMEN #2</v>
          </cell>
          <cell r="B1492"/>
          <cell r="C1492"/>
          <cell r="D1492">
            <v>9</v>
          </cell>
          <cell r="E1492"/>
          <cell r="F1492"/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A1493" t="str">
            <v>695 - FU MINISTERIO BERAKHAH INTERNACIONAL 24 DIC</v>
          </cell>
          <cell r="B1493"/>
          <cell r="C1493"/>
          <cell r="D1493">
            <v>15</v>
          </cell>
          <cell r="E1493"/>
          <cell r="F1493"/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A1494" t="str">
            <v>498-FU COMEDOR NIÑOS DE BENDICION</v>
          </cell>
          <cell r="B1494"/>
          <cell r="C1494"/>
          <cell r="D1494"/>
          <cell r="E1494">
            <v>6</v>
          </cell>
          <cell r="F1494"/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A1495" t="str">
            <v>373-FU MINISTERIO INTERNACIONAL BOANERGES</v>
          </cell>
          <cell r="B1495"/>
          <cell r="C1495"/>
          <cell r="D1495"/>
          <cell r="E1495"/>
          <cell r="F1495"/>
          <cell r="G1495"/>
          <cell r="H1495"/>
          <cell r="I1495">
            <v>6</v>
          </cell>
          <cell r="J1495"/>
          <cell r="K1495"/>
          <cell r="L1495"/>
          <cell r="M1495"/>
          <cell r="N1495"/>
          <cell r="O1495"/>
        </row>
        <row r="1496">
          <cell r="A1496" t="str">
            <v>368-FU MINISTERIO PACTO DE SANTIDAD</v>
          </cell>
          <cell r="B1496"/>
          <cell r="C1496">
            <v>8</v>
          </cell>
          <cell r="D1496"/>
          <cell r="E1496"/>
          <cell r="F1496"/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A1497" t="str">
            <v>654 - IG M.I.A.F NUEVA JERUSALEN PANAMA (ESTE)</v>
          </cell>
          <cell r="B1497"/>
          <cell r="C1497"/>
          <cell r="D1497">
            <v>3</v>
          </cell>
          <cell r="E1497"/>
          <cell r="F1497"/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A1498" t="str">
            <v>487-FU FUNDACION CASA AVE MARIA</v>
          </cell>
          <cell r="B1498"/>
          <cell r="C1498"/>
          <cell r="D1498"/>
          <cell r="E1498">
            <v>52</v>
          </cell>
          <cell r="F1498"/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A1499" t="str">
            <v>2 PA - PARROQUIA SAN JUAN MARIA VIANNEY (NORTE)</v>
          </cell>
          <cell r="B1499"/>
          <cell r="C1499"/>
          <cell r="D1499"/>
          <cell r="E1499"/>
          <cell r="F1499"/>
          <cell r="G1499"/>
          <cell r="H1499"/>
          <cell r="I1499">
            <v>5</v>
          </cell>
          <cell r="J1499"/>
          <cell r="K1499"/>
          <cell r="L1499"/>
          <cell r="M1499"/>
          <cell r="N1499"/>
          <cell r="O1499"/>
        </row>
        <row r="1500">
          <cell r="A1500" t="str">
            <v>696 - FU MINISTERIO BERAKHAH INTERNACIONAL CHEPO #1</v>
          </cell>
          <cell r="B1500"/>
          <cell r="C1500"/>
          <cell r="D1500">
            <v>2</v>
          </cell>
          <cell r="E1500"/>
          <cell r="F1500"/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A1501" t="str">
            <v>222 ED - MISERICORDIAR</v>
          </cell>
          <cell r="B1501"/>
          <cell r="C1501"/>
          <cell r="D1501">
            <v>21</v>
          </cell>
          <cell r="E1501"/>
          <cell r="F1501"/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A1502" t="str">
            <v>259 IG - ALCANCE VICTORIA PANAMÁ</v>
          </cell>
          <cell r="B1502"/>
          <cell r="C1502">
            <v>3</v>
          </cell>
          <cell r="D1502"/>
          <cell r="E1502"/>
          <cell r="F1502"/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A1503" t="str">
            <v>379-FU Fundacion Ministerio Apostolico Manantial de Vida</v>
          </cell>
          <cell r="B1503"/>
          <cell r="C1503"/>
          <cell r="D1503"/>
          <cell r="E1503"/>
          <cell r="F1503"/>
          <cell r="G1503"/>
          <cell r="H1503">
            <v>3</v>
          </cell>
          <cell r="I1503"/>
          <cell r="J1503"/>
          <cell r="K1503"/>
          <cell r="L1503"/>
          <cell r="M1503"/>
          <cell r="N1503"/>
          <cell r="O1503"/>
        </row>
        <row r="1504">
          <cell r="A1504" t="str">
            <v>387-AS Asociacion ODSSAR-OBC</v>
          </cell>
          <cell r="B1504"/>
          <cell r="C1504"/>
          <cell r="D1504">
            <v>5</v>
          </cell>
          <cell r="E1504"/>
          <cell r="F1504"/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A1505" t="str">
            <v>630-IG MIN.INTL.DE CRISTO PAZ DE DIOS</v>
          </cell>
          <cell r="B1505"/>
          <cell r="C1505">
            <v>2</v>
          </cell>
          <cell r="D1505"/>
          <cell r="E1505"/>
          <cell r="F1505"/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A1506" t="str">
            <v>260 IG - IGLESIA MISIONERA DE RESTAURACIÓN</v>
          </cell>
          <cell r="B1506"/>
          <cell r="C1506"/>
          <cell r="D1506">
            <v>15</v>
          </cell>
          <cell r="E1506"/>
          <cell r="F1506"/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A1507" t="str">
            <v>397-FU FUNDACION SHALOM PANAMA</v>
          </cell>
          <cell r="B1507"/>
          <cell r="C1507"/>
          <cell r="D1507"/>
          <cell r="E1507">
            <v>3</v>
          </cell>
          <cell r="F1507"/>
          <cell r="G1507"/>
          <cell r="H1507"/>
          <cell r="I1507"/>
          <cell r="J1507"/>
          <cell r="K1507"/>
          <cell r="L1507"/>
          <cell r="M1507"/>
          <cell r="N1507"/>
          <cell r="O1507"/>
        </row>
        <row r="1508">
          <cell r="A1508" t="str">
            <v>195 ED - JUNTOS PODEMOS</v>
          </cell>
          <cell r="B1508"/>
          <cell r="C1508">
            <v>6</v>
          </cell>
          <cell r="D1508"/>
          <cell r="E1508"/>
          <cell r="F1508"/>
          <cell r="G1508"/>
          <cell r="H1508"/>
          <cell r="I1508"/>
          <cell r="J1508"/>
          <cell r="K1508"/>
          <cell r="L1508"/>
          <cell r="M1508"/>
          <cell r="N1508"/>
          <cell r="O1508"/>
        </row>
        <row r="1509">
          <cell r="A1509" t="str">
            <v>450-FU MINISTERIO DE RESTAURACION EFESIOS 4 (ESTE)</v>
          </cell>
          <cell r="B1509"/>
          <cell r="C1509"/>
          <cell r="D1509">
            <v>3</v>
          </cell>
          <cell r="E1509"/>
          <cell r="F1509"/>
          <cell r="G1509"/>
          <cell r="H1509"/>
          <cell r="I1509"/>
          <cell r="J1509"/>
          <cell r="K1509"/>
          <cell r="L1509"/>
          <cell r="M1509"/>
          <cell r="N1509"/>
          <cell r="O1509"/>
        </row>
        <row r="1510">
          <cell r="A1510" t="str">
            <v>380-ED COMEDOR COMUNITARIO CASA DEL ALFARERO</v>
          </cell>
          <cell r="B1510"/>
          <cell r="C1510"/>
          <cell r="D1510">
            <v>6</v>
          </cell>
          <cell r="E1510"/>
          <cell r="F1510"/>
          <cell r="G1510"/>
          <cell r="H1510"/>
          <cell r="I1510"/>
          <cell r="J1510"/>
          <cell r="K1510"/>
          <cell r="L1510"/>
          <cell r="M1510"/>
          <cell r="N1510"/>
          <cell r="O1510"/>
        </row>
        <row r="1511">
          <cell r="A1511" t="str">
            <v>597- IG MINISTERIO APOSTOLICO NEMUEL INTERNACIONAL</v>
          </cell>
          <cell r="B1511"/>
          <cell r="C1511"/>
          <cell r="D1511">
            <v>9</v>
          </cell>
          <cell r="E1511"/>
          <cell r="F1511"/>
          <cell r="G1511"/>
          <cell r="H1511"/>
          <cell r="I1511"/>
          <cell r="J1511"/>
          <cell r="K1511"/>
          <cell r="L1511"/>
          <cell r="M1511"/>
          <cell r="N1511"/>
          <cell r="O1511"/>
        </row>
        <row r="1512">
          <cell r="A1512" t="str">
            <v>339-AS ASOCIACION RESIDENCIA LISBETH</v>
          </cell>
          <cell r="B1512"/>
          <cell r="C1512"/>
          <cell r="D1512">
            <v>12.96</v>
          </cell>
          <cell r="E1512"/>
          <cell r="F1512"/>
          <cell r="G1512"/>
          <cell r="H1512"/>
          <cell r="I1512"/>
          <cell r="J1512"/>
          <cell r="K1512"/>
          <cell r="L1512"/>
          <cell r="M1512"/>
          <cell r="N1512"/>
          <cell r="O1512"/>
        </row>
        <row r="1513">
          <cell r="A1513" t="str">
            <v>381-FU FUNDAMIDOM</v>
          </cell>
          <cell r="B1513"/>
          <cell r="C1513"/>
          <cell r="D1513"/>
          <cell r="E1513">
            <v>14</v>
          </cell>
          <cell r="F1513"/>
          <cell r="G1513"/>
          <cell r="H1513"/>
          <cell r="I1513"/>
          <cell r="J1513"/>
          <cell r="K1513"/>
          <cell r="L1513"/>
          <cell r="M1513"/>
          <cell r="N1513"/>
          <cell r="O1513"/>
        </row>
        <row r="1514">
          <cell r="A1514" t="str">
            <v>377-FU CENTRO CRISTIANO CASA DE DIOS PANAMA</v>
          </cell>
          <cell r="B1514"/>
          <cell r="C1514"/>
          <cell r="D1514"/>
          <cell r="E1514"/>
          <cell r="F1514"/>
          <cell r="G1514">
            <v>3</v>
          </cell>
          <cell r="H1514"/>
          <cell r="I1514"/>
          <cell r="J1514"/>
          <cell r="K1514"/>
          <cell r="L1514"/>
          <cell r="M1514"/>
          <cell r="N1514"/>
          <cell r="O1514"/>
        </row>
        <row r="1515">
          <cell r="A1515" t="str">
            <v>595-FU CENTRO DE LA MUJER Y LA NIÑEZ</v>
          </cell>
          <cell r="B1515"/>
          <cell r="C1515">
            <v>6</v>
          </cell>
          <cell r="D1515"/>
          <cell r="E1515"/>
          <cell r="F1515"/>
          <cell r="G1515"/>
          <cell r="H1515"/>
          <cell r="I1515"/>
          <cell r="J1515"/>
          <cell r="K1515"/>
          <cell r="L1515"/>
          <cell r="M1515"/>
          <cell r="N1515"/>
          <cell r="O1515"/>
        </row>
        <row r="1516">
          <cell r="A1516" t="str">
            <v>360-IG IGLESIA CRISTIANA CASA DE REUNION</v>
          </cell>
          <cell r="B1516"/>
          <cell r="C1516"/>
          <cell r="D1516"/>
          <cell r="E1516"/>
          <cell r="F1516"/>
          <cell r="G1516">
            <v>8</v>
          </cell>
          <cell r="H1516"/>
          <cell r="I1516"/>
          <cell r="J1516"/>
          <cell r="K1516"/>
          <cell r="L1516"/>
          <cell r="M1516"/>
          <cell r="N1516"/>
          <cell r="O1516"/>
        </row>
        <row r="1517">
          <cell r="A1517" t="str">
            <v>719 FU FUNDACION VIDA NUEVA EL SHADDAI</v>
          </cell>
          <cell r="B1517"/>
          <cell r="C1517"/>
          <cell r="D1517"/>
          <cell r="E1517"/>
          <cell r="F1517"/>
          <cell r="G1517">
            <v>3</v>
          </cell>
          <cell r="H1517"/>
          <cell r="I1517"/>
          <cell r="J1517"/>
          <cell r="K1517"/>
          <cell r="L1517"/>
          <cell r="M1517"/>
          <cell r="N1517"/>
          <cell r="O1517"/>
        </row>
        <row r="1518">
          <cell r="A1518" t="str">
            <v>684 - FU FUNDACION CASA DEL REY JESUS (CENTRO 2)</v>
          </cell>
          <cell r="B1518"/>
          <cell r="C1518">
            <v>30.599999999999998</v>
          </cell>
          <cell r="D1518"/>
          <cell r="E1518"/>
          <cell r="F1518"/>
          <cell r="G1518"/>
          <cell r="H1518"/>
          <cell r="I1518"/>
          <cell r="J1518"/>
          <cell r="K1518"/>
          <cell r="L1518"/>
          <cell r="M1518"/>
          <cell r="N1518"/>
          <cell r="O1518"/>
        </row>
        <row r="1519">
          <cell r="A1519" t="str">
            <v>723 ASOCIACION AQUI ESTOY</v>
          </cell>
          <cell r="B1519"/>
          <cell r="C1519"/>
          <cell r="D1519"/>
          <cell r="E1519">
            <v>3</v>
          </cell>
          <cell r="F1519"/>
          <cell r="G1519"/>
          <cell r="H1519"/>
          <cell r="I1519"/>
          <cell r="J1519"/>
          <cell r="K1519"/>
          <cell r="L1519"/>
          <cell r="M1519"/>
          <cell r="N1519"/>
          <cell r="O1519"/>
        </row>
        <row r="1520">
          <cell r="A1520" t="str">
            <v>229 PA - PARROQUIA SAN CRISTOBAL DE CHEPO</v>
          </cell>
          <cell r="B1520"/>
          <cell r="C1520"/>
          <cell r="D1520">
            <v>8</v>
          </cell>
          <cell r="E1520"/>
          <cell r="F1520"/>
          <cell r="G1520"/>
          <cell r="H1520"/>
          <cell r="I1520"/>
          <cell r="J1520"/>
          <cell r="K1520"/>
          <cell r="L1520"/>
          <cell r="M1520"/>
          <cell r="N1520"/>
          <cell r="O1520"/>
        </row>
        <row r="1521">
          <cell r="A1521" t="str">
            <v>737- ASOCIACION CRISTIANA EBEN-EZER (ESTE)</v>
          </cell>
          <cell r="B1521"/>
          <cell r="C1521"/>
          <cell r="D1521">
            <v>3</v>
          </cell>
          <cell r="E1521"/>
          <cell r="F1521"/>
          <cell r="G1521"/>
          <cell r="H1521"/>
          <cell r="I1521"/>
          <cell r="J1521"/>
          <cell r="K1521"/>
          <cell r="L1521"/>
          <cell r="M1521"/>
          <cell r="N1521"/>
          <cell r="O1521"/>
        </row>
        <row r="1522">
          <cell r="A1522" t="str">
            <v>733-IG LA ORACION FUERTE AL ESPIRITU SANTO</v>
          </cell>
          <cell r="B1522"/>
          <cell r="C1522">
            <v>2</v>
          </cell>
          <cell r="D1522"/>
          <cell r="E1522"/>
          <cell r="F1522"/>
          <cell r="G1522"/>
          <cell r="H1522"/>
          <cell r="I1522"/>
          <cell r="J1522"/>
          <cell r="K1522"/>
          <cell r="L1522"/>
          <cell r="M1522"/>
          <cell r="N1522"/>
          <cell r="O1522"/>
        </row>
        <row r="1523">
          <cell r="A1523" t="str">
            <v>745-FU CASA DE MISERICORDIA</v>
          </cell>
          <cell r="B1523"/>
          <cell r="C1523">
            <v>6</v>
          </cell>
          <cell r="D1523"/>
          <cell r="E1523"/>
          <cell r="F1523"/>
          <cell r="G1523"/>
          <cell r="H1523"/>
          <cell r="I1523"/>
          <cell r="J1523"/>
          <cell r="K1523"/>
          <cell r="L1523"/>
          <cell r="M1523"/>
          <cell r="N1523"/>
          <cell r="O1523"/>
        </row>
        <row r="1524">
          <cell r="A1524" t="str">
            <v>275 IG CONCILIO GENERAL DE LAS ASAMBLEAS DE DIOS DE PANAMÁ</v>
          </cell>
          <cell r="B1524"/>
          <cell r="C1524">
            <v>6</v>
          </cell>
          <cell r="D1524"/>
          <cell r="E1524"/>
          <cell r="F1524"/>
          <cell r="G1524"/>
          <cell r="H1524"/>
          <cell r="I1524"/>
          <cell r="J1524"/>
          <cell r="K1524"/>
          <cell r="L1524"/>
          <cell r="M1524"/>
          <cell r="N1524"/>
          <cell r="O1524"/>
        </row>
        <row r="1525">
          <cell r="A1525" t="str">
            <v>785-FU FUNDACION GOTAS DE ESPERANZA</v>
          </cell>
          <cell r="B1525"/>
          <cell r="C1525"/>
          <cell r="D1525"/>
          <cell r="E1525">
            <v>2</v>
          </cell>
          <cell r="F1525"/>
          <cell r="G1525"/>
          <cell r="H1525"/>
          <cell r="I1525"/>
          <cell r="J1525"/>
          <cell r="K1525"/>
          <cell r="L1525"/>
          <cell r="M1525"/>
          <cell r="N1525"/>
          <cell r="O1525"/>
        </row>
        <row r="1526">
          <cell r="A1526" t="str">
            <v>394-IG IGLESIA ESCUADRONES DEL EJERCITO DE DIOS (CENTRO2)</v>
          </cell>
          <cell r="B1526"/>
          <cell r="C1526">
            <v>3</v>
          </cell>
          <cell r="D1526"/>
          <cell r="E1526"/>
          <cell r="F1526"/>
          <cell r="G1526"/>
          <cell r="H1526"/>
          <cell r="I1526"/>
          <cell r="J1526"/>
          <cell r="K1526"/>
          <cell r="L1526"/>
          <cell r="M1526"/>
          <cell r="N1526"/>
          <cell r="O1526"/>
        </row>
        <row r="1527">
          <cell r="A1527" t="str">
            <v>789-FU Fundación Rescate de Alimentos</v>
          </cell>
          <cell r="B1527"/>
          <cell r="C1527">
            <v>6</v>
          </cell>
          <cell r="D1527"/>
          <cell r="E1527"/>
          <cell r="F1527"/>
          <cell r="G1527"/>
          <cell r="H1527"/>
          <cell r="I1527"/>
          <cell r="J1527"/>
          <cell r="K1527"/>
          <cell r="L1527"/>
          <cell r="M1527"/>
          <cell r="N1527"/>
          <cell r="O1527"/>
        </row>
        <row r="1528">
          <cell r="A1528" t="str">
            <v>793-FU Fundación Príncipes de Jehová</v>
          </cell>
          <cell r="B1528"/>
          <cell r="C1528"/>
          <cell r="D1528"/>
          <cell r="E1528"/>
          <cell r="F1528"/>
          <cell r="G1528"/>
          <cell r="H1528"/>
          <cell r="I1528">
            <v>5</v>
          </cell>
          <cell r="J1528"/>
          <cell r="K1528"/>
          <cell r="L1528"/>
          <cell r="M1528"/>
          <cell r="N1528"/>
          <cell r="O1528"/>
        </row>
        <row r="1529">
          <cell r="A1529" t="str">
            <v>138 OR - HERMANAS FRANCISCANAS DE MARIA INMACULADALA</v>
          </cell>
          <cell r="B1529"/>
          <cell r="C1529"/>
          <cell r="D1529"/>
          <cell r="E1529"/>
          <cell r="F1529"/>
          <cell r="G1529"/>
          <cell r="H1529">
            <v>3</v>
          </cell>
          <cell r="I1529"/>
          <cell r="J1529"/>
          <cell r="K1529"/>
          <cell r="L1529"/>
          <cell r="M1529"/>
          <cell r="N1529"/>
          <cell r="O1529"/>
        </row>
        <row r="1530">
          <cell r="A1530" t="str">
            <v>3 IG - IGLESIA DEL NAZARENO</v>
          </cell>
          <cell r="B1530"/>
          <cell r="C1530"/>
          <cell r="D1530"/>
          <cell r="E1530">
            <v>3</v>
          </cell>
          <cell r="F1530"/>
          <cell r="G1530"/>
          <cell r="H1530"/>
          <cell r="I1530"/>
          <cell r="J1530"/>
          <cell r="K1530"/>
          <cell r="L1530"/>
          <cell r="M1530"/>
          <cell r="N1530"/>
          <cell r="O1530"/>
        </row>
        <row r="1531">
          <cell r="A1531" t="str">
            <v>232 IG MINISTERIO TIEMPO DE COSECHA</v>
          </cell>
          <cell r="B1531"/>
          <cell r="C1531"/>
          <cell r="D1531"/>
          <cell r="E1531"/>
          <cell r="F1531"/>
          <cell r="G1531"/>
          <cell r="H1531"/>
          <cell r="I1531">
            <v>3</v>
          </cell>
          <cell r="J1531"/>
          <cell r="K1531"/>
          <cell r="L1531"/>
          <cell r="M1531"/>
          <cell r="N1531"/>
          <cell r="O1531"/>
        </row>
        <row r="1532">
          <cell r="A1532" t="str">
            <v>253 FU - FUNDACIÓN PARA EL BIENESTAR SOCIAL (CENTRO2)</v>
          </cell>
          <cell r="B1532"/>
          <cell r="C1532">
            <v>3</v>
          </cell>
          <cell r="D1532"/>
          <cell r="E1532"/>
          <cell r="F1532"/>
          <cell r="G1532"/>
          <cell r="H1532"/>
          <cell r="I1532"/>
          <cell r="J1532"/>
          <cell r="K1532"/>
          <cell r="L1532"/>
          <cell r="M1532"/>
          <cell r="N1532"/>
          <cell r="O1532"/>
        </row>
        <row r="1533">
          <cell r="A1533" t="str">
            <v>375-FU Ministerio a Dios sea la Gloria</v>
          </cell>
          <cell r="B1533"/>
          <cell r="C1533">
            <v>3</v>
          </cell>
          <cell r="D1533"/>
          <cell r="E1533"/>
          <cell r="F1533"/>
          <cell r="G1533"/>
          <cell r="H1533"/>
          <cell r="I1533"/>
          <cell r="J1533"/>
          <cell r="K1533"/>
          <cell r="L1533"/>
          <cell r="M1533"/>
          <cell r="N1533"/>
          <cell r="O1533"/>
        </row>
        <row r="1534">
          <cell r="A1534" t="str">
            <v>CONGREGACION DE HERMANDAD KOL SHEARITH ISRAEL</v>
          </cell>
          <cell r="B1534"/>
          <cell r="C1534">
            <v>28</v>
          </cell>
          <cell r="D1534">
            <v>32</v>
          </cell>
          <cell r="E1534">
            <v>263</v>
          </cell>
          <cell r="F1534">
            <v>12</v>
          </cell>
          <cell r="G1534">
            <v>8</v>
          </cell>
          <cell r="H1534">
            <v>4</v>
          </cell>
          <cell r="I1534">
            <v>24</v>
          </cell>
          <cell r="J1534"/>
          <cell r="K1534"/>
          <cell r="L1534"/>
          <cell r="M1534"/>
          <cell r="N1534"/>
          <cell r="O1534"/>
        </row>
        <row r="1535">
          <cell r="A1535" t="str">
            <v>298-FU - MINISTERIO FUENTE DE VIDA PARA EL PERDIDO</v>
          </cell>
          <cell r="B1535"/>
          <cell r="C1535"/>
          <cell r="D1535"/>
          <cell r="E1535"/>
          <cell r="F1535">
            <v>12</v>
          </cell>
          <cell r="G1535"/>
          <cell r="H1535"/>
          <cell r="I1535"/>
          <cell r="J1535"/>
          <cell r="K1535"/>
          <cell r="L1535"/>
          <cell r="M1535"/>
          <cell r="N1535"/>
          <cell r="O1535"/>
        </row>
        <row r="1536">
          <cell r="A1536" t="str">
            <v>104 AS - ASOCIACIÓN HOGAR FELICIDAD</v>
          </cell>
          <cell r="B1536"/>
          <cell r="C1536"/>
          <cell r="D1536"/>
          <cell r="E1536">
            <v>12</v>
          </cell>
          <cell r="F1536"/>
          <cell r="G1536"/>
          <cell r="H1536"/>
          <cell r="I1536"/>
          <cell r="J1536"/>
          <cell r="K1536"/>
          <cell r="L1536"/>
          <cell r="M1536"/>
          <cell r="N1536"/>
          <cell r="O1536"/>
        </row>
        <row r="1537">
          <cell r="A1537" t="str">
            <v>693 - FU MINISTERIO BERAKHAH INTERNACIONAL TOCUMEN #1</v>
          </cell>
          <cell r="B1537"/>
          <cell r="C1537"/>
          <cell r="D1537">
            <v>8</v>
          </cell>
          <cell r="E1537"/>
          <cell r="F1537"/>
          <cell r="G1537"/>
          <cell r="H1537"/>
          <cell r="I1537"/>
          <cell r="J1537"/>
          <cell r="K1537"/>
          <cell r="L1537"/>
          <cell r="M1537"/>
          <cell r="N1537"/>
          <cell r="O1537"/>
        </row>
        <row r="1538">
          <cell r="A1538" t="str">
            <v>373-FU MINISTERIO INTERNACIONAL BOANERGES</v>
          </cell>
          <cell r="B1538"/>
          <cell r="C1538"/>
          <cell r="D1538"/>
          <cell r="E1538"/>
          <cell r="F1538"/>
          <cell r="G1538"/>
          <cell r="H1538"/>
          <cell r="I1538">
            <v>8</v>
          </cell>
          <cell r="J1538"/>
          <cell r="K1538"/>
          <cell r="L1538"/>
          <cell r="M1538"/>
          <cell r="N1538"/>
          <cell r="O1538"/>
        </row>
        <row r="1539">
          <cell r="A1539" t="str">
            <v>487-FU FUNDACION CASA AVE MARIA</v>
          </cell>
          <cell r="B1539"/>
          <cell r="C1539"/>
          <cell r="D1539"/>
          <cell r="E1539">
            <v>4</v>
          </cell>
          <cell r="F1539"/>
          <cell r="G1539"/>
          <cell r="H1539"/>
          <cell r="I1539"/>
          <cell r="J1539"/>
          <cell r="K1539"/>
          <cell r="L1539"/>
          <cell r="M1539"/>
          <cell r="N1539"/>
          <cell r="O1539"/>
        </row>
        <row r="1540">
          <cell r="A1540" t="str">
            <v>2 PA - PARROQUIA SAN JUAN MARIA VIANNEY (NORTE)</v>
          </cell>
          <cell r="B1540"/>
          <cell r="C1540"/>
          <cell r="D1540"/>
          <cell r="E1540"/>
          <cell r="F1540"/>
          <cell r="G1540"/>
          <cell r="H1540"/>
          <cell r="I1540">
            <v>16</v>
          </cell>
          <cell r="J1540"/>
          <cell r="K1540"/>
          <cell r="L1540"/>
          <cell r="M1540"/>
          <cell r="N1540"/>
          <cell r="O1540"/>
        </row>
        <row r="1541">
          <cell r="A1541" t="str">
            <v>259 IG - ALCANCE VICTORIA PANAMÁ</v>
          </cell>
          <cell r="B1541"/>
          <cell r="C1541">
            <v>8</v>
          </cell>
          <cell r="D1541"/>
          <cell r="E1541"/>
          <cell r="F1541"/>
          <cell r="G1541"/>
          <cell r="H1541"/>
          <cell r="I1541"/>
          <cell r="J1541"/>
          <cell r="K1541"/>
          <cell r="L1541"/>
          <cell r="M1541"/>
          <cell r="N1541"/>
          <cell r="O1541"/>
        </row>
        <row r="1542">
          <cell r="A1542" t="str">
            <v>379-FU Fundacion Ministerio Apostolico Manantial de Vida</v>
          </cell>
          <cell r="B1542"/>
          <cell r="C1542"/>
          <cell r="D1542"/>
          <cell r="E1542"/>
          <cell r="F1542"/>
          <cell r="G1542"/>
          <cell r="H1542">
            <v>4</v>
          </cell>
          <cell r="I1542"/>
          <cell r="J1542"/>
          <cell r="K1542"/>
          <cell r="L1542"/>
          <cell r="M1542"/>
          <cell r="N1542"/>
          <cell r="O1542"/>
        </row>
        <row r="1543">
          <cell r="A1543" t="str">
            <v>397-FU FUNDACION SHALOM PANAMA</v>
          </cell>
          <cell r="B1543"/>
          <cell r="C1543"/>
          <cell r="D1543"/>
          <cell r="E1543">
            <v>4</v>
          </cell>
          <cell r="F1543"/>
          <cell r="G1543"/>
          <cell r="H1543"/>
          <cell r="I1543"/>
          <cell r="J1543"/>
          <cell r="K1543"/>
          <cell r="L1543"/>
          <cell r="M1543"/>
          <cell r="N1543"/>
          <cell r="O1543"/>
        </row>
        <row r="1544">
          <cell r="A1544" t="str">
            <v>195 ED - JUNTOS PODEMOS</v>
          </cell>
          <cell r="B1544"/>
          <cell r="C1544">
            <v>4</v>
          </cell>
          <cell r="D1544"/>
          <cell r="E1544"/>
          <cell r="F1544"/>
          <cell r="G1544"/>
          <cell r="H1544"/>
          <cell r="I1544"/>
          <cell r="J1544"/>
          <cell r="K1544"/>
          <cell r="L1544"/>
          <cell r="M1544"/>
          <cell r="N1544"/>
          <cell r="O1544"/>
        </row>
        <row r="1545">
          <cell r="A1545" t="str">
            <v>597- IG MINISTERIO APOSTOLICO NEMUEL INTERNACIONAL</v>
          </cell>
          <cell r="B1545"/>
          <cell r="C1545"/>
          <cell r="D1545">
            <v>4</v>
          </cell>
          <cell r="E1545"/>
          <cell r="F1545"/>
          <cell r="G1545"/>
          <cell r="H1545"/>
          <cell r="I1545"/>
          <cell r="J1545"/>
          <cell r="K1545"/>
          <cell r="L1545"/>
          <cell r="M1545"/>
          <cell r="N1545"/>
          <cell r="O1545"/>
        </row>
        <row r="1546">
          <cell r="A1546" t="str">
            <v>339-AS ASOCIACION RESIDENCIA LISBETH</v>
          </cell>
          <cell r="B1546"/>
          <cell r="C1546"/>
          <cell r="D1546">
            <v>8</v>
          </cell>
          <cell r="E1546"/>
          <cell r="F1546"/>
          <cell r="G1546"/>
          <cell r="H1546"/>
          <cell r="I1546"/>
          <cell r="J1546"/>
          <cell r="K1546"/>
          <cell r="L1546"/>
          <cell r="M1546"/>
          <cell r="N1546"/>
          <cell r="O1546"/>
        </row>
        <row r="1547">
          <cell r="A1547" t="str">
            <v>144 OR - HERMANAS DE SAN JOSÉ DE LA APARICIÓN (RETIRA EN EL BANCO)</v>
          </cell>
          <cell r="B1547"/>
          <cell r="C1547"/>
          <cell r="D1547">
            <v>4</v>
          </cell>
          <cell r="E1547"/>
          <cell r="F1547"/>
          <cell r="G1547"/>
          <cell r="H1547"/>
          <cell r="I1547"/>
          <cell r="J1547"/>
          <cell r="K1547"/>
          <cell r="L1547"/>
          <cell r="M1547"/>
          <cell r="N1547"/>
          <cell r="O1547"/>
        </row>
        <row r="1548">
          <cell r="A1548" t="str">
            <v>270 FU - FUNDACIÓN MISERICORDIA DE DON BOSCO (OESTE)</v>
          </cell>
          <cell r="B1548"/>
          <cell r="C1548"/>
          <cell r="D1548"/>
          <cell r="E1548">
            <v>4</v>
          </cell>
          <cell r="F1548"/>
          <cell r="G1548"/>
          <cell r="H1548"/>
          <cell r="I1548"/>
          <cell r="J1548"/>
          <cell r="K1548"/>
          <cell r="L1548"/>
          <cell r="M1548"/>
          <cell r="N1548"/>
          <cell r="O1548"/>
        </row>
        <row r="1549">
          <cell r="A1549" t="str">
            <v>381-FU FUNDAMIDOM</v>
          </cell>
          <cell r="B1549"/>
          <cell r="C1549"/>
          <cell r="D1549"/>
          <cell r="E1549">
            <v>8</v>
          </cell>
          <cell r="F1549"/>
          <cell r="G1549"/>
          <cell r="H1549"/>
          <cell r="I1549"/>
          <cell r="J1549"/>
          <cell r="K1549"/>
          <cell r="L1549"/>
          <cell r="M1549"/>
          <cell r="N1549"/>
          <cell r="O1549"/>
        </row>
        <row r="1550">
          <cell r="A1550" t="str">
            <v>491-FU Fundación Aleluya</v>
          </cell>
          <cell r="B1550"/>
          <cell r="C1550"/>
          <cell r="D1550"/>
          <cell r="E1550"/>
          <cell r="F1550"/>
          <cell r="G1550">
            <v>4</v>
          </cell>
          <cell r="H1550"/>
          <cell r="I1550"/>
          <cell r="J1550"/>
          <cell r="K1550"/>
          <cell r="L1550"/>
          <cell r="M1550"/>
          <cell r="N1550"/>
          <cell r="O1550"/>
        </row>
        <row r="1551">
          <cell r="A1551" t="str">
            <v>642 - IG IGLESIA VIDA (CENTRO 1)</v>
          </cell>
          <cell r="B1551"/>
          <cell r="C1551">
            <v>4</v>
          </cell>
          <cell r="D1551"/>
          <cell r="E1551"/>
          <cell r="F1551"/>
          <cell r="G1551"/>
          <cell r="H1551"/>
          <cell r="I1551"/>
          <cell r="J1551"/>
          <cell r="K1551"/>
          <cell r="L1551"/>
          <cell r="M1551"/>
          <cell r="N1551"/>
          <cell r="O1551"/>
        </row>
        <row r="1552">
          <cell r="A1552" t="str">
            <v>360-IG IGLESIA CRISTIANA CASA DE REUNION</v>
          </cell>
          <cell r="B1552"/>
          <cell r="C1552"/>
          <cell r="D1552"/>
          <cell r="E1552"/>
          <cell r="F1552"/>
          <cell r="G1552">
            <v>4</v>
          </cell>
          <cell r="H1552"/>
          <cell r="I1552"/>
          <cell r="J1552"/>
          <cell r="K1552"/>
          <cell r="L1552"/>
          <cell r="M1552"/>
          <cell r="N1552"/>
          <cell r="O1552"/>
        </row>
        <row r="1553">
          <cell r="A1553" t="str">
            <v>723 ASOCIACION AQUI ESTOY</v>
          </cell>
          <cell r="B1553"/>
          <cell r="C1553"/>
          <cell r="D1553"/>
          <cell r="E1553">
            <v>4</v>
          </cell>
          <cell r="F1553"/>
          <cell r="G1553"/>
          <cell r="H1553"/>
          <cell r="I1553"/>
          <cell r="J1553"/>
          <cell r="K1553"/>
          <cell r="L1553"/>
          <cell r="M1553"/>
          <cell r="N1553"/>
          <cell r="O1553"/>
        </row>
        <row r="1554">
          <cell r="A1554" t="str">
            <v>229 PA - PARROQUIA SAN CRISTOBAL DE CHEPO</v>
          </cell>
          <cell r="B1554"/>
          <cell r="C1554"/>
          <cell r="D1554">
            <v>8</v>
          </cell>
          <cell r="E1554"/>
          <cell r="F1554"/>
          <cell r="G1554"/>
          <cell r="H1554"/>
          <cell r="I1554"/>
          <cell r="J1554"/>
          <cell r="K1554"/>
          <cell r="L1554"/>
          <cell r="M1554"/>
          <cell r="N1554"/>
          <cell r="O1554"/>
        </row>
        <row r="1555">
          <cell r="A1555" t="str">
            <v>745-FU CASA DE MISERICORDIA</v>
          </cell>
          <cell r="B1555"/>
          <cell r="C1555">
            <v>4</v>
          </cell>
          <cell r="D1555"/>
          <cell r="E1555"/>
          <cell r="F1555"/>
          <cell r="G1555"/>
          <cell r="H1555"/>
          <cell r="I1555"/>
          <cell r="J1555"/>
          <cell r="K1555"/>
          <cell r="L1555"/>
          <cell r="M1555"/>
          <cell r="N1555"/>
          <cell r="O1555"/>
        </row>
        <row r="1556">
          <cell r="A1556" t="str">
            <v>394-IG IGLESIA ESCUADRONES DEL EJERCITO DE DIOS (CENTRO2)</v>
          </cell>
          <cell r="B1556"/>
          <cell r="C1556">
            <v>8</v>
          </cell>
          <cell r="D1556"/>
          <cell r="E1556"/>
          <cell r="F1556"/>
          <cell r="G1556"/>
          <cell r="H1556"/>
          <cell r="I1556"/>
          <cell r="J1556"/>
          <cell r="K1556"/>
          <cell r="L1556"/>
          <cell r="M1556"/>
          <cell r="N1556"/>
          <cell r="O1556"/>
        </row>
        <row r="1557">
          <cell r="A1557" t="str">
            <v>488-FU FUNDACION EDUCATIVA SAN PEDRO NOLASCO</v>
          </cell>
          <cell r="B1557"/>
          <cell r="C1557"/>
          <cell r="D1557"/>
          <cell r="E1557">
            <v>227</v>
          </cell>
          <cell r="F1557"/>
          <cell r="G1557"/>
          <cell r="H1557"/>
          <cell r="I1557"/>
          <cell r="J1557"/>
          <cell r="K1557"/>
          <cell r="L1557"/>
          <cell r="M1557"/>
          <cell r="N1557"/>
          <cell r="O1557"/>
        </row>
        <row r="1558">
          <cell r="A1558" t="str">
            <v>CAMPAÑA NUTRIENDO VIDAS</v>
          </cell>
          <cell r="B1558">
            <v>506.99</v>
          </cell>
          <cell r="C1558">
            <v>3629.3599999999992</v>
          </cell>
          <cell r="D1558">
            <v>3584.0099999999993</v>
          </cell>
          <cell r="E1558">
            <v>6022.05</v>
          </cell>
          <cell r="F1558">
            <v>274.57000000000005</v>
          </cell>
          <cell r="G1558">
            <v>826.48</v>
          </cell>
          <cell r="H1558">
            <v>2506.3700000000003</v>
          </cell>
          <cell r="I1558">
            <v>3720.8000000000006</v>
          </cell>
          <cell r="J1558">
            <v>757.88</v>
          </cell>
          <cell r="K1558">
            <v>274.57000000000005</v>
          </cell>
          <cell r="L1558"/>
          <cell r="M1558">
            <v>17001.64</v>
          </cell>
          <cell r="N1558">
            <v>1434.48</v>
          </cell>
          <cell r="O1558"/>
        </row>
        <row r="1559">
          <cell r="A1559" t="str">
            <v>622-NV BENEFICIARIOS NV</v>
          </cell>
          <cell r="B1559"/>
          <cell r="C1559">
            <v>1169.2599999999986</v>
          </cell>
          <cell r="D1559"/>
          <cell r="E1559"/>
          <cell r="F1559"/>
          <cell r="G1559"/>
          <cell r="H1559"/>
          <cell r="I1559"/>
          <cell r="J1559"/>
          <cell r="K1559"/>
          <cell r="L1559"/>
          <cell r="M1559"/>
          <cell r="N1559"/>
          <cell r="O1559"/>
        </row>
        <row r="1560">
          <cell r="A1560" t="str">
            <v>550-NV HOGAR BOLIVAR</v>
          </cell>
          <cell r="B1560"/>
          <cell r="C1560">
            <v>66.5</v>
          </cell>
          <cell r="D1560"/>
          <cell r="E1560"/>
          <cell r="F1560"/>
          <cell r="G1560"/>
          <cell r="H1560"/>
          <cell r="I1560"/>
          <cell r="J1560"/>
          <cell r="K1560"/>
          <cell r="L1560"/>
          <cell r="M1560"/>
          <cell r="N1560"/>
          <cell r="O1560"/>
        </row>
        <row r="1561">
          <cell r="A1561" t="str">
            <v>552-NV FUNDACION REMAR DE PANAMÁ</v>
          </cell>
          <cell r="B1561"/>
          <cell r="C1561">
            <v>137.20000000000002</v>
          </cell>
          <cell r="D1561"/>
          <cell r="E1561"/>
          <cell r="F1561"/>
          <cell r="G1561"/>
          <cell r="H1561"/>
          <cell r="I1561"/>
          <cell r="J1561"/>
          <cell r="K1561"/>
          <cell r="L1561"/>
          <cell r="M1561"/>
          <cell r="N1561"/>
          <cell r="O1561"/>
        </row>
        <row r="1562">
          <cell r="A1562" t="str">
            <v>525-NV PQUIA SAN NICOLAS DE BARI</v>
          </cell>
          <cell r="B1562"/>
          <cell r="C1562"/>
          <cell r="D1562"/>
          <cell r="E1562">
            <v>689.28</v>
          </cell>
          <cell r="F1562"/>
          <cell r="G1562"/>
          <cell r="H1562"/>
          <cell r="I1562"/>
          <cell r="J1562"/>
          <cell r="K1562"/>
          <cell r="L1562"/>
          <cell r="M1562"/>
          <cell r="N1562"/>
          <cell r="O1562"/>
        </row>
        <row r="1563">
          <cell r="A1563" t="str">
            <v>516-NV PQUIA SAN LUCAS PASTORAL SOCIAL</v>
          </cell>
          <cell r="B1563"/>
          <cell r="C1563">
            <v>109.68999999999998</v>
          </cell>
          <cell r="D1563"/>
          <cell r="E1563"/>
          <cell r="F1563"/>
          <cell r="G1563"/>
          <cell r="H1563"/>
          <cell r="I1563"/>
          <cell r="J1563"/>
          <cell r="K1563"/>
          <cell r="L1563"/>
          <cell r="M1563"/>
          <cell r="N1563"/>
          <cell r="O1563"/>
        </row>
        <row r="1564">
          <cell r="A1564" t="str">
            <v>532-NV UNA LUZ EN MI CAMINO</v>
          </cell>
          <cell r="B1564"/>
          <cell r="C1564"/>
          <cell r="D1564"/>
          <cell r="E1564">
            <v>82.350000000000009</v>
          </cell>
          <cell r="F1564"/>
          <cell r="G1564"/>
          <cell r="H1564"/>
          <cell r="I1564"/>
          <cell r="J1564"/>
          <cell r="K1564"/>
          <cell r="L1564"/>
          <cell r="M1564"/>
          <cell r="N1564"/>
          <cell r="O1564"/>
        </row>
        <row r="1565">
          <cell r="A1565" t="str">
            <v>561-NV FUNDACION MISERICORDIA DE DON BOSCO</v>
          </cell>
          <cell r="B1565"/>
          <cell r="C1565"/>
          <cell r="D1565"/>
          <cell r="E1565">
            <v>68.650000000000006</v>
          </cell>
          <cell r="F1565"/>
          <cell r="G1565"/>
          <cell r="H1565"/>
          <cell r="I1565"/>
          <cell r="J1565"/>
          <cell r="K1565"/>
          <cell r="L1565"/>
          <cell r="M1565"/>
          <cell r="N1565"/>
          <cell r="O1565"/>
        </row>
        <row r="1566">
          <cell r="A1566" t="str">
            <v>548-NV PARROQUIA INMACULADA CONCEPCION DE CHORRERA</v>
          </cell>
          <cell r="B1566"/>
          <cell r="C1566"/>
          <cell r="D1566"/>
          <cell r="E1566">
            <v>2344.56</v>
          </cell>
          <cell r="F1566"/>
          <cell r="G1566"/>
          <cell r="H1566"/>
          <cell r="I1566"/>
          <cell r="J1566"/>
          <cell r="K1566"/>
          <cell r="L1566"/>
          <cell r="M1566"/>
          <cell r="N1566"/>
          <cell r="O1566"/>
        </row>
        <row r="1567">
          <cell r="A1567" t="str">
            <v>583-NV IGLESIA GLORIA TRANSFORMADORA SHEKINA</v>
          </cell>
          <cell r="B1567"/>
          <cell r="C1567"/>
          <cell r="D1567"/>
          <cell r="E1567">
            <v>619.72</v>
          </cell>
          <cell r="F1567"/>
          <cell r="G1567"/>
          <cell r="H1567"/>
          <cell r="I1567"/>
          <cell r="J1567"/>
          <cell r="K1567"/>
          <cell r="L1567"/>
          <cell r="M1567"/>
          <cell r="N1567"/>
          <cell r="O1567"/>
        </row>
        <row r="1568">
          <cell r="A1568" t="str">
            <v>519-NV PQUIA SAN LUCAS-PATRIA NUEVA</v>
          </cell>
          <cell r="B1568"/>
          <cell r="C1568"/>
          <cell r="D1568"/>
          <cell r="E1568"/>
          <cell r="F1568"/>
          <cell r="G1568"/>
          <cell r="H1568"/>
          <cell r="I1568">
            <v>1101.8600000000001</v>
          </cell>
          <cell r="J1568"/>
          <cell r="K1568"/>
          <cell r="L1568"/>
          <cell r="M1568"/>
          <cell r="N1568"/>
          <cell r="O1568"/>
        </row>
        <row r="1569">
          <cell r="A1569" t="str">
            <v>508-NV PQUIA NSTRA SRA DOLORES</v>
          </cell>
          <cell r="B1569"/>
          <cell r="C1569"/>
          <cell r="D1569"/>
          <cell r="E1569">
            <v>619.2700000000001</v>
          </cell>
          <cell r="F1569"/>
          <cell r="G1569"/>
          <cell r="H1569"/>
          <cell r="I1569"/>
          <cell r="J1569"/>
          <cell r="K1569"/>
          <cell r="L1569"/>
          <cell r="M1569"/>
          <cell r="N1569"/>
          <cell r="O1569"/>
        </row>
        <row r="1570">
          <cell r="A1570" t="str">
            <v>528-NV ASOCIACION DAME UNA OPORTUNIDAD</v>
          </cell>
          <cell r="B1570"/>
          <cell r="C1570"/>
          <cell r="D1570"/>
          <cell r="E1570"/>
          <cell r="F1570"/>
          <cell r="G1570"/>
          <cell r="H1570"/>
          <cell r="I1570">
            <v>137.20000000000002</v>
          </cell>
          <cell r="J1570"/>
          <cell r="K1570"/>
          <cell r="L1570"/>
          <cell r="M1570"/>
          <cell r="N1570"/>
          <cell r="O1570"/>
        </row>
        <row r="1571">
          <cell r="A1571" t="str">
            <v>502-NV CENTRO MARIE POUSSEPIN</v>
          </cell>
          <cell r="B1571"/>
          <cell r="C1571">
            <v>274.57000000000005</v>
          </cell>
          <cell r="D1571"/>
          <cell r="E1571"/>
          <cell r="F1571"/>
          <cell r="G1571"/>
          <cell r="H1571"/>
          <cell r="I1571"/>
          <cell r="J1571"/>
          <cell r="K1571"/>
          <cell r="L1571"/>
          <cell r="M1571"/>
          <cell r="N1571"/>
          <cell r="O1571"/>
        </row>
        <row r="1572">
          <cell r="A1572" t="str">
            <v>530-NV LOS PREFERIDOS DEL SEÑOR</v>
          </cell>
          <cell r="B1572"/>
          <cell r="C1572">
            <v>689.78</v>
          </cell>
          <cell r="D1572"/>
          <cell r="E1572"/>
          <cell r="F1572"/>
          <cell r="G1572"/>
          <cell r="H1572"/>
          <cell r="I1572"/>
          <cell r="J1572"/>
          <cell r="K1572"/>
          <cell r="L1572"/>
          <cell r="M1572"/>
          <cell r="N1572"/>
          <cell r="O1572"/>
        </row>
        <row r="1573">
          <cell r="A1573" t="str">
            <v>523-NV PQUIA DE LA SANTA CRUZ-CHILIBRE</v>
          </cell>
          <cell r="B1573"/>
          <cell r="C1573"/>
          <cell r="D1573"/>
          <cell r="E1573"/>
          <cell r="F1573"/>
          <cell r="G1573"/>
          <cell r="H1573"/>
          <cell r="I1573">
            <v>964.67000000000007</v>
          </cell>
          <cell r="J1573"/>
          <cell r="K1573"/>
          <cell r="L1573"/>
          <cell r="M1573"/>
          <cell r="N1573"/>
          <cell r="O1573"/>
        </row>
        <row r="1574">
          <cell r="A1574" t="str">
            <v>714-NV FUNDACION EDUCATIVA SAN JUAN PABLO SEGUNDO</v>
          </cell>
          <cell r="B1574">
            <v>82.140000000000015</v>
          </cell>
          <cell r="C1574"/>
          <cell r="D1574"/>
          <cell r="E1574"/>
          <cell r="F1574"/>
          <cell r="G1574"/>
          <cell r="H1574"/>
          <cell r="I1574"/>
          <cell r="J1574"/>
          <cell r="K1574"/>
          <cell r="L1574"/>
          <cell r="M1574"/>
          <cell r="N1574"/>
          <cell r="O1574"/>
        </row>
        <row r="1575">
          <cell r="A1575" t="str">
            <v>549-NV FUNDACION OFRECE UN HOGAR</v>
          </cell>
          <cell r="B1575">
            <v>137.05000000000004</v>
          </cell>
          <cell r="C1575"/>
          <cell r="D1575"/>
          <cell r="E1575"/>
          <cell r="F1575"/>
          <cell r="G1575"/>
          <cell r="H1575"/>
          <cell r="I1575"/>
          <cell r="J1575"/>
          <cell r="K1575"/>
          <cell r="L1575"/>
          <cell r="M1575"/>
          <cell r="N1575"/>
          <cell r="O1575"/>
        </row>
        <row r="1576">
          <cell r="A1576" t="str">
            <v>505-NV ASOC. PRO NIÑEZ PANAMEÑA CERRO PLATA (EL BALE)</v>
          </cell>
          <cell r="B1576"/>
          <cell r="C1576"/>
          <cell r="D1576"/>
          <cell r="E1576"/>
          <cell r="F1576"/>
          <cell r="G1576"/>
          <cell r="H1576"/>
          <cell r="I1576"/>
          <cell r="J1576"/>
          <cell r="K1576"/>
          <cell r="L1576"/>
          <cell r="M1576">
            <v>10446.700000000001</v>
          </cell>
          <cell r="N1576"/>
          <cell r="O1576"/>
        </row>
        <row r="1577">
          <cell r="A1577" t="str">
            <v>581-NV HOGAR LUISA</v>
          </cell>
          <cell r="B1577"/>
          <cell r="C1577">
            <v>288.09000000000009</v>
          </cell>
          <cell r="D1577"/>
          <cell r="E1577"/>
          <cell r="F1577"/>
          <cell r="G1577"/>
          <cell r="H1577"/>
          <cell r="I1577"/>
          <cell r="J1577"/>
          <cell r="K1577"/>
          <cell r="L1577"/>
          <cell r="M1577"/>
          <cell r="N1577"/>
          <cell r="O1577"/>
        </row>
        <row r="1578">
          <cell r="A1578" t="str">
            <v>571-NV IGLESIA DE CRISTO ESTRELLA CRECIENTE</v>
          </cell>
          <cell r="B1578"/>
          <cell r="C1578"/>
          <cell r="D1578">
            <v>274.77000000000004</v>
          </cell>
          <cell r="E1578"/>
          <cell r="F1578"/>
          <cell r="G1578"/>
          <cell r="H1578"/>
          <cell r="I1578"/>
          <cell r="J1578"/>
          <cell r="K1578"/>
          <cell r="L1578"/>
          <cell r="M1578"/>
          <cell r="N1578"/>
          <cell r="O1578"/>
        </row>
        <row r="1579">
          <cell r="A1579" t="str">
            <v>577-NV FUNDACIÓN CASA HOGAR EL BUEN SAMARITANO</v>
          </cell>
          <cell r="B1579"/>
          <cell r="C1579"/>
          <cell r="D1579">
            <v>2069.58</v>
          </cell>
          <cell r="E1579"/>
          <cell r="F1579"/>
          <cell r="G1579"/>
          <cell r="H1579"/>
          <cell r="I1579"/>
          <cell r="J1579"/>
          <cell r="K1579"/>
          <cell r="L1579"/>
          <cell r="M1579"/>
          <cell r="N1579"/>
          <cell r="O1579"/>
        </row>
        <row r="1580">
          <cell r="A1580" t="str">
            <v>574-NV ASOCIACIÓN RESIDENCIA LISBETH</v>
          </cell>
          <cell r="B1580"/>
          <cell r="C1580"/>
          <cell r="D1580">
            <v>68.600000000000009</v>
          </cell>
          <cell r="E1580"/>
          <cell r="F1580"/>
          <cell r="G1580"/>
          <cell r="H1580"/>
          <cell r="I1580"/>
          <cell r="J1580"/>
          <cell r="K1580"/>
          <cell r="L1580"/>
          <cell r="M1580"/>
          <cell r="N1580"/>
          <cell r="O1580"/>
        </row>
        <row r="1581">
          <cell r="A1581" t="str">
            <v>522-NV VICARIATO DE DARIEN</v>
          </cell>
          <cell r="B1581"/>
          <cell r="C1581"/>
          <cell r="D1581"/>
          <cell r="E1581"/>
          <cell r="F1581">
            <v>274.57000000000005</v>
          </cell>
          <cell r="G1581"/>
          <cell r="H1581"/>
          <cell r="I1581"/>
          <cell r="J1581"/>
          <cell r="K1581"/>
          <cell r="L1581"/>
          <cell r="M1581"/>
          <cell r="N1581"/>
          <cell r="O1581"/>
        </row>
        <row r="1582">
          <cell r="A1582" t="str">
            <v>520-NV COMEDOR BELEN CASA DE PAN</v>
          </cell>
          <cell r="B1582"/>
          <cell r="C1582"/>
          <cell r="D1582">
            <v>344.58</v>
          </cell>
          <cell r="E1582"/>
          <cell r="F1582"/>
          <cell r="G1582"/>
          <cell r="H1582"/>
          <cell r="I1582"/>
          <cell r="J1582"/>
          <cell r="K1582"/>
          <cell r="L1582"/>
          <cell r="M1582"/>
          <cell r="N1582"/>
          <cell r="O1582"/>
        </row>
        <row r="1583">
          <cell r="A1583" t="str">
            <v>527-NV CASITA DE MILAGROS -AURA CASTILLO</v>
          </cell>
          <cell r="B1583"/>
          <cell r="C1583"/>
          <cell r="D1583"/>
          <cell r="E1583">
            <v>689.28</v>
          </cell>
          <cell r="F1583"/>
          <cell r="G1583"/>
          <cell r="H1583"/>
          <cell r="I1583"/>
          <cell r="J1583"/>
          <cell r="K1583"/>
          <cell r="L1583"/>
          <cell r="M1583"/>
          <cell r="N1583"/>
          <cell r="O1583"/>
        </row>
        <row r="1584">
          <cell r="A1584" t="str">
            <v>514-NV PQUIA JESUS BUEN PASTOR</v>
          </cell>
          <cell r="B1584"/>
          <cell r="C1584"/>
          <cell r="D1584">
            <v>689.28</v>
          </cell>
          <cell r="E1584"/>
          <cell r="F1584"/>
          <cell r="G1584"/>
          <cell r="H1584"/>
          <cell r="I1584"/>
          <cell r="J1584"/>
          <cell r="K1584"/>
          <cell r="L1584"/>
          <cell r="M1584"/>
          <cell r="N1584"/>
          <cell r="O1584"/>
        </row>
        <row r="1585">
          <cell r="A1585" t="str">
            <v>507-NV COMEDOR INFANTIL SHEKINA PENONOMÉ</v>
          </cell>
          <cell r="B1585"/>
          <cell r="C1585"/>
          <cell r="D1585"/>
          <cell r="E1585"/>
          <cell r="F1585"/>
          <cell r="G1585"/>
          <cell r="H1585"/>
          <cell r="I1585"/>
          <cell r="J1585"/>
          <cell r="K1585">
            <v>274.57000000000005</v>
          </cell>
          <cell r="L1585"/>
          <cell r="M1585"/>
          <cell r="N1585"/>
          <cell r="O1585"/>
        </row>
        <row r="1586">
          <cell r="A1586" t="str">
            <v>588-NV HNAS FRANCISCANAS DE LA PURISIMA CONCEPCIÓN PQUIA SAN JUAN BOSCO DAVID</v>
          </cell>
          <cell r="B1586"/>
          <cell r="C1586"/>
          <cell r="D1586"/>
          <cell r="E1586"/>
          <cell r="F1586"/>
          <cell r="G1586"/>
          <cell r="H1586"/>
          <cell r="I1586"/>
          <cell r="J1586">
            <v>689.28</v>
          </cell>
          <cell r="K1586"/>
          <cell r="L1586"/>
          <cell r="M1586"/>
          <cell r="N1586"/>
          <cell r="O1586"/>
        </row>
        <row r="1587">
          <cell r="A1587" t="str">
            <v>513-NV PEQUEÑOS LUCHADORES</v>
          </cell>
          <cell r="B1587"/>
          <cell r="C1587"/>
          <cell r="D1587"/>
          <cell r="E1587"/>
          <cell r="F1587"/>
          <cell r="G1587">
            <v>137.20000000000002</v>
          </cell>
          <cell r="H1587"/>
          <cell r="I1587"/>
          <cell r="J1587"/>
          <cell r="K1587"/>
          <cell r="L1587"/>
          <cell r="M1587"/>
          <cell r="N1587"/>
          <cell r="O1587"/>
        </row>
        <row r="1588">
          <cell r="A1588" t="str">
            <v>569-NV LUZ DE LAS NACIONES</v>
          </cell>
          <cell r="B1588"/>
          <cell r="C1588"/>
          <cell r="D1588"/>
          <cell r="E1588"/>
          <cell r="F1588"/>
          <cell r="G1588"/>
          <cell r="H1588"/>
          <cell r="I1588"/>
          <cell r="J1588">
            <v>68.600000000000009</v>
          </cell>
          <cell r="K1588"/>
          <cell r="L1588"/>
          <cell r="M1588"/>
          <cell r="N1588"/>
          <cell r="O1588"/>
        </row>
        <row r="1589">
          <cell r="A1589" t="str">
            <v>540-NV FUNDACION EL ARCA</v>
          </cell>
          <cell r="B1589"/>
          <cell r="C1589">
            <v>412.07000000000005</v>
          </cell>
          <cell r="D1589"/>
          <cell r="E1589"/>
          <cell r="F1589"/>
          <cell r="G1589"/>
          <cell r="H1589"/>
          <cell r="I1589"/>
          <cell r="J1589"/>
          <cell r="K1589"/>
          <cell r="L1589"/>
          <cell r="M1589"/>
          <cell r="N1589"/>
          <cell r="O1589"/>
        </row>
        <row r="1590">
          <cell r="A1590" t="str">
            <v>529-NV SOY PADRINO-HERMANOS DE EMAUS</v>
          </cell>
          <cell r="B1590"/>
          <cell r="C1590"/>
          <cell r="D1590"/>
          <cell r="E1590"/>
          <cell r="F1590"/>
          <cell r="G1590"/>
          <cell r="H1590"/>
          <cell r="I1590">
            <v>1517.0700000000002</v>
          </cell>
          <cell r="J1590"/>
          <cell r="K1590"/>
          <cell r="L1590"/>
          <cell r="M1590"/>
          <cell r="N1590"/>
          <cell r="O1590"/>
        </row>
        <row r="1591">
          <cell r="A1591" t="str">
            <v>632-NV JAV LIVE</v>
          </cell>
          <cell r="B1591"/>
          <cell r="C1591"/>
          <cell r="D1591"/>
          <cell r="E1591"/>
          <cell r="F1591"/>
          <cell r="G1591"/>
          <cell r="H1591">
            <v>370.91000000000008</v>
          </cell>
          <cell r="I1591"/>
          <cell r="J1591"/>
          <cell r="K1591"/>
          <cell r="L1591"/>
          <cell r="M1591"/>
          <cell r="N1591"/>
          <cell r="O1591"/>
        </row>
        <row r="1592">
          <cell r="A1592" t="str">
            <v>587-NV CLUB DE CIEGOS DE COLON</v>
          </cell>
          <cell r="B1592"/>
          <cell r="C1592"/>
          <cell r="D1592"/>
          <cell r="E1592"/>
          <cell r="F1592"/>
          <cell r="G1592"/>
          <cell r="H1592">
            <v>206.12</v>
          </cell>
          <cell r="I1592"/>
          <cell r="J1592"/>
          <cell r="K1592"/>
          <cell r="L1592"/>
          <cell r="M1592"/>
          <cell r="N1592"/>
          <cell r="O1592"/>
        </row>
        <row r="1593">
          <cell r="A1593" t="str">
            <v>585-NV PQUIA SAN FRANCISCO JAVIER COLON</v>
          </cell>
          <cell r="B1593"/>
          <cell r="C1593"/>
          <cell r="D1593"/>
          <cell r="E1593"/>
          <cell r="F1593"/>
          <cell r="G1593"/>
          <cell r="H1593">
            <v>964.67000000000007</v>
          </cell>
          <cell r="I1593"/>
          <cell r="J1593"/>
          <cell r="K1593"/>
          <cell r="L1593"/>
          <cell r="M1593"/>
          <cell r="N1593"/>
          <cell r="O1593"/>
        </row>
        <row r="1594">
          <cell r="A1594" t="str">
            <v>586-NV PQUIA SAN JOSE COLON</v>
          </cell>
          <cell r="B1594"/>
          <cell r="C1594"/>
          <cell r="D1594"/>
          <cell r="E1594"/>
          <cell r="F1594"/>
          <cell r="G1594"/>
          <cell r="H1594">
            <v>964.67000000000007</v>
          </cell>
          <cell r="I1594"/>
          <cell r="J1594"/>
          <cell r="K1594"/>
          <cell r="L1594"/>
          <cell r="M1594"/>
          <cell r="N1594"/>
          <cell r="O1594"/>
        </row>
        <row r="1595">
          <cell r="A1595" t="str">
            <v>618-NV Club de Leones Panamá Virtual en Valores</v>
          </cell>
          <cell r="B1595">
            <v>27.380000000000003</v>
          </cell>
          <cell r="C1595"/>
          <cell r="D1595"/>
          <cell r="E1595"/>
          <cell r="F1595"/>
          <cell r="G1595"/>
          <cell r="H1595"/>
          <cell r="I1595"/>
          <cell r="J1595"/>
          <cell r="K1595"/>
          <cell r="L1595"/>
          <cell r="M1595"/>
          <cell r="N1595"/>
          <cell r="O1595"/>
        </row>
        <row r="1596">
          <cell r="A1596" t="str">
            <v>573-NV CASA DE PODER INTERNACIONAL</v>
          </cell>
          <cell r="B1596"/>
          <cell r="C1596">
            <v>413.6</v>
          </cell>
          <cell r="D1596"/>
          <cell r="E1596"/>
          <cell r="F1596"/>
          <cell r="G1596"/>
          <cell r="H1596"/>
          <cell r="I1596"/>
          <cell r="J1596"/>
          <cell r="K1596"/>
          <cell r="L1596"/>
          <cell r="M1596"/>
          <cell r="N1596"/>
          <cell r="O1596"/>
        </row>
        <row r="1597">
          <cell r="A1597" t="str">
            <v>716-NV PARROQUIA SAN AGUSTIN DE KANKINTU</v>
          </cell>
          <cell r="B1597"/>
          <cell r="C1597"/>
          <cell r="D1597"/>
          <cell r="E1597"/>
          <cell r="F1597"/>
          <cell r="G1597"/>
          <cell r="H1597"/>
          <cell r="I1597"/>
          <cell r="J1597"/>
          <cell r="K1597"/>
          <cell r="L1597"/>
          <cell r="M1597"/>
          <cell r="N1597">
            <v>1434.48</v>
          </cell>
          <cell r="O1597"/>
        </row>
        <row r="1598">
          <cell r="A1598" t="str">
            <v>666-NV ESCUELA BEATO ROMERO</v>
          </cell>
          <cell r="B1598"/>
          <cell r="C1598"/>
          <cell r="D1598">
            <v>137.19999999999999</v>
          </cell>
          <cell r="E1598"/>
          <cell r="F1598"/>
          <cell r="G1598"/>
          <cell r="H1598"/>
          <cell r="I1598"/>
          <cell r="J1598"/>
          <cell r="K1598"/>
          <cell r="L1598"/>
          <cell r="M1598"/>
          <cell r="N1598"/>
          <cell r="O1598"/>
        </row>
        <row r="1599">
          <cell r="A1599" t="str">
            <v>555-NV COMEDOR GRANDES PASOS DE AMOR</v>
          </cell>
          <cell r="B1599">
            <v>54.760000000000005</v>
          </cell>
          <cell r="C1599"/>
          <cell r="D1599"/>
          <cell r="E1599"/>
          <cell r="F1599"/>
          <cell r="G1599"/>
          <cell r="H1599"/>
          <cell r="I1599"/>
          <cell r="J1599"/>
          <cell r="K1599"/>
          <cell r="L1599"/>
          <cell r="M1599"/>
          <cell r="N1599"/>
          <cell r="O1599"/>
        </row>
        <row r="1600">
          <cell r="A1600" t="str">
            <v>627-NV CLUB DE LEONES VILLA LUCRE</v>
          </cell>
          <cell r="B1600"/>
          <cell r="C1600">
            <v>68.600000000000009</v>
          </cell>
          <cell r="D1600"/>
          <cell r="E1600"/>
          <cell r="F1600"/>
          <cell r="G1600"/>
          <cell r="H1600"/>
          <cell r="I1600"/>
          <cell r="J1600"/>
          <cell r="K1600"/>
          <cell r="L1600"/>
          <cell r="M1600"/>
          <cell r="N1600"/>
          <cell r="O1600"/>
        </row>
        <row r="1601">
          <cell r="A1601" t="str">
            <v>500-NV FUNDACION EDUCATIVA SAN PEDRO NOLASCO</v>
          </cell>
          <cell r="B1601">
            <v>13.700000000000001</v>
          </cell>
          <cell r="C1601"/>
          <cell r="D1601"/>
          <cell r="E1601"/>
          <cell r="F1601"/>
          <cell r="G1601"/>
          <cell r="H1601"/>
          <cell r="I1601"/>
          <cell r="J1601"/>
          <cell r="K1601"/>
          <cell r="L1601"/>
          <cell r="M1601"/>
          <cell r="N1601"/>
          <cell r="O1601"/>
        </row>
        <row r="1602">
          <cell r="A1602" t="str">
            <v>725- NV CLUB KIWANIS LAS GARDENIAS</v>
          </cell>
          <cell r="B1602">
            <v>27.380000000000003</v>
          </cell>
          <cell r="C1602"/>
          <cell r="D1602"/>
          <cell r="E1602"/>
          <cell r="F1602"/>
          <cell r="G1602"/>
          <cell r="H1602"/>
          <cell r="I1602"/>
          <cell r="J1602"/>
          <cell r="K1602"/>
          <cell r="L1602"/>
          <cell r="M1602"/>
          <cell r="N1602"/>
          <cell r="O1602"/>
        </row>
        <row r="1603">
          <cell r="A1603" t="str">
            <v>729-NV CEBG EL ÑAJÚ</v>
          </cell>
          <cell r="B1603">
            <v>137.20000000000002</v>
          </cell>
          <cell r="C1603"/>
          <cell r="D1603"/>
          <cell r="E1603"/>
          <cell r="F1603"/>
          <cell r="G1603"/>
          <cell r="H1603"/>
          <cell r="I1603"/>
          <cell r="J1603"/>
          <cell r="K1603"/>
          <cell r="L1603"/>
          <cell r="M1603"/>
          <cell r="N1603"/>
          <cell r="O1603"/>
        </row>
        <row r="1604">
          <cell r="A1604" t="str">
            <v>744-NV CLUB DE LEONES DE ANCON</v>
          </cell>
          <cell r="B1604">
            <v>27.380000000000003</v>
          </cell>
          <cell r="C1604"/>
          <cell r="D1604"/>
          <cell r="E1604"/>
          <cell r="F1604"/>
          <cell r="G1604"/>
          <cell r="H1604"/>
          <cell r="I1604"/>
          <cell r="J1604"/>
          <cell r="K1604"/>
          <cell r="L1604"/>
          <cell r="M1604"/>
          <cell r="N1604"/>
          <cell r="O1604"/>
        </row>
        <row r="1605">
          <cell r="A1605" t="str">
            <v>768-NV ANCEC SANTIAGO</v>
          </cell>
          <cell r="B1605"/>
          <cell r="C1605"/>
          <cell r="D1605"/>
          <cell r="E1605"/>
          <cell r="F1605"/>
          <cell r="G1605"/>
          <cell r="H1605"/>
          <cell r="I1605"/>
          <cell r="J1605"/>
          <cell r="K1605"/>
          <cell r="L1605"/>
          <cell r="M1605">
            <v>191.95999999999998</v>
          </cell>
          <cell r="N1605"/>
          <cell r="O1605"/>
        </row>
        <row r="1606">
          <cell r="A1606" t="str">
            <v>790-NV Comedor Dios Es Nuestro Proveedor</v>
          </cell>
          <cell r="B1606"/>
          <cell r="C1606"/>
          <cell r="D1606"/>
          <cell r="E1606">
            <v>219.65999999999997</v>
          </cell>
          <cell r="F1606"/>
          <cell r="G1606"/>
          <cell r="H1606"/>
          <cell r="I1606"/>
          <cell r="J1606"/>
          <cell r="K1606"/>
          <cell r="L1606"/>
          <cell r="M1606"/>
          <cell r="N1606"/>
          <cell r="O1606"/>
        </row>
        <row r="1607">
          <cell r="A1607" t="str">
            <v>810-NV PARROQUIA NUESTRA SEÑORA DEL ROSARIO</v>
          </cell>
          <cell r="B1607"/>
          <cell r="C1607"/>
          <cell r="D1607"/>
          <cell r="E1607"/>
          <cell r="F1607"/>
          <cell r="G1607">
            <v>689.28</v>
          </cell>
          <cell r="H1607"/>
          <cell r="I1607"/>
          <cell r="J1607"/>
          <cell r="K1607"/>
          <cell r="L1607"/>
          <cell r="M1607"/>
          <cell r="N1607"/>
          <cell r="O1607"/>
        </row>
        <row r="1608">
          <cell r="A1608" t="str">
            <v>504-NV ASOC. PRO NIÑEZ PANAMEÑA CAÑAZAS</v>
          </cell>
          <cell r="B1608"/>
          <cell r="C1608"/>
          <cell r="D1608"/>
          <cell r="E1608"/>
          <cell r="F1608"/>
          <cell r="G1608"/>
          <cell r="H1608"/>
          <cell r="I1608"/>
          <cell r="J1608"/>
          <cell r="K1608"/>
          <cell r="L1608"/>
          <cell r="M1608">
            <v>6362.9800000000005</v>
          </cell>
          <cell r="N1608"/>
          <cell r="O1608"/>
        </row>
        <row r="1609">
          <cell r="A1609" t="str">
            <v>517-NV IGLESIA EL NAZARENO</v>
          </cell>
          <cell r="B1609"/>
          <cell r="C1609"/>
          <cell r="D1609"/>
          <cell r="E1609">
            <v>689.28</v>
          </cell>
          <cell r="F1609"/>
          <cell r="G1609"/>
          <cell r="H1609"/>
          <cell r="I1609"/>
          <cell r="J1609"/>
          <cell r="K1609"/>
          <cell r="L1609"/>
          <cell r="M1609"/>
          <cell r="N1609"/>
          <cell r="O1609"/>
        </row>
        <row r="1610">
          <cell r="A1610" t="str">
            <v>GENTILE - G &amp; H. S.A.</v>
          </cell>
          <cell r="B1610"/>
          <cell r="C1610"/>
          <cell r="D1610">
            <v>15</v>
          </cell>
          <cell r="E1610"/>
          <cell r="F1610"/>
          <cell r="G1610"/>
          <cell r="H1610"/>
          <cell r="I1610"/>
          <cell r="J1610"/>
          <cell r="K1610"/>
          <cell r="L1610"/>
          <cell r="M1610"/>
          <cell r="N1610"/>
          <cell r="O1610"/>
        </row>
        <row r="1611">
          <cell r="A1611" t="str">
            <v>187 IG - IGLESIA DE DIOS DE LA PROFECÍA</v>
          </cell>
          <cell r="B1611"/>
          <cell r="C1611"/>
          <cell r="D1611">
            <v>4</v>
          </cell>
          <cell r="E1611"/>
          <cell r="F1611"/>
          <cell r="G1611"/>
          <cell r="H1611"/>
          <cell r="I1611"/>
          <cell r="J1611"/>
          <cell r="K1611"/>
          <cell r="L1611"/>
          <cell r="M1611"/>
          <cell r="N1611"/>
          <cell r="O1611"/>
        </row>
        <row r="1612">
          <cell r="A1612" t="str">
            <v>321-IG IGLESIA DIOS ES MI PROVEEDOR Y SUSTENTO</v>
          </cell>
          <cell r="B1612"/>
          <cell r="C1612"/>
          <cell r="D1612">
            <v>9</v>
          </cell>
          <cell r="E1612"/>
          <cell r="F1612"/>
          <cell r="G1612"/>
          <cell r="H1612"/>
          <cell r="I1612"/>
          <cell r="J1612"/>
          <cell r="K1612"/>
          <cell r="L1612"/>
          <cell r="M1612"/>
          <cell r="N1612"/>
          <cell r="O1612"/>
        </row>
        <row r="1613">
          <cell r="A1613" t="str">
            <v>417-AS CLUB DE LEONES DE PEDREGAL (ESTE)</v>
          </cell>
          <cell r="B1613"/>
          <cell r="C1613"/>
          <cell r="D1613">
            <v>2</v>
          </cell>
          <cell r="E1613"/>
          <cell r="F1613"/>
          <cell r="G1613"/>
          <cell r="H1613"/>
          <cell r="I1613"/>
          <cell r="J1613"/>
          <cell r="K1613"/>
          <cell r="L1613"/>
          <cell r="M1613"/>
          <cell r="N1613"/>
          <cell r="O1613"/>
        </row>
        <row r="1614">
          <cell r="A1614" t="str">
            <v>FRANQUICIAS PANAMEÑAS</v>
          </cell>
          <cell r="B1614"/>
          <cell r="C1614">
            <v>54</v>
          </cell>
          <cell r="D1614">
            <v>162</v>
          </cell>
          <cell r="E1614">
            <v>38</v>
          </cell>
          <cell r="F1614">
            <v>4</v>
          </cell>
          <cell r="G1614">
            <v>22</v>
          </cell>
          <cell r="H1614">
            <v>38</v>
          </cell>
          <cell r="I1614">
            <v>32</v>
          </cell>
          <cell r="J1614"/>
          <cell r="K1614"/>
          <cell r="L1614"/>
          <cell r="M1614"/>
          <cell r="N1614"/>
          <cell r="O1614"/>
        </row>
        <row r="1615">
          <cell r="A1615" t="str">
            <v>702 - FU MINISTERIO BERAKHAH INTERNACIONAL ARRAIJAN</v>
          </cell>
          <cell r="B1615"/>
          <cell r="C1615"/>
          <cell r="D1615"/>
          <cell r="E1615">
            <v>2</v>
          </cell>
          <cell r="F1615"/>
          <cell r="G1615"/>
          <cell r="H1615"/>
          <cell r="I1615"/>
          <cell r="J1615"/>
          <cell r="K1615"/>
          <cell r="L1615"/>
          <cell r="M1615"/>
          <cell r="N1615"/>
          <cell r="O1615"/>
        </row>
        <row r="1616">
          <cell r="A1616" t="str">
            <v>298-FU - MINISTERIO FUENTE DE VIDA PARA EL PERDIDO</v>
          </cell>
          <cell r="B1616"/>
          <cell r="C1616"/>
          <cell r="D1616"/>
          <cell r="E1616"/>
          <cell r="F1616">
            <v>4</v>
          </cell>
          <cell r="G1616"/>
          <cell r="H1616"/>
          <cell r="I1616"/>
          <cell r="J1616"/>
          <cell r="K1616"/>
          <cell r="L1616"/>
          <cell r="M1616"/>
          <cell r="N1616"/>
          <cell r="O1616"/>
        </row>
        <row r="1617">
          <cell r="A1617" t="str">
            <v>479-IG IGLESIA NUEVA ESPERANZA</v>
          </cell>
          <cell r="B1617"/>
          <cell r="C1617"/>
          <cell r="D1617">
            <v>2</v>
          </cell>
          <cell r="E1617"/>
          <cell r="F1617"/>
          <cell r="G1617"/>
          <cell r="H1617"/>
          <cell r="I1617"/>
          <cell r="J1617"/>
          <cell r="K1617"/>
          <cell r="L1617"/>
          <cell r="M1617"/>
          <cell r="N1617"/>
          <cell r="O1617"/>
        </row>
        <row r="1618">
          <cell r="A1618" t="str">
            <v>175 AS - ASOCIACIÓN RESTAURANDO VIDAS</v>
          </cell>
          <cell r="B1618"/>
          <cell r="C1618"/>
          <cell r="D1618">
            <v>4</v>
          </cell>
          <cell r="E1618"/>
          <cell r="F1618"/>
          <cell r="G1618"/>
          <cell r="H1618"/>
          <cell r="I1618"/>
          <cell r="J1618"/>
          <cell r="K1618"/>
          <cell r="L1618"/>
          <cell r="M1618"/>
          <cell r="N1618"/>
          <cell r="O1618"/>
        </row>
        <row r="1619">
          <cell r="A1619" t="str">
            <v>178 IG - TEMPLO ZURIEL EL REFUGIO</v>
          </cell>
          <cell r="B1619"/>
          <cell r="C1619"/>
          <cell r="D1619"/>
          <cell r="E1619"/>
          <cell r="F1619"/>
          <cell r="G1619">
            <v>6</v>
          </cell>
          <cell r="H1619"/>
          <cell r="I1619"/>
          <cell r="J1619"/>
          <cell r="K1619"/>
          <cell r="L1619"/>
          <cell r="M1619"/>
          <cell r="N1619"/>
          <cell r="O1619"/>
        </row>
        <row r="1620">
          <cell r="A1620" t="str">
            <v>493-FU Comedor Jesús es mi Pastor</v>
          </cell>
          <cell r="B1620"/>
          <cell r="C1620"/>
          <cell r="D1620">
            <v>2</v>
          </cell>
          <cell r="E1620"/>
          <cell r="F1620"/>
          <cell r="G1620"/>
          <cell r="H1620"/>
          <cell r="I1620"/>
          <cell r="J1620"/>
          <cell r="K1620"/>
          <cell r="L1620"/>
          <cell r="M1620"/>
          <cell r="N1620"/>
          <cell r="O1620"/>
        </row>
        <row r="1621">
          <cell r="A1621" t="str">
            <v>636- FU JAH - LIVE (JAHL) - COLON</v>
          </cell>
          <cell r="B1621"/>
          <cell r="C1621"/>
          <cell r="D1621"/>
          <cell r="E1621"/>
          <cell r="F1621"/>
          <cell r="G1621"/>
          <cell r="H1621">
            <v>26</v>
          </cell>
          <cell r="I1621"/>
          <cell r="J1621"/>
          <cell r="K1621"/>
          <cell r="L1621"/>
          <cell r="M1621"/>
          <cell r="N1621"/>
          <cell r="O1621"/>
        </row>
        <row r="1622">
          <cell r="A1622" t="str">
            <v>365-IG COMEDOR HEFZIBA</v>
          </cell>
          <cell r="B1622"/>
          <cell r="C1622"/>
          <cell r="D1622"/>
          <cell r="E1622"/>
          <cell r="F1622"/>
          <cell r="G1622"/>
          <cell r="H1622"/>
          <cell r="I1622">
            <v>4</v>
          </cell>
          <cell r="J1622"/>
          <cell r="K1622"/>
          <cell r="L1622"/>
          <cell r="M1622"/>
          <cell r="N1622"/>
          <cell r="O1622"/>
        </row>
        <row r="1623">
          <cell r="A1623" t="str">
            <v>635 TEMPLO ADULAM</v>
          </cell>
          <cell r="B1623"/>
          <cell r="C1623"/>
          <cell r="D1623"/>
          <cell r="E1623">
            <v>6</v>
          </cell>
          <cell r="F1623"/>
          <cell r="G1623"/>
          <cell r="H1623"/>
          <cell r="I1623"/>
          <cell r="J1623"/>
          <cell r="K1623"/>
          <cell r="L1623"/>
          <cell r="M1623"/>
          <cell r="N1623"/>
          <cell r="O1623"/>
        </row>
        <row r="1624">
          <cell r="A1624" t="str">
            <v>687 - FU FUNDACION ARCA DE JESUS</v>
          </cell>
          <cell r="B1624"/>
          <cell r="C1624"/>
          <cell r="D1624"/>
          <cell r="E1624">
            <v>8</v>
          </cell>
          <cell r="F1624"/>
          <cell r="G1624"/>
          <cell r="H1624"/>
          <cell r="I1624"/>
          <cell r="J1624"/>
          <cell r="K1624"/>
          <cell r="L1624"/>
          <cell r="M1624"/>
          <cell r="N1624"/>
          <cell r="O1624"/>
        </row>
        <row r="1625">
          <cell r="A1625" t="str">
            <v>218 ED - LOS PREFERIDOS DEL SEÑOR (CENTRO2)</v>
          </cell>
          <cell r="B1625"/>
          <cell r="C1625">
            <v>6</v>
          </cell>
          <cell r="D1625"/>
          <cell r="E1625"/>
          <cell r="F1625"/>
          <cell r="G1625"/>
          <cell r="H1625"/>
          <cell r="I1625"/>
          <cell r="J1625"/>
          <cell r="K1625"/>
          <cell r="L1625"/>
          <cell r="M1625"/>
          <cell r="N1625"/>
          <cell r="O1625"/>
        </row>
        <row r="1626">
          <cell r="A1626" t="str">
            <v>187 IG - IGLESIA DE DIOS DE LA PROFECÍA</v>
          </cell>
          <cell r="B1626"/>
          <cell r="C1626"/>
          <cell r="D1626">
            <v>14</v>
          </cell>
          <cell r="E1626"/>
          <cell r="F1626"/>
          <cell r="G1626"/>
          <cell r="H1626"/>
          <cell r="I1626"/>
          <cell r="J1626"/>
          <cell r="K1626"/>
          <cell r="L1626"/>
          <cell r="M1626"/>
          <cell r="N1626"/>
          <cell r="O1626"/>
        </row>
        <row r="1627">
          <cell r="A1627" t="str">
            <v>321-IG IGLESIA DIOS ES MI PROVEEDOR Y SUSTENTO</v>
          </cell>
          <cell r="B1627"/>
          <cell r="C1627"/>
          <cell r="D1627">
            <v>6</v>
          </cell>
          <cell r="E1627"/>
          <cell r="F1627"/>
          <cell r="G1627"/>
          <cell r="H1627"/>
          <cell r="I1627"/>
          <cell r="J1627"/>
          <cell r="K1627"/>
          <cell r="L1627"/>
          <cell r="M1627"/>
          <cell r="N1627"/>
          <cell r="O1627"/>
        </row>
        <row r="1628">
          <cell r="A1628" t="str">
            <v>694 - FU MINISTERIO BERAKHAH INTERNACIONAL TOCUMEN #2</v>
          </cell>
          <cell r="B1628"/>
          <cell r="C1628"/>
          <cell r="D1628">
            <v>4</v>
          </cell>
          <cell r="E1628"/>
          <cell r="F1628"/>
          <cell r="G1628"/>
          <cell r="H1628"/>
          <cell r="I1628"/>
          <cell r="J1628"/>
          <cell r="K1628"/>
          <cell r="L1628"/>
          <cell r="M1628"/>
          <cell r="N1628"/>
          <cell r="O1628"/>
        </row>
        <row r="1629">
          <cell r="A1629" t="str">
            <v>444-FU MINISTERIO BERAKHAH INTERNACIONAL COMEDOR LAS GARZAS #1</v>
          </cell>
          <cell r="B1629"/>
          <cell r="C1629"/>
          <cell r="D1629">
            <v>2</v>
          </cell>
          <cell r="E1629"/>
          <cell r="F1629"/>
          <cell r="G1629"/>
          <cell r="H1629"/>
          <cell r="I1629"/>
          <cell r="J1629"/>
          <cell r="K1629"/>
          <cell r="L1629"/>
          <cell r="M1629"/>
          <cell r="N1629"/>
          <cell r="O1629"/>
        </row>
        <row r="1630">
          <cell r="A1630" t="str">
            <v>693 - FU MINISTERIO BERAKHAH INTERNACIONAL TOCUMEN #1</v>
          </cell>
          <cell r="B1630"/>
          <cell r="C1630"/>
          <cell r="D1630">
            <v>4</v>
          </cell>
          <cell r="E1630"/>
          <cell r="F1630"/>
          <cell r="G1630"/>
          <cell r="H1630"/>
          <cell r="I1630"/>
          <cell r="J1630"/>
          <cell r="K1630"/>
          <cell r="L1630"/>
          <cell r="M1630"/>
          <cell r="N1630"/>
          <cell r="O1630"/>
        </row>
        <row r="1631">
          <cell r="A1631" t="str">
            <v>366-FU CENTRO MISIONERO EL SHADAI (ESTE)</v>
          </cell>
          <cell r="B1631"/>
          <cell r="C1631"/>
          <cell r="D1631">
            <v>8</v>
          </cell>
          <cell r="E1631"/>
          <cell r="F1631"/>
          <cell r="G1631"/>
          <cell r="H1631"/>
          <cell r="I1631"/>
          <cell r="J1631"/>
          <cell r="K1631"/>
          <cell r="L1631"/>
          <cell r="M1631"/>
          <cell r="N1631"/>
          <cell r="O1631"/>
        </row>
        <row r="1632">
          <cell r="A1632" t="str">
            <v>498-FU COMEDOR NIÑOS DE BENDICION</v>
          </cell>
          <cell r="B1632"/>
          <cell r="C1632"/>
          <cell r="D1632"/>
          <cell r="E1632">
            <v>6</v>
          </cell>
          <cell r="F1632"/>
          <cell r="G1632"/>
          <cell r="H1632"/>
          <cell r="I1632"/>
          <cell r="J1632"/>
          <cell r="K1632"/>
          <cell r="L1632"/>
          <cell r="M1632"/>
          <cell r="N1632"/>
          <cell r="O1632"/>
        </row>
        <row r="1633">
          <cell r="A1633" t="str">
            <v>373-FU MINISTERIO INTERNACIONAL BOANERGES</v>
          </cell>
          <cell r="B1633"/>
          <cell r="C1633"/>
          <cell r="D1633"/>
          <cell r="E1633"/>
          <cell r="F1633"/>
          <cell r="G1633"/>
          <cell r="H1633"/>
          <cell r="I1633">
            <v>4</v>
          </cell>
          <cell r="J1633"/>
          <cell r="K1633"/>
          <cell r="L1633"/>
          <cell r="M1633"/>
          <cell r="N1633"/>
          <cell r="O1633"/>
        </row>
        <row r="1634">
          <cell r="A1634" t="str">
            <v>368-FU MINISTERIO PACTO DE SANTIDAD</v>
          </cell>
          <cell r="B1634"/>
          <cell r="C1634">
            <v>2</v>
          </cell>
          <cell r="D1634"/>
          <cell r="E1634"/>
          <cell r="F1634"/>
          <cell r="G1634"/>
          <cell r="H1634"/>
          <cell r="I1634"/>
          <cell r="J1634"/>
          <cell r="K1634"/>
          <cell r="L1634"/>
          <cell r="M1634"/>
          <cell r="N1634"/>
          <cell r="O1634"/>
        </row>
        <row r="1635">
          <cell r="A1635" t="str">
            <v>654 - IG M.I.A.F NUEVA JERUSALEN PANAMA (ESTE)</v>
          </cell>
          <cell r="B1635"/>
          <cell r="C1635"/>
          <cell r="D1635">
            <v>6</v>
          </cell>
          <cell r="E1635"/>
          <cell r="F1635"/>
          <cell r="G1635"/>
          <cell r="H1635"/>
          <cell r="I1635"/>
          <cell r="J1635"/>
          <cell r="K1635"/>
          <cell r="L1635"/>
          <cell r="M1635"/>
          <cell r="N1635"/>
          <cell r="O1635"/>
        </row>
        <row r="1636">
          <cell r="A1636" t="str">
            <v>103 IG - IGLESIA DE LA GRACIA DE DIOS</v>
          </cell>
          <cell r="B1636"/>
          <cell r="C1636"/>
          <cell r="D1636"/>
          <cell r="E1636"/>
          <cell r="F1636"/>
          <cell r="G1636"/>
          <cell r="H1636"/>
          <cell r="I1636">
            <v>2</v>
          </cell>
          <cell r="J1636"/>
          <cell r="K1636"/>
          <cell r="L1636"/>
          <cell r="M1636"/>
          <cell r="N1636"/>
          <cell r="O1636"/>
        </row>
        <row r="1637">
          <cell r="A1637" t="str">
            <v>363-FU FUNDACION MINISTERIO DEL EVANGELIO ETERNO DEL REINO (NORTE)</v>
          </cell>
          <cell r="B1637"/>
          <cell r="C1637"/>
          <cell r="D1637"/>
          <cell r="E1637"/>
          <cell r="F1637"/>
          <cell r="G1637">
            <v>2</v>
          </cell>
          <cell r="H1637"/>
          <cell r="I1637"/>
          <cell r="J1637"/>
          <cell r="K1637"/>
          <cell r="L1637"/>
          <cell r="M1637"/>
          <cell r="N1637"/>
          <cell r="O1637"/>
        </row>
        <row r="1638">
          <cell r="A1638" t="str">
            <v>2 PA - PARROQUIA SAN JUAN MARIA VIANNEY (NORTE)</v>
          </cell>
          <cell r="B1638"/>
          <cell r="C1638"/>
          <cell r="D1638"/>
          <cell r="E1638"/>
          <cell r="F1638"/>
          <cell r="G1638"/>
          <cell r="H1638"/>
          <cell r="I1638">
            <v>4</v>
          </cell>
          <cell r="J1638"/>
          <cell r="K1638"/>
          <cell r="L1638"/>
          <cell r="M1638"/>
          <cell r="N1638"/>
          <cell r="O1638"/>
        </row>
        <row r="1639">
          <cell r="A1639" t="str">
            <v>696 - FU MINISTERIO BERAKHAH INTERNACIONAL CHEPO #1</v>
          </cell>
          <cell r="B1639"/>
          <cell r="C1639"/>
          <cell r="D1639">
            <v>2</v>
          </cell>
          <cell r="E1639"/>
          <cell r="F1639"/>
          <cell r="G1639"/>
          <cell r="H1639"/>
          <cell r="I1639"/>
          <cell r="J1639"/>
          <cell r="K1639"/>
          <cell r="L1639"/>
          <cell r="M1639"/>
          <cell r="N1639"/>
          <cell r="O1639"/>
        </row>
        <row r="1640">
          <cell r="A1640" t="str">
            <v>472-FU FUNDACION TALITA CUMI</v>
          </cell>
          <cell r="B1640"/>
          <cell r="C1640"/>
          <cell r="D1640">
            <v>2</v>
          </cell>
          <cell r="E1640"/>
          <cell r="F1640"/>
          <cell r="G1640"/>
          <cell r="H1640"/>
          <cell r="I1640"/>
          <cell r="J1640"/>
          <cell r="K1640"/>
          <cell r="L1640"/>
          <cell r="M1640"/>
          <cell r="N1640"/>
          <cell r="O1640"/>
        </row>
        <row r="1641">
          <cell r="A1641" t="str">
            <v>222 ED - MISERICORDIAR</v>
          </cell>
          <cell r="B1641"/>
          <cell r="C1641"/>
          <cell r="D1641">
            <v>54</v>
          </cell>
          <cell r="E1641"/>
          <cell r="F1641"/>
          <cell r="G1641"/>
          <cell r="H1641"/>
          <cell r="I1641"/>
          <cell r="J1641"/>
          <cell r="K1641"/>
          <cell r="L1641"/>
          <cell r="M1641"/>
          <cell r="N1641"/>
          <cell r="O1641"/>
        </row>
        <row r="1642">
          <cell r="A1642" t="str">
            <v>259 IG - ALCANCE VICTORIA PANAMÁ</v>
          </cell>
          <cell r="B1642"/>
          <cell r="C1642">
            <v>2</v>
          </cell>
          <cell r="D1642"/>
          <cell r="E1642"/>
          <cell r="F1642"/>
          <cell r="G1642"/>
          <cell r="H1642"/>
          <cell r="I1642"/>
          <cell r="J1642"/>
          <cell r="K1642"/>
          <cell r="L1642"/>
          <cell r="M1642"/>
          <cell r="N1642"/>
          <cell r="O1642"/>
        </row>
        <row r="1643">
          <cell r="A1643" t="str">
            <v>379-FU Fundacion Ministerio Apostolico Manantial de Vida</v>
          </cell>
          <cell r="B1643"/>
          <cell r="C1643"/>
          <cell r="D1643"/>
          <cell r="E1643"/>
          <cell r="F1643"/>
          <cell r="G1643"/>
          <cell r="H1643">
            <v>10</v>
          </cell>
          <cell r="I1643"/>
          <cell r="J1643"/>
          <cell r="K1643"/>
          <cell r="L1643"/>
          <cell r="M1643"/>
          <cell r="N1643"/>
          <cell r="O1643"/>
        </row>
        <row r="1644">
          <cell r="A1644" t="str">
            <v>630-IG MIN.INTL.DE CRISTO PAZ DE DIOS</v>
          </cell>
          <cell r="B1644"/>
          <cell r="C1644">
            <v>8</v>
          </cell>
          <cell r="D1644"/>
          <cell r="E1644"/>
          <cell r="F1644"/>
          <cell r="G1644"/>
          <cell r="H1644"/>
          <cell r="I1644"/>
          <cell r="J1644"/>
          <cell r="K1644"/>
          <cell r="L1644"/>
          <cell r="M1644"/>
          <cell r="N1644"/>
          <cell r="O1644"/>
        </row>
        <row r="1645">
          <cell r="A1645" t="str">
            <v>397-FU FUNDACION SHALOM PANAMA</v>
          </cell>
          <cell r="B1645"/>
          <cell r="C1645"/>
          <cell r="D1645"/>
          <cell r="E1645">
            <v>2</v>
          </cell>
          <cell r="F1645"/>
          <cell r="G1645"/>
          <cell r="H1645"/>
          <cell r="I1645"/>
          <cell r="J1645"/>
          <cell r="K1645"/>
          <cell r="L1645"/>
          <cell r="M1645"/>
          <cell r="N1645"/>
          <cell r="O1645"/>
        </row>
        <row r="1646">
          <cell r="A1646" t="str">
            <v>697 - FU MINISTERIO BERAKHAH INTERNACIONAL CHEPO #2</v>
          </cell>
          <cell r="B1646"/>
          <cell r="C1646"/>
          <cell r="D1646">
            <v>4</v>
          </cell>
          <cell r="E1646"/>
          <cell r="F1646"/>
          <cell r="G1646"/>
          <cell r="H1646"/>
          <cell r="I1646"/>
          <cell r="J1646"/>
          <cell r="K1646"/>
          <cell r="L1646"/>
          <cell r="M1646"/>
          <cell r="N1646"/>
          <cell r="O1646"/>
        </row>
        <row r="1647">
          <cell r="A1647" t="str">
            <v>195 ED - JUNTOS PODEMOS</v>
          </cell>
          <cell r="B1647"/>
          <cell r="C1647">
            <v>4</v>
          </cell>
          <cell r="D1647"/>
          <cell r="E1647"/>
          <cell r="F1647"/>
          <cell r="G1647"/>
          <cell r="H1647"/>
          <cell r="I1647"/>
          <cell r="J1647"/>
          <cell r="K1647"/>
          <cell r="L1647"/>
          <cell r="M1647"/>
          <cell r="N1647"/>
          <cell r="O1647"/>
        </row>
        <row r="1648">
          <cell r="A1648" t="str">
            <v>653 - FU FUNDACION LUIS CARLOS DIAZ (OESTE)</v>
          </cell>
          <cell r="B1648"/>
          <cell r="C1648"/>
          <cell r="D1648"/>
          <cell r="E1648">
            <v>2</v>
          </cell>
          <cell r="F1648"/>
          <cell r="G1648"/>
          <cell r="H1648"/>
          <cell r="I1648"/>
          <cell r="J1648"/>
          <cell r="K1648"/>
          <cell r="L1648"/>
          <cell r="M1648"/>
          <cell r="N1648"/>
          <cell r="O1648"/>
        </row>
        <row r="1649">
          <cell r="A1649" t="str">
            <v>709 - FU FUNRECRISTO</v>
          </cell>
          <cell r="B1649"/>
          <cell r="C1649"/>
          <cell r="D1649">
            <v>2</v>
          </cell>
          <cell r="E1649"/>
          <cell r="F1649"/>
          <cell r="G1649"/>
          <cell r="H1649"/>
          <cell r="I1649"/>
          <cell r="J1649"/>
          <cell r="K1649"/>
          <cell r="L1649"/>
          <cell r="M1649"/>
          <cell r="N1649"/>
          <cell r="O1649"/>
        </row>
        <row r="1650">
          <cell r="A1650" t="str">
            <v>450-FU MINISTERIO DE RESTAURACION EFESIOS 4 (ESTE)</v>
          </cell>
          <cell r="B1650"/>
          <cell r="C1650"/>
          <cell r="D1650">
            <v>2</v>
          </cell>
          <cell r="E1650"/>
          <cell r="F1650"/>
          <cell r="G1650"/>
          <cell r="H1650"/>
          <cell r="I1650"/>
          <cell r="J1650"/>
          <cell r="K1650"/>
          <cell r="L1650"/>
          <cell r="M1650"/>
          <cell r="N1650"/>
          <cell r="O1650"/>
        </row>
        <row r="1651">
          <cell r="A1651" t="str">
            <v>380-ED COMEDOR COMUNITARIO CASA DEL ALFARERO</v>
          </cell>
          <cell r="B1651"/>
          <cell r="C1651"/>
          <cell r="D1651">
            <v>2</v>
          </cell>
          <cell r="E1651"/>
          <cell r="F1651"/>
          <cell r="G1651"/>
          <cell r="H1651"/>
          <cell r="I1651"/>
          <cell r="J1651"/>
          <cell r="K1651"/>
          <cell r="L1651"/>
          <cell r="M1651"/>
          <cell r="N1651"/>
          <cell r="O1651"/>
        </row>
        <row r="1652">
          <cell r="A1652" t="str">
            <v>116 AS - ASOCIACIÓN IGLESIA DE CRISTO ESTRELLA CRECIENTE</v>
          </cell>
          <cell r="B1652"/>
          <cell r="C1652"/>
          <cell r="D1652">
            <v>2</v>
          </cell>
          <cell r="E1652"/>
          <cell r="F1652"/>
          <cell r="G1652"/>
          <cell r="H1652"/>
          <cell r="I1652"/>
          <cell r="J1652"/>
          <cell r="K1652"/>
          <cell r="L1652"/>
          <cell r="M1652"/>
          <cell r="N1652"/>
          <cell r="O1652"/>
        </row>
        <row r="1653">
          <cell r="A1653" t="str">
            <v>417-AS CLUB DE LEONES DE PEDREGAL (ESTE)</v>
          </cell>
          <cell r="B1653"/>
          <cell r="C1653"/>
          <cell r="D1653">
            <v>4</v>
          </cell>
          <cell r="E1653"/>
          <cell r="F1653"/>
          <cell r="G1653"/>
          <cell r="H1653"/>
          <cell r="I1653"/>
          <cell r="J1653"/>
          <cell r="K1653"/>
          <cell r="L1653"/>
          <cell r="M1653"/>
          <cell r="N1653"/>
          <cell r="O1653"/>
        </row>
        <row r="1654">
          <cell r="A1654" t="str">
            <v>252 IG - MINISTERIO INTERNACIONAL DE AMISTADES CRISTIANAS</v>
          </cell>
          <cell r="B1654"/>
          <cell r="C1654"/>
          <cell r="D1654">
            <v>2</v>
          </cell>
          <cell r="E1654"/>
          <cell r="F1654"/>
          <cell r="G1654"/>
          <cell r="H1654"/>
          <cell r="I1654"/>
          <cell r="J1654"/>
          <cell r="K1654"/>
          <cell r="L1654"/>
          <cell r="M1654"/>
          <cell r="N1654"/>
          <cell r="O1654"/>
        </row>
        <row r="1655">
          <cell r="A1655" t="str">
            <v>339-AS ASOCIACION RESIDENCIA LISBETH</v>
          </cell>
          <cell r="B1655"/>
          <cell r="C1655"/>
          <cell r="D1655">
            <v>4</v>
          </cell>
          <cell r="E1655"/>
          <cell r="F1655"/>
          <cell r="G1655"/>
          <cell r="H1655"/>
          <cell r="I1655"/>
          <cell r="J1655"/>
          <cell r="K1655"/>
          <cell r="L1655"/>
          <cell r="M1655"/>
          <cell r="N1655"/>
          <cell r="O1655"/>
        </row>
        <row r="1656">
          <cell r="A1656" t="str">
            <v>144 OR - HERMANAS DE SAN JOSÉ DE LA APARICIÓN (RETIRA EN EL BANCO)</v>
          </cell>
          <cell r="B1656"/>
          <cell r="C1656"/>
          <cell r="D1656">
            <v>2</v>
          </cell>
          <cell r="E1656"/>
          <cell r="F1656"/>
          <cell r="G1656"/>
          <cell r="H1656"/>
          <cell r="I1656"/>
          <cell r="J1656"/>
          <cell r="K1656"/>
          <cell r="L1656"/>
          <cell r="M1656"/>
          <cell r="N1656"/>
          <cell r="O1656"/>
        </row>
        <row r="1657">
          <cell r="A1657" t="str">
            <v>270 FU - FUNDACIÓN MISERICORDIA DE DON BOSCO (OESTE)</v>
          </cell>
          <cell r="B1657"/>
          <cell r="C1657"/>
          <cell r="D1657"/>
          <cell r="E1657">
            <v>2</v>
          </cell>
          <cell r="F1657"/>
          <cell r="G1657"/>
          <cell r="H1657"/>
          <cell r="I1657"/>
          <cell r="J1657"/>
          <cell r="K1657"/>
          <cell r="L1657"/>
          <cell r="M1657"/>
          <cell r="N1657"/>
          <cell r="O1657"/>
        </row>
        <row r="1658">
          <cell r="A1658" t="str">
            <v>274 IG - AMIGOS DE JESÚS (CENTRO1)</v>
          </cell>
          <cell r="B1658"/>
          <cell r="C1658"/>
          <cell r="D1658">
            <v>2</v>
          </cell>
          <cell r="E1658"/>
          <cell r="F1658"/>
          <cell r="G1658"/>
          <cell r="H1658"/>
          <cell r="I1658"/>
          <cell r="J1658"/>
          <cell r="K1658"/>
          <cell r="L1658"/>
          <cell r="M1658"/>
          <cell r="N1658"/>
          <cell r="O1658"/>
        </row>
        <row r="1659">
          <cell r="A1659" t="str">
            <v>698 - FU MINISTERIO BERAKHAH INTERNACIONAL PASO BLANCO</v>
          </cell>
          <cell r="B1659"/>
          <cell r="C1659"/>
          <cell r="D1659">
            <v>2</v>
          </cell>
          <cell r="E1659"/>
          <cell r="F1659"/>
          <cell r="G1659"/>
          <cell r="H1659"/>
          <cell r="I1659"/>
          <cell r="J1659"/>
          <cell r="K1659"/>
          <cell r="L1659"/>
          <cell r="M1659"/>
          <cell r="N1659"/>
          <cell r="O1659"/>
        </row>
        <row r="1660">
          <cell r="A1660" t="str">
            <v>681 - FU FUNDACION NUEVA SOCIEDAD (NORTE)</v>
          </cell>
          <cell r="B1660"/>
          <cell r="C1660"/>
          <cell r="D1660"/>
          <cell r="E1660"/>
          <cell r="F1660"/>
          <cell r="G1660"/>
          <cell r="H1660"/>
          <cell r="I1660">
            <v>4</v>
          </cell>
          <cell r="J1660"/>
          <cell r="K1660"/>
          <cell r="L1660"/>
          <cell r="M1660"/>
          <cell r="N1660"/>
          <cell r="O1660"/>
        </row>
        <row r="1661">
          <cell r="A1661" t="str">
            <v>377-FU CENTRO CRISTIANO CASA DE DIOS PANAMA</v>
          </cell>
          <cell r="B1661"/>
          <cell r="C1661"/>
          <cell r="D1661"/>
          <cell r="E1661"/>
          <cell r="F1661"/>
          <cell r="G1661">
            <v>7</v>
          </cell>
          <cell r="H1661"/>
          <cell r="I1661"/>
          <cell r="J1661"/>
          <cell r="K1661"/>
          <cell r="L1661"/>
          <cell r="M1661"/>
          <cell r="N1661"/>
          <cell r="O1661"/>
        </row>
        <row r="1662">
          <cell r="A1662" t="str">
            <v>595-FU CENTRO DE LA MUJER Y LA NIÑEZ</v>
          </cell>
          <cell r="B1662"/>
          <cell r="C1662">
            <v>2</v>
          </cell>
          <cell r="D1662"/>
          <cell r="E1662"/>
          <cell r="F1662"/>
          <cell r="G1662"/>
          <cell r="H1662"/>
          <cell r="I1662"/>
          <cell r="J1662"/>
          <cell r="K1662"/>
          <cell r="L1662"/>
          <cell r="M1662"/>
          <cell r="N1662"/>
          <cell r="O1662"/>
        </row>
        <row r="1663">
          <cell r="A1663" t="str">
            <v>669 - IG IGLESIA CAMINO DE SANTIDAD (COLON)</v>
          </cell>
          <cell r="B1663"/>
          <cell r="C1663"/>
          <cell r="D1663"/>
          <cell r="E1663"/>
          <cell r="F1663"/>
          <cell r="G1663"/>
          <cell r="H1663">
            <v>2</v>
          </cell>
          <cell r="I1663"/>
          <cell r="J1663"/>
          <cell r="K1663"/>
          <cell r="L1663"/>
          <cell r="M1663"/>
          <cell r="N1663"/>
          <cell r="O1663"/>
        </row>
        <row r="1664">
          <cell r="A1664" t="str">
            <v>360-IG IGLESIA CRISTIANA CASA DE REUNION</v>
          </cell>
          <cell r="B1664"/>
          <cell r="C1664"/>
          <cell r="D1664"/>
          <cell r="E1664"/>
          <cell r="F1664"/>
          <cell r="G1664">
            <v>5</v>
          </cell>
          <cell r="H1664"/>
          <cell r="I1664"/>
          <cell r="J1664"/>
          <cell r="K1664"/>
          <cell r="L1664"/>
          <cell r="M1664"/>
          <cell r="N1664"/>
          <cell r="O1664"/>
        </row>
        <row r="1665">
          <cell r="A1665" t="str">
            <v>719 FU FUNDACION VIDA NUEVA EL SHADDAI</v>
          </cell>
          <cell r="B1665"/>
          <cell r="C1665"/>
          <cell r="D1665"/>
          <cell r="E1665"/>
          <cell r="F1665"/>
          <cell r="G1665">
            <v>2</v>
          </cell>
          <cell r="H1665"/>
          <cell r="I1665"/>
          <cell r="J1665"/>
          <cell r="K1665"/>
          <cell r="L1665"/>
          <cell r="M1665"/>
          <cell r="N1665"/>
          <cell r="O1665"/>
        </row>
        <row r="1666">
          <cell r="A1666" t="str">
            <v>684 - FU FUNDACION CASA DEL REY JESUS (CENTRO 2)</v>
          </cell>
          <cell r="B1666"/>
          <cell r="C1666">
            <v>14</v>
          </cell>
          <cell r="D1666"/>
          <cell r="E1666"/>
          <cell r="F1666"/>
          <cell r="G1666"/>
          <cell r="H1666"/>
          <cell r="I1666"/>
          <cell r="J1666"/>
          <cell r="K1666"/>
          <cell r="L1666"/>
          <cell r="M1666"/>
          <cell r="N1666"/>
          <cell r="O1666"/>
        </row>
        <row r="1667">
          <cell r="A1667" t="str">
            <v>723 ASOCIACION AQUI ESTOY</v>
          </cell>
          <cell r="B1667"/>
          <cell r="C1667"/>
          <cell r="D1667"/>
          <cell r="E1667">
            <v>2</v>
          </cell>
          <cell r="F1667"/>
          <cell r="G1667"/>
          <cell r="H1667"/>
          <cell r="I1667"/>
          <cell r="J1667"/>
          <cell r="K1667"/>
          <cell r="L1667"/>
          <cell r="M1667"/>
          <cell r="N1667"/>
          <cell r="O1667"/>
        </row>
        <row r="1668">
          <cell r="A1668" t="str">
            <v>596 IG- IGLESIA EVANGELICA TRINITARIA DIOS FUENTE DE PODER</v>
          </cell>
          <cell r="B1668"/>
          <cell r="C1668">
            <v>2</v>
          </cell>
          <cell r="D1668"/>
          <cell r="E1668"/>
          <cell r="F1668"/>
          <cell r="G1668"/>
          <cell r="H1668"/>
          <cell r="I1668"/>
          <cell r="J1668"/>
          <cell r="K1668"/>
          <cell r="L1668"/>
          <cell r="M1668"/>
          <cell r="N1668"/>
          <cell r="O1668"/>
        </row>
        <row r="1669">
          <cell r="A1669" t="str">
            <v>707 - FU MINISTERIO BERAKHAH INTERNACIONAL CAIMITILLO</v>
          </cell>
          <cell r="B1669"/>
          <cell r="C1669"/>
          <cell r="D1669"/>
          <cell r="E1669"/>
          <cell r="F1669"/>
          <cell r="G1669"/>
          <cell r="H1669"/>
          <cell r="I1669">
            <v>4</v>
          </cell>
          <cell r="J1669"/>
          <cell r="K1669"/>
          <cell r="L1669"/>
          <cell r="M1669"/>
          <cell r="N1669"/>
          <cell r="O1669"/>
        </row>
        <row r="1670">
          <cell r="A1670" t="str">
            <v>229 PA - PARROQUIA SAN CRISTOBAL DE CHEPO</v>
          </cell>
          <cell r="B1670"/>
          <cell r="C1670"/>
          <cell r="D1670">
            <v>2</v>
          </cell>
          <cell r="E1670"/>
          <cell r="F1670"/>
          <cell r="G1670"/>
          <cell r="H1670"/>
          <cell r="I1670"/>
          <cell r="J1670"/>
          <cell r="K1670"/>
          <cell r="L1670"/>
          <cell r="M1670"/>
          <cell r="N1670"/>
          <cell r="O1670"/>
        </row>
        <row r="1671">
          <cell r="A1671" t="str">
            <v>738- IG MINISTERIO DIOS CON NOSOTROS EMANUEL</v>
          </cell>
          <cell r="B1671"/>
          <cell r="C1671"/>
          <cell r="D1671">
            <v>4</v>
          </cell>
          <cell r="E1671"/>
          <cell r="F1671"/>
          <cell r="G1671"/>
          <cell r="H1671"/>
          <cell r="I1671"/>
          <cell r="J1671"/>
          <cell r="K1671"/>
          <cell r="L1671"/>
          <cell r="M1671"/>
          <cell r="N1671"/>
          <cell r="O1671"/>
        </row>
        <row r="1672">
          <cell r="A1672" t="str">
            <v>745-FU CASA DE MISERICORDIA</v>
          </cell>
          <cell r="B1672"/>
          <cell r="C1672">
            <v>2</v>
          </cell>
          <cell r="D1672"/>
          <cell r="E1672"/>
          <cell r="F1672"/>
          <cell r="G1672"/>
          <cell r="H1672"/>
          <cell r="I1672"/>
          <cell r="J1672"/>
          <cell r="K1672"/>
          <cell r="L1672"/>
          <cell r="M1672"/>
          <cell r="N1672"/>
          <cell r="O1672"/>
        </row>
        <row r="1673">
          <cell r="A1673" t="str">
            <v>741-IG BUNKER DE ESPERANZA</v>
          </cell>
          <cell r="B1673"/>
          <cell r="C1673"/>
          <cell r="D1673">
            <v>8</v>
          </cell>
          <cell r="E1673"/>
          <cell r="F1673"/>
          <cell r="G1673"/>
          <cell r="H1673"/>
          <cell r="I1673"/>
          <cell r="J1673"/>
          <cell r="K1673"/>
          <cell r="L1673"/>
          <cell r="M1673"/>
          <cell r="N1673"/>
          <cell r="O1673"/>
        </row>
        <row r="1674">
          <cell r="A1674" t="str">
            <v>760-FU AYUDAME A VIVIR</v>
          </cell>
          <cell r="B1674"/>
          <cell r="C1674"/>
          <cell r="D1674"/>
          <cell r="E1674"/>
          <cell r="F1674"/>
          <cell r="G1674"/>
          <cell r="H1674"/>
          <cell r="I1674">
            <v>2</v>
          </cell>
          <cell r="J1674"/>
          <cell r="K1674"/>
          <cell r="L1674"/>
          <cell r="M1674"/>
          <cell r="N1674"/>
          <cell r="O1674"/>
        </row>
        <row r="1675">
          <cell r="A1675" t="str">
            <v>275 IG CONCILIO GENERAL DE LAS ASAMBLEAS DE DIOS DE PANAMÁ</v>
          </cell>
          <cell r="B1675"/>
          <cell r="C1675">
            <v>2</v>
          </cell>
          <cell r="D1675"/>
          <cell r="E1675"/>
          <cell r="F1675"/>
          <cell r="G1675"/>
          <cell r="H1675"/>
          <cell r="I1675"/>
          <cell r="J1675"/>
          <cell r="K1675"/>
          <cell r="L1675"/>
          <cell r="M1675"/>
          <cell r="N1675"/>
          <cell r="O1675"/>
        </row>
        <row r="1676">
          <cell r="A1676" t="str">
            <v>785-FU FUNDACION GOTAS DE ESPERANZA</v>
          </cell>
          <cell r="B1676"/>
          <cell r="C1676"/>
          <cell r="D1676"/>
          <cell r="E1676">
            <v>8</v>
          </cell>
          <cell r="F1676"/>
          <cell r="G1676"/>
          <cell r="H1676"/>
          <cell r="I1676"/>
          <cell r="J1676"/>
          <cell r="K1676"/>
          <cell r="L1676"/>
          <cell r="M1676"/>
          <cell r="N1676"/>
          <cell r="O1676"/>
        </row>
        <row r="1677">
          <cell r="A1677" t="str">
            <v>789-FU Fundación Rescate de Alimentos</v>
          </cell>
          <cell r="B1677"/>
          <cell r="C1677">
            <v>2</v>
          </cell>
          <cell r="D1677"/>
          <cell r="E1677"/>
          <cell r="F1677"/>
          <cell r="G1677"/>
          <cell r="H1677"/>
          <cell r="I1677"/>
          <cell r="J1677"/>
          <cell r="K1677"/>
          <cell r="L1677"/>
          <cell r="M1677"/>
          <cell r="N1677"/>
          <cell r="O1677"/>
        </row>
        <row r="1678">
          <cell r="A1678" t="str">
            <v>793-FU Fundación Príncipes de Jehová</v>
          </cell>
          <cell r="B1678"/>
          <cell r="C1678"/>
          <cell r="D1678"/>
          <cell r="E1678"/>
          <cell r="F1678"/>
          <cell r="G1678"/>
          <cell r="H1678"/>
          <cell r="I1678">
            <v>6</v>
          </cell>
          <cell r="J1678"/>
          <cell r="K1678"/>
          <cell r="L1678"/>
          <cell r="M1678"/>
          <cell r="N1678"/>
          <cell r="O1678"/>
        </row>
        <row r="1679">
          <cell r="A1679" t="str">
            <v>232 IG MINISTERIO TIEMPO DE COSECHA</v>
          </cell>
          <cell r="B1679"/>
          <cell r="C1679"/>
          <cell r="D1679"/>
          <cell r="E1679"/>
          <cell r="F1679"/>
          <cell r="G1679"/>
          <cell r="H1679"/>
          <cell r="I1679">
            <v>2</v>
          </cell>
          <cell r="J1679"/>
          <cell r="K1679"/>
          <cell r="L1679"/>
          <cell r="M1679"/>
          <cell r="N1679"/>
          <cell r="O1679"/>
        </row>
        <row r="1680">
          <cell r="A1680" t="str">
            <v>253 FU - FUNDACIÓN PARA EL BIENESTAR SOCIAL (CENTRO2)</v>
          </cell>
          <cell r="B1680"/>
          <cell r="C1680">
            <v>2</v>
          </cell>
          <cell r="D1680"/>
          <cell r="E1680"/>
          <cell r="F1680"/>
          <cell r="G1680"/>
          <cell r="H1680"/>
          <cell r="I1680"/>
          <cell r="J1680"/>
          <cell r="K1680"/>
          <cell r="L1680"/>
          <cell r="M1680"/>
          <cell r="N1680"/>
          <cell r="O1680"/>
        </row>
        <row r="1681">
          <cell r="A1681" t="str">
            <v>463-FU MINISTERIO BERAKHAH INTERNACIONAL COMEDOR OASIS DE ESPERANZA (ESTE)</v>
          </cell>
          <cell r="B1681"/>
          <cell r="C1681"/>
          <cell r="D1681">
            <v>6</v>
          </cell>
          <cell r="E1681"/>
          <cell r="F1681"/>
          <cell r="G1681"/>
          <cell r="H1681"/>
          <cell r="I1681"/>
          <cell r="J1681"/>
          <cell r="K1681"/>
          <cell r="L1681"/>
          <cell r="M1681"/>
          <cell r="N1681"/>
          <cell r="O1681"/>
        </row>
        <row r="1682">
          <cell r="A1682" t="str">
            <v>375-FU Ministerio a Dios sea la Gloria</v>
          </cell>
          <cell r="B1682"/>
          <cell r="C1682">
            <v>2</v>
          </cell>
          <cell r="D1682"/>
          <cell r="E1682"/>
          <cell r="F1682"/>
          <cell r="G1682"/>
          <cell r="H1682"/>
          <cell r="I1682"/>
          <cell r="J1682"/>
          <cell r="K1682"/>
          <cell r="L1682"/>
          <cell r="M1682"/>
          <cell r="N1682"/>
          <cell r="O1682"/>
        </row>
        <row r="1683">
          <cell r="A1683" t="str">
            <v>802-IG IGLESIA INTERNACIONAL DEL EVANGELIO CUADRANGULAR DE PANAMÁ</v>
          </cell>
          <cell r="B1683"/>
          <cell r="C1683">
            <v>2</v>
          </cell>
          <cell r="D1683"/>
          <cell r="E1683"/>
          <cell r="F1683"/>
          <cell r="G1683"/>
          <cell r="H1683"/>
          <cell r="I1683"/>
          <cell r="J1683"/>
          <cell r="K1683"/>
          <cell r="L1683"/>
          <cell r="M1683"/>
          <cell r="N1683"/>
          <cell r="O1683"/>
        </row>
        <row r="1684">
          <cell r="A1684" t="str">
            <v>786-FU ACADEMIA DE FUTBOL ROMAN TORRES</v>
          </cell>
          <cell r="B1684"/>
          <cell r="C1684">
            <v>2</v>
          </cell>
          <cell r="D1684"/>
          <cell r="E1684"/>
          <cell r="F1684"/>
          <cell r="G1684"/>
          <cell r="H1684"/>
          <cell r="I1684"/>
          <cell r="J1684"/>
          <cell r="K1684"/>
          <cell r="L1684"/>
          <cell r="M1684"/>
          <cell r="N1684"/>
          <cell r="O1684"/>
        </row>
        <row r="1685">
          <cell r="A1685" t="str">
            <v>245-FU MINISTERIO BERAKHAH INTERNACIONAL CUENTA PRINCIPAL</v>
          </cell>
          <cell r="B1685"/>
          <cell r="C1685"/>
          <cell r="D1685">
            <v>4</v>
          </cell>
          <cell r="E1685"/>
          <cell r="F1685"/>
          <cell r="G1685"/>
          <cell r="H1685"/>
          <cell r="I1685"/>
          <cell r="J1685"/>
          <cell r="K1685"/>
          <cell r="L1685"/>
          <cell r="M1685"/>
          <cell r="N1685"/>
          <cell r="O1685"/>
        </row>
        <row r="1686">
          <cell r="A1686" t="str">
            <v>PEDERSEN FINE FOODS, S.A</v>
          </cell>
          <cell r="B1686"/>
          <cell r="C1686">
            <v>35</v>
          </cell>
          <cell r="D1686">
            <v>20</v>
          </cell>
          <cell r="E1686">
            <v>20</v>
          </cell>
          <cell r="F1686"/>
          <cell r="G1686">
            <v>10</v>
          </cell>
          <cell r="H1686"/>
          <cell r="I1686">
            <v>45</v>
          </cell>
          <cell r="J1686"/>
          <cell r="K1686"/>
          <cell r="L1686"/>
          <cell r="M1686"/>
          <cell r="N1686"/>
          <cell r="O1686"/>
        </row>
        <row r="1687">
          <cell r="A1687" t="str">
            <v>702 - FU MINISTERIO BERAKHAH INTERNACIONAL ARRAIJAN</v>
          </cell>
          <cell r="B1687"/>
          <cell r="C1687"/>
          <cell r="D1687"/>
          <cell r="E1687">
            <v>5</v>
          </cell>
          <cell r="F1687"/>
          <cell r="G1687"/>
          <cell r="H1687"/>
          <cell r="I1687"/>
          <cell r="J1687"/>
          <cell r="K1687"/>
          <cell r="L1687"/>
          <cell r="M1687"/>
          <cell r="N1687"/>
          <cell r="O1687"/>
        </row>
        <row r="1688">
          <cell r="A1688" t="str">
            <v>207 IG - IGLESIA CENTRO DE VIDA CRISTIANA</v>
          </cell>
          <cell r="B1688"/>
          <cell r="C1688"/>
          <cell r="D1688">
            <v>5</v>
          </cell>
          <cell r="E1688"/>
          <cell r="F1688"/>
          <cell r="G1688"/>
          <cell r="H1688"/>
          <cell r="I1688"/>
          <cell r="J1688"/>
          <cell r="K1688"/>
          <cell r="L1688"/>
          <cell r="M1688"/>
          <cell r="N1688"/>
          <cell r="O1688"/>
        </row>
        <row r="1689">
          <cell r="A1689" t="str">
            <v>373-FU MINISTERIO INTERNACIONAL BOANERGES</v>
          </cell>
          <cell r="B1689"/>
          <cell r="C1689"/>
          <cell r="D1689"/>
          <cell r="E1689"/>
          <cell r="F1689"/>
          <cell r="G1689"/>
          <cell r="H1689"/>
          <cell r="I1689">
            <v>10</v>
          </cell>
          <cell r="J1689"/>
          <cell r="K1689"/>
          <cell r="L1689"/>
          <cell r="M1689"/>
          <cell r="N1689"/>
          <cell r="O1689"/>
        </row>
        <row r="1690">
          <cell r="A1690" t="str">
            <v>696 - FU MINISTERIO BERAKHAH INTERNACIONAL CHEPO #1</v>
          </cell>
          <cell r="B1690"/>
          <cell r="C1690"/>
          <cell r="D1690">
            <v>5</v>
          </cell>
          <cell r="E1690"/>
          <cell r="F1690"/>
          <cell r="G1690"/>
          <cell r="H1690"/>
          <cell r="I1690"/>
          <cell r="J1690"/>
          <cell r="K1690"/>
          <cell r="L1690"/>
          <cell r="M1690"/>
          <cell r="N1690"/>
          <cell r="O1690"/>
        </row>
        <row r="1691">
          <cell r="A1691" t="str">
            <v>697 - FU MINISTERIO BERAKHAH INTERNACIONAL CHEPO #2</v>
          </cell>
          <cell r="B1691"/>
          <cell r="C1691"/>
          <cell r="D1691">
            <v>5</v>
          </cell>
          <cell r="E1691"/>
          <cell r="F1691"/>
          <cell r="G1691"/>
          <cell r="H1691"/>
          <cell r="I1691"/>
          <cell r="J1691"/>
          <cell r="K1691"/>
          <cell r="L1691"/>
          <cell r="M1691"/>
          <cell r="N1691"/>
          <cell r="O1691"/>
        </row>
        <row r="1692">
          <cell r="A1692" t="str">
            <v>195 ED - JUNTOS PODEMOS</v>
          </cell>
          <cell r="B1692"/>
          <cell r="C1692">
            <v>15</v>
          </cell>
          <cell r="D1692"/>
          <cell r="E1692"/>
          <cell r="F1692"/>
          <cell r="G1692"/>
          <cell r="H1692"/>
          <cell r="I1692"/>
          <cell r="J1692"/>
          <cell r="K1692"/>
          <cell r="L1692"/>
          <cell r="M1692"/>
          <cell r="N1692"/>
          <cell r="O1692"/>
        </row>
        <row r="1693">
          <cell r="A1693" t="str">
            <v>423-FU FUNDACION CONSTRUYENDO VIDAS EN PANAMA</v>
          </cell>
          <cell r="B1693"/>
          <cell r="C1693"/>
          <cell r="D1693"/>
          <cell r="E1693">
            <v>5</v>
          </cell>
          <cell r="F1693"/>
          <cell r="G1693"/>
          <cell r="H1693"/>
          <cell r="I1693"/>
          <cell r="J1693"/>
          <cell r="K1693"/>
          <cell r="L1693"/>
          <cell r="M1693"/>
          <cell r="N1693"/>
          <cell r="O1693"/>
        </row>
        <row r="1694">
          <cell r="A1694" t="str">
            <v>339-AS ASOCIACION RESIDENCIA LISBETH</v>
          </cell>
          <cell r="B1694"/>
          <cell r="C1694"/>
          <cell r="D1694">
            <v>5</v>
          </cell>
          <cell r="E1694"/>
          <cell r="F1694"/>
          <cell r="G1694"/>
          <cell r="H1694"/>
          <cell r="I1694"/>
          <cell r="J1694"/>
          <cell r="K1694"/>
          <cell r="L1694"/>
          <cell r="M1694"/>
          <cell r="N1694"/>
          <cell r="O1694"/>
        </row>
        <row r="1695">
          <cell r="A1695" t="str">
            <v>491-FU Fundación Aleluya</v>
          </cell>
          <cell r="B1695"/>
          <cell r="C1695"/>
          <cell r="D1695"/>
          <cell r="E1695"/>
          <cell r="F1695"/>
          <cell r="G1695">
            <v>5</v>
          </cell>
          <cell r="H1695"/>
          <cell r="I1695"/>
          <cell r="J1695"/>
          <cell r="K1695"/>
          <cell r="L1695"/>
          <cell r="M1695"/>
          <cell r="N1695"/>
          <cell r="O1695"/>
        </row>
        <row r="1696">
          <cell r="A1696" t="str">
            <v>360-IG IGLESIA CRISTIANA CASA DE REUNION</v>
          </cell>
          <cell r="B1696"/>
          <cell r="C1696"/>
          <cell r="D1696"/>
          <cell r="E1696"/>
          <cell r="F1696"/>
          <cell r="G1696">
            <v>5</v>
          </cell>
          <cell r="H1696"/>
          <cell r="I1696"/>
          <cell r="J1696"/>
          <cell r="K1696"/>
          <cell r="L1696"/>
          <cell r="M1696"/>
          <cell r="N1696"/>
          <cell r="O1696"/>
        </row>
        <row r="1697">
          <cell r="A1697" t="str">
            <v>596 IG- IGLESIA EVANGELICA TRINITARIA DIOS FUENTE DE PODER</v>
          </cell>
          <cell r="B1697"/>
          <cell r="C1697">
            <v>10</v>
          </cell>
          <cell r="D1697"/>
          <cell r="E1697"/>
          <cell r="F1697"/>
          <cell r="G1697"/>
          <cell r="H1697"/>
          <cell r="I1697"/>
          <cell r="J1697"/>
          <cell r="K1697"/>
          <cell r="L1697"/>
          <cell r="M1697"/>
          <cell r="N1697"/>
          <cell r="O1697"/>
        </row>
        <row r="1698">
          <cell r="A1698" t="str">
            <v>707 - FU MINISTERIO BERAKHAH INTERNACIONAL CAIMITILLO</v>
          </cell>
          <cell r="B1698"/>
          <cell r="C1698"/>
          <cell r="D1698"/>
          <cell r="E1698"/>
          <cell r="F1698"/>
          <cell r="G1698"/>
          <cell r="H1698"/>
          <cell r="I1698">
            <v>5</v>
          </cell>
          <cell r="J1698"/>
          <cell r="K1698"/>
          <cell r="L1698"/>
          <cell r="M1698"/>
          <cell r="N1698"/>
          <cell r="O1698"/>
        </row>
        <row r="1699">
          <cell r="A1699" t="str">
            <v>166 FU - FUNDACION CURAME</v>
          </cell>
          <cell r="B1699"/>
          <cell r="C1699">
            <v>5</v>
          </cell>
          <cell r="D1699"/>
          <cell r="E1699"/>
          <cell r="F1699"/>
          <cell r="G1699"/>
          <cell r="H1699"/>
          <cell r="I1699"/>
          <cell r="J1699"/>
          <cell r="K1699"/>
          <cell r="L1699"/>
          <cell r="M1699"/>
          <cell r="N1699"/>
          <cell r="O1699"/>
        </row>
        <row r="1700">
          <cell r="A1700" t="str">
            <v>748-IG MINISTERIO JESUCRISTO ES EL PAN DE VIDA</v>
          </cell>
          <cell r="B1700"/>
          <cell r="C1700"/>
          <cell r="D1700"/>
          <cell r="E1700"/>
          <cell r="F1700"/>
          <cell r="G1700"/>
          <cell r="H1700"/>
          <cell r="I1700">
            <v>10</v>
          </cell>
          <cell r="J1700"/>
          <cell r="K1700"/>
          <cell r="L1700"/>
          <cell r="M1700"/>
          <cell r="N1700"/>
          <cell r="O1700"/>
        </row>
        <row r="1701">
          <cell r="A1701" t="str">
            <v>760-FU AYUDAME A VIVIR</v>
          </cell>
          <cell r="B1701"/>
          <cell r="C1701"/>
          <cell r="D1701"/>
          <cell r="E1701"/>
          <cell r="F1701"/>
          <cell r="G1701"/>
          <cell r="H1701"/>
          <cell r="I1701">
            <v>15</v>
          </cell>
          <cell r="J1701"/>
          <cell r="K1701"/>
          <cell r="L1701"/>
          <cell r="M1701"/>
          <cell r="N1701"/>
          <cell r="O1701"/>
        </row>
        <row r="1702">
          <cell r="A1702" t="str">
            <v>785-FU FUNDACION GOTAS DE ESPERANZA</v>
          </cell>
          <cell r="B1702"/>
          <cell r="C1702"/>
          <cell r="D1702"/>
          <cell r="E1702">
            <v>5</v>
          </cell>
          <cell r="F1702"/>
          <cell r="G1702"/>
          <cell r="H1702"/>
          <cell r="I1702"/>
          <cell r="J1702"/>
          <cell r="K1702"/>
          <cell r="L1702"/>
          <cell r="M1702"/>
          <cell r="N1702"/>
          <cell r="O1702"/>
        </row>
        <row r="1703">
          <cell r="A1703" t="str">
            <v>789-FU Fundación Rescate de Alimentos</v>
          </cell>
          <cell r="B1703"/>
          <cell r="C1703">
            <v>5</v>
          </cell>
          <cell r="D1703"/>
          <cell r="E1703"/>
          <cell r="F1703"/>
          <cell r="G1703"/>
          <cell r="H1703"/>
          <cell r="I1703"/>
          <cell r="J1703"/>
          <cell r="K1703"/>
          <cell r="L1703"/>
          <cell r="M1703"/>
          <cell r="N1703"/>
          <cell r="O1703"/>
        </row>
        <row r="1704">
          <cell r="A1704" t="str">
            <v>793-FU Fundación Príncipes de Jehová</v>
          </cell>
          <cell r="B1704"/>
          <cell r="C1704"/>
          <cell r="D1704"/>
          <cell r="E1704"/>
          <cell r="F1704"/>
          <cell r="G1704"/>
          <cell r="H1704"/>
          <cell r="I1704">
            <v>5</v>
          </cell>
          <cell r="J1704"/>
          <cell r="K1704"/>
          <cell r="L1704"/>
          <cell r="M1704"/>
          <cell r="N1704"/>
          <cell r="O1704"/>
        </row>
        <row r="1705">
          <cell r="A1705" t="str">
            <v>3 IG - IGLESIA DEL NAZARENO</v>
          </cell>
          <cell r="B1705"/>
          <cell r="C1705"/>
          <cell r="D1705"/>
          <cell r="E1705">
            <v>5</v>
          </cell>
          <cell r="F1705"/>
          <cell r="G1705"/>
          <cell r="H1705"/>
          <cell r="I1705"/>
          <cell r="J1705"/>
          <cell r="K1705"/>
          <cell r="L1705"/>
          <cell r="M1705"/>
          <cell r="N1705"/>
          <cell r="O1705"/>
        </row>
        <row r="1706">
          <cell r="A1706" t="str">
            <v>PANASAL</v>
          </cell>
          <cell r="B1706"/>
          <cell r="C1706">
            <v>19</v>
          </cell>
          <cell r="D1706">
            <v>18</v>
          </cell>
          <cell r="E1706">
            <v>2</v>
          </cell>
          <cell r="F1706"/>
          <cell r="G1706">
            <v>1</v>
          </cell>
          <cell r="H1706">
            <v>10</v>
          </cell>
          <cell r="I1706">
            <v>6</v>
          </cell>
          <cell r="J1706"/>
          <cell r="K1706"/>
          <cell r="L1706"/>
          <cell r="M1706"/>
          <cell r="N1706"/>
          <cell r="O1706"/>
        </row>
        <row r="1707">
          <cell r="A1707" t="str">
            <v>636- FU JAH - LIVE (JAHL) - COLON</v>
          </cell>
          <cell r="B1707"/>
          <cell r="C1707"/>
          <cell r="D1707"/>
          <cell r="E1707"/>
          <cell r="F1707"/>
          <cell r="G1707"/>
          <cell r="H1707">
            <v>9</v>
          </cell>
          <cell r="I1707"/>
          <cell r="J1707"/>
          <cell r="K1707"/>
          <cell r="L1707"/>
          <cell r="M1707"/>
          <cell r="N1707"/>
          <cell r="O1707"/>
        </row>
        <row r="1708">
          <cell r="A1708" t="str">
            <v>224 OR MISIONERAS DE LA CARIDAD DE COLON</v>
          </cell>
          <cell r="B1708"/>
          <cell r="C1708"/>
          <cell r="D1708"/>
          <cell r="E1708"/>
          <cell r="F1708"/>
          <cell r="G1708"/>
          <cell r="H1708">
            <v>1</v>
          </cell>
          <cell r="I1708"/>
          <cell r="J1708"/>
          <cell r="K1708"/>
          <cell r="L1708"/>
          <cell r="M1708"/>
          <cell r="N1708"/>
          <cell r="O1708"/>
        </row>
        <row r="1709">
          <cell r="A1709" t="str">
            <v>694 - FU MINISTERIO BERAKHAH INTERNACIONAL TOCUMEN #2</v>
          </cell>
          <cell r="B1709"/>
          <cell r="C1709"/>
          <cell r="D1709">
            <v>2</v>
          </cell>
          <cell r="E1709"/>
          <cell r="F1709"/>
          <cell r="G1709"/>
          <cell r="H1709"/>
          <cell r="I1709"/>
          <cell r="J1709"/>
          <cell r="K1709"/>
          <cell r="L1709"/>
          <cell r="M1709"/>
          <cell r="N1709"/>
          <cell r="O1709"/>
        </row>
        <row r="1710">
          <cell r="A1710" t="str">
            <v>498-FU COMEDOR NIÑOS DE BENDICION</v>
          </cell>
          <cell r="B1710"/>
          <cell r="C1710"/>
          <cell r="D1710"/>
          <cell r="E1710">
            <v>1</v>
          </cell>
          <cell r="F1710"/>
          <cell r="G1710"/>
          <cell r="H1710"/>
          <cell r="I1710"/>
          <cell r="J1710"/>
          <cell r="K1710"/>
          <cell r="L1710"/>
          <cell r="M1710"/>
          <cell r="N1710"/>
          <cell r="O1710"/>
        </row>
        <row r="1711">
          <cell r="A1711" t="str">
            <v>701 - FU MINISTERIO BERAKHAH INTERNACIONAL LOS ANDES</v>
          </cell>
          <cell r="B1711"/>
          <cell r="C1711"/>
          <cell r="D1711"/>
          <cell r="E1711"/>
          <cell r="F1711"/>
          <cell r="G1711"/>
          <cell r="H1711"/>
          <cell r="I1711">
            <v>3</v>
          </cell>
          <cell r="J1711"/>
          <cell r="K1711"/>
          <cell r="L1711"/>
          <cell r="M1711"/>
          <cell r="N1711"/>
          <cell r="O1711"/>
        </row>
        <row r="1712">
          <cell r="A1712" t="str">
            <v>691 - AR CARITAS ARQUIDIOCESANA</v>
          </cell>
          <cell r="B1712"/>
          <cell r="C1712">
            <v>1</v>
          </cell>
          <cell r="D1712"/>
          <cell r="E1712"/>
          <cell r="F1712"/>
          <cell r="G1712"/>
          <cell r="H1712"/>
          <cell r="I1712"/>
          <cell r="J1712"/>
          <cell r="K1712"/>
          <cell r="L1712"/>
          <cell r="M1712"/>
          <cell r="N1712"/>
          <cell r="O1712"/>
        </row>
        <row r="1713">
          <cell r="A1713" t="str">
            <v>696 - FU MINISTERIO BERAKHAH INTERNACIONAL CHEPO #1</v>
          </cell>
          <cell r="B1713"/>
          <cell r="C1713"/>
          <cell r="D1713">
            <v>1</v>
          </cell>
          <cell r="E1713"/>
          <cell r="F1713"/>
          <cell r="G1713"/>
          <cell r="H1713"/>
          <cell r="I1713"/>
          <cell r="J1713"/>
          <cell r="K1713"/>
          <cell r="L1713"/>
          <cell r="M1713"/>
          <cell r="N1713"/>
          <cell r="O1713"/>
        </row>
        <row r="1714">
          <cell r="A1714" t="str">
            <v>222 ED - MISERICORDIAR</v>
          </cell>
          <cell r="B1714"/>
          <cell r="C1714"/>
          <cell r="D1714">
            <v>4</v>
          </cell>
          <cell r="E1714"/>
          <cell r="F1714"/>
          <cell r="G1714"/>
          <cell r="H1714"/>
          <cell r="I1714"/>
          <cell r="J1714"/>
          <cell r="K1714"/>
          <cell r="L1714"/>
          <cell r="M1714"/>
          <cell r="N1714"/>
          <cell r="O1714"/>
        </row>
        <row r="1715">
          <cell r="A1715" t="str">
            <v>259 IG - ALCANCE VICTORIA PANAMÁ</v>
          </cell>
          <cell r="B1715"/>
          <cell r="C1715">
            <v>1</v>
          </cell>
          <cell r="D1715"/>
          <cell r="E1715"/>
          <cell r="F1715"/>
          <cell r="G1715"/>
          <cell r="H1715"/>
          <cell r="I1715"/>
          <cell r="J1715"/>
          <cell r="K1715"/>
          <cell r="L1715"/>
          <cell r="M1715"/>
          <cell r="N1715"/>
          <cell r="O1715"/>
        </row>
        <row r="1716">
          <cell r="A1716" t="str">
            <v>300 ED - BENEFICIARIOS</v>
          </cell>
          <cell r="B1716"/>
          <cell r="C1716"/>
          <cell r="D1716">
            <v>5</v>
          </cell>
          <cell r="E1716"/>
          <cell r="F1716"/>
          <cell r="G1716"/>
          <cell r="H1716"/>
          <cell r="I1716"/>
          <cell r="J1716"/>
          <cell r="K1716"/>
          <cell r="L1716"/>
          <cell r="M1716"/>
          <cell r="N1716"/>
          <cell r="O1716"/>
        </row>
        <row r="1717">
          <cell r="A1717" t="str">
            <v>657 - FU CENTRO COMUNITARIO MONTAÑAS DE ESPERANZA (RETIRO EN EL BAP)</v>
          </cell>
          <cell r="B1717"/>
          <cell r="C1717"/>
          <cell r="D1717">
            <v>1</v>
          </cell>
          <cell r="E1717"/>
          <cell r="F1717"/>
          <cell r="G1717"/>
          <cell r="H1717"/>
          <cell r="I1717"/>
          <cell r="J1717"/>
          <cell r="K1717"/>
          <cell r="L1717"/>
          <cell r="M1717"/>
          <cell r="N1717"/>
          <cell r="O1717"/>
        </row>
        <row r="1718">
          <cell r="A1718" t="str">
            <v>697 - FU MINISTERIO BERAKHAH INTERNACIONAL CHEPO #2</v>
          </cell>
          <cell r="B1718"/>
          <cell r="C1718"/>
          <cell r="D1718">
            <v>2</v>
          </cell>
          <cell r="E1718"/>
          <cell r="F1718"/>
          <cell r="G1718"/>
          <cell r="H1718"/>
          <cell r="I1718"/>
          <cell r="J1718"/>
          <cell r="K1718"/>
          <cell r="L1718"/>
          <cell r="M1718"/>
          <cell r="N1718"/>
          <cell r="O1718"/>
        </row>
        <row r="1719">
          <cell r="A1719" t="str">
            <v>719 FU FUNDACION VIDA NUEVA EL SHADDAI</v>
          </cell>
          <cell r="B1719"/>
          <cell r="C1719"/>
          <cell r="D1719"/>
          <cell r="E1719"/>
          <cell r="F1719"/>
          <cell r="G1719">
            <v>1</v>
          </cell>
          <cell r="H1719"/>
          <cell r="I1719"/>
          <cell r="J1719"/>
          <cell r="K1719"/>
          <cell r="L1719"/>
          <cell r="M1719"/>
          <cell r="N1719"/>
          <cell r="O1719"/>
        </row>
        <row r="1720">
          <cell r="A1720" t="str">
            <v>684 - FU FUNDACION CASA DEL REY JESUS (CENTRO 2)</v>
          </cell>
          <cell r="B1720"/>
          <cell r="C1720">
            <v>5</v>
          </cell>
          <cell r="D1720"/>
          <cell r="E1720"/>
          <cell r="F1720"/>
          <cell r="G1720"/>
          <cell r="H1720"/>
          <cell r="I1720"/>
          <cell r="J1720"/>
          <cell r="K1720"/>
          <cell r="L1720"/>
          <cell r="M1720"/>
          <cell r="N1720"/>
          <cell r="O1720"/>
        </row>
        <row r="1721">
          <cell r="A1721" t="str">
            <v>723 ASOCIACION AQUI ESTOY</v>
          </cell>
          <cell r="B1721"/>
          <cell r="C1721"/>
          <cell r="D1721"/>
          <cell r="E1721">
            <v>1</v>
          </cell>
          <cell r="F1721"/>
          <cell r="G1721"/>
          <cell r="H1721"/>
          <cell r="I1721"/>
          <cell r="J1721"/>
          <cell r="K1721"/>
          <cell r="L1721"/>
          <cell r="M1721"/>
          <cell r="N1721"/>
          <cell r="O1721"/>
        </row>
        <row r="1722">
          <cell r="A1722" t="str">
            <v>707 - FU MINISTERIO BERAKHAH INTERNACIONAL CAIMITILLO</v>
          </cell>
          <cell r="B1722"/>
          <cell r="C1722"/>
          <cell r="D1722"/>
          <cell r="E1722"/>
          <cell r="F1722"/>
          <cell r="G1722"/>
          <cell r="H1722"/>
          <cell r="I1722">
            <v>1</v>
          </cell>
          <cell r="J1722"/>
          <cell r="K1722"/>
          <cell r="L1722"/>
          <cell r="M1722"/>
          <cell r="N1722"/>
          <cell r="O1722"/>
        </row>
        <row r="1723">
          <cell r="A1723" t="str">
            <v>741-IG BUNKER DE ESPERANZA</v>
          </cell>
          <cell r="B1723"/>
          <cell r="C1723"/>
          <cell r="D1723">
            <v>1</v>
          </cell>
          <cell r="E1723"/>
          <cell r="F1723"/>
          <cell r="G1723"/>
          <cell r="H1723"/>
          <cell r="I1723"/>
          <cell r="J1723"/>
          <cell r="K1723"/>
          <cell r="L1723"/>
          <cell r="M1723"/>
          <cell r="N1723"/>
          <cell r="O1723"/>
        </row>
        <row r="1724">
          <cell r="A1724" t="str">
            <v>394-IG IGLESIA ESCUADRONES DEL EJERCITO DE DIOS (CENTRO2)</v>
          </cell>
          <cell r="B1724"/>
          <cell r="C1724">
            <v>1</v>
          </cell>
          <cell r="D1724"/>
          <cell r="E1724"/>
          <cell r="F1724"/>
          <cell r="G1724"/>
          <cell r="H1724"/>
          <cell r="I1724"/>
          <cell r="J1724"/>
          <cell r="K1724"/>
          <cell r="L1724"/>
          <cell r="M1724"/>
          <cell r="N1724"/>
          <cell r="O1724"/>
        </row>
        <row r="1725">
          <cell r="A1725" t="str">
            <v>793-FU Fundación Príncipes de Jehová</v>
          </cell>
          <cell r="B1725"/>
          <cell r="C1725"/>
          <cell r="D1725"/>
          <cell r="E1725"/>
          <cell r="F1725"/>
          <cell r="G1725"/>
          <cell r="H1725"/>
          <cell r="I1725">
            <v>1</v>
          </cell>
          <cell r="J1725"/>
          <cell r="K1725"/>
          <cell r="L1725"/>
          <cell r="M1725"/>
          <cell r="N1725"/>
          <cell r="O1725"/>
        </row>
        <row r="1726">
          <cell r="A1726" t="str">
            <v>804-IG Templo Misionero Eclesiastés</v>
          </cell>
          <cell r="B1726"/>
          <cell r="C1726"/>
          <cell r="D1726"/>
          <cell r="E1726"/>
          <cell r="F1726"/>
          <cell r="G1726"/>
          <cell r="H1726"/>
          <cell r="I1726">
            <v>1</v>
          </cell>
          <cell r="J1726"/>
          <cell r="K1726"/>
          <cell r="L1726"/>
          <cell r="M1726"/>
          <cell r="N1726"/>
          <cell r="O1726"/>
        </row>
        <row r="1727">
          <cell r="A1727" t="str">
            <v>463-FU MINISTERIO BERAKHAH INTERNACIONAL COMEDOR OASIS DE ESPERANZA (ESTE)</v>
          </cell>
          <cell r="B1727"/>
          <cell r="C1727"/>
          <cell r="D1727">
            <v>2</v>
          </cell>
          <cell r="E1727"/>
          <cell r="F1727"/>
          <cell r="G1727"/>
          <cell r="H1727"/>
          <cell r="I1727"/>
          <cell r="J1727"/>
          <cell r="K1727"/>
          <cell r="L1727"/>
          <cell r="M1727"/>
          <cell r="N1727"/>
          <cell r="O1727"/>
        </row>
        <row r="1728">
          <cell r="A1728" t="str">
            <v>802-IG IGLESIA INTERNACIONAL DEL EVANGELIO CUADRANGULAR DE PANAMÁ</v>
          </cell>
          <cell r="B1728"/>
          <cell r="C1728">
            <v>1</v>
          </cell>
          <cell r="D1728"/>
          <cell r="E1728"/>
          <cell r="F1728"/>
          <cell r="G1728"/>
          <cell r="H1728"/>
          <cell r="I1728"/>
          <cell r="J1728"/>
          <cell r="K1728"/>
          <cell r="L1728"/>
          <cell r="M1728"/>
          <cell r="N1728"/>
          <cell r="O1728"/>
        </row>
        <row r="1729">
          <cell r="A1729" t="str">
            <v>496-AS CUERPO DE VOLUNTARIAS DEL HOSPITAL DEL NIÑO</v>
          </cell>
          <cell r="B1729"/>
          <cell r="C1729">
            <v>10</v>
          </cell>
          <cell r="D1729"/>
          <cell r="E1729"/>
          <cell r="F1729"/>
          <cell r="G1729"/>
          <cell r="H1729"/>
          <cell r="I1729"/>
          <cell r="J1729"/>
          <cell r="K1729"/>
          <cell r="L1729"/>
          <cell r="M1729"/>
          <cell r="N1729"/>
          <cell r="O1729"/>
        </row>
        <row r="1730">
          <cell r="A1730" t="str">
            <v>Bienes y Raices Metalicas S.A.</v>
          </cell>
          <cell r="B1730"/>
          <cell r="C1730"/>
          <cell r="D1730"/>
          <cell r="E1730"/>
          <cell r="F1730"/>
          <cell r="G1730"/>
          <cell r="H1730"/>
          <cell r="I1730"/>
          <cell r="J1730"/>
          <cell r="K1730">
            <v>3</v>
          </cell>
          <cell r="L1730">
            <v>3</v>
          </cell>
          <cell r="M1730"/>
          <cell r="N1730"/>
          <cell r="O1730">
            <v>3</v>
          </cell>
        </row>
        <row r="1731">
          <cell r="A1731" t="str">
            <v>613-FU FUNDACION INMARE</v>
          </cell>
          <cell r="B1731"/>
          <cell r="C1731"/>
          <cell r="D1731"/>
          <cell r="E1731"/>
          <cell r="F1731"/>
          <cell r="G1731"/>
          <cell r="H1731"/>
          <cell r="I1731"/>
          <cell r="J1731"/>
          <cell r="K1731">
            <v>3</v>
          </cell>
          <cell r="L1731"/>
          <cell r="M1731"/>
          <cell r="N1731"/>
          <cell r="O1731"/>
        </row>
        <row r="1732">
          <cell r="A1732" t="str">
            <v>708 - FU MINISTERIO BERAKHAH INTERNACIONAL GUARARE</v>
          </cell>
          <cell r="B1732"/>
          <cell r="C1732"/>
          <cell r="D1732"/>
          <cell r="E1732"/>
          <cell r="F1732"/>
          <cell r="G1732"/>
          <cell r="H1732"/>
          <cell r="I1732"/>
          <cell r="J1732"/>
          <cell r="K1732"/>
          <cell r="L1732"/>
          <cell r="M1732"/>
          <cell r="N1732"/>
          <cell r="O1732">
            <v>3</v>
          </cell>
        </row>
        <row r="1733">
          <cell r="A1733" t="str">
            <v>821-IG Ministerio de Adoracion Y Restauracion Guardadores del Pacto</v>
          </cell>
          <cell r="B1733"/>
          <cell r="C1733"/>
          <cell r="D1733"/>
          <cell r="E1733"/>
          <cell r="F1733"/>
          <cell r="G1733"/>
          <cell r="H1733"/>
          <cell r="I1733"/>
          <cell r="J1733"/>
          <cell r="K1733"/>
          <cell r="L1733">
            <v>3</v>
          </cell>
          <cell r="M1733"/>
          <cell r="N1733"/>
          <cell r="O1733"/>
        </row>
        <row r="1734">
          <cell r="A1734" t="str">
            <v>H. TZANETATO INC</v>
          </cell>
          <cell r="B1734"/>
          <cell r="C1734">
            <v>95.399999999999991</v>
          </cell>
          <cell r="D1734">
            <v>169.99999999999997</v>
          </cell>
          <cell r="E1734">
            <v>47.8</v>
          </cell>
          <cell r="F1734">
            <v>5</v>
          </cell>
          <cell r="G1734">
            <v>11.3</v>
          </cell>
          <cell r="H1734">
            <v>86</v>
          </cell>
          <cell r="I1734">
            <v>13.8</v>
          </cell>
          <cell r="J1734">
            <v>74</v>
          </cell>
          <cell r="K1734">
            <v>74</v>
          </cell>
          <cell r="L1734">
            <v>17</v>
          </cell>
          <cell r="M1734">
            <v>15</v>
          </cell>
          <cell r="N1734"/>
          <cell r="O1734">
            <v>3</v>
          </cell>
        </row>
        <row r="1735">
          <cell r="A1735" t="str">
            <v>662-IG MINISTERIO EVANGELICO EL APOSENTO ALTO (CENTRO 1)</v>
          </cell>
          <cell r="B1735"/>
          <cell r="C1735">
            <v>6.3</v>
          </cell>
          <cell r="D1735"/>
          <cell r="E1735"/>
          <cell r="F1735"/>
          <cell r="G1735"/>
          <cell r="H1735"/>
          <cell r="I1735"/>
          <cell r="J1735"/>
          <cell r="K1735"/>
          <cell r="L1735"/>
          <cell r="M1735"/>
          <cell r="N1735"/>
          <cell r="O1735"/>
        </row>
        <row r="1736">
          <cell r="A1736" t="str">
            <v>298-FU - MINISTERIO FUENTE DE VIDA PARA EL PERDIDO</v>
          </cell>
          <cell r="B1736"/>
          <cell r="C1736"/>
          <cell r="D1736"/>
          <cell r="E1736"/>
          <cell r="F1736">
            <v>5</v>
          </cell>
          <cell r="G1736"/>
          <cell r="H1736"/>
          <cell r="I1736"/>
          <cell r="J1736"/>
          <cell r="K1736"/>
          <cell r="L1736"/>
          <cell r="M1736"/>
          <cell r="N1736"/>
          <cell r="O1736"/>
        </row>
        <row r="1737">
          <cell r="A1737" t="str">
            <v>178 IG - TEMPLO ZURIEL EL REFUGIO</v>
          </cell>
          <cell r="B1737"/>
          <cell r="C1737"/>
          <cell r="D1737"/>
          <cell r="E1737"/>
          <cell r="F1737"/>
          <cell r="G1737">
            <v>5</v>
          </cell>
          <cell r="H1737"/>
          <cell r="I1737"/>
          <cell r="J1737"/>
          <cell r="K1737"/>
          <cell r="L1737"/>
          <cell r="M1737"/>
          <cell r="N1737"/>
          <cell r="O1737"/>
        </row>
        <row r="1738">
          <cell r="A1738" t="str">
            <v>207 IG - IGLESIA CENTRO DE VIDA CRISTIANA</v>
          </cell>
          <cell r="B1738"/>
          <cell r="C1738"/>
          <cell r="D1738">
            <v>11.4</v>
          </cell>
          <cell r="E1738"/>
          <cell r="F1738"/>
          <cell r="G1738"/>
          <cell r="H1738"/>
          <cell r="I1738"/>
          <cell r="J1738"/>
          <cell r="K1738"/>
          <cell r="L1738"/>
          <cell r="M1738"/>
          <cell r="N1738"/>
          <cell r="O1738"/>
        </row>
        <row r="1739">
          <cell r="A1739" t="str">
            <v>493-FU Comedor Jesús es mi Pastor</v>
          </cell>
          <cell r="B1739"/>
          <cell r="C1739"/>
          <cell r="D1739">
            <v>3.9000000000000004</v>
          </cell>
          <cell r="E1739"/>
          <cell r="F1739"/>
          <cell r="G1739"/>
          <cell r="H1739"/>
          <cell r="I1739"/>
          <cell r="J1739"/>
          <cell r="K1739"/>
          <cell r="L1739"/>
          <cell r="M1739"/>
          <cell r="N1739"/>
          <cell r="O1739"/>
        </row>
        <row r="1740">
          <cell r="A1740" t="str">
            <v>636- FU JAH - LIVE (JAHL) - COLON</v>
          </cell>
          <cell r="B1740"/>
          <cell r="C1740"/>
          <cell r="D1740"/>
          <cell r="E1740"/>
          <cell r="F1740"/>
          <cell r="G1740"/>
          <cell r="H1740">
            <v>81</v>
          </cell>
          <cell r="I1740"/>
          <cell r="J1740"/>
          <cell r="K1740"/>
          <cell r="L1740"/>
          <cell r="M1740"/>
          <cell r="N1740"/>
          <cell r="O1740"/>
        </row>
        <row r="1741">
          <cell r="A1741" t="str">
            <v>224 OR MISIONERAS DE LA CARIDAD DE COLON</v>
          </cell>
          <cell r="B1741"/>
          <cell r="C1741"/>
          <cell r="D1741"/>
          <cell r="E1741"/>
          <cell r="F1741"/>
          <cell r="G1741"/>
          <cell r="H1741">
            <v>5</v>
          </cell>
          <cell r="I1741"/>
          <cell r="J1741"/>
          <cell r="K1741"/>
          <cell r="L1741"/>
          <cell r="M1741"/>
          <cell r="N1741"/>
          <cell r="O1741"/>
        </row>
        <row r="1742">
          <cell r="A1742" t="str">
            <v>407-IG ASOCIACION CRISTIANA INTERNACIONAL EBEN-EZER (OESTE)</v>
          </cell>
          <cell r="B1742"/>
          <cell r="C1742"/>
          <cell r="D1742"/>
          <cell r="E1742">
            <v>3.8</v>
          </cell>
          <cell r="F1742"/>
          <cell r="G1742"/>
          <cell r="H1742"/>
          <cell r="I1742"/>
          <cell r="J1742"/>
          <cell r="K1742"/>
          <cell r="L1742"/>
          <cell r="M1742"/>
          <cell r="N1742"/>
          <cell r="O1742"/>
        </row>
        <row r="1743">
          <cell r="A1743" t="str">
            <v>470-FU IGLESIA MONTE SANTO</v>
          </cell>
          <cell r="B1743"/>
          <cell r="C1743"/>
          <cell r="D1743">
            <v>5</v>
          </cell>
          <cell r="E1743"/>
          <cell r="F1743"/>
          <cell r="G1743"/>
          <cell r="H1743"/>
          <cell r="I1743"/>
          <cell r="J1743"/>
          <cell r="K1743"/>
          <cell r="L1743"/>
          <cell r="M1743"/>
          <cell r="N1743"/>
          <cell r="O1743"/>
        </row>
        <row r="1744">
          <cell r="A1744" t="str">
            <v>687 - FU FUNDACION ARCA DE JESUS</v>
          </cell>
          <cell r="B1744"/>
          <cell r="C1744"/>
          <cell r="D1744"/>
          <cell r="E1744">
            <v>5</v>
          </cell>
          <cell r="F1744"/>
          <cell r="G1744"/>
          <cell r="H1744"/>
          <cell r="I1744"/>
          <cell r="J1744"/>
          <cell r="K1744"/>
          <cell r="L1744"/>
          <cell r="M1744"/>
          <cell r="N1744"/>
          <cell r="O1744"/>
        </row>
        <row r="1745">
          <cell r="A1745" t="str">
            <v>187 IG - IGLESIA DE DIOS DE LA PROFECÍA</v>
          </cell>
          <cell r="B1745"/>
          <cell r="C1745"/>
          <cell r="D1745">
            <v>6.3</v>
          </cell>
          <cell r="E1745"/>
          <cell r="F1745"/>
          <cell r="G1745"/>
          <cell r="H1745"/>
          <cell r="I1745"/>
          <cell r="J1745"/>
          <cell r="K1745"/>
          <cell r="L1745"/>
          <cell r="M1745"/>
          <cell r="N1745"/>
          <cell r="O1745"/>
        </row>
        <row r="1746">
          <cell r="A1746" t="str">
            <v>321-IG IGLESIA DIOS ES MI PROVEEDOR Y SUSTENTO</v>
          </cell>
          <cell r="B1746"/>
          <cell r="C1746"/>
          <cell r="D1746">
            <v>2.5</v>
          </cell>
          <cell r="E1746"/>
          <cell r="F1746"/>
          <cell r="G1746"/>
          <cell r="H1746"/>
          <cell r="I1746"/>
          <cell r="J1746"/>
          <cell r="K1746"/>
          <cell r="L1746"/>
          <cell r="M1746"/>
          <cell r="N1746"/>
          <cell r="O1746"/>
        </row>
        <row r="1747">
          <cell r="A1747" t="str">
            <v>111 FU - FUNDACIÓN NUESTRA SEÑORA DEL CAMINO</v>
          </cell>
          <cell r="B1747"/>
          <cell r="C1747"/>
          <cell r="D1747"/>
          <cell r="E1747"/>
          <cell r="F1747"/>
          <cell r="G1747"/>
          <cell r="H1747"/>
          <cell r="I1747"/>
          <cell r="J1747">
            <v>2</v>
          </cell>
          <cell r="K1747"/>
          <cell r="L1747"/>
          <cell r="M1747"/>
          <cell r="N1747"/>
          <cell r="O1747"/>
        </row>
        <row r="1748">
          <cell r="A1748" t="str">
            <v>694 - FU MINISTERIO BERAKHAH INTERNACIONAL TOCUMEN #2</v>
          </cell>
          <cell r="B1748"/>
          <cell r="C1748"/>
          <cell r="D1748">
            <v>5</v>
          </cell>
          <cell r="E1748"/>
          <cell r="F1748"/>
          <cell r="G1748"/>
          <cell r="H1748"/>
          <cell r="I1748"/>
          <cell r="J1748"/>
          <cell r="K1748"/>
          <cell r="L1748"/>
          <cell r="M1748"/>
          <cell r="N1748"/>
          <cell r="O1748"/>
        </row>
        <row r="1749">
          <cell r="A1749" t="str">
            <v>695 - FU MINISTERIO BERAKHAH INTERNACIONAL 24 DIC</v>
          </cell>
          <cell r="B1749"/>
          <cell r="C1749"/>
          <cell r="D1749">
            <v>11.4</v>
          </cell>
          <cell r="E1749"/>
          <cell r="F1749"/>
          <cell r="G1749"/>
          <cell r="H1749"/>
          <cell r="I1749"/>
          <cell r="J1749"/>
          <cell r="K1749"/>
          <cell r="L1749"/>
          <cell r="M1749"/>
          <cell r="N1749"/>
          <cell r="O1749"/>
        </row>
        <row r="1750">
          <cell r="A1750" t="str">
            <v>366-FU CENTRO MISIONERO EL SHADAI (ESTE)</v>
          </cell>
          <cell r="B1750"/>
          <cell r="C1750"/>
          <cell r="D1750">
            <v>6.3</v>
          </cell>
          <cell r="E1750"/>
          <cell r="F1750"/>
          <cell r="G1750"/>
          <cell r="H1750"/>
          <cell r="I1750"/>
          <cell r="J1750"/>
          <cell r="K1750"/>
          <cell r="L1750"/>
          <cell r="M1750"/>
          <cell r="N1750"/>
          <cell r="O1750"/>
        </row>
        <row r="1751">
          <cell r="A1751" t="str">
            <v>288 IG MINISTERIO EVANGELISTICO DE SANACION Y RESTAURACION, SENALES, MILAGROS Y MARAVILLAS (ESTE)</v>
          </cell>
          <cell r="B1751"/>
          <cell r="C1751"/>
          <cell r="D1751">
            <v>7.5</v>
          </cell>
          <cell r="E1751"/>
          <cell r="F1751"/>
          <cell r="G1751"/>
          <cell r="H1751"/>
          <cell r="I1751"/>
          <cell r="J1751"/>
          <cell r="K1751"/>
          <cell r="L1751"/>
          <cell r="M1751"/>
          <cell r="N1751"/>
          <cell r="O1751"/>
        </row>
        <row r="1752">
          <cell r="A1752" t="str">
            <v>183 ED - BELÉN CASA DE PAN (ESTE)</v>
          </cell>
          <cell r="B1752"/>
          <cell r="C1752"/>
          <cell r="D1752">
            <v>5</v>
          </cell>
          <cell r="E1752"/>
          <cell r="F1752"/>
          <cell r="G1752"/>
          <cell r="H1752"/>
          <cell r="I1752"/>
          <cell r="J1752"/>
          <cell r="K1752"/>
          <cell r="L1752"/>
          <cell r="M1752"/>
          <cell r="N1752"/>
          <cell r="O1752"/>
        </row>
        <row r="1753">
          <cell r="A1753" t="str">
            <v>701 - FU MINISTERIO BERAKHAH INTERNACIONAL LOS ANDES</v>
          </cell>
          <cell r="B1753"/>
          <cell r="C1753"/>
          <cell r="D1753"/>
          <cell r="E1753"/>
          <cell r="F1753"/>
          <cell r="G1753"/>
          <cell r="H1753"/>
          <cell r="I1753">
            <v>5</v>
          </cell>
          <cell r="J1753"/>
          <cell r="K1753"/>
          <cell r="L1753"/>
          <cell r="M1753"/>
          <cell r="N1753"/>
          <cell r="O1753"/>
        </row>
        <row r="1754">
          <cell r="A1754" t="str">
            <v>261 - AS ASOCIACIÓN MINISTERIO SIRVIENDO A LA COMUNIDAD PARA JESUCRISTO</v>
          </cell>
          <cell r="B1754"/>
          <cell r="C1754">
            <v>2.5</v>
          </cell>
          <cell r="D1754"/>
          <cell r="E1754"/>
          <cell r="F1754"/>
          <cell r="G1754"/>
          <cell r="H1754"/>
          <cell r="I1754"/>
          <cell r="J1754"/>
          <cell r="K1754"/>
          <cell r="L1754"/>
          <cell r="M1754"/>
          <cell r="N1754"/>
          <cell r="O1754"/>
        </row>
        <row r="1755">
          <cell r="A1755" t="str">
            <v>211 IG - IGLESIA CRISTIANA KADOSH</v>
          </cell>
          <cell r="B1755"/>
          <cell r="C1755">
            <v>1.3</v>
          </cell>
          <cell r="D1755"/>
          <cell r="E1755"/>
          <cell r="F1755"/>
          <cell r="G1755"/>
          <cell r="H1755"/>
          <cell r="I1755"/>
          <cell r="J1755"/>
          <cell r="K1755"/>
          <cell r="L1755"/>
          <cell r="M1755"/>
          <cell r="N1755"/>
          <cell r="O1755"/>
        </row>
        <row r="1756">
          <cell r="A1756" t="str">
            <v>368-FU MINISTERIO PACTO DE SANTIDAD</v>
          </cell>
          <cell r="B1756"/>
          <cell r="C1756">
            <v>1.3</v>
          </cell>
          <cell r="D1756"/>
          <cell r="E1756"/>
          <cell r="F1756"/>
          <cell r="G1756"/>
          <cell r="H1756"/>
          <cell r="I1756"/>
          <cell r="J1756"/>
          <cell r="K1756"/>
          <cell r="L1756"/>
          <cell r="M1756"/>
          <cell r="N1756"/>
          <cell r="O1756"/>
        </row>
        <row r="1757">
          <cell r="A1757" t="str">
            <v>654 - IG M.I.A.F NUEVA JERUSALEN PANAMA (ESTE)</v>
          </cell>
          <cell r="B1757"/>
          <cell r="C1757"/>
          <cell r="D1757">
            <v>1.3</v>
          </cell>
          <cell r="E1757"/>
          <cell r="F1757"/>
          <cell r="G1757"/>
          <cell r="H1757"/>
          <cell r="I1757"/>
          <cell r="J1757"/>
          <cell r="K1757"/>
          <cell r="L1757"/>
          <cell r="M1757"/>
          <cell r="N1757"/>
          <cell r="O1757"/>
        </row>
        <row r="1758">
          <cell r="A1758" t="str">
            <v>284 - IG MINISTERIO PAN DE VIDA</v>
          </cell>
          <cell r="B1758"/>
          <cell r="C1758"/>
          <cell r="D1758"/>
          <cell r="E1758"/>
          <cell r="F1758"/>
          <cell r="G1758"/>
          <cell r="H1758"/>
          <cell r="I1758"/>
          <cell r="J1758">
            <v>10</v>
          </cell>
          <cell r="K1758"/>
          <cell r="L1758"/>
          <cell r="M1758"/>
          <cell r="N1758"/>
          <cell r="O1758"/>
        </row>
        <row r="1759">
          <cell r="A1759" t="str">
            <v>696 - FU MINISTERIO BERAKHAH INTERNACIONAL CHEPO #1</v>
          </cell>
          <cell r="B1759"/>
          <cell r="C1759"/>
          <cell r="D1759">
            <v>6.3</v>
          </cell>
          <cell r="E1759"/>
          <cell r="F1759"/>
          <cell r="G1759"/>
          <cell r="H1759"/>
          <cell r="I1759"/>
          <cell r="J1759"/>
          <cell r="K1759"/>
          <cell r="L1759"/>
          <cell r="M1759"/>
          <cell r="N1759"/>
          <cell r="O1759"/>
        </row>
        <row r="1760">
          <cell r="A1760" t="str">
            <v>472-FU FUNDACION TALITA CUMI</v>
          </cell>
          <cell r="B1760"/>
          <cell r="C1760"/>
          <cell r="D1760">
            <v>2.5</v>
          </cell>
          <cell r="E1760"/>
          <cell r="F1760"/>
          <cell r="G1760"/>
          <cell r="H1760"/>
          <cell r="I1760"/>
          <cell r="J1760"/>
          <cell r="K1760"/>
          <cell r="L1760"/>
          <cell r="M1760"/>
          <cell r="N1760"/>
          <cell r="O1760"/>
        </row>
        <row r="1761">
          <cell r="A1761" t="str">
            <v>222 ED - MISERICORDIAR</v>
          </cell>
          <cell r="B1761"/>
          <cell r="C1761"/>
          <cell r="D1761">
            <v>16.900000000000002</v>
          </cell>
          <cell r="E1761"/>
          <cell r="F1761"/>
          <cell r="G1761"/>
          <cell r="H1761"/>
          <cell r="I1761"/>
          <cell r="J1761"/>
          <cell r="K1761"/>
          <cell r="L1761"/>
          <cell r="M1761"/>
          <cell r="N1761"/>
          <cell r="O1761"/>
        </row>
        <row r="1762">
          <cell r="A1762" t="str">
            <v>259 IG - ALCANCE VICTORIA PANAMÁ</v>
          </cell>
          <cell r="B1762"/>
          <cell r="C1762">
            <v>30.3</v>
          </cell>
          <cell r="D1762"/>
          <cell r="E1762"/>
          <cell r="F1762"/>
          <cell r="G1762"/>
          <cell r="H1762"/>
          <cell r="I1762"/>
          <cell r="J1762"/>
          <cell r="K1762"/>
          <cell r="L1762"/>
          <cell r="M1762"/>
          <cell r="N1762"/>
          <cell r="O1762"/>
        </row>
        <row r="1763">
          <cell r="A1763" t="str">
            <v>668 - FU FUNDACION CRISTIANA LA FE EN MARCHA</v>
          </cell>
          <cell r="B1763"/>
          <cell r="C1763"/>
          <cell r="D1763"/>
          <cell r="E1763"/>
          <cell r="F1763"/>
          <cell r="G1763"/>
          <cell r="H1763"/>
          <cell r="I1763"/>
          <cell r="J1763">
            <v>4</v>
          </cell>
          <cell r="K1763"/>
          <cell r="L1763"/>
          <cell r="M1763"/>
          <cell r="N1763"/>
          <cell r="O1763"/>
        </row>
        <row r="1764">
          <cell r="A1764" t="str">
            <v>644 - IG TEMPLO SENDA DE VIDA (CHIRIQUÍ)</v>
          </cell>
          <cell r="B1764"/>
          <cell r="C1764"/>
          <cell r="D1764"/>
          <cell r="E1764"/>
          <cell r="F1764"/>
          <cell r="G1764"/>
          <cell r="H1764"/>
          <cell r="I1764"/>
          <cell r="J1764">
            <v>14</v>
          </cell>
          <cell r="K1764"/>
          <cell r="L1764"/>
          <cell r="M1764"/>
          <cell r="N1764"/>
          <cell r="O1764"/>
        </row>
        <row r="1765">
          <cell r="A1765" t="str">
            <v>387-AS Asociacion ODSSAR-OBC</v>
          </cell>
          <cell r="B1765"/>
          <cell r="C1765"/>
          <cell r="D1765">
            <v>5.0999999999999996</v>
          </cell>
          <cell r="E1765"/>
          <cell r="F1765"/>
          <cell r="G1765"/>
          <cell r="H1765"/>
          <cell r="I1765"/>
          <cell r="J1765"/>
          <cell r="K1765"/>
          <cell r="L1765"/>
          <cell r="M1765"/>
          <cell r="N1765"/>
          <cell r="O1765"/>
        </row>
        <row r="1766">
          <cell r="A1766" t="str">
            <v>300 ED - BENEFICIARIOS</v>
          </cell>
          <cell r="B1766"/>
          <cell r="C1766"/>
          <cell r="D1766">
            <v>2</v>
          </cell>
          <cell r="E1766"/>
          <cell r="F1766"/>
          <cell r="G1766"/>
          <cell r="H1766"/>
          <cell r="I1766"/>
          <cell r="J1766"/>
          <cell r="K1766"/>
          <cell r="L1766"/>
          <cell r="M1766"/>
          <cell r="N1766"/>
          <cell r="O1766"/>
        </row>
        <row r="1767">
          <cell r="A1767" t="str">
            <v>657 - FU CENTRO COMUNITARIO MONTAÑAS DE ESPERANZA (RETIRO EN EL BAP)</v>
          </cell>
          <cell r="B1767"/>
          <cell r="C1767"/>
          <cell r="D1767">
            <v>6.3</v>
          </cell>
          <cell r="E1767"/>
          <cell r="F1767"/>
          <cell r="G1767"/>
          <cell r="H1767"/>
          <cell r="I1767"/>
          <cell r="J1767"/>
          <cell r="K1767"/>
          <cell r="L1767"/>
          <cell r="M1767"/>
          <cell r="N1767"/>
          <cell r="O1767"/>
        </row>
        <row r="1768">
          <cell r="A1768" t="str">
            <v>630-IG MIN.INTL.DE CRISTO PAZ DE DIOS</v>
          </cell>
          <cell r="B1768"/>
          <cell r="C1768">
            <v>5</v>
          </cell>
          <cell r="D1768"/>
          <cell r="E1768"/>
          <cell r="F1768"/>
          <cell r="G1768"/>
          <cell r="H1768"/>
          <cell r="I1768"/>
          <cell r="J1768"/>
          <cell r="K1768"/>
          <cell r="L1768"/>
          <cell r="M1768"/>
          <cell r="N1768"/>
          <cell r="O1768"/>
        </row>
        <row r="1769">
          <cell r="A1769" t="str">
            <v>397-FU FUNDACION SHALOM PANAMA</v>
          </cell>
          <cell r="B1769"/>
          <cell r="C1769"/>
          <cell r="D1769"/>
          <cell r="E1769">
            <v>10</v>
          </cell>
          <cell r="F1769"/>
          <cell r="G1769"/>
          <cell r="H1769"/>
          <cell r="I1769"/>
          <cell r="J1769"/>
          <cell r="K1769"/>
          <cell r="L1769"/>
          <cell r="M1769"/>
          <cell r="N1769"/>
          <cell r="O1769"/>
        </row>
        <row r="1770">
          <cell r="A1770" t="str">
            <v>697 - FU MINISTERIO BERAKHAH INTERNACIONAL CHEPO #2</v>
          </cell>
          <cell r="B1770"/>
          <cell r="C1770"/>
          <cell r="D1770">
            <v>1.3</v>
          </cell>
          <cell r="E1770"/>
          <cell r="F1770"/>
          <cell r="G1770"/>
          <cell r="H1770"/>
          <cell r="I1770"/>
          <cell r="J1770"/>
          <cell r="K1770"/>
          <cell r="L1770"/>
          <cell r="M1770"/>
          <cell r="N1770"/>
          <cell r="O1770"/>
        </row>
        <row r="1771">
          <cell r="A1771" t="str">
            <v>195 ED - JUNTOS PODEMOS</v>
          </cell>
          <cell r="B1771"/>
          <cell r="C1771">
            <v>13</v>
          </cell>
          <cell r="D1771"/>
          <cell r="E1771"/>
          <cell r="F1771"/>
          <cell r="G1771"/>
          <cell r="H1771"/>
          <cell r="I1771"/>
          <cell r="J1771"/>
          <cell r="K1771"/>
          <cell r="L1771"/>
          <cell r="M1771"/>
          <cell r="N1771"/>
          <cell r="O1771"/>
        </row>
        <row r="1772">
          <cell r="A1772" t="str">
            <v>670 - FU FUNDACION MINISTERIIO CRISTIANO EL REINO DE DIOS (ESTE)</v>
          </cell>
          <cell r="B1772"/>
          <cell r="C1772"/>
          <cell r="D1772">
            <v>1.3</v>
          </cell>
          <cell r="E1772"/>
          <cell r="F1772"/>
          <cell r="G1772"/>
          <cell r="H1772"/>
          <cell r="I1772"/>
          <cell r="J1772"/>
          <cell r="K1772"/>
          <cell r="L1772"/>
          <cell r="M1772"/>
          <cell r="N1772"/>
          <cell r="O1772"/>
        </row>
        <row r="1773">
          <cell r="A1773" t="str">
            <v>380-ED COMEDOR COMUNITARIO CASA DEL ALFARERO</v>
          </cell>
          <cell r="B1773"/>
          <cell r="C1773"/>
          <cell r="D1773">
            <v>7.5</v>
          </cell>
          <cell r="E1773"/>
          <cell r="F1773"/>
          <cell r="G1773"/>
          <cell r="H1773"/>
          <cell r="I1773"/>
          <cell r="J1773"/>
          <cell r="K1773"/>
          <cell r="L1773"/>
          <cell r="M1773"/>
          <cell r="N1773"/>
          <cell r="O1773"/>
        </row>
        <row r="1774">
          <cell r="A1774" t="str">
            <v>597- IG MINISTERIO APOSTOLICO NEMUEL INTERNACIONAL</v>
          </cell>
          <cell r="B1774"/>
          <cell r="C1774"/>
          <cell r="D1774">
            <v>6.3</v>
          </cell>
          <cell r="E1774"/>
          <cell r="F1774"/>
          <cell r="G1774"/>
          <cell r="H1774"/>
          <cell r="I1774"/>
          <cell r="J1774"/>
          <cell r="K1774"/>
          <cell r="L1774"/>
          <cell r="M1774"/>
          <cell r="N1774"/>
          <cell r="O1774"/>
        </row>
        <row r="1775">
          <cell r="A1775" t="str">
            <v>647 - IG CRISTO REY CAMBIANDO VIDAS (ESTE)</v>
          </cell>
          <cell r="B1775"/>
          <cell r="C1775"/>
          <cell r="D1775">
            <v>6.3</v>
          </cell>
          <cell r="E1775"/>
          <cell r="F1775"/>
          <cell r="G1775"/>
          <cell r="H1775"/>
          <cell r="I1775"/>
          <cell r="J1775"/>
          <cell r="K1775"/>
          <cell r="L1775"/>
          <cell r="M1775"/>
          <cell r="N1775"/>
          <cell r="O1775"/>
        </row>
        <row r="1776">
          <cell r="A1776" t="str">
            <v>252 IG - MINISTERIO INTERNACIONAL DE AMISTADES CRISTIANAS</v>
          </cell>
          <cell r="B1776"/>
          <cell r="C1776"/>
          <cell r="D1776">
            <v>10</v>
          </cell>
          <cell r="E1776"/>
          <cell r="F1776"/>
          <cell r="G1776"/>
          <cell r="H1776"/>
          <cell r="I1776"/>
          <cell r="J1776"/>
          <cell r="K1776"/>
          <cell r="L1776"/>
          <cell r="M1776"/>
          <cell r="N1776"/>
          <cell r="O1776"/>
        </row>
        <row r="1777">
          <cell r="A1777" t="str">
            <v>339-AS ASOCIACION RESIDENCIA LISBETH</v>
          </cell>
          <cell r="B1777"/>
          <cell r="C1777"/>
          <cell r="D1777">
            <v>5</v>
          </cell>
          <cell r="E1777"/>
          <cell r="F1777"/>
          <cell r="G1777"/>
          <cell r="H1777"/>
          <cell r="I1777"/>
          <cell r="J1777"/>
          <cell r="K1777"/>
          <cell r="L1777"/>
          <cell r="M1777"/>
          <cell r="N1777"/>
          <cell r="O1777"/>
        </row>
        <row r="1778">
          <cell r="A1778" t="str">
            <v>144 OR - HERMANAS DE SAN JOSÉ DE LA APARICIÓN (RETIRA EN EL BANCO)</v>
          </cell>
          <cell r="B1778"/>
          <cell r="C1778"/>
          <cell r="D1778">
            <v>5</v>
          </cell>
          <cell r="E1778"/>
          <cell r="F1778"/>
          <cell r="G1778"/>
          <cell r="H1778"/>
          <cell r="I1778"/>
          <cell r="J1778"/>
          <cell r="K1778"/>
          <cell r="L1778"/>
          <cell r="M1778"/>
          <cell r="N1778"/>
          <cell r="O1778"/>
        </row>
        <row r="1779">
          <cell r="A1779" t="str">
            <v>270 FU - FUNDACIÓN MISERICORDIA DE DON BOSCO (OESTE)</v>
          </cell>
          <cell r="B1779"/>
          <cell r="C1779"/>
          <cell r="D1779"/>
          <cell r="E1779">
            <v>2.5</v>
          </cell>
          <cell r="F1779"/>
          <cell r="G1779"/>
          <cell r="H1779"/>
          <cell r="I1779"/>
          <cell r="J1779"/>
          <cell r="K1779"/>
          <cell r="L1779"/>
          <cell r="M1779"/>
          <cell r="N1779"/>
          <cell r="O1779"/>
        </row>
        <row r="1780">
          <cell r="A1780" t="str">
            <v>698 - FU MINISTERIO BERAKHAH INTERNACIONAL PASO BLANCO</v>
          </cell>
          <cell r="B1780"/>
          <cell r="C1780"/>
          <cell r="D1780">
            <v>2.5</v>
          </cell>
          <cell r="E1780"/>
          <cell r="F1780"/>
          <cell r="G1780"/>
          <cell r="H1780"/>
          <cell r="I1780"/>
          <cell r="J1780"/>
          <cell r="K1780"/>
          <cell r="L1780"/>
          <cell r="M1780"/>
          <cell r="N1780"/>
          <cell r="O1780"/>
        </row>
        <row r="1781">
          <cell r="A1781" t="str">
            <v>381-FU FUNDAMIDOM</v>
          </cell>
          <cell r="B1781"/>
          <cell r="C1781"/>
          <cell r="D1781"/>
          <cell r="E1781">
            <v>7.6</v>
          </cell>
          <cell r="F1781"/>
          <cell r="G1781"/>
          <cell r="H1781"/>
          <cell r="I1781"/>
          <cell r="J1781"/>
          <cell r="K1781"/>
          <cell r="L1781"/>
          <cell r="M1781"/>
          <cell r="N1781"/>
          <cell r="O1781"/>
        </row>
        <row r="1782">
          <cell r="A1782" t="str">
            <v>327-PA - Parroquia la Santa Cruz</v>
          </cell>
          <cell r="B1782"/>
          <cell r="C1782"/>
          <cell r="D1782"/>
          <cell r="E1782"/>
          <cell r="F1782"/>
          <cell r="G1782"/>
          <cell r="H1782"/>
          <cell r="I1782">
            <v>2.5</v>
          </cell>
          <cell r="J1782"/>
          <cell r="K1782"/>
          <cell r="L1782"/>
          <cell r="M1782"/>
          <cell r="N1782"/>
          <cell r="O1782"/>
        </row>
        <row r="1783">
          <cell r="A1783" t="str">
            <v>377-FU CENTRO CRISTIANO CASA DE DIOS PANAMA</v>
          </cell>
          <cell r="B1783"/>
          <cell r="C1783"/>
          <cell r="D1783"/>
          <cell r="E1783"/>
          <cell r="F1783"/>
          <cell r="G1783">
            <v>1.3</v>
          </cell>
          <cell r="H1783"/>
          <cell r="I1783"/>
          <cell r="J1783"/>
          <cell r="K1783"/>
          <cell r="L1783"/>
          <cell r="M1783"/>
          <cell r="N1783"/>
          <cell r="O1783"/>
        </row>
        <row r="1784">
          <cell r="A1784" t="str">
            <v>595-FU CENTRO DE LA MUJER Y LA NIÑEZ</v>
          </cell>
          <cell r="B1784"/>
          <cell r="C1784">
            <v>2.5</v>
          </cell>
          <cell r="D1784"/>
          <cell r="E1784"/>
          <cell r="F1784"/>
          <cell r="G1784"/>
          <cell r="H1784"/>
          <cell r="I1784"/>
          <cell r="J1784"/>
          <cell r="K1784"/>
          <cell r="L1784"/>
          <cell r="M1784"/>
          <cell r="N1784"/>
          <cell r="O1784"/>
        </row>
        <row r="1785">
          <cell r="A1785" t="str">
            <v>193 OR - FUNDACIÓN UNCIÓN FRESCA</v>
          </cell>
          <cell r="B1785"/>
          <cell r="C1785"/>
          <cell r="D1785"/>
          <cell r="E1785">
            <v>2.6</v>
          </cell>
          <cell r="F1785"/>
          <cell r="G1785"/>
          <cell r="H1785"/>
          <cell r="I1785"/>
          <cell r="J1785"/>
          <cell r="K1785"/>
          <cell r="L1785"/>
          <cell r="M1785"/>
          <cell r="N1785"/>
          <cell r="O1785"/>
        </row>
        <row r="1786">
          <cell r="A1786" t="str">
            <v>719 FU FUNDACION VIDA NUEVA EL SHADDAI</v>
          </cell>
          <cell r="B1786"/>
          <cell r="C1786"/>
          <cell r="D1786"/>
          <cell r="E1786"/>
          <cell r="F1786"/>
          <cell r="G1786">
            <v>5</v>
          </cell>
          <cell r="H1786"/>
          <cell r="I1786"/>
          <cell r="J1786"/>
          <cell r="K1786"/>
          <cell r="L1786"/>
          <cell r="M1786"/>
          <cell r="N1786"/>
          <cell r="O1786"/>
        </row>
        <row r="1787">
          <cell r="A1787" t="str">
            <v>684 - FU FUNDACION CASA DEL REY JESUS (CENTRO 2)</v>
          </cell>
          <cell r="B1787"/>
          <cell r="C1787">
            <v>6.3</v>
          </cell>
          <cell r="D1787"/>
          <cell r="E1787"/>
          <cell r="F1787"/>
          <cell r="G1787"/>
          <cell r="H1787"/>
          <cell r="I1787"/>
          <cell r="J1787"/>
          <cell r="K1787"/>
          <cell r="L1787"/>
          <cell r="M1787"/>
          <cell r="N1787"/>
          <cell r="O1787"/>
        </row>
        <row r="1788">
          <cell r="A1788" t="str">
            <v>723 ASOCIACION AQUI ESTOY</v>
          </cell>
          <cell r="B1788"/>
          <cell r="C1788"/>
          <cell r="D1788"/>
          <cell r="E1788">
            <v>2.5</v>
          </cell>
          <cell r="F1788"/>
          <cell r="G1788"/>
          <cell r="H1788"/>
          <cell r="I1788"/>
          <cell r="J1788"/>
          <cell r="K1788"/>
          <cell r="L1788"/>
          <cell r="M1788"/>
          <cell r="N1788"/>
          <cell r="O1788"/>
        </row>
        <row r="1789">
          <cell r="A1789" t="str">
            <v>596 IG- IGLESIA EVANGELICA TRINITARIA DIOS FUENTE DE PODER</v>
          </cell>
          <cell r="B1789"/>
          <cell r="C1789">
            <v>3</v>
          </cell>
          <cell r="D1789"/>
          <cell r="E1789"/>
          <cell r="F1789"/>
          <cell r="G1789"/>
          <cell r="H1789"/>
          <cell r="I1789"/>
          <cell r="J1789"/>
          <cell r="K1789"/>
          <cell r="L1789"/>
          <cell r="M1789"/>
          <cell r="N1789"/>
          <cell r="O1789"/>
        </row>
        <row r="1790">
          <cell r="A1790" t="str">
            <v>707 - FU MINISTERIO BERAKHAH INTERNACIONAL CAIMITILLO</v>
          </cell>
          <cell r="B1790"/>
          <cell r="C1790"/>
          <cell r="D1790"/>
          <cell r="E1790"/>
          <cell r="F1790"/>
          <cell r="G1790"/>
          <cell r="H1790"/>
          <cell r="I1790">
            <v>3.8</v>
          </cell>
          <cell r="J1790"/>
          <cell r="K1790"/>
          <cell r="L1790"/>
          <cell r="M1790"/>
          <cell r="N1790"/>
          <cell r="O1790"/>
        </row>
        <row r="1791">
          <cell r="A1791" t="str">
            <v>229 PA - PARROQUIA SAN CRISTOBAL DE CHEPO</v>
          </cell>
          <cell r="B1791"/>
          <cell r="C1791"/>
          <cell r="D1791">
            <v>7.6</v>
          </cell>
          <cell r="E1791"/>
          <cell r="F1791"/>
          <cell r="G1791"/>
          <cell r="H1791"/>
          <cell r="I1791"/>
          <cell r="J1791"/>
          <cell r="K1791"/>
          <cell r="L1791"/>
          <cell r="M1791"/>
          <cell r="N1791"/>
          <cell r="O1791"/>
        </row>
        <row r="1792">
          <cell r="A1792" t="str">
            <v>738- IG MINISTERIO DIOS CON NOSOTROS EMANUEL</v>
          </cell>
          <cell r="B1792"/>
          <cell r="C1792"/>
          <cell r="D1792">
            <v>5</v>
          </cell>
          <cell r="E1792"/>
          <cell r="F1792"/>
          <cell r="G1792"/>
          <cell r="H1792"/>
          <cell r="I1792"/>
          <cell r="J1792"/>
          <cell r="K1792"/>
          <cell r="L1792"/>
          <cell r="M1792"/>
          <cell r="N1792"/>
          <cell r="O1792"/>
        </row>
        <row r="1793">
          <cell r="A1793" t="str">
            <v>741-IG BUNKER DE ESPERANZA</v>
          </cell>
          <cell r="B1793"/>
          <cell r="C1793"/>
          <cell r="D1793">
            <v>5</v>
          </cell>
          <cell r="E1793"/>
          <cell r="F1793"/>
          <cell r="G1793"/>
          <cell r="H1793"/>
          <cell r="I1793"/>
          <cell r="J1793"/>
          <cell r="K1793"/>
          <cell r="L1793"/>
          <cell r="M1793"/>
          <cell r="N1793"/>
          <cell r="O1793"/>
        </row>
        <row r="1794">
          <cell r="A1794" t="str">
            <v>749-IG Ministerio Tabernáculo de Santidad Internación (Guararé)</v>
          </cell>
          <cell r="B1794"/>
          <cell r="C1794"/>
          <cell r="D1794"/>
          <cell r="E1794"/>
          <cell r="F1794"/>
          <cell r="G1794"/>
          <cell r="H1794"/>
          <cell r="I1794"/>
          <cell r="J1794"/>
          <cell r="K1794"/>
          <cell r="L1794"/>
          <cell r="M1794">
            <v>15</v>
          </cell>
          <cell r="N1794"/>
          <cell r="O1794"/>
        </row>
        <row r="1795">
          <cell r="A1795" t="str">
            <v>613-FU FUNDACION INMARE</v>
          </cell>
          <cell r="B1795"/>
          <cell r="C1795"/>
          <cell r="D1795"/>
          <cell r="E1795"/>
          <cell r="F1795"/>
          <cell r="G1795"/>
          <cell r="H1795"/>
          <cell r="I1795"/>
          <cell r="J1795"/>
          <cell r="K1795">
            <v>74</v>
          </cell>
          <cell r="L1795"/>
          <cell r="M1795"/>
          <cell r="N1795"/>
          <cell r="O1795"/>
        </row>
        <row r="1796">
          <cell r="A1796" t="str">
            <v>275 IG CONCILIO GENERAL DE LAS ASAMBLEAS DE DIOS DE PANAMÁ</v>
          </cell>
          <cell r="B1796"/>
          <cell r="C1796">
            <v>11.3</v>
          </cell>
          <cell r="D1796"/>
          <cell r="E1796"/>
          <cell r="F1796"/>
          <cell r="G1796"/>
          <cell r="H1796"/>
          <cell r="I1796"/>
          <cell r="J1796"/>
          <cell r="K1796"/>
          <cell r="L1796"/>
          <cell r="M1796"/>
          <cell r="N1796"/>
          <cell r="O1796"/>
        </row>
        <row r="1797">
          <cell r="A1797" t="str">
            <v>765-IG EXPANSION MISIONERA RIOS DE AGUA VIVA</v>
          </cell>
          <cell r="B1797"/>
          <cell r="C1797"/>
          <cell r="D1797"/>
          <cell r="E1797"/>
          <cell r="F1797"/>
          <cell r="G1797"/>
          <cell r="H1797"/>
          <cell r="I1797"/>
          <cell r="J1797"/>
          <cell r="K1797"/>
          <cell r="L1797">
            <v>17</v>
          </cell>
          <cell r="M1797"/>
          <cell r="N1797"/>
          <cell r="O1797"/>
        </row>
        <row r="1798">
          <cell r="A1798" t="str">
            <v>766-IG MINISTERIO BET-EL</v>
          </cell>
          <cell r="B1798"/>
          <cell r="C1798"/>
          <cell r="D1798"/>
          <cell r="E1798"/>
          <cell r="F1798"/>
          <cell r="G1798"/>
          <cell r="H1798"/>
          <cell r="I1798"/>
          <cell r="J1798"/>
          <cell r="K1798"/>
          <cell r="L1798"/>
          <cell r="M1798"/>
          <cell r="N1798"/>
          <cell r="O1798">
            <v>3</v>
          </cell>
        </row>
        <row r="1799">
          <cell r="A1799" t="str">
            <v>785-FU FUNDACION GOTAS DE ESPERANZA</v>
          </cell>
          <cell r="B1799"/>
          <cell r="C1799"/>
          <cell r="D1799"/>
          <cell r="E1799">
            <v>12.5</v>
          </cell>
          <cell r="F1799"/>
          <cell r="G1799"/>
          <cell r="H1799"/>
          <cell r="I1799"/>
          <cell r="J1799"/>
          <cell r="K1799"/>
          <cell r="L1799"/>
          <cell r="M1799"/>
          <cell r="N1799"/>
          <cell r="O1799"/>
        </row>
        <row r="1800">
          <cell r="A1800" t="str">
            <v>394-IG IGLESIA ESCUADRONES DEL EJERCITO DE DIOS (CENTRO2)</v>
          </cell>
          <cell r="B1800"/>
          <cell r="C1800">
            <v>7.6</v>
          </cell>
          <cell r="D1800"/>
          <cell r="E1800"/>
          <cell r="F1800"/>
          <cell r="G1800"/>
          <cell r="H1800"/>
          <cell r="I1800"/>
          <cell r="J1800"/>
          <cell r="K1800"/>
          <cell r="L1800"/>
          <cell r="M1800"/>
          <cell r="N1800"/>
          <cell r="O1800"/>
        </row>
        <row r="1801">
          <cell r="A1801" t="str">
            <v>789-FU Fundación Rescate de Alimentos</v>
          </cell>
          <cell r="B1801"/>
          <cell r="C1801">
            <v>5</v>
          </cell>
          <cell r="D1801"/>
          <cell r="E1801"/>
          <cell r="F1801"/>
          <cell r="G1801"/>
          <cell r="H1801"/>
          <cell r="I1801"/>
          <cell r="J1801"/>
          <cell r="K1801"/>
          <cell r="L1801"/>
          <cell r="M1801"/>
          <cell r="N1801"/>
          <cell r="O1801"/>
        </row>
        <row r="1802">
          <cell r="A1802" t="str">
            <v>804-IG Templo Misionero Eclesiastés</v>
          </cell>
          <cell r="B1802"/>
          <cell r="C1802"/>
          <cell r="D1802"/>
          <cell r="E1802"/>
          <cell r="F1802"/>
          <cell r="G1802"/>
          <cell r="H1802"/>
          <cell r="I1802">
            <v>2.5</v>
          </cell>
          <cell r="J1802"/>
          <cell r="K1802"/>
          <cell r="L1802"/>
          <cell r="M1802"/>
          <cell r="N1802"/>
          <cell r="O1802"/>
        </row>
        <row r="1803">
          <cell r="A1803" t="str">
            <v>463-FU MINISTERIO BERAKHAH INTERNACIONAL COMEDOR OASIS DE ESPERANZA (ESTE)</v>
          </cell>
          <cell r="B1803"/>
          <cell r="C1803"/>
          <cell r="D1803">
            <v>2.5</v>
          </cell>
          <cell r="E1803"/>
          <cell r="F1803"/>
          <cell r="G1803"/>
          <cell r="H1803"/>
          <cell r="I1803"/>
          <cell r="J1803"/>
          <cell r="K1803"/>
          <cell r="L1803"/>
          <cell r="M1803"/>
          <cell r="N1803"/>
          <cell r="O1803"/>
        </row>
        <row r="1804">
          <cell r="A1804" t="str">
            <v>756-FU Fundación Nuevas Rutas</v>
          </cell>
          <cell r="B1804"/>
          <cell r="C1804"/>
          <cell r="D1804"/>
          <cell r="E1804"/>
          <cell r="F1804"/>
          <cell r="G1804"/>
          <cell r="H1804"/>
          <cell r="I1804"/>
          <cell r="J1804">
            <v>44</v>
          </cell>
          <cell r="K1804"/>
          <cell r="L1804"/>
          <cell r="M1804"/>
          <cell r="N1804"/>
          <cell r="O1804"/>
        </row>
        <row r="1805">
          <cell r="A1805" t="str">
            <v>827-FU Fundación Transformemos mi comunidad</v>
          </cell>
          <cell r="B1805"/>
          <cell r="C1805"/>
          <cell r="D1805"/>
          <cell r="E1805">
            <v>1.3</v>
          </cell>
          <cell r="F1805"/>
          <cell r="G1805"/>
          <cell r="H1805"/>
          <cell r="I1805"/>
          <cell r="J1805"/>
          <cell r="K1805"/>
          <cell r="L1805"/>
          <cell r="M1805"/>
          <cell r="N1805"/>
          <cell r="O1805"/>
        </row>
        <row r="1806">
          <cell r="A1806" t="str">
            <v>Colgate Palmolive (CENTRAL AMERICA) INC</v>
          </cell>
          <cell r="B1806"/>
          <cell r="C1806">
            <v>161</v>
          </cell>
          <cell r="D1806">
            <v>173</v>
          </cell>
          <cell r="E1806">
            <v>84</v>
          </cell>
          <cell r="F1806">
            <v>14</v>
          </cell>
          <cell r="G1806">
            <v>14</v>
          </cell>
          <cell r="H1806">
            <v>29</v>
          </cell>
          <cell r="I1806">
            <v>38</v>
          </cell>
          <cell r="J1806">
            <v>34</v>
          </cell>
          <cell r="K1806">
            <v>40</v>
          </cell>
          <cell r="L1806">
            <v>14</v>
          </cell>
          <cell r="M1806">
            <v>6</v>
          </cell>
          <cell r="N1806"/>
          <cell r="O1806">
            <v>24</v>
          </cell>
        </row>
        <row r="1807">
          <cell r="A1807" t="str">
            <v>702 - FU MINISTERIO BERAKHAH INTERNACIONAL ARRAIJAN</v>
          </cell>
          <cell r="B1807"/>
          <cell r="C1807"/>
          <cell r="D1807"/>
          <cell r="E1807">
            <v>2</v>
          </cell>
          <cell r="F1807"/>
          <cell r="G1807"/>
          <cell r="H1807"/>
          <cell r="I1807"/>
          <cell r="J1807"/>
          <cell r="K1807"/>
          <cell r="L1807"/>
          <cell r="M1807"/>
          <cell r="N1807"/>
          <cell r="O1807"/>
        </row>
        <row r="1808">
          <cell r="A1808" t="str">
            <v>298-FU - MINISTERIO FUENTE DE VIDA PARA EL PERDIDO</v>
          </cell>
          <cell r="B1808"/>
          <cell r="C1808"/>
          <cell r="D1808"/>
          <cell r="E1808"/>
          <cell r="F1808">
            <v>8</v>
          </cell>
          <cell r="G1808"/>
          <cell r="H1808"/>
          <cell r="I1808"/>
          <cell r="J1808"/>
          <cell r="K1808"/>
          <cell r="L1808"/>
          <cell r="M1808"/>
          <cell r="N1808"/>
          <cell r="O1808"/>
        </row>
        <row r="1809">
          <cell r="A1809" t="str">
            <v>104 AS - ASOCIACIÓN HOGAR FELICIDAD</v>
          </cell>
          <cell r="B1809"/>
          <cell r="C1809"/>
          <cell r="D1809"/>
          <cell r="E1809">
            <v>28</v>
          </cell>
          <cell r="F1809"/>
          <cell r="G1809"/>
          <cell r="H1809"/>
          <cell r="I1809"/>
          <cell r="J1809"/>
          <cell r="K1809"/>
          <cell r="L1809"/>
          <cell r="M1809"/>
          <cell r="N1809"/>
          <cell r="O1809"/>
        </row>
        <row r="1810">
          <cell r="A1810" t="str">
            <v>175 AS - ASOCIACIÓN RESTAURANDO VIDAS</v>
          </cell>
          <cell r="B1810"/>
          <cell r="C1810"/>
          <cell r="D1810">
            <v>6</v>
          </cell>
          <cell r="E1810"/>
          <cell r="F1810"/>
          <cell r="G1810"/>
          <cell r="H1810"/>
          <cell r="I1810"/>
          <cell r="J1810"/>
          <cell r="K1810"/>
          <cell r="L1810"/>
          <cell r="M1810"/>
          <cell r="N1810"/>
          <cell r="O1810"/>
        </row>
        <row r="1811">
          <cell r="A1811" t="str">
            <v>178 IG - TEMPLO ZURIEL EL REFUGIO</v>
          </cell>
          <cell r="B1811"/>
          <cell r="C1811"/>
          <cell r="D1811"/>
          <cell r="E1811"/>
          <cell r="F1811"/>
          <cell r="G1811">
            <v>2</v>
          </cell>
          <cell r="H1811"/>
          <cell r="I1811"/>
          <cell r="J1811"/>
          <cell r="K1811"/>
          <cell r="L1811"/>
          <cell r="M1811"/>
          <cell r="N1811"/>
          <cell r="O1811"/>
        </row>
        <row r="1812">
          <cell r="A1812" t="str">
            <v>207 IG - IGLESIA CENTRO DE VIDA CRISTIANA</v>
          </cell>
          <cell r="B1812"/>
          <cell r="C1812"/>
          <cell r="D1812">
            <v>10</v>
          </cell>
          <cell r="E1812"/>
          <cell r="F1812"/>
          <cell r="G1812"/>
          <cell r="H1812"/>
          <cell r="I1812"/>
          <cell r="J1812"/>
          <cell r="K1812"/>
          <cell r="L1812"/>
          <cell r="M1812"/>
          <cell r="N1812"/>
          <cell r="O1812"/>
        </row>
        <row r="1813">
          <cell r="A1813" t="str">
            <v>493-FU Comedor Jesús es mi Pastor</v>
          </cell>
          <cell r="B1813"/>
          <cell r="C1813"/>
          <cell r="D1813">
            <v>3</v>
          </cell>
          <cell r="E1813"/>
          <cell r="F1813"/>
          <cell r="G1813"/>
          <cell r="H1813"/>
          <cell r="I1813"/>
          <cell r="J1813"/>
          <cell r="K1813"/>
          <cell r="L1813"/>
          <cell r="M1813"/>
          <cell r="N1813"/>
          <cell r="O1813"/>
        </row>
        <row r="1814">
          <cell r="A1814" t="str">
            <v>636- FU JAH - LIVE (JAHL) - COLON</v>
          </cell>
          <cell r="B1814"/>
          <cell r="C1814"/>
          <cell r="D1814"/>
          <cell r="E1814"/>
          <cell r="F1814"/>
          <cell r="G1814"/>
          <cell r="H1814">
            <v>29</v>
          </cell>
          <cell r="I1814"/>
          <cell r="J1814"/>
          <cell r="K1814"/>
          <cell r="L1814"/>
          <cell r="M1814"/>
          <cell r="N1814"/>
          <cell r="O1814"/>
        </row>
        <row r="1815">
          <cell r="A1815" t="str">
            <v>365-IG COMEDOR HEFZIBA</v>
          </cell>
          <cell r="B1815"/>
          <cell r="C1815"/>
          <cell r="D1815"/>
          <cell r="E1815"/>
          <cell r="F1815"/>
          <cell r="G1815"/>
          <cell r="H1815"/>
          <cell r="I1815">
            <v>1</v>
          </cell>
          <cell r="J1815"/>
          <cell r="K1815"/>
          <cell r="L1815"/>
          <cell r="M1815"/>
          <cell r="N1815"/>
          <cell r="O1815"/>
        </row>
        <row r="1816">
          <cell r="A1816" t="str">
            <v>187 IG - IGLESIA DE DIOS DE LA PROFECÍA</v>
          </cell>
          <cell r="B1816"/>
          <cell r="C1816"/>
          <cell r="D1816">
            <v>1</v>
          </cell>
          <cell r="E1816"/>
          <cell r="F1816"/>
          <cell r="G1816"/>
          <cell r="H1816"/>
          <cell r="I1816"/>
          <cell r="J1816"/>
          <cell r="K1816"/>
          <cell r="L1816"/>
          <cell r="M1816"/>
          <cell r="N1816"/>
          <cell r="O1816"/>
        </row>
        <row r="1817">
          <cell r="A1817" t="str">
            <v>111 FU - FUNDACIÓN NUESTRA SEÑORA DEL CAMINO</v>
          </cell>
          <cell r="B1817"/>
          <cell r="C1817"/>
          <cell r="D1817"/>
          <cell r="E1817"/>
          <cell r="F1817"/>
          <cell r="G1817"/>
          <cell r="H1817"/>
          <cell r="I1817"/>
          <cell r="J1817">
            <v>4</v>
          </cell>
          <cell r="K1817"/>
          <cell r="L1817"/>
          <cell r="M1817"/>
          <cell r="N1817"/>
          <cell r="O1817"/>
        </row>
        <row r="1818">
          <cell r="A1818" t="str">
            <v>443-FU MINISTERIO BERAKHAH INTERNACIONAL COMEDOR LAS GARZAS #2</v>
          </cell>
          <cell r="B1818"/>
          <cell r="C1818"/>
          <cell r="D1818">
            <v>9</v>
          </cell>
          <cell r="E1818"/>
          <cell r="F1818"/>
          <cell r="G1818"/>
          <cell r="H1818"/>
          <cell r="I1818"/>
          <cell r="J1818"/>
          <cell r="K1818"/>
          <cell r="L1818"/>
          <cell r="M1818"/>
          <cell r="N1818"/>
          <cell r="O1818"/>
        </row>
        <row r="1819">
          <cell r="A1819" t="str">
            <v>694 - FU MINISTERIO BERAKHAH INTERNACIONAL TOCUMEN #2</v>
          </cell>
          <cell r="B1819"/>
          <cell r="C1819"/>
          <cell r="D1819">
            <v>25</v>
          </cell>
          <cell r="E1819"/>
          <cell r="F1819"/>
          <cell r="G1819"/>
          <cell r="H1819"/>
          <cell r="I1819"/>
          <cell r="J1819"/>
          <cell r="K1819"/>
          <cell r="L1819"/>
          <cell r="M1819"/>
          <cell r="N1819"/>
          <cell r="O1819"/>
        </row>
        <row r="1820">
          <cell r="A1820" t="str">
            <v>695 - FU MINISTERIO BERAKHAH INTERNACIONAL 24 DIC</v>
          </cell>
          <cell r="B1820"/>
          <cell r="C1820"/>
          <cell r="D1820">
            <v>18</v>
          </cell>
          <cell r="E1820"/>
          <cell r="F1820"/>
          <cell r="G1820"/>
          <cell r="H1820"/>
          <cell r="I1820"/>
          <cell r="J1820"/>
          <cell r="K1820"/>
          <cell r="L1820"/>
          <cell r="M1820"/>
          <cell r="N1820"/>
          <cell r="O1820"/>
        </row>
        <row r="1821">
          <cell r="A1821" t="str">
            <v>703 - FU MINISTERIO BERAKHAH INTERNACIONAL FELIPILLO #3</v>
          </cell>
          <cell r="B1821"/>
          <cell r="C1821"/>
          <cell r="D1821">
            <v>3</v>
          </cell>
          <cell r="E1821"/>
          <cell r="F1821"/>
          <cell r="G1821"/>
          <cell r="H1821"/>
          <cell r="I1821"/>
          <cell r="J1821"/>
          <cell r="K1821"/>
          <cell r="L1821"/>
          <cell r="M1821"/>
          <cell r="N1821"/>
          <cell r="O1821"/>
        </row>
        <row r="1822">
          <cell r="A1822" t="str">
            <v>444-FU MINISTERIO BERAKHAH INTERNACIONAL COMEDOR LAS GARZAS #1</v>
          </cell>
          <cell r="B1822"/>
          <cell r="C1822"/>
          <cell r="D1822">
            <v>4</v>
          </cell>
          <cell r="E1822"/>
          <cell r="F1822"/>
          <cell r="G1822"/>
          <cell r="H1822"/>
          <cell r="I1822"/>
          <cell r="J1822"/>
          <cell r="K1822"/>
          <cell r="L1822"/>
          <cell r="M1822"/>
          <cell r="N1822"/>
          <cell r="O1822"/>
        </row>
        <row r="1823">
          <cell r="A1823" t="str">
            <v>366-FU CENTRO MISIONERO EL SHADAI (ESTE)</v>
          </cell>
          <cell r="B1823"/>
          <cell r="C1823"/>
          <cell r="D1823">
            <v>8</v>
          </cell>
          <cell r="E1823"/>
          <cell r="F1823"/>
          <cell r="G1823"/>
          <cell r="H1823"/>
          <cell r="I1823"/>
          <cell r="J1823"/>
          <cell r="K1823"/>
          <cell r="L1823"/>
          <cell r="M1823"/>
          <cell r="N1823"/>
          <cell r="O1823"/>
        </row>
        <row r="1824">
          <cell r="A1824" t="str">
            <v>288 IG MINISTERIO EVANGELISTICO DE SANACION Y RESTAURACION, SENALES, MILAGROS Y MARAVILLAS (ESTE)</v>
          </cell>
          <cell r="B1824"/>
          <cell r="C1824"/>
          <cell r="D1824">
            <v>6</v>
          </cell>
          <cell r="E1824"/>
          <cell r="F1824"/>
          <cell r="G1824"/>
          <cell r="H1824"/>
          <cell r="I1824"/>
          <cell r="J1824"/>
          <cell r="K1824"/>
          <cell r="L1824"/>
          <cell r="M1824"/>
          <cell r="N1824"/>
          <cell r="O1824"/>
        </row>
        <row r="1825">
          <cell r="A1825" t="str">
            <v>373-FU MINISTERIO INTERNACIONAL BOANERGES</v>
          </cell>
          <cell r="B1825"/>
          <cell r="C1825"/>
          <cell r="D1825"/>
          <cell r="E1825"/>
          <cell r="F1825"/>
          <cell r="G1825"/>
          <cell r="H1825"/>
          <cell r="I1825">
            <v>3</v>
          </cell>
          <cell r="J1825"/>
          <cell r="K1825"/>
          <cell r="L1825"/>
          <cell r="M1825"/>
          <cell r="N1825"/>
          <cell r="O1825"/>
        </row>
        <row r="1826">
          <cell r="A1826" t="str">
            <v>691 - AR CARITAS ARQUIDIOCESANA</v>
          </cell>
          <cell r="B1826"/>
          <cell r="C1826">
            <v>3</v>
          </cell>
          <cell r="D1826"/>
          <cell r="E1826"/>
          <cell r="F1826"/>
          <cell r="G1826"/>
          <cell r="H1826"/>
          <cell r="I1826"/>
          <cell r="J1826"/>
          <cell r="K1826"/>
          <cell r="L1826"/>
          <cell r="M1826"/>
          <cell r="N1826"/>
          <cell r="O1826"/>
        </row>
        <row r="1827">
          <cell r="A1827" t="str">
            <v>643 - IG TEMPLO PUERTA DEL CIELO (CHIRIQUI)</v>
          </cell>
          <cell r="B1827"/>
          <cell r="C1827"/>
          <cell r="D1827"/>
          <cell r="E1827"/>
          <cell r="F1827"/>
          <cell r="G1827"/>
          <cell r="H1827"/>
          <cell r="I1827"/>
          <cell r="J1827">
            <v>6</v>
          </cell>
          <cell r="K1827"/>
          <cell r="L1827"/>
          <cell r="M1827"/>
          <cell r="N1827"/>
          <cell r="O1827"/>
        </row>
        <row r="1828">
          <cell r="A1828" t="str">
            <v>368-FU MINISTERIO PACTO DE SANTIDAD</v>
          </cell>
          <cell r="B1828"/>
          <cell r="C1828">
            <v>19</v>
          </cell>
          <cell r="D1828"/>
          <cell r="E1828"/>
          <cell r="F1828"/>
          <cell r="G1828"/>
          <cell r="H1828"/>
          <cell r="I1828"/>
          <cell r="J1828"/>
          <cell r="K1828"/>
          <cell r="L1828"/>
          <cell r="M1828"/>
          <cell r="N1828"/>
          <cell r="O1828"/>
        </row>
        <row r="1829">
          <cell r="A1829" t="str">
            <v>363-FU FUNDACION MINISTERIO DEL EVANGELIO ETERNO DEL REINO (NORTE)</v>
          </cell>
          <cell r="B1829"/>
          <cell r="C1829"/>
          <cell r="D1829"/>
          <cell r="E1829"/>
          <cell r="F1829"/>
          <cell r="G1829">
            <v>3</v>
          </cell>
          <cell r="H1829"/>
          <cell r="I1829"/>
          <cell r="J1829"/>
          <cell r="K1829"/>
          <cell r="L1829"/>
          <cell r="M1829"/>
          <cell r="N1829"/>
          <cell r="O1829"/>
        </row>
        <row r="1830">
          <cell r="A1830" t="str">
            <v>487-FU FUNDACION CASA AVE MARIA</v>
          </cell>
          <cell r="B1830"/>
          <cell r="C1830"/>
          <cell r="D1830"/>
          <cell r="E1830">
            <v>14</v>
          </cell>
          <cell r="F1830"/>
          <cell r="G1830"/>
          <cell r="H1830"/>
          <cell r="I1830"/>
          <cell r="J1830"/>
          <cell r="K1830"/>
          <cell r="L1830"/>
          <cell r="M1830"/>
          <cell r="N1830"/>
          <cell r="O1830"/>
        </row>
        <row r="1831">
          <cell r="A1831" t="str">
            <v>2 PA - PARROQUIA SAN JUAN MARIA VIANNEY (NORTE)</v>
          </cell>
          <cell r="B1831"/>
          <cell r="C1831"/>
          <cell r="D1831"/>
          <cell r="E1831"/>
          <cell r="F1831"/>
          <cell r="G1831"/>
          <cell r="H1831"/>
          <cell r="I1831">
            <v>12</v>
          </cell>
          <cell r="J1831"/>
          <cell r="K1831"/>
          <cell r="L1831"/>
          <cell r="M1831"/>
          <cell r="N1831"/>
          <cell r="O1831"/>
        </row>
        <row r="1832">
          <cell r="A1832" t="str">
            <v>696 - FU MINISTERIO BERAKHAH INTERNACIONAL CHEPO #1</v>
          </cell>
          <cell r="B1832"/>
          <cell r="C1832"/>
          <cell r="D1832">
            <v>3</v>
          </cell>
          <cell r="E1832"/>
          <cell r="F1832"/>
          <cell r="G1832"/>
          <cell r="H1832"/>
          <cell r="I1832"/>
          <cell r="J1832"/>
          <cell r="K1832"/>
          <cell r="L1832"/>
          <cell r="M1832"/>
          <cell r="N1832"/>
          <cell r="O1832"/>
        </row>
        <row r="1833">
          <cell r="A1833" t="str">
            <v>222 ED - MISERICORDIAR</v>
          </cell>
          <cell r="B1833"/>
          <cell r="C1833"/>
          <cell r="D1833">
            <v>1</v>
          </cell>
          <cell r="E1833"/>
          <cell r="F1833"/>
          <cell r="G1833"/>
          <cell r="H1833"/>
          <cell r="I1833"/>
          <cell r="J1833"/>
          <cell r="K1833"/>
          <cell r="L1833"/>
          <cell r="M1833"/>
          <cell r="N1833"/>
          <cell r="O1833"/>
        </row>
        <row r="1834">
          <cell r="A1834" t="str">
            <v>259 IG - ALCANCE VICTORIA PANAMÁ</v>
          </cell>
          <cell r="B1834"/>
          <cell r="C1834">
            <v>13</v>
          </cell>
          <cell r="D1834"/>
          <cell r="E1834"/>
          <cell r="F1834"/>
          <cell r="G1834"/>
          <cell r="H1834"/>
          <cell r="I1834"/>
          <cell r="J1834"/>
          <cell r="K1834"/>
          <cell r="L1834"/>
          <cell r="M1834"/>
          <cell r="N1834"/>
          <cell r="O1834"/>
        </row>
        <row r="1835">
          <cell r="A1835" t="str">
            <v>668 - FU FUNDACION CRISTIANA LA FE EN MARCHA</v>
          </cell>
          <cell r="B1835"/>
          <cell r="C1835"/>
          <cell r="D1835"/>
          <cell r="E1835"/>
          <cell r="F1835"/>
          <cell r="G1835"/>
          <cell r="H1835"/>
          <cell r="I1835"/>
          <cell r="J1835">
            <v>20</v>
          </cell>
          <cell r="K1835"/>
          <cell r="L1835"/>
          <cell r="M1835"/>
          <cell r="N1835"/>
          <cell r="O1835"/>
        </row>
        <row r="1836">
          <cell r="A1836" t="str">
            <v>644 - IG TEMPLO SENDA DE VIDA (CHIRIQUÍ)</v>
          </cell>
          <cell r="B1836"/>
          <cell r="C1836"/>
          <cell r="D1836"/>
          <cell r="E1836"/>
          <cell r="F1836"/>
          <cell r="G1836"/>
          <cell r="H1836"/>
          <cell r="I1836"/>
          <cell r="J1836">
            <v>2</v>
          </cell>
          <cell r="K1836"/>
          <cell r="L1836"/>
          <cell r="M1836"/>
          <cell r="N1836"/>
          <cell r="O1836"/>
        </row>
        <row r="1837">
          <cell r="A1837" t="str">
            <v>387-AS Asociacion ODSSAR-OBC</v>
          </cell>
          <cell r="B1837"/>
          <cell r="C1837"/>
          <cell r="D1837">
            <v>12</v>
          </cell>
          <cell r="E1837"/>
          <cell r="F1837"/>
          <cell r="G1837"/>
          <cell r="H1837"/>
          <cell r="I1837"/>
          <cell r="J1837"/>
          <cell r="K1837"/>
          <cell r="L1837"/>
          <cell r="M1837"/>
          <cell r="N1837"/>
          <cell r="O1837"/>
        </row>
        <row r="1838">
          <cell r="A1838" t="str">
            <v>300 ED - BENEFICIARIOS</v>
          </cell>
          <cell r="B1838"/>
          <cell r="C1838"/>
          <cell r="D1838">
            <v>2</v>
          </cell>
          <cell r="E1838"/>
          <cell r="F1838"/>
          <cell r="G1838"/>
          <cell r="H1838"/>
          <cell r="I1838"/>
          <cell r="J1838"/>
          <cell r="K1838"/>
          <cell r="L1838"/>
          <cell r="M1838"/>
          <cell r="N1838"/>
          <cell r="O1838"/>
        </row>
        <row r="1839">
          <cell r="A1839" t="str">
            <v>657 - FU CENTRO COMUNITARIO MONTAÑAS DE ESPERANZA (RETIRO EN EL BAP)</v>
          </cell>
          <cell r="B1839"/>
          <cell r="C1839"/>
          <cell r="D1839">
            <v>8</v>
          </cell>
          <cell r="E1839"/>
          <cell r="F1839"/>
          <cell r="G1839"/>
          <cell r="H1839"/>
          <cell r="I1839"/>
          <cell r="J1839"/>
          <cell r="K1839"/>
          <cell r="L1839"/>
          <cell r="M1839"/>
          <cell r="N1839"/>
          <cell r="O1839"/>
        </row>
        <row r="1840">
          <cell r="A1840" t="str">
            <v>630-IG MIN.INTL.DE CRISTO PAZ DE DIOS</v>
          </cell>
          <cell r="B1840"/>
          <cell r="C1840">
            <v>12</v>
          </cell>
          <cell r="D1840"/>
          <cell r="E1840"/>
          <cell r="F1840"/>
          <cell r="G1840"/>
          <cell r="H1840"/>
          <cell r="I1840"/>
          <cell r="J1840"/>
          <cell r="K1840"/>
          <cell r="L1840"/>
          <cell r="M1840"/>
          <cell r="N1840"/>
          <cell r="O1840"/>
        </row>
        <row r="1841">
          <cell r="A1841" t="str">
            <v>397-FU FUNDACION SHALOM PANAMA</v>
          </cell>
          <cell r="B1841"/>
          <cell r="C1841"/>
          <cell r="D1841"/>
          <cell r="E1841">
            <v>10</v>
          </cell>
          <cell r="F1841"/>
          <cell r="G1841"/>
          <cell r="H1841"/>
          <cell r="I1841"/>
          <cell r="J1841"/>
          <cell r="K1841"/>
          <cell r="L1841"/>
          <cell r="M1841"/>
          <cell r="N1841"/>
          <cell r="O1841"/>
        </row>
        <row r="1842">
          <cell r="A1842" t="str">
            <v>697 - FU MINISTERIO BERAKHAH INTERNACIONAL CHEPO #2</v>
          </cell>
          <cell r="B1842"/>
          <cell r="C1842"/>
          <cell r="D1842">
            <v>3</v>
          </cell>
          <cell r="E1842"/>
          <cell r="F1842"/>
          <cell r="G1842"/>
          <cell r="H1842"/>
          <cell r="I1842"/>
          <cell r="J1842"/>
          <cell r="K1842"/>
          <cell r="L1842"/>
          <cell r="M1842"/>
          <cell r="N1842"/>
          <cell r="O1842"/>
        </row>
        <row r="1843">
          <cell r="A1843" t="str">
            <v>653 - FU FUNDACION LUIS CARLOS DIAZ (OESTE)</v>
          </cell>
          <cell r="B1843"/>
          <cell r="C1843"/>
          <cell r="D1843"/>
          <cell r="E1843">
            <v>4</v>
          </cell>
          <cell r="F1843"/>
          <cell r="G1843"/>
          <cell r="H1843"/>
          <cell r="I1843"/>
          <cell r="J1843"/>
          <cell r="K1843"/>
          <cell r="L1843"/>
          <cell r="M1843"/>
          <cell r="N1843"/>
          <cell r="O1843"/>
        </row>
        <row r="1844">
          <cell r="A1844" t="str">
            <v>423-FU FUNDACION CONSTRUYENDO VIDAS EN PANAMA</v>
          </cell>
          <cell r="B1844"/>
          <cell r="C1844"/>
          <cell r="D1844"/>
          <cell r="E1844">
            <v>1</v>
          </cell>
          <cell r="F1844"/>
          <cell r="G1844"/>
          <cell r="H1844"/>
          <cell r="I1844"/>
          <cell r="J1844"/>
          <cell r="K1844"/>
          <cell r="L1844"/>
          <cell r="M1844"/>
          <cell r="N1844"/>
          <cell r="O1844"/>
        </row>
        <row r="1845">
          <cell r="A1845" t="str">
            <v>380-ED COMEDOR COMUNITARIO CASA DEL ALFARERO</v>
          </cell>
          <cell r="B1845"/>
          <cell r="C1845"/>
          <cell r="D1845">
            <v>7</v>
          </cell>
          <cell r="E1845"/>
          <cell r="F1845"/>
          <cell r="G1845"/>
          <cell r="H1845"/>
          <cell r="I1845"/>
          <cell r="J1845"/>
          <cell r="K1845"/>
          <cell r="L1845"/>
          <cell r="M1845"/>
          <cell r="N1845"/>
          <cell r="O1845"/>
        </row>
        <row r="1846">
          <cell r="A1846" t="str">
            <v>116 AS - ASOCIACIÓN IGLESIA DE CRISTO ESTRELLA CRECIENTE</v>
          </cell>
          <cell r="B1846"/>
          <cell r="C1846"/>
          <cell r="D1846">
            <v>2</v>
          </cell>
          <cell r="E1846"/>
          <cell r="F1846"/>
          <cell r="G1846"/>
          <cell r="H1846"/>
          <cell r="I1846"/>
          <cell r="J1846"/>
          <cell r="K1846"/>
          <cell r="L1846"/>
          <cell r="M1846"/>
          <cell r="N1846"/>
          <cell r="O1846"/>
        </row>
        <row r="1847">
          <cell r="A1847" t="str">
            <v>451-IG IGLESIA MANANTIAL DE VIDA (ESTE)</v>
          </cell>
          <cell r="B1847"/>
          <cell r="C1847"/>
          <cell r="D1847">
            <v>4</v>
          </cell>
          <cell r="E1847"/>
          <cell r="F1847"/>
          <cell r="G1847"/>
          <cell r="H1847"/>
          <cell r="I1847"/>
          <cell r="J1847"/>
          <cell r="K1847"/>
          <cell r="L1847"/>
          <cell r="M1847"/>
          <cell r="N1847"/>
          <cell r="O1847"/>
        </row>
        <row r="1848">
          <cell r="A1848" t="str">
            <v>597- IG MINISTERIO APOSTOLICO NEMUEL INTERNACIONAL</v>
          </cell>
          <cell r="B1848"/>
          <cell r="C1848"/>
          <cell r="D1848">
            <v>10</v>
          </cell>
          <cell r="E1848"/>
          <cell r="F1848"/>
          <cell r="G1848"/>
          <cell r="H1848"/>
          <cell r="I1848"/>
          <cell r="J1848"/>
          <cell r="K1848"/>
          <cell r="L1848"/>
          <cell r="M1848"/>
          <cell r="N1848"/>
          <cell r="O1848"/>
        </row>
        <row r="1849">
          <cell r="A1849" t="str">
            <v>339-AS ASOCIACION RESIDENCIA LISBETH</v>
          </cell>
          <cell r="B1849"/>
          <cell r="C1849"/>
          <cell r="D1849">
            <v>3</v>
          </cell>
          <cell r="E1849"/>
          <cell r="F1849"/>
          <cell r="G1849"/>
          <cell r="H1849"/>
          <cell r="I1849"/>
          <cell r="J1849"/>
          <cell r="K1849"/>
          <cell r="L1849"/>
          <cell r="M1849"/>
          <cell r="N1849"/>
          <cell r="O1849"/>
        </row>
        <row r="1850">
          <cell r="A1850" t="str">
            <v>381-FU FUNDAMIDOM</v>
          </cell>
          <cell r="B1850"/>
          <cell r="C1850"/>
          <cell r="D1850"/>
          <cell r="E1850">
            <v>2</v>
          </cell>
          <cell r="F1850"/>
          <cell r="G1850"/>
          <cell r="H1850"/>
          <cell r="I1850"/>
          <cell r="J1850"/>
          <cell r="K1850"/>
          <cell r="L1850"/>
          <cell r="M1850"/>
          <cell r="N1850"/>
          <cell r="O1850"/>
        </row>
        <row r="1851">
          <cell r="A1851" t="str">
            <v>327-PA - Parroquia la Santa Cruz</v>
          </cell>
          <cell r="B1851"/>
          <cell r="C1851"/>
          <cell r="D1851"/>
          <cell r="E1851"/>
          <cell r="F1851"/>
          <cell r="G1851"/>
          <cell r="H1851"/>
          <cell r="I1851">
            <v>4</v>
          </cell>
          <cell r="J1851"/>
          <cell r="K1851"/>
          <cell r="L1851"/>
          <cell r="M1851"/>
          <cell r="N1851"/>
          <cell r="O1851"/>
        </row>
        <row r="1852">
          <cell r="A1852" t="str">
            <v>681 - FU FUNDACION NUEVA SOCIEDAD (NORTE)</v>
          </cell>
          <cell r="B1852"/>
          <cell r="C1852"/>
          <cell r="D1852"/>
          <cell r="E1852"/>
          <cell r="F1852"/>
          <cell r="G1852"/>
          <cell r="H1852"/>
          <cell r="I1852">
            <v>13</v>
          </cell>
          <cell r="J1852"/>
          <cell r="K1852"/>
          <cell r="L1852"/>
          <cell r="M1852"/>
          <cell r="N1852"/>
          <cell r="O1852"/>
        </row>
        <row r="1853">
          <cell r="A1853" t="str">
            <v>377-FU CENTRO CRISTIANO CASA DE DIOS PANAMA</v>
          </cell>
          <cell r="B1853"/>
          <cell r="C1853"/>
          <cell r="D1853"/>
          <cell r="E1853"/>
          <cell r="F1853"/>
          <cell r="G1853">
            <v>6</v>
          </cell>
          <cell r="H1853"/>
          <cell r="I1853"/>
          <cell r="J1853"/>
          <cell r="K1853"/>
          <cell r="L1853"/>
          <cell r="M1853"/>
          <cell r="N1853"/>
          <cell r="O1853"/>
        </row>
        <row r="1854">
          <cell r="A1854" t="str">
            <v>118 FU - FUNDACIÓN UN NUEVO AMANECER</v>
          </cell>
          <cell r="B1854"/>
          <cell r="C1854"/>
          <cell r="D1854"/>
          <cell r="E1854">
            <v>8</v>
          </cell>
          <cell r="F1854"/>
          <cell r="G1854"/>
          <cell r="H1854"/>
          <cell r="I1854"/>
          <cell r="J1854"/>
          <cell r="K1854"/>
          <cell r="L1854"/>
          <cell r="M1854"/>
          <cell r="N1854"/>
          <cell r="O1854"/>
        </row>
        <row r="1855">
          <cell r="A1855" t="str">
            <v>360-IG IGLESIA CRISTIANA CASA DE REUNION</v>
          </cell>
          <cell r="B1855"/>
          <cell r="C1855"/>
          <cell r="D1855"/>
          <cell r="E1855"/>
          <cell r="F1855"/>
          <cell r="G1855">
            <v>3</v>
          </cell>
          <cell r="H1855"/>
          <cell r="I1855"/>
          <cell r="J1855"/>
          <cell r="K1855"/>
          <cell r="L1855"/>
          <cell r="M1855"/>
          <cell r="N1855"/>
          <cell r="O1855"/>
        </row>
        <row r="1856">
          <cell r="A1856" t="str">
            <v>684 - FU FUNDACION CASA DEL REY JESUS (CENTRO 2)</v>
          </cell>
          <cell r="B1856"/>
          <cell r="C1856">
            <v>71</v>
          </cell>
          <cell r="D1856"/>
          <cell r="E1856"/>
          <cell r="F1856"/>
          <cell r="G1856"/>
          <cell r="H1856"/>
          <cell r="I1856"/>
          <cell r="J1856"/>
          <cell r="K1856"/>
          <cell r="L1856"/>
          <cell r="M1856"/>
          <cell r="N1856"/>
          <cell r="O1856"/>
        </row>
        <row r="1857">
          <cell r="A1857" t="str">
            <v>723 ASOCIACION AQUI ESTOY</v>
          </cell>
          <cell r="B1857"/>
          <cell r="C1857"/>
          <cell r="D1857"/>
          <cell r="E1857">
            <v>3</v>
          </cell>
          <cell r="F1857"/>
          <cell r="G1857"/>
          <cell r="H1857"/>
          <cell r="I1857"/>
          <cell r="J1857"/>
          <cell r="K1857"/>
          <cell r="L1857"/>
          <cell r="M1857"/>
          <cell r="N1857"/>
          <cell r="O1857"/>
        </row>
        <row r="1858">
          <cell r="A1858" t="str">
            <v>707 - FU MINISTERIO BERAKHAH INTERNACIONAL CAIMITILLO</v>
          </cell>
          <cell r="B1858"/>
          <cell r="C1858"/>
          <cell r="D1858"/>
          <cell r="E1858"/>
          <cell r="F1858"/>
          <cell r="G1858"/>
          <cell r="H1858"/>
          <cell r="I1858">
            <v>2</v>
          </cell>
          <cell r="J1858"/>
          <cell r="K1858"/>
          <cell r="L1858"/>
          <cell r="M1858"/>
          <cell r="N1858"/>
          <cell r="O1858"/>
        </row>
        <row r="1859">
          <cell r="A1859" t="str">
            <v>229 PA - PARROQUIA SAN CRISTOBAL DE CHEPO</v>
          </cell>
          <cell r="B1859"/>
          <cell r="C1859"/>
          <cell r="D1859">
            <v>13</v>
          </cell>
          <cell r="E1859"/>
          <cell r="F1859"/>
          <cell r="G1859"/>
          <cell r="H1859"/>
          <cell r="I1859"/>
          <cell r="J1859"/>
          <cell r="K1859"/>
          <cell r="L1859"/>
          <cell r="M1859"/>
          <cell r="N1859"/>
          <cell r="O1859"/>
        </row>
        <row r="1860">
          <cell r="A1860" t="str">
            <v>390-FU FUNDACION CRISTIANA FAMILIAR EL TALLER DEL MAESTRO (CENTRO1)</v>
          </cell>
          <cell r="B1860"/>
          <cell r="C1860">
            <v>3</v>
          </cell>
          <cell r="D1860"/>
          <cell r="E1860"/>
          <cell r="F1860"/>
          <cell r="G1860"/>
          <cell r="H1860"/>
          <cell r="I1860"/>
          <cell r="J1860"/>
          <cell r="K1860"/>
          <cell r="L1860"/>
          <cell r="M1860"/>
          <cell r="N1860"/>
          <cell r="O1860"/>
        </row>
        <row r="1861">
          <cell r="A1861" t="str">
            <v>736-IG JESUS HACE MILAGROS</v>
          </cell>
          <cell r="B1861"/>
          <cell r="C1861"/>
          <cell r="D1861"/>
          <cell r="E1861"/>
          <cell r="F1861"/>
          <cell r="G1861"/>
          <cell r="H1861"/>
          <cell r="I1861"/>
          <cell r="J1861">
            <v>2</v>
          </cell>
          <cell r="K1861"/>
          <cell r="L1861"/>
          <cell r="M1861"/>
          <cell r="N1861"/>
          <cell r="O1861"/>
        </row>
        <row r="1862">
          <cell r="A1862" t="str">
            <v>737- ASOCIACION CRISTIANA EBEN-EZER (ESTE)</v>
          </cell>
          <cell r="B1862"/>
          <cell r="C1862"/>
          <cell r="D1862">
            <v>4</v>
          </cell>
          <cell r="E1862"/>
          <cell r="F1862"/>
          <cell r="G1862"/>
          <cell r="H1862"/>
          <cell r="I1862"/>
          <cell r="J1862"/>
          <cell r="K1862"/>
          <cell r="L1862"/>
          <cell r="M1862"/>
          <cell r="N1862"/>
          <cell r="O1862"/>
        </row>
        <row r="1863">
          <cell r="A1863" t="str">
            <v>738- IG MINISTERIO DIOS CON NOSOTROS EMANUEL</v>
          </cell>
          <cell r="B1863"/>
          <cell r="C1863"/>
          <cell r="D1863">
            <v>2</v>
          </cell>
          <cell r="E1863"/>
          <cell r="F1863"/>
          <cell r="G1863"/>
          <cell r="H1863"/>
          <cell r="I1863"/>
          <cell r="J1863"/>
          <cell r="K1863"/>
          <cell r="L1863"/>
          <cell r="M1863"/>
          <cell r="N1863"/>
          <cell r="O1863"/>
        </row>
        <row r="1864">
          <cell r="A1864" t="str">
            <v>733-IG LA ORACION FUERTE AL ESPIRITU SANTO</v>
          </cell>
          <cell r="B1864"/>
          <cell r="C1864">
            <v>10</v>
          </cell>
          <cell r="D1864"/>
          <cell r="E1864"/>
          <cell r="F1864"/>
          <cell r="G1864"/>
          <cell r="H1864"/>
          <cell r="I1864"/>
          <cell r="J1864"/>
          <cell r="K1864"/>
          <cell r="L1864"/>
          <cell r="M1864"/>
          <cell r="N1864"/>
          <cell r="O1864"/>
        </row>
        <row r="1865">
          <cell r="A1865" t="str">
            <v>745-FU CASA DE MISERICORDIA</v>
          </cell>
          <cell r="B1865"/>
          <cell r="C1865">
            <v>12</v>
          </cell>
          <cell r="D1865"/>
          <cell r="E1865"/>
          <cell r="F1865"/>
          <cell r="G1865"/>
          <cell r="H1865"/>
          <cell r="I1865"/>
          <cell r="J1865"/>
          <cell r="K1865"/>
          <cell r="L1865"/>
          <cell r="M1865"/>
          <cell r="N1865"/>
          <cell r="O1865"/>
        </row>
        <row r="1866">
          <cell r="A1866" t="str">
            <v>749-IG Ministerio Tabernáculo de Santidad Internación (Guararé)</v>
          </cell>
          <cell r="B1866"/>
          <cell r="C1866"/>
          <cell r="D1866"/>
          <cell r="E1866"/>
          <cell r="F1866"/>
          <cell r="G1866"/>
          <cell r="H1866"/>
          <cell r="I1866"/>
          <cell r="J1866"/>
          <cell r="K1866"/>
          <cell r="L1866"/>
          <cell r="M1866">
            <v>6</v>
          </cell>
          <cell r="N1866"/>
          <cell r="O1866"/>
        </row>
        <row r="1867">
          <cell r="A1867" t="str">
            <v>613-FU FUNDACION INMARE</v>
          </cell>
          <cell r="B1867"/>
          <cell r="C1867"/>
          <cell r="D1867"/>
          <cell r="E1867"/>
          <cell r="F1867"/>
          <cell r="G1867"/>
          <cell r="H1867"/>
          <cell r="I1867"/>
          <cell r="J1867"/>
          <cell r="K1867">
            <v>40</v>
          </cell>
          <cell r="L1867"/>
          <cell r="M1867"/>
          <cell r="N1867"/>
          <cell r="O1867"/>
        </row>
        <row r="1868">
          <cell r="A1868" t="str">
            <v>765-IG EXPANSION MISIONERA RIOS DE AGUA VIVA</v>
          </cell>
          <cell r="B1868"/>
          <cell r="C1868"/>
          <cell r="D1868"/>
          <cell r="E1868"/>
          <cell r="F1868"/>
          <cell r="G1868"/>
          <cell r="H1868"/>
          <cell r="I1868"/>
          <cell r="J1868"/>
          <cell r="K1868"/>
          <cell r="L1868">
            <v>10</v>
          </cell>
          <cell r="M1868"/>
          <cell r="N1868"/>
          <cell r="O1868"/>
        </row>
        <row r="1869">
          <cell r="A1869" t="str">
            <v>766-IG MINISTERIO BET-EL</v>
          </cell>
          <cell r="B1869"/>
          <cell r="C1869"/>
          <cell r="D1869"/>
          <cell r="E1869"/>
          <cell r="F1869"/>
          <cell r="G1869"/>
          <cell r="H1869"/>
          <cell r="I1869"/>
          <cell r="J1869"/>
          <cell r="K1869"/>
          <cell r="L1869"/>
          <cell r="M1869"/>
          <cell r="N1869"/>
          <cell r="O1869">
            <v>22</v>
          </cell>
        </row>
        <row r="1870">
          <cell r="A1870" t="str">
            <v>785-FU FUNDACION GOTAS DE ESPERANZA</v>
          </cell>
          <cell r="B1870"/>
          <cell r="C1870"/>
          <cell r="D1870"/>
          <cell r="E1870">
            <v>12</v>
          </cell>
          <cell r="F1870"/>
          <cell r="G1870"/>
          <cell r="H1870"/>
          <cell r="I1870"/>
          <cell r="J1870"/>
          <cell r="K1870"/>
          <cell r="L1870"/>
          <cell r="M1870"/>
          <cell r="N1870"/>
          <cell r="O1870"/>
        </row>
        <row r="1871">
          <cell r="A1871" t="str">
            <v>394-IG IGLESIA ESCUADRONES DEL EJERCITO DE DIOS (CENTRO2)</v>
          </cell>
          <cell r="B1871"/>
          <cell r="C1871">
            <v>7</v>
          </cell>
          <cell r="D1871"/>
          <cell r="E1871"/>
          <cell r="F1871"/>
          <cell r="G1871"/>
          <cell r="H1871"/>
          <cell r="I1871"/>
          <cell r="J1871"/>
          <cell r="K1871"/>
          <cell r="L1871"/>
          <cell r="M1871"/>
          <cell r="N1871"/>
          <cell r="O1871"/>
        </row>
        <row r="1872">
          <cell r="A1872" t="str">
            <v>424-AS MINISTERIO EL PODER DE LA SANGRE QUE LIBERTA (ESTE)</v>
          </cell>
          <cell r="B1872"/>
          <cell r="C1872"/>
          <cell r="D1872">
            <v>6</v>
          </cell>
          <cell r="E1872"/>
          <cell r="F1872"/>
          <cell r="G1872"/>
          <cell r="H1872"/>
          <cell r="I1872"/>
          <cell r="J1872"/>
          <cell r="K1872"/>
          <cell r="L1872"/>
          <cell r="M1872"/>
          <cell r="N1872"/>
          <cell r="O1872"/>
        </row>
        <row r="1873">
          <cell r="A1873" t="str">
            <v>804-IG Templo Misionero Eclesiastés</v>
          </cell>
          <cell r="B1873"/>
          <cell r="C1873"/>
          <cell r="D1873"/>
          <cell r="E1873"/>
          <cell r="F1873"/>
          <cell r="G1873"/>
          <cell r="H1873"/>
          <cell r="I1873">
            <v>3</v>
          </cell>
          <cell r="J1873"/>
          <cell r="K1873"/>
          <cell r="L1873"/>
          <cell r="M1873"/>
          <cell r="N1873"/>
          <cell r="O1873"/>
        </row>
        <row r="1874">
          <cell r="A1874" t="str">
            <v>240 PA - PARROQUIA SAN JOSÉ - PESE</v>
          </cell>
          <cell r="B1874"/>
          <cell r="C1874"/>
          <cell r="D1874"/>
          <cell r="E1874"/>
          <cell r="F1874"/>
          <cell r="G1874"/>
          <cell r="H1874"/>
          <cell r="I1874"/>
          <cell r="J1874"/>
          <cell r="K1874"/>
          <cell r="L1874">
            <v>4</v>
          </cell>
          <cell r="M1874"/>
          <cell r="N1874"/>
          <cell r="O1874"/>
        </row>
        <row r="1875">
          <cell r="A1875" t="str">
            <v>802-IG IGLESIA INTERNACIONAL DEL EVANGELIO CUADRANGULAR DE PANAMÁ</v>
          </cell>
          <cell r="B1875"/>
          <cell r="C1875">
            <v>3</v>
          </cell>
          <cell r="D1875"/>
          <cell r="E1875"/>
          <cell r="F1875"/>
          <cell r="G1875"/>
          <cell r="H1875"/>
          <cell r="I1875"/>
          <cell r="J1875"/>
          <cell r="K1875"/>
          <cell r="L1875"/>
          <cell r="M1875"/>
          <cell r="N1875"/>
          <cell r="O1875"/>
        </row>
        <row r="1876">
          <cell r="A1876" t="str">
            <v>227 FU - AID FOR AIDS PANAMÁ</v>
          </cell>
          <cell r="B1876"/>
          <cell r="C1876">
            <v>5</v>
          </cell>
          <cell r="D1876"/>
          <cell r="E1876"/>
          <cell r="F1876"/>
          <cell r="G1876"/>
          <cell r="H1876"/>
          <cell r="I1876"/>
          <cell r="J1876"/>
          <cell r="K1876"/>
          <cell r="L1876"/>
          <cell r="M1876"/>
          <cell r="N1876"/>
          <cell r="O1876"/>
        </row>
        <row r="1877">
          <cell r="A1877" t="str">
            <v>814-IG Templo Morada Santa</v>
          </cell>
          <cell r="B1877"/>
          <cell r="C1877"/>
          <cell r="D1877"/>
          <cell r="E1877"/>
          <cell r="F1877">
            <v>6</v>
          </cell>
          <cell r="G1877"/>
          <cell r="H1877"/>
          <cell r="I1877"/>
          <cell r="J1877"/>
          <cell r="K1877"/>
          <cell r="L1877"/>
          <cell r="M1877"/>
          <cell r="N1877"/>
          <cell r="O1877"/>
        </row>
        <row r="1878">
          <cell r="A1878" t="str">
            <v>496-AS CUERPO DE VOLUNTARIAS DEL HOSPITAL DEL NIÑO</v>
          </cell>
          <cell r="B1878"/>
          <cell r="C1878">
            <v>3</v>
          </cell>
          <cell r="D1878"/>
          <cell r="E1878"/>
          <cell r="F1878"/>
          <cell r="G1878"/>
          <cell r="H1878"/>
          <cell r="I1878"/>
          <cell r="J1878"/>
          <cell r="K1878"/>
          <cell r="L1878"/>
          <cell r="M1878"/>
          <cell r="N1878"/>
          <cell r="O1878"/>
        </row>
        <row r="1879">
          <cell r="A1879" t="str">
            <v>708 - FU MINISTERIO BERAKHAH INTERNACIONAL GUARARE</v>
          </cell>
          <cell r="B1879"/>
          <cell r="C1879"/>
          <cell r="D1879"/>
          <cell r="E1879"/>
          <cell r="F1879"/>
          <cell r="G1879"/>
          <cell r="H1879"/>
          <cell r="I1879"/>
          <cell r="J1879"/>
          <cell r="K1879"/>
          <cell r="L1879"/>
          <cell r="M1879"/>
          <cell r="N1879"/>
          <cell r="O1879">
            <v>2</v>
          </cell>
        </row>
        <row r="1880">
          <cell r="A1880" t="str">
            <v>PRODUCTOS LUX, S.A ( Proluxa)</v>
          </cell>
          <cell r="B1880">
            <v>32.39</v>
          </cell>
          <cell r="C1880">
            <v>155.06</v>
          </cell>
          <cell r="D1880">
            <v>178.76000000000002</v>
          </cell>
          <cell r="E1880">
            <v>100.35</v>
          </cell>
          <cell r="F1880">
            <v>26.56</v>
          </cell>
          <cell r="G1880">
            <v>6.7799999999999994</v>
          </cell>
          <cell r="H1880">
            <v>112.67</v>
          </cell>
          <cell r="I1880">
            <v>21.34</v>
          </cell>
          <cell r="J1880">
            <v>14</v>
          </cell>
          <cell r="K1880">
            <v>8</v>
          </cell>
          <cell r="L1880"/>
          <cell r="M1880">
            <v>2</v>
          </cell>
          <cell r="N1880"/>
          <cell r="O1880">
            <v>10</v>
          </cell>
        </row>
        <row r="1881">
          <cell r="A1881" t="str">
            <v>662-IG MINISTERIO EVANGELICO EL APOSENTO ALTO (CENTRO 1)</v>
          </cell>
          <cell r="B1881"/>
          <cell r="C1881">
            <v>3</v>
          </cell>
          <cell r="D1881"/>
          <cell r="E1881"/>
          <cell r="F1881"/>
          <cell r="G1881"/>
          <cell r="H1881"/>
          <cell r="I1881"/>
          <cell r="J1881"/>
          <cell r="K1881"/>
          <cell r="L1881"/>
          <cell r="M1881"/>
          <cell r="N1881"/>
          <cell r="O1881"/>
        </row>
        <row r="1882">
          <cell r="A1882" t="str">
            <v>298-FU - MINISTERIO FUENTE DE VIDA PARA EL PERDIDO</v>
          </cell>
          <cell r="B1882"/>
          <cell r="C1882"/>
          <cell r="D1882"/>
          <cell r="E1882"/>
          <cell r="F1882">
            <v>11.559999999999999</v>
          </cell>
          <cell r="G1882"/>
          <cell r="H1882"/>
          <cell r="I1882"/>
          <cell r="J1882"/>
          <cell r="K1882"/>
          <cell r="L1882"/>
          <cell r="M1882"/>
          <cell r="N1882"/>
          <cell r="O1882"/>
        </row>
        <row r="1883">
          <cell r="A1883" t="str">
            <v>479-IG IGLESIA NUEVA ESPERANZA</v>
          </cell>
          <cell r="B1883"/>
          <cell r="C1883"/>
          <cell r="D1883">
            <v>2</v>
          </cell>
          <cell r="E1883"/>
          <cell r="F1883"/>
          <cell r="G1883"/>
          <cell r="H1883"/>
          <cell r="I1883"/>
          <cell r="J1883"/>
          <cell r="K1883"/>
          <cell r="L1883"/>
          <cell r="M1883"/>
          <cell r="N1883"/>
          <cell r="O1883"/>
        </row>
        <row r="1884">
          <cell r="A1884" t="str">
            <v>104 AS - ASOCIACIÓN HOGAR FELICIDAD</v>
          </cell>
          <cell r="B1884"/>
          <cell r="C1884"/>
          <cell r="D1884"/>
          <cell r="E1884">
            <v>12</v>
          </cell>
          <cell r="F1884"/>
          <cell r="G1884"/>
          <cell r="H1884"/>
          <cell r="I1884"/>
          <cell r="J1884"/>
          <cell r="K1884"/>
          <cell r="L1884"/>
          <cell r="M1884"/>
          <cell r="N1884"/>
          <cell r="O1884"/>
        </row>
        <row r="1885">
          <cell r="A1885" t="str">
            <v>207 IG - IGLESIA CENTRO DE VIDA CRISTIANA</v>
          </cell>
          <cell r="B1885"/>
          <cell r="C1885"/>
          <cell r="D1885">
            <v>9.5</v>
          </cell>
          <cell r="E1885"/>
          <cell r="F1885"/>
          <cell r="G1885"/>
          <cell r="H1885"/>
          <cell r="I1885"/>
          <cell r="J1885"/>
          <cell r="K1885"/>
          <cell r="L1885"/>
          <cell r="M1885"/>
          <cell r="N1885"/>
          <cell r="O1885"/>
        </row>
        <row r="1886">
          <cell r="A1886" t="str">
            <v>493-FU Comedor Jesús es mi Pastor</v>
          </cell>
          <cell r="B1886"/>
          <cell r="C1886"/>
          <cell r="D1886">
            <v>2</v>
          </cell>
          <cell r="E1886"/>
          <cell r="F1886"/>
          <cell r="G1886"/>
          <cell r="H1886"/>
          <cell r="I1886"/>
          <cell r="J1886"/>
          <cell r="K1886"/>
          <cell r="L1886"/>
          <cell r="M1886"/>
          <cell r="N1886"/>
          <cell r="O1886"/>
        </row>
        <row r="1887">
          <cell r="A1887" t="str">
            <v>636- FU JAH - LIVE (JAHL) - COLON</v>
          </cell>
          <cell r="B1887"/>
          <cell r="C1887"/>
          <cell r="D1887"/>
          <cell r="E1887"/>
          <cell r="F1887"/>
          <cell r="G1887"/>
          <cell r="H1887">
            <v>112.67</v>
          </cell>
          <cell r="I1887"/>
          <cell r="J1887"/>
          <cell r="K1887"/>
          <cell r="L1887"/>
          <cell r="M1887"/>
          <cell r="N1887"/>
          <cell r="O1887"/>
        </row>
        <row r="1888">
          <cell r="A1888" t="str">
            <v>470-FU IGLESIA MONTE SANTO</v>
          </cell>
          <cell r="B1888"/>
          <cell r="C1888"/>
          <cell r="D1888">
            <v>4</v>
          </cell>
          <cell r="E1888"/>
          <cell r="F1888"/>
          <cell r="G1888"/>
          <cell r="H1888"/>
          <cell r="I1888"/>
          <cell r="J1888"/>
          <cell r="K1888"/>
          <cell r="L1888"/>
          <cell r="M1888"/>
          <cell r="N1888"/>
          <cell r="O1888"/>
        </row>
        <row r="1889">
          <cell r="A1889" t="str">
            <v>687 - FU FUNDACION ARCA DE JESUS</v>
          </cell>
          <cell r="B1889"/>
          <cell r="C1889"/>
          <cell r="D1889"/>
          <cell r="E1889">
            <v>25.9</v>
          </cell>
          <cell r="F1889"/>
          <cell r="G1889"/>
          <cell r="H1889"/>
          <cell r="I1889"/>
          <cell r="J1889"/>
          <cell r="K1889"/>
          <cell r="L1889"/>
          <cell r="M1889"/>
          <cell r="N1889"/>
          <cell r="O1889"/>
        </row>
        <row r="1890">
          <cell r="A1890" t="str">
            <v>218 ED - LOS PREFERIDOS DEL SEÑOR (CENTRO2)</v>
          </cell>
          <cell r="B1890"/>
          <cell r="C1890">
            <v>31.5</v>
          </cell>
          <cell r="D1890"/>
          <cell r="E1890"/>
          <cell r="F1890"/>
          <cell r="G1890"/>
          <cell r="H1890"/>
          <cell r="I1890"/>
          <cell r="J1890"/>
          <cell r="K1890"/>
          <cell r="L1890"/>
          <cell r="M1890"/>
          <cell r="N1890"/>
          <cell r="O1890"/>
        </row>
        <row r="1891">
          <cell r="A1891" t="str">
            <v>187 IG - IGLESIA DE DIOS DE LA PROFECÍA</v>
          </cell>
          <cell r="B1891"/>
          <cell r="C1891"/>
          <cell r="D1891">
            <v>10.67</v>
          </cell>
          <cell r="E1891"/>
          <cell r="F1891"/>
          <cell r="G1891"/>
          <cell r="H1891"/>
          <cell r="I1891"/>
          <cell r="J1891"/>
          <cell r="K1891"/>
          <cell r="L1891"/>
          <cell r="M1891"/>
          <cell r="N1891"/>
          <cell r="O1891"/>
        </row>
        <row r="1892">
          <cell r="A1892" t="str">
            <v>694 - FU MINISTERIO BERAKHAH INTERNACIONAL TOCUMEN #2</v>
          </cell>
          <cell r="B1892"/>
          <cell r="C1892"/>
          <cell r="D1892">
            <v>9.5</v>
          </cell>
          <cell r="E1892"/>
          <cell r="F1892"/>
          <cell r="G1892"/>
          <cell r="H1892"/>
          <cell r="I1892"/>
          <cell r="J1892"/>
          <cell r="K1892"/>
          <cell r="L1892"/>
          <cell r="M1892"/>
          <cell r="N1892"/>
          <cell r="O1892"/>
        </row>
        <row r="1893">
          <cell r="A1893" t="str">
            <v>695 - FU MINISTERIO BERAKHAH INTERNACIONAL 24 DIC</v>
          </cell>
          <cell r="B1893"/>
          <cell r="C1893"/>
          <cell r="D1893">
            <v>2</v>
          </cell>
          <cell r="E1893"/>
          <cell r="F1893"/>
          <cell r="G1893"/>
          <cell r="H1893"/>
          <cell r="I1893"/>
          <cell r="J1893"/>
          <cell r="K1893"/>
          <cell r="L1893"/>
          <cell r="M1893"/>
          <cell r="N1893"/>
          <cell r="O1893"/>
        </row>
        <row r="1894">
          <cell r="A1894" t="str">
            <v>498-FU COMEDOR NIÑOS DE BENDICION</v>
          </cell>
          <cell r="B1894"/>
          <cell r="C1894"/>
          <cell r="D1894"/>
          <cell r="E1894">
            <v>10.67</v>
          </cell>
          <cell r="F1894"/>
          <cell r="G1894"/>
          <cell r="H1894"/>
          <cell r="I1894"/>
          <cell r="J1894"/>
          <cell r="K1894"/>
          <cell r="L1894"/>
          <cell r="M1894"/>
          <cell r="N1894"/>
          <cell r="O1894"/>
        </row>
        <row r="1895">
          <cell r="A1895" t="str">
            <v>373-FU MINISTERIO INTERNACIONAL BOANERGES</v>
          </cell>
          <cell r="B1895"/>
          <cell r="C1895"/>
          <cell r="D1895"/>
          <cell r="E1895"/>
          <cell r="F1895"/>
          <cell r="G1895"/>
          <cell r="H1895"/>
          <cell r="I1895">
            <v>3</v>
          </cell>
          <cell r="J1895"/>
          <cell r="K1895"/>
          <cell r="L1895"/>
          <cell r="M1895"/>
          <cell r="N1895"/>
          <cell r="O1895"/>
        </row>
        <row r="1896">
          <cell r="A1896" t="str">
            <v>261 - AS ASOCIACIÓN MINISTERIO SIRVIENDO A LA COMUNIDAD PARA JESUCRISTO</v>
          </cell>
          <cell r="B1896"/>
          <cell r="C1896">
            <v>2</v>
          </cell>
          <cell r="D1896"/>
          <cell r="E1896"/>
          <cell r="F1896"/>
          <cell r="G1896"/>
          <cell r="H1896"/>
          <cell r="I1896"/>
          <cell r="J1896"/>
          <cell r="K1896"/>
          <cell r="L1896"/>
          <cell r="M1896"/>
          <cell r="N1896"/>
          <cell r="O1896"/>
        </row>
        <row r="1897">
          <cell r="A1897" t="str">
            <v>211 IG - IGLESIA CRISTIANA KADOSH</v>
          </cell>
          <cell r="B1897"/>
          <cell r="C1897">
            <v>3</v>
          </cell>
          <cell r="D1897"/>
          <cell r="E1897"/>
          <cell r="F1897"/>
          <cell r="G1897"/>
          <cell r="H1897"/>
          <cell r="I1897"/>
          <cell r="J1897"/>
          <cell r="K1897"/>
          <cell r="L1897"/>
          <cell r="M1897"/>
          <cell r="N1897"/>
          <cell r="O1897"/>
        </row>
        <row r="1898">
          <cell r="A1898" t="str">
            <v>368-FU MINISTERIO PACTO DE SANTIDAD</v>
          </cell>
          <cell r="B1898"/>
          <cell r="C1898">
            <v>7</v>
          </cell>
          <cell r="D1898"/>
          <cell r="E1898"/>
          <cell r="F1898"/>
          <cell r="G1898"/>
          <cell r="H1898"/>
          <cell r="I1898"/>
          <cell r="J1898"/>
          <cell r="K1898"/>
          <cell r="L1898"/>
          <cell r="M1898"/>
          <cell r="N1898"/>
          <cell r="O1898"/>
        </row>
        <row r="1899">
          <cell r="A1899" t="str">
            <v>654 - IG M.I.A.F NUEVA JERUSALEN PANAMA (ESTE)</v>
          </cell>
          <cell r="B1899"/>
          <cell r="C1899"/>
          <cell r="D1899">
            <v>20.119999999999997</v>
          </cell>
          <cell r="E1899"/>
          <cell r="F1899"/>
          <cell r="G1899"/>
          <cell r="H1899"/>
          <cell r="I1899"/>
          <cell r="J1899"/>
          <cell r="K1899"/>
          <cell r="L1899"/>
          <cell r="M1899"/>
          <cell r="N1899"/>
          <cell r="O1899"/>
        </row>
        <row r="1900">
          <cell r="A1900" t="str">
            <v>363-FU FUNDACION MINISTERIO DEL EVANGELIO ETERNO DEL REINO (NORTE)</v>
          </cell>
          <cell r="B1900"/>
          <cell r="C1900"/>
          <cell r="D1900"/>
          <cell r="E1900"/>
          <cell r="F1900"/>
          <cell r="G1900">
            <v>2</v>
          </cell>
          <cell r="H1900"/>
          <cell r="I1900"/>
          <cell r="J1900"/>
          <cell r="K1900"/>
          <cell r="L1900"/>
          <cell r="M1900"/>
          <cell r="N1900"/>
          <cell r="O1900"/>
        </row>
        <row r="1901">
          <cell r="A1901" t="str">
            <v>487-FU FUNDACION CASA AVE MARIA</v>
          </cell>
          <cell r="B1901"/>
          <cell r="C1901"/>
          <cell r="D1901"/>
          <cell r="E1901">
            <v>31</v>
          </cell>
          <cell r="F1901"/>
          <cell r="G1901"/>
          <cell r="H1901"/>
          <cell r="I1901"/>
          <cell r="J1901"/>
          <cell r="K1901"/>
          <cell r="L1901"/>
          <cell r="M1901"/>
          <cell r="N1901"/>
          <cell r="O1901"/>
        </row>
        <row r="1902">
          <cell r="A1902" t="str">
            <v>2 PA - PARROQUIA SAN JUAN MARIA VIANNEY (NORTE)</v>
          </cell>
          <cell r="B1902"/>
          <cell r="C1902"/>
          <cell r="D1902"/>
          <cell r="E1902"/>
          <cell r="F1902"/>
          <cell r="G1902"/>
          <cell r="H1902"/>
          <cell r="I1902">
            <v>11.34</v>
          </cell>
          <cell r="J1902"/>
          <cell r="K1902"/>
          <cell r="L1902"/>
          <cell r="M1902"/>
          <cell r="N1902"/>
          <cell r="O1902"/>
        </row>
        <row r="1903">
          <cell r="A1903" t="str">
            <v>472-FU FUNDACION TALITA CUMI</v>
          </cell>
          <cell r="B1903"/>
          <cell r="C1903"/>
          <cell r="D1903">
            <v>2</v>
          </cell>
          <cell r="E1903"/>
          <cell r="F1903"/>
          <cell r="G1903"/>
          <cell r="H1903"/>
          <cell r="I1903"/>
          <cell r="J1903"/>
          <cell r="K1903"/>
          <cell r="L1903"/>
          <cell r="M1903"/>
          <cell r="N1903"/>
          <cell r="O1903"/>
        </row>
        <row r="1904">
          <cell r="A1904" t="str">
            <v>222 ED - MISERICORDIAR</v>
          </cell>
          <cell r="B1904"/>
          <cell r="C1904"/>
          <cell r="D1904">
            <v>34.67</v>
          </cell>
          <cell r="E1904"/>
          <cell r="F1904"/>
          <cell r="G1904"/>
          <cell r="H1904"/>
          <cell r="I1904"/>
          <cell r="J1904"/>
          <cell r="K1904"/>
          <cell r="L1904"/>
          <cell r="M1904"/>
          <cell r="N1904"/>
          <cell r="O1904"/>
        </row>
        <row r="1905">
          <cell r="A1905" t="str">
            <v>259 IG - ALCANCE VICTORIA PANAMÁ</v>
          </cell>
          <cell r="B1905"/>
          <cell r="C1905">
            <v>8</v>
          </cell>
          <cell r="D1905"/>
          <cell r="E1905"/>
          <cell r="F1905"/>
          <cell r="G1905"/>
          <cell r="H1905"/>
          <cell r="I1905"/>
          <cell r="J1905"/>
          <cell r="K1905"/>
          <cell r="L1905"/>
          <cell r="M1905"/>
          <cell r="N1905"/>
          <cell r="O1905"/>
        </row>
        <row r="1906">
          <cell r="A1906" t="str">
            <v>644 - IG TEMPLO SENDA DE VIDA (CHIRIQUÍ)</v>
          </cell>
          <cell r="B1906"/>
          <cell r="C1906"/>
          <cell r="D1906"/>
          <cell r="E1906"/>
          <cell r="F1906"/>
          <cell r="G1906"/>
          <cell r="H1906"/>
          <cell r="I1906"/>
          <cell r="J1906">
            <v>10</v>
          </cell>
          <cell r="K1906"/>
          <cell r="L1906"/>
          <cell r="M1906"/>
          <cell r="N1906"/>
          <cell r="O1906"/>
        </row>
        <row r="1907">
          <cell r="A1907" t="str">
            <v>387-AS Asociacion ODSSAR-OBC</v>
          </cell>
          <cell r="B1907"/>
          <cell r="C1907"/>
          <cell r="D1907">
            <v>15.12</v>
          </cell>
          <cell r="E1907"/>
          <cell r="F1907"/>
          <cell r="G1907"/>
          <cell r="H1907"/>
          <cell r="I1907"/>
          <cell r="J1907"/>
          <cell r="K1907"/>
          <cell r="L1907"/>
          <cell r="M1907"/>
          <cell r="N1907"/>
          <cell r="O1907"/>
        </row>
        <row r="1908">
          <cell r="A1908" t="str">
            <v>300 ED - BENEFICIARIOS</v>
          </cell>
          <cell r="B1908"/>
          <cell r="C1908"/>
          <cell r="D1908">
            <v>2</v>
          </cell>
          <cell r="E1908"/>
          <cell r="F1908"/>
          <cell r="G1908"/>
          <cell r="H1908"/>
          <cell r="I1908"/>
          <cell r="J1908"/>
          <cell r="K1908"/>
          <cell r="L1908"/>
          <cell r="M1908"/>
          <cell r="N1908"/>
          <cell r="O1908"/>
        </row>
        <row r="1909">
          <cell r="A1909" t="str">
            <v>397-FU FUNDACION SHALOM PANAMA</v>
          </cell>
          <cell r="B1909"/>
          <cell r="C1909"/>
          <cell r="D1909"/>
          <cell r="E1909">
            <v>3</v>
          </cell>
          <cell r="F1909"/>
          <cell r="G1909"/>
          <cell r="H1909"/>
          <cell r="I1909"/>
          <cell r="J1909"/>
          <cell r="K1909"/>
          <cell r="L1909"/>
          <cell r="M1909"/>
          <cell r="N1909"/>
          <cell r="O1909"/>
        </row>
        <row r="1910">
          <cell r="A1910" t="str">
            <v>697 - FU MINISTERIO BERAKHAH INTERNACIONAL CHEPO #2</v>
          </cell>
          <cell r="B1910"/>
          <cell r="C1910"/>
          <cell r="D1910">
            <v>5</v>
          </cell>
          <cell r="E1910"/>
          <cell r="F1910"/>
          <cell r="G1910"/>
          <cell r="H1910"/>
          <cell r="I1910"/>
          <cell r="J1910"/>
          <cell r="K1910"/>
          <cell r="L1910"/>
          <cell r="M1910"/>
          <cell r="N1910"/>
          <cell r="O1910"/>
        </row>
        <row r="1911">
          <cell r="A1911" t="str">
            <v>709 - FU FUNRECRISTO</v>
          </cell>
          <cell r="B1911"/>
          <cell r="C1911"/>
          <cell r="D1911">
            <v>1</v>
          </cell>
          <cell r="E1911"/>
          <cell r="F1911"/>
          <cell r="G1911"/>
          <cell r="H1911"/>
          <cell r="I1911"/>
          <cell r="J1911"/>
          <cell r="K1911"/>
          <cell r="L1911"/>
          <cell r="M1911"/>
          <cell r="N1911"/>
          <cell r="O1911"/>
        </row>
        <row r="1912">
          <cell r="A1912" t="str">
            <v>380-ED COMEDOR COMUNITARIO CASA DEL ALFARERO</v>
          </cell>
          <cell r="B1912"/>
          <cell r="C1912"/>
          <cell r="D1912">
            <v>8</v>
          </cell>
          <cell r="E1912"/>
          <cell r="F1912"/>
          <cell r="G1912"/>
          <cell r="H1912"/>
          <cell r="I1912"/>
          <cell r="J1912"/>
          <cell r="K1912"/>
          <cell r="L1912"/>
          <cell r="M1912"/>
          <cell r="N1912"/>
          <cell r="O1912"/>
        </row>
        <row r="1913">
          <cell r="A1913" t="str">
            <v>597- IG MINISTERIO APOSTOLICO NEMUEL INTERNACIONAL</v>
          </cell>
          <cell r="B1913"/>
          <cell r="C1913"/>
          <cell r="D1913">
            <v>1.5</v>
          </cell>
          <cell r="E1913"/>
          <cell r="F1913"/>
          <cell r="G1913"/>
          <cell r="H1913"/>
          <cell r="I1913"/>
          <cell r="J1913"/>
          <cell r="K1913"/>
          <cell r="L1913"/>
          <cell r="M1913"/>
          <cell r="N1913"/>
          <cell r="O1913"/>
        </row>
        <row r="1914">
          <cell r="A1914" t="str">
            <v>252 IG - MINISTERIO INTERNACIONAL DE AMISTADES CRISTIANAS</v>
          </cell>
          <cell r="B1914"/>
          <cell r="C1914"/>
          <cell r="D1914">
            <v>8.2799999999999994</v>
          </cell>
          <cell r="E1914"/>
          <cell r="F1914"/>
          <cell r="G1914"/>
          <cell r="H1914"/>
          <cell r="I1914"/>
          <cell r="J1914"/>
          <cell r="K1914"/>
          <cell r="L1914"/>
          <cell r="M1914"/>
          <cell r="N1914"/>
          <cell r="O1914"/>
        </row>
        <row r="1915">
          <cell r="A1915" t="str">
            <v>339-AS ASOCIACION RESIDENCIA LISBETH</v>
          </cell>
          <cell r="B1915"/>
          <cell r="C1915"/>
          <cell r="D1915">
            <v>14.34</v>
          </cell>
          <cell r="E1915"/>
          <cell r="F1915"/>
          <cell r="G1915"/>
          <cell r="H1915"/>
          <cell r="I1915"/>
          <cell r="J1915"/>
          <cell r="K1915"/>
          <cell r="L1915"/>
          <cell r="M1915"/>
          <cell r="N1915"/>
          <cell r="O1915"/>
        </row>
        <row r="1916">
          <cell r="A1916" t="str">
            <v>270 FU - FUNDACIÓN MISERICORDIA DE DON BOSCO (OESTE)</v>
          </cell>
          <cell r="B1916"/>
          <cell r="C1916"/>
          <cell r="D1916"/>
          <cell r="E1916">
            <v>11.78</v>
          </cell>
          <cell r="F1916"/>
          <cell r="G1916"/>
          <cell r="H1916"/>
          <cell r="I1916"/>
          <cell r="J1916"/>
          <cell r="K1916"/>
          <cell r="L1916"/>
          <cell r="M1916"/>
          <cell r="N1916"/>
          <cell r="O1916"/>
        </row>
        <row r="1917">
          <cell r="A1917" t="str">
            <v>381-FU FUNDAMIDOM</v>
          </cell>
          <cell r="B1917"/>
          <cell r="C1917"/>
          <cell r="D1917"/>
          <cell r="E1917">
            <v>2</v>
          </cell>
          <cell r="F1917"/>
          <cell r="G1917"/>
          <cell r="H1917"/>
          <cell r="I1917"/>
          <cell r="J1917"/>
          <cell r="K1917"/>
          <cell r="L1917"/>
          <cell r="M1917"/>
          <cell r="N1917"/>
          <cell r="O1917"/>
        </row>
        <row r="1918">
          <cell r="A1918" t="str">
            <v>491-FU Fundación Aleluya</v>
          </cell>
          <cell r="B1918"/>
          <cell r="C1918"/>
          <cell r="D1918"/>
          <cell r="E1918"/>
          <cell r="F1918"/>
          <cell r="G1918">
            <v>3.78</v>
          </cell>
          <cell r="H1918"/>
          <cell r="I1918"/>
          <cell r="J1918"/>
          <cell r="K1918"/>
          <cell r="L1918"/>
          <cell r="M1918"/>
          <cell r="N1918"/>
          <cell r="O1918"/>
        </row>
        <row r="1919">
          <cell r="A1919" t="str">
            <v>642 - IG IGLESIA VIDA (CENTRO 1)</v>
          </cell>
          <cell r="B1919"/>
          <cell r="C1919">
            <v>1.5</v>
          </cell>
          <cell r="D1919"/>
          <cell r="E1919"/>
          <cell r="F1919"/>
          <cell r="G1919"/>
          <cell r="H1919"/>
          <cell r="I1919"/>
          <cell r="J1919"/>
          <cell r="K1919"/>
          <cell r="L1919"/>
          <cell r="M1919"/>
          <cell r="N1919"/>
          <cell r="O1919"/>
        </row>
        <row r="1920">
          <cell r="A1920" t="str">
            <v>681 - FU FUNDACION NUEVA SOCIEDAD (NORTE)</v>
          </cell>
          <cell r="B1920"/>
          <cell r="C1920"/>
          <cell r="D1920"/>
          <cell r="E1920"/>
          <cell r="F1920"/>
          <cell r="G1920"/>
          <cell r="H1920"/>
          <cell r="I1920">
            <v>2</v>
          </cell>
          <cell r="J1920"/>
          <cell r="K1920"/>
          <cell r="L1920"/>
          <cell r="M1920"/>
          <cell r="N1920"/>
          <cell r="O1920"/>
        </row>
        <row r="1921">
          <cell r="A1921" t="str">
            <v>Retiro de Merma</v>
          </cell>
          <cell r="B1921">
            <v>32.39</v>
          </cell>
          <cell r="C1921"/>
          <cell r="D1921"/>
          <cell r="E1921"/>
          <cell r="F1921"/>
          <cell r="G1921"/>
          <cell r="H1921"/>
          <cell r="I1921"/>
          <cell r="J1921"/>
          <cell r="K1921"/>
          <cell r="L1921"/>
          <cell r="M1921"/>
          <cell r="N1921"/>
          <cell r="O1921"/>
        </row>
        <row r="1922">
          <cell r="A1922" t="str">
            <v>364-IG COMEDOR SHEKINA</v>
          </cell>
          <cell r="B1922"/>
          <cell r="C1922"/>
          <cell r="D1922"/>
          <cell r="E1922"/>
          <cell r="F1922"/>
          <cell r="G1922"/>
          <cell r="H1922"/>
          <cell r="I1922"/>
          <cell r="J1922"/>
          <cell r="K1922">
            <v>4</v>
          </cell>
          <cell r="L1922"/>
          <cell r="M1922"/>
          <cell r="N1922"/>
          <cell r="O1922"/>
        </row>
        <row r="1923">
          <cell r="A1923" t="str">
            <v>595-FU CENTRO DE LA MUJER Y LA NIÑEZ</v>
          </cell>
          <cell r="B1923"/>
          <cell r="C1923">
            <v>6</v>
          </cell>
          <cell r="D1923"/>
          <cell r="E1923"/>
          <cell r="F1923"/>
          <cell r="G1923"/>
          <cell r="H1923"/>
          <cell r="I1923"/>
          <cell r="J1923"/>
          <cell r="K1923"/>
          <cell r="L1923"/>
          <cell r="M1923"/>
          <cell r="N1923"/>
          <cell r="O1923"/>
        </row>
        <row r="1924">
          <cell r="A1924" t="str">
            <v>118 FU - FUNDACIÓN UN NUEVO AMANECER</v>
          </cell>
          <cell r="B1924"/>
          <cell r="C1924"/>
          <cell r="D1924"/>
          <cell r="E1924">
            <v>2</v>
          </cell>
          <cell r="F1924"/>
          <cell r="G1924"/>
          <cell r="H1924"/>
          <cell r="I1924"/>
          <cell r="J1924"/>
          <cell r="K1924"/>
          <cell r="L1924"/>
          <cell r="M1924"/>
          <cell r="N1924"/>
          <cell r="O1924"/>
        </row>
        <row r="1925">
          <cell r="A1925" t="str">
            <v>360-IG IGLESIA CRISTIANA CASA DE REUNION</v>
          </cell>
          <cell r="B1925"/>
          <cell r="C1925"/>
          <cell r="D1925"/>
          <cell r="E1925"/>
          <cell r="F1925"/>
          <cell r="G1925">
            <v>1</v>
          </cell>
          <cell r="H1925"/>
          <cell r="I1925"/>
          <cell r="J1925"/>
          <cell r="K1925"/>
          <cell r="L1925"/>
          <cell r="M1925"/>
          <cell r="N1925"/>
          <cell r="O1925"/>
        </row>
        <row r="1926">
          <cell r="A1926" t="str">
            <v>684 - FU FUNDACION CASA DEL REY JESUS (CENTRO 2)</v>
          </cell>
          <cell r="B1926"/>
          <cell r="C1926">
            <v>4</v>
          </cell>
          <cell r="D1926"/>
          <cell r="E1926"/>
          <cell r="F1926"/>
          <cell r="G1926"/>
          <cell r="H1926"/>
          <cell r="I1926"/>
          <cell r="J1926"/>
          <cell r="K1926"/>
          <cell r="L1926"/>
          <cell r="M1926"/>
          <cell r="N1926"/>
          <cell r="O1926"/>
        </row>
        <row r="1927">
          <cell r="A1927" t="str">
            <v>596 IG- IGLESIA EVANGELICA TRINITARIA DIOS FUENTE DE PODER</v>
          </cell>
          <cell r="B1927"/>
          <cell r="C1927">
            <v>2</v>
          </cell>
          <cell r="D1927"/>
          <cell r="E1927"/>
          <cell r="F1927"/>
          <cell r="G1927"/>
          <cell r="H1927"/>
          <cell r="I1927"/>
          <cell r="J1927"/>
          <cell r="K1927"/>
          <cell r="L1927"/>
          <cell r="M1927"/>
          <cell r="N1927"/>
          <cell r="O1927"/>
        </row>
        <row r="1928">
          <cell r="A1928" t="str">
            <v>707 - FU MINISTERIO BERAKHAH INTERNACIONAL CAIMITILLO</v>
          </cell>
          <cell r="B1928"/>
          <cell r="C1928"/>
          <cell r="D1928"/>
          <cell r="E1928"/>
          <cell r="F1928"/>
          <cell r="G1928"/>
          <cell r="H1928"/>
          <cell r="I1928">
            <v>1</v>
          </cell>
          <cell r="J1928"/>
          <cell r="K1928"/>
          <cell r="L1928"/>
          <cell r="M1928"/>
          <cell r="N1928"/>
          <cell r="O1928"/>
        </row>
        <row r="1929">
          <cell r="A1929" t="str">
            <v>229 PA - PARROQUIA SAN CRISTOBAL DE CHEPO</v>
          </cell>
          <cell r="B1929"/>
          <cell r="C1929"/>
          <cell r="D1929">
            <v>10.559999999999999</v>
          </cell>
          <cell r="E1929"/>
          <cell r="F1929"/>
          <cell r="G1929"/>
          <cell r="H1929"/>
          <cell r="I1929"/>
          <cell r="J1929"/>
          <cell r="K1929"/>
          <cell r="L1929"/>
          <cell r="M1929"/>
          <cell r="N1929"/>
          <cell r="O1929"/>
        </row>
        <row r="1930">
          <cell r="A1930" t="str">
            <v>390-FU FUNDACION CRISTIANA FAMILIAR EL TALLER DEL MAESTRO (CENTRO1)</v>
          </cell>
          <cell r="B1930"/>
          <cell r="C1930">
            <v>1.5</v>
          </cell>
          <cell r="D1930"/>
          <cell r="E1930"/>
          <cell r="F1930"/>
          <cell r="G1930"/>
          <cell r="H1930"/>
          <cell r="I1930"/>
          <cell r="J1930"/>
          <cell r="K1930"/>
          <cell r="L1930"/>
          <cell r="M1930"/>
          <cell r="N1930"/>
          <cell r="O1930"/>
        </row>
        <row r="1931">
          <cell r="A1931" t="str">
            <v>738- IG MINISTERIO DIOS CON NOSOTROS EMANUEL</v>
          </cell>
          <cell r="B1931"/>
          <cell r="C1931"/>
          <cell r="D1931">
            <v>6.5</v>
          </cell>
          <cell r="E1931"/>
          <cell r="F1931"/>
          <cell r="G1931"/>
          <cell r="H1931"/>
          <cell r="I1931"/>
          <cell r="J1931"/>
          <cell r="K1931"/>
          <cell r="L1931"/>
          <cell r="M1931"/>
          <cell r="N1931"/>
          <cell r="O1931"/>
        </row>
        <row r="1932">
          <cell r="A1932" t="str">
            <v>745-FU CASA DE MISERICORDIA</v>
          </cell>
          <cell r="B1932"/>
          <cell r="C1932">
            <v>10.28</v>
          </cell>
          <cell r="D1932"/>
          <cell r="E1932"/>
          <cell r="F1932"/>
          <cell r="G1932"/>
          <cell r="H1932"/>
          <cell r="I1932"/>
          <cell r="J1932"/>
          <cell r="K1932"/>
          <cell r="L1932"/>
          <cell r="M1932"/>
          <cell r="N1932"/>
          <cell r="O1932"/>
        </row>
        <row r="1933">
          <cell r="A1933" t="str">
            <v>741-IG BUNKER DE ESPERANZA</v>
          </cell>
          <cell r="B1933"/>
          <cell r="C1933"/>
          <cell r="D1933">
            <v>2</v>
          </cell>
          <cell r="E1933"/>
          <cell r="F1933"/>
          <cell r="G1933"/>
          <cell r="H1933"/>
          <cell r="I1933"/>
          <cell r="J1933"/>
          <cell r="K1933"/>
          <cell r="L1933"/>
          <cell r="M1933"/>
          <cell r="N1933"/>
          <cell r="O1933"/>
        </row>
        <row r="1934">
          <cell r="A1934" t="str">
            <v>749-IG Ministerio Tabernáculo de Santidad Internación (Guararé)</v>
          </cell>
          <cell r="B1934"/>
          <cell r="C1934"/>
          <cell r="D1934"/>
          <cell r="E1934"/>
          <cell r="F1934"/>
          <cell r="G1934"/>
          <cell r="H1934"/>
          <cell r="I1934"/>
          <cell r="J1934"/>
          <cell r="K1934"/>
          <cell r="L1934"/>
          <cell r="M1934">
            <v>2</v>
          </cell>
          <cell r="N1934"/>
          <cell r="O1934"/>
        </row>
        <row r="1935">
          <cell r="A1935" t="str">
            <v>613-FU FUNDACION INMARE</v>
          </cell>
          <cell r="B1935"/>
          <cell r="C1935"/>
          <cell r="D1935"/>
          <cell r="E1935"/>
          <cell r="F1935"/>
          <cell r="G1935"/>
          <cell r="H1935"/>
          <cell r="I1935"/>
          <cell r="J1935"/>
          <cell r="K1935">
            <v>2</v>
          </cell>
          <cell r="L1935"/>
          <cell r="M1935"/>
          <cell r="N1935"/>
          <cell r="O1935"/>
        </row>
        <row r="1936">
          <cell r="A1936" t="str">
            <v>758-FU RESTAURANDO EL PRIMER AMOR</v>
          </cell>
          <cell r="B1936"/>
          <cell r="C1936"/>
          <cell r="D1936"/>
          <cell r="E1936"/>
          <cell r="F1936"/>
          <cell r="G1936"/>
          <cell r="H1936"/>
          <cell r="I1936">
            <v>2</v>
          </cell>
          <cell r="J1936"/>
          <cell r="K1936"/>
          <cell r="L1936"/>
          <cell r="M1936"/>
          <cell r="N1936"/>
          <cell r="O1936"/>
        </row>
        <row r="1937">
          <cell r="A1937" t="str">
            <v>766-IG MINISTERIO BET-EL</v>
          </cell>
          <cell r="B1937"/>
          <cell r="C1937"/>
          <cell r="D1937"/>
          <cell r="E1937"/>
          <cell r="F1937"/>
          <cell r="G1937"/>
          <cell r="H1937"/>
          <cell r="I1937"/>
          <cell r="J1937"/>
          <cell r="K1937"/>
          <cell r="L1937"/>
          <cell r="M1937"/>
          <cell r="N1937"/>
          <cell r="O1937">
            <v>10</v>
          </cell>
        </row>
        <row r="1938">
          <cell r="A1938" t="str">
            <v>785-FU FUNDACION GOTAS DE ESPERANZA</v>
          </cell>
          <cell r="B1938"/>
          <cell r="C1938"/>
          <cell r="D1938"/>
          <cell r="E1938">
            <v>2</v>
          </cell>
          <cell r="F1938"/>
          <cell r="G1938"/>
          <cell r="H1938"/>
          <cell r="I1938"/>
          <cell r="J1938"/>
          <cell r="K1938"/>
          <cell r="L1938"/>
          <cell r="M1938"/>
          <cell r="N1938"/>
          <cell r="O1938"/>
        </row>
        <row r="1939">
          <cell r="A1939" t="str">
            <v>394-IG IGLESIA ESCUADRONES DEL EJERCITO DE DIOS (CENTRO2)</v>
          </cell>
          <cell r="B1939"/>
          <cell r="C1939">
            <v>5.2799999999999994</v>
          </cell>
          <cell r="D1939"/>
          <cell r="E1939"/>
          <cell r="F1939"/>
          <cell r="G1939"/>
          <cell r="H1939"/>
          <cell r="I1939"/>
          <cell r="J1939"/>
          <cell r="K1939"/>
          <cell r="L1939"/>
          <cell r="M1939"/>
          <cell r="N1939"/>
          <cell r="O1939"/>
        </row>
        <row r="1940">
          <cell r="A1940" t="str">
            <v>789-FU Fundación Rescate de Alimentos</v>
          </cell>
          <cell r="B1940"/>
          <cell r="C1940">
            <v>3</v>
          </cell>
          <cell r="D1940"/>
          <cell r="E1940"/>
          <cell r="F1940"/>
          <cell r="G1940"/>
          <cell r="H1940"/>
          <cell r="I1940"/>
          <cell r="J1940"/>
          <cell r="K1940"/>
          <cell r="L1940"/>
          <cell r="M1940"/>
          <cell r="N1940"/>
          <cell r="O1940"/>
        </row>
        <row r="1941">
          <cell r="A1941" t="str">
            <v>424-AS MINISTERIO EL PODER DE LA SANGRE QUE LIBERTA (ESTE)</v>
          </cell>
          <cell r="B1941"/>
          <cell r="C1941"/>
          <cell r="D1941">
            <v>2</v>
          </cell>
          <cell r="E1941"/>
          <cell r="F1941"/>
          <cell r="G1941"/>
          <cell r="H1941"/>
          <cell r="I1941"/>
          <cell r="J1941"/>
          <cell r="K1941"/>
          <cell r="L1941"/>
          <cell r="M1941"/>
          <cell r="N1941"/>
          <cell r="O1941"/>
        </row>
        <row r="1942">
          <cell r="A1942" t="str">
            <v>793-FU Fundación Príncipes de Jehová</v>
          </cell>
          <cell r="B1942"/>
          <cell r="C1942"/>
          <cell r="D1942"/>
          <cell r="E1942"/>
          <cell r="F1942"/>
          <cell r="G1942"/>
          <cell r="H1942"/>
          <cell r="I1942">
            <v>2</v>
          </cell>
          <cell r="J1942"/>
          <cell r="K1942"/>
          <cell r="L1942"/>
          <cell r="M1942"/>
          <cell r="N1942"/>
          <cell r="O1942"/>
        </row>
        <row r="1943">
          <cell r="A1943" t="str">
            <v>69 FU - FUNDACIÓN VIDA ABUNDANTE</v>
          </cell>
          <cell r="B1943"/>
          <cell r="C1943">
            <v>5</v>
          </cell>
          <cell r="D1943"/>
          <cell r="E1943"/>
          <cell r="F1943"/>
          <cell r="G1943"/>
          <cell r="H1943"/>
          <cell r="I1943"/>
          <cell r="J1943"/>
          <cell r="K1943"/>
          <cell r="L1943"/>
          <cell r="M1943"/>
          <cell r="N1943"/>
          <cell r="O1943"/>
        </row>
        <row r="1944">
          <cell r="A1944" t="str">
            <v>661 - FU FUNDACION MAS INTEGRADOS (DARIEN)</v>
          </cell>
          <cell r="B1944"/>
          <cell r="C1944"/>
          <cell r="D1944"/>
          <cell r="E1944"/>
          <cell r="F1944">
            <v>15</v>
          </cell>
          <cell r="G1944"/>
          <cell r="H1944"/>
          <cell r="I1944"/>
          <cell r="J1944"/>
          <cell r="K1944"/>
          <cell r="L1944"/>
          <cell r="M1944"/>
          <cell r="N1944"/>
          <cell r="O1944"/>
        </row>
        <row r="1945">
          <cell r="A1945" t="str">
            <v>650 - IG ASOCIACION CRISTIANA EBEN - EZER #27 (ESTE)</v>
          </cell>
          <cell r="B1945"/>
          <cell r="C1945"/>
          <cell r="D1945">
            <v>6</v>
          </cell>
          <cell r="E1945"/>
          <cell r="F1945"/>
          <cell r="G1945"/>
          <cell r="H1945"/>
          <cell r="I1945"/>
          <cell r="J1945"/>
          <cell r="K1945"/>
          <cell r="L1945"/>
          <cell r="M1945"/>
          <cell r="N1945"/>
          <cell r="O1945"/>
        </row>
        <row r="1946">
          <cell r="A1946" t="str">
            <v>375-FU Ministerio a Dios sea la Gloria</v>
          </cell>
          <cell r="B1946"/>
          <cell r="C1946">
            <v>9</v>
          </cell>
          <cell r="D1946"/>
          <cell r="E1946"/>
          <cell r="F1946"/>
          <cell r="G1946"/>
          <cell r="H1946"/>
          <cell r="I1946"/>
          <cell r="J1946"/>
          <cell r="K1946"/>
          <cell r="L1946"/>
          <cell r="M1946"/>
          <cell r="N1946"/>
          <cell r="O1946"/>
        </row>
        <row r="1947">
          <cell r="A1947" t="str">
            <v>802-IG IGLESIA INTERNACIONAL DEL EVANGELIO CUADRANGULAR DE PANAMÁ</v>
          </cell>
          <cell r="B1947"/>
          <cell r="C1947">
            <v>2</v>
          </cell>
          <cell r="D1947"/>
          <cell r="E1947"/>
          <cell r="F1947"/>
          <cell r="G1947"/>
          <cell r="H1947"/>
          <cell r="I1947"/>
          <cell r="J1947"/>
          <cell r="K1947"/>
          <cell r="L1947"/>
          <cell r="M1947"/>
          <cell r="N1947"/>
          <cell r="O1947"/>
        </row>
        <row r="1948">
          <cell r="A1948" t="str">
            <v>786-FU ACADEMIA DE FUTBOL ROMAN TORRES</v>
          </cell>
          <cell r="B1948"/>
          <cell r="C1948">
            <v>9</v>
          </cell>
          <cell r="D1948"/>
          <cell r="E1948"/>
          <cell r="F1948"/>
          <cell r="G1948"/>
          <cell r="H1948"/>
          <cell r="I1948"/>
          <cell r="J1948"/>
          <cell r="K1948"/>
          <cell r="L1948"/>
          <cell r="M1948"/>
          <cell r="N1948"/>
          <cell r="O1948"/>
        </row>
        <row r="1949">
          <cell r="A1949" t="str">
            <v>496-AS CUERPO DE VOLUNTARIAS DEL HOSPITAL DEL NIÑO</v>
          </cell>
          <cell r="B1949"/>
          <cell r="C1949">
            <v>42</v>
          </cell>
          <cell r="D1949"/>
          <cell r="E1949"/>
          <cell r="F1949"/>
          <cell r="G1949"/>
          <cell r="H1949"/>
          <cell r="I1949"/>
          <cell r="J1949"/>
          <cell r="K1949"/>
          <cell r="L1949"/>
          <cell r="M1949"/>
          <cell r="N1949"/>
          <cell r="O1949"/>
        </row>
        <row r="1950">
          <cell r="A1950" t="str">
            <v>756-FU Fundación Nuevas Rutas</v>
          </cell>
          <cell r="B1950"/>
          <cell r="C1950"/>
          <cell r="D1950"/>
          <cell r="E1950"/>
          <cell r="F1950"/>
          <cell r="G1950"/>
          <cell r="H1950"/>
          <cell r="I1950"/>
          <cell r="J1950">
            <v>4</v>
          </cell>
          <cell r="K1950"/>
          <cell r="L1950"/>
          <cell r="M1950"/>
          <cell r="N1950"/>
          <cell r="O1950"/>
        </row>
        <row r="1951">
          <cell r="A1951" t="str">
            <v>813-IG Comedor Centro De Esperanza Elohim</v>
          </cell>
          <cell r="B1951"/>
          <cell r="C1951"/>
          <cell r="D1951"/>
          <cell r="E1951"/>
          <cell r="F1951"/>
          <cell r="G1951"/>
          <cell r="H1951"/>
          <cell r="I1951"/>
          <cell r="J1951"/>
          <cell r="K1951">
            <v>2</v>
          </cell>
          <cell r="L1951"/>
          <cell r="M1951"/>
          <cell r="N1951"/>
          <cell r="O1951"/>
        </row>
        <row r="1952">
          <cell r="A1952" t="str">
            <v>PRODUCTOS NEVADA S.A</v>
          </cell>
          <cell r="B1952"/>
          <cell r="C1952">
            <v>273.91000000000003</v>
          </cell>
          <cell r="D1952">
            <v>159.25</v>
          </cell>
          <cell r="E1952">
            <v>63.7</v>
          </cell>
          <cell r="F1952">
            <v>12.74</v>
          </cell>
          <cell r="G1952">
            <v>31.85</v>
          </cell>
          <cell r="H1952">
            <v>31.85</v>
          </cell>
          <cell r="I1952">
            <v>50.96</v>
          </cell>
          <cell r="J1952"/>
          <cell r="K1952"/>
          <cell r="L1952"/>
          <cell r="M1952"/>
          <cell r="N1952"/>
          <cell r="O1952"/>
        </row>
        <row r="1953">
          <cell r="A1953" t="str">
            <v>298-FU - MINISTERIO FUENTE DE VIDA PARA EL PERDIDO</v>
          </cell>
          <cell r="B1953"/>
          <cell r="C1953"/>
          <cell r="D1953"/>
          <cell r="E1953"/>
          <cell r="F1953">
            <v>12.74</v>
          </cell>
          <cell r="G1953"/>
          <cell r="H1953"/>
          <cell r="I1953"/>
          <cell r="J1953"/>
          <cell r="K1953"/>
          <cell r="L1953"/>
          <cell r="M1953"/>
          <cell r="N1953"/>
          <cell r="O1953"/>
        </row>
        <row r="1954">
          <cell r="A1954" t="str">
            <v>175 AS - ASOCIACIÓN RESTAURANDO VIDAS</v>
          </cell>
          <cell r="B1954"/>
          <cell r="C1954"/>
          <cell r="D1954">
            <v>6.37</v>
          </cell>
          <cell r="E1954"/>
          <cell r="F1954"/>
          <cell r="G1954"/>
          <cell r="H1954"/>
          <cell r="I1954"/>
          <cell r="J1954"/>
          <cell r="K1954"/>
          <cell r="L1954"/>
          <cell r="M1954"/>
          <cell r="N1954"/>
          <cell r="O1954"/>
        </row>
        <row r="1955">
          <cell r="A1955" t="str">
            <v>178 IG - TEMPLO ZURIEL EL REFUGIO</v>
          </cell>
          <cell r="B1955"/>
          <cell r="C1955"/>
          <cell r="D1955"/>
          <cell r="E1955"/>
          <cell r="F1955"/>
          <cell r="G1955">
            <v>12.74</v>
          </cell>
          <cell r="H1955"/>
          <cell r="I1955"/>
          <cell r="J1955"/>
          <cell r="K1955"/>
          <cell r="L1955"/>
          <cell r="M1955"/>
          <cell r="N1955"/>
          <cell r="O1955"/>
        </row>
        <row r="1956">
          <cell r="A1956" t="str">
            <v>207 IG - IGLESIA CENTRO DE VIDA CRISTIANA</v>
          </cell>
          <cell r="B1956"/>
          <cell r="C1956"/>
          <cell r="D1956">
            <v>12.74</v>
          </cell>
          <cell r="E1956"/>
          <cell r="F1956"/>
          <cell r="G1956"/>
          <cell r="H1956"/>
          <cell r="I1956"/>
          <cell r="J1956"/>
          <cell r="K1956"/>
          <cell r="L1956"/>
          <cell r="M1956"/>
          <cell r="N1956"/>
          <cell r="O1956"/>
        </row>
        <row r="1957">
          <cell r="A1957" t="str">
            <v>687 - FU FUNDACION ARCA DE JESUS</v>
          </cell>
          <cell r="B1957"/>
          <cell r="C1957"/>
          <cell r="D1957"/>
          <cell r="E1957">
            <v>31.85</v>
          </cell>
          <cell r="F1957"/>
          <cell r="G1957"/>
          <cell r="H1957"/>
          <cell r="I1957"/>
          <cell r="J1957"/>
          <cell r="K1957"/>
          <cell r="L1957"/>
          <cell r="M1957"/>
          <cell r="N1957"/>
          <cell r="O1957"/>
        </row>
        <row r="1958">
          <cell r="A1958" t="str">
            <v>218 ED - LOS PREFERIDOS DEL SEÑOR (CENTRO2)</v>
          </cell>
          <cell r="B1958"/>
          <cell r="C1958">
            <v>222.95000000000002</v>
          </cell>
          <cell r="D1958"/>
          <cell r="E1958"/>
          <cell r="F1958"/>
          <cell r="G1958"/>
          <cell r="H1958"/>
          <cell r="I1958"/>
          <cell r="J1958"/>
          <cell r="K1958"/>
          <cell r="L1958"/>
          <cell r="M1958"/>
          <cell r="N1958"/>
          <cell r="O1958"/>
        </row>
        <row r="1959">
          <cell r="A1959" t="str">
            <v>694 - FU MINISTERIO BERAKHAH INTERNACIONAL TOCUMEN #2</v>
          </cell>
          <cell r="B1959"/>
          <cell r="C1959"/>
          <cell r="D1959">
            <v>6.37</v>
          </cell>
          <cell r="E1959"/>
          <cell r="F1959"/>
          <cell r="G1959"/>
          <cell r="H1959"/>
          <cell r="I1959"/>
          <cell r="J1959"/>
          <cell r="K1959"/>
          <cell r="L1959"/>
          <cell r="M1959"/>
          <cell r="N1959"/>
          <cell r="O1959"/>
        </row>
        <row r="1960">
          <cell r="A1960" t="str">
            <v>695 - FU MINISTERIO BERAKHAH INTERNACIONAL 24 DIC</v>
          </cell>
          <cell r="B1960"/>
          <cell r="C1960"/>
          <cell r="D1960">
            <v>19.11</v>
          </cell>
          <cell r="E1960"/>
          <cell r="F1960"/>
          <cell r="G1960"/>
          <cell r="H1960"/>
          <cell r="I1960"/>
          <cell r="J1960"/>
          <cell r="K1960"/>
          <cell r="L1960"/>
          <cell r="M1960"/>
          <cell r="N1960"/>
          <cell r="O1960"/>
        </row>
        <row r="1961">
          <cell r="A1961" t="str">
            <v>693 - FU MINISTERIO BERAKHAH INTERNACIONAL TOCUMEN #1</v>
          </cell>
          <cell r="B1961"/>
          <cell r="C1961"/>
          <cell r="D1961">
            <v>25.48</v>
          </cell>
          <cell r="E1961"/>
          <cell r="F1961"/>
          <cell r="G1961"/>
          <cell r="H1961"/>
          <cell r="I1961"/>
          <cell r="J1961"/>
          <cell r="K1961"/>
          <cell r="L1961"/>
          <cell r="M1961"/>
          <cell r="N1961"/>
          <cell r="O1961"/>
        </row>
        <row r="1962">
          <cell r="A1962" t="str">
            <v>261 - AS ASOCIACIÓN MINISTERIO SIRVIENDO A LA COMUNIDAD PARA JESUCRISTO</v>
          </cell>
          <cell r="B1962"/>
          <cell r="C1962">
            <v>6.37</v>
          </cell>
          <cell r="D1962"/>
          <cell r="E1962"/>
          <cell r="F1962"/>
          <cell r="G1962"/>
          <cell r="H1962"/>
          <cell r="I1962"/>
          <cell r="J1962"/>
          <cell r="K1962"/>
          <cell r="L1962"/>
          <cell r="M1962"/>
          <cell r="N1962"/>
          <cell r="O1962"/>
        </row>
        <row r="1963">
          <cell r="A1963" t="str">
            <v>2 PA - PARROQUIA SAN JUAN MARIA VIANNEY (NORTE)</v>
          </cell>
          <cell r="B1963"/>
          <cell r="C1963"/>
          <cell r="D1963"/>
          <cell r="E1963"/>
          <cell r="F1963"/>
          <cell r="G1963"/>
          <cell r="H1963"/>
          <cell r="I1963">
            <v>12.74</v>
          </cell>
          <cell r="J1963"/>
          <cell r="K1963"/>
          <cell r="L1963"/>
          <cell r="M1963"/>
          <cell r="N1963"/>
          <cell r="O1963"/>
        </row>
        <row r="1964">
          <cell r="A1964" t="str">
            <v>222 ED - MISERICORDIAR</v>
          </cell>
          <cell r="B1964"/>
          <cell r="C1964"/>
          <cell r="D1964">
            <v>12.74</v>
          </cell>
          <cell r="E1964"/>
          <cell r="F1964"/>
          <cell r="G1964"/>
          <cell r="H1964"/>
          <cell r="I1964"/>
          <cell r="J1964"/>
          <cell r="K1964"/>
          <cell r="L1964"/>
          <cell r="M1964"/>
          <cell r="N1964"/>
          <cell r="O1964"/>
        </row>
        <row r="1965">
          <cell r="A1965" t="str">
            <v>259 IG - ALCANCE VICTORIA PANAMÁ</v>
          </cell>
          <cell r="B1965"/>
          <cell r="C1965">
            <v>12.74</v>
          </cell>
          <cell r="D1965"/>
          <cell r="E1965"/>
          <cell r="F1965"/>
          <cell r="G1965"/>
          <cell r="H1965"/>
          <cell r="I1965"/>
          <cell r="J1965"/>
          <cell r="K1965"/>
          <cell r="L1965"/>
          <cell r="M1965"/>
          <cell r="N1965"/>
          <cell r="O1965"/>
        </row>
        <row r="1966">
          <cell r="A1966" t="str">
            <v>379-FU Fundacion Ministerio Apostolico Manantial de Vida</v>
          </cell>
          <cell r="B1966"/>
          <cell r="C1966"/>
          <cell r="D1966"/>
          <cell r="E1966"/>
          <cell r="F1966"/>
          <cell r="G1966"/>
          <cell r="H1966">
            <v>31.85</v>
          </cell>
          <cell r="I1966"/>
          <cell r="J1966"/>
          <cell r="K1966"/>
          <cell r="L1966"/>
          <cell r="M1966"/>
          <cell r="N1966"/>
          <cell r="O1966"/>
        </row>
        <row r="1967">
          <cell r="A1967" t="str">
            <v>387-AS Asociacion ODSSAR-OBC</v>
          </cell>
          <cell r="B1967"/>
          <cell r="C1967"/>
          <cell r="D1967">
            <v>12.74</v>
          </cell>
          <cell r="E1967"/>
          <cell r="F1967"/>
          <cell r="G1967"/>
          <cell r="H1967"/>
          <cell r="I1967"/>
          <cell r="J1967"/>
          <cell r="K1967"/>
          <cell r="L1967"/>
          <cell r="M1967"/>
          <cell r="N1967"/>
          <cell r="O1967"/>
        </row>
        <row r="1968">
          <cell r="A1968" t="str">
            <v>397-FU FUNDACION SHALOM PANAMA</v>
          </cell>
          <cell r="B1968"/>
          <cell r="C1968"/>
          <cell r="D1968"/>
          <cell r="E1968">
            <v>6.37</v>
          </cell>
          <cell r="F1968"/>
          <cell r="G1968"/>
          <cell r="H1968"/>
          <cell r="I1968"/>
          <cell r="J1968"/>
          <cell r="K1968"/>
          <cell r="L1968"/>
          <cell r="M1968"/>
          <cell r="N1968"/>
          <cell r="O1968"/>
        </row>
        <row r="1969">
          <cell r="A1969" t="str">
            <v>653 - FU FUNDACION LUIS CARLOS DIAZ (OESTE)</v>
          </cell>
          <cell r="B1969"/>
          <cell r="C1969"/>
          <cell r="D1969"/>
          <cell r="E1969">
            <v>12.74</v>
          </cell>
          <cell r="F1969"/>
          <cell r="G1969"/>
          <cell r="H1969"/>
          <cell r="I1969"/>
          <cell r="J1969"/>
          <cell r="K1969"/>
          <cell r="L1969"/>
          <cell r="M1969"/>
          <cell r="N1969"/>
          <cell r="O1969"/>
        </row>
        <row r="1970">
          <cell r="A1970" t="str">
            <v>640 - FU FUNDACIÓN CRISTIANA LA FE EN MARCHA (ESTE)</v>
          </cell>
          <cell r="B1970"/>
          <cell r="C1970"/>
          <cell r="D1970">
            <v>6.37</v>
          </cell>
          <cell r="E1970"/>
          <cell r="F1970"/>
          <cell r="G1970"/>
          <cell r="H1970"/>
          <cell r="I1970"/>
          <cell r="J1970"/>
          <cell r="K1970"/>
          <cell r="L1970"/>
          <cell r="M1970"/>
          <cell r="N1970"/>
          <cell r="O1970"/>
        </row>
        <row r="1971">
          <cell r="A1971" t="str">
            <v>597- IG MINISTERIO APOSTOLICO NEMUEL INTERNACIONAL</v>
          </cell>
          <cell r="B1971"/>
          <cell r="C1971"/>
          <cell r="D1971">
            <v>38.22</v>
          </cell>
          <cell r="E1971"/>
          <cell r="F1971"/>
          <cell r="G1971"/>
          <cell r="H1971"/>
          <cell r="I1971"/>
          <cell r="J1971"/>
          <cell r="K1971"/>
          <cell r="L1971"/>
          <cell r="M1971"/>
          <cell r="N1971"/>
          <cell r="O1971"/>
        </row>
        <row r="1972">
          <cell r="A1972" t="str">
            <v>339-AS ASOCIACION RESIDENCIA LISBETH</v>
          </cell>
          <cell r="B1972"/>
          <cell r="C1972"/>
          <cell r="D1972">
            <v>19.11</v>
          </cell>
          <cell r="E1972"/>
          <cell r="F1972"/>
          <cell r="G1972"/>
          <cell r="H1972"/>
          <cell r="I1972"/>
          <cell r="J1972"/>
          <cell r="K1972"/>
          <cell r="L1972"/>
          <cell r="M1972"/>
          <cell r="N1972"/>
          <cell r="O1972"/>
        </row>
        <row r="1973">
          <cell r="A1973" t="str">
            <v>491-FU Fundación Aleluya</v>
          </cell>
          <cell r="B1973"/>
          <cell r="C1973"/>
          <cell r="D1973"/>
          <cell r="E1973"/>
          <cell r="F1973"/>
          <cell r="G1973">
            <v>6.37</v>
          </cell>
          <cell r="H1973"/>
          <cell r="I1973"/>
          <cell r="J1973"/>
          <cell r="K1973"/>
          <cell r="L1973"/>
          <cell r="M1973"/>
          <cell r="N1973"/>
          <cell r="O1973"/>
        </row>
        <row r="1974">
          <cell r="A1974" t="str">
            <v>377-FU CENTRO CRISTIANO CASA DE DIOS PANAMA</v>
          </cell>
          <cell r="B1974"/>
          <cell r="C1974"/>
          <cell r="D1974"/>
          <cell r="E1974"/>
          <cell r="F1974"/>
          <cell r="G1974">
            <v>12.74</v>
          </cell>
          <cell r="H1974"/>
          <cell r="I1974"/>
          <cell r="J1974"/>
          <cell r="K1974"/>
          <cell r="L1974"/>
          <cell r="M1974"/>
          <cell r="N1974"/>
          <cell r="O1974"/>
        </row>
        <row r="1975">
          <cell r="A1975" t="str">
            <v>684 - FU FUNDACION CASA DEL REY JESUS (CENTRO 2)</v>
          </cell>
          <cell r="B1975"/>
          <cell r="C1975">
            <v>25.48</v>
          </cell>
          <cell r="D1975"/>
          <cell r="E1975"/>
          <cell r="F1975"/>
          <cell r="G1975"/>
          <cell r="H1975"/>
          <cell r="I1975"/>
          <cell r="J1975"/>
          <cell r="K1975"/>
          <cell r="L1975"/>
          <cell r="M1975"/>
          <cell r="N1975"/>
          <cell r="O1975"/>
        </row>
        <row r="1976">
          <cell r="A1976" t="str">
            <v>707 - FU MINISTERIO BERAKHAH INTERNACIONAL CAIMITILLO</v>
          </cell>
          <cell r="B1976"/>
          <cell r="C1976"/>
          <cell r="D1976"/>
          <cell r="E1976"/>
          <cell r="F1976"/>
          <cell r="G1976"/>
          <cell r="H1976"/>
          <cell r="I1976">
            <v>6.37</v>
          </cell>
          <cell r="J1976"/>
          <cell r="K1976"/>
          <cell r="L1976"/>
          <cell r="M1976"/>
          <cell r="N1976"/>
          <cell r="O1976"/>
        </row>
        <row r="1977">
          <cell r="A1977" t="str">
            <v>745-FU CASA DE MISERICORDIA</v>
          </cell>
          <cell r="B1977"/>
          <cell r="C1977">
            <v>6.37</v>
          </cell>
          <cell r="D1977"/>
          <cell r="E1977"/>
          <cell r="F1977"/>
          <cell r="G1977"/>
          <cell r="H1977"/>
          <cell r="I1977"/>
          <cell r="J1977"/>
          <cell r="K1977"/>
          <cell r="L1977"/>
          <cell r="M1977"/>
          <cell r="N1977"/>
          <cell r="O1977"/>
        </row>
        <row r="1978">
          <cell r="A1978" t="str">
            <v>760-FU AYUDAME A VIVIR</v>
          </cell>
          <cell r="B1978"/>
          <cell r="C1978"/>
          <cell r="D1978"/>
          <cell r="E1978"/>
          <cell r="F1978"/>
          <cell r="G1978"/>
          <cell r="H1978"/>
          <cell r="I1978">
            <v>31.85</v>
          </cell>
          <cell r="J1978"/>
          <cell r="K1978"/>
          <cell r="L1978"/>
          <cell r="M1978"/>
          <cell r="N1978"/>
          <cell r="O1978"/>
        </row>
        <row r="1979">
          <cell r="A1979" t="str">
            <v>785-FU FUNDACION GOTAS DE ESPERANZA</v>
          </cell>
          <cell r="B1979"/>
          <cell r="C1979"/>
          <cell r="D1979"/>
          <cell r="E1979">
            <v>12.74</v>
          </cell>
          <cell r="F1979"/>
          <cell r="G1979"/>
          <cell r="H1979"/>
          <cell r="I1979"/>
          <cell r="J1979"/>
          <cell r="K1979"/>
          <cell r="L1979"/>
          <cell r="M1979"/>
          <cell r="N1979"/>
          <cell r="O1979"/>
        </row>
        <row r="1980">
          <cell r="A1980" t="str">
            <v>GLOBAL PRODUCTS AND LOGISTIC SERVICES, INC. (Dicarina)</v>
          </cell>
          <cell r="B1980"/>
          <cell r="C1980">
            <v>97</v>
          </cell>
          <cell r="D1980">
            <v>117</v>
          </cell>
          <cell r="E1980">
            <v>58</v>
          </cell>
          <cell r="F1980">
            <v>4</v>
          </cell>
          <cell r="G1980"/>
          <cell r="H1980">
            <v>28</v>
          </cell>
          <cell r="I1980">
            <v>13</v>
          </cell>
          <cell r="J1980"/>
          <cell r="K1980"/>
          <cell r="L1980"/>
          <cell r="M1980"/>
          <cell r="N1980"/>
          <cell r="O1980"/>
        </row>
        <row r="1981">
          <cell r="A1981" t="str">
            <v>702 - FU MINISTERIO BERAKHAH INTERNACIONAL ARRAIJAN</v>
          </cell>
          <cell r="B1981"/>
          <cell r="C1981"/>
          <cell r="D1981"/>
          <cell r="E1981">
            <v>1</v>
          </cell>
          <cell r="F1981"/>
          <cell r="G1981"/>
          <cell r="H1981"/>
          <cell r="I1981"/>
          <cell r="J1981"/>
          <cell r="K1981"/>
          <cell r="L1981"/>
          <cell r="M1981"/>
          <cell r="N1981"/>
          <cell r="O1981"/>
        </row>
        <row r="1982">
          <cell r="A1982" t="str">
            <v>298-FU - MINISTERIO FUENTE DE VIDA PARA EL PERDIDO</v>
          </cell>
          <cell r="B1982"/>
          <cell r="C1982"/>
          <cell r="D1982"/>
          <cell r="E1982"/>
          <cell r="F1982">
            <v>4</v>
          </cell>
          <cell r="G1982"/>
          <cell r="H1982"/>
          <cell r="I1982"/>
          <cell r="J1982"/>
          <cell r="K1982"/>
          <cell r="L1982"/>
          <cell r="M1982"/>
          <cell r="N1982"/>
          <cell r="O1982"/>
        </row>
        <row r="1983">
          <cell r="A1983" t="str">
            <v>104 AS - ASOCIACIÓN HOGAR FELICIDAD</v>
          </cell>
          <cell r="B1983"/>
          <cell r="C1983"/>
          <cell r="D1983"/>
          <cell r="E1983">
            <v>20</v>
          </cell>
          <cell r="F1983"/>
          <cell r="G1983"/>
          <cell r="H1983"/>
          <cell r="I1983"/>
          <cell r="J1983"/>
          <cell r="K1983"/>
          <cell r="L1983"/>
          <cell r="M1983"/>
          <cell r="N1983"/>
          <cell r="O1983"/>
        </row>
        <row r="1984">
          <cell r="A1984" t="str">
            <v>207 IG - IGLESIA CENTRO DE VIDA CRISTIANA</v>
          </cell>
          <cell r="B1984"/>
          <cell r="C1984"/>
          <cell r="D1984">
            <v>4</v>
          </cell>
          <cell r="E1984"/>
          <cell r="F1984"/>
          <cell r="G1984"/>
          <cell r="H1984"/>
          <cell r="I1984"/>
          <cell r="J1984"/>
          <cell r="K1984"/>
          <cell r="L1984"/>
          <cell r="M1984"/>
          <cell r="N1984"/>
          <cell r="O1984"/>
        </row>
        <row r="1985">
          <cell r="A1985" t="str">
            <v>636- FU JAH - LIVE (JAHL) - COLON</v>
          </cell>
          <cell r="B1985"/>
          <cell r="C1985"/>
          <cell r="D1985"/>
          <cell r="E1985"/>
          <cell r="F1985"/>
          <cell r="G1985"/>
          <cell r="H1985">
            <v>24</v>
          </cell>
          <cell r="I1985"/>
          <cell r="J1985"/>
          <cell r="K1985"/>
          <cell r="L1985"/>
          <cell r="M1985"/>
          <cell r="N1985"/>
          <cell r="O1985"/>
        </row>
        <row r="1986">
          <cell r="A1986" t="str">
            <v>407-IG ASOCIACION CRISTIANA INTERNACIONAL EBEN-EZER (OESTE)</v>
          </cell>
          <cell r="B1986"/>
          <cell r="C1986"/>
          <cell r="D1986"/>
          <cell r="E1986">
            <v>2</v>
          </cell>
          <cell r="F1986"/>
          <cell r="G1986"/>
          <cell r="H1986"/>
          <cell r="I1986"/>
          <cell r="J1986"/>
          <cell r="K1986"/>
          <cell r="L1986"/>
          <cell r="M1986"/>
          <cell r="N1986"/>
          <cell r="O1986"/>
        </row>
        <row r="1987">
          <cell r="A1987" t="str">
            <v>635 TEMPLO ADULAM</v>
          </cell>
          <cell r="B1987"/>
          <cell r="C1987"/>
          <cell r="D1987"/>
          <cell r="E1987">
            <v>6</v>
          </cell>
          <cell r="F1987"/>
          <cell r="G1987"/>
          <cell r="H1987"/>
          <cell r="I1987"/>
          <cell r="J1987"/>
          <cell r="K1987"/>
          <cell r="L1987"/>
          <cell r="M1987"/>
          <cell r="N1987"/>
          <cell r="O1987"/>
        </row>
        <row r="1988">
          <cell r="A1988" t="str">
            <v>470-FU IGLESIA MONTE SANTO</v>
          </cell>
          <cell r="B1988"/>
          <cell r="C1988"/>
          <cell r="D1988">
            <v>2</v>
          </cell>
          <cell r="E1988"/>
          <cell r="F1988"/>
          <cell r="G1988"/>
          <cell r="H1988"/>
          <cell r="I1988"/>
          <cell r="J1988"/>
          <cell r="K1988"/>
          <cell r="L1988"/>
          <cell r="M1988"/>
          <cell r="N1988"/>
          <cell r="O1988"/>
        </row>
        <row r="1989">
          <cell r="A1989" t="str">
            <v>687 - FU FUNDACION ARCA DE JESUS</v>
          </cell>
          <cell r="B1989"/>
          <cell r="C1989"/>
          <cell r="D1989"/>
          <cell r="E1989">
            <v>6</v>
          </cell>
          <cell r="F1989"/>
          <cell r="G1989"/>
          <cell r="H1989"/>
          <cell r="I1989"/>
          <cell r="J1989"/>
          <cell r="K1989"/>
          <cell r="L1989"/>
          <cell r="M1989"/>
          <cell r="N1989"/>
          <cell r="O1989"/>
        </row>
        <row r="1990">
          <cell r="A1990" t="str">
            <v>218 ED - LOS PREFERIDOS DEL SEÑOR (CENTRO2)</v>
          </cell>
          <cell r="B1990"/>
          <cell r="C1990">
            <v>2</v>
          </cell>
          <cell r="D1990"/>
          <cell r="E1990"/>
          <cell r="F1990"/>
          <cell r="G1990"/>
          <cell r="H1990"/>
          <cell r="I1990"/>
          <cell r="J1990"/>
          <cell r="K1990"/>
          <cell r="L1990"/>
          <cell r="M1990"/>
          <cell r="N1990"/>
          <cell r="O1990"/>
        </row>
        <row r="1991">
          <cell r="A1991" t="str">
            <v>187 IG - IGLESIA DE DIOS DE LA PROFECÍA</v>
          </cell>
          <cell r="B1991"/>
          <cell r="C1991"/>
          <cell r="D1991">
            <v>6</v>
          </cell>
          <cell r="E1991"/>
          <cell r="F1991"/>
          <cell r="G1991"/>
          <cell r="H1991"/>
          <cell r="I1991"/>
          <cell r="J1991"/>
          <cell r="K1991"/>
          <cell r="L1991"/>
          <cell r="M1991"/>
          <cell r="N1991"/>
          <cell r="O1991"/>
        </row>
        <row r="1992">
          <cell r="A1992" t="str">
            <v>366-FU CENTRO MISIONERO EL SHADAI (ESTE)</v>
          </cell>
          <cell r="B1992"/>
          <cell r="C1992"/>
          <cell r="D1992">
            <v>2</v>
          </cell>
          <cell r="E1992"/>
          <cell r="F1992"/>
          <cell r="G1992"/>
          <cell r="H1992"/>
          <cell r="I1992"/>
          <cell r="J1992"/>
          <cell r="K1992"/>
          <cell r="L1992"/>
          <cell r="M1992"/>
          <cell r="N1992"/>
          <cell r="O1992"/>
        </row>
        <row r="1993">
          <cell r="A1993" t="str">
            <v>498-FU COMEDOR NIÑOS DE BENDICION</v>
          </cell>
          <cell r="B1993"/>
          <cell r="C1993"/>
          <cell r="D1993"/>
          <cell r="E1993">
            <v>4</v>
          </cell>
          <cell r="F1993"/>
          <cell r="G1993"/>
          <cell r="H1993"/>
          <cell r="I1993"/>
          <cell r="J1993"/>
          <cell r="K1993"/>
          <cell r="L1993"/>
          <cell r="M1993"/>
          <cell r="N1993"/>
          <cell r="O1993"/>
        </row>
        <row r="1994">
          <cell r="A1994" t="str">
            <v>288 IG MINISTERIO EVANGELISTICO DE SANACION Y RESTAURACION, SENALES, MILAGROS Y MARAVILLAS (ESTE)</v>
          </cell>
          <cell r="B1994"/>
          <cell r="C1994"/>
          <cell r="D1994">
            <v>8</v>
          </cell>
          <cell r="E1994"/>
          <cell r="F1994"/>
          <cell r="G1994"/>
          <cell r="H1994"/>
          <cell r="I1994"/>
          <cell r="J1994"/>
          <cell r="K1994"/>
          <cell r="L1994"/>
          <cell r="M1994"/>
          <cell r="N1994"/>
          <cell r="O1994"/>
        </row>
        <row r="1995">
          <cell r="A1995" t="str">
            <v>373-FU MINISTERIO INTERNACIONAL BOANERGES</v>
          </cell>
          <cell r="B1995"/>
          <cell r="C1995"/>
          <cell r="D1995"/>
          <cell r="E1995"/>
          <cell r="F1995"/>
          <cell r="G1995"/>
          <cell r="H1995"/>
          <cell r="I1995">
            <v>2</v>
          </cell>
          <cell r="J1995"/>
          <cell r="K1995"/>
          <cell r="L1995"/>
          <cell r="M1995"/>
          <cell r="N1995"/>
          <cell r="O1995"/>
        </row>
        <row r="1996">
          <cell r="A1996" t="str">
            <v>197 FU FUNDACION SOCIAL CULTURAL Y AMBIENTAL DE VERACRUZ (OESTE)</v>
          </cell>
          <cell r="B1996"/>
          <cell r="C1996"/>
          <cell r="D1996"/>
          <cell r="E1996">
            <v>2</v>
          </cell>
          <cell r="F1996"/>
          <cell r="G1996"/>
          <cell r="H1996"/>
          <cell r="I1996"/>
          <cell r="J1996"/>
          <cell r="K1996"/>
          <cell r="L1996"/>
          <cell r="M1996"/>
          <cell r="N1996"/>
          <cell r="O1996"/>
        </row>
        <row r="1997">
          <cell r="A1997" t="str">
            <v>431-IG IGLESIA ADVENTISTA DISTRITO 8</v>
          </cell>
          <cell r="B1997"/>
          <cell r="C1997"/>
          <cell r="D1997">
            <v>2</v>
          </cell>
          <cell r="E1997"/>
          <cell r="F1997"/>
          <cell r="G1997"/>
          <cell r="H1997"/>
          <cell r="I1997"/>
          <cell r="J1997"/>
          <cell r="K1997"/>
          <cell r="L1997"/>
          <cell r="M1997"/>
          <cell r="N1997"/>
          <cell r="O1997"/>
        </row>
        <row r="1998">
          <cell r="A1998" t="str">
            <v>261 - AS ASOCIACIÓN MINISTERIO SIRVIENDO A LA COMUNIDAD PARA JESUCRISTO</v>
          </cell>
          <cell r="B1998"/>
          <cell r="C1998">
            <v>2</v>
          </cell>
          <cell r="D1998"/>
          <cell r="E1998"/>
          <cell r="F1998"/>
          <cell r="G1998"/>
          <cell r="H1998"/>
          <cell r="I1998"/>
          <cell r="J1998"/>
          <cell r="K1998"/>
          <cell r="L1998"/>
          <cell r="M1998"/>
          <cell r="N1998"/>
          <cell r="O1998"/>
        </row>
        <row r="1999">
          <cell r="A1999" t="str">
            <v>368-FU MINISTERIO PACTO DE SANTIDAD</v>
          </cell>
          <cell r="B1999"/>
          <cell r="C1999">
            <v>2</v>
          </cell>
          <cell r="D1999"/>
          <cell r="E1999"/>
          <cell r="F1999"/>
          <cell r="G1999"/>
          <cell r="H1999"/>
          <cell r="I1999"/>
          <cell r="J1999"/>
          <cell r="K1999"/>
          <cell r="L1999"/>
          <cell r="M1999"/>
          <cell r="N1999"/>
          <cell r="O1999"/>
        </row>
        <row r="2000">
          <cell r="A2000" t="str">
            <v>487-FU FUNDACION CASA AVE MARIA</v>
          </cell>
          <cell r="B2000"/>
          <cell r="C2000"/>
          <cell r="D2000"/>
          <cell r="E2000">
            <v>14</v>
          </cell>
          <cell r="F2000"/>
          <cell r="G2000"/>
          <cell r="H2000"/>
          <cell r="I2000"/>
          <cell r="J2000"/>
          <cell r="K2000"/>
          <cell r="L2000"/>
          <cell r="M2000"/>
          <cell r="N2000"/>
          <cell r="O2000"/>
        </row>
        <row r="2001">
          <cell r="A2001" t="str">
            <v>222 ED - MISERICORDIAR</v>
          </cell>
          <cell r="B2001"/>
          <cell r="C2001"/>
          <cell r="D2001">
            <v>32</v>
          </cell>
          <cell r="E2001"/>
          <cell r="F2001"/>
          <cell r="G2001"/>
          <cell r="H2001"/>
          <cell r="I2001"/>
          <cell r="J2001"/>
          <cell r="K2001"/>
          <cell r="L2001"/>
          <cell r="M2001"/>
          <cell r="N2001"/>
          <cell r="O2001"/>
        </row>
        <row r="2002">
          <cell r="A2002" t="str">
            <v>259 IG - ALCANCE VICTORIA PANAMÁ</v>
          </cell>
          <cell r="B2002"/>
          <cell r="C2002">
            <v>25</v>
          </cell>
          <cell r="D2002"/>
          <cell r="E2002"/>
          <cell r="F2002"/>
          <cell r="G2002"/>
          <cell r="H2002"/>
          <cell r="I2002"/>
          <cell r="J2002"/>
          <cell r="K2002"/>
          <cell r="L2002"/>
          <cell r="M2002"/>
          <cell r="N2002"/>
          <cell r="O2002"/>
        </row>
        <row r="2003">
          <cell r="A2003" t="str">
            <v>387-AS Asociacion ODSSAR-OBC</v>
          </cell>
          <cell r="B2003"/>
          <cell r="C2003"/>
          <cell r="D2003">
            <v>2</v>
          </cell>
          <cell r="E2003"/>
          <cell r="F2003"/>
          <cell r="G2003"/>
          <cell r="H2003"/>
          <cell r="I2003"/>
          <cell r="J2003"/>
          <cell r="K2003"/>
          <cell r="L2003"/>
          <cell r="M2003"/>
          <cell r="N2003"/>
          <cell r="O2003"/>
        </row>
        <row r="2004">
          <cell r="A2004" t="str">
            <v>300 ED - BENEFICIARIOS</v>
          </cell>
          <cell r="B2004"/>
          <cell r="C2004"/>
          <cell r="D2004">
            <v>9</v>
          </cell>
          <cell r="E2004"/>
          <cell r="F2004"/>
          <cell r="G2004"/>
          <cell r="H2004"/>
          <cell r="I2004"/>
          <cell r="J2004"/>
          <cell r="K2004"/>
          <cell r="L2004"/>
          <cell r="M2004"/>
          <cell r="N2004"/>
          <cell r="O2004"/>
        </row>
        <row r="2005">
          <cell r="A2005" t="str">
            <v>657 - FU CENTRO COMUNITARIO MONTAÑAS DE ESPERANZA (RETIRO EN EL BAP)</v>
          </cell>
          <cell r="B2005"/>
          <cell r="C2005"/>
          <cell r="D2005">
            <v>2</v>
          </cell>
          <cell r="E2005"/>
          <cell r="F2005"/>
          <cell r="G2005"/>
          <cell r="H2005"/>
          <cell r="I2005"/>
          <cell r="J2005"/>
          <cell r="K2005"/>
          <cell r="L2005"/>
          <cell r="M2005"/>
          <cell r="N2005"/>
          <cell r="O2005"/>
        </row>
        <row r="2006">
          <cell r="A2006" t="str">
            <v>630-IG MIN.INTL.DE CRISTO PAZ DE DIOS</v>
          </cell>
          <cell r="B2006"/>
          <cell r="C2006">
            <v>6</v>
          </cell>
          <cell r="D2006"/>
          <cell r="E2006"/>
          <cell r="F2006"/>
          <cell r="G2006"/>
          <cell r="H2006"/>
          <cell r="I2006"/>
          <cell r="J2006"/>
          <cell r="K2006"/>
          <cell r="L2006"/>
          <cell r="M2006"/>
          <cell r="N2006"/>
          <cell r="O2006"/>
        </row>
        <row r="2007">
          <cell r="A2007" t="str">
            <v>397-FU FUNDACION SHALOM PANAMA</v>
          </cell>
          <cell r="B2007"/>
          <cell r="C2007"/>
          <cell r="D2007"/>
          <cell r="E2007">
            <v>1</v>
          </cell>
          <cell r="F2007"/>
          <cell r="G2007"/>
          <cell r="H2007"/>
          <cell r="I2007"/>
          <cell r="J2007"/>
          <cell r="K2007"/>
          <cell r="L2007"/>
          <cell r="M2007"/>
          <cell r="N2007"/>
          <cell r="O2007"/>
        </row>
        <row r="2008">
          <cell r="A2008" t="str">
            <v>697 - FU MINISTERIO BERAKHAH INTERNACIONAL CHEPO #2</v>
          </cell>
          <cell r="B2008"/>
          <cell r="C2008"/>
          <cell r="D2008">
            <v>1</v>
          </cell>
          <cell r="E2008"/>
          <cell r="F2008"/>
          <cell r="G2008"/>
          <cell r="H2008"/>
          <cell r="I2008"/>
          <cell r="J2008"/>
          <cell r="K2008"/>
          <cell r="L2008"/>
          <cell r="M2008"/>
          <cell r="N2008"/>
          <cell r="O2008"/>
        </row>
        <row r="2009">
          <cell r="A2009" t="str">
            <v>195 ED - JUNTOS PODEMOS</v>
          </cell>
          <cell r="B2009"/>
          <cell r="C2009">
            <v>8</v>
          </cell>
          <cell r="D2009"/>
          <cell r="E2009"/>
          <cell r="F2009"/>
          <cell r="G2009"/>
          <cell r="H2009"/>
          <cell r="I2009"/>
          <cell r="J2009"/>
          <cell r="K2009"/>
          <cell r="L2009"/>
          <cell r="M2009"/>
          <cell r="N2009"/>
          <cell r="O2009"/>
        </row>
        <row r="2010">
          <cell r="A2010" t="str">
            <v>235 FU - FUNDACION GRUPO ENVIADOS</v>
          </cell>
          <cell r="B2010"/>
          <cell r="C2010"/>
          <cell r="D2010">
            <v>6</v>
          </cell>
          <cell r="E2010"/>
          <cell r="F2010"/>
          <cell r="G2010"/>
          <cell r="H2010"/>
          <cell r="I2010"/>
          <cell r="J2010"/>
          <cell r="K2010"/>
          <cell r="L2010"/>
          <cell r="M2010"/>
          <cell r="N2010"/>
          <cell r="O2010"/>
        </row>
        <row r="2011">
          <cell r="A2011" t="str">
            <v>380-ED COMEDOR COMUNITARIO CASA DEL ALFARERO</v>
          </cell>
          <cell r="B2011"/>
          <cell r="C2011"/>
          <cell r="D2011">
            <v>4</v>
          </cell>
          <cell r="E2011"/>
          <cell r="F2011"/>
          <cell r="G2011"/>
          <cell r="H2011"/>
          <cell r="I2011"/>
          <cell r="J2011"/>
          <cell r="K2011"/>
          <cell r="L2011"/>
          <cell r="M2011"/>
          <cell r="N2011"/>
          <cell r="O2011"/>
        </row>
        <row r="2012">
          <cell r="A2012" t="str">
            <v>202 FU - FUNDACIÓN HOGAR SAN JOSÉ (ESTE)</v>
          </cell>
          <cell r="B2012"/>
          <cell r="C2012"/>
          <cell r="D2012">
            <v>4</v>
          </cell>
          <cell r="E2012"/>
          <cell r="F2012"/>
          <cell r="G2012"/>
          <cell r="H2012"/>
          <cell r="I2012"/>
          <cell r="J2012"/>
          <cell r="K2012"/>
          <cell r="L2012"/>
          <cell r="M2012"/>
          <cell r="N2012"/>
          <cell r="O2012"/>
        </row>
        <row r="2013">
          <cell r="A2013" t="str">
            <v>597- IG MINISTERIO APOSTOLICO NEMUEL INTERNACIONAL</v>
          </cell>
          <cell r="B2013"/>
          <cell r="C2013"/>
          <cell r="D2013">
            <v>2</v>
          </cell>
          <cell r="E2013"/>
          <cell r="F2013"/>
          <cell r="G2013"/>
          <cell r="H2013"/>
          <cell r="I2013"/>
          <cell r="J2013"/>
          <cell r="K2013"/>
          <cell r="L2013"/>
          <cell r="M2013"/>
          <cell r="N2013"/>
          <cell r="O2013"/>
        </row>
        <row r="2014">
          <cell r="A2014" t="str">
            <v>417-AS CLUB DE LEONES DE PEDREGAL (ESTE)</v>
          </cell>
          <cell r="B2014"/>
          <cell r="C2014"/>
          <cell r="D2014">
            <v>10</v>
          </cell>
          <cell r="E2014"/>
          <cell r="F2014"/>
          <cell r="G2014"/>
          <cell r="H2014"/>
          <cell r="I2014"/>
          <cell r="J2014"/>
          <cell r="K2014"/>
          <cell r="L2014"/>
          <cell r="M2014"/>
          <cell r="N2014"/>
          <cell r="O2014"/>
        </row>
        <row r="2015">
          <cell r="A2015" t="str">
            <v>339-AS ASOCIACION RESIDENCIA LISBETH</v>
          </cell>
          <cell r="B2015"/>
          <cell r="C2015"/>
          <cell r="D2015">
            <v>10</v>
          </cell>
          <cell r="E2015"/>
          <cell r="F2015"/>
          <cell r="G2015"/>
          <cell r="H2015"/>
          <cell r="I2015"/>
          <cell r="J2015"/>
          <cell r="K2015"/>
          <cell r="L2015"/>
          <cell r="M2015"/>
          <cell r="N2015"/>
          <cell r="O2015"/>
        </row>
        <row r="2016">
          <cell r="A2016" t="str">
            <v>144 OR - HERMANAS DE SAN JOSÉ DE LA APARICIÓN (RETIRA EN EL BANCO)</v>
          </cell>
          <cell r="B2016"/>
          <cell r="C2016"/>
          <cell r="D2016">
            <v>2</v>
          </cell>
          <cell r="E2016"/>
          <cell r="F2016"/>
          <cell r="G2016"/>
          <cell r="H2016"/>
          <cell r="I2016"/>
          <cell r="J2016"/>
          <cell r="K2016"/>
          <cell r="L2016"/>
          <cell r="M2016"/>
          <cell r="N2016"/>
          <cell r="O2016"/>
        </row>
        <row r="2017">
          <cell r="A2017" t="str">
            <v>698 - FU MINISTERIO BERAKHAH INTERNACIONAL PASO BLANCO</v>
          </cell>
          <cell r="B2017"/>
          <cell r="C2017"/>
          <cell r="D2017">
            <v>1</v>
          </cell>
          <cell r="E2017"/>
          <cell r="F2017"/>
          <cell r="G2017"/>
          <cell r="H2017"/>
          <cell r="I2017"/>
          <cell r="J2017"/>
          <cell r="K2017"/>
          <cell r="L2017"/>
          <cell r="M2017"/>
          <cell r="N2017"/>
          <cell r="O2017"/>
        </row>
        <row r="2018">
          <cell r="A2018" t="str">
            <v>596 IG- IGLESIA EVANGELICA TRINITARIA DIOS FUENTE DE PODER</v>
          </cell>
          <cell r="B2018"/>
          <cell r="C2018">
            <v>8</v>
          </cell>
          <cell r="D2018"/>
          <cell r="E2018"/>
          <cell r="F2018"/>
          <cell r="G2018"/>
          <cell r="H2018"/>
          <cell r="I2018"/>
          <cell r="J2018"/>
          <cell r="K2018"/>
          <cell r="L2018"/>
          <cell r="M2018"/>
          <cell r="N2018"/>
          <cell r="O2018"/>
        </row>
        <row r="2019">
          <cell r="A2019" t="str">
            <v>707 - FU MINISTERIO BERAKHAH INTERNACIONAL CAIMITILLO</v>
          </cell>
          <cell r="B2019"/>
          <cell r="C2019"/>
          <cell r="D2019"/>
          <cell r="E2019"/>
          <cell r="F2019"/>
          <cell r="G2019"/>
          <cell r="H2019"/>
          <cell r="I2019">
            <v>1</v>
          </cell>
          <cell r="J2019"/>
          <cell r="K2019"/>
          <cell r="L2019"/>
          <cell r="M2019"/>
          <cell r="N2019"/>
          <cell r="O2019"/>
        </row>
        <row r="2020">
          <cell r="A2020" t="str">
            <v>390-FU FUNDACION CRISTIANA FAMILIAR EL TALLER DEL MAESTRO (CENTRO1)</v>
          </cell>
          <cell r="B2020"/>
          <cell r="C2020">
            <v>2</v>
          </cell>
          <cell r="D2020"/>
          <cell r="E2020"/>
          <cell r="F2020"/>
          <cell r="G2020"/>
          <cell r="H2020"/>
          <cell r="I2020"/>
          <cell r="J2020"/>
          <cell r="K2020"/>
          <cell r="L2020"/>
          <cell r="M2020"/>
          <cell r="N2020"/>
          <cell r="O2020"/>
        </row>
        <row r="2021">
          <cell r="A2021" t="str">
            <v>738- IG MINISTERIO DIOS CON NOSOTROS EMANUEL</v>
          </cell>
          <cell r="B2021"/>
          <cell r="C2021"/>
          <cell r="D2021">
            <v>8</v>
          </cell>
          <cell r="E2021"/>
          <cell r="F2021"/>
          <cell r="G2021"/>
          <cell r="H2021"/>
          <cell r="I2021"/>
          <cell r="J2021"/>
          <cell r="K2021"/>
          <cell r="L2021"/>
          <cell r="M2021"/>
          <cell r="N2021"/>
          <cell r="O2021"/>
        </row>
        <row r="2022">
          <cell r="A2022" t="str">
            <v>760-FU AYUDAME A VIVIR</v>
          </cell>
          <cell r="B2022"/>
          <cell r="C2022"/>
          <cell r="D2022"/>
          <cell r="E2022"/>
          <cell r="F2022"/>
          <cell r="G2022"/>
          <cell r="H2022"/>
          <cell r="I2022">
            <v>6</v>
          </cell>
          <cell r="J2022"/>
          <cell r="K2022"/>
          <cell r="L2022"/>
          <cell r="M2022"/>
          <cell r="N2022"/>
          <cell r="O2022"/>
        </row>
        <row r="2023">
          <cell r="A2023" t="str">
            <v>281-FU FUNDACIÓN CAMBIO CREATIVO</v>
          </cell>
          <cell r="B2023"/>
          <cell r="C2023"/>
          <cell r="D2023"/>
          <cell r="E2023"/>
          <cell r="F2023"/>
          <cell r="G2023"/>
          <cell r="H2023">
            <v>4</v>
          </cell>
          <cell r="I2023"/>
          <cell r="J2023"/>
          <cell r="K2023"/>
          <cell r="L2023"/>
          <cell r="M2023"/>
          <cell r="N2023"/>
          <cell r="O2023"/>
        </row>
        <row r="2024">
          <cell r="A2024" t="str">
            <v>394-IG IGLESIA ESCUADRONES DEL EJERCITO DE DIOS (CENTRO2)</v>
          </cell>
          <cell r="B2024"/>
          <cell r="C2024">
            <v>4</v>
          </cell>
          <cell r="D2024"/>
          <cell r="E2024"/>
          <cell r="F2024"/>
          <cell r="G2024"/>
          <cell r="H2024"/>
          <cell r="I2024"/>
          <cell r="J2024"/>
          <cell r="K2024"/>
          <cell r="L2024"/>
          <cell r="M2024"/>
          <cell r="N2024"/>
          <cell r="O2024"/>
        </row>
        <row r="2025">
          <cell r="A2025" t="str">
            <v>789-FU Fundación Rescate de Alimentos</v>
          </cell>
          <cell r="B2025"/>
          <cell r="C2025">
            <v>4</v>
          </cell>
          <cell r="D2025"/>
          <cell r="E2025"/>
          <cell r="F2025"/>
          <cell r="G2025"/>
          <cell r="H2025"/>
          <cell r="I2025"/>
          <cell r="J2025"/>
          <cell r="K2025"/>
          <cell r="L2025"/>
          <cell r="M2025"/>
          <cell r="N2025"/>
          <cell r="O2025"/>
        </row>
        <row r="2026">
          <cell r="A2026" t="str">
            <v>232 IG MINISTERIO TIEMPO DE COSECHA</v>
          </cell>
          <cell r="B2026"/>
          <cell r="C2026"/>
          <cell r="D2026"/>
          <cell r="E2026"/>
          <cell r="F2026"/>
          <cell r="G2026"/>
          <cell r="H2026"/>
          <cell r="I2026">
            <v>4</v>
          </cell>
          <cell r="J2026"/>
          <cell r="K2026"/>
          <cell r="L2026"/>
          <cell r="M2026"/>
          <cell r="N2026"/>
          <cell r="O2026"/>
        </row>
        <row r="2027">
          <cell r="A2027" t="str">
            <v>253 FU - FUNDACIÓN PARA EL BIENESTAR SOCIAL (CENTRO2)</v>
          </cell>
          <cell r="B2027"/>
          <cell r="C2027">
            <v>8</v>
          </cell>
          <cell r="D2027"/>
          <cell r="E2027"/>
          <cell r="F2027"/>
          <cell r="G2027"/>
          <cell r="H2027"/>
          <cell r="I2027"/>
          <cell r="J2027"/>
          <cell r="K2027"/>
          <cell r="L2027"/>
          <cell r="M2027"/>
          <cell r="N2027"/>
          <cell r="O2027"/>
        </row>
        <row r="2028">
          <cell r="A2028" t="str">
            <v>375-FU Ministerio a Dios sea la Gloria</v>
          </cell>
          <cell r="B2028"/>
          <cell r="C2028">
            <v>6</v>
          </cell>
          <cell r="D2028"/>
          <cell r="E2028"/>
          <cell r="F2028"/>
          <cell r="G2028"/>
          <cell r="H2028"/>
          <cell r="I2028"/>
          <cell r="J2028"/>
          <cell r="K2028"/>
          <cell r="L2028"/>
          <cell r="M2028"/>
          <cell r="N2028"/>
          <cell r="O2028"/>
        </row>
        <row r="2029">
          <cell r="A2029" t="str">
            <v>802-IG IGLESIA INTERNACIONAL DEL EVANGELIO CUADRANGULAR DE PANAMÁ</v>
          </cell>
          <cell r="B2029"/>
          <cell r="C2029">
            <v>6</v>
          </cell>
          <cell r="D2029"/>
          <cell r="E2029"/>
          <cell r="F2029"/>
          <cell r="G2029"/>
          <cell r="H2029"/>
          <cell r="I2029"/>
          <cell r="J2029"/>
          <cell r="K2029"/>
          <cell r="L2029"/>
          <cell r="M2029"/>
          <cell r="N2029"/>
          <cell r="O2029"/>
        </row>
        <row r="2030">
          <cell r="A2030" t="str">
            <v>496-AS CUERPO DE VOLUNTARIAS DEL HOSPITAL DEL NIÑO</v>
          </cell>
          <cell r="B2030"/>
          <cell r="C2030">
            <v>10</v>
          </cell>
          <cell r="D2030"/>
          <cell r="E2030"/>
          <cell r="F2030"/>
          <cell r="G2030"/>
          <cell r="H2030"/>
          <cell r="I2030"/>
          <cell r="J2030"/>
          <cell r="K2030"/>
          <cell r="L2030"/>
          <cell r="M2030"/>
          <cell r="N2030"/>
          <cell r="O2030"/>
        </row>
        <row r="2031">
          <cell r="A2031" t="str">
            <v>471-FU FUNDACION BUSCANDO UNA OPORTUNIDAD</v>
          </cell>
          <cell r="B2031"/>
          <cell r="C2031"/>
          <cell r="D2031"/>
          <cell r="E2031">
            <v>2</v>
          </cell>
          <cell r="F2031"/>
          <cell r="G2031"/>
          <cell r="H2031"/>
          <cell r="I2031"/>
          <cell r="J2031"/>
          <cell r="K2031"/>
          <cell r="L2031"/>
          <cell r="M2031"/>
          <cell r="N2031"/>
          <cell r="O2031"/>
        </row>
        <row r="2032">
          <cell r="A2032" t="str">
            <v>5 AS - ASOCIACIÓN DAME UNA OPORTUNIDAD</v>
          </cell>
          <cell r="B2032"/>
          <cell r="C2032">
            <v>4</v>
          </cell>
          <cell r="D2032"/>
          <cell r="E2032"/>
          <cell r="F2032"/>
          <cell r="G2032"/>
          <cell r="H2032"/>
          <cell r="I2032"/>
          <cell r="J2032"/>
          <cell r="K2032"/>
          <cell r="L2032"/>
          <cell r="M2032"/>
          <cell r="N2032"/>
          <cell r="O2032"/>
        </row>
        <row r="2033">
          <cell r="A2033" t="str">
            <v>PURISSIMA, S.A</v>
          </cell>
          <cell r="B2033"/>
          <cell r="C2033">
            <v>229.82</v>
          </cell>
          <cell r="D2033">
            <v>331.81999999999994</v>
          </cell>
          <cell r="E2033">
            <v>123.84</v>
          </cell>
          <cell r="F2033"/>
          <cell r="G2033">
            <v>45.28</v>
          </cell>
          <cell r="H2033">
            <v>30</v>
          </cell>
          <cell r="I2033">
            <v>140.28</v>
          </cell>
          <cell r="J2033"/>
          <cell r="K2033"/>
          <cell r="L2033">
            <v>226.79999999999998</v>
          </cell>
          <cell r="M2033">
            <v>120.96</v>
          </cell>
          <cell r="N2033"/>
          <cell r="O2033">
            <v>306.17999999999995</v>
          </cell>
        </row>
        <row r="2034">
          <cell r="A2034" t="str">
            <v>479-IG IGLESIA NUEVA ESPERANZA</v>
          </cell>
          <cell r="B2034"/>
          <cell r="C2034"/>
          <cell r="D2034">
            <v>28.259999999999998</v>
          </cell>
          <cell r="E2034"/>
          <cell r="F2034"/>
          <cell r="G2034"/>
          <cell r="H2034"/>
          <cell r="I2034"/>
          <cell r="J2034"/>
          <cell r="K2034"/>
          <cell r="L2034"/>
          <cell r="M2034"/>
          <cell r="N2034"/>
          <cell r="O2034"/>
        </row>
        <row r="2035">
          <cell r="A2035" t="str">
            <v>178 IG - TEMPLO ZURIEL EL REFUGIO</v>
          </cell>
          <cell r="B2035"/>
          <cell r="C2035"/>
          <cell r="D2035"/>
          <cell r="E2035"/>
          <cell r="F2035"/>
          <cell r="G2035">
            <v>30.28</v>
          </cell>
          <cell r="H2035"/>
          <cell r="I2035"/>
          <cell r="J2035"/>
          <cell r="K2035"/>
          <cell r="L2035"/>
          <cell r="M2035"/>
          <cell r="N2035"/>
          <cell r="O2035"/>
        </row>
        <row r="2036">
          <cell r="A2036" t="str">
            <v>288 IG MINISTERIO EVANGELISTICO DE SANACION Y RESTAURACION, SENALES, MILAGROS Y MARAVILLAS (ESTE)</v>
          </cell>
          <cell r="B2036"/>
          <cell r="C2036"/>
          <cell r="D2036">
            <v>48</v>
          </cell>
          <cell r="E2036"/>
          <cell r="F2036"/>
          <cell r="G2036"/>
          <cell r="H2036"/>
          <cell r="I2036"/>
          <cell r="J2036"/>
          <cell r="K2036"/>
          <cell r="L2036"/>
          <cell r="M2036"/>
          <cell r="N2036"/>
          <cell r="O2036"/>
        </row>
        <row r="2037">
          <cell r="A2037" t="str">
            <v>368-FU MINISTERIO PACTO DE SANTIDAD</v>
          </cell>
          <cell r="B2037"/>
          <cell r="C2037">
            <v>60.56</v>
          </cell>
          <cell r="D2037"/>
          <cell r="E2037"/>
          <cell r="F2037"/>
          <cell r="G2037"/>
          <cell r="H2037"/>
          <cell r="I2037"/>
          <cell r="J2037"/>
          <cell r="K2037"/>
          <cell r="L2037"/>
          <cell r="M2037"/>
          <cell r="N2037"/>
          <cell r="O2037"/>
        </row>
        <row r="2038">
          <cell r="A2038" t="str">
            <v>103 IG - IGLESIA DE LA GRACIA DE DIOS</v>
          </cell>
          <cell r="B2038"/>
          <cell r="C2038"/>
          <cell r="D2038"/>
          <cell r="E2038"/>
          <cell r="F2038"/>
          <cell r="G2038"/>
          <cell r="H2038"/>
          <cell r="I2038">
            <v>15.14</v>
          </cell>
          <cell r="J2038"/>
          <cell r="K2038"/>
          <cell r="L2038"/>
          <cell r="M2038"/>
          <cell r="N2038"/>
          <cell r="O2038"/>
        </row>
        <row r="2039">
          <cell r="A2039" t="str">
            <v>2 PA - PARROQUIA SAN JUAN MARIA VIANNEY (NORTE)</v>
          </cell>
          <cell r="B2039"/>
          <cell r="C2039"/>
          <cell r="D2039"/>
          <cell r="E2039"/>
          <cell r="F2039"/>
          <cell r="G2039"/>
          <cell r="H2039"/>
          <cell r="I2039">
            <v>15</v>
          </cell>
          <cell r="J2039"/>
          <cell r="K2039"/>
          <cell r="L2039"/>
          <cell r="M2039"/>
          <cell r="N2039"/>
          <cell r="O2039"/>
        </row>
        <row r="2040">
          <cell r="A2040" t="str">
            <v>259 IG - ALCANCE VICTORIA PANAMÁ</v>
          </cell>
          <cell r="B2040"/>
          <cell r="C2040">
            <v>20</v>
          </cell>
          <cell r="D2040"/>
          <cell r="E2040"/>
          <cell r="F2040"/>
          <cell r="G2040"/>
          <cell r="H2040"/>
          <cell r="I2040"/>
          <cell r="J2040"/>
          <cell r="K2040"/>
          <cell r="L2040"/>
          <cell r="M2040"/>
          <cell r="N2040"/>
          <cell r="O2040"/>
        </row>
        <row r="2041">
          <cell r="A2041" t="str">
            <v>387-AS Asociacion ODSSAR-OBC</v>
          </cell>
          <cell r="B2041"/>
          <cell r="C2041"/>
          <cell r="D2041">
            <v>15</v>
          </cell>
          <cell r="E2041"/>
          <cell r="F2041"/>
          <cell r="G2041"/>
          <cell r="H2041"/>
          <cell r="I2041"/>
          <cell r="J2041"/>
          <cell r="K2041"/>
          <cell r="L2041"/>
          <cell r="M2041"/>
          <cell r="N2041"/>
          <cell r="O2041"/>
        </row>
        <row r="2042">
          <cell r="A2042" t="str">
            <v>380-ED COMEDOR COMUNITARIO CASA DEL ALFARERO</v>
          </cell>
          <cell r="B2042"/>
          <cell r="C2042"/>
          <cell r="D2042">
            <v>33</v>
          </cell>
          <cell r="E2042"/>
          <cell r="F2042"/>
          <cell r="G2042"/>
          <cell r="H2042"/>
          <cell r="I2042"/>
          <cell r="J2042"/>
          <cell r="K2042"/>
          <cell r="L2042"/>
          <cell r="M2042"/>
          <cell r="N2042"/>
          <cell r="O2042"/>
        </row>
        <row r="2043">
          <cell r="A2043" t="str">
            <v>597- IG MINISTERIO APOSTOLICO NEMUEL INTERNACIONAL</v>
          </cell>
          <cell r="B2043"/>
          <cell r="C2043"/>
          <cell r="D2043">
            <v>15</v>
          </cell>
          <cell r="E2043"/>
          <cell r="F2043"/>
          <cell r="G2043"/>
          <cell r="H2043"/>
          <cell r="I2043"/>
          <cell r="J2043"/>
          <cell r="K2043"/>
          <cell r="L2043"/>
          <cell r="M2043"/>
          <cell r="N2043"/>
          <cell r="O2043"/>
        </row>
        <row r="2044">
          <cell r="A2044" t="str">
            <v>339-AS ASOCIACION RESIDENCIA LISBETH</v>
          </cell>
          <cell r="B2044"/>
          <cell r="C2044"/>
          <cell r="D2044">
            <v>35.14</v>
          </cell>
          <cell r="E2044"/>
          <cell r="F2044"/>
          <cell r="G2044"/>
          <cell r="H2044"/>
          <cell r="I2044"/>
          <cell r="J2044"/>
          <cell r="K2044"/>
          <cell r="L2044"/>
          <cell r="M2044"/>
          <cell r="N2044"/>
          <cell r="O2044"/>
        </row>
        <row r="2045">
          <cell r="A2045" t="str">
            <v>327-PA - Parroquia la Santa Cruz</v>
          </cell>
          <cell r="B2045"/>
          <cell r="C2045"/>
          <cell r="D2045"/>
          <cell r="E2045"/>
          <cell r="F2045"/>
          <cell r="G2045"/>
          <cell r="H2045"/>
          <cell r="I2045">
            <v>80</v>
          </cell>
          <cell r="J2045"/>
          <cell r="K2045"/>
          <cell r="L2045"/>
          <cell r="M2045"/>
          <cell r="N2045"/>
          <cell r="O2045"/>
        </row>
        <row r="2046">
          <cell r="A2046" t="str">
            <v>377-FU CENTRO CRISTIANO CASA DE DIOS PANAMA</v>
          </cell>
          <cell r="B2046"/>
          <cell r="C2046"/>
          <cell r="D2046"/>
          <cell r="E2046"/>
          <cell r="F2046"/>
          <cell r="G2046">
            <v>15</v>
          </cell>
          <cell r="H2046"/>
          <cell r="I2046"/>
          <cell r="J2046"/>
          <cell r="K2046"/>
          <cell r="L2046"/>
          <cell r="M2046"/>
          <cell r="N2046"/>
          <cell r="O2046"/>
        </row>
        <row r="2047">
          <cell r="A2047" t="str">
            <v>118 FU - FUNDACIÓN UN NUEVO AMANECER</v>
          </cell>
          <cell r="B2047"/>
          <cell r="C2047"/>
          <cell r="D2047"/>
          <cell r="E2047">
            <v>75.7</v>
          </cell>
          <cell r="F2047"/>
          <cell r="G2047"/>
          <cell r="H2047"/>
          <cell r="I2047"/>
          <cell r="J2047"/>
          <cell r="K2047"/>
          <cell r="L2047"/>
          <cell r="M2047"/>
          <cell r="N2047"/>
          <cell r="O2047"/>
        </row>
        <row r="2048">
          <cell r="A2048" t="str">
            <v>684 - FU FUNDACION CASA DEL REY JESUS (CENTRO 2)</v>
          </cell>
          <cell r="B2048"/>
          <cell r="C2048">
            <v>19.259999999999998</v>
          </cell>
          <cell r="D2048"/>
          <cell r="E2048"/>
          <cell r="F2048"/>
          <cell r="G2048"/>
          <cell r="H2048"/>
          <cell r="I2048"/>
          <cell r="J2048"/>
          <cell r="K2048"/>
          <cell r="L2048"/>
          <cell r="M2048"/>
          <cell r="N2048"/>
          <cell r="O2048"/>
        </row>
        <row r="2049">
          <cell r="A2049" t="str">
            <v>229 PA - PARROQUIA SAN CRISTOBAL DE CHEPO</v>
          </cell>
          <cell r="B2049"/>
          <cell r="C2049"/>
          <cell r="D2049">
            <v>60.56</v>
          </cell>
          <cell r="E2049"/>
          <cell r="F2049"/>
          <cell r="G2049"/>
          <cell r="H2049"/>
          <cell r="I2049"/>
          <cell r="J2049"/>
          <cell r="K2049"/>
          <cell r="L2049"/>
          <cell r="M2049"/>
          <cell r="N2049"/>
          <cell r="O2049"/>
        </row>
        <row r="2050">
          <cell r="A2050" t="str">
            <v>738- IG MINISTERIO DIOS CON NOSOTROS EMANUEL</v>
          </cell>
          <cell r="B2050"/>
          <cell r="C2050"/>
          <cell r="D2050">
            <v>69.08</v>
          </cell>
          <cell r="E2050"/>
          <cell r="F2050"/>
          <cell r="G2050"/>
          <cell r="H2050"/>
          <cell r="I2050"/>
          <cell r="J2050"/>
          <cell r="K2050"/>
          <cell r="L2050"/>
          <cell r="M2050"/>
          <cell r="N2050"/>
          <cell r="O2050"/>
        </row>
        <row r="2051">
          <cell r="A2051" t="str">
            <v>745-FU CASA DE MISERICORDIA</v>
          </cell>
          <cell r="B2051"/>
          <cell r="C2051">
            <v>30</v>
          </cell>
          <cell r="D2051"/>
          <cell r="E2051"/>
          <cell r="F2051"/>
          <cell r="G2051"/>
          <cell r="H2051"/>
          <cell r="I2051"/>
          <cell r="J2051"/>
          <cell r="K2051"/>
          <cell r="L2051"/>
          <cell r="M2051"/>
          <cell r="N2051"/>
          <cell r="O2051"/>
        </row>
        <row r="2052">
          <cell r="A2052" t="str">
            <v>749-IG Ministerio Tabernáculo de Santidad Internación (Guararé)</v>
          </cell>
          <cell r="B2052"/>
          <cell r="C2052"/>
          <cell r="D2052"/>
          <cell r="E2052"/>
          <cell r="F2052"/>
          <cell r="G2052"/>
          <cell r="H2052"/>
          <cell r="I2052"/>
          <cell r="J2052"/>
          <cell r="K2052"/>
          <cell r="L2052"/>
          <cell r="M2052">
            <v>120.96</v>
          </cell>
          <cell r="N2052"/>
          <cell r="O2052"/>
        </row>
        <row r="2053">
          <cell r="A2053" t="str">
            <v>765-IG EXPANSION MISIONERA RIOS DE AGUA VIVA</v>
          </cell>
          <cell r="B2053"/>
          <cell r="C2053"/>
          <cell r="D2053"/>
          <cell r="E2053"/>
          <cell r="F2053"/>
          <cell r="G2053"/>
          <cell r="H2053"/>
          <cell r="I2053"/>
          <cell r="J2053"/>
          <cell r="K2053"/>
          <cell r="L2053">
            <v>226.79999999999998</v>
          </cell>
          <cell r="M2053"/>
          <cell r="N2053"/>
          <cell r="O2053"/>
        </row>
        <row r="2054">
          <cell r="A2054" t="str">
            <v>766-IG MINISTERIO BET-EL</v>
          </cell>
          <cell r="B2054"/>
          <cell r="C2054"/>
          <cell r="D2054"/>
          <cell r="E2054"/>
          <cell r="F2054"/>
          <cell r="G2054"/>
          <cell r="H2054"/>
          <cell r="I2054"/>
          <cell r="J2054"/>
          <cell r="K2054"/>
          <cell r="L2054"/>
          <cell r="M2054"/>
          <cell r="N2054"/>
          <cell r="O2054">
            <v>287.27999999999997</v>
          </cell>
        </row>
        <row r="2055">
          <cell r="A2055" t="str">
            <v>785-FU FUNDACION GOTAS DE ESPERANZA</v>
          </cell>
          <cell r="B2055"/>
          <cell r="C2055"/>
          <cell r="D2055"/>
          <cell r="E2055">
            <v>48.14</v>
          </cell>
          <cell r="F2055"/>
          <cell r="G2055"/>
          <cell r="H2055"/>
          <cell r="I2055"/>
          <cell r="J2055"/>
          <cell r="K2055"/>
          <cell r="L2055"/>
          <cell r="M2055"/>
          <cell r="N2055"/>
          <cell r="O2055"/>
        </row>
        <row r="2056">
          <cell r="A2056" t="str">
            <v>793-FU Fundación Príncipes de Jehová</v>
          </cell>
          <cell r="B2056"/>
          <cell r="C2056"/>
          <cell r="D2056"/>
          <cell r="E2056"/>
          <cell r="F2056"/>
          <cell r="G2056"/>
          <cell r="H2056"/>
          <cell r="I2056">
            <v>15</v>
          </cell>
          <cell r="J2056"/>
          <cell r="K2056"/>
          <cell r="L2056"/>
          <cell r="M2056"/>
          <cell r="N2056"/>
          <cell r="O2056"/>
        </row>
        <row r="2057">
          <cell r="A2057" t="str">
            <v>69 FU - FUNDACIÓN VIDA ABUNDANTE</v>
          </cell>
          <cell r="B2057"/>
          <cell r="C2057">
            <v>100</v>
          </cell>
          <cell r="D2057"/>
          <cell r="E2057"/>
          <cell r="F2057"/>
          <cell r="G2057"/>
          <cell r="H2057"/>
          <cell r="I2057"/>
          <cell r="J2057"/>
          <cell r="K2057"/>
          <cell r="L2057"/>
          <cell r="M2057"/>
          <cell r="N2057"/>
          <cell r="O2057"/>
        </row>
        <row r="2058">
          <cell r="A2058" t="str">
            <v>138 OR - HERMANAS FRANCISCANAS DE MARIA INMACULADALA</v>
          </cell>
          <cell r="B2058"/>
          <cell r="C2058"/>
          <cell r="D2058"/>
          <cell r="E2058"/>
          <cell r="F2058"/>
          <cell r="G2058"/>
          <cell r="H2058">
            <v>30</v>
          </cell>
          <cell r="I2058"/>
          <cell r="J2058"/>
          <cell r="K2058"/>
          <cell r="L2058"/>
          <cell r="M2058"/>
          <cell r="N2058"/>
          <cell r="O2058"/>
        </row>
        <row r="2059">
          <cell r="A2059" t="str">
            <v>804-IG Templo Misionero Eclesiastés</v>
          </cell>
          <cell r="B2059"/>
          <cell r="C2059"/>
          <cell r="D2059"/>
          <cell r="E2059"/>
          <cell r="F2059"/>
          <cell r="G2059"/>
          <cell r="H2059"/>
          <cell r="I2059">
            <v>15.14</v>
          </cell>
          <cell r="J2059"/>
          <cell r="K2059"/>
          <cell r="L2059"/>
          <cell r="M2059"/>
          <cell r="N2059"/>
          <cell r="O2059"/>
        </row>
        <row r="2060">
          <cell r="A2060" t="str">
            <v>463-FU MINISTERIO BERAKHAH INTERNACIONAL COMEDOR OASIS DE ESPERANZA (ESTE)</v>
          </cell>
          <cell r="B2060"/>
          <cell r="C2060"/>
          <cell r="D2060">
            <v>27.78</v>
          </cell>
          <cell r="E2060"/>
          <cell r="F2060"/>
          <cell r="G2060"/>
          <cell r="H2060"/>
          <cell r="I2060"/>
          <cell r="J2060"/>
          <cell r="K2060"/>
          <cell r="L2060"/>
          <cell r="M2060"/>
          <cell r="N2060"/>
          <cell r="O2060"/>
        </row>
        <row r="2061">
          <cell r="A2061" t="str">
            <v>708 - FU MINISTERIO BERAKHAH INTERNACIONAL GUARARE</v>
          </cell>
          <cell r="B2061"/>
          <cell r="C2061"/>
          <cell r="D2061"/>
          <cell r="E2061"/>
          <cell r="F2061"/>
          <cell r="G2061"/>
          <cell r="H2061"/>
          <cell r="I2061"/>
          <cell r="J2061"/>
          <cell r="K2061"/>
          <cell r="L2061"/>
          <cell r="M2061"/>
          <cell r="N2061"/>
          <cell r="O2061">
            <v>18.899999999999999</v>
          </cell>
        </row>
        <row r="2062">
          <cell r="A2062" t="str">
            <v>RIBA SMITH, S.A.</v>
          </cell>
          <cell r="B2062"/>
          <cell r="C2062">
            <v>87.5</v>
          </cell>
          <cell r="D2062">
            <v>133.5</v>
          </cell>
          <cell r="E2062">
            <v>108</v>
          </cell>
          <cell r="F2062">
            <v>16.5</v>
          </cell>
          <cell r="G2062">
            <v>3.5</v>
          </cell>
          <cell r="H2062">
            <v>6</v>
          </cell>
          <cell r="I2062">
            <v>41</v>
          </cell>
          <cell r="J2062"/>
          <cell r="K2062"/>
          <cell r="L2062"/>
          <cell r="M2062"/>
          <cell r="N2062"/>
          <cell r="O2062"/>
        </row>
        <row r="2063">
          <cell r="A2063" t="str">
            <v>479-IG IGLESIA NUEVA ESPERANZA</v>
          </cell>
          <cell r="B2063"/>
          <cell r="C2063"/>
          <cell r="D2063">
            <v>1</v>
          </cell>
          <cell r="E2063"/>
          <cell r="F2063"/>
          <cell r="G2063"/>
          <cell r="H2063"/>
          <cell r="I2063"/>
          <cell r="J2063"/>
          <cell r="K2063"/>
          <cell r="L2063"/>
          <cell r="M2063"/>
          <cell r="N2063"/>
          <cell r="O2063"/>
        </row>
        <row r="2064">
          <cell r="A2064" t="str">
            <v>104 AS - ASOCIACIÓN HOGAR FELICIDAD</v>
          </cell>
          <cell r="B2064"/>
          <cell r="C2064"/>
          <cell r="D2064"/>
          <cell r="E2064">
            <v>4</v>
          </cell>
          <cell r="F2064"/>
          <cell r="G2064"/>
          <cell r="H2064"/>
          <cell r="I2064"/>
          <cell r="J2064"/>
          <cell r="K2064"/>
          <cell r="L2064"/>
          <cell r="M2064"/>
          <cell r="N2064"/>
          <cell r="O2064"/>
        </row>
        <row r="2065">
          <cell r="A2065" t="str">
            <v>175 AS - ASOCIACIÓN RESTAURANDO VIDAS</v>
          </cell>
          <cell r="B2065"/>
          <cell r="C2065"/>
          <cell r="D2065">
            <v>4</v>
          </cell>
          <cell r="E2065"/>
          <cell r="F2065"/>
          <cell r="G2065"/>
          <cell r="H2065"/>
          <cell r="I2065"/>
          <cell r="J2065"/>
          <cell r="K2065"/>
          <cell r="L2065"/>
          <cell r="M2065"/>
          <cell r="N2065"/>
          <cell r="O2065"/>
        </row>
        <row r="2066">
          <cell r="A2066" t="str">
            <v>207 IG - IGLESIA CENTRO DE VIDA CRISTIANA</v>
          </cell>
          <cell r="B2066"/>
          <cell r="C2066"/>
          <cell r="D2066">
            <v>8.5</v>
          </cell>
          <cell r="E2066"/>
          <cell r="F2066"/>
          <cell r="G2066"/>
          <cell r="H2066"/>
          <cell r="I2066"/>
          <cell r="J2066"/>
          <cell r="K2066"/>
          <cell r="L2066"/>
          <cell r="M2066"/>
          <cell r="N2066"/>
          <cell r="O2066"/>
        </row>
        <row r="2067">
          <cell r="A2067" t="str">
            <v>321-IG IGLESIA DIOS ES MI PROVEEDOR Y SUSTENTO</v>
          </cell>
          <cell r="B2067"/>
          <cell r="C2067"/>
          <cell r="D2067">
            <v>1.5</v>
          </cell>
          <cell r="E2067"/>
          <cell r="F2067"/>
          <cell r="G2067"/>
          <cell r="H2067"/>
          <cell r="I2067"/>
          <cell r="J2067"/>
          <cell r="K2067"/>
          <cell r="L2067"/>
          <cell r="M2067"/>
          <cell r="N2067"/>
          <cell r="O2067"/>
        </row>
        <row r="2068">
          <cell r="A2068" t="str">
            <v>443-FU MINISTERIO BERAKHAH INTERNACIONAL COMEDOR LAS GARZAS #2</v>
          </cell>
          <cell r="B2068"/>
          <cell r="C2068"/>
          <cell r="D2068">
            <v>1</v>
          </cell>
          <cell r="E2068"/>
          <cell r="F2068"/>
          <cell r="G2068"/>
          <cell r="H2068"/>
          <cell r="I2068"/>
          <cell r="J2068"/>
          <cell r="K2068"/>
          <cell r="L2068"/>
          <cell r="M2068"/>
          <cell r="N2068"/>
          <cell r="O2068"/>
        </row>
        <row r="2069">
          <cell r="A2069" t="str">
            <v>694 - FU MINISTERIO BERAKHAH INTERNACIONAL TOCUMEN #2</v>
          </cell>
          <cell r="B2069"/>
          <cell r="C2069"/>
          <cell r="D2069">
            <v>7.5</v>
          </cell>
          <cell r="E2069"/>
          <cell r="F2069"/>
          <cell r="G2069"/>
          <cell r="H2069"/>
          <cell r="I2069"/>
          <cell r="J2069"/>
          <cell r="K2069"/>
          <cell r="L2069"/>
          <cell r="M2069"/>
          <cell r="N2069"/>
          <cell r="O2069"/>
        </row>
        <row r="2070">
          <cell r="A2070" t="str">
            <v>695 - FU MINISTERIO BERAKHAH INTERNACIONAL 24 DIC</v>
          </cell>
          <cell r="B2070"/>
          <cell r="C2070"/>
          <cell r="D2070">
            <v>5</v>
          </cell>
          <cell r="E2070"/>
          <cell r="F2070"/>
          <cell r="G2070"/>
          <cell r="H2070"/>
          <cell r="I2070"/>
          <cell r="J2070"/>
          <cell r="K2070"/>
          <cell r="L2070"/>
          <cell r="M2070"/>
          <cell r="N2070"/>
          <cell r="O2070"/>
        </row>
        <row r="2071">
          <cell r="A2071" t="str">
            <v>366-FU CENTRO MISIONERO EL SHADAI (ESTE)</v>
          </cell>
          <cell r="B2071"/>
          <cell r="C2071"/>
          <cell r="D2071">
            <v>2</v>
          </cell>
          <cell r="E2071"/>
          <cell r="F2071"/>
          <cell r="G2071"/>
          <cell r="H2071"/>
          <cell r="I2071"/>
          <cell r="J2071"/>
          <cell r="K2071"/>
          <cell r="L2071"/>
          <cell r="M2071"/>
          <cell r="N2071"/>
          <cell r="O2071"/>
        </row>
        <row r="2072">
          <cell r="A2072" t="str">
            <v>288 IG MINISTERIO EVANGELISTICO DE SANACION Y RESTAURACION, SENALES, MILAGROS Y MARAVILLAS (ESTE)</v>
          </cell>
          <cell r="B2072"/>
          <cell r="C2072"/>
          <cell r="D2072">
            <v>9</v>
          </cell>
          <cell r="E2072"/>
          <cell r="F2072"/>
          <cell r="G2072"/>
          <cell r="H2072"/>
          <cell r="I2072"/>
          <cell r="J2072"/>
          <cell r="K2072"/>
          <cell r="L2072"/>
          <cell r="M2072"/>
          <cell r="N2072"/>
          <cell r="O2072"/>
        </row>
        <row r="2073">
          <cell r="A2073" t="str">
            <v>373-FU MINISTERIO INTERNACIONAL BOANERGES</v>
          </cell>
          <cell r="B2073"/>
          <cell r="C2073"/>
          <cell r="D2073"/>
          <cell r="E2073"/>
          <cell r="F2073"/>
          <cell r="G2073"/>
          <cell r="H2073"/>
          <cell r="I2073">
            <v>2</v>
          </cell>
          <cell r="J2073"/>
          <cell r="K2073"/>
          <cell r="L2073"/>
          <cell r="M2073"/>
          <cell r="N2073"/>
          <cell r="O2073"/>
        </row>
        <row r="2074">
          <cell r="A2074" t="str">
            <v>51 PA - PARROQUIA SAN PIO DE PIETRELCINA (ESTE)</v>
          </cell>
          <cell r="B2074"/>
          <cell r="C2074"/>
          <cell r="D2074">
            <v>2</v>
          </cell>
          <cell r="E2074"/>
          <cell r="F2074"/>
          <cell r="G2074"/>
          <cell r="H2074"/>
          <cell r="I2074"/>
          <cell r="J2074"/>
          <cell r="K2074"/>
          <cell r="L2074"/>
          <cell r="M2074"/>
          <cell r="N2074"/>
          <cell r="O2074"/>
        </row>
        <row r="2075">
          <cell r="A2075" t="str">
            <v>368-FU MINISTERIO PACTO DE SANTIDAD</v>
          </cell>
          <cell r="B2075"/>
          <cell r="C2075">
            <v>10</v>
          </cell>
          <cell r="D2075"/>
          <cell r="E2075"/>
          <cell r="F2075"/>
          <cell r="G2075"/>
          <cell r="H2075"/>
          <cell r="I2075"/>
          <cell r="J2075"/>
          <cell r="K2075"/>
          <cell r="L2075"/>
          <cell r="M2075"/>
          <cell r="N2075"/>
          <cell r="O2075"/>
        </row>
        <row r="2076">
          <cell r="A2076" t="str">
            <v>654 - IG M.I.A.F NUEVA JERUSALEN PANAMA (ESTE)</v>
          </cell>
          <cell r="B2076"/>
          <cell r="C2076"/>
          <cell r="D2076">
            <v>4.5</v>
          </cell>
          <cell r="E2076"/>
          <cell r="F2076"/>
          <cell r="G2076"/>
          <cell r="H2076"/>
          <cell r="I2076"/>
          <cell r="J2076"/>
          <cell r="K2076"/>
          <cell r="L2076"/>
          <cell r="M2076"/>
          <cell r="N2076"/>
          <cell r="O2076"/>
        </row>
        <row r="2077">
          <cell r="A2077" t="str">
            <v>487-FU FUNDACION CASA AVE MARIA</v>
          </cell>
          <cell r="B2077"/>
          <cell r="C2077"/>
          <cell r="D2077"/>
          <cell r="E2077">
            <v>56</v>
          </cell>
          <cell r="F2077"/>
          <cell r="G2077"/>
          <cell r="H2077"/>
          <cell r="I2077"/>
          <cell r="J2077"/>
          <cell r="K2077"/>
          <cell r="L2077"/>
          <cell r="M2077"/>
          <cell r="N2077"/>
          <cell r="O2077"/>
        </row>
        <row r="2078">
          <cell r="A2078" t="str">
            <v>2 PA - PARROQUIA SAN JUAN MARIA VIANNEY (NORTE)</v>
          </cell>
          <cell r="B2078"/>
          <cell r="C2078"/>
          <cell r="D2078"/>
          <cell r="E2078"/>
          <cell r="F2078"/>
          <cell r="G2078"/>
          <cell r="H2078"/>
          <cell r="I2078">
            <v>8</v>
          </cell>
          <cell r="J2078"/>
          <cell r="K2078"/>
          <cell r="L2078"/>
          <cell r="M2078"/>
          <cell r="N2078"/>
          <cell r="O2078"/>
        </row>
        <row r="2079">
          <cell r="A2079" t="str">
            <v>696 - FU MINISTERIO BERAKHAH INTERNACIONAL CHEPO #1</v>
          </cell>
          <cell r="B2079"/>
          <cell r="C2079"/>
          <cell r="D2079">
            <v>2</v>
          </cell>
          <cell r="E2079"/>
          <cell r="F2079"/>
          <cell r="G2079"/>
          <cell r="H2079"/>
          <cell r="I2079"/>
          <cell r="J2079"/>
          <cell r="K2079"/>
          <cell r="L2079"/>
          <cell r="M2079"/>
          <cell r="N2079"/>
          <cell r="O2079"/>
        </row>
        <row r="2080">
          <cell r="A2080" t="str">
            <v>472-FU FUNDACION TALITA CUMI</v>
          </cell>
          <cell r="B2080"/>
          <cell r="C2080"/>
          <cell r="D2080">
            <v>2</v>
          </cell>
          <cell r="E2080"/>
          <cell r="F2080"/>
          <cell r="G2080"/>
          <cell r="H2080"/>
          <cell r="I2080"/>
          <cell r="J2080"/>
          <cell r="K2080"/>
          <cell r="L2080"/>
          <cell r="M2080"/>
          <cell r="N2080"/>
          <cell r="O2080"/>
        </row>
        <row r="2081">
          <cell r="A2081" t="str">
            <v>222 ED - MISERICORDIAR</v>
          </cell>
          <cell r="B2081"/>
          <cell r="C2081"/>
          <cell r="D2081">
            <v>21</v>
          </cell>
          <cell r="E2081"/>
          <cell r="F2081"/>
          <cell r="G2081"/>
          <cell r="H2081"/>
          <cell r="I2081"/>
          <cell r="J2081"/>
          <cell r="K2081"/>
          <cell r="L2081"/>
          <cell r="M2081"/>
          <cell r="N2081"/>
          <cell r="O2081"/>
        </row>
        <row r="2082">
          <cell r="A2082" t="str">
            <v>259 IG - ALCANCE VICTORIA PANAMÁ</v>
          </cell>
          <cell r="B2082"/>
          <cell r="C2082">
            <v>12.5</v>
          </cell>
          <cell r="D2082"/>
          <cell r="E2082"/>
          <cell r="F2082"/>
          <cell r="G2082"/>
          <cell r="H2082"/>
          <cell r="I2082"/>
          <cell r="J2082"/>
          <cell r="K2082"/>
          <cell r="L2082"/>
          <cell r="M2082"/>
          <cell r="N2082"/>
          <cell r="O2082"/>
        </row>
        <row r="2083">
          <cell r="A2083" t="str">
            <v>379-FU Fundacion Ministerio Apostolico Manantial de Vida</v>
          </cell>
          <cell r="B2083"/>
          <cell r="C2083"/>
          <cell r="D2083"/>
          <cell r="E2083"/>
          <cell r="F2083"/>
          <cell r="G2083"/>
          <cell r="H2083">
            <v>4</v>
          </cell>
          <cell r="I2083"/>
          <cell r="J2083"/>
          <cell r="K2083"/>
          <cell r="L2083"/>
          <cell r="M2083"/>
          <cell r="N2083"/>
          <cell r="O2083"/>
        </row>
        <row r="2084">
          <cell r="A2084" t="str">
            <v>387-AS Asociacion ODSSAR-OBC</v>
          </cell>
          <cell r="B2084"/>
          <cell r="C2084"/>
          <cell r="D2084">
            <v>3.5</v>
          </cell>
          <cell r="E2084"/>
          <cell r="F2084"/>
          <cell r="G2084"/>
          <cell r="H2084"/>
          <cell r="I2084"/>
          <cell r="J2084"/>
          <cell r="K2084"/>
          <cell r="L2084"/>
          <cell r="M2084"/>
          <cell r="N2084"/>
          <cell r="O2084"/>
        </row>
        <row r="2085">
          <cell r="A2085" t="str">
            <v>397-FU FUNDACION SHALOM PANAMA</v>
          </cell>
          <cell r="B2085"/>
          <cell r="C2085"/>
          <cell r="D2085"/>
          <cell r="E2085">
            <v>3</v>
          </cell>
          <cell r="F2085"/>
          <cell r="G2085"/>
          <cell r="H2085"/>
          <cell r="I2085"/>
          <cell r="J2085"/>
          <cell r="K2085"/>
          <cell r="L2085"/>
          <cell r="M2085"/>
          <cell r="N2085"/>
          <cell r="O2085"/>
        </row>
        <row r="2086">
          <cell r="A2086" t="str">
            <v>195 ED - JUNTOS PODEMOS</v>
          </cell>
          <cell r="B2086"/>
          <cell r="C2086">
            <v>3.5</v>
          </cell>
          <cell r="D2086"/>
          <cell r="E2086"/>
          <cell r="F2086"/>
          <cell r="G2086"/>
          <cell r="H2086"/>
          <cell r="I2086"/>
          <cell r="J2086"/>
          <cell r="K2086"/>
          <cell r="L2086"/>
          <cell r="M2086"/>
          <cell r="N2086"/>
          <cell r="O2086"/>
        </row>
        <row r="2087">
          <cell r="A2087" t="str">
            <v>709 - FU FUNRECRISTO</v>
          </cell>
          <cell r="B2087"/>
          <cell r="C2087"/>
          <cell r="D2087">
            <v>4</v>
          </cell>
          <cell r="E2087"/>
          <cell r="F2087"/>
          <cell r="G2087"/>
          <cell r="H2087"/>
          <cell r="I2087"/>
          <cell r="J2087"/>
          <cell r="K2087"/>
          <cell r="L2087"/>
          <cell r="M2087"/>
          <cell r="N2087"/>
          <cell r="O2087"/>
        </row>
        <row r="2088">
          <cell r="A2088" t="str">
            <v>380-ED COMEDOR COMUNITARIO CASA DEL ALFARERO</v>
          </cell>
          <cell r="B2088"/>
          <cell r="C2088"/>
          <cell r="D2088">
            <v>27</v>
          </cell>
          <cell r="E2088"/>
          <cell r="F2088"/>
          <cell r="G2088"/>
          <cell r="H2088"/>
          <cell r="I2088"/>
          <cell r="J2088"/>
          <cell r="K2088"/>
          <cell r="L2088"/>
          <cell r="M2088"/>
          <cell r="N2088"/>
          <cell r="O2088"/>
        </row>
        <row r="2089">
          <cell r="A2089" t="str">
            <v>597- IG MINISTERIO APOSTOLICO NEMUEL INTERNACIONAL</v>
          </cell>
          <cell r="B2089"/>
          <cell r="C2089"/>
          <cell r="D2089">
            <v>1.5</v>
          </cell>
          <cell r="E2089"/>
          <cell r="F2089"/>
          <cell r="G2089"/>
          <cell r="H2089"/>
          <cell r="I2089"/>
          <cell r="J2089"/>
          <cell r="K2089"/>
          <cell r="L2089"/>
          <cell r="M2089"/>
          <cell r="N2089"/>
          <cell r="O2089"/>
        </row>
        <row r="2090">
          <cell r="A2090" t="str">
            <v>270 FU - FUNDACIÓN MISERICORDIA DE DON BOSCO (OESTE)</v>
          </cell>
          <cell r="B2090"/>
          <cell r="C2090"/>
          <cell r="D2090"/>
          <cell r="E2090">
            <v>2</v>
          </cell>
          <cell r="F2090"/>
          <cell r="G2090"/>
          <cell r="H2090"/>
          <cell r="I2090"/>
          <cell r="J2090"/>
          <cell r="K2090"/>
          <cell r="L2090"/>
          <cell r="M2090"/>
          <cell r="N2090"/>
          <cell r="O2090"/>
        </row>
        <row r="2091">
          <cell r="A2091" t="str">
            <v>381-FU FUNDAMIDOM</v>
          </cell>
          <cell r="B2091"/>
          <cell r="C2091"/>
          <cell r="D2091"/>
          <cell r="E2091">
            <v>4</v>
          </cell>
          <cell r="F2091"/>
          <cell r="G2091"/>
          <cell r="H2091"/>
          <cell r="I2091"/>
          <cell r="J2091"/>
          <cell r="K2091"/>
          <cell r="L2091"/>
          <cell r="M2091"/>
          <cell r="N2091"/>
          <cell r="O2091"/>
        </row>
        <row r="2092">
          <cell r="A2092" t="str">
            <v>491-FU Fundación Aleluya</v>
          </cell>
          <cell r="B2092"/>
          <cell r="C2092"/>
          <cell r="D2092"/>
          <cell r="E2092"/>
          <cell r="F2092"/>
          <cell r="G2092">
            <v>1.5</v>
          </cell>
          <cell r="H2092"/>
          <cell r="I2092"/>
          <cell r="J2092"/>
          <cell r="K2092"/>
          <cell r="L2092"/>
          <cell r="M2092"/>
          <cell r="N2092"/>
          <cell r="O2092"/>
        </row>
        <row r="2093">
          <cell r="A2093" t="str">
            <v>642 - IG IGLESIA VIDA (CENTRO 1)</v>
          </cell>
          <cell r="B2093"/>
          <cell r="C2093">
            <v>3</v>
          </cell>
          <cell r="D2093"/>
          <cell r="E2093"/>
          <cell r="F2093"/>
          <cell r="G2093"/>
          <cell r="H2093"/>
          <cell r="I2093"/>
          <cell r="J2093"/>
          <cell r="K2093"/>
          <cell r="L2093"/>
          <cell r="M2093"/>
          <cell r="N2093"/>
          <cell r="O2093"/>
        </row>
        <row r="2094">
          <cell r="A2094" t="str">
            <v>681 - FU FUNDACION NUEVA SOCIEDAD (NORTE)</v>
          </cell>
          <cell r="B2094"/>
          <cell r="C2094"/>
          <cell r="D2094"/>
          <cell r="E2094"/>
          <cell r="F2094"/>
          <cell r="G2094"/>
          <cell r="H2094"/>
          <cell r="I2094">
            <v>14</v>
          </cell>
          <cell r="J2094"/>
          <cell r="K2094"/>
          <cell r="L2094"/>
          <cell r="M2094"/>
          <cell r="N2094"/>
          <cell r="O2094"/>
        </row>
        <row r="2095">
          <cell r="A2095" t="str">
            <v>377-FU CENTRO CRISTIANO CASA DE DIOS PANAMA</v>
          </cell>
          <cell r="B2095"/>
          <cell r="C2095"/>
          <cell r="D2095"/>
          <cell r="E2095"/>
          <cell r="F2095"/>
          <cell r="G2095">
            <v>1</v>
          </cell>
          <cell r="H2095"/>
          <cell r="I2095"/>
          <cell r="J2095"/>
          <cell r="K2095"/>
          <cell r="L2095"/>
          <cell r="M2095"/>
          <cell r="N2095"/>
          <cell r="O2095"/>
        </row>
        <row r="2096">
          <cell r="A2096" t="str">
            <v>193 OR - FUNDACIÓN UNCIÓN FRESCA</v>
          </cell>
          <cell r="B2096"/>
          <cell r="C2096"/>
          <cell r="D2096"/>
          <cell r="E2096">
            <v>2</v>
          </cell>
          <cell r="F2096"/>
          <cell r="G2096"/>
          <cell r="H2096"/>
          <cell r="I2096"/>
          <cell r="J2096"/>
          <cell r="K2096"/>
          <cell r="L2096"/>
          <cell r="M2096"/>
          <cell r="N2096"/>
          <cell r="O2096"/>
        </row>
        <row r="2097">
          <cell r="A2097" t="str">
            <v>118 FU - FUNDACIÓN UN NUEVO AMANECER</v>
          </cell>
          <cell r="B2097"/>
          <cell r="C2097"/>
          <cell r="D2097"/>
          <cell r="E2097">
            <v>10</v>
          </cell>
          <cell r="F2097"/>
          <cell r="G2097"/>
          <cell r="H2097"/>
          <cell r="I2097"/>
          <cell r="J2097"/>
          <cell r="K2097"/>
          <cell r="L2097"/>
          <cell r="M2097"/>
          <cell r="N2097"/>
          <cell r="O2097"/>
        </row>
        <row r="2098">
          <cell r="A2098" t="str">
            <v>360-IG IGLESIA CRISTIANA CASA DE REUNION</v>
          </cell>
          <cell r="B2098"/>
          <cell r="C2098"/>
          <cell r="D2098"/>
          <cell r="E2098"/>
          <cell r="F2098"/>
          <cell r="G2098">
            <v>1</v>
          </cell>
          <cell r="H2098"/>
          <cell r="I2098"/>
          <cell r="J2098"/>
          <cell r="K2098"/>
          <cell r="L2098"/>
          <cell r="M2098"/>
          <cell r="N2098"/>
          <cell r="O2098"/>
        </row>
        <row r="2099">
          <cell r="A2099" t="str">
            <v>684 - FU FUNDACION CASA DEL REY JESUS (CENTRO 2)</v>
          </cell>
          <cell r="B2099"/>
          <cell r="C2099">
            <v>4</v>
          </cell>
          <cell r="D2099"/>
          <cell r="E2099"/>
          <cell r="F2099"/>
          <cell r="G2099"/>
          <cell r="H2099"/>
          <cell r="I2099"/>
          <cell r="J2099"/>
          <cell r="K2099"/>
          <cell r="L2099"/>
          <cell r="M2099"/>
          <cell r="N2099"/>
          <cell r="O2099"/>
        </row>
        <row r="2100">
          <cell r="A2100" t="str">
            <v>596 IG- IGLESIA EVANGELICA TRINITARIA DIOS FUENTE DE PODER</v>
          </cell>
          <cell r="B2100"/>
          <cell r="C2100">
            <v>3</v>
          </cell>
          <cell r="D2100"/>
          <cell r="E2100"/>
          <cell r="F2100"/>
          <cell r="G2100"/>
          <cell r="H2100"/>
          <cell r="I2100"/>
          <cell r="J2100"/>
          <cell r="K2100"/>
          <cell r="L2100"/>
          <cell r="M2100"/>
          <cell r="N2100"/>
          <cell r="O2100"/>
        </row>
        <row r="2101">
          <cell r="A2101" t="str">
            <v>229 PA - PARROQUIA SAN CRISTOBAL DE CHEPO</v>
          </cell>
          <cell r="B2101"/>
          <cell r="C2101"/>
          <cell r="D2101">
            <v>7</v>
          </cell>
          <cell r="E2101"/>
          <cell r="F2101"/>
          <cell r="G2101"/>
          <cell r="H2101"/>
          <cell r="I2101"/>
          <cell r="J2101"/>
          <cell r="K2101"/>
          <cell r="L2101"/>
          <cell r="M2101"/>
          <cell r="N2101"/>
          <cell r="O2101"/>
        </row>
        <row r="2102">
          <cell r="A2102" t="str">
            <v>390-FU FUNDACION CRISTIANA FAMILIAR EL TALLER DEL MAESTRO (CENTRO1)</v>
          </cell>
          <cell r="B2102"/>
          <cell r="C2102">
            <v>6</v>
          </cell>
          <cell r="D2102"/>
          <cell r="E2102"/>
          <cell r="F2102"/>
          <cell r="G2102"/>
          <cell r="H2102"/>
          <cell r="I2102"/>
          <cell r="J2102"/>
          <cell r="K2102"/>
          <cell r="L2102"/>
          <cell r="M2102"/>
          <cell r="N2102"/>
          <cell r="O2102"/>
        </row>
        <row r="2103">
          <cell r="A2103" t="str">
            <v>737- ASOCIACION CRISTIANA EBEN-EZER (ESTE)</v>
          </cell>
          <cell r="B2103"/>
          <cell r="C2103"/>
          <cell r="D2103">
            <v>4</v>
          </cell>
          <cell r="E2103"/>
          <cell r="F2103"/>
          <cell r="G2103"/>
          <cell r="H2103"/>
          <cell r="I2103"/>
          <cell r="J2103"/>
          <cell r="K2103"/>
          <cell r="L2103"/>
          <cell r="M2103"/>
          <cell r="N2103"/>
          <cell r="O2103"/>
        </row>
        <row r="2104">
          <cell r="A2104" t="str">
            <v>738- IG MINISTERIO DIOS CON NOSOTROS EMANUEL</v>
          </cell>
          <cell r="B2104"/>
          <cell r="C2104"/>
          <cell r="D2104">
            <v>14.5</v>
          </cell>
          <cell r="E2104"/>
          <cell r="F2104"/>
          <cell r="G2104"/>
          <cell r="H2104"/>
          <cell r="I2104"/>
          <cell r="J2104"/>
          <cell r="K2104"/>
          <cell r="L2104"/>
          <cell r="M2104"/>
          <cell r="N2104"/>
          <cell r="O2104"/>
        </row>
        <row r="2105">
          <cell r="A2105" t="str">
            <v>733-IG LA ORACION FUERTE AL ESPIRITU SANTO</v>
          </cell>
          <cell r="B2105"/>
          <cell r="C2105">
            <v>9</v>
          </cell>
          <cell r="D2105"/>
          <cell r="E2105"/>
          <cell r="F2105"/>
          <cell r="G2105"/>
          <cell r="H2105"/>
          <cell r="I2105"/>
          <cell r="J2105"/>
          <cell r="K2105"/>
          <cell r="L2105"/>
          <cell r="M2105"/>
          <cell r="N2105"/>
          <cell r="O2105"/>
        </row>
        <row r="2106">
          <cell r="A2106" t="str">
            <v>745-FU CASA DE MISERICORDIA</v>
          </cell>
          <cell r="B2106"/>
          <cell r="C2106">
            <v>2</v>
          </cell>
          <cell r="D2106"/>
          <cell r="E2106"/>
          <cell r="F2106"/>
          <cell r="G2106"/>
          <cell r="H2106"/>
          <cell r="I2106"/>
          <cell r="J2106"/>
          <cell r="K2106"/>
          <cell r="L2106"/>
          <cell r="M2106"/>
          <cell r="N2106"/>
          <cell r="O2106"/>
        </row>
        <row r="2107">
          <cell r="A2107" t="str">
            <v>741-IG BUNKER DE ESPERANZA</v>
          </cell>
          <cell r="B2107"/>
          <cell r="C2107"/>
          <cell r="D2107">
            <v>1</v>
          </cell>
          <cell r="E2107"/>
          <cell r="F2107"/>
          <cell r="G2107"/>
          <cell r="H2107"/>
          <cell r="I2107"/>
          <cell r="J2107"/>
          <cell r="K2107"/>
          <cell r="L2107"/>
          <cell r="M2107"/>
          <cell r="N2107"/>
          <cell r="O2107"/>
        </row>
        <row r="2108">
          <cell r="A2108" t="str">
            <v>760-FU AYUDAME A VIVIR</v>
          </cell>
          <cell r="B2108"/>
          <cell r="C2108"/>
          <cell r="D2108"/>
          <cell r="E2108"/>
          <cell r="F2108"/>
          <cell r="G2108"/>
          <cell r="H2108"/>
          <cell r="I2108">
            <v>15</v>
          </cell>
          <cell r="J2108"/>
          <cell r="K2108"/>
          <cell r="L2108"/>
          <cell r="M2108"/>
          <cell r="N2108"/>
          <cell r="O2108"/>
        </row>
        <row r="2109">
          <cell r="A2109" t="str">
            <v>758-FU RESTAURANDO EL PRIMER AMOR</v>
          </cell>
          <cell r="B2109"/>
          <cell r="C2109"/>
          <cell r="D2109"/>
          <cell r="E2109"/>
          <cell r="F2109"/>
          <cell r="G2109"/>
          <cell r="H2109"/>
          <cell r="I2109">
            <v>2</v>
          </cell>
          <cell r="J2109"/>
          <cell r="K2109"/>
          <cell r="L2109"/>
          <cell r="M2109"/>
          <cell r="N2109"/>
          <cell r="O2109"/>
        </row>
        <row r="2110">
          <cell r="A2110" t="str">
            <v>785-FU FUNDACION GOTAS DE ESPERANZA</v>
          </cell>
          <cell r="B2110"/>
          <cell r="C2110"/>
          <cell r="D2110"/>
          <cell r="E2110">
            <v>27</v>
          </cell>
          <cell r="F2110"/>
          <cell r="G2110"/>
          <cell r="H2110"/>
          <cell r="I2110"/>
          <cell r="J2110"/>
          <cell r="K2110"/>
          <cell r="L2110"/>
          <cell r="M2110"/>
          <cell r="N2110"/>
          <cell r="O2110"/>
        </row>
        <row r="2111">
          <cell r="A2111" t="str">
            <v>394-IG IGLESIA ESCUADRONES DEL EJERCITO DE DIOS (CENTRO2)</v>
          </cell>
          <cell r="B2111"/>
          <cell r="C2111">
            <v>12.5</v>
          </cell>
          <cell r="D2111"/>
          <cell r="E2111"/>
          <cell r="F2111"/>
          <cell r="G2111"/>
          <cell r="H2111"/>
          <cell r="I2111"/>
          <cell r="J2111"/>
          <cell r="K2111"/>
          <cell r="L2111"/>
          <cell r="M2111"/>
          <cell r="N2111"/>
          <cell r="O2111"/>
        </row>
        <row r="2112">
          <cell r="A2112" t="str">
            <v>138 OR - HERMANAS FRANCISCANAS DE MARIA INMACULADALA</v>
          </cell>
          <cell r="B2112"/>
          <cell r="C2112"/>
          <cell r="D2112"/>
          <cell r="E2112"/>
          <cell r="F2112"/>
          <cell r="G2112"/>
          <cell r="H2112">
            <v>2</v>
          </cell>
          <cell r="I2112"/>
          <cell r="J2112"/>
          <cell r="K2112"/>
          <cell r="L2112"/>
          <cell r="M2112"/>
          <cell r="N2112"/>
          <cell r="O2112"/>
        </row>
        <row r="2113">
          <cell r="A2113" t="str">
            <v>661 - FU FUNDACION MAS INTEGRADOS (DARIEN)</v>
          </cell>
          <cell r="B2113"/>
          <cell r="C2113"/>
          <cell r="D2113"/>
          <cell r="E2113"/>
          <cell r="F2113">
            <v>7.5</v>
          </cell>
          <cell r="G2113"/>
          <cell r="H2113"/>
          <cell r="I2113"/>
          <cell r="J2113"/>
          <cell r="K2113"/>
          <cell r="L2113"/>
          <cell r="M2113"/>
          <cell r="N2113"/>
          <cell r="O2113"/>
        </row>
        <row r="2114">
          <cell r="A2114" t="str">
            <v>802-IG IGLESIA INTERNACIONAL DEL EVANGELIO CUADRANGULAR DE PANAMÁ</v>
          </cell>
          <cell r="B2114"/>
          <cell r="C2114">
            <v>5</v>
          </cell>
          <cell r="D2114"/>
          <cell r="E2114"/>
          <cell r="F2114"/>
          <cell r="G2114"/>
          <cell r="H2114"/>
          <cell r="I2114"/>
          <cell r="J2114"/>
          <cell r="K2114"/>
          <cell r="L2114"/>
          <cell r="M2114"/>
          <cell r="N2114"/>
          <cell r="O2114"/>
        </row>
        <row r="2115">
          <cell r="A2115" t="str">
            <v>814-IG Templo Morada Santa</v>
          </cell>
          <cell r="B2115"/>
          <cell r="C2115"/>
          <cell r="D2115"/>
          <cell r="E2115"/>
          <cell r="F2115">
            <v>9</v>
          </cell>
          <cell r="G2115"/>
          <cell r="H2115"/>
          <cell r="I2115"/>
          <cell r="J2115"/>
          <cell r="K2115"/>
          <cell r="L2115"/>
          <cell r="M2115"/>
          <cell r="N2115"/>
          <cell r="O2115"/>
        </row>
        <row r="2116">
          <cell r="A2116" t="str">
            <v>496-AS CUERPO DE VOLUNTARIAS DEL HOSPITAL DEL NIÑO</v>
          </cell>
          <cell r="B2116"/>
          <cell r="C2116">
            <v>17</v>
          </cell>
          <cell r="D2116"/>
          <cell r="E2116"/>
          <cell r="F2116"/>
          <cell r="G2116"/>
          <cell r="H2116"/>
          <cell r="I2116"/>
          <cell r="J2116"/>
          <cell r="K2116"/>
          <cell r="L2116"/>
          <cell r="M2116"/>
          <cell r="N2116"/>
          <cell r="O2116"/>
        </row>
        <row r="2117">
          <cell r="A2117" t="str">
            <v>SUPER CARNES</v>
          </cell>
          <cell r="B2117">
            <v>912.5</v>
          </cell>
          <cell r="C2117"/>
          <cell r="D2117">
            <v>380</v>
          </cell>
          <cell r="E2117"/>
          <cell r="F2117"/>
          <cell r="G2117"/>
          <cell r="H2117"/>
          <cell r="I2117"/>
          <cell r="J2117">
            <v>1100</v>
          </cell>
          <cell r="K2117">
            <v>820</v>
          </cell>
          <cell r="L2117">
            <v>235</v>
          </cell>
          <cell r="M2117">
            <v>290</v>
          </cell>
          <cell r="N2117"/>
          <cell r="O2117">
            <v>20</v>
          </cell>
        </row>
        <row r="2118">
          <cell r="A2118" t="str">
            <v>111 FU - FUNDACIÓN NUESTRA SEÑORA DEL CAMINO</v>
          </cell>
          <cell r="B2118"/>
          <cell r="C2118"/>
          <cell r="D2118"/>
          <cell r="E2118"/>
          <cell r="F2118"/>
          <cell r="G2118"/>
          <cell r="H2118"/>
          <cell r="I2118"/>
          <cell r="J2118">
            <v>110</v>
          </cell>
          <cell r="K2118"/>
          <cell r="L2118"/>
          <cell r="M2118"/>
          <cell r="N2118"/>
          <cell r="O2118"/>
        </row>
        <row r="2119">
          <cell r="A2119" t="str">
            <v>643 - IG TEMPLO PUERTA DEL CIELO (CHIRIQUI)</v>
          </cell>
          <cell r="B2119"/>
          <cell r="C2119"/>
          <cell r="D2119"/>
          <cell r="E2119"/>
          <cell r="F2119"/>
          <cell r="G2119"/>
          <cell r="H2119"/>
          <cell r="I2119"/>
          <cell r="J2119">
            <v>20</v>
          </cell>
          <cell r="K2119"/>
          <cell r="L2119"/>
          <cell r="M2119"/>
          <cell r="N2119"/>
          <cell r="O2119"/>
        </row>
        <row r="2120">
          <cell r="A2120" t="str">
            <v>284 - IG MINISTERIO PAN DE VIDA</v>
          </cell>
          <cell r="B2120"/>
          <cell r="C2120"/>
          <cell r="D2120"/>
          <cell r="E2120"/>
          <cell r="F2120"/>
          <cell r="G2120"/>
          <cell r="H2120"/>
          <cell r="I2120"/>
          <cell r="J2120">
            <v>90</v>
          </cell>
          <cell r="K2120"/>
          <cell r="L2120"/>
          <cell r="M2120"/>
          <cell r="N2120"/>
          <cell r="O2120"/>
        </row>
        <row r="2121">
          <cell r="A2121" t="str">
            <v>668 - FU FUNDACION CRISTIANA LA FE EN MARCHA</v>
          </cell>
          <cell r="B2121"/>
          <cell r="C2121"/>
          <cell r="D2121"/>
          <cell r="E2121"/>
          <cell r="F2121"/>
          <cell r="G2121"/>
          <cell r="H2121"/>
          <cell r="I2121"/>
          <cell r="J2121">
            <v>110</v>
          </cell>
          <cell r="K2121"/>
          <cell r="L2121"/>
          <cell r="M2121"/>
          <cell r="N2121"/>
          <cell r="O2121"/>
        </row>
        <row r="2122">
          <cell r="A2122" t="str">
            <v>300 ED - BENEFICIARIOS</v>
          </cell>
          <cell r="B2122"/>
          <cell r="C2122"/>
          <cell r="D2122">
            <v>380</v>
          </cell>
          <cell r="E2122"/>
          <cell r="F2122"/>
          <cell r="G2122"/>
          <cell r="H2122"/>
          <cell r="I2122"/>
          <cell r="J2122"/>
          <cell r="K2122"/>
          <cell r="L2122"/>
          <cell r="M2122"/>
          <cell r="N2122"/>
          <cell r="O2122"/>
        </row>
        <row r="2123">
          <cell r="A2123" t="str">
            <v>94 OR - HOGAR SAN FRANCISCO DE ASÍS</v>
          </cell>
          <cell r="B2123"/>
          <cell r="C2123"/>
          <cell r="D2123"/>
          <cell r="E2123"/>
          <cell r="F2123"/>
          <cell r="G2123"/>
          <cell r="H2123"/>
          <cell r="I2123"/>
          <cell r="J2123">
            <v>90</v>
          </cell>
          <cell r="K2123"/>
          <cell r="L2123"/>
          <cell r="M2123"/>
          <cell r="N2123"/>
          <cell r="O2123"/>
        </row>
        <row r="2124">
          <cell r="A2124" t="str">
            <v>671 - PA DIOCESIS DE PENONOME (COCLE)</v>
          </cell>
          <cell r="B2124"/>
          <cell r="C2124"/>
          <cell r="D2124"/>
          <cell r="E2124"/>
          <cell r="F2124"/>
          <cell r="G2124"/>
          <cell r="H2124"/>
          <cell r="I2124"/>
          <cell r="J2124"/>
          <cell r="K2124">
            <v>10</v>
          </cell>
          <cell r="L2124"/>
          <cell r="M2124"/>
          <cell r="N2124"/>
          <cell r="O2124"/>
        </row>
        <row r="2125">
          <cell r="A2125" t="str">
            <v>Retiro de Merma</v>
          </cell>
          <cell r="B2125">
            <v>902.5</v>
          </cell>
          <cell r="C2125"/>
          <cell r="D2125"/>
          <cell r="E2125"/>
          <cell r="F2125"/>
          <cell r="G2125"/>
          <cell r="H2125"/>
          <cell r="I2125"/>
          <cell r="J2125"/>
          <cell r="K2125"/>
          <cell r="L2125"/>
          <cell r="M2125"/>
          <cell r="N2125"/>
          <cell r="O2125"/>
        </row>
        <row r="2126">
          <cell r="A2126" t="str">
            <v>364-IG COMEDOR SHEKINA</v>
          </cell>
          <cell r="B2126"/>
          <cell r="C2126"/>
          <cell r="D2126"/>
          <cell r="E2126"/>
          <cell r="F2126"/>
          <cell r="G2126"/>
          <cell r="H2126"/>
          <cell r="I2126"/>
          <cell r="J2126"/>
          <cell r="K2126">
            <v>310</v>
          </cell>
          <cell r="L2126"/>
          <cell r="M2126"/>
          <cell r="N2126"/>
          <cell r="O2126"/>
        </row>
        <row r="2127">
          <cell r="A2127" t="str">
            <v>263 IG TABERNÁCULO DE DIOS DE SAN MIGUEL DEL EXQUISITO</v>
          </cell>
          <cell r="B2127"/>
          <cell r="C2127"/>
          <cell r="D2127"/>
          <cell r="E2127"/>
          <cell r="F2127"/>
          <cell r="G2127"/>
          <cell r="H2127"/>
          <cell r="I2127"/>
          <cell r="J2127">
            <v>50</v>
          </cell>
          <cell r="K2127"/>
          <cell r="L2127"/>
          <cell r="M2127"/>
          <cell r="N2127"/>
          <cell r="O2127"/>
        </row>
        <row r="2128">
          <cell r="A2128" t="str">
            <v>710 - AS CLUB DE LEONES DE SONA</v>
          </cell>
          <cell r="B2128"/>
          <cell r="C2128"/>
          <cell r="D2128"/>
          <cell r="E2128"/>
          <cell r="F2128"/>
          <cell r="G2128"/>
          <cell r="H2128"/>
          <cell r="I2128"/>
          <cell r="J2128"/>
          <cell r="K2128"/>
          <cell r="L2128"/>
          <cell r="M2128">
            <v>120</v>
          </cell>
          <cell r="N2128"/>
          <cell r="O2128"/>
        </row>
        <row r="2129">
          <cell r="A2129" t="str">
            <v>730-FU SOLIDARIDAD Y DESARROLLO DE PANAMA (VERAGUAS)</v>
          </cell>
          <cell r="B2129"/>
          <cell r="C2129"/>
          <cell r="D2129"/>
          <cell r="E2129"/>
          <cell r="F2129"/>
          <cell r="G2129"/>
          <cell r="H2129"/>
          <cell r="I2129"/>
          <cell r="J2129"/>
          <cell r="K2129"/>
          <cell r="L2129"/>
          <cell r="M2129">
            <v>50</v>
          </cell>
          <cell r="N2129"/>
          <cell r="O2129"/>
        </row>
        <row r="2130">
          <cell r="A2130" t="str">
            <v>749-IG Ministerio Tabernáculo de Santidad Internación (Guararé)</v>
          </cell>
          <cell r="B2130"/>
          <cell r="C2130"/>
          <cell r="D2130"/>
          <cell r="E2130"/>
          <cell r="F2130"/>
          <cell r="G2130"/>
          <cell r="H2130"/>
          <cell r="I2130"/>
          <cell r="J2130"/>
          <cell r="K2130"/>
          <cell r="L2130"/>
          <cell r="M2130">
            <v>60</v>
          </cell>
          <cell r="N2130"/>
          <cell r="O2130"/>
        </row>
        <row r="2131">
          <cell r="A2131" t="str">
            <v>750-IG MTSI Santiago</v>
          </cell>
          <cell r="B2131"/>
          <cell r="C2131"/>
          <cell r="D2131"/>
          <cell r="E2131"/>
          <cell r="F2131"/>
          <cell r="G2131"/>
          <cell r="H2131"/>
          <cell r="I2131"/>
          <cell r="J2131"/>
          <cell r="K2131"/>
          <cell r="L2131"/>
          <cell r="M2131">
            <v>60</v>
          </cell>
          <cell r="N2131"/>
          <cell r="O2131"/>
        </row>
        <row r="2132">
          <cell r="A2132" t="str">
            <v>613-FU FUNDACION INMARE</v>
          </cell>
          <cell r="B2132"/>
          <cell r="C2132"/>
          <cell r="D2132"/>
          <cell r="E2132"/>
          <cell r="F2132"/>
          <cell r="G2132"/>
          <cell r="H2132"/>
          <cell r="I2132"/>
          <cell r="J2132"/>
          <cell r="K2132">
            <v>400</v>
          </cell>
          <cell r="L2132"/>
          <cell r="M2132"/>
          <cell r="N2132"/>
          <cell r="O2132"/>
        </row>
        <row r="2133">
          <cell r="A2133" t="str">
            <v>751-AS Grupo Unido Llevando Sonrisa Y Esperanza</v>
          </cell>
          <cell r="B2133"/>
          <cell r="C2133"/>
          <cell r="D2133"/>
          <cell r="E2133"/>
          <cell r="F2133"/>
          <cell r="G2133"/>
          <cell r="H2133"/>
          <cell r="I2133"/>
          <cell r="J2133"/>
          <cell r="K2133">
            <v>20</v>
          </cell>
          <cell r="L2133"/>
          <cell r="M2133"/>
          <cell r="N2133"/>
          <cell r="O2133"/>
        </row>
        <row r="2134">
          <cell r="A2134" t="str">
            <v>765-IG EXPANSION MISIONERA RIOS DE AGUA VIVA</v>
          </cell>
          <cell r="B2134"/>
          <cell r="C2134"/>
          <cell r="D2134"/>
          <cell r="E2134"/>
          <cell r="F2134"/>
          <cell r="G2134"/>
          <cell r="H2134"/>
          <cell r="I2134"/>
          <cell r="J2134"/>
          <cell r="K2134"/>
          <cell r="L2134">
            <v>110</v>
          </cell>
          <cell r="M2134"/>
          <cell r="N2134"/>
          <cell r="O2134"/>
        </row>
        <row r="2135">
          <cell r="A2135" t="str">
            <v>766-IG MINISTERIO BET-EL</v>
          </cell>
          <cell r="B2135"/>
          <cell r="C2135"/>
          <cell r="D2135"/>
          <cell r="E2135"/>
          <cell r="F2135"/>
          <cell r="G2135"/>
          <cell r="H2135"/>
          <cell r="I2135"/>
          <cell r="J2135"/>
          <cell r="K2135"/>
          <cell r="L2135"/>
          <cell r="M2135"/>
          <cell r="N2135"/>
          <cell r="O2135">
            <v>20</v>
          </cell>
        </row>
        <row r="2136">
          <cell r="A2136" t="str">
            <v>753-AS CLUB ACTIVO 20-30 DE CHITRE</v>
          </cell>
          <cell r="B2136"/>
          <cell r="C2136"/>
          <cell r="D2136"/>
          <cell r="E2136"/>
          <cell r="F2136"/>
          <cell r="G2136"/>
          <cell r="H2136"/>
          <cell r="I2136"/>
          <cell r="J2136"/>
          <cell r="K2136"/>
          <cell r="L2136">
            <v>95</v>
          </cell>
          <cell r="M2136"/>
          <cell r="N2136"/>
          <cell r="O2136"/>
        </row>
        <row r="2137">
          <cell r="A2137" t="str">
            <v>8 PA - PARROQUIA SAN JUAN DE MACARACAS</v>
          </cell>
          <cell r="B2137">
            <v>10</v>
          </cell>
          <cell r="C2137"/>
          <cell r="D2137"/>
          <cell r="E2137"/>
          <cell r="F2137"/>
          <cell r="G2137"/>
          <cell r="H2137"/>
          <cell r="I2137"/>
          <cell r="J2137"/>
          <cell r="K2137"/>
          <cell r="L2137"/>
          <cell r="M2137"/>
          <cell r="N2137"/>
          <cell r="O2137"/>
        </row>
        <row r="2138">
          <cell r="A2138" t="str">
            <v>240 PA - PARROQUIA SAN JOSÉ - PESE</v>
          </cell>
          <cell r="B2138"/>
          <cell r="C2138"/>
          <cell r="D2138"/>
          <cell r="E2138"/>
          <cell r="F2138"/>
          <cell r="G2138"/>
          <cell r="H2138"/>
          <cell r="I2138"/>
          <cell r="J2138"/>
          <cell r="K2138"/>
          <cell r="L2138">
            <v>10</v>
          </cell>
          <cell r="M2138"/>
          <cell r="N2138"/>
          <cell r="O2138"/>
        </row>
        <row r="2139">
          <cell r="A2139" t="str">
            <v>756-FU Fundación Nuevas Rutas</v>
          </cell>
          <cell r="B2139"/>
          <cell r="C2139"/>
          <cell r="D2139"/>
          <cell r="E2139"/>
          <cell r="F2139"/>
          <cell r="G2139"/>
          <cell r="H2139"/>
          <cell r="I2139"/>
          <cell r="J2139">
            <v>580</v>
          </cell>
          <cell r="K2139"/>
          <cell r="L2139"/>
          <cell r="M2139"/>
          <cell r="N2139"/>
          <cell r="O2139"/>
        </row>
        <row r="2140">
          <cell r="A2140" t="str">
            <v>828-IG IDN LAS TINAJAS</v>
          </cell>
          <cell r="B2140"/>
          <cell r="C2140"/>
          <cell r="D2140"/>
          <cell r="E2140"/>
          <cell r="F2140"/>
          <cell r="G2140"/>
          <cell r="H2140"/>
          <cell r="I2140"/>
          <cell r="J2140">
            <v>50</v>
          </cell>
          <cell r="K2140"/>
          <cell r="L2140"/>
          <cell r="M2140"/>
          <cell r="N2140"/>
          <cell r="O2140"/>
        </row>
        <row r="2141">
          <cell r="A2141" t="str">
            <v>813-IG Comedor Centro De Esperanza Elohim</v>
          </cell>
          <cell r="B2141"/>
          <cell r="C2141"/>
          <cell r="D2141"/>
          <cell r="E2141"/>
          <cell r="F2141"/>
          <cell r="G2141"/>
          <cell r="H2141"/>
          <cell r="I2141"/>
          <cell r="J2141"/>
          <cell r="K2141">
            <v>40</v>
          </cell>
          <cell r="L2141"/>
          <cell r="M2141"/>
          <cell r="N2141"/>
          <cell r="O2141"/>
        </row>
        <row r="2142">
          <cell r="A2142" t="str">
            <v>770-IG CENTRO CRISTIANO NUEVA VIDA</v>
          </cell>
          <cell r="B2142"/>
          <cell r="C2142"/>
          <cell r="D2142"/>
          <cell r="E2142"/>
          <cell r="F2142"/>
          <cell r="G2142"/>
          <cell r="H2142"/>
          <cell r="I2142"/>
          <cell r="J2142"/>
          <cell r="K2142">
            <v>40</v>
          </cell>
          <cell r="L2142"/>
          <cell r="M2142"/>
          <cell r="N2142"/>
          <cell r="O2142"/>
        </row>
        <row r="2143">
          <cell r="A2143" t="str">
            <v>731-FU CENTRO DE NIÑOS DOWN</v>
          </cell>
          <cell r="B2143"/>
          <cell r="C2143"/>
          <cell r="D2143"/>
          <cell r="E2143"/>
          <cell r="F2143"/>
          <cell r="G2143"/>
          <cell r="H2143"/>
          <cell r="I2143"/>
          <cell r="J2143"/>
          <cell r="K2143"/>
          <cell r="L2143">
            <v>20</v>
          </cell>
          <cell r="M2143"/>
          <cell r="N2143"/>
          <cell r="O2143"/>
        </row>
        <row r="2144">
          <cell r="A2144" t="str">
            <v>INDUSTRIAS LACTEAS, S.A / Estrella Azul</v>
          </cell>
          <cell r="B2144"/>
          <cell r="C2144">
            <v>102</v>
          </cell>
          <cell r="D2144">
            <v>402</v>
          </cell>
          <cell r="E2144">
            <v>160</v>
          </cell>
          <cell r="F2144"/>
          <cell r="G2144">
            <v>110</v>
          </cell>
          <cell r="H2144">
            <v>114</v>
          </cell>
          <cell r="I2144">
            <v>20</v>
          </cell>
          <cell r="J2144"/>
          <cell r="K2144"/>
          <cell r="L2144"/>
          <cell r="M2144"/>
          <cell r="N2144"/>
          <cell r="O2144"/>
        </row>
        <row r="2145">
          <cell r="A2145" t="str">
            <v>209 IG - TEMPLO MISIONERO CRISTO TE LLAMA</v>
          </cell>
          <cell r="B2145"/>
          <cell r="C2145"/>
          <cell r="D2145">
            <v>28</v>
          </cell>
          <cell r="E2145"/>
          <cell r="F2145"/>
          <cell r="G2145"/>
          <cell r="H2145"/>
          <cell r="I2145"/>
          <cell r="J2145"/>
          <cell r="K2145"/>
          <cell r="L2145"/>
          <cell r="M2145"/>
          <cell r="N2145"/>
          <cell r="O2145"/>
        </row>
        <row r="2146">
          <cell r="A2146" t="str">
            <v>104 AS - ASOCIACIÓN HOGAR FELICIDAD</v>
          </cell>
          <cell r="B2146"/>
          <cell r="C2146"/>
          <cell r="D2146"/>
          <cell r="E2146">
            <v>60</v>
          </cell>
          <cell r="F2146"/>
          <cell r="G2146"/>
          <cell r="H2146"/>
          <cell r="I2146"/>
          <cell r="J2146"/>
          <cell r="K2146"/>
          <cell r="L2146"/>
          <cell r="M2146"/>
          <cell r="N2146"/>
          <cell r="O2146"/>
        </row>
        <row r="2147">
          <cell r="A2147" t="str">
            <v>178 IG - TEMPLO ZURIEL EL REFUGIO</v>
          </cell>
          <cell r="B2147"/>
          <cell r="C2147"/>
          <cell r="D2147"/>
          <cell r="E2147"/>
          <cell r="F2147"/>
          <cell r="G2147">
            <v>100</v>
          </cell>
          <cell r="H2147"/>
          <cell r="I2147"/>
          <cell r="J2147"/>
          <cell r="K2147"/>
          <cell r="L2147"/>
          <cell r="M2147"/>
          <cell r="N2147"/>
          <cell r="O2147"/>
        </row>
        <row r="2148">
          <cell r="A2148" t="str">
            <v>636- FU JAH - LIVE (JAHL) - COLON</v>
          </cell>
          <cell r="B2148"/>
          <cell r="C2148"/>
          <cell r="D2148"/>
          <cell r="E2148"/>
          <cell r="F2148"/>
          <cell r="G2148"/>
          <cell r="H2148">
            <v>64</v>
          </cell>
          <cell r="I2148"/>
          <cell r="J2148"/>
          <cell r="K2148"/>
          <cell r="L2148"/>
          <cell r="M2148"/>
          <cell r="N2148"/>
          <cell r="O2148"/>
        </row>
        <row r="2149">
          <cell r="A2149" t="str">
            <v>365-IG COMEDOR HEFZIBA</v>
          </cell>
          <cell r="B2149"/>
          <cell r="C2149"/>
          <cell r="D2149"/>
          <cell r="E2149"/>
          <cell r="F2149"/>
          <cell r="G2149"/>
          <cell r="H2149"/>
          <cell r="I2149">
            <v>20</v>
          </cell>
          <cell r="J2149"/>
          <cell r="K2149"/>
          <cell r="L2149"/>
          <cell r="M2149"/>
          <cell r="N2149"/>
          <cell r="O2149"/>
        </row>
        <row r="2150">
          <cell r="A2150" t="str">
            <v>635 TEMPLO ADULAM</v>
          </cell>
          <cell r="B2150"/>
          <cell r="C2150"/>
          <cell r="D2150"/>
          <cell r="E2150">
            <v>20</v>
          </cell>
          <cell r="F2150"/>
          <cell r="G2150"/>
          <cell r="H2150"/>
          <cell r="I2150"/>
          <cell r="J2150"/>
          <cell r="K2150"/>
          <cell r="L2150"/>
          <cell r="M2150"/>
          <cell r="N2150"/>
          <cell r="O2150"/>
        </row>
        <row r="2151">
          <cell r="A2151" t="str">
            <v>218 ED - LOS PREFERIDOS DEL SEÑOR (CENTRO2)</v>
          </cell>
          <cell r="B2151"/>
          <cell r="C2151">
            <v>50</v>
          </cell>
          <cell r="D2151"/>
          <cell r="E2151"/>
          <cell r="F2151"/>
          <cell r="G2151"/>
          <cell r="H2151"/>
          <cell r="I2151"/>
          <cell r="J2151"/>
          <cell r="K2151"/>
          <cell r="L2151"/>
          <cell r="M2151"/>
          <cell r="N2151"/>
          <cell r="O2151"/>
        </row>
        <row r="2152">
          <cell r="A2152" t="str">
            <v>187 IG - IGLESIA DE DIOS DE LA PROFECÍA</v>
          </cell>
          <cell r="B2152"/>
          <cell r="C2152"/>
          <cell r="D2152">
            <v>76</v>
          </cell>
          <cell r="E2152"/>
          <cell r="F2152"/>
          <cell r="G2152"/>
          <cell r="H2152"/>
          <cell r="I2152"/>
          <cell r="J2152"/>
          <cell r="K2152"/>
          <cell r="L2152"/>
          <cell r="M2152"/>
          <cell r="N2152"/>
          <cell r="O2152"/>
        </row>
        <row r="2153">
          <cell r="A2153" t="str">
            <v>321-IG IGLESIA DIOS ES MI PROVEEDOR Y SUSTENTO</v>
          </cell>
          <cell r="B2153"/>
          <cell r="C2153"/>
          <cell r="D2153">
            <v>200</v>
          </cell>
          <cell r="E2153"/>
          <cell r="F2153"/>
          <cell r="G2153"/>
          <cell r="H2153"/>
          <cell r="I2153"/>
          <cell r="J2153"/>
          <cell r="K2153"/>
          <cell r="L2153"/>
          <cell r="M2153"/>
          <cell r="N2153"/>
          <cell r="O2153"/>
        </row>
        <row r="2154">
          <cell r="A2154" t="str">
            <v>694 - FU MINISTERIO BERAKHAH INTERNACIONAL TOCUMEN #2</v>
          </cell>
          <cell r="B2154"/>
          <cell r="C2154"/>
          <cell r="D2154">
            <v>4</v>
          </cell>
          <cell r="E2154"/>
          <cell r="F2154"/>
          <cell r="G2154"/>
          <cell r="H2154"/>
          <cell r="I2154"/>
          <cell r="J2154"/>
          <cell r="K2154"/>
          <cell r="L2154"/>
          <cell r="M2154"/>
          <cell r="N2154"/>
          <cell r="O2154"/>
        </row>
        <row r="2155">
          <cell r="A2155" t="str">
            <v>366-FU CENTRO MISIONERO EL SHADAI (ESTE)</v>
          </cell>
          <cell r="B2155"/>
          <cell r="C2155"/>
          <cell r="D2155">
            <v>24</v>
          </cell>
          <cell r="E2155"/>
          <cell r="F2155"/>
          <cell r="G2155"/>
          <cell r="H2155"/>
          <cell r="I2155"/>
          <cell r="J2155"/>
          <cell r="K2155"/>
          <cell r="L2155"/>
          <cell r="M2155"/>
          <cell r="N2155"/>
          <cell r="O2155"/>
        </row>
        <row r="2156">
          <cell r="A2156" t="str">
            <v>183 ED - BELÉN CASA DE PAN (ESTE)</v>
          </cell>
          <cell r="B2156"/>
          <cell r="C2156"/>
          <cell r="D2156">
            <v>20</v>
          </cell>
          <cell r="E2156"/>
          <cell r="F2156"/>
          <cell r="G2156"/>
          <cell r="H2156"/>
          <cell r="I2156"/>
          <cell r="J2156"/>
          <cell r="K2156"/>
          <cell r="L2156"/>
          <cell r="M2156"/>
          <cell r="N2156"/>
          <cell r="O2156"/>
        </row>
        <row r="2157">
          <cell r="A2157" t="str">
            <v>487-FU FUNDACION CASA AVE MARIA</v>
          </cell>
          <cell r="B2157"/>
          <cell r="C2157"/>
          <cell r="D2157"/>
          <cell r="E2157">
            <v>40</v>
          </cell>
          <cell r="F2157"/>
          <cell r="G2157"/>
          <cell r="H2157"/>
          <cell r="I2157"/>
          <cell r="J2157"/>
          <cell r="K2157"/>
          <cell r="L2157"/>
          <cell r="M2157"/>
          <cell r="N2157"/>
          <cell r="O2157"/>
        </row>
        <row r="2158">
          <cell r="A2158" t="str">
            <v>379-FU Fundacion Ministerio Apostolico Manantial de Vida</v>
          </cell>
          <cell r="B2158"/>
          <cell r="C2158"/>
          <cell r="D2158"/>
          <cell r="E2158"/>
          <cell r="F2158"/>
          <cell r="G2158"/>
          <cell r="H2158">
            <v>50</v>
          </cell>
          <cell r="I2158"/>
          <cell r="J2158"/>
          <cell r="K2158"/>
          <cell r="L2158"/>
          <cell r="M2158"/>
          <cell r="N2158"/>
          <cell r="O2158"/>
        </row>
        <row r="2159">
          <cell r="A2159" t="str">
            <v>630-IG MIN.INTL.DE CRISTO PAZ DE DIOS</v>
          </cell>
          <cell r="B2159"/>
          <cell r="C2159">
            <v>24</v>
          </cell>
          <cell r="D2159"/>
          <cell r="E2159"/>
          <cell r="F2159"/>
          <cell r="G2159"/>
          <cell r="H2159"/>
          <cell r="I2159"/>
          <cell r="J2159"/>
          <cell r="K2159"/>
          <cell r="L2159"/>
          <cell r="M2159"/>
          <cell r="N2159"/>
          <cell r="O2159"/>
        </row>
        <row r="2160">
          <cell r="A2160" t="str">
            <v>397-FU FUNDACION SHALOM PANAMA</v>
          </cell>
          <cell r="B2160"/>
          <cell r="C2160"/>
          <cell r="D2160"/>
          <cell r="E2160">
            <v>40</v>
          </cell>
          <cell r="F2160"/>
          <cell r="G2160"/>
          <cell r="H2160"/>
          <cell r="I2160"/>
          <cell r="J2160"/>
          <cell r="K2160"/>
          <cell r="L2160"/>
          <cell r="M2160"/>
          <cell r="N2160"/>
          <cell r="O2160"/>
        </row>
        <row r="2161">
          <cell r="A2161" t="str">
            <v>417-AS CLUB DE LEONES DE PEDREGAL (ESTE)</v>
          </cell>
          <cell r="B2161"/>
          <cell r="C2161"/>
          <cell r="D2161">
            <v>20</v>
          </cell>
          <cell r="E2161"/>
          <cell r="F2161"/>
          <cell r="G2161"/>
          <cell r="H2161"/>
          <cell r="I2161"/>
          <cell r="J2161"/>
          <cell r="K2161"/>
          <cell r="L2161"/>
          <cell r="M2161"/>
          <cell r="N2161"/>
          <cell r="O2161"/>
        </row>
        <row r="2162">
          <cell r="A2162" t="str">
            <v>672 - FU FUNDACION NUEVO PACTO POR LA NIÑEZ</v>
          </cell>
          <cell r="B2162"/>
          <cell r="C2162">
            <v>4</v>
          </cell>
          <cell r="D2162"/>
          <cell r="E2162"/>
          <cell r="F2162"/>
          <cell r="G2162"/>
          <cell r="H2162"/>
          <cell r="I2162"/>
          <cell r="J2162"/>
          <cell r="K2162"/>
          <cell r="L2162"/>
          <cell r="M2162"/>
          <cell r="N2162"/>
          <cell r="O2162"/>
        </row>
        <row r="2163">
          <cell r="A2163" t="str">
            <v>360-IG IGLESIA CRISTIANA CASA DE REUNION</v>
          </cell>
          <cell r="B2163"/>
          <cell r="C2163"/>
          <cell r="D2163"/>
          <cell r="E2163"/>
          <cell r="F2163"/>
          <cell r="G2163">
            <v>10</v>
          </cell>
          <cell r="H2163"/>
          <cell r="I2163"/>
          <cell r="J2163"/>
          <cell r="K2163"/>
          <cell r="L2163"/>
          <cell r="M2163"/>
          <cell r="N2163"/>
          <cell r="O2163"/>
        </row>
        <row r="2164">
          <cell r="A2164" t="str">
            <v>684 - FU FUNDACION CASA DEL REY JESUS (CENTRO 2)</v>
          </cell>
          <cell r="B2164"/>
          <cell r="C2164">
            <v>4</v>
          </cell>
          <cell r="D2164"/>
          <cell r="E2164"/>
          <cell r="F2164"/>
          <cell r="G2164"/>
          <cell r="H2164"/>
          <cell r="I2164"/>
          <cell r="J2164"/>
          <cell r="K2164"/>
          <cell r="L2164"/>
          <cell r="M2164"/>
          <cell r="N2164"/>
          <cell r="O2164"/>
        </row>
        <row r="2165">
          <cell r="A2165" t="str">
            <v>737- ASOCIACION CRISTIANA EBEN-EZER (ESTE)</v>
          </cell>
          <cell r="B2165"/>
          <cell r="C2165"/>
          <cell r="D2165">
            <v>30</v>
          </cell>
          <cell r="E2165"/>
          <cell r="F2165"/>
          <cell r="G2165"/>
          <cell r="H2165"/>
          <cell r="I2165"/>
          <cell r="J2165"/>
          <cell r="K2165"/>
          <cell r="L2165"/>
          <cell r="M2165"/>
          <cell r="N2165"/>
          <cell r="O2165"/>
        </row>
        <row r="2166">
          <cell r="A2166" t="str">
            <v>201 OR - MISIONERAS MADRE LAURA</v>
          </cell>
          <cell r="B2166"/>
          <cell r="C2166">
            <v>20</v>
          </cell>
          <cell r="D2166"/>
          <cell r="E2166"/>
          <cell r="F2166"/>
          <cell r="G2166"/>
          <cell r="H2166"/>
          <cell r="I2166"/>
          <cell r="J2166"/>
          <cell r="K2166"/>
          <cell r="L2166"/>
          <cell r="M2166"/>
          <cell r="N2166"/>
          <cell r="O2166"/>
        </row>
        <row r="2167">
          <cell r="A2167" t="str">
            <v>CORONADO ACL S.A. (LEUDO PANADERÍA)</v>
          </cell>
          <cell r="B2167"/>
          <cell r="C2167"/>
          <cell r="D2167"/>
          <cell r="E2167"/>
          <cell r="F2167"/>
          <cell r="G2167"/>
          <cell r="H2167">
            <v>30</v>
          </cell>
          <cell r="I2167"/>
          <cell r="J2167"/>
          <cell r="K2167"/>
          <cell r="L2167"/>
          <cell r="M2167"/>
          <cell r="N2167"/>
          <cell r="O2167"/>
        </row>
        <row r="2168">
          <cell r="A2168" t="str">
            <v>636- FU JAH - LIVE (JAHL) - COLON</v>
          </cell>
          <cell r="B2168"/>
          <cell r="C2168"/>
          <cell r="D2168"/>
          <cell r="E2168"/>
          <cell r="F2168"/>
          <cell r="G2168"/>
          <cell r="H2168">
            <v>30</v>
          </cell>
          <cell r="I2168"/>
          <cell r="J2168"/>
          <cell r="K2168"/>
          <cell r="L2168"/>
          <cell r="M2168"/>
          <cell r="N2168"/>
          <cell r="O2168"/>
        </row>
        <row r="2169">
          <cell r="A2169" t="str">
            <v>Delivery Hero Dmart Panamá S.A. (Pedidos Ya)</v>
          </cell>
          <cell r="B2169"/>
          <cell r="C2169">
            <v>37</v>
          </cell>
          <cell r="D2169">
            <v>114</v>
          </cell>
          <cell r="E2169">
            <v>25</v>
          </cell>
          <cell r="F2169"/>
          <cell r="G2169">
            <v>31</v>
          </cell>
          <cell r="H2169">
            <v>20</v>
          </cell>
          <cell r="I2169">
            <v>14</v>
          </cell>
          <cell r="J2169">
            <v>4</v>
          </cell>
          <cell r="K2169"/>
          <cell r="L2169"/>
          <cell r="M2169"/>
          <cell r="N2169"/>
          <cell r="O2169"/>
        </row>
        <row r="2170">
          <cell r="A2170" t="str">
            <v>178 IG - TEMPLO ZURIEL EL REFUGIO</v>
          </cell>
          <cell r="B2170"/>
          <cell r="C2170"/>
          <cell r="D2170"/>
          <cell r="E2170"/>
          <cell r="F2170"/>
          <cell r="G2170">
            <v>31</v>
          </cell>
          <cell r="H2170"/>
          <cell r="I2170"/>
          <cell r="J2170"/>
          <cell r="K2170"/>
          <cell r="L2170"/>
          <cell r="M2170"/>
          <cell r="N2170"/>
          <cell r="O2170"/>
        </row>
        <row r="2171">
          <cell r="A2171" t="str">
            <v>636- FU JAH - LIVE (JAHL) - COLON</v>
          </cell>
          <cell r="B2171"/>
          <cell r="C2171"/>
          <cell r="D2171"/>
          <cell r="E2171"/>
          <cell r="F2171"/>
          <cell r="G2171"/>
          <cell r="H2171">
            <v>2</v>
          </cell>
          <cell r="I2171"/>
          <cell r="J2171"/>
          <cell r="K2171"/>
          <cell r="L2171"/>
          <cell r="M2171"/>
          <cell r="N2171"/>
          <cell r="O2171"/>
        </row>
        <row r="2172">
          <cell r="A2172" t="str">
            <v>365-IG COMEDOR HEFZIBA</v>
          </cell>
          <cell r="B2172"/>
          <cell r="C2172"/>
          <cell r="D2172"/>
          <cell r="E2172"/>
          <cell r="F2172"/>
          <cell r="G2172"/>
          <cell r="H2172"/>
          <cell r="I2172">
            <v>8</v>
          </cell>
          <cell r="J2172"/>
          <cell r="K2172"/>
          <cell r="L2172"/>
          <cell r="M2172"/>
          <cell r="N2172"/>
          <cell r="O2172"/>
        </row>
        <row r="2173">
          <cell r="A2173" t="str">
            <v>635 TEMPLO ADULAM</v>
          </cell>
          <cell r="B2173"/>
          <cell r="C2173"/>
          <cell r="D2173"/>
          <cell r="E2173">
            <v>4</v>
          </cell>
          <cell r="F2173"/>
          <cell r="G2173"/>
          <cell r="H2173"/>
          <cell r="I2173"/>
          <cell r="J2173"/>
          <cell r="K2173"/>
          <cell r="L2173"/>
          <cell r="M2173"/>
          <cell r="N2173"/>
          <cell r="O2173"/>
        </row>
        <row r="2174">
          <cell r="A2174" t="str">
            <v>470-FU IGLESIA MONTE SANTO</v>
          </cell>
          <cell r="B2174"/>
          <cell r="C2174"/>
          <cell r="D2174">
            <v>48</v>
          </cell>
          <cell r="E2174"/>
          <cell r="F2174"/>
          <cell r="G2174"/>
          <cell r="H2174"/>
          <cell r="I2174"/>
          <cell r="J2174"/>
          <cell r="K2174"/>
          <cell r="L2174"/>
          <cell r="M2174"/>
          <cell r="N2174"/>
          <cell r="O2174"/>
        </row>
        <row r="2175">
          <cell r="A2175" t="str">
            <v>687 - FU FUNDACION ARCA DE JESUS</v>
          </cell>
          <cell r="B2175"/>
          <cell r="C2175"/>
          <cell r="D2175"/>
          <cell r="E2175">
            <v>4</v>
          </cell>
          <cell r="F2175"/>
          <cell r="G2175"/>
          <cell r="H2175"/>
          <cell r="I2175"/>
          <cell r="J2175"/>
          <cell r="K2175"/>
          <cell r="L2175"/>
          <cell r="M2175"/>
          <cell r="N2175"/>
          <cell r="O2175"/>
        </row>
        <row r="2176">
          <cell r="A2176" t="str">
            <v>218 ED - LOS PREFERIDOS DEL SEÑOR (CENTRO2)</v>
          </cell>
          <cell r="B2176"/>
          <cell r="C2176">
            <v>13</v>
          </cell>
          <cell r="D2176"/>
          <cell r="E2176"/>
          <cell r="F2176"/>
          <cell r="G2176"/>
          <cell r="H2176"/>
          <cell r="I2176"/>
          <cell r="J2176"/>
          <cell r="K2176"/>
          <cell r="L2176"/>
          <cell r="M2176"/>
          <cell r="N2176"/>
          <cell r="O2176"/>
        </row>
        <row r="2177">
          <cell r="A2177" t="str">
            <v>187 IG - IGLESIA DE DIOS DE LA PROFECÍA</v>
          </cell>
          <cell r="B2177"/>
          <cell r="C2177"/>
          <cell r="D2177">
            <v>4</v>
          </cell>
          <cell r="E2177"/>
          <cell r="F2177"/>
          <cell r="G2177"/>
          <cell r="H2177"/>
          <cell r="I2177"/>
          <cell r="J2177"/>
          <cell r="K2177"/>
          <cell r="L2177"/>
          <cell r="M2177"/>
          <cell r="N2177"/>
          <cell r="O2177"/>
        </row>
        <row r="2178">
          <cell r="A2178" t="str">
            <v>321-IG IGLESIA DIOS ES MI PROVEEDOR Y SUSTENTO</v>
          </cell>
          <cell r="B2178"/>
          <cell r="C2178"/>
          <cell r="D2178">
            <v>8</v>
          </cell>
          <cell r="E2178"/>
          <cell r="F2178"/>
          <cell r="G2178"/>
          <cell r="H2178"/>
          <cell r="I2178"/>
          <cell r="J2178"/>
          <cell r="K2178"/>
          <cell r="L2178"/>
          <cell r="M2178"/>
          <cell r="N2178"/>
          <cell r="O2178"/>
        </row>
        <row r="2179">
          <cell r="A2179" t="str">
            <v>694 - FU MINISTERIO BERAKHAH INTERNACIONAL TOCUMEN #2</v>
          </cell>
          <cell r="B2179"/>
          <cell r="C2179"/>
          <cell r="D2179">
            <v>2</v>
          </cell>
          <cell r="E2179"/>
          <cell r="F2179"/>
          <cell r="G2179"/>
          <cell r="H2179"/>
          <cell r="I2179"/>
          <cell r="J2179"/>
          <cell r="K2179"/>
          <cell r="L2179"/>
          <cell r="M2179"/>
          <cell r="N2179"/>
          <cell r="O2179"/>
        </row>
        <row r="2180">
          <cell r="A2180" t="str">
            <v>366-FU CENTRO MISIONERO EL SHADAI (ESTE)</v>
          </cell>
          <cell r="B2180"/>
          <cell r="C2180"/>
          <cell r="D2180">
            <v>14</v>
          </cell>
          <cell r="E2180"/>
          <cell r="F2180"/>
          <cell r="G2180"/>
          <cell r="H2180"/>
          <cell r="I2180"/>
          <cell r="J2180"/>
          <cell r="K2180"/>
          <cell r="L2180"/>
          <cell r="M2180"/>
          <cell r="N2180"/>
          <cell r="O2180"/>
        </row>
        <row r="2181">
          <cell r="A2181" t="str">
            <v>498-FU COMEDOR NIÑOS DE BENDICION</v>
          </cell>
          <cell r="B2181"/>
          <cell r="C2181"/>
          <cell r="D2181"/>
          <cell r="E2181">
            <v>8</v>
          </cell>
          <cell r="F2181"/>
          <cell r="G2181"/>
          <cell r="H2181"/>
          <cell r="I2181"/>
          <cell r="J2181"/>
          <cell r="K2181"/>
          <cell r="L2181"/>
          <cell r="M2181"/>
          <cell r="N2181"/>
          <cell r="O2181"/>
        </row>
        <row r="2182">
          <cell r="A2182" t="str">
            <v>197 FU FUNDACION SOCIAL CULTURAL Y AMBIENTAL DE VERACRUZ (OESTE)</v>
          </cell>
          <cell r="B2182"/>
          <cell r="C2182"/>
          <cell r="D2182"/>
          <cell r="E2182">
            <v>5</v>
          </cell>
          <cell r="F2182"/>
          <cell r="G2182"/>
          <cell r="H2182"/>
          <cell r="I2182"/>
          <cell r="J2182"/>
          <cell r="K2182"/>
          <cell r="L2182"/>
          <cell r="M2182"/>
          <cell r="N2182"/>
          <cell r="O2182"/>
        </row>
        <row r="2183">
          <cell r="A2183" t="str">
            <v>668 - FU FUNDACION CRISTIANA LA FE EN MARCHA</v>
          </cell>
          <cell r="B2183"/>
          <cell r="C2183"/>
          <cell r="D2183"/>
          <cell r="E2183"/>
          <cell r="F2183"/>
          <cell r="G2183"/>
          <cell r="H2183"/>
          <cell r="I2183"/>
          <cell r="J2183">
            <v>4</v>
          </cell>
          <cell r="K2183"/>
          <cell r="L2183"/>
          <cell r="M2183"/>
          <cell r="N2183"/>
          <cell r="O2183"/>
        </row>
        <row r="2184">
          <cell r="A2184" t="str">
            <v>379-FU Fundacion Ministerio Apostolico Manantial de Vida</v>
          </cell>
          <cell r="B2184"/>
          <cell r="C2184"/>
          <cell r="D2184"/>
          <cell r="E2184"/>
          <cell r="F2184"/>
          <cell r="G2184"/>
          <cell r="H2184">
            <v>18</v>
          </cell>
          <cell r="I2184"/>
          <cell r="J2184"/>
          <cell r="K2184"/>
          <cell r="L2184"/>
          <cell r="M2184"/>
          <cell r="N2184"/>
          <cell r="O2184"/>
        </row>
        <row r="2185">
          <cell r="A2185" t="str">
            <v>630-IG MIN.INTL.DE CRISTO PAZ DE DIOS</v>
          </cell>
          <cell r="B2185"/>
          <cell r="C2185">
            <v>16</v>
          </cell>
          <cell r="D2185"/>
          <cell r="E2185"/>
          <cell r="F2185"/>
          <cell r="G2185"/>
          <cell r="H2185"/>
          <cell r="I2185"/>
          <cell r="J2185"/>
          <cell r="K2185"/>
          <cell r="L2185"/>
          <cell r="M2185"/>
          <cell r="N2185"/>
          <cell r="O2185"/>
        </row>
        <row r="2186">
          <cell r="A2186" t="str">
            <v>260 IG - IGLESIA MISIONERA DE RESTAURACIÓN</v>
          </cell>
          <cell r="B2186"/>
          <cell r="C2186"/>
          <cell r="D2186">
            <v>14</v>
          </cell>
          <cell r="E2186"/>
          <cell r="F2186"/>
          <cell r="G2186"/>
          <cell r="H2186"/>
          <cell r="I2186"/>
          <cell r="J2186"/>
          <cell r="K2186"/>
          <cell r="L2186"/>
          <cell r="M2186"/>
          <cell r="N2186"/>
          <cell r="O2186"/>
        </row>
        <row r="2187">
          <cell r="A2187" t="str">
            <v>709 - FU FUNRECRISTO</v>
          </cell>
          <cell r="B2187"/>
          <cell r="C2187"/>
          <cell r="D2187">
            <v>8</v>
          </cell>
          <cell r="E2187"/>
          <cell r="F2187"/>
          <cell r="G2187"/>
          <cell r="H2187"/>
          <cell r="I2187"/>
          <cell r="J2187"/>
          <cell r="K2187"/>
          <cell r="L2187"/>
          <cell r="M2187"/>
          <cell r="N2187"/>
          <cell r="O2187"/>
        </row>
        <row r="2188">
          <cell r="A2188" t="str">
            <v>235 FU - FUNDACION GRUPO ENVIADOS</v>
          </cell>
          <cell r="B2188"/>
          <cell r="C2188"/>
          <cell r="D2188">
            <v>2</v>
          </cell>
          <cell r="E2188"/>
          <cell r="F2188"/>
          <cell r="G2188"/>
          <cell r="H2188"/>
          <cell r="I2188"/>
          <cell r="J2188"/>
          <cell r="K2188"/>
          <cell r="L2188"/>
          <cell r="M2188"/>
          <cell r="N2188"/>
          <cell r="O2188"/>
        </row>
        <row r="2189">
          <cell r="A2189" t="str">
            <v>202 FU - FUNDACIÓN HOGAR SAN JOSÉ (ESTE)</v>
          </cell>
          <cell r="B2189"/>
          <cell r="C2189"/>
          <cell r="D2189">
            <v>12</v>
          </cell>
          <cell r="E2189"/>
          <cell r="F2189"/>
          <cell r="G2189"/>
          <cell r="H2189"/>
          <cell r="I2189"/>
          <cell r="J2189"/>
          <cell r="K2189"/>
          <cell r="L2189"/>
          <cell r="M2189"/>
          <cell r="N2189"/>
          <cell r="O2189"/>
        </row>
        <row r="2190">
          <cell r="A2190" t="str">
            <v>144 OR - HERMANAS DE SAN JOSÉ DE LA APARICIÓN (RETIRA EN EL BANCO)</v>
          </cell>
          <cell r="B2190"/>
          <cell r="C2190"/>
          <cell r="D2190">
            <v>2</v>
          </cell>
          <cell r="E2190"/>
          <cell r="F2190"/>
          <cell r="G2190"/>
          <cell r="H2190"/>
          <cell r="I2190"/>
          <cell r="J2190"/>
          <cell r="K2190"/>
          <cell r="L2190"/>
          <cell r="M2190"/>
          <cell r="N2190"/>
          <cell r="O2190"/>
        </row>
        <row r="2191">
          <cell r="A2191" t="str">
            <v>672 - FU FUNDACION NUEVO PACTO POR LA NIÑEZ</v>
          </cell>
          <cell r="B2191"/>
          <cell r="C2191">
            <v>2</v>
          </cell>
          <cell r="D2191"/>
          <cell r="E2191"/>
          <cell r="F2191"/>
          <cell r="G2191"/>
          <cell r="H2191"/>
          <cell r="I2191"/>
          <cell r="J2191"/>
          <cell r="K2191"/>
          <cell r="L2191"/>
          <cell r="M2191"/>
          <cell r="N2191"/>
          <cell r="O2191"/>
        </row>
        <row r="2192">
          <cell r="A2192" t="str">
            <v>684 - FU FUNDACION CASA DEL REY JESUS (CENTRO 2)</v>
          </cell>
          <cell r="B2192"/>
          <cell r="C2192">
            <v>2</v>
          </cell>
          <cell r="D2192"/>
          <cell r="E2192"/>
          <cell r="F2192"/>
          <cell r="G2192"/>
          <cell r="H2192"/>
          <cell r="I2192"/>
          <cell r="J2192"/>
          <cell r="K2192"/>
          <cell r="L2192"/>
          <cell r="M2192"/>
          <cell r="N2192"/>
          <cell r="O2192"/>
        </row>
        <row r="2193">
          <cell r="A2193" t="str">
            <v>743- ED CLUB FAMILIA DEPORTIVA</v>
          </cell>
          <cell r="B2193"/>
          <cell r="C2193">
            <v>4</v>
          </cell>
          <cell r="D2193"/>
          <cell r="E2193"/>
          <cell r="F2193"/>
          <cell r="G2193"/>
          <cell r="H2193"/>
          <cell r="I2193"/>
          <cell r="J2193"/>
          <cell r="K2193"/>
          <cell r="L2193"/>
          <cell r="M2193"/>
          <cell r="N2193"/>
          <cell r="O2193"/>
        </row>
        <row r="2194">
          <cell r="A2194" t="str">
            <v>598- IG IGLESIA GLORIA TRANSFORMADORA SHEKINAH</v>
          </cell>
          <cell r="B2194"/>
          <cell r="C2194"/>
          <cell r="D2194"/>
          <cell r="E2194">
            <v>2</v>
          </cell>
          <cell r="F2194"/>
          <cell r="G2194"/>
          <cell r="H2194"/>
          <cell r="I2194"/>
          <cell r="J2194"/>
          <cell r="K2194"/>
          <cell r="L2194"/>
          <cell r="M2194"/>
          <cell r="N2194"/>
          <cell r="O2194"/>
        </row>
        <row r="2195">
          <cell r="A2195" t="str">
            <v>232 IG MINISTERIO TIEMPO DE COSECHA</v>
          </cell>
          <cell r="B2195"/>
          <cell r="C2195"/>
          <cell r="D2195"/>
          <cell r="E2195"/>
          <cell r="F2195"/>
          <cell r="G2195"/>
          <cell r="H2195"/>
          <cell r="I2195">
            <v>6</v>
          </cell>
          <cell r="J2195"/>
          <cell r="K2195"/>
          <cell r="L2195"/>
          <cell r="M2195"/>
          <cell r="N2195"/>
          <cell r="O2195"/>
        </row>
        <row r="2196">
          <cell r="A2196" t="str">
            <v>471-FU FUNDACION BUSCANDO UNA OPORTUNIDAD</v>
          </cell>
          <cell r="B2196"/>
          <cell r="C2196"/>
          <cell r="D2196"/>
          <cell r="E2196">
            <v>2</v>
          </cell>
          <cell r="F2196"/>
          <cell r="G2196"/>
          <cell r="H2196"/>
          <cell r="I2196"/>
          <cell r="J2196"/>
          <cell r="K2196"/>
          <cell r="L2196"/>
          <cell r="M2196"/>
          <cell r="N2196"/>
          <cell r="O2196"/>
        </row>
        <row r="2197">
          <cell r="A2197" t="str">
            <v>LA CHOLITA S.A.</v>
          </cell>
          <cell r="B2197">
            <v>10</v>
          </cell>
          <cell r="C2197"/>
          <cell r="D2197">
            <v>35</v>
          </cell>
          <cell r="E2197"/>
          <cell r="F2197"/>
          <cell r="G2197"/>
          <cell r="H2197"/>
          <cell r="I2197"/>
          <cell r="J2197">
            <v>190</v>
          </cell>
          <cell r="K2197">
            <v>43</v>
          </cell>
          <cell r="L2197">
            <v>5</v>
          </cell>
          <cell r="M2197">
            <v>10</v>
          </cell>
          <cell r="N2197"/>
          <cell r="O2197">
            <v>25</v>
          </cell>
        </row>
        <row r="2198">
          <cell r="A2198" t="str">
            <v>111 FU - FUNDACIÓN NUESTRA SEÑORA DEL CAMINO</v>
          </cell>
          <cell r="B2198"/>
          <cell r="C2198"/>
          <cell r="D2198"/>
          <cell r="E2198"/>
          <cell r="F2198"/>
          <cell r="G2198"/>
          <cell r="H2198"/>
          <cell r="I2198"/>
          <cell r="J2198">
            <v>5</v>
          </cell>
          <cell r="K2198"/>
          <cell r="L2198"/>
          <cell r="M2198"/>
          <cell r="N2198"/>
          <cell r="O2198"/>
        </row>
        <row r="2199">
          <cell r="A2199" t="str">
            <v>643 - IG TEMPLO PUERTA DEL CIELO (CHIRIQUI)</v>
          </cell>
          <cell r="B2199"/>
          <cell r="C2199"/>
          <cell r="D2199"/>
          <cell r="E2199"/>
          <cell r="F2199"/>
          <cell r="G2199"/>
          <cell r="H2199"/>
          <cell r="I2199"/>
          <cell r="J2199">
            <v>10</v>
          </cell>
          <cell r="K2199"/>
          <cell r="L2199"/>
          <cell r="M2199"/>
          <cell r="N2199"/>
          <cell r="O2199"/>
        </row>
        <row r="2200">
          <cell r="A2200" t="str">
            <v>284 - IG MINISTERIO PAN DE VIDA</v>
          </cell>
          <cell r="B2200"/>
          <cell r="C2200"/>
          <cell r="D2200"/>
          <cell r="E2200"/>
          <cell r="F2200"/>
          <cell r="G2200"/>
          <cell r="H2200"/>
          <cell r="I2200"/>
          <cell r="J2200">
            <v>5</v>
          </cell>
          <cell r="K2200"/>
          <cell r="L2200"/>
          <cell r="M2200"/>
          <cell r="N2200"/>
          <cell r="O2200"/>
        </row>
        <row r="2201">
          <cell r="A2201" t="str">
            <v>668 - FU FUNDACION CRISTIANA LA FE EN MARCHA</v>
          </cell>
          <cell r="B2201"/>
          <cell r="C2201"/>
          <cell r="D2201"/>
          <cell r="E2201"/>
          <cell r="F2201"/>
          <cell r="G2201"/>
          <cell r="H2201"/>
          <cell r="I2201"/>
          <cell r="J2201">
            <v>15</v>
          </cell>
          <cell r="K2201"/>
          <cell r="L2201"/>
          <cell r="M2201"/>
          <cell r="N2201"/>
          <cell r="O2201"/>
        </row>
        <row r="2202">
          <cell r="A2202" t="str">
            <v>644 - IG TEMPLO SENDA DE VIDA (CHIRIQUÍ)</v>
          </cell>
          <cell r="B2202"/>
          <cell r="C2202"/>
          <cell r="D2202"/>
          <cell r="E2202"/>
          <cell r="F2202"/>
          <cell r="G2202"/>
          <cell r="H2202"/>
          <cell r="I2202"/>
          <cell r="J2202">
            <v>10</v>
          </cell>
          <cell r="K2202"/>
          <cell r="L2202"/>
          <cell r="M2202"/>
          <cell r="N2202"/>
          <cell r="O2202"/>
        </row>
        <row r="2203">
          <cell r="A2203" t="str">
            <v>300 ED - BENEFICIARIOS</v>
          </cell>
          <cell r="B2203"/>
          <cell r="C2203"/>
          <cell r="D2203">
            <v>35</v>
          </cell>
          <cell r="E2203"/>
          <cell r="F2203"/>
          <cell r="G2203"/>
          <cell r="H2203"/>
          <cell r="I2203"/>
          <cell r="J2203"/>
          <cell r="K2203"/>
          <cell r="L2203"/>
          <cell r="M2203"/>
          <cell r="N2203"/>
          <cell r="O2203"/>
        </row>
        <row r="2204">
          <cell r="A2204" t="str">
            <v>364-IG COMEDOR SHEKINA</v>
          </cell>
          <cell r="B2204"/>
          <cell r="C2204"/>
          <cell r="D2204"/>
          <cell r="E2204"/>
          <cell r="F2204"/>
          <cell r="G2204"/>
          <cell r="H2204"/>
          <cell r="I2204"/>
          <cell r="J2204"/>
          <cell r="K2204">
            <v>30</v>
          </cell>
          <cell r="L2204"/>
          <cell r="M2204"/>
          <cell r="N2204"/>
          <cell r="O2204"/>
        </row>
        <row r="2205">
          <cell r="A2205" t="str">
            <v>263 IG TABERNÁCULO DE DIOS DE SAN MIGUEL DEL EXQUISITO</v>
          </cell>
          <cell r="B2205"/>
          <cell r="C2205"/>
          <cell r="D2205"/>
          <cell r="E2205"/>
          <cell r="F2205"/>
          <cell r="G2205"/>
          <cell r="H2205"/>
          <cell r="I2205"/>
          <cell r="J2205">
            <v>10</v>
          </cell>
          <cell r="K2205"/>
          <cell r="L2205"/>
          <cell r="M2205"/>
          <cell r="N2205"/>
          <cell r="O2205"/>
        </row>
        <row r="2206">
          <cell r="A2206" t="str">
            <v>730-FU SOLIDARIDAD Y DESARROLLO DE PANAMA (VERAGUAS)</v>
          </cell>
          <cell r="B2206"/>
          <cell r="C2206"/>
          <cell r="D2206"/>
          <cell r="E2206"/>
          <cell r="F2206"/>
          <cell r="G2206"/>
          <cell r="H2206"/>
          <cell r="I2206"/>
          <cell r="J2206"/>
          <cell r="K2206"/>
          <cell r="L2206"/>
          <cell r="M2206">
            <v>5</v>
          </cell>
          <cell r="N2206"/>
          <cell r="O2206"/>
        </row>
        <row r="2207">
          <cell r="A2207" t="str">
            <v>736-IG JESUS HACE MILAGROS</v>
          </cell>
          <cell r="B2207"/>
          <cell r="C2207"/>
          <cell r="D2207"/>
          <cell r="E2207"/>
          <cell r="F2207"/>
          <cell r="G2207"/>
          <cell r="H2207"/>
          <cell r="I2207"/>
          <cell r="J2207">
            <v>10</v>
          </cell>
          <cell r="K2207"/>
          <cell r="L2207"/>
          <cell r="M2207"/>
          <cell r="N2207"/>
          <cell r="O2207"/>
        </row>
        <row r="2208">
          <cell r="A2208" t="str">
            <v>749-IG Ministerio Tabernáculo de Santidad Internación (Guararé)</v>
          </cell>
          <cell r="B2208"/>
          <cell r="C2208"/>
          <cell r="D2208"/>
          <cell r="E2208"/>
          <cell r="F2208"/>
          <cell r="G2208"/>
          <cell r="H2208"/>
          <cell r="I2208"/>
          <cell r="J2208"/>
          <cell r="K2208"/>
          <cell r="L2208"/>
          <cell r="M2208">
            <v>5</v>
          </cell>
          <cell r="N2208"/>
          <cell r="O2208"/>
        </row>
        <row r="2209">
          <cell r="A2209" t="str">
            <v>613-FU FUNDACION INMARE</v>
          </cell>
          <cell r="B2209"/>
          <cell r="C2209"/>
          <cell r="D2209"/>
          <cell r="E2209"/>
          <cell r="F2209"/>
          <cell r="G2209"/>
          <cell r="H2209"/>
          <cell r="I2209"/>
          <cell r="J2209"/>
          <cell r="K2209">
            <v>13</v>
          </cell>
          <cell r="L2209"/>
          <cell r="M2209"/>
          <cell r="N2209"/>
          <cell r="O2209"/>
        </row>
        <row r="2210">
          <cell r="A2210" t="str">
            <v>752-IG Ministerio Tabernáculo De Santidad Internacional (Chitre)</v>
          </cell>
          <cell r="B2210"/>
          <cell r="C2210"/>
          <cell r="D2210"/>
          <cell r="E2210"/>
          <cell r="F2210"/>
          <cell r="G2210"/>
          <cell r="H2210"/>
          <cell r="I2210"/>
          <cell r="J2210"/>
          <cell r="K2210"/>
          <cell r="L2210">
            <v>5</v>
          </cell>
          <cell r="M2210"/>
          <cell r="N2210"/>
          <cell r="O2210"/>
        </row>
        <row r="2211">
          <cell r="A2211" t="str">
            <v>766-IG MINISTERIO BET-EL</v>
          </cell>
          <cell r="B2211"/>
          <cell r="C2211"/>
          <cell r="D2211"/>
          <cell r="E2211"/>
          <cell r="F2211"/>
          <cell r="G2211"/>
          <cell r="H2211"/>
          <cell r="I2211"/>
          <cell r="J2211"/>
          <cell r="K2211"/>
          <cell r="L2211"/>
          <cell r="M2211"/>
          <cell r="N2211"/>
          <cell r="O2211">
            <v>20</v>
          </cell>
        </row>
        <row r="2212">
          <cell r="A2212" t="str">
            <v>8 PA - PARROQUIA SAN JUAN DE MACARACAS</v>
          </cell>
          <cell r="B2212">
            <v>10</v>
          </cell>
          <cell r="C2212"/>
          <cell r="D2212"/>
          <cell r="E2212"/>
          <cell r="F2212"/>
          <cell r="G2212"/>
          <cell r="H2212"/>
          <cell r="I2212"/>
          <cell r="J2212"/>
          <cell r="K2212"/>
          <cell r="L2212"/>
          <cell r="M2212"/>
          <cell r="N2212"/>
          <cell r="O2212"/>
        </row>
        <row r="2213">
          <cell r="A2213" t="str">
            <v>756-FU Fundación Nuevas Rutas</v>
          </cell>
          <cell r="B2213"/>
          <cell r="C2213"/>
          <cell r="D2213"/>
          <cell r="E2213"/>
          <cell r="F2213"/>
          <cell r="G2213"/>
          <cell r="H2213"/>
          <cell r="I2213"/>
          <cell r="J2213">
            <v>120</v>
          </cell>
          <cell r="K2213"/>
          <cell r="L2213"/>
          <cell r="M2213"/>
          <cell r="N2213"/>
          <cell r="O2213"/>
        </row>
        <row r="2214">
          <cell r="A2214" t="str">
            <v>708 - FU MINISTERIO BERAKHAH INTERNACIONAL GUARARE</v>
          </cell>
          <cell r="B2214"/>
          <cell r="C2214"/>
          <cell r="D2214"/>
          <cell r="E2214"/>
          <cell r="F2214"/>
          <cell r="G2214"/>
          <cell r="H2214"/>
          <cell r="I2214"/>
          <cell r="J2214"/>
          <cell r="K2214"/>
          <cell r="L2214"/>
          <cell r="M2214"/>
          <cell r="N2214"/>
          <cell r="O2214">
            <v>5</v>
          </cell>
        </row>
        <row r="2215">
          <cell r="A2215" t="str">
            <v>828-IG IDN LAS TINAJAS</v>
          </cell>
          <cell r="B2215"/>
          <cell r="C2215"/>
          <cell r="D2215"/>
          <cell r="E2215"/>
          <cell r="F2215"/>
          <cell r="G2215"/>
          <cell r="H2215"/>
          <cell r="I2215"/>
          <cell r="J2215">
            <v>5</v>
          </cell>
          <cell r="K2215"/>
          <cell r="L2215"/>
          <cell r="M2215"/>
          <cell r="N2215"/>
          <cell r="O2215"/>
        </row>
        <row r="2216">
          <cell r="A2216" t="str">
            <v>DICSA PANAMA</v>
          </cell>
          <cell r="B2216">
            <v>75</v>
          </cell>
          <cell r="C2216">
            <v>32</v>
          </cell>
          <cell r="D2216">
            <v>74</v>
          </cell>
          <cell r="E2216">
            <v>22</v>
          </cell>
          <cell r="F2216">
            <v>18</v>
          </cell>
          <cell r="G2216">
            <v>44</v>
          </cell>
          <cell r="H2216">
            <v>32</v>
          </cell>
          <cell r="I2216">
            <v>30</v>
          </cell>
          <cell r="J2216"/>
          <cell r="K2216"/>
          <cell r="L2216"/>
          <cell r="M2216"/>
          <cell r="N2216"/>
          <cell r="O2216"/>
        </row>
        <row r="2217">
          <cell r="A2217" t="str">
            <v>178 IG - TEMPLO ZURIEL EL REFUGIO</v>
          </cell>
          <cell r="B2217"/>
          <cell r="C2217"/>
          <cell r="D2217"/>
          <cell r="E2217"/>
          <cell r="F2217"/>
          <cell r="G2217">
            <v>16</v>
          </cell>
          <cell r="H2217"/>
          <cell r="I2217"/>
          <cell r="J2217"/>
          <cell r="K2217"/>
          <cell r="L2217"/>
          <cell r="M2217"/>
          <cell r="N2217"/>
          <cell r="O2217"/>
        </row>
        <row r="2218">
          <cell r="A2218" t="str">
            <v>636- FU JAH - LIVE (JAHL) - COLON</v>
          </cell>
          <cell r="B2218"/>
          <cell r="C2218"/>
          <cell r="D2218"/>
          <cell r="E2218"/>
          <cell r="F2218"/>
          <cell r="G2218"/>
          <cell r="H2218">
            <v>24</v>
          </cell>
          <cell r="I2218"/>
          <cell r="J2218"/>
          <cell r="K2218"/>
          <cell r="L2218"/>
          <cell r="M2218"/>
          <cell r="N2218"/>
          <cell r="O2218"/>
        </row>
        <row r="2219">
          <cell r="A2219" t="str">
            <v>218 ED - LOS PREFERIDOS DEL SEÑOR (CENTRO2)</v>
          </cell>
          <cell r="B2219"/>
          <cell r="C2219">
            <v>20</v>
          </cell>
          <cell r="D2219"/>
          <cell r="E2219"/>
          <cell r="F2219"/>
          <cell r="G2219"/>
          <cell r="H2219"/>
          <cell r="I2219"/>
          <cell r="J2219"/>
          <cell r="K2219"/>
          <cell r="L2219"/>
          <cell r="M2219"/>
          <cell r="N2219"/>
          <cell r="O2219"/>
        </row>
        <row r="2220">
          <cell r="A2220" t="str">
            <v>321-IG IGLESIA DIOS ES MI PROVEEDOR Y SUSTENTO</v>
          </cell>
          <cell r="B2220"/>
          <cell r="C2220"/>
          <cell r="D2220">
            <v>28</v>
          </cell>
          <cell r="E2220"/>
          <cell r="F2220"/>
          <cell r="G2220"/>
          <cell r="H2220"/>
          <cell r="I2220"/>
          <cell r="J2220"/>
          <cell r="K2220"/>
          <cell r="L2220"/>
          <cell r="M2220"/>
          <cell r="N2220"/>
          <cell r="O2220"/>
        </row>
        <row r="2221">
          <cell r="A2221" t="str">
            <v>695 - FU MINISTERIO BERAKHAH INTERNACIONAL 24 DIC</v>
          </cell>
          <cell r="B2221"/>
          <cell r="C2221"/>
          <cell r="D2221">
            <v>14</v>
          </cell>
          <cell r="E2221"/>
          <cell r="F2221"/>
          <cell r="G2221"/>
          <cell r="H2221"/>
          <cell r="I2221"/>
          <cell r="J2221"/>
          <cell r="K2221"/>
          <cell r="L2221"/>
          <cell r="M2221"/>
          <cell r="N2221"/>
          <cell r="O2221"/>
        </row>
        <row r="2222">
          <cell r="A2222" t="str">
            <v>288 IG MINISTERIO EVANGELISTICO DE SANACION Y RESTAURACION, SENALES, MILAGROS Y MARAVILLAS (ESTE)</v>
          </cell>
          <cell r="B2222"/>
          <cell r="C2222"/>
          <cell r="D2222">
            <v>4</v>
          </cell>
          <cell r="E2222"/>
          <cell r="F2222"/>
          <cell r="G2222"/>
          <cell r="H2222"/>
          <cell r="I2222"/>
          <cell r="J2222"/>
          <cell r="K2222"/>
          <cell r="L2222"/>
          <cell r="M2222"/>
          <cell r="N2222"/>
          <cell r="O2222"/>
        </row>
        <row r="2223">
          <cell r="A2223" t="str">
            <v>373-FU MINISTERIO INTERNACIONAL BOANERGES</v>
          </cell>
          <cell r="B2223"/>
          <cell r="C2223"/>
          <cell r="D2223"/>
          <cell r="E2223"/>
          <cell r="F2223"/>
          <cell r="G2223"/>
          <cell r="H2223"/>
          <cell r="I2223">
            <v>2</v>
          </cell>
          <cell r="J2223"/>
          <cell r="K2223"/>
          <cell r="L2223"/>
          <cell r="M2223"/>
          <cell r="N2223"/>
          <cell r="O2223"/>
        </row>
        <row r="2224">
          <cell r="A2224" t="str">
            <v>197 FU FUNDACION SOCIAL CULTURAL Y AMBIENTAL DE VERACRUZ (OESTE)</v>
          </cell>
          <cell r="B2224"/>
          <cell r="C2224"/>
          <cell r="D2224"/>
          <cell r="E2224">
            <v>4</v>
          </cell>
          <cell r="F2224"/>
          <cell r="G2224"/>
          <cell r="H2224"/>
          <cell r="I2224"/>
          <cell r="J2224"/>
          <cell r="K2224"/>
          <cell r="L2224"/>
          <cell r="M2224"/>
          <cell r="N2224"/>
          <cell r="O2224"/>
        </row>
        <row r="2225">
          <cell r="A2225" t="str">
            <v>183 ED - BELÉN CASA DE PAN (ESTE)</v>
          </cell>
          <cell r="B2225"/>
          <cell r="C2225"/>
          <cell r="D2225">
            <v>4</v>
          </cell>
          <cell r="E2225"/>
          <cell r="F2225"/>
          <cell r="G2225"/>
          <cell r="H2225"/>
          <cell r="I2225"/>
          <cell r="J2225"/>
          <cell r="K2225"/>
          <cell r="L2225"/>
          <cell r="M2225"/>
          <cell r="N2225"/>
          <cell r="O2225"/>
        </row>
        <row r="2226">
          <cell r="A2226" t="str">
            <v>368-FU MINISTERIO PACTO DE SANTIDAD</v>
          </cell>
          <cell r="B2226"/>
          <cell r="C2226">
            <v>2</v>
          </cell>
          <cell r="D2226"/>
          <cell r="E2226"/>
          <cell r="F2226"/>
          <cell r="G2226"/>
          <cell r="H2226"/>
          <cell r="I2226"/>
          <cell r="J2226"/>
          <cell r="K2226"/>
          <cell r="L2226"/>
          <cell r="M2226"/>
          <cell r="N2226"/>
          <cell r="O2226"/>
        </row>
        <row r="2227">
          <cell r="A2227" t="str">
            <v>487-FU FUNDACION CASA AVE MARIA</v>
          </cell>
          <cell r="B2227"/>
          <cell r="C2227"/>
          <cell r="D2227"/>
          <cell r="E2227">
            <v>8</v>
          </cell>
          <cell r="F2227"/>
          <cell r="G2227"/>
          <cell r="H2227"/>
          <cell r="I2227"/>
          <cell r="J2227"/>
          <cell r="K2227"/>
          <cell r="L2227"/>
          <cell r="M2227"/>
          <cell r="N2227"/>
          <cell r="O2227"/>
        </row>
        <row r="2228">
          <cell r="A2228" t="str">
            <v>379-FU Fundacion Ministerio Apostolico Manantial de Vida</v>
          </cell>
          <cell r="B2228"/>
          <cell r="C2228"/>
          <cell r="D2228"/>
          <cell r="E2228"/>
          <cell r="F2228"/>
          <cell r="G2228"/>
          <cell r="H2228">
            <v>4</v>
          </cell>
          <cell r="I2228"/>
          <cell r="J2228"/>
          <cell r="K2228"/>
          <cell r="L2228"/>
          <cell r="M2228"/>
          <cell r="N2228"/>
          <cell r="O2228"/>
        </row>
        <row r="2229">
          <cell r="A2229" t="str">
            <v>397-FU FUNDACION SHALOM PANAMA</v>
          </cell>
          <cell r="B2229"/>
          <cell r="C2229"/>
          <cell r="D2229"/>
          <cell r="E2229">
            <v>2</v>
          </cell>
          <cell r="F2229"/>
          <cell r="G2229"/>
          <cell r="H2229"/>
          <cell r="I2229"/>
          <cell r="J2229"/>
          <cell r="K2229"/>
          <cell r="L2229"/>
          <cell r="M2229"/>
          <cell r="N2229"/>
          <cell r="O2229"/>
        </row>
        <row r="2230">
          <cell r="A2230" t="str">
            <v>709 - FU FUNRECRISTO</v>
          </cell>
          <cell r="B2230"/>
          <cell r="C2230"/>
          <cell r="D2230">
            <v>4</v>
          </cell>
          <cell r="E2230"/>
          <cell r="F2230"/>
          <cell r="G2230"/>
          <cell r="H2230"/>
          <cell r="I2230"/>
          <cell r="J2230"/>
          <cell r="K2230"/>
          <cell r="L2230"/>
          <cell r="M2230"/>
          <cell r="N2230"/>
          <cell r="O2230"/>
        </row>
        <row r="2231">
          <cell r="A2231" t="str">
            <v>144 OR - HERMANAS DE SAN JOSÉ DE LA APARICIÓN (RETIRA EN EL BANCO)</v>
          </cell>
          <cell r="B2231"/>
          <cell r="C2231"/>
          <cell r="D2231">
            <v>8</v>
          </cell>
          <cell r="E2231"/>
          <cell r="F2231"/>
          <cell r="G2231"/>
          <cell r="H2231"/>
          <cell r="I2231"/>
          <cell r="J2231"/>
          <cell r="K2231"/>
          <cell r="L2231"/>
          <cell r="M2231"/>
          <cell r="N2231"/>
          <cell r="O2231"/>
        </row>
        <row r="2232">
          <cell r="A2232" t="str">
            <v>491-FU Fundación Aleluya</v>
          </cell>
          <cell r="B2232"/>
          <cell r="C2232"/>
          <cell r="D2232"/>
          <cell r="E2232"/>
          <cell r="F2232"/>
          <cell r="G2232">
            <v>2</v>
          </cell>
          <cell r="H2232"/>
          <cell r="I2232"/>
          <cell r="J2232"/>
          <cell r="K2232"/>
          <cell r="L2232"/>
          <cell r="M2232"/>
          <cell r="N2232"/>
          <cell r="O2232"/>
        </row>
        <row r="2233">
          <cell r="A2233" t="str">
            <v>377-FU CENTRO CRISTIANO CASA DE DIOS PANAMA</v>
          </cell>
          <cell r="B2233"/>
          <cell r="C2233"/>
          <cell r="D2233"/>
          <cell r="E2233"/>
          <cell r="F2233"/>
          <cell r="G2233">
            <v>6</v>
          </cell>
          <cell r="H2233"/>
          <cell r="I2233"/>
          <cell r="J2233"/>
          <cell r="K2233"/>
          <cell r="L2233"/>
          <cell r="M2233"/>
          <cell r="N2233"/>
          <cell r="O2233"/>
        </row>
        <row r="2234">
          <cell r="A2234" t="str">
            <v>Retiro de Merma</v>
          </cell>
          <cell r="B2234">
            <v>75</v>
          </cell>
          <cell r="C2234"/>
          <cell r="D2234"/>
          <cell r="E2234"/>
          <cell r="F2234"/>
          <cell r="G2234"/>
          <cell r="H2234"/>
          <cell r="I2234"/>
          <cell r="J2234"/>
          <cell r="K2234"/>
          <cell r="L2234"/>
          <cell r="M2234"/>
          <cell r="N2234"/>
          <cell r="O2234"/>
        </row>
        <row r="2235">
          <cell r="A2235" t="str">
            <v>193 OR - FUNDACIÓN UNCIÓN FRESCA</v>
          </cell>
          <cell r="B2235"/>
          <cell r="C2235"/>
          <cell r="D2235"/>
          <cell r="E2235">
            <v>4</v>
          </cell>
          <cell r="F2235"/>
          <cell r="G2235"/>
          <cell r="H2235"/>
          <cell r="I2235"/>
          <cell r="J2235"/>
          <cell r="K2235"/>
          <cell r="L2235"/>
          <cell r="M2235"/>
          <cell r="N2235"/>
          <cell r="O2235"/>
        </row>
        <row r="2236">
          <cell r="A2236" t="str">
            <v>360-IG IGLESIA CRISTIANA CASA DE REUNION</v>
          </cell>
          <cell r="B2236"/>
          <cell r="C2236"/>
          <cell r="D2236"/>
          <cell r="E2236"/>
          <cell r="F2236"/>
          <cell r="G2236">
            <v>20</v>
          </cell>
          <cell r="H2236"/>
          <cell r="I2236"/>
          <cell r="J2236"/>
          <cell r="K2236"/>
          <cell r="L2236"/>
          <cell r="M2236"/>
          <cell r="N2236"/>
          <cell r="O2236"/>
        </row>
        <row r="2237">
          <cell r="A2237" t="str">
            <v>229 PA - PARROQUIA SAN CRISTOBAL DE CHEPO</v>
          </cell>
          <cell r="B2237"/>
          <cell r="C2237"/>
          <cell r="D2237">
            <v>12</v>
          </cell>
          <cell r="E2237"/>
          <cell r="F2237"/>
          <cell r="G2237"/>
          <cell r="H2237"/>
          <cell r="I2237"/>
          <cell r="J2237"/>
          <cell r="K2237"/>
          <cell r="L2237"/>
          <cell r="M2237"/>
          <cell r="N2237"/>
          <cell r="O2237"/>
        </row>
        <row r="2238">
          <cell r="A2238" t="str">
            <v>390-FU FUNDACION CRISTIANA FAMILIAR EL TALLER DEL MAESTRO (CENTRO1)</v>
          </cell>
          <cell r="B2238"/>
          <cell r="C2238">
            <v>2</v>
          </cell>
          <cell r="D2238"/>
          <cell r="E2238"/>
          <cell r="F2238"/>
          <cell r="G2238"/>
          <cell r="H2238"/>
          <cell r="I2238"/>
          <cell r="J2238"/>
          <cell r="K2238"/>
          <cell r="L2238"/>
          <cell r="M2238"/>
          <cell r="N2238"/>
          <cell r="O2238"/>
        </row>
        <row r="2239">
          <cell r="A2239" t="str">
            <v>394-IG IGLESIA ESCUADRONES DEL EJERCITO DE DIOS (CENTRO2)</v>
          </cell>
          <cell r="B2239"/>
          <cell r="C2239">
            <v>6</v>
          </cell>
          <cell r="D2239"/>
          <cell r="E2239"/>
          <cell r="F2239"/>
          <cell r="G2239"/>
          <cell r="H2239"/>
          <cell r="I2239"/>
          <cell r="J2239"/>
          <cell r="K2239"/>
          <cell r="L2239"/>
          <cell r="M2239"/>
          <cell r="N2239"/>
          <cell r="O2239"/>
        </row>
        <row r="2240">
          <cell r="A2240" t="str">
            <v>789-FU Fundación Rescate de Alimentos</v>
          </cell>
          <cell r="B2240"/>
          <cell r="C2240">
            <v>2</v>
          </cell>
          <cell r="D2240"/>
          <cell r="E2240"/>
          <cell r="F2240"/>
          <cell r="G2240"/>
          <cell r="H2240"/>
          <cell r="I2240"/>
          <cell r="J2240"/>
          <cell r="K2240"/>
          <cell r="L2240"/>
          <cell r="M2240"/>
          <cell r="N2240"/>
          <cell r="O2240"/>
        </row>
        <row r="2241">
          <cell r="A2241" t="str">
            <v>793-FU Fundación Príncipes de Jehová</v>
          </cell>
          <cell r="B2241"/>
          <cell r="C2241"/>
          <cell r="D2241"/>
          <cell r="E2241"/>
          <cell r="F2241"/>
          <cell r="G2241"/>
          <cell r="H2241"/>
          <cell r="I2241">
            <v>28</v>
          </cell>
          <cell r="J2241"/>
          <cell r="K2241"/>
          <cell r="L2241"/>
          <cell r="M2241"/>
          <cell r="N2241"/>
          <cell r="O2241"/>
        </row>
        <row r="2242">
          <cell r="A2242" t="str">
            <v>138 OR - HERMANAS FRANCISCANAS DE MARIA INMACULADALA</v>
          </cell>
          <cell r="B2242"/>
          <cell r="C2242"/>
          <cell r="D2242"/>
          <cell r="E2242"/>
          <cell r="F2242"/>
          <cell r="G2242"/>
          <cell r="H2242">
            <v>4</v>
          </cell>
          <cell r="I2242"/>
          <cell r="J2242"/>
          <cell r="K2242"/>
          <cell r="L2242"/>
          <cell r="M2242"/>
          <cell r="N2242"/>
          <cell r="O2242"/>
        </row>
        <row r="2243">
          <cell r="A2243" t="str">
            <v>3 IG - IGLESIA DEL NAZARENO</v>
          </cell>
          <cell r="B2243"/>
          <cell r="C2243"/>
          <cell r="D2243"/>
          <cell r="E2243">
            <v>4</v>
          </cell>
          <cell r="F2243"/>
          <cell r="G2243"/>
          <cell r="H2243"/>
          <cell r="I2243"/>
          <cell r="J2243"/>
          <cell r="K2243"/>
          <cell r="L2243"/>
          <cell r="M2243"/>
          <cell r="N2243"/>
          <cell r="O2243"/>
        </row>
        <row r="2244">
          <cell r="A2244" t="str">
            <v>661 - FU FUNDACION MAS INTEGRADOS (DARIEN)</v>
          </cell>
          <cell r="B2244"/>
          <cell r="C2244"/>
          <cell r="D2244"/>
          <cell r="E2244"/>
          <cell r="F2244">
            <v>14</v>
          </cell>
          <cell r="G2244"/>
          <cell r="H2244"/>
          <cell r="I2244"/>
          <cell r="J2244"/>
          <cell r="K2244"/>
          <cell r="L2244"/>
          <cell r="M2244"/>
          <cell r="N2244"/>
          <cell r="O2244"/>
        </row>
        <row r="2245">
          <cell r="A2245" t="str">
            <v>814-IG Templo Morada Santa</v>
          </cell>
          <cell r="B2245"/>
          <cell r="C2245"/>
          <cell r="D2245"/>
          <cell r="E2245"/>
          <cell r="F2245">
            <v>4</v>
          </cell>
          <cell r="G2245"/>
          <cell r="H2245"/>
          <cell r="I2245"/>
          <cell r="J2245"/>
          <cell r="K2245"/>
          <cell r="L2245"/>
          <cell r="M2245"/>
          <cell r="N2245"/>
          <cell r="O2245"/>
        </row>
        <row r="2246">
          <cell r="A2246" t="str">
            <v>PROSERV</v>
          </cell>
          <cell r="B2246"/>
          <cell r="C2246">
            <v>520</v>
          </cell>
          <cell r="D2246">
            <v>862.5</v>
          </cell>
          <cell r="E2246">
            <v>128</v>
          </cell>
          <cell r="F2246">
            <v>40</v>
          </cell>
          <cell r="G2246">
            <v>44</v>
          </cell>
          <cell r="H2246">
            <v>116</v>
          </cell>
          <cell r="I2246">
            <v>44</v>
          </cell>
          <cell r="J2246">
            <v>45</v>
          </cell>
          <cell r="K2246">
            <v>49.5</v>
          </cell>
          <cell r="L2246">
            <v>13.5</v>
          </cell>
          <cell r="M2246">
            <v>4.5</v>
          </cell>
          <cell r="N2246"/>
          <cell r="O2246">
            <v>9</v>
          </cell>
        </row>
        <row r="2247">
          <cell r="A2247" t="str">
            <v>702 - FU MINISTERIO BERAKHAH INTERNACIONAL ARRAIJAN</v>
          </cell>
          <cell r="B2247"/>
          <cell r="C2247"/>
          <cell r="D2247"/>
          <cell r="E2247">
            <v>20</v>
          </cell>
          <cell r="F2247"/>
          <cell r="G2247"/>
          <cell r="H2247"/>
          <cell r="I2247"/>
          <cell r="J2247"/>
          <cell r="K2247"/>
          <cell r="L2247"/>
          <cell r="M2247"/>
          <cell r="N2247"/>
          <cell r="O2247"/>
        </row>
        <row r="2248">
          <cell r="A2248" t="str">
            <v>104 AS - ASOCIACIÓN HOGAR FELICIDAD</v>
          </cell>
          <cell r="B2248"/>
          <cell r="C2248"/>
          <cell r="D2248"/>
          <cell r="E2248">
            <v>40</v>
          </cell>
          <cell r="F2248"/>
          <cell r="G2248"/>
          <cell r="H2248"/>
          <cell r="I2248"/>
          <cell r="J2248"/>
          <cell r="K2248"/>
          <cell r="L2248"/>
          <cell r="M2248"/>
          <cell r="N2248"/>
          <cell r="O2248"/>
        </row>
        <row r="2249">
          <cell r="A2249" t="str">
            <v>175 AS - ASOCIACIÓN RESTAURANDO VIDAS</v>
          </cell>
          <cell r="B2249"/>
          <cell r="C2249"/>
          <cell r="D2249">
            <v>40</v>
          </cell>
          <cell r="E2249"/>
          <cell r="F2249"/>
          <cell r="G2249"/>
          <cell r="H2249"/>
          <cell r="I2249"/>
          <cell r="J2249"/>
          <cell r="K2249"/>
          <cell r="L2249"/>
          <cell r="M2249"/>
          <cell r="N2249"/>
          <cell r="O2249"/>
        </row>
        <row r="2250">
          <cell r="A2250" t="str">
            <v>178 IG - TEMPLO ZURIEL EL REFUGIO</v>
          </cell>
          <cell r="B2250"/>
          <cell r="C2250"/>
          <cell r="D2250"/>
          <cell r="E2250"/>
          <cell r="F2250"/>
          <cell r="G2250">
            <v>40</v>
          </cell>
          <cell r="H2250"/>
          <cell r="I2250"/>
          <cell r="J2250"/>
          <cell r="K2250"/>
          <cell r="L2250"/>
          <cell r="M2250"/>
          <cell r="N2250"/>
          <cell r="O2250"/>
        </row>
        <row r="2251">
          <cell r="A2251" t="str">
            <v>207 IG - IGLESIA CENTRO DE VIDA CRISTIANA</v>
          </cell>
          <cell r="B2251"/>
          <cell r="C2251"/>
          <cell r="D2251">
            <v>40</v>
          </cell>
          <cell r="E2251"/>
          <cell r="F2251"/>
          <cell r="G2251"/>
          <cell r="H2251"/>
          <cell r="I2251"/>
          <cell r="J2251"/>
          <cell r="K2251"/>
          <cell r="L2251"/>
          <cell r="M2251"/>
          <cell r="N2251"/>
          <cell r="O2251"/>
        </row>
        <row r="2252">
          <cell r="A2252" t="str">
            <v>636- FU JAH - LIVE (JAHL) - COLON</v>
          </cell>
          <cell r="B2252"/>
          <cell r="C2252"/>
          <cell r="D2252"/>
          <cell r="E2252"/>
          <cell r="F2252"/>
          <cell r="G2252"/>
          <cell r="H2252">
            <v>92</v>
          </cell>
          <cell r="I2252"/>
          <cell r="J2252"/>
          <cell r="K2252"/>
          <cell r="L2252"/>
          <cell r="M2252"/>
          <cell r="N2252"/>
          <cell r="O2252"/>
        </row>
        <row r="2253">
          <cell r="A2253" t="str">
            <v>224 OR MISIONERAS DE LA CARIDAD DE COLON</v>
          </cell>
          <cell r="B2253"/>
          <cell r="C2253"/>
          <cell r="D2253"/>
          <cell r="E2253"/>
          <cell r="F2253"/>
          <cell r="G2253"/>
          <cell r="H2253">
            <v>4</v>
          </cell>
          <cell r="I2253"/>
          <cell r="J2253"/>
          <cell r="K2253"/>
          <cell r="L2253"/>
          <cell r="M2253"/>
          <cell r="N2253"/>
          <cell r="O2253"/>
        </row>
        <row r="2254">
          <cell r="A2254" t="str">
            <v>470-FU IGLESIA MONTE SANTO</v>
          </cell>
          <cell r="B2254"/>
          <cell r="C2254"/>
          <cell r="D2254">
            <v>40</v>
          </cell>
          <cell r="E2254"/>
          <cell r="F2254"/>
          <cell r="G2254"/>
          <cell r="H2254"/>
          <cell r="I2254"/>
          <cell r="J2254"/>
          <cell r="K2254"/>
          <cell r="L2254"/>
          <cell r="M2254"/>
          <cell r="N2254"/>
          <cell r="O2254"/>
        </row>
        <row r="2255">
          <cell r="A2255" t="str">
            <v>687 - FU FUNDACION ARCA DE JESUS</v>
          </cell>
          <cell r="B2255"/>
          <cell r="C2255"/>
          <cell r="D2255"/>
          <cell r="E2255">
            <v>4</v>
          </cell>
          <cell r="F2255"/>
          <cell r="G2255"/>
          <cell r="H2255"/>
          <cell r="I2255"/>
          <cell r="J2255"/>
          <cell r="K2255"/>
          <cell r="L2255"/>
          <cell r="M2255"/>
          <cell r="N2255"/>
          <cell r="O2255"/>
        </row>
        <row r="2256">
          <cell r="A2256" t="str">
            <v>218 ED - LOS PREFERIDOS DEL SEÑOR (CENTRO2)</v>
          </cell>
          <cell r="B2256"/>
          <cell r="C2256">
            <v>4</v>
          </cell>
          <cell r="D2256"/>
          <cell r="E2256"/>
          <cell r="F2256"/>
          <cell r="G2256"/>
          <cell r="H2256"/>
          <cell r="I2256"/>
          <cell r="J2256"/>
          <cell r="K2256"/>
          <cell r="L2256"/>
          <cell r="M2256"/>
          <cell r="N2256"/>
          <cell r="O2256"/>
        </row>
        <row r="2257">
          <cell r="A2257" t="str">
            <v>187 IG - IGLESIA DE DIOS DE LA PROFECÍA</v>
          </cell>
          <cell r="B2257"/>
          <cell r="C2257"/>
          <cell r="D2257">
            <v>48</v>
          </cell>
          <cell r="E2257"/>
          <cell r="F2257"/>
          <cell r="G2257"/>
          <cell r="H2257"/>
          <cell r="I2257"/>
          <cell r="J2257"/>
          <cell r="K2257"/>
          <cell r="L2257"/>
          <cell r="M2257"/>
          <cell r="N2257"/>
          <cell r="O2257"/>
        </row>
        <row r="2258">
          <cell r="A2258" t="str">
            <v>321-IG IGLESIA DIOS ES MI PROVEEDOR Y SUSTENTO</v>
          </cell>
          <cell r="B2258"/>
          <cell r="C2258"/>
          <cell r="D2258">
            <v>24</v>
          </cell>
          <cell r="E2258"/>
          <cell r="F2258"/>
          <cell r="G2258"/>
          <cell r="H2258"/>
          <cell r="I2258"/>
          <cell r="J2258"/>
          <cell r="K2258"/>
          <cell r="L2258"/>
          <cell r="M2258"/>
          <cell r="N2258"/>
          <cell r="O2258"/>
        </row>
        <row r="2259">
          <cell r="A2259" t="str">
            <v>443-FU MINISTERIO BERAKHAH INTERNACIONAL COMEDOR LAS GARZAS #2</v>
          </cell>
          <cell r="B2259"/>
          <cell r="C2259"/>
          <cell r="D2259">
            <v>20</v>
          </cell>
          <cell r="E2259"/>
          <cell r="F2259"/>
          <cell r="G2259"/>
          <cell r="H2259"/>
          <cell r="I2259"/>
          <cell r="J2259"/>
          <cell r="K2259"/>
          <cell r="L2259"/>
          <cell r="M2259"/>
          <cell r="N2259"/>
          <cell r="O2259"/>
        </row>
        <row r="2260">
          <cell r="A2260" t="str">
            <v>694 - FU MINISTERIO BERAKHAH INTERNACIONAL TOCUMEN #2</v>
          </cell>
          <cell r="B2260"/>
          <cell r="C2260"/>
          <cell r="D2260">
            <v>44</v>
          </cell>
          <cell r="E2260"/>
          <cell r="F2260"/>
          <cell r="G2260"/>
          <cell r="H2260"/>
          <cell r="I2260"/>
          <cell r="J2260"/>
          <cell r="K2260"/>
          <cell r="L2260"/>
          <cell r="M2260"/>
          <cell r="N2260"/>
          <cell r="O2260"/>
        </row>
        <row r="2261">
          <cell r="A2261" t="str">
            <v>695 - FU MINISTERIO BERAKHAH INTERNACIONAL 24 DIC</v>
          </cell>
          <cell r="B2261"/>
          <cell r="C2261"/>
          <cell r="D2261">
            <v>40</v>
          </cell>
          <cell r="E2261"/>
          <cell r="F2261"/>
          <cell r="G2261"/>
          <cell r="H2261"/>
          <cell r="I2261"/>
          <cell r="J2261"/>
          <cell r="K2261"/>
          <cell r="L2261"/>
          <cell r="M2261"/>
          <cell r="N2261"/>
          <cell r="O2261"/>
        </row>
        <row r="2262">
          <cell r="A2262" t="str">
            <v>703 - FU MINISTERIO BERAKHAH INTERNACIONAL FELIPILLO #3</v>
          </cell>
          <cell r="B2262"/>
          <cell r="C2262"/>
          <cell r="D2262">
            <v>20</v>
          </cell>
          <cell r="E2262"/>
          <cell r="F2262"/>
          <cell r="G2262"/>
          <cell r="H2262"/>
          <cell r="I2262"/>
          <cell r="J2262"/>
          <cell r="K2262"/>
          <cell r="L2262"/>
          <cell r="M2262"/>
          <cell r="N2262"/>
          <cell r="O2262"/>
        </row>
        <row r="2263">
          <cell r="A2263" t="str">
            <v>444-FU MINISTERIO BERAKHAH INTERNACIONAL COMEDOR LAS GARZAS #1</v>
          </cell>
          <cell r="B2263"/>
          <cell r="C2263"/>
          <cell r="D2263">
            <v>40</v>
          </cell>
          <cell r="E2263"/>
          <cell r="F2263"/>
          <cell r="G2263"/>
          <cell r="H2263"/>
          <cell r="I2263"/>
          <cell r="J2263"/>
          <cell r="K2263"/>
          <cell r="L2263"/>
          <cell r="M2263"/>
          <cell r="N2263"/>
          <cell r="O2263"/>
        </row>
        <row r="2264">
          <cell r="A2264" t="str">
            <v>366-FU CENTRO MISIONERO EL SHADAI (ESTE)</v>
          </cell>
          <cell r="B2264"/>
          <cell r="C2264"/>
          <cell r="D2264">
            <v>68</v>
          </cell>
          <cell r="E2264"/>
          <cell r="F2264"/>
          <cell r="G2264"/>
          <cell r="H2264"/>
          <cell r="I2264"/>
          <cell r="J2264"/>
          <cell r="K2264"/>
          <cell r="L2264"/>
          <cell r="M2264"/>
          <cell r="N2264"/>
          <cell r="O2264"/>
        </row>
        <row r="2265">
          <cell r="A2265" t="str">
            <v>498-FU COMEDOR NIÑOS DE BENDICION</v>
          </cell>
          <cell r="B2265"/>
          <cell r="C2265"/>
          <cell r="D2265"/>
          <cell r="E2265">
            <v>4</v>
          </cell>
          <cell r="F2265"/>
          <cell r="G2265"/>
          <cell r="H2265"/>
          <cell r="I2265"/>
          <cell r="J2265"/>
          <cell r="K2265"/>
          <cell r="L2265"/>
          <cell r="M2265"/>
          <cell r="N2265"/>
          <cell r="O2265"/>
        </row>
        <row r="2266">
          <cell r="A2266" t="str">
            <v>288 IG MINISTERIO EVANGELISTICO DE SANACION Y RESTAURACION, SENALES, MILAGROS Y MARAVILLAS (ESTE)</v>
          </cell>
          <cell r="B2266"/>
          <cell r="C2266"/>
          <cell r="D2266">
            <v>40</v>
          </cell>
          <cell r="E2266"/>
          <cell r="F2266"/>
          <cell r="G2266"/>
          <cell r="H2266"/>
          <cell r="I2266"/>
          <cell r="J2266"/>
          <cell r="K2266"/>
          <cell r="L2266"/>
          <cell r="M2266"/>
          <cell r="N2266"/>
          <cell r="O2266"/>
        </row>
        <row r="2267">
          <cell r="A2267" t="str">
            <v>701 - FU MINISTERIO BERAKHAH INTERNACIONAL LOS ANDES</v>
          </cell>
          <cell r="B2267"/>
          <cell r="C2267"/>
          <cell r="D2267"/>
          <cell r="E2267"/>
          <cell r="F2267"/>
          <cell r="G2267"/>
          <cell r="H2267"/>
          <cell r="I2267">
            <v>4</v>
          </cell>
          <cell r="J2267"/>
          <cell r="K2267"/>
          <cell r="L2267"/>
          <cell r="M2267"/>
          <cell r="N2267"/>
          <cell r="O2267"/>
        </row>
        <row r="2268">
          <cell r="A2268" t="str">
            <v>691 - AR CARITAS ARQUIDIOCESANA</v>
          </cell>
          <cell r="B2268"/>
          <cell r="C2268">
            <v>20</v>
          </cell>
          <cell r="D2268"/>
          <cell r="E2268"/>
          <cell r="F2268"/>
          <cell r="G2268"/>
          <cell r="H2268"/>
          <cell r="I2268"/>
          <cell r="J2268"/>
          <cell r="K2268"/>
          <cell r="L2268"/>
          <cell r="M2268"/>
          <cell r="N2268"/>
          <cell r="O2268"/>
        </row>
        <row r="2269">
          <cell r="A2269" t="str">
            <v>431-IG IGLESIA ADVENTISTA DISTRITO 8</v>
          </cell>
          <cell r="B2269"/>
          <cell r="C2269"/>
          <cell r="D2269">
            <v>20</v>
          </cell>
          <cell r="E2269"/>
          <cell r="F2269"/>
          <cell r="G2269"/>
          <cell r="H2269"/>
          <cell r="I2269"/>
          <cell r="J2269"/>
          <cell r="K2269"/>
          <cell r="L2269"/>
          <cell r="M2269"/>
          <cell r="N2269"/>
          <cell r="O2269"/>
        </row>
        <row r="2270">
          <cell r="A2270" t="str">
            <v>368-FU MINISTERIO PACTO DE SANTIDAD</v>
          </cell>
          <cell r="B2270"/>
          <cell r="C2270">
            <v>48</v>
          </cell>
          <cell r="D2270"/>
          <cell r="E2270"/>
          <cell r="F2270"/>
          <cell r="G2270"/>
          <cell r="H2270"/>
          <cell r="I2270"/>
          <cell r="J2270"/>
          <cell r="K2270"/>
          <cell r="L2270"/>
          <cell r="M2270"/>
          <cell r="N2270"/>
          <cell r="O2270"/>
        </row>
        <row r="2271">
          <cell r="A2271" t="str">
            <v>654 - IG M.I.A.F NUEVA JERUSALEN PANAMA (ESTE)</v>
          </cell>
          <cell r="B2271"/>
          <cell r="C2271"/>
          <cell r="D2271">
            <v>20</v>
          </cell>
          <cell r="E2271"/>
          <cell r="F2271"/>
          <cell r="G2271"/>
          <cell r="H2271"/>
          <cell r="I2271"/>
          <cell r="J2271"/>
          <cell r="K2271"/>
          <cell r="L2271"/>
          <cell r="M2271"/>
          <cell r="N2271"/>
          <cell r="O2271"/>
        </row>
        <row r="2272">
          <cell r="A2272" t="str">
            <v>487-FU FUNDACION CASA AVE MARIA</v>
          </cell>
          <cell r="B2272"/>
          <cell r="C2272"/>
          <cell r="D2272"/>
          <cell r="E2272">
            <v>16</v>
          </cell>
          <cell r="F2272"/>
          <cell r="G2272"/>
          <cell r="H2272"/>
          <cell r="I2272"/>
          <cell r="J2272"/>
          <cell r="K2272"/>
          <cell r="L2272"/>
          <cell r="M2272"/>
          <cell r="N2272"/>
          <cell r="O2272"/>
        </row>
        <row r="2273">
          <cell r="A2273" t="str">
            <v>284 - IG MINISTERIO PAN DE VIDA</v>
          </cell>
          <cell r="B2273"/>
          <cell r="C2273"/>
          <cell r="D2273"/>
          <cell r="E2273"/>
          <cell r="F2273"/>
          <cell r="G2273"/>
          <cell r="H2273"/>
          <cell r="I2273"/>
          <cell r="J2273">
            <v>9</v>
          </cell>
          <cell r="K2273"/>
          <cell r="L2273"/>
          <cell r="M2273"/>
          <cell r="N2273"/>
          <cell r="O2273"/>
        </row>
        <row r="2274">
          <cell r="A2274" t="str">
            <v>2 PA - PARROQUIA SAN JUAN MARIA VIANNEY (NORTE)</v>
          </cell>
          <cell r="B2274"/>
          <cell r="C2274"/>
          <cell r="D2274"/>
          <cell r="E2274"/>
          <cell r="F2274"/>
          <cell r="G2274"/>
          <cell r="H2274"/>
          <cell r="I2274">
            <v>20</v>
          </cell>
          <cell r="J2274"/>
          <cell r="K2274"/>
          <cell r="L2274"/>
          <cell r="M2274"/>
          <cell r="N2274"/>
          <cell r="O2274"/>
        </row>
        <row r="2275">
          <cell r="A2275" t="str">
            <v>696 - FU MINISTERIO BERAKHAH INTERNACIONAL CHEPO #1</v>
          </cell>
          <cell r="B2275"/>
          <cell r="C2275"/>
          <cell r="D2275">
            <v>8</v>
          </cell>
          <cell r="E2275"/>
          <cell r="F2275"/>
          <cell r="G2275"/>
          <cell r="H2275"/>
          <cell r="I2275"/>
          <cell r="J2275"/>
          <cell r="K2275"/>
          <cell r="L2275"/>
          <cell r="M2275"/>
          <cell r="N2275"/>
          <cell r="O2275"/>
        </row>
        <row r="2276">
          <cell r="A2276" t="str">
            <v>472-FU FUNDACION TALITA CUMI</v>
          </cell>
          <cell r="B2276"/>
          <cell r="C2276"/>
          <cell r="D2276">
            <v>8</v>
          </cell>
          <cell r="E2276"/>
          <cell r="F2276"/>
          <cell r="G2276"/>
          <cell r="H2276"/>
          <cell r="I2276"/>
          <cell r="J2276"/>
          <cell r="K2276"/>
          <cell r="L2276"/>
          <cell r="M2276"/>
          <cell r="N2276"/>
          <cell r="O2276"/>
        </row>
        <row r="2277">
          <cell r="A2277" t="str">
            <v>259 IG - ALCANCE VICTORIA PANAMÁ</v>
          </cell>
          <cell r="B2277"/>
          <cell r="C2277">
            <v>72</v>
          </cell>
          <cell r="D2277"/>
          <cell r="E2277"/>
          <cell r="F2277"/>
          <cell r="G2277"/>
          <cell r="H2277"/>
          <cell r="I2277"/>
          <cell r="J2277"/>
          <cell r="K2277"/>
          <cell r="L2277"/>
          <cell r="M2277"/>
          <cell r="N2277"/>
          <cell r="O2277"/>
        </row>
        <row r="2278">
          <cell r="A2278" t="str">
            <v>300 ED - BENEFICIARIOS</v>
          </cell>
          <cell r="B2278"/>
          <cell r="C2278"/>
          <cell r="D2278">
            <v>22.5</v>
          </cell>
          <cell r="E2278"/>
          <cell r="F2278"/>
          <cell r="G2278"/>
          <cell r="H2278"/>
          <cell r="I2278"/>
          <cell r="J2278"/>
          <cell r="K2278"/>
          <cell r="L2278"/>
          <cell r="M2278"/>
          <cell r="N2278"/>
          <cell r="O2278"/>
        </row>
        <row r="2279">
          <cell r="A2279" t="str">
            <v>657 - FU CENTRO COMUNITARIO MONTAÑAS DE ESPERANZA (RETIRO EN EL BAP)</v>
          </cell>
          <cell r="B2279"/>
          <cell r="C2279"/>
          <cell r="D2279">
            <v>20</v>
          </cell>
          <cell r="E2279"/>
          <cell r="F2279"/>
          <cell r="G2279"/>
          <cell r="H2279"/>
          <cell r="I2279"/>
          <cell r="J2279"/>
          <cell r="K2279"/>
          <cell r="L2279"/>
          <cell r="M2279"/>
          <cell r="N2279"/>
          <cell r="O2279"/>
        </row>
        <row r="2280">
          <cell r="A2280" t="str">
            <v>630-IG MIN.INTL.DE CRISTO PAZ DE DIOS</v>
          </cell>
          <cell r="B2280"/>
          <cell r="C2280">
            <v>68</v>
          </cell>
          <cell r="D2280"/>
          <cell r="E2280"/>
          <cell r="F2280"/>
          <cell r="G2280"/>
          <cell r="H2280"/>
          <cell r="I2280"/>
          <cell r="J2280"/>
          <cell r="K2280"/>
          <cell r="L2280"/>
          <cell r="M2280"/>
          <cell r="N2280"/>
          <cell r="O2280"/>
        </row>
        <row r="2281">
          <cell r="A2281" t="str">
            <v>195 ED - JUNTOS PODEMOS</v>
          </cell>
          <cell r="B2281"/>
          <cell r="C2281">
            <v>80</v>
          </cell>
          <cell r="D2281"/>
          <cell r="E2281"/>
          <cell r="F2281"/>
          <cell r="G2281"/>
          <cell r="H2281"/>
          <cell r="I2281"/>
          <cell r="J2281"/>
          <cell r="K2281"/>
          <cell r="L2281"/>
          <cell r="M2281"/>
          <cell r="N2281"/>
          <cell r="O2281"/>
        </row>
        <row r="2282">
          <cell r="A2282" t="str">
            <v>670 - FU FUNDACION MINISTERIIO CRISTIANO EL REINO DE DIOS (ESTE)</v>
          </cell>
          <cell r="B2282"/>
          <cell r="C2282"/>
          <cell r="D2282">
            <v>20</v>
          </cell>
          <cell r="E2282"/>
          <cell r="F2282"/>
          <cell r="G2282"/>
          <cell r="H2282"/>
          <cell r="I2282"/>
          <cell r="J2282"/>
          <cell r="K2282"/>
          <cell r="L2282"/>
          <cell r="M2282"/>
          <cell r="N2282"/>
          <cell r="O2282"/>
        </row>
        <row r="2283">
          <cell r="A2283" t="str">
            <v>235 FU - FUNDACION GRUPO ENVIADOS</v>
          </cell>
          <cell r="B2283"/>
          <cell r="C2283"/>
          <cell r="D2283">
            <v>40</v>
          </cell>
          <cell r="E2283"/>
          <cell r="F2283"/>
          <cell r="G2283"/>
          <cell r="H2283"/>
          <cell r="I2283"/>
          <cell r="J2283"/>
          <cell r="K2283"/>
          <cell r="L2283"/>
          <cell r="M2283"/>
          <cell r="N2283"/>
          <cell r="O2283"/>
        </row>
        <row r="2284">
          <cell r="A2284" t="str">
            <v>451-IG IGLESIA MANANTIAL DE VIDA (ESTE)</v>
          </cell>
          <cell r="B2284"/>
          <cell r="C2284"/>
          <cell r="D2284">
            <v>20</v>
          </cell>
          <cell r="E2284"/>
          <cell r="F2284"/>
          <cell r="G2284"/>
          <cell r="H2284"/>
          <cell r="I2284"/>
          <cell r="J2284"/>
          <cell r="K2284"/>
          <cell r="L2284"/>
          <cell r="M2284"/>
          <cell r="N2284"/>
          <cell r="O2284"/>
        </row>
        <row r="2285">
          <cell r="A2285" t="str">
            <v>597- IG MINISTERIO APOSTOLICO NEMUEL INTERNACIONAL</v>
          </cell>
          <cell r="B2285"/>
          <cell r="C2285"/>
          <cell r="D2285">
            <v>24</v>
          </cell>
          <cell r="E2285"/>
          <cell r="F2285"/>
          <cell r="G2285"/>
          <cell r="H2285"/>
          <cell r="I2285"/>
          <cell r="J2285"/>
          <cell r="K2285"/>
          <cell r="L2285"/>
          <cell r="M2285"/>
          <cell r="N2285"/>
          <cell r="O2285"/>
        </row>
        <row r="2286">
          <cell r="A2286" t="str">
            <v>647 - IG CRISTO REY CAMBIANDO VIDAS (ESTE)</v>
          </cell>
          <cell r="B2286"/>
          <cell r="C2286"/>
          <cell r="D2286">
            <v>20</v>
          </cell>
          <cell r="E2286"/>
          <cell r="F2286"/>
          <cell r="G2286"/>
          <cell r="H2286"/>
          <cell r="I2286"/>
          <cell r="J2286"/>
          <cell r="K2286"/>
          <cell r="L2286"/>
          <cell r="M2286"/>
          <cell r="N2286"/>
          <cell r="O2286"/>
        </row>
        <row r="2287">
          <cell r="A2287" t="str">
            <v>417-AS CLUB DE LEONES DE PEDREGAL (ESTE)</v>
          </cell>
          <cell r="B2287"/>
          <cell r="C2287"/>
          <cell r="D2287">
            <v>20</v>
          </cell>
          <cell r="E2287"/>
          <cell r="F2287"/>
          <cell r="G2287"/>
          <cell r="H2287"/>
          <cell r="I2287"/>
          <cell r="J2287"/>
          <cell r="K2287"/>
          <cell r="L2287"/>
          <cell r="M2287"/>
          <cell r="N2287"/>
          <cell r="O2287"/>
        </row>
        <row r="2288">
          <cell r="A2288" t="str">
            <v>252 IG - MINISTERIO INTERNACIONAL DE AMISTADES CRISTIANAS</v>
          </cell>
          <cell r="B2288"/>
          <cell r="C2288"/>
          <cell r="D2288">
            <v>20</v>
          </cell>
          <cell r="E2288"/>
          <cell r="F2288"/>
          <cell r="G2288"/>
          <cell r="H2288"/>
          <cell r="I2288"/>
          <cell r="J2288"/>
          <cell r="K2288"/>
          <cell r="L2288"/>
          <cell r="M2288"/>
          <cell r="N2288"/>
          <cell r="O2288"/>
        </row>
        <row r="2289">
          <cell r="A2289" t="str">
            <v>339-AS ASOCIACION RESIDENCIA LISBETH</v>
          </cell>
          <cell r="B2289"/>
          <cell r="C2289"/>
          <cell r="D2289">
            <v>12</v>
          </cell>
          <cell r="E2289"/>
          <cell r="F2289"/>
          <cell r="G2289"/>
          <cell r="H2289"/>
          <cell r="I2289"/>
          <cell r="J2289"/>
          <cell r="K2289"/>
          <cell r="L2289"/>
          <cell r="M2289"/>
          <cell r="N2289"/>
          <cell r="O2289"/>
        </row>
        <row r="2290">
          <cell r="A2290" t="str">
            <v>672 - FU FUNDACION NUEVO PACTO POR LA NIÑEZ</v>
          </cell>
          <cell r="B2290"/>
          <cell r="C2290">
            <v>20</v>
          </cell>
          <cell r="D2290"/>
          <cell r="E2290"/>
          <cell r="F2290"/>
          <cell r="G2290"/>
          <cell r="H2290"/>
          <cell r="I2290"/>
          <cell r="J2290"/>
          <cell r="K2290"/>
          <cell r="L2290"/>
          <cell r="M2290"/>
          <cell r="N2290"/>
          <cell r="O2290"/>
        </row>
        <row r="2291">
          <cell r="A2291" t="str">
            <v>719 FU FUNDACION VIDA NUEVA EL SHADDAI</v>
          </cell>
          <cell r="B2291"/>
          <cell r="C2291"/>
          <cell r="D2291"/>
          <cell r="E2291"/>
          <cell r="F2291"/>
          <cell r="G2291">
            <v>4</v>
          </cell>
          <cell r="H2291"/>
          <cell r="I2291"/>
          <cell r="J2291"/>
          <cell r="K2291"/>
          <cell r="L2291"/>
          <cell r="M2291"/>
          <cell r="N2291"/>
          <cell r="O2291"/>
        </row>
        <row r="2292">
          <cell r="A2292" t="str">
            <v>54 FU - FUNDACIÓN CASA HOGAR EL BUEN SAMARITANO</v>
          </cell>
          <cell r="B2292"/>
          <cell r="C2292"/>
          <cell r="D2292">
            <v>40</v>
          </cell>
          <cell r="E2292"/>
          <cell r="F2292"/>
          <cell r="G2292"/>
          <cell r="H2292"/>
          <cell r="I2292"/>
          <cell r="J2292"/>
          <cell r="K2292"/>
          <cell r="L2292"/>
          <cell r="M2292"/>
          <cell r="N2292"/>
          <cell r="O2292"/>
        </row>
        <row r="2293">
          <cell r="A2293" t="str">
            <v>684 - FU FUNDACION CASA DEL REY JESUS (CENTRO 2)</v>
          </cell>
          <cell r="B2293"/>
          <cell r="C2293">
            <v>68</v>
          </cell>
          <cell r="D2293"/>
          <cell r="E2293"/>
          <cell r="F2293"/>
          <cell r="G2293"/>
          <cell r="H2293"/>
          <cell r="I2293"/>
          <cell r="J2293"/>
          <cell r="K2293"/>
          <cell r="L2293"/>
          <cell r="M2293"/>
          <cell r="N2293"/>
          <cell r="O2293"/>
        </row>
        <row r="2294">
          <cell r="A2294" t="str">
            <v>596 IG- IGLESIA EVANGELICA TRINITARIA DIOS FUENTE DE PODER</v>
          </cell>
          <cell r="B2294"/>
          <cell r="C2294">
            <v>20</v>
          </cell>
          <cell r="D2294"/>
          <cell r="E2294"/>
          <cell r="F2294"/>
          <cell r="G2294"/>
          <cell r="H2294"/>
          <cell r="I2294"/>
          <cell r="J2294"/>
          <cell r="K2294"/>
          <cell r="L2294"/>
          <cell r="M2294"/>
          <cell r="N2294"/>
          <cell r="O2294"/>
        </row>
        <row r="2295">
          <cell r="A2295" t="str">
            <v>166 FU - FUNDACION CURAME</v>
          </cell>
          <cell r="B2295"/>
          <cell r="C2295">
            <v>20</v>
          </cell>
          <cell r="D2295"/>
          <cell r="E2295"/>
          <cell r="F2295"/>
          <cell r="G2295"/>
          <cell r="H2295"/>
          <cell r="I2295"/>
          <cell r="J2295"/>
          <cell r="K2295"/>
          <cell r="L2295"/>
          <cell r="M2295"/>
          <cell r="N2295"/>
          <cell r="O2295"/>
        </row>
        <row r="2296">
          <cell r="A2296" t="str">
            <v>390-FU FUNDACION CRISTIANA FAMILIAR EL TALLER DEL MAESTRO (CENTRO1)</v>
          </cell>
          <cell r="B2296"/>
          <cell r="C2296">
            <v>20</v>
          </cell>
          <cell r="D2296"/>
          <cell r="E2296"/>
          <cell r="F2296"/>
          <cell r="G2296"/>
          <cell r="H2296"/>
          <cell r="I2296"/>
          <cell r="J2296"/>
          <cell r="K2296"/>
          <cell r="L2296"/>
          <cell r="M2296"/>
          <cell r="N2296"/>
          <cell r="O2296"/>
        </row>
        <row r="2297">
          <cell r="A2297" t="str">
            <v>738- IG MINISTERIO DIOS CON NOSOTROS EMANUEL</v>
          </cell>
          <cell r="B2297"/>
          <cell r="C2297"/>
          <cell r="D2297">
            <v>44</v>
          </cell>
          <cell r="E2297"/>
          <cell r="F2297"/>
          <cell r="G2297"/>
          <cell r="H2297"/>
          <cell r="I2297"/>
          <cell r="J2297"/>
          <cell r="K2297"/>
          <cell r="L2297"/>
          <cell r="M2297"/>
          <cell r="N2297"/>
          <cell r="O2297"/>
        </row>
        <row r="2298">
          <cell r="A2298" t="str">
            <v>743- ED CLUB FAMILIA DEPORTIVA</v>
          </cell>
          <cell r="B2298"/>
          <cell r="C2298">
            <v>20</v>
          </cell>
          <cell r="D2298"/>
          <cell r="E2298"/>
          <cell r="F2298"/>
          <cell r="G2298"/>
          <cell r="H2298"/>
          <cell r="I2298"/>
          <cell r="J2298"/>
          <cell r="K2298"/>
          <cell r="L2298"/>
          <cell r="M2298"/>
          <cell r="N2298"/>
          <cell r="O2298"/>
        </row>
        <row r="2299">
          <cell r="A2299" t="str">
            <v>745-FU CASA DE MISERICORDIA</v>
          </cell>
          <cell r="B2299"/>
          <cell r="C2299">
            <v>20</v>
          </cell>
          <cell r="D2299"/>
          <cell r="E2299"/>
          <cell r="F2299"/>
          <cell r="G2299"/>
          <cell r="H2299"/>
          <cell r="I2299"/>
          <cell r="J2299"/>
          <cell r="K2299"/>
          <cell r="L2299"/>
          <cell r="M2299"/>
          <cell r="N2299"/>
          <cell r="O2299"/>
        </row>
        <row r="2300">
          <cell r="A2300" t="str">
            <v>749-IG Ministerio Tabernáculo de Santidad Internación (Guararé)</v>
          </cell>
          <cell r="B2300"/>
          <cell r="C2300"/>
          <cell r="D2300"/>
          <cell r="E2300"/>
          <cell r="F2300"/>
          <cell r="G2300"/>
          <cell r="H2300"/>
          <cell r="I2300"/>
          <cell r="J2300"/>
          <cell r="K2300"/>
          <cell r="L2300"/>
          <cell r="M2300">
            <v>4.5</v>
          </cell>
          <cell r="N2300"/>
          <cell r="O2300"/>
        </row>
        <row r="2301">
          <cell r="A2301" t="str">
            <v>613-FU FUNDACION INMARE</v>
          </cell>
          <cell r="B2301"/>
          <cell r="C2301"/>
          <cell r="D2301"/>
          <cell r="E2301"/>
          <cell r="F2301"/>
          <cell r="G2301"/>
          <cell r="H2301"/>
          <cell r="I2301"/>
          <cell r="J2301"/>
          <cell r="K2301">
            <v>40.5</v>
          </cell>
          <cell r="L2301"/>
          <cell r="M2301"/>
          <cell r="N2301"/>
          <cell r="O2301"/>
        </row>
        <row r="2302">
          <cell r="A2302" t="str">
            <v>281-FU FUNDACIÓN CAMBIO CREATIVO</v>
          </cell>
          <cell r="B2302"/>
          <cell r="C2302"/>
          <cell r="D2302"/>
          <cell r="E2302"/>
          <cell r="F2302"/>
          <cell r="G2302"/>
          <cell r="H2302">
            <v>20</v>
          </cell>
          <cell r="I2302"/>
          <cell r="J2302"/>
          <cell r="K2302"/>
          <cell r="L2302"/>
          <cell r="M2302"/>
          <cell r="N2302"/>
          <cell r="O2302"/>
        </row>
        <row r="2303">
          <cell r="A2303" t="str">
            <v>759-FU SOLO ES CUESTION DE FE</v>
          </cell>
          <cell r="B2303"/>
          <cell r="C2303"/>
          <cell r="D2303">
            <v>20</v>
          </cell>
          <cell r="E2303"/>
          <cell r="F2303"/>
          <cell r="G2303"/>
          <cell r="H2303"/>
          <cell r="I2303"/>
          <cell r="J2303"/>
          <cell r="K2303"/>
          <cell r="L2303"/>
          <cell r="M2303"/>
          <cell r="N2303"/>
          <cell r="O2303"/>
        </row>
        <row r="2304">
          <cell r="A2304" t="str">
            <v>765-IG EXPANSION MISIONERA RIOS DE AGUA VIVA</v>
          </cell>
          <cell r="B2304"/>
          <cell r="C2304"/>
          <cell r="D2304"/>
          <cell r="E2304"/>
          <cell r="F2304"/>
          <cell r="G2304"/>
          <cell r="H2304"/>
          <cell r="I2304"/>
          <cell r="J2304"/>
          <cell r="K2304"/>
          <cell r="L2304">
            <v>13.5</v>
          </cell>
          <cell r="M2304"/>
          <cell r="N2304"/>
          <cell r="O2304"/>
        </row>
        <row r="2305">
          <cell r="A2305" t="str">
            <v>766-IG MINISTERIO BET-EL</v>
          </cell>
          <cell r="B2305"/>
          <cell r="C2305"/>
          <cell r="D2305"/>
          <cell r="E2305"/>
          <cell r="F2305"/>
          <cell r="G2305"/>
          <cell r="H2305"/>
          <cell r="I2305"/>
          <cell r="J2305"/>
          <cell r="K2305"/>
          <cell r="L2305"/>
          <cell r="M2305"/>
          <cell r="N2305"/>
          <cell r="O2305">
            <v>9</v>
          </cell>
        </row>
        <row r="2306">
          <cell r="A2306" t="str">
            <v>785-FU FUNDACION GOTAS DE ESPERANZA</v>
          </cell>
          <cell r="B2306"/>
          <cell r="C2306"/>
          <cell r="D2306"/>
          <cell r="E2306">
            <v>24</v>
          </cell>
          <cell r="F2306"/>
          <cell r="G2306"/>
          <cell r="H2306"/>
          <cell r="I2306"/>
          <cell r="J2306"/>
          <cell r="K2306"/>
          <cell r="L2306"/>
          <cell r="M2306"/>
          <cell r="N2306"/>
          <cell r="O2306"/>
        </row>
        <row r="2307">
          <cell r="A2307" t="str">
            <v>789-FU Fundación Rescate de Alimentos</v>
          </cell>
          <cell r="B2307"/>
          <cell r="C2307">
            <v>20</v>
          </cell>
          <cell r="D2307"/>
          <cell r="E2307"/>
          <cell r="F2307"/>
          <cell r="G2307"/>
          <cell r="H2307"/>
          <cell r="I2307"/>
          <cell r="J2307"/>
          <cell r="K2307"/>
          <cell r="L2307"/>
          <cell r="M2307"/>
          <cell r="N2307"/>
          <cell r="O2307"/>
        </row>
        <row r="2308">
          <cell r="A2308" t="str">
            <v>804-IG Templo Misionero Eclesiastés</v>
          </cell>
          <cell r="B2308"/>
          <cell r="C2308"/>
          <cell r="D2308"/>
          <cell r="E2308"/>
          <cell r="F2308"/>
          <cell r="G2308"/>
          <cell r="H2308"/>
          <cell r="I2308">
            <v>20</v>
          </cell>
          <cell r="J2308"/>
          <cell r="K2308"/>
          <cell r="L2308"/>
          <cell r="M2308"/>
          <cell r="N2308"/>
          <cell r="O2308"/>
        </row>
        <row r="2309">
          <cell r="A2309" t="str">
            <v>661 - FU FUNDACION MAS INTEGRADOS (DARIEN)</v>
          </cell>
          <cell r="B2309"/>
          <cell r="C2309"/>
          <cell r="D2309"/>
          <cell r="E2309"/>
          <cell r="F2309">
            <v>40</v>
          </cell>
          <cell r="G2309"/>
          <cell r="H2309"/>
          <cell r="I2309"/>
          <cell r="J2309"/>
          <cell r="K2309"/>
          <cell r="L2309"/>
          <cell r="M2309"/>
          <cell r="N2309"/>
          <cell r="O2309"/>
        </row>
        <row r="2310">
          <cell r="A2310" t="str">
            <v>253 FU - FUNDACIÓN PARA EL BIENESTAR SOCIAL (CENTRO2)</v>
          </cell>
          <cell r="B2310"/>
          <cell r="C2310">
            <v>20</v>
          </cell>
          <cell r="D2310"/>
          <cell r="E2310"/>
          <cell r="F2310"/>
          <cell r="G2310"/>
          <cell r="H2310"/>
          <cell r="I2310"/>
          <cell r="J2310"/>
          <cell r="K2310"/>
          <cell r="L2310"/>
          <cell r="M2310"/>
          <cell r="N2310"/>
          <cell r="O2310"/>
        </row>
        <row r="2311">
          <cell r="A2311" t="str">
            <v>650 - IG ASOCIACION CRISTIANA EBEN - EZER #27 (ESTE)</v>
          </cell>
          <cell r="B2311"/>
          <cell r="C2311"/>
          <cell r="D2311">
            <v>20</v>
          </cell>
          <cell r="E2311"/>
          <cell r="F2311"/>
          <cell r="G2311"/>
          <cell r="H2311"/>
          <cell r="I2311"/>
          <cell r="J2311"/>
          <cell r="K2311"/>
          <cell r="L2311"/>
          <cell r="M2311"/>
          <cell r="N2311"/>
          <cell r="O2311"/>
        </row>
        <row r="2312">
          <cell r="A2312" t="str">
            <v>756-FU Fundación Nuevas Rutas</v>
          </cell>
          <cell r="B2312"/>
          <cell r="C2312"/>
          <cell r="D2312"/>
          <cell r="E2312"/>
          <cell r="F2312"/>
          <cell r="G2312"/>
          <cell r="H2312"/>
          <cell r="I2312"/>
          <cell r="J2312">
            <v>36</v>
          </cell>
          <cell r="K2312"/>
          <cell r="L2312"/>
          <cell r="M2312"/>
          <cell r="N2312"/>
          <cell r="O2312"/>
        </row>
        <row r="2313">
          <cell r="A2313" t="str">
            <v>770-IG CENTRO CRISTIANO NUEVA VIDA</v>
          </cell>
          <cell r="B2313"/>
          <cell r="C2313"/>
          <cell r="D2313"/>
          <cell r="E2313"/>
          <cell r="F2313"/>
          <cell r="G2313"/>
          <cell r="H2313"/>
          <cell r="I2313"/>
          <cell r="J2313"/>
          <cell r="K2313">
            <v>9</v>
          </cell>
          <cell r="L2313"/>
          <cell r="M2313"/>
          <cell r="N2313"/>
          <cell r="O2313"/>
        </row>
        <row r="2314">
          <cell r="A2314" t="str">
            <v>827-FU Fundación Transformemos mi comunidad</v>
          </cell>
          <cell r="B2314"/>
          <cell r="C2314"/>
          <cell r="D2314"/>
          <cell r="E2314">
            <v>20</v>
          </cell>
          <cell r="F2314"/>
          <cell r="G2314"/>
          <cell r="H2314"/>
          <cell r="I2314"/>
          <cell r="J2314"/>
          <cell r="K2314"/>
          <cell r="L2314"/>
          <cell r="M2314"/>
          <cell r="N2314"/>
          <cell r="O2314"/>
        </row>
        <row r="2315">
          <cell r="A2315" t="str">
            <v>PROCESADORA MONICA, S.A</v>
          </cell>
          <cell r="B2315"/>
          <cell r="C2315"/>
          <cell r="D2315"/>
          <cell r="E2315"/>
          <cell r="F2315"/>
          <cell r="G2315"/>
          <cell r="H2315"/>
          <cell r="I2315"/>
          <cell r="J2315">
            <v>22</v>
          </cell>
          <cell r="K2315">
            <v>58</v>
          </cell>
          <cell r="L2315">
            <v>4</v>
          </cell>
          <cell r="M2315">
            <v>14</v>
          </cell>
          <cell r="N2315"/>
          <cell r="O2315">
            <v>32</v>
          </cell>
        </row>
        <row r="2316">
          <cell r="A2316" t="str">
            <v>668 - FU FUNDACION CRISTIANA LA FE EN MARCHA</v>
          </cell>
          <cell r="B2316"/>
          <cell r="C2316"/>
          <cell r="D2316"/>
          <cell r="E2316"/>
          <cell r="F2316"/>
          <cell r="G2316"/>
          <cell r="H2316"/>
          <cell r="I2316"/>
          <cell r="J2316">
            <v>2</v>
          </cell>
          <cell r="K2316"/>
          <cell r="L2316"/>
          <cell r="M2316"/>
          <cell r="N2316"/>
          <cell r="O2316"/>
        </row>
        <row r="2317">
          <cell r="A2317" t="str">
            <v>644 - IG TEMPLO SENDA DE VIDA (CHIRIQUÍ)</v>
          </cell>
          <cell r="B2317"/>
          <cell r="C2317"/>
          <cell r="D2317"/>
          <cell r="E2317"/>
          <cell r="F2317"/>
          <cell r="G2317"/>
          <cell r="H2317"/>
          <cell r="I2317"/>
          <cell r="J2317">
            <v>20</v>
          </cell>
          <cell r="K2317"/>
          <cell r="L2317"/>
          <cell r="M2317"/>
          <cell r="N2317"/>
          <cell r="O2317"/>
        </row>
        <row r="2318">
          <cell r="A2318" t="str">
            <v>750-IG MTSI Santiago</v>
          </cell>
          <cell r="B2318"/>
          <cell r="C2318"/>
          <cell r="D2318"/>
          <cell r="E2318"/>
          <cell r="F2318"/>
          <cell r="G2318"/>
          <cell r="H2318"/>
          <cell r="I2318"/>
          <cell r="J2318"/>
          <cell r="K2318"/>
          <cell r="L2318"/>
          <cell r="M2318">
            <v>14</v>
          </cell>
          <cell r="N2318"/>
          <cell r="O2318"/>
        </row>
        <row r="2319">
          <cell r="A2319" t="str">
            <v>613-FU FUNDACION INMARE</v>
          </cell>
          <cell r="B2319"/>
          <cell r="C2319"/>
          <cell r="D2319"/>
          <cell r="E2319"/>
          <cell r="F2319"/>
          <cell r="G2319"/>
          <cell r="H2319"/>
          <cell r="I2319"/>
          <cell r="J2319"/>
          <cell r="K2319">
            <v>58</v>
          </cell>
          <cell r="L2319"/>
          <cell r="M2319"/>
          <cell r="N2319"/>
          <cell r="O2319"/>
        </row>
        <row r="2320">
          <cell r="A2320" t="str">
            <v>766-IG MINISTERIO BET-EL</v>
          </cell>
          <cell r="B2320"/>
          <cell r="C2320"/>
          <cell r="D2320"/>
          <cell r="E2320"/>
          <cell r="F2320"/>
          <cell r="G2320"/>
          <cell r="H2320"/>
          <cell r="I2320"/>
          <cell r="J2320"/>
          <cell r="K2320"/>
          <cell r="L2320"/>
          <cell r="M2320"/>
          <cell r="N2320"/>
          <cell r="O2320">
            <v>32</v>
          </cell>
        </row>
        <row r="2321">
          <cell r="A2321" t="str">
            <v>753-AS CLUB ACTIVO 20-30 DE CHITRE</v>
          </cell>
          <cell r="B2321"/>
          <cell r="C2321"/>
          <cell r="D2321"/>
          <cell r="E2321"/>
          <cell r="F2321"/>
          <cell r="G2321"/>
          <cell r="H2321"/>
          <cell r="I2321"/>
          <cell r="J2321"/>
          <cell r="K2321"/>
          <cell r="L2321">
            <v>4</v>
          </cell>
          <cell r="M2321"/>
          <cell r="N2321"/>
          <cell r="O2321"/>
        </row>
        <row r="2322">
          <cell r="A2322" t="str">
            <v>SAMBU ARTISAN FOOD, S.A.</v>
          </cell>
          <cell r="B2322"/>
          <cell r="C2322">
            <v>165</v>
          </cell>
          <cell r="D2322">
            <v>120</v>
          </cell>
          <cell r="E2322">
            <v>110</v>
          </cell>
          <cell r="F2322">
            <v>25</v>
          </cell>
          <cell r="G2322">
            <v>35</v>
          </cell>
          <cell r="H2322">
            <v>10</v>
          </cell>
          <cell r="I2322">
            <v>20</v>
          </cell>
          <cell r="J2322"/>
          <cell r="K2322"/>
          <cell r="L2322"/>
          <cell r="M2322"/>
          <cell r="N2322"/>
          <cell r="O2322"/>
        </row>
        <row r="2323">
          <cell r="A2323" t="str">
            <v>702 - FU MINISTERIO BERAKHAH INTERNACIONAL ARRAIJAN</v>
          </cell>
          <cell r="B2323"/>
          <cell r="C2323"/>
          <cell r="D2323"/>
          <cell r="E2323">
            <v>5</v>
          </cell>
          <cell r="F2323"/>
          <cell r="G2323"/>
          <cell r="H2323"/>
          <cell r="I2323"/>
          <cell r="J2323"/>
          <cell r="K2323"/>
          <cell r="L2323"/>
          <cell r="M2323"/>
          <cell r="N2323"/>
          <cell r="O2323"/>
        </row>
        <row r="2324">
          <cell r="A2324" t="str">
            <v>298-FU - MINISTERIO FUENTE DE VIDA PARA EL PERDIDO</v>
          </cell>
          <cell r="B2324"/>
          <cell r="C2324"/>
          <cell r="D2324"/>
          <cell r="E2324"/>
          <cell r="F2324">
            <v>10</v>
          </cell>
          <cell r="G2324"/>
          <cell r="H2324"/>
          <cell r="I2324"/>
          <cell r="J2324"/>
          <cell r="K2324"/>
          <cell r="L2324"/>
          <cell r="M2324"/>
          <cell r="N2324"/>
          <cell r="O2324"/>
        </row>
        <row r="2325">
          <cell r="A2325" t="str">
            <v>178 IG - TEMPLO ZURIEL EL REFUGIO</v>
          </cell>
          <cell r="B2325"/>
          <cell r="C2325"/>
          <cell r="D2325"/>
          <cell r="E2325"/>
          <cell r="F2325"/>
          <cell r="G2325">
            <v>30</v>
          </cell>
          <cell r="H2325"/>
          <cell r="I2325"/>
          <cell r="J2325"/>
          <cell r="K2325"/>
          <cell r="L2325"/>
          <cell r="M2325"/>
          <cell r="N2325"/>
          <cell r="O2325"/>
        </row>
        <row r="2326">
          <cell r="A2326" t="str">
            <v>207 IG - IGLESIA CENTRO DE VIDA CRISTIANA</v>
          </cell>
          <cell r="B2326"/>
          <cell r="C2326"/>
          <cell r="D2326">
            <v>10</v>
          </cell>
          <cell r="E2326"/>
          <cell r="F2326"/>
          <cell r="G2326"/>
          <cell r="H2326"/>
          <cell r="I2326"/>
          <cell r="J2326"/>
          <cell r="K2326"/>
          <cell r="L2326"/>
          <cell r="M2326"/>
          <cell r="N2326"/>
          <cell r="O2326"/>
        </row>
        <row r="2327">
          <cell r="A2327" t="str">
            <v>636- FU JAH - LIVE (JAHL) - COLON</v>
          </cell>
          <cell r="B2327"/>
          <cell r="C2327"/>
          <cell r="D2327"/>
          <cell r="E2327"/>
          <cell r="F2327"/>
          <cell r="G2327"/>
          <cell r="H2327">
            <v>10</v>
          </cell>
          <cell r="I2327"/>
          <cell r="J2327"/>
          <cell r="K2327"/>
          <cell r="L2327"/>
          <cell r="M2327"/>
          <cell r="N2327"/>
          <cell r="O2327"/>
        </row>
        <row r="2328">
          <cell r="A2328" t="str">
            <v>365-IG COMEDOR HEFZIBA</v>
          </cell>
          <cell r="B2328"/>
          <cell r="C2328"/>
          <cell r="D2328"/>
          <cell r="E2328"/>
          <cell r="F2328"/>
          <cell r="G2328"/>
          <cell r="H2328"/>
          <cell r="I2328">
            <v>5</v>
          </cell>
          <cell r="J2328"/>
          <cell r="K2328"/>
          <cell r="L2328"/>
          <cell r="M2328"/>
          <cell r="N2328"/>
          <cell r="O2328"/>
        </row>
        <row r="2329">
          <cell r="A2329" t="str">
            <v>635 TEMPLO ADULAM</v>
          </cell>
          <cell r="B2329"/>
          <cell r="C2329"/>
          <cell r="D2329"/>
          <cell r="E2329">
            <v>5</v>
          </cell>
          <cell r="F2329"/>
          <cell r="G2329"/>
          <cell r="H2329"/>
          <cell r="I2329"/>
          <cell r="J2329"/>
          <cell r="K2329"/>
          <cell r="L2329"/>
          <cell r="M2329"/>
          <cell r="N2329"/>
          <cell r="O2329"/>
        </row>
        <row r="2330">
          <cell r="A2330" t="str">
            <v>687 - FU FUNDACION ARCA DE JESUS</v>
          </cell>
          <cell r="B2330"/>
          <cell r="C2330"/>
          <cell r="D2330"/>
          <cell r="E2330">
            <v>10</v>
          </cell>
          <cell r="F2330"/>
          <cell r="G2330"/>
          <cell r="H2330"/>
          <cell r="I2330"/>
          <cell r="J2330"/>
          <cell r="K2330"/>
          <cell r="L2330"/>
          <cell r="M2330"/>
          <cell r="N2330"/>
          <cell r="O2330"/>
        </row>
        <row r="2331">
          <cell r="A2331" t="str">
            <v>187 IG - IGLESIA DE DIOS DE LA PROFECÍA</v>
          </cell>
          <cell r="B2331"/>
          <cell r="C2331"/>
          <cell r="D2331">
            <v>20</v>
          </cell>
          <cell r="E2331"/>
          <cell r="F2331"/>
          <cell r="G2331"/>
          <cell r="H2331"/>
          <cell r="I2331"/>
          <cell r="J2331"/>
          <cell r="K2331"/>
          <cell r="L2331"/>
          <cell r="M2331"/>
          <cell r="N2331"/>
          <cell r="O2331"/>
        </row>
        <row r="2332">
          <cell r="A2332" t="str">
            <v>366-FU CENTRO MISIONERO EL SHADAI (ESTE)</v>
          </cell>
          <cell r="B2332"/>
          <cell r="C2332"/>
          <cell r="D2332">
            <v>15</v>
          </cell>
          <cell r="E2332"/>
          <cell r="F2332"/>
          <cell r="G2332"/>
          <cell r="H2332"/>
          <cell r="I2332"/>
          <cell r="J2332"/>
          <cell r="K2332"/>
          <cell r="L2332"/>
          <cell r="M2332"/>
          <cell r="N2332"/>
          <cell r="O2332"/>
        </row>
        <row r="2333">
          <cell r="A2333" t="str">
            <v>498-FU COMEDOR NIÑOS DE BENDICION</v>
          </cell>
          <cell r="B2333"/>
          <cell r="C2333"/>
          <cell r="D2333"/>
          <cell r="E2333">
            <v>5</v>
          </cell>
          <cell r="F2333"/>
          <cell r="G2333"/>
          <cell r="H2333"/>
          <cell r="I2333"/>
          <cell r="J2333"/>
          <cell r="K2333"/>
          <cell r="L2333"/>
          <cell r="M2333"/>
          <cell r="N2333"/>
          <cell r="O2333"/>
        </row>
        <row r="2334">
          <cell r="A2334" t="str">
            <v>211 IG - IGLESIA CRISTIANA KADOSH</v>
          </cell>
          <cell r="B2334"/>
          <cell r="C2334">
            <v>5</v>
          </cell>
          <cell r="D2334"/>
          <cell r="E2334"/>
          <cell r="F2334"/>
          <cell r="G2334"/>
          <cell r="H2334"/>
          <cell r="I2334"/>
          <cell r="J2334"/>
          <cell r="K2334"/>
          <cell r="L2334"/>
          <cell r="M2334"/>
          <cell r="N2334"/>
          <cell r="O2334"/>
        </row>
        <row r="2335">
          <cell r="A2335" t="str">
            <v>368-FU MINISTERIO PACTO DE SANTIDAD</v>
          </cell>
          <cell r="B2335"/>
          <cell r="C2335">
            <v>20</v>
          </cell>
          <cell r="D2335"/>
          <cell r="E2335"/>
          <cell r="F2335"/>
          <cell r="G2335"/>
          <cell r="H2335"/>
          <cell r="I2335"/>
          <cell r="J2335"/>
          <cell r="K2335"/>
          <cell r="L2335"/>
          <cell r="M2335"/>
          <cell r="N2335"/>
          <cell r="O2335"/>
        </row>
        <row r="2336">
          <cell r="A2336" t="str">
            <v>487-FU FUNDACION CASA AVE MARIA</v>
          </cell>
          <cell r="B2336"/>
          <cell r="C2336"/>
          <cell r="D2336"/>
          <cell r="E2336">
            <v>75</v>
          </cell>
          <cell r="F2336"/>
          <cell r="G2336"/>
          <cell r="H2336"/>
          <cell r="I2336"/>
          <cell r="J2336"/>
          <cell r="K2336"/>
          <cell r="L2336"/>
          <cell r="M2336"/>
          <cell r="N2336"/>
          <cell r="O2336"/>
        </row>
        <row r="2337">
          <cell r="A2337" t="str">
            <v>2 PA - PARROQUIA SAN JUAN MARIA VIANNEY (NORTE)</v>
          </cell>
          <cell r="B2337"/>
          <cell r="C2337"/>
          <cell r="D2337"/>
          <cell r="E2337"/>
          <cell r="F2337"/>
          <cell r="G2337"/>
          <cell r="H2337"/>
          <cell r="I2337">
            <v>10</v>
          </cell>
          <cell r="J2337"/>
          <cell r="K2337"/>
          <cell r="L2337"/>
          <cell r="M2337"/>
          <cell r="N2337"/>
          <cell r="O2337"/>
        </row>
        <row r="2338">
          <cell r="A2338" t="str">
            <v>472-FU FUNDACION TALITA CUMI</v>
          </cell>
          <cell r="B2338"/>
          <cell r="C2338"/>
          <cell r="D2338">
            <v>10</v>
          </cell>
          <cell r="E2338"/>
          <cell r="F2338"/>
          <cell r="G2338"/>
          <cell r="H2338"/>
          <cell r="I2338"/>
          <cell r="J2338"/>
          <cell r="K2338"/>
          <cell r="L2338"/>
          <cell r="M2338"/>
          <cell r="N2338"/>
          <cell r="O2338"/>
        </row>
        <row r="2339">
          <cell r="A2339" t="str">
            <v>259 IG - ALCANCE VICTORIA PANAMÁ</v>
          </cell>
          <cell r="B2339"/>
          <cell r="C2339">
            <v>35</v>
          </cell>
          <cell r="D2339"/>
          <cell r="E2339"/>
          <cell r="F2339"/>
          <cell r="G2339"/>
          <cell r="H2339"/>
          <cell r="I2339"/>
          <cell r="J2339"/>
          <cell r="K2339"/>
          <cell r="L2339"/>
          <cell r="M2339"/>
          <cell r="N2339"/>
          <cell r="O2339"/>
        </row>
        <row r="2340">
          <cell r="A2340" t="str">
            <v>657 - FU CENTRO COMUNITARIO MONTAÑAS DE ESPERANZA (RETIRO EN EL BAP)</v>
          </cell>
          <cell r="B2340"/>
          <cell r="C2340"/>
          <cell r="D2340">
            <v>40</v>
          </cell>
          <cell r="E2340"/>
          <cell r="F2340"/>
          <cell r="G2340"/>
          <cell r="H2340"/>
          <cell r="I2340"/>
          <cell r="J2340"/>
          <cell r="K2340"/>
          <cell r="L2340"/>
          <cell r="M2340"/>
          <cell r="N2340"/>
          <cell r="O2340"/>
        </row>
        <row r="2341">
          <cell r="A2341" t="str">
            <v>630-IG MIN.INTL.DE CRISTO PAZ DE DIOS</v>
          </cell>
          <cell r="B2341"/>
          <cell r="C2341">
            <v>15</v>
          </cell>
          <cell r="D2341"/>
          <cell r="E2341"/>
          <cell r="F2341"/>
          <cell r="G2341"/>
          <cell r="H2341"/>
          <cell r="I2341"/>
          <cell r="J2341"/>
          <cell r="K2341"/>
          <cell r="L2341"/>
          <cell r="M2341"/>
          <cell r="N2341"/>
          <cell r="O2341"/>
        </row>
        <row r="2342">
          <cell r="A2342" t="str">
            <v>698 - FU MINISTERIO BERAKHAH INTERNACIONAL PASO BLANCO</v>
          </cell>
          <cell r="B2342"/>
          <cell r="C2342"/>
          <cell r="D2342">
            <v>10</v>
          </cell>
          <cell r="E2342"/>
          <cell r="F2342"/>
          <cell r="G2342"/>
          <cell r="H2342"/>
          <cell r="I2342"/>
          <cell r="J2342"/>
          <cell r="K2342"/>
          <cell r="L2342"/>
          <cell r="M2342"/>
          <cell r="N2342"/>
          <cell r="O2342"/>
        </row>
        <row r="2343">
          <cell r="A2343" t="str">
            <v>491-FU Fundación Aleluya</v>
          </cell>
          <cell r="B2343"/>
          <cell r="C2343"/>
          <cell r="D2343"/>
          <cell r="E2343"/>
          <cell r="F2343"/>
          <cell r="G2343">
            <v>5</v>
          </cell>
          <cell r="H2343"/>
          <cell r="I2343"/>
          <cell r="J2343"/>
          <cell r="K2343"/>
          <cell r="L2343"/>
          <cell r="M2343"/>
          <cell r="N2343"/>
          <cell r="O2343"/>
        </row>
        <row r="2344">
          <cell r="A2344" t="str">
            <v>118 FU - FUNDACIÓN UN NUEVO AMANECER</v>
          </cell>
          <cell r="B2344"/>
          <cell r="C2344"/>
          <cell r="D2344"/>
          <cell r="E2344">
            <v>10</v>
          </cell>
          <cell r="F2344"/>
          <cell r="G2344"/>
          <cell r="H2344"/>
          <cell r="I2344"/>
          <cell r="J2344"/>
          <cell r="K2344"/>
          <cell r="L2344"/>
          <cell r="M2344"/>
          <cell r="N2344"/>
          <cell r="O2344"/>
        </row>
        <row r="2345">
          <cell r="A2345" t="str">
            <v>684 - FU FUNDACION CASA DEL REY JESUS (CENTRO 2)</v>
          </cell>
          <cell r="B2345"/>
          <cell r="C2345">
            <v>15</v>
          </cell>
          <cell r="D2345"/>
          <cell r="E2345"/>
          <cell r="F2345"/>
          <cell r="G2345"/>
          <cell r="H2345"/>
          <cell r="I2345"/>
          <cell r="J2345"/>
          <cell r="K2345"/>
          <cell r="L2345"/>
          <cell r="M2345"/>
          <cell r="N2345"/>
          <cell r="O2345"/>
        </row>
        <row r="2346">
          <cell r="A2346" t="str">
            <v>596 IG- IGLESIA EVANGELICA TRINITARIA DIOS FUENTE DE PODER</v>
          </cell>
          <cell r="B2346"/>
          <cell r="C2346">
            <v>10</v>
          </cell>
          <cell r="D2346"/>
          <cell r="E2346"/>
          <cell r="F2346"/>
          <cell r="G2346"/>
          <cell r="H2346"/>
          <cell r="I2346"/>
          <cell r="J2346"/>
          <cell r="K2346"/>
          <cell r="L2346"/>
          <cell r="M2346"/>
          <cell r="N2346"/>
          <cell r="O2346"/>
        </row>
        <row r="2347">
          <cell r="A2347" t="str">
            <v>390-FU FUNDACION CRISTIANA FAMILIAR EL TALLER DEL MAESTRO (CENTRO1)</v>
          </cell>
          <cell r="B2347"/>
          <cell r="C2347">
            <v>5</v>
          </cell>
          <cell r="D2347"/>
          <cell r="E2347"/>
          <cell r="F2347"/>
          <cell r="G2347"/>
          <cell r="H2347"/>
          <cell r="I2347"/>
          <cell r="J2347"/>
          <cell r="K2347"/>
          <cell r="L2347"/>
          <cell r="M2347"/>
          <cell r="N2347"/>
          <cell r="O2347"/>
        </row>
        <row r="2348">
          <cell r="A2348" t="str">
            <v>738- IG MINISTERIO DIOS CON NOSOTROS EMANUEL</v>
          </cell>
          <cell r="B2348"/>
          <cell r="C2348"/>
          <cell r="D2348">
            <v>10</v>
          </cell>
          <cell r="E2348"/>
          <cell r="F2348"/>
          <cell r="G2348"/>
          <cell r="H2348"/>
          <cell r="I2348"/>
          <cell r="J2348"/>
          <cell r="K2348"/>
          <cell r="L2348"/>
          <cell r="M2348"/>
          <cell r="N2348"/>
          <cell r="O2348"/>
        </row>
        <row r="2349">
          <cell r="A2349" t="str">
            <v>745-FU CASA DE MISERICORDIA</v>
          </cell>
          <cell r="B2349"/>
          <cell r="C2349">
            <v>5</v>
          </cell>
          <cell r="D2349"/>
          <cell r="E2349"/>
          <cell r="F2349"/>
          <cell r="G2349"/>
          <cell r="H2349"/>
          <cell r="I2349"/>
          <cell r="J2349"/>
          <cell r="K2349"/>
          <cell r="L2349"/>
          <cell r="M2349"/>
          <cell r="N2349"/>
          <cell r="O2349"/>
        </row>
        <row r="2350">
          <cell r="A2350" t="str">
            <v>793-FU Fundación Príncipes de Jehová</v>
          </cell>
          <cell r="B2350"/>
          <cell r="C2350"/>
          <cell r="D2350"/>
          <cell r="E2350"/>
          <cell r="F2350"/>
          <cell r="G2350"/>
          <cell r="H2350"/>
          <cell r="I2350">
            <v>5</v>
          </cell>
          <cell r="J2350"/>
          <cell r="K2350"/>
          <cell r="L2350"/>
          <cell r="M2350"/>
          <cell r="N2350"/>
          <cell r="O2350"/>
        </row>
        <row r="2351">
          <cell r="A2351" t="str">
            <v>661 - FU FUNDACION MAS INTEGRADOS (DARIEN)</v>
          </cell>
          <cell r="B2351"/>
          <cell r="C2351"/>
          <cell r="D2351"/>
          <cell r="E2351"/>
          <cell r="F2351">
            <v>10</v>
          </cell>
          <cell r="G2351"/>
          <cell r="H2351"/>
          <cell r="I2351"/>
          <cell r="J2351"/>
          <cell r="K2351"/>
          <cell r="L2351"/>
          <cell r="M2351"/>
          <cell r="N2351"/>
          <cell r="O2351"/>
        </row>
        <row r="2352">
          <cell r="A2352" t="str">
            <v>802-IG IGLESIA INTERNACIONAL DEL EVANGELIO CUADRANGULAR DE PANAMÁ</v>
          </cell>
          <cell r="B2352"/>
          <cell r="C2352">
            <v>5</v>
          </cell>
          <cell r="D2352"/>
          <cell r="E2352"/>
          <cell r="F2352"/>
          <cell r="G2352"/>
          <cell r="H2352"/>
          <cell r="I2352"/>
          <cell r="J2352"/>
          <cell r="K2352"/>
          <cell r="L2352"/>
          <cell r="M2352"/>
          <cell r="N2352"/>
          <cell r="O2352"/>
        </row>
        <row r="2353">
          <cell r="A2353" t="str">
            <v>814-IG Templo Morada Santa</v>
          </cell>
          <cell r="B2353"/>
          <cell r="C2353"/>
          <cell r="D2353"/>
          <cell r="E2353"/>
          <cell r="F2353">
            <v>5</v>
          </cell>
          <cell r="G2353"/>
          <cell r="H2353"/>
          <cell r="I2353"/>
          <cell r="J2353"/>
          <cell r="K2353"/>
          <cell r="L2353"/>
          <cell r="M2353"/>
          <cell r="N2353"/>
          <cell r="O2353"/>
        </row>
        <row r="2354">
          <cell r="A2354" t="str">
            <v>185 FU - FUNDACIÓN ABIA YALA</v>
          </cell>
          <cell r="B2354"/>
          <cell r="C2354">
            <v>50</v>
          </cell>
          <cell r="D2354"/>
          <cell r="E2354"/>
          <cell r="F2354"/>
          <cell r="G2354"/>
          <cell r="H2354"/>
          <cell r="I2354"/>
          <cell r="J2354"/>
          <cell r="K2354"/>
          <cell r="L2354"/>
          <cell r="M2354"/>
          <cell r="N2354"/>
          <cell r="O2354"/>
        </row>
        <row r="2355">
          <cell r="A2355" t="str">
            <v>245-FU MINISTERIO BERAKHAH INTERNACIONAL CUENTA PRINCIPAL</v>
          </cell>
          <cell r="B2355"/>
          <cell r="C2355"/>
          <cell r="D2355">
            <v>5</v>
          </cell>
          <cell r="E2355"/>
          <cell r="F2355"/>
          <cell r="G2355"/>
          <cell r="H2355"/>
          <cell r="I2355"/>
          <cell r="J2355"/>
          <cell r="K2355"/>
          <cell r="L2355"/>
          <cell r="M2355"/>
          <cell r="N2355"/>
          <cell r="O2355"/>
        </row>
        <row r="2356">
          <cell r="A2356" t="str">
            <v>NUEVO HUNG SHENG</v>
          </cell>
          <cell r="B2356">
            <v>28.8</v>
          </cell>
          <cell r="C2356">
            <v>68</v>
          </cell>
          <cell r="D2356">
            <v>140</v>
          </cell>
          <cell r="E2356">
            <v>90.57</v>
          </cell>
          <cell r="F2356">
            <v>3</v>
          </cell>
          <cell r="G2356">
            <v>15</v>
          </cell>
          <cell r="H2356">
            <v>13</v>
          </cell>
          <cell r="I2356">
            <v>29</v>
          </cell>
          <cell r="J2356"/>
          <cell r="K2356"/>
          <cell r="L2356"/>
          <cell r="M2356"/>
          <cell r="N2356"/>
          <cell r="O2356"/>
        </row>
        <row r="2357">
          <cell r="A2357" t="str">
            <v>662-IG MINISTERIO EVANGELICO EL APOSENTO ALTO (CENTRO 1)</v>
          </cell>
          <cell r="B2357"/>
          <cell r="C2357">
            <v>5</v>
          </cell>
          <cell r="D2357"/>
          <cell r="E2357"/>
          <cell r="F2357"/>
          <cell r="G2357"/>
          <cell r="H2357"/>
          <cell r="I2357"/>
          <cell r="J2357"/>
          <cell r="K2357"/>
          <cell r="L2357"/>
          <cell r="M2357"/>
          <cell r="N2357"/>
          <cell r="O2357"/>
        </row>
        <row r="2358">
          <cell r="A2358" t="str">
            <v>298-FU - MINISTERIO FUENTE DE VIDA PARA EL PERDIDO</v>
          </cell>
          <cell r="B2358"/>
          <cell r="C2358"/>
          <cell r="D2358"/>
          <cell r="E2358"/>
          <cell r="F2358">
            <v>3</v>
          </cell>
          <cell r="G2358"/>
          <cell r="H2358"/>
          <cell r="I2358"/>
          <cell r="J2358"/>
          <cell r="K2358"/>
          <cell r="L2358"/>
          <cell r="M2358"/>
          <cell r="N2358"/>
          <cell r="O2358"/>
        </row>
        <row r="2359">
          <cell r="A2359" t="str">
            <v>479-IG IGLESIA NUEVA ESPERANZA</v>
          </cell>
          <cell r="B2359"/>
          <cell r="C2359"/>
          <cell r="D2359">
            <v>3</v>
          </cell>
          <cell r="E2359"/>
          <cell r="F2359"/>
          <cell r="G2359"/>
          <cell r="H2359"/>
          <cell r="I2359"/>
          <cell r="J2359"/>
          <cell r="K2359"/>
          <cell r="L2359"/>
          <cell r="M2359"/>
          <cell r="N2359"/>
          <cell r="O2359"/>
        </row>
        <row r="2360">
          <cell r="A2360" t="str">
            <v>104 AS - ASOCIACIÓN HOGAR FELICIDAD</v>
          </cell>
          <cell r="B2360"/>
          <cell r="C2360"/>
          <cell r="D2360"/>
          <cell r="E2360">
            <v>5</v>
          </cell>
          <cell r="F2360"/>
          <cell r="G2360"/>
          <cell r="H2360"/>
          <cell r="I2360"/>
          <cell r="J2360"/>
          <cell r="K2360"/>
          <cell r="L2360"/>
          <cell r="M2360"/>
          <cell r="N2360"/>
          <cell r="O2360"/>
        </row>
        <row r="2361">
          <cell r="A2361" t="str">
            <v>207 IG - IGLESIA CENTRO DE VIDA CRISTIANA</v>
          </cell>
          <cell r="B2361"/>
          <cell r="C2361"/>
          <cell r="D2361">
            <v>26</v>
          </cell>
          <cell r="E2361"/>
          <cell r="F2361"/>
          <cell r="G2361"/>
          <cell r="H2361"/>
          <cell r="I2361"/>
          <cell r="J2361"/>
          <cell r="K2361"/>
          <cell r="L2361"/>
          <cell r="M2361"/>
          <cell r="N2361"/>
          <cell r="O2361"/>
        </row>
        <row r="2362">
          <cell r="A2362" t="str">
            <v>636- FU JAH - LIVE (JAHL) - COLON</v>
          </cell>
          <cell r="B2362"/>
          <cell r="C2362"/>
          <cell r="D2362"/>
          <cell r="E2362"/>
          <cell r="F2362"/>
          <cell r="G2362"/>
          <cell r="H2362">
            <v>13</v>
          </cell>
          <cell r="I2362"/>
          <cell r="J2362"/>
          <cell r="K2362"/>
          <cell r="L2362"/>
          <cell r="M2362"/>
          <cell r="N2362"/>
          <cell r="O2362"/>
        </row>
        <row r="2363">
          <cell r="A2363" t="str">
            <v>687 - FU FUNDACION ARCA DE JESUS</v>
          </cell>
          <cell r="B2363"/>
          <cell r="C2363"/>
          <cell r="D2363"/>
          <cell r="E2363">
            <v>10.5</v>
          </cell>
          <cell r="F2363"/>
          <cell r="G2363"/>
          <cell r="H2363"/>
          <cell r="I2363"/>
          <cell r="J2363"/>
          <cell r="K2363"/>
          <cell r="L2363"/>
          <cell r="M2363"/>
          <cell r="N2363"/>
          <cell r="O2363"/>
        </row>
        <row r="2364">
          <cell r="A2364" t="str">
            <v>187 IG - IGLESIA DE DIOS DE LA PROFECÍA</v>
          </cell>
          <cell r="B2364"/>
          <cell r="C2364"/>
          <cell r="D2364">
            <v>9</v>
          </cell>
          <cell r="E2364"/>
          <cell r="F2364"/>
          <cell r="G2364"/>
          <cell r="H2364"/>
          <cell r="I2364"/>
          <cell r="J2364"/>
          <cell r="K2364"/>
          <cell r="L2364"/>
          <cell r="M2364"/>
          <cell r="N2364"/>
          <cell r="O2364"/>
        </row>
        <row r="2365">
          <cell r="A2365" t="str">
            <v>695 - FU MINISTERIO BERAKHAH INTERNACIONAL 24 DIC</v>
          </cell>
          <cell r="B2365"/>
          <cell r="C2365"/>
          <cell r="D2365">
            <v>15</v>
          </cell>
          <cell r="E2365"/>
          <cell r="F2365"/>
          <cell r="G2365"/>
          <cell r="H2365"/>
          <cell r="I2365"/>
          <cell r="J2365"/>
          <cell r="K2365"/>
          <cell r="L2365"/>
          <cell r="M2365"/>
          <cell r="N2365"/>
          <cell r="O2365"/>
        </row>
        <row r="2366">
          <cell r="A2366" t="str">
            <v>288 IG MINISTERIO EVANGELISTICO DE SANACION Y RESTAURACION, SENALES, MILAGROS Y MARAVILLAS (ESTE)</v>
          </cell>
          <cell r="B2366"/>
          <cell r="C2366"/>
          <cell r="D2366">
            <v>2</v>
          </cell>
          <cell r="E2366"/>
          <cell r="F2366"/>
          <cell r="G2366"/>
          <cell r="H2366"/>
          <cell r="I2366"/>
          <cell r="J2366"/>
          <cell r="K2366"/>
          <cell r="L2366"/>
          <cell r="M2366"/>
          <cell r="N2366"/>
          <cell r="O2366"/>
        </row>
        <row r="2367">
          <cell r="A2367" t="str">
            <v>373-FU MINISTERIO INTERNACIONAL BOANERGES</v>
          </cell>
          <cell r="B2367"/>
          <cell r="C2367"/>
          <cell r="D2367"/>
          <cell r="E2367"/>
          <cell r="F2367"/>
          <cell r="G2367"/>
          <cell r="H2367"/>
          <cell r="I2367">
            <v>3</v>
          </cell>
          <cell r="J2367"/>
          <cell r="K2367"/>
          <cell r="L2367"/>
          <cell r="M2367"/>
          <cell r="N2367"/>
          <cell r="O2367"/>
        </row>
        <row r="2368">
          <cell r="A2368" t="str">
            <v>261 - AS ASOCIACIÓN MINISTERIO SIRVIENDO A LA COMUNIDAD PARA JESUCRISTO</v>
          </cell>
          <cell r="B2368"/>
          <cell r="C2368">
            <v>3</v>
          </cell>
          <cell r="D2368"/>
          <cell r="E2368"/>
          <cell r="F2368"/>
          <cell r="G2368"/>
          <cell r="H2368"/>
          <cell r="I2368"/>
          <cell r="J2368"/>
          <cell r="K2368"/>
          <cell r="L2368"/>
          <cell r="M2368"/>
          <cell r="N2368"/>
          <cell r="O2368"/>
        </row>
        <row r="2369">
          <cell r="A2369" t="str">
            <v>654 - IG M.I.A.F NUEVA JERUSALEN PANAMA (ESTE)</v>
          </cell>
          <cell r="B2369"/>
          <cell r="C2369"/>
          <cell r="D2369">
            <v>5</v>
          </cell>
          <cell r="E2369"/>
          <cell r="F2369"/>
          <cell r="G2369"/>
          <cell r="H2369"/>
          <cell r="I2369"/>
          <cell r="J2369"/>
          <cell r="K2369"/>
          <cell r="L2369"/>
          <cell r="M2369"/>
          <cell r="N2369"/>
          <cell r="O2369"/>
        </row>
        <row r="2370">
          <cell r="A2370" t="str">
            <v>487-FU FUNDACION CASA AVE MARIA</v>
          </cell>
          <cell r="B2370"/>
          <cell r="C2370"/>
          <cell r="D2370"/>
          <cell r="E2370">
            <v>41</v>
          </cell>
          <cell r="F2370"/>
          <cell r="G2370"/>
          <cell r="H2370"/>
          <cell r="I2370"/>
          <cell r="J2370"/>
          <cell r="K2370"/>
          <cell r="L2370"/>
          <cell r="M2370"/>
          <cell r="N2370"/>
          <cell r="O2370"/>
        </row>
        <row r="2371">
          <cell r="A2371" t="str">
            <v>696 - FU MINISTERIO BERAKHAH INTERNACIONAL CHEPO #1</v>
          </cell>
          <cell r="B2371"/>
          <cell r="C2371"/>
          <cell r="D2371">
            <v>1</v>
          </cell>
          <cell r="E2371"/>
          <cell r="F2371"/>
          <cell r="G2371"/>
          <cell r="H2371"/>
          <cell r="I2371"/>
          <cell r="J2371"/>
          <cell r="K2371"/>
          <cell r="L2371"/>
          <cell r="M2371"/>
          <cell r="N2371"/>
          <cell r="O2371"/>
        </row>
        <row r="2372">
          <cell r="A2372" t="str">
            <v>472-FU FUNDACION TALITA CUMI</v>
          </cell>
          <cell r="B2372"/>
          <cell r="C2372"/>
          <cell r="D2372">
            <v>2</v>
          </cell>
          <cell r="E2372"/>
          <cell r="F2372"/>
          <cell r="G2372"/>
          <cell r="H2372"/>
          <cell r="I2372"/>
          <cell r="J2372"/>
          <cell r="K2372"/>
          <cell r="L2372"/>
          <cell r="M2372"/>
          <cell r="N2372"/>
          <cell r="O2372"/>
        </row>
        <row r="2373">
          <cell r="A2373" t="str">
            <v>222 ED - MISERICORDIAR</v>
          </cell>
          <cell r="B2373"/>
          <cell r="C2373"/>
          <cell r="D2373">
            <v>3</v>
          </cell>
          <cell r="E2373"/>
          <cell r="F2373"/>
          <cell r="G2373"/>
          <cell r="H2373"/>
          <cell r="I2373"/>
          <cell r="J2373"/>
          <cell r="K2373"/>
          <cell r="L2373"/>
          <cell r="M2373"/>
          <cell r="N2373"/>
          <cell r="O2373"/>
        </row>
        <row r="2374">
          <cell r="A2374" t="str">
            <v>259 IG - ALCANCE VICTORIA PANAMÁ</v>
          </cell>
          <cell r="B2374"/>
          <cell r="C2374">
            <v>7</v>
          </cell>
          <cell r="D2374"/>
          <cell r="E2374"/>
          <cell r="F2374"/>
          <cell r="G2374"/>
          <cell r="H2374"/>
          <cell r="I2374"/>
          <cell r="J2374"/>
          <cell r="K2374"/>
          <cell r="L2374"/>
          <cell r="M2374"/>
          <cell r="N2374"/>
          <cell r="O2374"/>
        </row>
        <row r="2375">
          <cell r="A2375" t="str">
            <v>387-AS Asociacion ODSSAR-OBC</v>
          </cell>
          <cell r="B2375"/>
          <cell r="C2375"/>
          <cell r="D2375">
            <v>2</v>
          </cell>
          <cell r="E2375"/>
          <cell r="F2375"/>
          <cell r="G2375"/>
          <cell r="H2375"/>
          <cell r="I2375"/>
          <cell r="J2375"/>
          <cell r="K2375"/>
          <cell r="L2375"/>
          <cell r="M2375"/>
          <cell r="N2375"/>
          <cell r="O2375"/>
        </row>
        <row r="2376">
          <cell r="A2376" t="str">
            <v>300 ED - BENEFICIARIOS</v>
          </cell>
          <cell r="B2376"/>
          <cell r="C2376"/>
          <cell r="D2376">
            <v>3</v>
          </cell>
          <cell r="E2376"/>
          <cell r="F2376"/>
          <cell r="G2376"/>
          <cell r="H2376"/>
          <cell r="I2376"/>
          <cell r="J2376"/>
          <cell r="K2376"/>
          <cell r="L2376"/>
          <cell r="M2376"/>
          <cell r="N2376"/>
          <cell r="O2376"/>
        </row>
        <row r="2377">
          <cell r="A2377" t="str">
            <v>397-FU FUNDACION SHALOM PANAMA</v>
          </cell>
          <cell r="B2377"/>
          <cell r="C2377"/>
          <cell r="D2377"/>
          <cell r="E2377">
            <v>3.07</v>
          </cell>
          <cell r="F2377"/>
          <cell r="G2377"/>
          <cell r="H2377"/>
          <cell r="I2377"/>
          <cell r="J2377"/>
          <cell r="K2377"/>
          <cell r="L2377"/>
          <cell r="M2377"/>
          <cell r="N2377"/>
          <cell r="O2377"/>
        </row>
        <row r="2378">
          <cell r="A2378" t="str">
            <v>195 ED - JUNTOS PODEMOS</v>
          </cell>
          <cell r="B2378"/>
          <cell r="C2378">
            <v>8</v>
          </cell>
          <cell r="D2378"/>
          <cell r="E2378"/>
          <cell r="F2378"/>
          <cell r="G2378"/>
          <cell r="H2378"/>
          <cell r="I2378"/>
          <cell r="J2378"/>
          <cell r="K2378"/>
          <cell r="L2378"/>
          <cell r="M2378"/>
          <cell r="N2378"/>
          <cell r="O2378"/>
        </row>
        <row r="2379">
          <cell r="A2379" t="str">
            <v>653 - FU FUNDACION LUIS CARLOS DIAZ (OESTE)</v>
          </cell>
          <cell r="B2379"/>
          <cell r="C2379"/>
          <cell r="D2379"/>
          <cell r="E2379">
            <v>4</v>
          </cell>
          <cell r="F2379"/>
          <cell r="G2379"/>
          <cell r="H2379"/>
          <cell r="I2379"/>
          <cell r="J2379"/>
          <cell r="K2379"/>
          <cell r="L2379"/>
          <cell r="M2379"/>
          <cell r="N2379"/>
          <cell r="O2379"/>
        </row>
        <row r="2380">
          <cell r="A2380" t="str">
            <v>423-FU FUNDACION CONSTRUYENDO VIDAS EN PANAMA</v>
          </cell>
          <cell r="B2380"/>
          <cell r="C2380"/>
          <cell r="D2380"/>
          <cell r="E2380">
            <v>2</v>
          </cell>
          <cell r="F2380"/>
          <cell r="G2380"/>
          <cell r="H2380"/>
          <cell r="I2380"/>
          <cell r="J2380"/>
          <cell r="K2380"/>
          <cell r="L2380"/>
          <cell r="M2380"/>
          <cell r="N2380"/>
          <cell r="O2380"/>
        </row>
        <row r="2381">
          <cell r="A2381" t="str">
            <v>709 - FU FUNRECRISTO</v>
          </cell>
          <cell r="B2381"/>
          <cell r="C2381"/>
          <cell r="D2381">
            <v>3</v>
          </cell>
          <cell r="E2381"/>
          <cell r="F2381"/>
          <cell r="G2381"/>
          <cell r="H2381"/>
          <cell r="I2381"/>
          <cell r="J2381"/>
          <cell r="K2381"/>
          <cell r="L2381"/>
          <cell r="M2381"/>
          <cell r="N2381"/>
          <cell r="O2381"/>
        </row>
        <row r="2382">
          <cell r="A2382" t="str">
            <v>116 AS - ASOCIACIÓN IGLESIA DE CRISTO ESTRELLA CRECIENTE</v>
          </cell>
          <cell r="B2382"/>
          <cell r="C2382"/>
          <cell r="D2382">
            <v>8</v>
          </cell>
          <cell r="E2382"/>
          <cell r="F2382"/>
          <cell r="G2382"/>
          <cell r="H2382"/>
          <cell r="I2382"/>
          <cell r="J2382"/>
          <cell r="K2382"/>
          <cell r="L2382"/>
          <cell r="M2382"/>
          <cell r="N2382"/>
          <cell r="O2382"/>
        </row>
        <row r="2383">
          <cell r="A2383" t="str">
            <v>597- IG MINISTERIO APOSTOLICO NEMUEL INTERNACIONAL</v>
          </cell>
          <cell r="B2383"/>
          <cell r="C2383"/>
          <cell r="D2383">
            <v>7</v>
          </cell>
          <cell r="E2383"/>
          <cell r="F2383"/>
          <cell r="G2383"/>
          <cell r="H2383"/>
          <cell r="I2383"/>
          <cell r="J2383"/>
          <cell r="K2383"/>
          <cell r="L2383"/>
          <cell r="M2383"/>
          <cell r="N2383"/>
          <cell r="O2383"/>
        </row>
        <row r="2384">
          <cell r="A2384" t="str">
            <v>252 IG - MINISTERIO INTERNACIONAL DE AMISTADES CRISTIANAS</v>
          </cell>
          <cell r="B2384"/>
          <cell r="C2384"/>
          <cell r="D2384">
            <v>2</v>
          </cell>
          <cell r="E2384"/>
          <cell r="F2384"/>
          <cell r="G2384"/>
          <cell r="H2384"/>
          <cell r="I2384"/>
          <cell r="J2384"/>
          <cell r="K2384"/>
          <cell r="L2384"/>
          <cell r="M2384"/>
          <cell r="N2384"/>
          <cell r="O2384"/>
        </row>
        <row r="2385">
          <cell r="A2385" t="str">
            <v>339-AS ASOCIACION RESIDENCIA LISBETH</v>
          </cell>
          <cell r="B2385"/>
          <cell r="C2385"/>
          <cell r="D2385">
            <v>16</v>
          </cell>
          <cell r="E2385"/>
          <cell r="F2385"/>
          <cell r="G2385"/>
          <cell r="H2385"/>
          <cell r="I2385"/>
          <cell r="J2385"/>
          <cell r="K2385"/>
          <cell r="L2385"/>
          <cell r="M2385"/>
          <cell r="N2385"/>
          <cell r="O2385"/>
        </row>
        <row r="2386">
          <cell r="A2386" t="str">
            <v>381-FU FUNDAMIDOM</v>
          </cell>
          <cell r="B2386"/>
          <cell r="C2386"/>
          <cell r="D2386"/>
          <cell r="E2386">
            <v>10</v>
          </cell>
          <cell r="F2386"/>
          <cell r="G2386"/>
          <cell r="H2386"/>
          <cell r="I2386"/>
          <cell r="J2386"/>
          <cell r="K2386"/>
          <cell r="L2386"/>
          <cell r="M2386"/>
          <cell r="N2386"/>
          <cell r="O2386"/>
        </row>
        <row r="2387">
          <cell r="A2387" t="str">
            <v>491-FU Fundación Aleluya</v>
          </cell>
          <cell r="B2387"/>
          <cell r="C2387"/>
          <cell r="D2387"/>
          <cell r="E2387"/>
          <cell r="F2387"/>
          <cell r="G2387">
            <v>4</v>
          </cell>
          <cell r="H2387"/>
          <cell r="I2387"/>
          <cell r="J2387"/>
          <cell r="K2387"/>
          <cell r="L2387"/>
          <cell r="M2387"/>
          <cell r="N2387"/>
          <cell r="O2387"/>
        </row>
        <row r="2388">
          <cell r="A2388" t="str">
            <v>642 - IG IGLESIA VIDA (CENTRO 1)</v>
          </cell>
          <cell r="B2388"/>
          <cell r="C2388">
            <v>5</v>
          </cell>
          <cell r="D2388"/>
          <cell r="E2388"/>
          <cell r="F2388"/>
          <cell r="G2388"/>
          <cell r="H2388"/>
          <cell r="I2388"/>
          <cell r="J2388"/>
          <cell r="K2388"/>
          <cell r="L2388"/>
          <cell r="M2388"/>
          <cell r="N2388"/>
          <cell r="O2388"/>
        </row>
        <row r="2389">
          <cell r="A2389" t="str">
            <v>681 - FU FUNDACION NUEVA SOCIEDAD (NORTE)</v>
          </cell>
          <cell r="B2389"/>
          <cell r="C2389"/>
          <cell r="D2389"/>
          <cell r="E2389"/>
          <cell r="F2389"/>
          <cell r="G2389"/>
          <cell r="H2389"/>
          <cell r="I2389">
            <v>1</v>
          </cell>
          <cell r="J2389"/>
          <cell r="K2389"/>
          <cell r="L2389"/>
          <cell r="M2389"/>
          <cell r="N2389"/>
          <cell r="O2389"/>
        </row>
        <row r="2390">
          <cell r="A2390" t="str">
            <v>377-FU CENTRO CRISTIANO CASA DE DIOS PANAMA</v>
          </cell>
          <cell r="B2390"/>
          <cell r="C2390"/>
          <cell r="D2390"/>
          <cell r="E2390"/>
          <cell r="F2390"/>
          <cell r="G2390">
            <v>3</v>
          </cell>
          <cell r="H2390"/>
          <cell r="I2390"/>
          <cell r="J2390"/>
          <cell r="K2390"/>
          <cell r="L2390"/>
          <cell r="M2390"/>
          <cell r="N2390"/>
          <cell r="O2390"/>
        </row>
        <row r="2391">
          <cell r="A2391" t="str">
            <v>Retiro de Merma</v>
          </cell>
          <cell r="B2391">
            <v>28.8</v>
          </cell>
          <cell r="C2391"/>
          <cell r="D2391"/>
          <cell r="E2391"/>
          <cell r="F2391"/>
          <cell r="G2391"/>
          <cell r="H2391"/>
          <cell r="I2391"/>
          <cell r="J2391"/>
          <cell r="K2391"/>
          <cell r="L2391"/>
          <cell r="M2391"/>
          <cell r="N2391"/>
          <cell r="O2391"/>
        </row>
        <row r="2392">
          <cell r="A2392" t="str">
            <v>360-IG IGLESIA CRISTIANA CASA DE REUNION</v>
          </cell>
          <cell r="B2392"/>
          <cell r="C2392"/>
          <cell r="D2392"/>
          <cell r="E2392"/>
          <cell r="F2392"/>
          <cell r="G2392">
            <v>8</v>
          </cell>
          <cell r="H2392"/>
          <cell r="I2392"/>
          <cell r="J2392"/>
          <cell r="K2392"/>
          <cell r="L2392"/>
          <cell r="M2392"/>
          <cell r="N2392"/>
          <cell r="O2392"/>
        </row>
        <row r="2393">
          <cell r="A2393" t="str">
            <v>684 - FU FUNDACION CASA DEL REY JESUS (CENTRO 2)</v>
          </cell>
          <cell r="B2393"/>
          <cell r="C2393">
            <v>6</v>
          </cell>
          <cell r="D2393"/>
          <cell r="E2393"/>
          <cell r="F2393"/>
          <cell r="G2393"/>
          <cell r="H2393"/>
          <cell r="I2393"/>
          <cell r="J2393"/>
          <cell r="K2393"/>
          <cell r="L2393"/>
          <cell r="M2393"/>
          <cell r="N2393"/>
          <cell r="O2393"/>
        </row>
        <row r="2394">
          <cell r="A2394" t="str">
            <v>596 IG- IGLESIA EVANGELICA TRINITARIA DIOS FUENTE DE PODER</v>
          </cell>
          <cell r="B2394"/>
          <cell r="C2394">
            <v>13</v>
          </cell>
          <cell r="D2394"/>
          <cell r="E2394"/>
          <cell r="F2394"/>
          <cell r="G2394"/>
          <cell r="H2394"/>
          <cell r="I2394"/>
          <cell r="J2394"/>
          <cell r="K2394"/>
          <cell r="L2394"/>
          <cell r="M2394"/>
          <cell r="N2394"/>
          <cell r="O2394"/>
        </row>
        <row r="2395">
          <cell r="A2395" t="str">
            <v>707 - FU MINISTERIO BERAKHAH INTERNACIONAL CAIMITILLO</v>
          </cell>
          <cell r="B2395"/>
          <cell r="C2395"/>
          <cell r="D2395"/>
          <cell r="E2395"/>
          <cell r="F2395"/>
          <cell r="G2395"/>
          <cell r="H2395"/>
          <cell r="I2395">
            <v>5</v>
          </cell>
          <cell r="J2395"/>
          <cell r="K2395"/>
          <cell r="L2395"/>
          <cell r="M2395"/>
          <cell r="N2395"/>
          <cell r="O2395"/>
        </row>
        <row r="2396">
          <cell r="A2396" t="str">
            <v>229 PA - PARROQUIA SAN CRISTOBAL DE CHEPO</v>
          </cell>
          <cell r="B2396"/>
          <cell r="C2396"/>
          <cell r="D2396">
            <v>17</v>
          </cell>
          <cell r="E2396"/>
          <cell r="F2396"/>
          <cell r="G2396"/>
          <cell r="H2396"/>
          <cell r="I2396"/>
          <cell r="J2396"/>
          <cell r="K2396"/>
          <cell r="L2396"/>
          <cell r="M2396"/>
          <cell r="N2396"/>
          <cell r="O2396"/>
        </row>
        <row r="2397">
          <cell r="A2397" t="str">
            <v>738- IG MINISTERIO DIOS CON NOSOTROS EMANUEL</v>
          </cell>
          <cell r="B2397"/>
          <cell r="C2397"/>
          <cell r="D2397">
            <v>13</v>
          </cell>
          <cell r="E2397"/>
          <cell r="F2397"/>
          <cell r="G2397"/>
          <cell r="H2397"/>
          <cell r="I2397"/>
          <cell r="J2397"/>
          <cell r="K2397"/>
          <cell r="L2397"/>
          <cell r="M2397"/>
          <cell r="N2397"/>
          <cell r="O2397"/>
        </row>
        <row r="2398">
          <cell r="A2398" t="str">
            <v>745-FU CASA DE MISERICORDIA</v>
          </cell>
          <cell r="B2398"/>
          <cell r="C2398">
            <v>4</v>
          </cell>
          <cell r="D2398"/>
          <cell r="E2398"/>
          <cell r="F2398"/>
          <cell r="G2398"/>
          <cell r="H2398"/>
          <cell r="I2398"/>
          <cell r="J2398"/>
          <cell r="K2398"/>
          <cell r="L2398"/>
          <cell r="M2398"/>
          <cell r="N2398"/>
          <cell r="O2398"/>
        </row>
        <row r="2399">
          <cell r="A2399" t="str">
            <v>760-FU AYUDAME A VIVIR</v>
          </cell>
          <cell r="B2399"/>
          <cell r="C2399"/>
          <cell r="D2399"/>
          <cell r="E2399"/>
          <cell r="F2399"/>
          <cell r="G2399"/>
          <cell r="H2399"/>
          <cell r="I2399">
            <v>9</v>
          </cell>
          <cell r="J2399"/>
          <cell r="K2399"/>
          <cell r="L2399"/>
          <cell r="M2399"/>
          <cell r="N2399"/>
          <cell r="O2399"/>
        </row>
        <row r="2400">
          <cell r="A2400" t="str">
            <v>758-FU RESTAURANDO EL PRIMER AMOR</v>
          </cell>
          <cell r="B2400"/>
          <cell r="C2400"/>
          <cell r="D2400"/>
          <cell r="E2400"/>
          <cell r="F2400"/>
          <cell r="G2400"/>
          <cell r="H2400"/>
          <cell r="I2400">
            <v>3</v>
          </cell>
          <cell r="J2400"/>
          <cell r="K2400"/>
          <cell r="L2400"/>
          <cell r="M2400"/>
          <cell r="N2400"/>
          <cell r="O2400"/>
        </row>
        <row r="2401">
          <cell r="A2401" t="str">
            <v>785-FU FUNDACION GOTAS DE ESPERANZA</v>
          </cell>
          <cell r="B2401"/>
          <cell r="C2401"/>
          <cell r="D2401"/>
          <cell r="E2401">
            <v>15</v>
          </cell>
          <cell r="F2401"/>
          <cell r="G2401"/>
          <cell r="H2401"/>
          <cell r="I2401"/>
          <cell r="J2401"/>
          <cell r="K2401"/>
          <cell r="L2401"/>
          <cell r="M2401"/>
          <cell r="N2401"/>
          <cell r="O2401"/>
        </row>
        <row r="2402">
          <cell r="A2402" t="str">
            <v>394-IG IGLESIA ESCUADRONES DEL EJERCITO DE DIOS (CENTRO2)</v>
          </cell>
          <cell r="B2402"/>
          <cell r="C2402">
            <v>2</v>
          </cell>
          <cell r="D2402"/>
          <cell r="E2402"/>
          <cell r="F2402"/>
          <cell r="G2402"/>
          <cell r="H2402"/>
          <cell r="I2402"/>
          <cell r="J2402"/>
          <cell r="K2402"/>
          <cell r="L2402"/>
          <cell r="M2402"/>
          <cell r="N2402"/>
          <cell r="O2402"/>
        </row>
        <row r="2403">
          <cell r="A2403" t="str">
            <v>793-FU Fundación Príncipes de Jehová</v>
          </cell>
          <cell r="B2403"/>
          <cell r="C2403"/>
          <cell r="D2403"/>
          <cell r="E2403"/>
          <cell r="F2403"/>
          <cell r="G2403"/>
          <cell r="H2403"/>
          <cell r="I2403">
            <v>2</v>
          </cell>
          <cell r="J2403"/>
          <cell r="K2403"/>
          <cell r="L2403"/>
          <cell r="M2403"/>
          <cell r="N2403"/>
          <cell r="O2403"/>
        </row>
        <row r="2404">
          <cell r="A2404" t="str">
            <v>791-FU FUNDACION DIVINO NINO JESUS DE MI CORAZON</v>
          </cell>
          <cell r="B2404"/>
          <cell r="C2404"/>
          <cell r="D2404">
            <v>3</v>
          </cell>
          <cell r="E2404"/>
          <cell r="F2404"/>
          <cell r="G2404"/>
          <cell r="H2404"/>
          <cell r="I2404"/>
          <cell r="J2404"/>
          <cell r="K2404"/>
          <cell r="L2404"/>
          <cell r="M2404"/>
          <cell r="N2404"/>
          <cell r="O2404"/>
        </row>
        <row r="2405">
          <cell r="A2405" t="str">
            <v>375-FU Ministerio a Dios sea la Gloria</v>
          </cell>
          <cell r="B2405"/>
          <cell r="C2405">
            <v>12</v>
          </cell>
          <cell r="D2405"/>
          <cell r="E2405"/>
          <cell r="F2405"/>
          <cell r="G2405"/>
          <cell r="H2405"/>
          <cell r="I2405"/>
          <cell r="J2405"/>
          <cell r="K2405"/>
          <cell r="L2405"/>
          <cell r="M2405"/>
          <cell r="N2405"/>
          <cell r="O2405"/>
        </row>
        <row r="2406">
          <cell r="A2406" t="str">
            <v>185 FU - FUNDACIÓN ABIA YALA</v>
          </cell>
          <cell r="B2406"/>
          <cell r="C2406">
            <v>3</v>
          </cell>
          <cell r="D2406"/>
          <cell r="E2406"/>
          <cell r="F2406"/>
          <cell r="G2406"/>
          <cell r="H2406"/>
          <cell r="I2406"/>
          <cell r="J2406"/>
          <cell r="K2406"/>
          <cell r="L2406"/>
          <cell r="M2406"/>
          <cell r="N2406"/>
          <cell r="O2406"/>
        </row>
        <row r="2407">
          <cell r="A2407" t="str">
            <v>734-FU MINISTERIO DE SALVACION EL CAMINO DE DIOS</v>
          </cell>
          <cell r="B2407"/>
          <cell r="C2407"/>
          <cell r="D2407"/>
          <cell r="E2407"/>
          <cell r="F2407"/>
          <cell r="G2407"/>
          <cell r="H2407"/>
          <cell r="I2407">
            <v>6</v>
          </cell>
          <cell r="J2407"/>
          <cell r="K2407"/>
          <cell r="L2407"/>
          <cell r="M2407"/>
          <cell r="N2407"/>
          <cell r="O2407"/>
        </row>
        <row r="2408">
          <cell r="A2408" t="str">
            <v>IMPORTADORA Y EXPORTADORA NIMAR</v>
          </cell>
          <cell r="B2408"/>
          <cell r="C2408">
            <v>59</v>
          </cell>
          <cell r="D2408">
            <v>60</v>
          </cell>
          <cell r="E2408">
            <v>15</v>
          </cell>
          <cell r="F2408"/>
          <cell r="G2408">
            <v>1</v>
          </cell>
          <cell r="H2408">
            <v>4</v>
          </cell>
          <cell r="I2408">
            <v>3</v>
          </cell>
          <cell r="J2408"/>
          <cell r="K2408"/>
          <cell r="L2408"/>
          <cell r="M2408"/>
          <cell r="N2408"/>
          <cell r="O2408"/>
        </row>
        <row r="2409">
          <cell r="A2409" t="str">
            <v>636- FU JAH - LIVE (JAHL) - COLON</v>
          </cell>
          <cell r="B2409"/>
          <cell r="C2409"/>
          <cell r="D2409"/>
          <cell r="E2409"/>
          <cell r="F2409"/>
          <cell r="G2409"/>
          <cell r="H2409">
            <v>2</v>
          </cell>
          <cell r="I2409"/>
          <cell r="J2409"/>
          <cell r="K2409"/>
          <cell r="L2409"/>
          <cell r="M2409"/>
          <cell r="N2409"/>
          <cell r="O2409"/>
        </row>
        <row r="2410">
          <cell r="A2410" t="str">
            <v>635 TEMPLO ADULAM</v>
          </cell>
          <cell r="B2410"/>
          <cell r="C2410"/>
          <cell r="D2410"/>
          <cell r="E2410">
            <v>2</v>
          </cell>
          <cell r="F2410"/>
          <cell r="G2410"/>
          <cell r="H2410"/>
          <cell r="I2410"/>
          <cell r="J2410"/>
          <cell r="K2410"/>
          <cell r="L2410"/>
          <cell r="M2410"/>
          <cell r="N2410"/>
          <cell r="O2410"/>
        </row>
        <row r="2411">
          <cell r="A2411" t="str">
            <v>687 - FU FUNDACION ARCA DE JESUS</v>
          </cell>
          <cell r="B2411"/>
          <cell r="C2411"/>
          <cell r="D2411"/>
          <cell r="E2411">
            <v>2</v>
          </cell>
          <cell r="F2411"/>
          <cell r="G2411"/>
          <cell r="H2411"/>
          <cell r="I2411"/>
          <cell r="J2411"/>
          <cell r="K2411"/>
          <cell r="L2411"/>
          <cell r="M2411"/>
          <cell r="N2411"/>
          <cell r="O2411"/>
        </row>
        <row r="2412">
          <cell r="A2412" t="str">
            <v>218 ED - LOS PREFERIDOS DEL SEÑOR (CENTRO2)</v>
          </cell>
          <cell r="B2412"/>
          <cell r="C2412">
            <v>20</v>
          </cell>
          <cell r="D2412"/>
          <cell r="E2412"/>
          <cell r="F2412"/>
          <cell r="G2412"/>
          <cell r="H2412"/>
          <cell r="I2412"/>
          <cell r="J2412"/>
          <cell r="K2412"/>
          <cell r="L2412"/>
          <cell r="M2412"/>
          <cell r="N2412"/>
          <cell r="O2412"/>
        </row>
        <row r="2413">
          <cell r="A2413" t="str">
            <v>187 IG - IGLESIA DE DIOS DE LA PROFECÍA</v>
          </cell>
          <cell r="B2413"/>
          <cell r="C2413"/>
          <cell r="D2413">
            <v>6</v>
          </cell>
          <cell r="E2413"/>
          <cell r="F2413"/>
          <cell r="G2413"/>
          <cell r="H2413"/>
          <cell r="I2413"/>
          <cell r="J2413"/>
          <cell r="K2413"/>
          <cell r="L2413"/>
          <cell r="M2413"/>
          <cell r="N2413"/>
          <cell r="O2413"/>
        </row>
        <row r="2414">
          <cell r="A2414" t="str">
            <v>366-FU CENTRO MISIONERO EL SHADAI (ESTE)</v>
          </cell>
          <cell r="B2414"/>
          <cell r="C2414"/>
          <cell r="D2414">
            <v>4</v>
          </cell>
          <cell r="E2414"/>
          <cell r="F2414"/>
          <cell r="G2414"/>
          <cell r="H2414"/>
          <cell r="I2414"/>
          <cell r="J2414"/>
          <cell r="K2414"/>
          <cell r="L2414"/>
          <cell r="M2414"/>
          <cell r="N2414"/>
          <cell r="O2414"/>
        </row>
        <row r="2415">
          <cell r="A2415" t="str">
            <v>498-FU COMEDOR NIÑOS DE BENDICION</v>
          </cell>
          <cell r="B2415"/>
          <cell r="C2415"/>
          <cell r="D2415"/>
          <cell r="E2415">
            <v>2</v>
          </cell>
          <cell r="F2415"/>
          <cell r="G2415"/>
          <cell r="H2415"/>
          <cell r="I2415"/>
          <cell r="J2415"/>
          <cell r="K2415"/>
          <cell r="L2415"/>
          <cell r="M2415"/>
          <cell r="N2415"/>
          <cell r="O2415"/>
        </row>
        <row r="2416">
          <cell r="A2416" t="str">
            <v>288 IG MINISTERIO EVANGELISTICO DE SANACION Y RESTAURACION, SENALES, MILAGROS Y MARAVILLAS (ESTE)</v>
          </cell>
          <cell r="B2416"/>
          <cell r="C2416"/>
          <cell r="D2416">
            <v>4</v>
          </cell>
          <cell r="E2416"/>
          <cell r="F2416"/>
          <cell r="G2416"/>
          <cell r="H2416"/>
          <cell r="I2416"/>
          <cell r="J2416"/>
          <cell r="K2416"/>
          <cell r="L2416"/>
          <cell r="M2416"/>
          <cell r="N2416"/>
          <cell r="O2416"/>
        </row>
        <row r="2417">
          <cell r="A2417" t="str">
            <v>197 FU FUNDACION SOCIAL CULTURAL Y AMBIENTAL DE VERACRUZ (OESTE)</v>
          </cell>
          <cell r="B2417"/>
          <cell r="C2417"/>
          <cell r="D2417"/>
          <cell r="E2417">
            <v>2</v>
          </cell>
          <cell r="F2417"/>
          <cell r="G2417"/>
          <cell r="H2417"/>
          <cell r="I2417"/>
          <cell r="J2417"/>
          <cell r="K2417"/>
          <cell r="L2417"/>
          <cell r="M2417"/>
          <cell r="N2417"/>
          <cell r="O2417"/>
        </row>
        <row r="2418">
          <cell r="A2418" t="str">
            <v>183 ED - BELÉN CASA DE PAN (ESTE)</v>
          </cell>
          <cell r="B2418"/>
          <cell r="C2418"/>
          <cell r="D2418">
            <v>2</v>
          </cell>
          <cell r="E2418"/>
          <cell r="F2418"/>
          <cell r="G2418"/>
          <cell r="H2418"/>
          <cell r="I2418"/>
          <cell r="J2418"/>
          <cell r="K2418"/>
          <cell r="L2418"/>
          <cell r="M2418"/>
          <cell r="N2418"/>
          <cell r="O2418"/>
        </row>
        <row r="2419">
          <cell r="A2419" t="str">
            <v>431-IG IGLESIA ADVENTISTA DISTRITO 8</v>
          </cell>
          <cell r="B2419"/>
          <cell r="C2419"/>
          <cell r="D2419">
            <v>2</v>
          </cell>
          <cell r="E2419"/>
          <cell r="F2419"/>
          <cell r="G2419"/>
          <cell r="H2419"/>
          <cell r="I2419"/>
          <cell r="J2419"/>
          <cell r="K2419"/>
          <cell r="L2419"/>
          <cell r="M2419"/>
          <cell r="N2419"/>
          <cell r="O2419"/>
        </row>
        <row r="2420">
          <cell r="A2420" t="str">
            <v>696 - FU MINISTERIO BERAKHAH INTERNACIONAL CHEPO #1</v>
          </cell>
          <cell r="B2420"/>
          <cell r="C2420"/>
          <cell r="D2420">
            <v>3</v>
          </cell>
          <cell r="E2420"/>
          <cell r="F2420"/>
          <cell r="G2420"/>
          <cell r="H2420"/>
          <cell r="I2420"/>
          <cell r="J2420"/>
          <cell r="K2420"/>
          <cell r="L2420"/>
          <cell r="M2420"/>
          <cell r="N2420"/>
          <cell r="O2420"/>
        </row>
        <row r="2421">
          <cell r="A2421" t="str">
            <v>222 ED - MISERICORDIAR</v>
          </cell>
          <cell r="B2421"/>
          <cell r="C2421"/>
          <cell r="D2421">
            <v>15</v>
          </cell>
          <cell r="E2421"/>
          <cell r="F2421"/>
          <cell r="G2421"/>
          <cell r="H2421"/>
          <cell r="I2421"/>
          <cell r="J2421"/>
          <cell r="K2421"/>
          <cell r="L2421"/>
          <cell r="M2421"/>
          <cell r="N2421"/>
          <cell r="O2421"/>
        </row>
        <row r="2422">
          <cell r="A2422" t="str">
            <v>259 IG - ALCANCE VICTORIA PANAMÁ</v>
          </cell>
          <cell r="B2422"/>
          <cell r="C2422">
            <v>6</v>
          </cell>
          <cell r="D2422"/>
          <cell r="E2422"/>
          <cell r="F2422"/>
          <cell r="G2422"/>
          <cell r="H2422"/>
          <cell r="I2422"/>
          <cell r="J2422"/>
          <cell r="K2422"/>
          <cell r="L2422"/>
          <cell r="M2422"/>
          <cell r="N2422"/>
          <cell r="O2422"/>
        </row>
        <row r="2423">
          <cell r="A2423" t="str">
            <v>630-IG MIN.INTL.DE CRISTO PAZ DE DIOS</v>
          </cell>
          <cell r="B2423"/>
          <cell r="C2423">
            <v>6</v>
          </cell>
          <cell r="D2423"/>
          <cell r="E2423"/>
          <cell r="F2423"/>
          <cell r="G2423"/>
          <cell r="H2423"/>
          <cell r="I2423"/>
          <cell r="J2423"/>
          <cell r="K2423"/>
          <cell r="L2423"/>
          <cell r="M2423"/>
          <cell r="N2423"/>
          <cell r="O2423"/>
        </row>
        <row r="2424">
          <cell r="A2424" t="str">
            <v>195 ED - JUNTOS PODEMOS</v>
          </cell>
          <cell r="B2424"/>
          <cell r="C2424">
            <v>3</v>
          </cell>
          <cell r="D2424"/>
          <cell r="E2424"/>
          <cell r="F2424"/>
          <cell r="G2424"/>
          <cell r="H2424"/>
          <cell r="I2424"/>
          <cell r="J2424"/>
          <cell r="K2424"/>
          <cell r="L2424"/>
          <cell r="M2424"/>
          <cell r="N2424"/>
          <cell r="O2424"/>
        </row>
        <row r="2425">
          <cell r="A2425" t="str">
            <v>670 - FU FUNDACION MINISTERIIO CRISTIANO EL REINO DE DIOS (ESTE)</v>
          </cell>
          <cell r="B2425"/>
          <cell r="C2425"/>
          <cell r="D2425">
            <v>3</v>
          </cell>
          <cell r="E2425"/>
          <cell r="F2425"/>
          <cell r="G2425"/>
          <cell r="H2425"/>
          <cell r="I2425"/>
          <cell r="J2425"/>
          <cell r="K2425"/>
          <cell r="L2425"/>
          <cell r="M2425"/>
          <cell r="N2425"/>
          <cell r="O2425"/>
        </row>
        <row r="2426">
          <cell r="A2426" t="str">
            <v>235 FU - FUNDACION GRUPO ENVIADOS</v>
          </cell>
          <cell r="B2426"/>
          <cell r="C2426"/>
          <cell r="D2426">
            <v>6</v>
          </cell>
          <cell r="E2426"/>
          <cell r="F2426"/>
          <cell r="G2426"/>
          <cell r="H2426"/>
          <cell r="I2426"/>
          <cell r="J2426"/>
          <cell r="K2426"/>
          <cell r="L2426"/>
          <cell r="M2426"/>
          <cell r="N2426"/>
          <cell r="O2426"/>
        </row>
        <row r="2427">
          <cell r="A2427" t="str">
            <v>417-AS CLUB DE LEONES DE PEDREGAL (ESTE)</v>
          </cell>
          <cell r="B2427"/>
          <cell r="C2427"/>
          <cell r="D2427">
            <v>2</v>
          </cell>
          <cell r="E2427"/>
          <cell r="F2427"/>
          <cell r="G2427"/>
          <cell r="H2427"/>
          <cell r="I2427"/>
          <cell r="J2427"/>
          <cell r="K2427"/>
          <cell r="L2427"/>
          <cell r="M2427"/>
          <cell r="N2427"/>
          <cell r="O2427"/>
        </row>
        <row r="2428">
          <cell r="A2428" t="str">
            <v>339-AS ASOCIACION RESIDENCIA LISBETH</v>
          </cell>
          <cell r="B2428"/>
          <cell r="C2428"/>
          <cell r="D2428">
            <v>6</v>
          </cell>
          <cell r="E2428"/>
          <cell r="F2428"/>
          <cell r="G2428"/>
          <cell r="H2428"/>
          <cell r="I2428"/>
          <cell r="J2428"/>
          <cell r="K2428"/>
          <cell r="L2428"/>
          <cell r="M2428"/>
          <cell r="N2428"/>
          <cell r="O2428"/>
        </row>
        <row r="2429">
          <cell r="A2429" t="str">
            <v>144 OR - HERMANAS DE SAN JOSÉ DE LA APARICIÓN (RETIRA EN EL BANCO)</v>
          </cell>
          <cell r="B2429"/>
          <cell r="C2429"/>
          <cell r="D2429">
            <v>2</v>
          </cell>
          <cell r="E2429"/>
          <cell r="F2429"/>
          <cell r="G2429"/>
          <cell r="H2429"/>
          <cell r="I2429"/>
          <cell r="J2429"/>
          <cell r="K2429"/>
          <cell r="L2429"/>
          <cell r="M2429"/>
          <cell r="N2429"/>
          <cell r="O2429"/>
        </row>
        <row r="2430">
          <cell r="A2430" t="str">
            <v>377-FU CENTRO CRISTIANO CASA DE DIOS PANAMA</v>
          </cell>
          <cell r="B2430"/>
          <cell r="C2430"/>
          <cell r="D2430"/>
          <cell r="E2430"/>
          <cell r="F2430"/>
          <cell r="G2430">
            <v>1</v>
          </cell>
          <cell r="H2430"/>
          <cell r="I2430"/>
          <cell r="J2430"/>
          <cell r="K2430"/>
          <cell r="L2430"/>
          <cell r="M2430"/>
          <cell r="N2430"/>
          <cell r="O2430"/>
        </row>
        <row r="2431">
          <cell r="A2431" t="str">
            <v>684 - FU FUNDACION CASA DEL REY JESUS (CENTRO 2)</v>
          </cell>
          <cell r="B2431"/>
          <cell r="C2431">
            <v>2</v>
          </cell>
          <cell r="D2431"/>
          <cell r="E2431"/>
          <cell r="F2431"/>
          <cell r="G2431"/>
          <cell r="H2431"/>
          <cell r="I2431"/>
          <cell r="J2431"/>
          <cell r="K2431"/>
          <cell r="L2431"/>
          <cell r="M2431"/>
          <cell r="N2431"/>
          <cell r="O2431"/>
        </row>
        <row r="2432">
          <cell r="A2432" t="str">
            <v>723 ASOCIACION AQUI ESTOY</v>
          </cell>
          <cell r="B2432"/>
          <cell r="C2432"/>
          <cell r="D2432"/>
          <cell r="E2432">
            <v>2</v>
          </cell>
          <cell r="F2432"/>
          <cell r="G2432"/>
          <cell r="H2432"/>
          <cell r="I2432"/>
          <cell r="J2432"/>
          <cell r="K2432"/>
          <cell r="L2432"/>
          <cell r="M2432"/>
          <cell r="N2432"/>
          <cell r="O2432"/>
        </row>
        <row r="2433">
          <cell r="A2433" t="str">
            <v>707 - FU MINISTERIO BERAKHAH INTERNACIONAL CAIMITILLO</v>
          </cell>
          <cell r="B2433"/>
          <cell r="C2433"/>
          <cell r="D2433"/>
          <cell r="E2433"/>
          <cell r="F2433"/>
          <cell r="G2433"/>
          <cell r="H2433"/>
          <cell r="I2433">
            <v>3</v>
          </cell>
          <cell r="J2433"/>
          <cell r="K2433"/>
          <cell r="L2433"/>
          <cell r="M2433"/>
          <cell r="N2433"/>
          <cell r="O2433"/>
        </row>
        <row r="2434">
          <cell r="A2434" t="str">
            <v>229 PA - PARROQUIA SAN CRISTOBAL DE CHEPO</v>
          </cell>
          <cell r="B2434"/>
          <cell r="C2434"/>
          <cell r="D2434">
            <v>3</v>
          </cell>
          <cell r="E2434"/>
          <cell r="F2434"/>
          <cell r="G2434"/>
          <cell r="H2434"/>
          <cell r="I2434"/>
          <cell r="J2434"/>
          <cell r="K2434"/>
          <cell r="L2434"/>
          <cell r="M2434"/>
          <cell r="N2434"/>
          <cell r="O2434"/>
        </row>
        <row r="2435">
          <cell r="A2435" t="str">
            <v>733-IG LA ORACION FUERTE AL ESPIRITU SANTO</v>
          </cell>
          <cell r="B2435"/>
          <cell r="C2435">
            <v>1</v>
          </cell>
          <cell r="D2435"/>
          <cell r="E2435"/>
          <cell r="F2435"/>
          <cell r="G2435"/>
          <cell r="H2435"/>
          <cell r="I2435"/>
          <cell r="J2435"/>
          <cell r="K2435"/>
          <cell r="L2435"/>
          <cell r="M2435"/>
          <cell r="N2435"/>
          <cell r="O2435"/>
        </row>
        <row r="2436">
          <cell r="A2436" t="str">
            <v>281-FU FUNDACIÓN CAMBIO CREATIVO</v>
          </cell>
          <cell r="B2436"/>
          <cell r="C2436"/>
          <cell r="D2436"/>
          <cell r="E2436"/>
          <cell r="F2436"/>
          <cell r="G2436"/>
          <cell r="H2436">
            <v>2</v>
          </cell>
          <cell r="I2436"/>
          <cell r="J2436"/>
          <cell r="K2436"/>
          <cell r="L2436"/>
          <cell r="M2436"/>
          <cell r="N2436"/>
          <cell r="O2436"/>
        </row>
        <row r="2437">
          <cell r="A2437" t="str">
            <v>275 IG CONCILIO GENERAL DE LAS ASAMBLEAS DE DIOS DE PANAMÁ</v>
          </cell>
          <cell r="B2437"/>
          <cell r="C2437">
            <v>2</v>
          </cell>
          <cell r="D2437"/>
          <cell r="E2437"/>
          <cell r="F2437"/>
          <cell r="G2437"/>
          <cell r="H2437"/>
          <cell r="I2437"/>
          <cell r="J2437"/>
          <cell r="K2437"/>
          <cell r="L2437"/>
          <cell r="M2437"/>
          <cell r="N2437"/>
          <cell r="O2437"/>
        </row>
        <row r="2438">
          <cell r="A2438" t="str">
            <v>791-FU FUNDACION DIVINO NINO JESUS DE MI CORAZON</v>
          </cell>
          <cell r="B2438"/>
          <cell r="C2438"/>
          <cell r="D2438">
            <v>2</v>
          </cell>
          <cell r="E2438"/>
          <cell r="F2438"/>
          <cell r="G2438"/>
          <cell r="H2438"/>
          <cell r="I2438"/>
          <cell r="J2438"/>
          <cell r="K2438"/>
          <cell r="L2438"/>
          <cell r="M2438"/>
          <cell r="N2438"/>
          <cell r="O2438"/>
        </row>
        <row r="2439">
          <cell r="A2439" t="str">
            <v>253 FU - FUNDACIÓN PARA EL BIENESTAR SOCIAL (CENTRO2)</v>
          </cell>
          <cell r="B2439"/>
          <cell r="C2439">
            <v>2</v>
          </cell>
          <cell r="D2439"/>
          <cell r="E2439"/>
          <cell r="F2439"/>
          <cell r="G2439"/>
          <cell r="H2439"/>
          <cell r="I2439"/>
          <cell r="J2439"/>
          <cell r="K2439"/>
          <cell r="L2439"/>
          <cell r="M2439"/>
          <cell r="N2439"/>
          <cell r="O2439"/>
        </row>
        <row r="2440">
          <cell r="A2440" t="str">
            <v>496-AS CUERPO DE VOLUNTARIAS DEL HOSPITAL DEL NIÑO</v>
          </cell>
          <cell r="B2440"/>
          <cell r="C2440">
            <v>15</v>
          </cell>
          <cell r="D2440"/>
          <cell r="E2440"/>
          <cell r="F2440"/>
          <cell r="G2440"/>
          <cell r="H2440"/>
          <cell r="I2440"/>
          <cell r="J2440"/>
          <cell r="K2440"/>
          <cell r="L2440"/>
          <cell r="M2440"/>
          <cell r="N2440"/>
          <cell r="O2440"/>
        </row>
        <row r="2441">
          <cell r="A2441" t="str">
            <v>471-FU FUNDACION BUSCANDO UNA OPORTUNIDAD</v>
          </cell>
          <cell r="B2441"/>
          <cell r="C2441"/>
          <cell r="D2441"/>
          <cell r="E2441">
            <v>2</v>
          </cell>
          <cell r="F2441"/>
          <cell r="G2441"/>
          <cell r="H2441"/>
          <cell r="I2441"/>
          <cell r="J2441"/>
          <cell r="K2441"/>
          <cell r="L2441"/>
          <cell r="M2441"/>
          <cell r="N2441"/>
          <cell r="O2441"/>
        </row>
        <row r="2442">
          <cell r="A2442" t="str">
            <v>5 AS - ASOCIACIÓN DAME UNA OPORTUNIDAD</v>
          </cell>
          <cell r="B2442"/>
          <cell r="C2442">
            <v>1</v>
          </cell>
          <cell r="D2442"/>
          <cell r="E2442"/>
          <cell r="F2442"/>
          <cell r="G2442"/>
          <cell r="H2442"/>
          <cell r="I2442"/>
          <cell r="J2442"/>
          <cell r="K2442"/>
          <cell r="L2442"/>
          <cell r="M2442"/>
          <cell r="N2442"/>
          <cell r="O2442"/>
        </row>
        <row r="2443">
          <cell r="A2443" t="str">
            <v>827-FU Fundación Transformemos mi comunidad</v>
          </cell>
          <cell r="B2443"/>
          <cell r="C2443"/>
          <cell r="D2443"/>
          <cell r="E2443">
            <v>3</v>
          </cell>
          <cell r="F2443"/>
          <cell r="G2443"/>
          <cell r="H2443"/>
          <cell r="I2443"/>
          <cell r="J2443"/>
          <cell r="K2443"/>
          <cell r="L2443"/>
          <cell r="M2443"/>
          <cell r="N2443"/>
          <cell r="O2443"/>
        </row>
        <row r="2444">
          <cell r="A2444" t="str">
            <v>782-FU Fundación Calicanto</v>
          </cell>
          <cell r="B2444"/>
          <cell r="C2444">
            <v>1</v>
          </cell>
          <cell r="D2444"/>
          <cell r="E2444"/>
          <cell r="F2444"/>
          <cell r="G2444"/>
          <cell r="H2444"/>
          <cell r="I2444"/>
          <cell r="J2444"/>
          <cell r="K2444"/>
          <cell r="L2444"/>
          <cell r="M2444"/>
          <cell r="N2444"/>
          <cell r="O2444"/>
        </row>
        <row r="2445">
          <cell r="A2445" t="str">
            <v>KERRY PANAMA, S.A.</v>
          </cell>
          <cell r="B2445">
            <v>19</v>
          </cell>
          <cell r="C2445">
            <v>10</v>
          </cell>
          <cell r="D2445"/>
          <cell r="E2445"/>
          <cell r="F2445"/>
          <cell r="G2445"/>
          <cell r="H2445"/>
          <cell r="I2445"/>
          <cell r="J2445"/>
          <cell r="K2445"/>
          <cell r="L2445"/>
          <cell r="M2445"/>
          <cell r="N2445"/>
          <cell r="O2445"/>
        </row>
        <row r="2446">
          <cell r="A2446" t="str">
            <v>Retiro de Merma</v>
          </cell>
          <cell r="B2446">
            <v>19</v>
          </cell>
          <cell r="C2446"/>
          <cell r="D2446"/>
          <cell r="E2446"/>
          <cell r="F2446"/>
          <cell r="G2446"/>
          <cell r="H2446"/>
          <cell r="I2446"/>
          <cell r="J2446"/>
          <cell r="K2446"/>
          <cell r="L2446"/>
          <cell r="M2446"/>
          <cell r="N2446"/>
          <cell r="O2446"/>
        </row>
        <row r="2447">
          <cell r="A2447" t="str">
            <v>684 - FU FUNDACION CASA DEL REY JESUS (CENTRO 2)</v>
          </cell>
          <cell r="B2447"/>
          <cell r="C2447">
            <v>10</v>
          </cell>
          <cell r="D2447"/>
          <cell r="E2447"/>
          <cell r="F2447"/>
          <cell r="G2447"/>
          <cell r="H2447"/>
          <cell r="I2447"/>
          <cell r="J2447"/>
          <cell r="K2447"/>
          <cell r="L2447"/>
          <cell r="M2447"/>
          <cell r="N2447"/>
          <cell r="O2447"/>
        </row>
        <row r="2448">
          <cell r="A2448" t="str">
            <v>CENTRAL AZUCARERO LA VICTORIA</v>
          </cell>
          <cell r="B2448"/>
          <cell r="C2448"/>
          <cell r="D2448"/>
          <cell r="E2448"/>
          <cell r="F2448"/>
          <cell r="G2448"/>
          <cell r="H2448"/>
          <cell r="I2448"/>
          <cell r="J2448">
            <v>66</v>
          </cell>
          <cell r="K2448"/>
          <cell r="L2448"/>
          <cell r="M2448"/>
          <cell r="N2448"/>
          <cell r="O2448"/>
        </row>
        <row r="2449">
          <cell r="A2449" t="str">
            <v>284 - IG MINISTERIO PAN DE VIDA</v>
          </cell>
          <cell r="B2449"/>
          <cell r="C2449"/>
          <cell r="D2449"/>
          <cell r="E2449"/>
          <cell r="F2449"/>
          <cell r="G2449"/>
          <cell r="H2449"/>
          <cell r="I2449"/>
          <cell r="J2449">
            <v>6</v>
          </cell>
          <cell r="K2449"/>
          <cell r="L2449"/>
          <cell r="M2449"/>
          <cell r="N2449"/>
          <cell r="O2449"/>
        </row>
        <row r="2450">
          <cell r="A2450" t="str">
            <v>668 - FU FUNDACION CRISTIANA LA FE EN MARCHA</v>
          </cell>
          <cell r="B2450"/>
          <cell r="C2450"/>
          <cell r="D2450"/>
          <cell r="E2450"/>
          <cell r="F2450"/>
          <cell r="G2450"/>
          <cell r="H2450"/>
          <cell r="I2450"/>
          <cell r="J2450">
            <v>18</v>
          </cell>
          <cell r="K2450"/>
          <cell r="L2450"/>
          <cell r="M2450"/>
          <cell r="N2450"/>
          <cell r="O2450"/>
        </row>
        <row r="2451">
          <cell r="A2451" t="str">
            <v>644 - IG TEMPLO SENDA DE VIDA (CHIRIQUÍ)</v>
          </cell>
          <cell r="B2451"/>
          <cell r="C2451"/>
          <cell r="D2451"/>
          <cell r="E2451"/>
          <cell r="F2451"/>
          <cell r="G2451"/>
          <cell r="H2451"/>
          <cell r="I2451"/>
          <cell r="J2451">
            <v>10</v>
          </cell>
          <cell r="K2451"/>
          <cell r="L2451"/>
          <cell r="M2451"/>
          <cell r="N2451"/>
          <cell r="O2451"/>
        </row>
        <row r="2452">
          <cell r="A2452" t="str">
            <v>756-FU Fundación Nuevas Rutas</v>
          </cell>
          <cell r="B2452"/>
          <cell r="C2452"/>
          <cell r="D2452"/>
          <cell r="E2452"/>
          <cell r="F2452"/>
          <cell r="G2452"/>
          <cell r="H2452"/>
          <cell r="I2452"/>
          <cell r="J2452">
            <v>32</v>
          </cell>
          <cell r="K2452"/>
          <cell r="L2452"/>
          <cell r="M2452"/>
          <cell r="N2452"/>
          <cell r="O2452"/>
        </row>
        <row r="2453">
          <cell r="A2453" t="str">
            <v>Agro Export Pacific, S.A</v>
          </cell>
          <cell r="B2453">
            <v>65</v>
          </cell>
          <cell r="C2453">
            <v>994</v>
          </cell>
          <cell r="D2453">
            <v>3364</v>
          </cell>
          <cell r="E2453">
            <v>528</v>
          </cell>
          <cell r="F2453">
            <v>20</v>
          </cell>
          <cell r="G2453">
            <v>280</v>
          </cell>
          <cell r="H2453">
            <v>680</v>
          </cell>
          <cell r="I2453">
            <v>232</v>
          </cell>
          <cell r="J2453">
            <v>2991</v>
          </cell>
          <cell r="K2453">
            <v>1341</v>
          </cell>
          <cell r="L2453">
            <v>389</v>
          </cell>
          <cell r="M2453">
            <v>844</v>
          </cell>
          <cell r="N2453"/>
          <cell r="O2453"/>
        </row>
        <row r="2454">
          <cell r="A2454" t="str">
            <v>178 IG - TEMPLO ZURIEL EL REFUGIO</v>
          </cell>
          <cell r="B2454"/>
          <cell r="C2454"/>
          <cell r="D2454"/>
          <cell r="E2454"/>
          <cell r="F2454"/>
          <cell r="G2454">
            <v>120</v>
          </cell>
          <cell r="H2454"/>
          <cell r="I2454"/>
          <cell r="J2454"/>
          <cell r="K2454"/>
          <cell r="L2454"/>
          <cell r="M2454"/>
          <cell r="N2454"/>
          <cell r="O2454"/>
        </row>
        <row r="2455">
          <cell r="A2455" t="str">
            <v>493-FU Comedor Jesús es mi Pastor</v>
          </cell>
          <cell r="B2455"/>
          <cell r="C2455"/>
          <cell r="D2455">
            <v>38</v>
          </cell>
          <cell r="E2455"/>
          <cell r="F2455"/>
          <cell r="G2455"/>
          <cell r="H2455"/>
          <cell r="I2455"/>
          <cell r="J2455"/>
          <cell r="K2455"/>
          <cell r="L2455"/>
          <cell r="M2455"/>
          <cell r="N2455"/>
          <cell r="O2455"/>
        </row>
        <row r="2456">
          <cell r="A2456" t="str">
            <v>636- FU JAH - LIVE (JAHL) - COLON</v>
          </cell>
          <cell r="B2456"/>
          <cell r="C2456"/>
          <cell r="D2456"/>
          <cell r="E2456"/>
          <cell r="F2456"/>
          <cell r="G2456"/>
          <cell r="H2456">
            <v>580</v>
          </cell>
          <cell r="I2456"/>
          <cell r="J2456"/>
          <cell r="K2456"/>
          <cell r="L2456"/>
          <cell r="M2456"/>
          <cell r="N2456"/>
          <cell r="O2456"/>
        </row>
        <row r="2457">
          <cell r="A2457" t="str">
            <v>224 OR MISIONERAS DE LA CARIDAD DE COLON</v>
          </cell>
          <cell r="B2457"/>
          <cell r="C2457"/>
          <cell r="D2457"/>
          <cell r="E2457"/>
          <cell r="F2457"/>
          <cell r="G2457"/>
          <cell r="H2457">
            <v>50</v>
          </cell>
          <cell r="I2457"/>
          <cell r="J2457"/>
          <cell r="K2457"/>
          <cell r="L2457"/>
          <cell r="M2457"/>
          <cell r="N2457"/>
          <cell r="O2457"/>
        </row>
        <row r="2458">
          <cell r="A2458" t="str">
            <v>365-IG COMEDOR HEFZIBA</v>
          </cell>
          <cell r="B2458"/>
          <cell r="C2458"/>
          <cell r="D2458"/>
          <cell r="E2458"/>
          <cell r="F2458"/>
          <cell r="G2458"/>
          <cell r="H2458"/>
          <cell r="I2458">
            <v>172</v>
          </cell>
          <cell r="J2458"/>
          <cell r="K2458"/>
          <cell r="L2458"/>
          <cell r="M2458"/>
          <cell r="N2458"/>
          <cell r="O2458"/>
        </row>
        <row r="2459">
          <cell r="A2459" t="str">
            <v>635 TEMPLO ADULAM</v>
          </cell>
          <cell r="B2459"/>
          <cell r="C2459"/>
          <cell r="D2459"/>
          <cell r="E2459">
            <v>90</v>
          </cell>
          <cell r="F2459"/>
          <cell r="G2459"/>
          <cell r="H2459"/>
          <cell r="I2459"/>
          <cell r="J2459"/>
          <cell r="K2459"/>
          <cell r="L2459"/>
          <cell r="M2459"/>
          <cell r="N2459"/>
          <cell r="O2459"/>
        </row>
        <row r="2460">
          <cell r="A2460" t="str">
            <v>687 - FU FUNDACION ARCA DE JESUS</v>
          </cell>
          <cell r="B2460"/>
          <cell r="C2460"/>
          <cell r="D2460"/>
          <cell r="E2460">
            <v>100</v>
          </cell>
          <cell r="F2460"/>
          <cell r="G2460"/>
          <cell r="H2460"/>
          <cell r="I2460"/>
          <cell r="J2460"/>
          <cell r="K2460"/>
          <cell r="L2460"/>
          <cell r="M2460"/>
          <cell r="N2460"/>
          <cell r="O2460"/>
        </row>
        <row r="2461">
          <cell r="A2461" t="str">
            <v>218 ED - LOS PREFERIDOS DEL SEÑOR (CENTRO2)</v>
          </cell>
          <cell r="B2461"/>
          <cell r="C2461">
            <v>80</v>
          </cell>
          <cell r="D2461"/>
          <cell r="E2461"/>
          <cell r="F2461"/>
          <cell r="G2461"/>
          <cell r="H2461"/>
          <cell r="I2461"/>
          <cell r="J2461"/>
          <cell r="K2461"/>
          <cell r="L2461"/>
          <cell r="M2461"/>
          <cell r="N2461"/>
          <cell r="O2461"/>
        </row>
        <row r="2462">
          <cell r="A2462" t="str">
            <v>187 IG - IGLESIA DE DIOS DE LA PROFECÍA</v>
          </cell>
          <cell r="B2462"/>
          <cell r="C2462"/>
          <cell r="D2462">
            <v>433</v>
          </cell>
          <cell r="E2462"/>
          <cell r="F2462"/>
          <cell r="G2462"/>
          <cell r="H2462"/>
          <cell r="I2462"/>
          <cell r="J2462"/>
          <cell r="K2462"/>
          <cell r="L2462"/>
          <cell r="M2462"/>
          <cell r="N2462"/>
          <cell r="O2462"/>
        </row>
        <row r="2463">
          <cell r="A2463" t="str">
            <v>321-IG IGLESIA DIOS ES MI PROVEEDOR Y SUSTENTO</v>
          </cell>
          <cell r="B2463"/>
          <cell r="C2463"/>
          <cell r="D2463">
            <v>95</v>
          </cell>
          <cell r="E2463"/>
          <cell r="F2463"/>
          <cell r="G2463"/>
          <cell r="H2463"/>
          <cell r="I2463"/>
          <cell r="J2463"/>
          <cell r="K2463"/>
          <cell r="L2463"/>
          <cell r="M2463"/>
          <cell r="N2463"/>
          <cell r="O2463"/>
        </row>
        <row r="2464">
          <cell r="A2464" t="str">
            <v>111 FU - FUNDACIÓN NUESTRA SEÑORA DEL CAMINO</v>
          </cell>
          <cell r="B2464"/>
          <cell r="C2464"/>
          <cell r="D2464"/>
          <cell r="E2464"/>
          <cell r="F2464"/>
          <cell r="G2464"/>
          <cell r="H2464"/>
          <cell r="I2464"/>
          <cell r="J2464">
            <v>201</v>
          </cell>
          <cell r="K2464"/>
          <cell r="L2464"/>
          <cell r="M2464"/>
          <cell r="N2464"/>
          <cell r="O2464"/>
        </row>
        <row r="2465">
          <cell r="A2465" t="str">
            <v>694 - FU MINISTERIO BERAKHAH INTERNACIONAL TOCUMEN #2</v>
          </cell>
          <cell r="B2465"/>
          <cell r="C2465"/>
          <cell r="D2465">
            <v>30</v>
          </cell>
          <cell r="E2465"/>
          <cell r="F2465"/>
          <cell r="G2465"/>
          <cell r="H2465"/>
          <cell r="I2465"/>
          <cell r="J2465"/>
          <cell r="K2465"/>
          <cell r="L2465"/>
          <cell r="M2465"/>
          <cell r="N2465"/>
          <cell r="O2465"/>
        </row>
        <row r="2466">
          <cell r="A2466" t="str">
            <v>695 - FU MINISTERIO BERAKHAH INTERNACIONAL 24 DIC</v>
          </cell>
          <cell r="B2466"/>
          <cell r="C2466"/>
          <cell r="D2466">
            <v>58</v>
          </cell>
          <cell r="E2466"/>
          <cell r="F2466"/>
          <cell r="G2466"/>
          <cell r="H2466"/>
          <cell r="I2466"/>
          <cell r="J2466"/>
          <cell r="K2466"/>
          <cell r="L2466"/>
          <cell r="M2466"/>
          <cell r="N2466"/>
          <cell r="O2466"/>
        </row>
        <row r="2467">
          <cell r="A2467" t="str">
            <v>366-FU CENTRO MISIONERO EL SHADAI (ESTE)</v>
          </cell>
          <cell r="B2467"/>
          <cell r="C2467"/>
          <cell r="D2467">
            <v>293</v>
          </cell>
          <cell r="E2467"/>
          <cell r="F2467"/>
          <cell r="G2467"/>
          <cell r="H2467"/>
          <cell r="I2467"/>
          <cell r="J2467"/>
          <cell r="K2467"/>
          <cell r="L2467"/>
          <cell r="M2467"/>
          <cell r="N2467"/>
          <cell r="O2467"/>
        </row>
        <row r="2468">
          <cell r="A2468" t="str">
            <v>498-FU COMEDOR NIÑOS DE BENDICION</v>
          </cell>
          <cell r="B2468"/>
          <cell r="C2468"/>
          <cell r="D2468"/>
          <cell r="E2468">
            <v>140</v>
          </cell>
          <cell r="F2468"/>
          <cell r="G2468"/>
          <cell r="H2468"/>
          <cell r="I2468"/>
          <cell r="J2468"/>
          <cell r="K2468"/>
          <cell r="L2468"/>
          <cell r="M2468"/>
          <cell r="N2468"/>
          <cell r="O2468"/>
        </row>
        <row r="2469">
          <cell r="A2469" t="str">
            <v>288 IG MINISTERIO EVANGELISTICO DE SANACION Y RESTAURACION, SENALES, MILAGROS Y MARAVILLAS (ESTE)</v>
          </cell>
          <cell r="B2469"/>
          <cell r="C2469"/>
          <cell r="D2469">
            <v>120</v>
          </cell>
          <cell r="E2469"/>
          <cell r="F2469"/>
          <cell r="G2469"/>
          <cell r="H2469"/>
          <cell r="I2469"/>
          <cell r="J2469"/>
          <cell r="K2469"/>
          <cell r="L2469"/>
          <cell r="M2469"/>
          <cell r="N2469"/>
          <cell r="O2469"/>
        </row>
        <row r="2470">
          <cell r="A2470" t="str">
            <v>183 ED - BELÉN CASA DE PAN (ESTE)</v>
          </cell>
          <cell r="B2470"/>
          <cell r="C2470"/>
          <cell r="D2470">
            <v>54</v>
          </cell>
          <cell r="E2470"/>
          <cell r="F2470"/>
          <cell r="G2470"/>
          <cell r="H2470"/>
          <cell r="I2470"/>
          <cell r="J2470"/>
          <cell r="K2470"/>
          <cell r="L2470"/>
          <cell r="M2470"/>
          <cell r="N2470"/>
          <cell r="O2470"/>
        </row>
        <row r="2471">
          <cell r="A2471" t="str">
            <v>691 - AR CARITAS ARQUIDIOCESANA</v>
          </cell>
          <cell r="B2471"/>
          <cell r="C2471">
            <v>30</v>
          </cell>
          <cell r="D2471"/>
          <cell r="E2471"/>
          <cell r="F2471"/>
          <cell r="G2471"/>
          <cell r="H2471"/>
          <cell r="I2471"/>
          <cell r="J2471"/>
          <cell r="K2471"/>
          <cell r="L2471"/>
          <cell r="M2471"/>
          <cell r="N2471"/>
          <cell r="O2471"/>
        </row>
        <row r="2472">
          <cell r="A2472" t="str">
            <v>643 - IG TEMPLO PUERTA DEL CIELO (CHIRIQUI)</v>
          </cell>
          <cell r="B2472"/>
          <cell r="C2472"/>
          <cell r="D2472"/>
          <cell r="E2472"/>
          <cell r="F2472"/>
          <cell r="G2472"/>
          <cell r="H2472"/>
          <cell r="I2472"/>
          <cell r="J2472">
            <v>409</v>
          </cell>
          <cell r="K2472"/>
          <cell r="L2472"/>
          <cell r="M2472"/>
          <cell r="N2472"/>
          <cell r="O2472"/>
        </row>
        <row r="2473">
          <cell r="A2473" t="str">
            <v>368-FU MINISTERIO PACTO DE SANTIDAD</v>
          </cell>
          <cell r="B2473"/>
          <cell r="C2473">
            <v>100</v>
          </cell>
          <cell r="D2473"/>
          <cell r="E2473"/>
          <cell r="F2473"/>
          <cell r="G2473"/>
          <cell r="H2473"/>
          <cell r="I2473"/>
          <cell r="J2473"/>
          <cell r="K2473"/>
          <cell r="L2473"/>
          <cell r="M2473"/>
          <cell r="N2473"/>
          <cell r="O2473"/>
        </row>
        <row r="2474">
          <cell r="A2474" t="str">
            <v>487-FU FUNDACION CASA AVE MARIA</v>
          </cell>
          <cell r="B2474"/>
          <cell r="C2474"/>
          <cell r="D2474"/>
          <cell r="E2474">
            <v>60</v>
          </cell>
          <cell r="F2474"/>
          <cell r="G2474"/>
          <cell r="H2474"/>
          <cell r="I2474"/>
          <cell r="J2474"/>
          <cell r="K2474"/>
          <cell r="L2474"/>
          <cell r="M2474"/>
          <cell r="N2474"/>
          <cell r="O2474"/>
        </row>
        <row r="2475">
          <cell r="A2475" t="str">
            <v>284 - IG MINISTERIO PAN DE VIDA</v>
          </cell>
          <cell r="B2475"/>
          <cell r="C2475"/>
          <cell r="D2475"/>
          <cell r="E2475"/>
          <cell r="F2475"/>
          <cell r="G2475"/>
          <cell r="H2475"/>
          <cell r="I2475"/>
          <cell r="J2475">
            <v>217</v>
          </cell>
          <cell r="K2475"/>
          <cell r="L2475"/>
          <cell r="M2475"/>
          <cell r="N2475"/>
          <cell r="O2475"/>
        </row>
        <row r="2476">
          <cell r="A2476" t="str">
            <v>222 ED - MISERICORDIAR</v>
          </cell>
          <cell r="B2476"/>
          <cell r="C2476"/>
          <cell r="D2476">
            <v>130</v>
          </cell>
          <cell r="E2476"/>
          <cell r="F2476"/>
          <cell r="G2476"/>
          <cell r="H2476"/>
          <cell r="I2476"/>
          <cell r="J2476"/>
          <cell r="K2476"/>
          <cell r="L2476"/>
          <cell r="M2476"/>
          <cell r="N2476"/>
          <cell r="O2476"/>
        </row>
        <row r="2477">
          <cell r="A2477" t="str">
            <v>259 IG - ALCANCE VICTORIA PANAMÁ</v>
          </cell>
          <cell r="B2477"/>
          <cell r="C2477">
            <v>8</v>
          </cell>
          <cell r="D2477"/>
          <cell r="E2477"/>
          <cell r="F2477"/>
          <cell r="G2477"/>
          <cell r="H2477"/>
          <cell r="I2477"/>
          <cell r="J2477"/>
          <cell r="K2477"/>
          <cell r="L2477"/>
          <cell r="M2477"/>
          <cell r="N2477"/>
          <cell r="O2477"/>
        </row>
        <row r="2478">
          <cell r="A2478" t="str">
            <v>668 - FU FUNDACION CRISTIANA LA FE EN MARCHA</v>
          </cell>
          <cell r="B2478"/>
          <cell r="C2478"/>
          <cell r="D2478"/>
          <cell r="E2478"/>
          <cell r="F2478"/>
          <cell r="G2478"/>
          <cell r="H2478"/>
          <cell r="I2478"/>
          <cell r="J2478">
            <v>45</v>
          </cell>
          <cell r="K2478"/>
          <cell r="L2478"/>
          <cell r="M2478"/>
          <cell r="N2478"/>
          <cell r="O2478"/>
        </row>
        <row r="2479">
          <cell r="A2479" t="str">
            <v>379-FU Fundacion Ministerio Apostolico Manantial de Vida</v>
          </cell>
          <cell r="B2479"/>
          <cell r="C2479"/>
          <cell r="D2479"/>
          <cell r="E2479"/>
          <cell r="F2479"/>
          <cell r="G2479"/>
          <cell r="H2479">
            <v>50</v>
          </cell>
          <cell r="I2479"/>
          <cell r="J2479"/>
          <cell r="K2479"/>
          <cell r="L2479"/>
          <cell r="M2479"/>
          <cell r="N2479"/>
          <cell r="O2479"/>
        </row>
        <row r="2480">
          <cell r="A2480" t="str">
            <v>300 ED - BENEFICIARIOS</v>
          </cell>
          <cell r="B2480"/>
          <cell r="C2480"/>
          <cell r="D2480">
            <v>1067</v>
          </cell>
          <cell r="E2480"/>
          <cell r="F2480"/>
          <cell r="G2480"/>
          <cell r="H2480"/>
          <cell r="I2480"/>
          <cell r="J2480"/>
          <cell r="K2480"/>
          <cell r="L2480"/>
          <cell r="M2480"/>
          <cell r="N2480"/>
          <cell r="O2480"/>
        </row>
        <row r="2481">
          <cell r="A2481" t="str">
            <v>630-IG MIN.INTL.DE CRISTO PAZ DE DIOS</v>
          </cell>
          <cell r="B2481"/>
          <cell r="C2481">
            <v>278</v>
          </cell>
          <cell r="D2481"/>
          <cell r="E2481"/>
          <cell r="F2481"/>
          <cell r="G2481"/>
          <cell r="H2481"/>
          <cell r="I2481"/>
          <cell r="J2481"/>
          <cell r="K2481"/>
          <cell r="L2481"/>
          <cell r="M2481"/>
          <cell r="N2481"/>
          <cell r="O2481"/>
        </row>
        <row r="2482">
          <cell r="A2482" t="str">
            <v>260 IG - IGLESIA MISIONERA DE RESTAURACIÓN</v>
          </cell>
          <cell r="B2482"/>
          <cell r="C2482"/>
          <cell r="D2482">
            <v>30</v>
          </cell>
          <cell r="E2482"/>
          <cell r="F2482"/>
          <cell r="G2482"/>
          <cell r="H2482"/>
          <cell r="I2482"/>
          <cell r="J2482"/>
          <cell r="K2482"/>
          <cell r="L2482"/>
          <cell r="M2482"/>
          <cell r="N2482"/>
          <cell r="O2482"/>
        </row>
        <row r="2483">
          <cell r="A2483" t="str">
            <v>397-FU FUNDACION SHALOM PANAMA</v>
          </cell>
          <cell r="B2483"/>
          <cell r="C2483"/>
          <cell r="D2483"/>
          <cell r="E2483">
            <v>30</v>
          </cell>
          <cell r="F2483"/>
          <cell r="G2483"/>
          <cell r="H2483"/>
          <cell r="I2483"/>
          <cell r="J2483"/>
          <cell r="K2483"/>
          <cell r="L2483"/>
          <cell r="M2483"/>
          <cell r="N2483"/>
          <cell r="O2483"/>
        </row>
        <row r="2484">
          <cell r="A2484" t="str">
            <v>450-FU MINISTERIO DE RESTAURACION EFESIOS 4 (ESTE)</v>
          </cell>
          <cell r="B2484"/>
          <cell r="C2484"/>
          <cell r="D2484">
            <v>170</v>
          </cell>
          <cell r="E2484"/>
          <cell r="F2484"/>
          <cell r="G2484"/>
          <cell r="H2484"/>
          <cell r="I2484"/>
          <cell r="J2484"/>
          <cell r="K2484"/>
          <cell r="L2484"/>
          <cell r="M2484"/>
          <cell r="N2484"/>
          <cell r="O2484"/>
        </row>
        <row r="2485">
          <cell r="A2485" t="str">
            <v>235 FU - FUNDACION GRUPO ENVIADOS</v>
          </cell>
          <cell r="B2485"/>
          <cell r="C2485"/>
          <cell r="D2485">
            <v>20</v>
          </cell>
          <cell r="E2485"/>
          <cell r="F2485"/>
          <cell r="G2485"/>
          <cell r="H2485"/>
          <cell r="I2485"/>
          <cell r="J2485"/>
          <cell r="K2485"/>
          <cell r="L2485"/>
          <cell r="M2485"/>
          <cell r="N2485"/>
          <cell r="O2485"/>
        </row>
        <row r="2486">
          <cell r="A2486" t="str">
            <v>202 FU - FUNDACIÓN HOGAR SAN JOSÉ (ESTE)</v>
          </cell>
          <cell r="B2486"/>
          <cell r="C2486"/>
          <cell r="D2486">
            <v>108</v>
          </cell>
          <cell r="E2486"/>
          <cell r="F2486"/>
          <cell r="G2486"/>
          <cell r="H2486"/>
          <cell r="I2486"/>
          <cell r="J2486"/>
          <cell r="K2486"/>
          <cell r="L2486"/>
          <cell r="M2486"/>
          <cell r="N2486"/>
          <cell r="O2486"/>
        </row>
        <row r="2487">
          <cell r="A2487" t="str">
            <v>116 AS - ASOCIACIÓN IGLESIA DE CRISTO ESTRELLA CRECIENTE</v>
          </cell>
          <cell r="B2487"/>
          <cell r="C2487"/>
          <cell r="D2487">
            <v>20</v>
          </cell>
          <cell r="E2487"/>
          <cell r="F2487"/>
          <cell r="G2487"/>
          <cell r="H2487"/>
          <cell r="I2487"/>
          <cell r="J2487"/>
          <cell r="K2487"/>
          <cell r="L2487"/>
          <cell r="M2487"/>
          <cell r="N2487"/>
          <cell r="O2487"/>
        </row>
        <row r="2488">
          <cell r="A2488" t="str">
            <v>469-FU MINISTERIO CRISTIANO EL SHADAI</v>
          </cell>
          <cell r="B2488"/>
          <cell r="C2488"/>
          <cell r="D2488">
            <v>70</v>
          </cell>
          <cell r="E2488"/>
          <cell r="F2488"/>
          <cell r="G2488"/>
          <cell r="H2488"/>
          <cell r="I2488"/>
          <cell r="J2488"/>
          <cell r="K2488"/>
          <cell r="L2488"/>
          <cell r="M2488"/>
          <cell r="N2488"/>
          <cell r="O2488"/>
        </row>
        <row r="2489">
          <cell r="A2489" t="str">
            <v>647 - IG CRISTO REY CAMBIANDO VIDAS (ESTE)</v>
          </cell>
          <cell r="B2489"/>
          <cell r="C2489"/>
          <cell r="D2489">
            <v>20</v>
          </cell>
          <cell r="E2489"/>
          <cell r="F2489"/>
          <cell r="G2489"/>
          <cell r="H2489"/>
          <cell r="I2489"/>
          <cell r="J2489"/>
          <cell r="K2489"/>
          <cell r="L2489"/>
          <cell r="M2489"/>
          <cell r="N2489"/>
          <cell r="O2489"/>
        </row>
        <row r="2490">
          <cell r="A2490" t="str">
            <v>417-AS CLUB DE LEONES DE PEDREGAL (ESTE)</v>
          </cell>
          <cell r="B2490"/>
          <cell r="C2490"/>
          <cell r="D2490">
            <v>40</v>
          </cell>
          <cell r="E2490"/>
          <cell r="F2490"/>
          <cell r="G2490"/>
          <cell r="H2490"/>
          <cell r="I2490"/>
          <cell r="J2490"/>
          <cell r="K2490"/>
          <cell r="L2490"/>
          <cell r="M2490"/>
          <cell r="N2490"/>
          <cell r="O2490"/>
        </row>
        <row r="2491">
          <cell r="A2491" t="str">
            <v>252 IG - MINISTERIO INTERNACIONAL DE AMISTADES CRISTIANAS</v>
          </cell>
          <cell r="B2491"/>
          <cell r="C2491"/>
          <cell r="D2491">
            <v>50</v>
          </cell>
          <cell r="E2491"/>
          <cell r="F2491"/>
          <cell r="G2491"/>
          <cell r="H2491"/>
          <cell r="I2491"/>
          <cell r="J2491"/>
          <cell r="K2491"/>
          <cell r="L2491"/>
          <cell r="M2491"/>
          <cell r="N2491"/>
          <cell r="O2491"/>
        </row>
        <row r="2492">
          <cell r="A2492" t="str">
            <v>144 OR - HERMANAS DE SAN JOSÉ DE LA APARICIÓN (RETIRA EN EL BANCO)</v>
          </cell>
          <cell r="B2492"/>
          <cell r="C2492"/>
          <cell r="D2492">
            <v>218</v>
          </cell>
          <cell r="E2492"/>
          <cell r="F2492"/>
          <cell r="G2492"/>
          <cell r="H2492"/>
          <cell r="I2492"/>
          <cell r="J2492"/>
          <cell r="K2492"/>
          <cell r="L2492"/>
          <cell r="M2492"/>
          <cell r="N2492"/>
          <cell r="O2492"/>
        </row>
        <row r="2493">
          <cell r="A2493" t="str">
            <v>94 OR - HOGAR SAN FRANCISCO DE ASÍS</v>
          </cell>
          <cell r="B2493"/>
          <cell r="C2493"/>
          <cell r="D2493"/>
          <cell r="E2493"/>
          <cell r="F2493"/>
          <cell r="G2493"/>
          <cell r="H2493"/>
          <cell r="I2493"/>
          <cell r="J2493">
            <v>176</v>
          </cell>
          <cell r="K2493"/>
          <cell r="L2493"/>
          <cell r="M2493"/>
          <cell r="N2493"/>
          <cell r="O2493"/>
        </row>
        <row r="2494">
          <cell r="A2494" t="str">
            <v>Retiro de Merma</v>
          </cell>
          <cell r="B2494">
            <v>49</v>
          </cell>
          <cell r="C2494"/>
          <cell r="D2494"/>
          <cell r="E2494"/>
          <cell r="F2494"/>
          <cell r="G2494"/>
          <cell r="H2494"/>
          <cell r="I2494"/>
          <cell r="J2494"/>
          <cell r="K2494"/>
          <cell r="L2494"/>
          <cell r="M2494"/>
          <cell r="N2494"/>
          <cell r="O2494"/>
        </row>
        <row r="2495">
          <cell r="A2495" t="str">
            <v>364-IG COMEDOR SHEKINA</v>
          </cell>
          <cell r="B2495"/>
          <cell r="C2495"/>
          <cell r="D2495"/>
          <cell r="E2495"/>
          <cell r="F2495"/>
          <cell r="G2495"/>
          <cell r="H2495"/>
          <cell r="I2495"/>
          <cell r="J2495"/>
          <cell r="K2495">
            <v>514</v>
          </cell>
          <cell r="L2495"/>
          <cell r="M2495"/>
          <cell r="N2495"/>
          <cell r="O2495"/>
        </row>
        <row r="2496">
          <cell r="A2496" t="str">
            <v>672 - FU FUNDACION NUEVO PACTO POR LA NIÑEZ</v>
          </cell>
          <cell r="B2496"/>
          <cell r="C2496">
            <v>30</v>
          </cell>
          <cell r="D2496"/>
          <cell r="E2496"/>
          <cell r="F2496"/>
          <cell r="G2496"/>
          <cell r="H2496"/>
          <cell r="I2496"/>
          <cell r="J2496"/>
          <cell r="K2496"/>
          <cell r="L2496"/>
          <cell r="M2496"/>
          <cell r="N2496"/>
          <cell r="O2496"/>
        </row>
        <row r="2497">
          <cell r="A2497" t="str">
            <v>360-IG IGLESIA CRISTIANA CASA DE REUNION</v>
          </cell>
          <cell r="B2497"/>
          <cell r="C2497"/>
          <cell r="D2497"/>
          <cell r="E2497"/>
          <cell r="F2497"/>
          <cell r="G2497">
            <v>20</v>
          </cell>
          <cell r="H2497"/>
          <cell r="I2497"/>
          <cell r="J2497"/>
          <cell r="K2497"/>
          <cell r="L2497"/>
          <cell r="M2497"/>
          <cell r="N2497"/>
          <cell r="O2497"/>
        </row>
        <row r="2498">
          <cell r="A2498" t="str">
            <v>263 IG TABERNÁCULO DE DIOS DE SAN MIGUEL DEL EXQUISITO</v>
          </cell>
          <cell r="B2498"/>
          <cell r="C2498"/>
          <cell r="D2498"/>
          <cell r="E2498"/>
          <cell r="F2498"/>
          <cell r="G2498"/>
          <cell r="H2498"/>
          <cell r="I2498"/>
          <cell r="J2498">
            <v>349</v>
          </cell>
          <cell r="K2498"/>
          <cell r="L2498"/>
          <cell r="M2498"/>
          <cell r="N2498"/>
          <cell r="O2498"/>
        </row>
        <row r="2499">
          <cell r="A2499" t="str">
            <v>719 FU FUNDACION VIDA NUEVA EL SHADDAI</v>
          </cell>
          <cell r="B2499"/>
          <cell r="C2499"/>
          <cell r="D2499"/>
          <cell r="E2499"/>
          <cell r="F2499"/>
          <cell r="G2499">
            <v>140</v>
          </cell>
          <cell r="H2499"/>
          <cell r="I2499"/>
          <cell r="J2499"/>
          <cell r="K2499"/>
          <cell r="L2499"/>
          <cell r="M2499"/>
          <cell r="N2499"/>
          <cell r="O2499"/>
        </row>
        <row r="2500">
          <cell r="A2500" t="str">
            <v>710 - AS CLUB DE LEONES DE SONA</v>
          </cell>
          <cell r="B2500"/>
          <cell r="C2500"/>
          <cell r="D2500"/>
          <cell r="E2500"/>
          <cell r="F2500"/>
          <cell r="G2500"/>
          <cell r="H2500"/>
          <cell r="I2500"/>
          <cell r="J2500"/>
          <cell r="K2500"/>
          <cell r="L2500"/>
          <cell r="M2500">
            <v>480</v>
          </cell>
          <cell r="N2500"/>
          <cell r="O2500"/>
        </row>
        <row r="2501">
          <cell r="A2501" t="str">
            <v>684 - FU FUNDACION CASA DEL REY JESUS (CENTRO 2)</v>
          </cell>
          <cell r="B2501"/>
          <cell r="C2501">
            <v>65</v>
          </cell>
          <cell r="D2501"/>
          <cell r="E2501"/>
          <cell r="F2501"/>
          <cell r="G2501"/>
          <cell r="H2501"/>
          <cell r="I2501"/>
          <cell r="J2501"/>
          <cell r="K2501"/>
          <cell r="L2501"/>
          <cell r="M2501"/>
          <cell r="N2501"/>
          <cell r="O2501"/>
        </row>
        <row r="2502">
          <cell r="A2502" t="str">
            <v>229 PA - PARROQUIA SAN CRISTOBAL DE CHEPO</v>
          </cell>
          <cell r="B2502"/>
          <cell r="C2502"/>
          <cell r="D2502">
            <v>45</v>
          </cell>
          <cell r="E2502"/>
          <cell r="F2502"/>
          <cell r="G2502"/>
          <cell r="H2502"/>
          <cell r="I2502"/>
          <cell r="J2502"/>
          <cell r="K2502"/>
          <cell r="L2502"/>
          <cell r="M2502"/>
          <cell r="N2502"/>
          <cell r="O2502"/>
        </row>
        <row r="2503">
          <cell r="A2503" t="str">
            <v>730-FU SOLIDARIDAD Y DESARROLLO DE PANAMA (VERAGUAS)</v>
          </cell>
          <cell r="B2503"/>
          <cell r="C2503"/>
          <cell r="D2503"/>
          <cell r="E2503"/>
          <cell r="F2503"/>
          <cell r="G2503"/>
          <cell r="H2503"/>
          <cell r="I2503"/>
          <cell r="J2503"/>
          <cell r="K2503"/>
          <cell r="L2503"/>
          <cell r="M2503">
            <v>30</v>
          </cell>
          <cell r="N2503"/>
          <cell r="O2503"/>
        </row>
        <row r="2504">
          <cell r="A2504" t="str">
            <v>736-IG JESUS HACE MILAGROS</v>
          </cell>
          <cell r="B2504"/>
          <cell r="C2504"/>
          <cell r="D2504"/>
          <cell r="E2504"/>
          <cell r="F2504"/>
          <cell r="G2504"/>
          <cell r="H2504"/>
          <cell r="I2504"/>
          <cell r="J2504">
            <v>210</v>
          </cell>
          <cell r="K2504"/>
          <cell r="L2504"/>
          <cell r="M2504"/>
          <cell r="N2504"/>
          <cell r="O2504"/>
        </row>
        <row r="2505">
          <cell r="A2505" t="str">
            <v>215 IG - IGLESIA INTERNACIONAL DEL EVANGELIO CUADRANGULAR DE (CHIRIQUÍ)</v>
          </cell>
          <cell r="B2505"/>
          <cell r="C2505"/>
          <cell r="D2505"/>
          <cell r="E2505"/>
          <cell r="F2505"/>
          <cell r="G2505"/>
          <cell r="H2505"/>
          <cell r="I2505"/>
          <cell r="J2505">
            <v>105</v>
          </cell>
          <cell r="K2505"/>
          <cell r="L2505"/>
          <cell r="M2505"/>
          <cell r="N2505"/>
          <cell r="O2505"/>
        </row>
        <row r="2506">
          <cell r="A2506" t="str">
            <v>738- IG MINISTERIO DIOS CON NOSOTROS EMANUEL</v>
          </cell>
          <cell r="B2506"/>
          <cell r="C2506"/>
          <cell r="D2506">
            <v>10</v>
          </cell>
          <cell r="E2506"/>
          <cell r="F2506"/>
          <cell r="G2506"/>
          <cell r="H2506"/>
          <cell r="I2506"/>
          <cell r="J2506"/>
          <cell r="K2506"/>
          <cell r="L2506"/>
          <cell r="M2506"/>
          <cell r="N2506"/>
          <cell r="O2506"/>
        </row>
        <row r="2507">
          <cell r="A2507" t="str">
            <v>743- ED CLUB FAMILIA DEPORTIVA</v>
          </cell>
          <cell r="B2507"/>
          <cell r="C2507">
            <v>20</v>
          </cell>
          <cell r="D2507"/>
          <cell r="E2507"/>
          <cell r="F2507"/>
          <cell r="G2507"/>
          <cell r="H2507"/>
          <cell r="I2507"/>
          <cell r="J2507"/>
          <cell r="K2507"/>
          <cell r="L2507"/>
          <cell r="M2507"/>
          <cell r="N2507"/>
          <cell r="O2507"/>
        </row>
        <row r="2508">
          <cell r="A2508" t="str">
            <v>741-IG BUNKER DE ESPERANZA</v>
          </cell>
          <cell r="B2508"/>
          <cell r="C2508"/>
          <cell r="D2508">
            <v>210</v>
          </cell>
          <cell r="E2508"/>
          <cell r="F2508"/>
          <cell r="G2508"/>
          <cell r="H2508"/>
          <cell r="I2508"/>
          <cell r="J2508"/>
          <cell r="K2508"/>
          <cell r="L2508"/>
          <cell r="M2508"/>
          <cell r="N2508"/>
          <cell r="O2508"/>
        </row>
        <row r="2509">
          <cell r="A2509" t="str">
            <v>750-IG MTSI Santiago</v>
          </cell>
          <cell r="B2509"/>
          <cell r="C2509"/>
          <cell r="D2509"/>
          <cell r="E2509"/>
          <cell r="F2509"/>
          <cell r="G2509"/>
          <cell r="H2509"/>
          <cell r="I2509"/>
          <cell r="J2509"/>
          <cell r="K2509"/>
          <cell r="L2509"/>
          <cell r="M2509">
            <v>30</v>
          </cell>
          <cell r="N2509"/>
          <cell r="O2509"/>
        </row>
        <row r="2510">
          <cell r="A2510" t="str">
            <v>613-FU FUNDACION INMARE</v>
          </cell>
          <cell r="B2510"/>
          <cell r="C2510"/>
          <cell r="D2510"/>
          <cell r="E2510"/>
          <cell r="F2510"/>
          <cell r="G2510"/>
          <cell r="H2510"/>
          <cell r="I2510"/>
          <cell r="J2510"/>
          <cell r="K2510">
            <v>443</v>
          </cell>
          <cell r="L2510"/>
          <cell r="M2510"/>
          <cell r="N2510"/>
          <cell r="O2510"/>
        </row>
        <row r="2511">
          <cell r="A2511" t="str">
            <v>275 IG CONCILIO GENERAL DE LAS ASAMBLEAS DE DIOS DE PANAMÁ</v>
          </cell>
          <cell r="B2511"/>
          <cell r="C2511">
            <v>140</v>
          </cell>
          <cell r="D2511"/>
          <cell r="E2511"/>
          <cell r="F2511"/>
          <cell r="G2511"/>
          <cell r="H2511"/>
          <cell r="I2511"/>
          <cell r="J2511"/>
          <cell r="K2511"/>
          <cell r="L2511"/>
          <cell r="M2511"/>
          <cell r="N2511"/>
          <cell r="O2511"/>
        </row>
        <row r="2512">
          <cell r="A2512" t="str">
            <v>758-FU RESTAURANDO EL PRIMER AMOR</v>
          </cell>
          <cell r="B2512"/>
          <cell r="C2512"/>
          <cell r="D2512"/>
          <cell r="E2512"/>
          <cell r="F2512"/>
          <cell r="G2512"/>
          <cell r="H2512"/>
          <cell r="I2512">
            <v>10</v>
          </cell>
          <cell r="J2512"/>
          <cell r="K2512"/>
          <cell r="L2512"/>
          <cell r="M2512"/>
          <cell r="N2512"/>
          <cell r="O2512"/>
        </row>
        <row r="2513">
          <cell r="A2513" t="str">
            <v>765-IG EXPANSION MISIONERA RIOS DE AGUA VIVA</v>
          </cell>
          <cell r="B2513"/>
          <cell r="C2513"/>
          <cell r="D2513"/>
          <cell r="E2513"/>
          <cell r="F2513"/>
          <cell r="G2513"/>
          <cell r="H2513"/>
          <cell r="I2513"/>
          <cell r="J2513"/>
          <cell r="K2513"/>
          <cell r="L2513">
            <v>197</v>
          </cell>
          <cell r="M2513"/>
          <cell r="N2513"/>
          <cell r="O2513"/>
        </row>
        <row r="2514">
          <cell r="A2514" t="str">
            <v>394-IG IGLESIA ESCUADRONES DEL EJERCITO DE DIOS (CENTRO2)</v>
          </cell>
          <cell r="B2514"/>
          <cell r="C2514">
            <v>91</v>
          </cell>
          <cell r="D2514"/>
          <cell r="E2514"/>
          <cell r="F2514"/>
          <cell r="G2514"/>
          <cell r="H2514"/>
          <cell r="I2514"/>
          <cell r="J2514"/>
          <cell r="K2514"/>
          <cell r="L2514"/>
          <cell r="M2514"/>
          <cell r="N2514"/>
          <cell r="O2514"/>
        </row>
        <row r="2515">
          <cell r="A2515" t="str">
            <v>789-FU Fundación Rescate de Alimentos</v>
          </cell>
          <cell r="B2515"/>
          <cell r="C2515">
            <v>36</v>
          </cell>
          <cell r="D2515"/>
          <cell r="E2515"/>
          <cell r="F2515"/>
          <cell r="G2515"/>
          <cell r="H2515"/>
          <cell r="I2515"/>
          <cell r="J2515"/>
          <cell r="K2515"/>
          <cell r="L2515"/>
          <cell r="M2515"/>
          <cell r="N2515"/>
          <cell r="O2515"/>
        </row>
        <row r="2516">
          <cell r="A2516" t="str">
            <v>8 PA - PARROQUIA SAN JUAN DE MACARACAS</v>
          </cell>
          <cell r="B2516">
            <v>16</v>
          </cell>
          <cell r="C2516"/>
          <cell r="D2516"/>
          <cell r="E2516"/>
          <cell r="F2516"/>
          <cell r="G2516"/>
          <cell r="H2516"/>
          <cell r="I2516"/>
          <cell r="J2516"/>
          <cell r="K2516"/>
          <cell r="L2516"/>
          <cell r="M2516"/>
          <cell r="N2516"/>
          <cell r="O2516"/>
        </row>
        <row r="2517">
          <cell r="A2517" t="str">
            <v>240 PA - PARROQUIA SAN JOSÉ - PESE</v>
          </cell>
          <cell r="B2517"/>
          <cell r="C2517"/>
          <cell r="D2517"/>
          <cell r="E2517"/>
          <cell r="F2517"/>
          <cell r="G2517"/>
          <cell r="H2517"/>
          <cell r="I2517"/>
          <cell r="J2517"/>
          <cell r="K2517"/>
          <cell r="L2517">
            <v>192</v>
          </cell>
          <cell r="M2517"/>
          <cell r="N2517"/>
          <cell r="O2517"/>
        </row>
        <row r="2518">
          <cell r="A2518" t="str">
            <v>253 FU - FUNDACIÓN PARA EL BIENESTAR SOCIAL (CENTRO2)</v>
          </cell>
          <cell r="B2518"/>
          <cell r="C2518">
            <v>116</v>
          </cell>
          <cell r="D2518"/>
          <cell r="E2518"/>
          <cell r="F2518"/>
          <cell r="G2518"/>
          <cell r="H2518"/>
          <cell r="I2518"/>
          <cell r="J2518"/>
          <cell r="K2518"/>
          <cell r="L2518"/>
          <cell r="M2518"/>
          <cell r="N2518"/>
          <cell r="O2518"/>
        </row>
        <row r="2519">
          <cell r="A2519" t="str">
            <v>463-FU MINISTERIO BERAKHAH INTERNACIONAL COMEDOR OASIS DE ESPERANZA (ESTE)</v>
          </cell>
          <cell r="B2519"/>
          <cell r="C2519"/>
          <cell r="D2519">
            <v>15</v>
          </cell>
          <cell r="E2519"/>
          <cell r="F2519"/>
          <cell r="G2519"/>
          <cell r="H2519"/>
          <cell r="I2519"/>
          <cell r="J2519"/>
          <cell r="K2519"/>
          <cell r="L2519"/>
          <cell r="M2519"/>
          <cell r="N2519"/>
          <cell r="O2519"/>
        </row>
        <row r="2520">
          <cell r="A2520" t="str">
            <v>814-IG Templo Morada Santa</v>
          </cell>
          <cell r="B2520"/>
          <cell r="C2520"/>
          <cell r="D2520"/>
          <cell r="E2520"/>
          <cell r="F2520">
            <v>20</v>
          </cell>
          <cell r="G2520"/>
          <cell r="H2520"/>
          <cell r="I2520"/>
          <cell r="J2520"/>
          <cell r="K2520"/>
          <cell r="L2520"/>
          <cell r="M2520"/>
          <cell r="N2520"/>
          <cell r="O2520"/>
        </row>
        <row r="2521">
          <cell r="A2521" t="str">
            <v>734-FU MINISTERIO DE SALVACION EL CAMINO DE DIOS</v>
          </cell>
          <cell r="B2521"/>
          <cell r="C2521"/>
          <cell r="D2521"/>
          <cell r="E2521"/>
          <cell r="F2521"/>
          <cell r="G2521"/>
          <cell r="H2521"/>
          <cell r="I2521">
            <v>50</v>
          </cell>
          <cell r="J2521"/>
          <cell r="K2521"/>
          <cell r="L2521"/>
          <cell r="M2521"/>
          <cell r="N2521"/>
          <cell r="O2521"/>
        </row>
        <row r="2522">
          <cell r="A2522" t="str">
            <v>392-FU Fundacion Jerusalen Trono de Jehova III</v>
          </cell>
          <cell r="B2522"/>
          <cell r="C2522"/>
          <cell r="D2522"/>
          <cell r="E2522">
            <v>108</v>
          </cell>
          <cell r="F2522"/>
          <cell r="G2522"/>
          <cell r="H2522"/>
          <cell r="I2522"/>
          <cell r="J2522"/>
          <cell r="K2522"/>
          <cell r="L2522"/>
          <cell r="M2522"/>
          <cell r="N2522"/>
          <cell r="O2522"/>
        </row>
        <row r="2523">
          <cell r="A2523" t="str">
            <v>756-FU Fundación Nuevas Rutas</v>
          </cell>
          <cell r="B2523"/>
          <cell r="C2523"/>
          <cell r="D2523"/>
          <cell r="E2523"/>
          <cell r="F2523"/>
          <cell r="G2523"/>
          <cell r="H2523"/>
          <cell r="I2523"/>
          <cell r="J2523">
            <v>1069</v>
          </cell>
          <cell r="K2523"/>
          <cell r="L2523"/>
          <cell r="M2523"/>
          <cell r="N2523"/>
          <cell r="O2523"/>
        </row>
        <row r="2524">
          <cell r="A2524" t="str">
            <v>341-PA PARROQUIA SANTIAGO APOSTOL ALANJE (CHIRIQUÍ)</v>
          </cell>
          <cell r="B2524"/>
          <cell r="C2524"/>
          <cell r="D2524"/>
          <cell r="E2524"/>
          <cell r="F2524"/>
          <cell r="G2524"/>
          <cell r="H2524"/>
          <cell r="I2524"/>
          <cell r="J2524">
            <v>210</v>
          </cell>
          <cell r="K2524"/>
          <cell r="L2524"/>
          <cell r="M2524"/>
          <cell r="N2524"/>
          <cell r="O2524"/>
        </row>
        <row r="2525">
          <cell r="A2525" t="str">
            <v>813-IG Comedor Centro De Esperanza Elohim</v>
          </cell>
          <cell r="B2525"/>
          <cell r="C2525"/>
          <cell r="D2525"/>
          <cell r="E2525"/>
          <cell r="F2525"/>
          <cell r="G2525"/>
          <cell r="H2525"/>
          <cell r="I2525"/>
          <cell r="J2525"/>
          <cell r="K2525">
            <v>192</v>
          </cell>
          <cell r="L2525"/>
          <cell r="M2525"/>
          <cell r="N2525"/>
          <cell r="O2525"/>
        </row>
        <row r="2526">
          <cell r="A2526" t="str">
            <v>770-IG CENTRO CRISTIANO NUEVA VIDA</v>
          </cell>
          <cell r="B2526"/>
          <cell r="C2526"/>
          <cell r="D2526"/>
          <cell r="E2526"/>
          <cell r="F2526"/>
          <cell r="G2526"/>
          <cell r="H2526"/>
          <cell r="I2526"/>
          <cell r="J2526"/>
          <cell r="K2526">
            <v>192</v>
          </cell>
          <cell r="L2526"/>
          <cell r="M2526"/>
          <cell r="N2526"/>
          <cell r="O2526"/>
        </row>
        <row r="2527">
          <cell r="A2527" t="str">
            <v>728-FU ANCEC SANTIAGO</v>
          </cell>
          <cell r="B2527"/>
          <cell r="C2527"/>
          <cell r="D2527"/>
          <cell r="E2527"/>
          <cell r="F2527"/>
          <cell r="G2527"/>
          <cell r="H2527"/>
          <cell r="I2527"/>
          <cell r="J2527"/>
          <cell r="K2527"/>
          <cell r="L2527"/>
          <cell r="M2527">
            <v>304</v>
          </cell>
          <cell r="N2527"/>
          <cell r="O2527"/>
        </row>
        <row r="2528">
          <cell r="A2528" t="str">
            <v>245-FU MINISTERIO BERAKHAH INTERNACIONAL CUENTA PRINCIPAL</v>
          </cell>
          <cell r="B2528"/>
          <cell r="C2528"/>
          <cell r="D2528">
            <v>20</v>
          </cell>
          <cell r="E2528"/>
          <cell r="F2528"/>
          <cell r="G2528"/>
          <cell r="H2528"/>
          <cell r="I2528"/>
          <cell r="J2528"/>
          <cell r="K2528"/>
          <cell r="L2528"/>
          <cell r="M2528"/>
          <cell r="N2528"/>
          <cell r="O2528"/>
        </row>
        <row r="2529">
          <cell r="A2529" t="str">
            <v>MELO FARMA, S.A.</v>
          </cell>
          <cell r="B2529"/>
          <cell r="C2529">
            <v>16</v>
          </cell>
          <cell r="D2529">
            <v>29</v>
          </cell>
          <cell r="E2529">
            <v>6</v>
          </cell>
          <cell r="F2529"/>
          <cell r="G2529"/>
          <cell r="H2529">
            <v>6</v>
          </cell>
          <cell r="I2529">
            <v>10</v>
          </cell>
          <cell r="J2529"/>
          <cell r="K2529"/>
          <cell r="L2529"/>
          <cell r="M2529"/>
          <cell r="N2529"/>
          <cell r="O2529"/>
        </row>
        <row r="2530">
          <cell r="A2530" t="str">
            <v>104 AS - ASOCIACIÓN HOGAR FELICIDAD</v>
          </cell>
          <cell r="B2530"/>
          <cell r="C2530"/>
          <cell r="D2530"/>
          <cell r="E2530">
            <v>2</v>
          </cell>
          <cell r="F2530"/>
          <cell r="G2530"/>
          <cell r="H2530"/>
          <cell r="I2530"/>
          <cell r="J2530"/>
          <cell r="K2530"/>
          <cell r="L2530"/>
          <cell r="M2530"/>
          <cell r="N2530"/>
          <cell r="O2530"/>
        </row>
        <row r="2531">
          <cell r="A2531" t="str">
            <v>636- FU JAH - LIVE (JAHL) - COLON</v>
          </cell>
          <cell r="B2531"/>
          <cell r="C2531"/>
          <cell r="D2531"/>
          <cell r="E2531"/>
          <cell r="F2531"/>
          <cell r="G2531"/>
          <cell r="H2531">
            <v>6</v>
          </cell>
          <cell r="I2531"/>
          <cell r="J2531"/>
          <cell r="K2531"/>
          <cell r="L2531"/>
          <cell r="M2531"/>
          <cell r="N2531"/>
          <cell r="O2531"/>
        </row>
        <row r="2532">
          <cell r="A2532" t="str">
            <v>365-IG COMEDOR HEFZIBA</v>
          </cell>
          <cell r="B2532"/>
          <cell r="C2532"/>
          <cell r="D2532"/>
          <cell r="E2532"/>
          <cell r="F2532"/>
          <cell r="G2532"/>
          <cell r="H2532"/>
          <cell r="I2532">
            <v>4</v>
          </cell>
          <cell r="J2532"/>
          <cell r="K2532"/>
          <cell r="L2532"/>
          <cell r="M2532"/>
          <cell r="N2532"/>
          <cell r="O2532"/>
        </row>
        <row r="2533">
          <cell r="A2533" t="str">
            <v>635 TEMPLO ADULAM</v>
          </cell>
          <cell r="B2533"/>
          <cell r="C2533"/>
          <cell r="D2533"/>
          <cell r="E2533">
            <v>2</v>
          </cell>
          <cell r="F2533"/>
          <cell r="G2533"/>
          <cell r="H2533"/>
          <cell r="I2533"/>
          <cell r="J2533"/>
          <cell r="K2533"/>
          <cell r="L2533"/>
          <cell r="M2533"/>
          <cell r="N2533"/>
          <cell r="O2533"/>
        </row>
        <row r="2534">
          <cell r="A2534" t="str">
            <v>218 ED - LOS PREFERIDOS DEL SEÑOR (CENTRO2)</v>
          </cell>
          <cell r="B2534"/>
          <cell r="C2534">
            <v>2</v>
          </cell>
          <cell r="D2534"/>
          <cell r="E2534"/>
          <cell r="F2534"/>
          <cell r="G2534"/>
          <cell r="H2534"/>
          <cell r="I2534"/>
          <cell r="J2534"/>
          <cell r="K2534"/>
          <cell r="L2534"/>
          <cell r="M2534"/>
          <cell r="N2534"/>
          <cell r="O2534"/>
        </row>
        <row r="2535">
          <cell r="A2535" t="str">
            <v>187 IG - IGLESIA DE DIOS DE LA PROFECÍA</v>
          </cell>
          <cell r="B2535"/>
          <cell r="C2535"/>
          <cell r="D2535">
            <v>16</v>
          </cell>
          <cell r="E2535"/>
          <cell r="F2535"/>
          <cell r="G2535"/>
          <cell r="H2535"/>
          <cell r="I2535"/>
          <cell r="J2535"/>
          <cell r="K2535"/>
          <cell r="L2535"/>
          <cell r="M2535"/>
          <cell r="N2535"/>
          <cell r="O2535"/>
        </row>
        <row r="2536">
          <cell r="A2536" t="str">
            <v>695 - FU MINISTERIO BERAKHAH INTERNACIONAL 24 DIC</v>
          </cell>
          <cell r="B2536"/>
          <cell r="C2536"/>
          <cell r="D2536">
            <v>2</v>
          </cell>
          <cell r="E2536"/>
          <cell r="F2536"/>
          <cell r="G2536"/>
          <cell r="H2536"/>
          <cell r="I2536"/>
          <cell r="J2536"/>
          <cell r="K2536"/>
          <cell r="L2536"/>
          <cell r="M2536"/>
          <cell r="N2536"/>
          <cell r="O2536"/>
        </row>
        <row r="2537">
          <cell r="A2537" t="str">
            <v>366-FU CENTRO MISIONERO EL SHADAI (ESTE)</v>
          </cell>
          <cell r="B2537"/>
          <cell r="C2537"/>
          <cell r="D2537">
            <v>4</v>
          </cell>
          <cell r="E2537"/>
          <cell r="F2537"/>
          <cell r="G2537"/>
          <cell r="H2537"/>
          <cell r="I2537"/>
          <cell r="J2537"/>
          <cell r="K2537"/>
          <cell r="L2537"/>
          <cell r="M2537"/>
          <cell r="N2537"/>
          <cell r="O2537"/>
        </row>
        <row r="2538">
          <cell r="A2538" t="str">
            <v>630-IG MIN.INTL.DE CRISTO PAZ DE DIOS</v>
          </cell>
          <cell r="B2538"/>
          <cell r="C2538">
            <v>2</v>
          </cell>
          <cell r="D2538"/>
          <cell r="E2538"/>
          <cell r="F2538"/>
          <cell r="G2538"/>
          <cell r="H2538"/>
          <cell r="I2538"/>
          <cell r="J2538"/>
          <cell r="K2538"/>
          <cell r="L2538"/>
          <cell r="M2538"/>
          <cell r="N2538"/>
          <cell r="O2538"/>
        </row>
        <row r="2539">
          <cell r="A2539" t="str">
            <v>195 ED - JUNTOS PODEMOS</v>
          </cell>
          <cell r="B2539"/>
          <cell r="C2539">
            <v>4</v>
          </cell>
          <cell r="D2539"/>
          <cell r="E2539"/>
          <cell r="F2539"/>
          <cell r="G2539"/>
          <cell r="H2539"/>
          <cell r="I2539"/>
          <cell r="J2539"/>
          <cell r="K2539"/>
          <cell r="L2539"/>
          <cell r="M2539"/>
          <cell r="N2539"/>
          <cell r="O2539"/>
        </row>
        <row r="2540">
          <cell r="A2540" t="str">
            <v>417-AS CLUB DE LEONES DE PEDREGAL (ESTE)</v>
          </cell>
          <cell r="B2540"/>
          <cell r="C2540"/>
          <cell r="D2540">
            <v>5</v>
          </cell>
          <cell r="E2540"/>
          <cell r="F2540"/>
          <cell r="G2540"/>
          <cell r="H2540"/>
          <cell r="I2540"/>
          <cell r="J2540"/>
          <cell r="K2540"/>
          <cell r="L2540"/>
          <cell r="M2540"/>
          <cell r="N2540"/>
          <cell r="O2540"/>
        </row>
        <row r="2541">
          <cell r="A2541" t="str">
            <v>327-PA - Parroquia la Santa Cruz</v>
          </cell>
          <cell r="B2541"/>
          <cell r="C2541"/>
          <cell r="D2541"/>
          <cell r="E2541"/>
          <cell r="F2541"/>
          <cell r="G2541"/>
          <cell r="H2541"/>
          <cell r="I2541">
            <v>4</v>
          </cell>
          <cell r="J2541"/>
          <cell r="K2541"/>
          <cell r="L2541"/>
          <cell r="M2541"/>
          <cell r="N2541"/>
          <cell r="O2541"/>
        </row>
        <row r="2542">
          <cell r="A2542" t="str">
            <v>684 - FU FUNDACION CASA DEL REY JESUS (CENTRO 2)</v>
          </cell>
          <cell r="B2542"/>
          <cell r="C2542">
            <v>2</v>
          </cell>
          <cell r="D2542"/>
          <cell r="E2542"/>
          <cell r="F2542"/>
          <cell r="G2542"/>
          <cell r="H2542"/>
          <cell r="I2542"/>
          <cell r="J2542"/>
          <cell r="K2542"/>
          <cell r="L2542"/>
          <cell r="M2542"/>
          <cell r="N2542"/>
          <cell r="O2542"/>
        </row>
        <row r="2543">
          <cell r="A2543" t="str">
            <v>166 FU - FUNDACION CURAME</v>
          </cell>
          <cell r="B2543"/>
          <cell r="C2543">
            <v>2</v>
          </cell>
          <cell r="D2543"/>
          <cell r="E2543"/>
          <cell r="F2543"/>
          <cell r="G2543"/>
          <cell r="H2543"/>
          <cell r="I2543"/>
          <cell r="J2543"/>
          <cell r="K2543"/>
          <cell r="L2543"/>
          <cell r="M2543"/>
          <cell r="N2543"/>
          <cell r="O2543"/>
        </row>
        <row r="2544">
          <cell r="A2544" t="str">
            <v>737- ASOCIACION CRISTIANA EBEN-EZER (ESTE)</v>
          </cell>
          <cell r="B2544"/>
          <cell r="C2544"/>
          <cell r="D2544">
            <v>2</v>
          </cell>
          <cell r="E2544"/>
          <cell r="F2544"/>
          <cell r="G2544"/>
          <cell r="H2544"/>
          <cell r="I2544"/>
          <cell r="J2544"/>
          <cell r="K2544"/>
          <cell r="L2544"/>
          <cell r="M2544"/>
          <cell r="N2544"/>
          <cell r="O2544"/>
        </row>
        <row r="2545">
          <cell r="A2545" t="str">
            <v>201 OR - MISIONERAS MADRE LAURA</v>
          </cell>
          <cell r="B2545"/>
          <cell r="C2545">
            <v>2</v>
          </cell>
          <cell r="D2545"/>
          <cell r="E2545"/>
          <cell r="F2545"/>
          <cell r="G2545"/>
          <cell r="H2545"/>
          <cell r="I2545"/>
          <cell r="J2545"/>
          <cell r="K2545"/>
          <cell r="L2545"/>
          <cell r="M2545"/>
          <cell r="N2545"/>
          <cell r="O2545"/>
        </row>
        <row r="2546">
          <cell r="A2546" t="str">
            <v>785-FU FUNDACION GOTAS DE ESPERANZA</v>
          </cell>
          <cell r="B2546"/>
          <cell r="C2546"/>
          <cell r="D2546"/>
          <cell r="E2546">
            <v>2</v>
          </cell>
          <cell r="F2546"/>
          <cell r="G2546"/>
          <cell r="H2546"/>
          <cell r="I2546"/>
          <cell r="J2546"/>
          <cell r="K2546"/>
          <cell r="L2546"/>
          <cell r="M2546"/>
          <cell r="N2546"/>
          <cell r="O2546"/>
        </row>
        <row r="2547">
          <cell r="A2547" t="str">
            <v>394-IG IGLESIA ESCUADRONES DEL EJERCITO DE DIOS (CENTRO2)</v>
          </cell>
          <cell r="B2547"/>
          <cell r="C2547">
            <v>2</v>
          </cell>
          <cell r="D2547"/>
          <cell r="E2547"/>
          <cell r="F2547"/>
          <cell r="G2547"/>
          <cell r="H2547"/>
          <cell r="I2547"/>
          <cell r="J2547"/>
          <cell r="K2547"/>
          <cell r="L2547"/>
          <cell r="M2547"/>
          <cell r="N2547"/>
          <cell r="O2547"/>
        </row>
        <row r="2548">
          <cell r="A2548" t="str">
            <v>734-FU MINISTERIO DE SALVACION EL CAMINO DE DIOS</v>
          </cell>
          <cell r="B2548"/>
          <cell r="C2548"/>
          <cell r="D2548"/>
          <cell r="E2548"/>
          <cell r="F2548"/>
          <cell r="G2548"/>
          <cell r="H2548"/>
          <cell r="I2548">
            <v>2</v>
          </cell>
          <cell r="J2548"/>
          <cell r="K2548"/>
          <cell r="L2548"/>
          <cell r="M2548"/>
          <cell r="N2548"/>
          <cell r="O2548"/>
        </row>
        <row r="2549">
          <cell r="A2549" t="str">
            <v>NEGOCIOS CENTROAMERICANOS, S.A</v>
          </cell>
          <cell r="B2549"/>
          <cell r="C2549">
            <v>43</v>
          </cell>
          <cell r="D2549">
            <v>126</v>
          </cell>
          <cell r="E2549">
            <v>22</v>
          </cell>
          <cell r="F2549"/>
          <cell r="G2549">
            <v>8</v>
          </cell>
          <cell r="H2549">
            <v>42</v>
          </cell>
          <cell r="I2549">
            <v>16</v>
          </cell>
          <cell r="J2549"/>
          <cell r="K2549"/>
          <cell r="L2549"/>
          <cell r="M2549"/>
          <cell r="N2549"/>
          <cell r="O2549"/>
        </row>
        <row r="2550">
          <cell r="A2550" t="str">
            <v>178 IG - TEMPLO ZURIEL EL REFUGIO</v>
          </cell>
          <cell r="B2550"/>
          <cell r="C2550"/>
          <cell r="D2550"/>
          <cell r="E2550"/>
          <cell r="F2550"/>
          <cell r="G2550">
            <v>4</v>
          </cell>
          <cell r="H2550"/>
          <cell r="I2550"/>
          <cell r="J2550"/>
          <cell r="K2550"/>
          <cell r="L2550"/>
          <cell r="M2550"/>
          <cell r="N2550"/>
          <cell r="O2550"/>
        </row>
        <row r="2551">
          <cell r="A2551" t="str">
            <v>207 IG - IGLESIA CENTRO DE VIDA CRISTIANA</v>
          </cell>
          <cell r="B2551"/>
          <cell r="C2551"/>
          <cell r="D2551">
            <v>4</v>
          </cell>
          <cell r="E2551"/>
          <cell r="F2551"/>
          <cell r="G2551"/>
          <cell r="H2551"/>
          <cell r="I2551"/>
          <cell r="J2551"/>
          <cell r="K2551"/>
          <cell r="L2551"/>
          <cell r="M2551"/>
          <cell r="N2551"/>
          <cell r="O2551"/>
        </row>
        <row r="2552">
          <cell r="A2552" t="str">
            <v>636- FU JAH - LIVE (JAHL) - COLON</v>
          </cell>
          <cell r="B2552"/>
          <cell r="C2552"/>
          <cell r="D2552"/>
          <cell r="E2552"/>
          <cell r="F2552"/>
          <cell r="G2552"/>
          <cell r="H2552">
            <v>27</v>
          </cell>
          <cell r="I2552"/>
          <cell r="J2552"/>
          <cell r="K2552"/>
          <cell r="L2552"/>
          <cell r="M2552"/>
          <cell r="N2552"/>
          <cell r="O2552"/>
        </row>
        <row r="2553">
          <cell r="A2553" t="str">
            <v>470-FU IGLESIA MONTE SANTO</v>
          </cell>
          <cell r="B2553"/>
          <cell r="C2553"/>
          <cell r="D2553">
            <v>2</v>
          </cell>
          <cell r="E2553"/>
          <cell r="F2553"/>
          <cell r="G2553"/>
          <cell r="H2553"/>
          <cell r="I2553"/>
          <cell r="J2553"/>
          <cell r="K2553"/>
          <cell r="L2553"/>
          <cell r="M2553"/>
          <cell r="N2553"/>
          <cell r="O2553"/>
        </row>
        <row r="2554">
          <cell r="A2554" t="str">
            <v>687 - FU FUNDACION ARCA DE JESUS</v>
          </cell>
          <cell r="B2554"/>
          <cell r="C2554"/>
          <cell r="D2554"/>
          <cell r="E2554">
            <v>4</v>
          </cell>
          <cell r="F2554"/>
          <cell r="G2554"/>
          <cell r="H2554"/>
          <cell r="I2554"/>
          <cell r="J2554"/>
          <cell r="K2554"/>
          <cell r="L2554"/>
          <cell r="M2554"/>
          <cell r="N2554"/>
          <cell r="O2554"/>
        </row>
        <row r="2555">
          <cell r="A2555" t="str">
            <v>218 ED - LOS PREFERIDOS DEL SEÑOR (CENTRO2)</v>
          </cell>
          <cell r="B2555"/>
          <cell r="C2555">
            <v>2</v>
          </cell>
          <cell r="D2555"/>
          <cell r="E2555"/>
          <cell r="F2555"/>
          <cell r="G2555"/>
          <cell r="H2555"/>
          <cell r="I2555"/>
          <cell r="J2555"/>
          <cell r="K2555"/>
          <cell r="L2555"/>
          <cell r="M2555"/>
          <cell r="N2555"/>
          <cell r="O2555"/>
        </row>
        <row r="2556">
          <cell r="A2556" t="str">
            <v>187 IG - IGLESIA DE DIOS DE LA PROFECÍA</v>
          </cell>
          <cell r="B2556"/>
          <cell r="C2556"/>
          <cell r="D2556">
            <v>25</v>
          </cell>
          <cell r="E2556"/>
          <cell r="F2556"/>
          <cell r="G2556"/>
          <cell r="H2556"/>
          <cell r="I2556"/>
          <cell r="J2556"/>
          <cell r="K2556"/>
          <cell r="L2556"/>
          <cell r="M2556"/>
          <cell r="N2556"/>
          <cell r="O2556"/>
        </row>
        <row r="2557">
          <cell r="A2557" t="str">
            <v>321-IG IGLESIA DIOS ES MI PROVEEDOR Y SUSTENTO</v>
          </cell>
          <cell r="B2557"/>
          <cell r="C2557"/>
          <cell r="D2557">
            <v>2</v>
          </cell>
          <cell r="E2557"/>
          <cell r="F2557"/>
          <cell r="G2557"/>
          <cell r="H2557"/>
          <cell r="I2557"/>
          <cell r="J2557"/>
          <cell r="K2557"/>
          <cell r="L2557"/>
          <cell r="M2557"/>
          <cell r="N2557"/>
          <cell r="O2557"/>
        </row>
        <row r="2558">
          <cell r="A2558" t="str">
            <v>695 - FU MINISTERIO BERAKHAH INTERNACIONAL 24 DIC</v>
          </cell>
          <cell r="B2558"/>
          <cell r="C2558"/>
          <cell r="D2558">
            <v>2</v>
          </cell>
          <cell r="E2558"/>
          <cell r="F2558"/>
          <cell r="G2558"/>
          <cell r="H2558"/>
          <cell r="I2558"/>
          <cell r="J2558"/>
          <cell r="K2558"/>
          <cell r="L2558"/>
          <cell r="M2558"/>
          <cell r="N2558"/>
          <cell r="O2558"/>
        </row>
        <row r="2559">
          <cell r="A2559" t="str">
            <v>366-FU CENTRO MISIONERO EL SHADAI (ESTE)</v>
          </cell>
          <cell r="B2559"/>
          <cell r="C2559"/>
          <cell r="D2559">
            <v>12</v>
          </cell>
          <cell r="E2559"/>
          <cell r="F2559"/>
          <cell r="G2559"/>
          <cell r="H2559"/>
          <cell r="I2559"/>
          <cell r="J2559"/>
          <cell r="K2559"/>
          <cell r="L2559"/>
          <cell r="M2559"/>
          <cell r="N2559"/>
          <cell r="O2559"/>
        </row>
        <row r="2560">
          <cell r="A2560" t="str">
            <v>498-FU COMEDOR NIÑOS DE BENDICION</v>
          </cell>
          <cell r="B2560"/>
          <cell r="C2560"/>
          <cell r="D2560"/>
          <cell r="E2560">
            <v>10</v>
          </cell>
          <cell r="F2560"/>
          <cell r="G2560"/>
          <cell r="H2560"/>
          <cell r="I2560"/>
          <cell r="J2560"/>
          <cell r="K2560"/>
          <cell r="L2560"/>
          <cell r="M2560"/>
          <cell r="N2560"/>
          <cell r="O2560"/>
        </row>
        <row r="2561">
          <cell r="A2561" t="str">
            <v>288 IG MINISTERIO EVANGELISTICO DE SANACION Y RESTAURACION, SENALES, MILAGROS Y MARAVILLAS (ESTE)</v>
          </cell>
          <cell r="B2561"/>
          <cell r="C2561"/>
          <cell r="D2561">
            <v>30</v>
          </cell>
          <cell r="E2561"/>
          <cell r="F2561"/>
          <cell r="G2561"/>
          <cell r="H2561"/>
          <cell r="I2561"/>
          <cell r="J2561"/>
          <cell r="K2561"/>
          <cell r="L2561"/>
          <cell r="M2561"/>
          <cell r="N2561"/>
          <cell r="O2561"/>
        </row>
        <row r="2562">
          <cell r="A2562" t="str">
            <v>373-FU MINISTERIO INTERNACIONAL BOANERGES</v>
          </cell>
          <cell r="B2562"/>
          <cell r="C2562"/>
          <cell r="D2562"/>
          <cell r="E2562"/>
          <cell r="F2562"/>
          <cell r="G2562"/>
          <cell r="H2562"/>
          <cell r="I2562">
            <v>4</v>
          </cell>
          <cell r="J2562"/>
          <cell r="K2562"/>
          <cell r="L2562"/>
          <cell r="M2562"/>
          <cell r="N2562"/>
          <cell r="O2562"/>
        </row>
        <row r="2563">
          <cell r="A2563" t="str">
            <v>654 - IG M.I.A.F NUEVA JERUSALEN PANAMA (ESTE)</v>
          </cell>
          <cell r="B2563"/>
          <cell r="C2563"/>
          <cell r="D2563">
            <v>4</v>
          </cell>
          <cell r="E2563"/>
          <cell r="F2563"/>
          <cell r="G2563"/>
          <cell r="H2563"/>
          <cell r="I2563"/>
          <cell r="J2563"/>
          <cell r="K2563"/>
          <cell r="L2563"/>
          <cell r="M2563"/>
          <cell r="N2563"/>
          <cell r="O2563"/>
        </row>
        <row r="2564">
          <cell r="A2564" t="str">
            <v>363-FU FUNDACION MINISTERIO DEL EVANGELIO ETERNO DEL REINO (NORTE)</v>
          </cell>
          <cell r="B2564"/>
          <cell r="C2564"/>
          <cell r="D2564"/>
          <cell r="E2564"/>
          <cell r="F2564"/>
          <cell r="G2564">
            <v>2</v>
          </cell>
          <cell r="H2564"/>
          <cell r="I2564"/>
          <cell r="J2564"/>
          <cell r="K2564"/>
          <cell r="L2564"/>
          <cell r="M2564"/>
          <cell r="N2564"/>
          <cell r="O2564"/>
        </row>
        <row r="2565">
          <cell r="A2565" t="str">
            <v>259 IG - ALCANCE VICTORIA PANAMÁ</v>
          </cell>
          <cell r="B2565"/>
          <cell r="C2565">
            <v>3</v>
          </cell>
          <cell r="D2565"/>
          <cell r="E2565"/>
          <cell r="F2565"/>
          <cell r="G2565"/>
          <cell r="H2565"/>
          <cell r="I2565"/>
          <cell r="J2565"/>
          <cell r="K2565"/>
          <cell r="L2565"/>
          <cell r="M2565"/>
          <cell r="N2565"/>
          <cell r="O2565"/>
        </row>
        <row r="2566">
          <cell r="A2566" t="str">
            <v>630-IG MIN.INTL.DE CRISTO PAZ DE DIOS</v>
          </cell>
          <cell r="B2566"/>
          <cell r="C2566">
            <v>17</v>
          </cell>
          <cell r="D2566"/>
          <cell r="E2566"/>
          <cell r="F2566"/>
          <cell r="G2566"/>
          <cell r="H2566"/>
          <cell r="I2566"/>
          <cell r="J2566"/>
          <cell r="K2566"/>
          <cell r="L2566"/>
          <cell r="M2566"/>
          <cell r="N2566"/>
          <cell r="O2566"/>
        </row>
        <row r="2567">
          <cell r="A2567" t="str">
            <v>709 - FU FUNRECRISTO</v>
          </cell>
          <cell r="B2567"/>
          <cell r="C2567"/>
          <cell r="D2567">
            <v>4</v>
          </cell>
          <cell r="E2567"/>
          <cell r="F2567"/>
          <cell r="G2567"/>
          <cell r="H2567"/>
          <cell r="I2567"/>
          <cell r="J2567"/>
          <cell r="K2567"/>
          <cell r="L2567"/>
          <cell r="M2567"/>
          <cell r="N2567"/>
          <cell r="O2567"/>
        </row>
        <row r="2568">
          <cell r="A2568" t="str">
            <v>235 FU - FUNDACION GRUPO ENVIADOS</v>
          </cell>
          <cell r="B2568"/>
          <cell r="C2568"/>
          <cell r="D2568">
            <v>15</v>
          </cell>
          <cell r="E2568"/>
          <cell r="F2568"/>
          <cell r="G2568"/>
          <cell r="H2568"/>
          <cell r="I2568"/>
          <cell r="J2568"/>
          <cell r="K2568"/>
          <cell r="L2568"/>
          <cell r="M2568"/>
          <cell r="N2568"/>
          <cell r="O2568"/>
        </row>
        <row r="2569">
          <cell r="A2569" t="str">
            <v>597- IG MINISTERIO APOSTOLICO NEMUEL INTERNACIONAL</v>
          </cell>
          <cell r="B2569"/>
          <cell r="C2569"/>
          <cell r="D2569">
            <v>2</v>
          </cell>
          <cell r="E2569"/>
          <cell r="F2569"/>
          <cell r="G2569"/>
          <cell r="H2569"/>
          <cell r="I2569"/>
          <cell r="J2569"/>
          <cell r="K2569"/>
          <cell r="L2569"/>
          <cell r="M2569"/>
          <cell r="N2569"/>
          <cell r="O2569"/>
        </row>
        <row r="2570">
          <cell r="A2570" t="str">
            <v>417-AS CLUB DE LEONES DE PEDREGAL (ESTE)</v>
          </cell>
          <cell r="B2570"/>
          <cell r="C2570"/>
          <cell r="D2570">
            <v>15</v>
          </cell>
          <cell r="E2570"/>
          <cell r="F2570"/>
          <cell r="G2570"/>
          <cell r="H2570"/>
          <cell r="I2570"/>
          <cell r="J2570"/>
          <cell r="K2570"/>
          <cell r="L2570"/>
          <cell r="M2570"/>
          <cell r="N2570"/>
          <cell r="O2570"/>
        </row>
        <row r="2571">
          <cell r="A2571" t="str">
            <v>144 OR - HERMANAS DE SAN JOSÉ DE LA APARICIÓN (RETIRA EN EL BANCO)</v>
          </cell>
          <cell r="B2571"/>
          <cell r="C2571"/>
          <cell r="D2571">
            <v>2</v>
          </cell>
          <cell r="E2571"/>
          <cell r="F2571"/>
          <cell r="G2571"/>
          <cell r="H2571"/>
          <cell r="I2571"/>
          <cell r="J2571"/>
          <cell r="K2571"/>
          <cell r="L2571"/>
          <cell r="M2571"/>
          <cell r="N2571"/>
          <cell r="O2571"/>
        </row>
        <row r="2572">
          <cell r="A2572" t="str">
            <v>381-FU FUNDAMIDOM</v>
          </cell>
          <cell r="B2572"/>
          <cell r="C2572"/>
          <cell r="D2572"/>
          <cell r="E2572">
            <v>2</v>
          </cell>
          <cell r="F2572"/>
          <cell r="G2572"/>
          <cell r="H2572"/>
          <cell r="I2572"/>
          <cell r="J2572"/>
          <cell r="K2572"/>
          <cell r="L2572"/>
          <cell r="M2572"/>
          <cell r="N2572"/>
          <cell r="O2572"/>
        </row>
        <row r="2573">
          <cell r="A2573" t="str">
            <v>681 - FU FUNDACION NUEVA SOCIEDAD (NORTE)</v>
          </cell>
          <cell r="B2573"/>
          <cell r="C2573"/>
          <cell r="D2573"/>
          <cell r="E2573"/>
          <cell r="F2573"/>
          <cell r="G2573"/>
          <cell r="H2573"/>
          <cell r="I2573">
            <v>4</v>
          </cell>
          <cell r="J2573"/>
          <cell r="K2573"/>
          <cell r="L2573"/>
          <cell r="M2573"/>
          <cell r="N2573"/>
          <cell r="O2573"/>
        </row>
        <row r="2574">
          <cell r="A2574" t="str">
            <v>360-IG IGLESIA CRISTIANA CASA DE REUNION</v>
          </cell>
          <cell r="B2574"/>
          <cell r="C2574"/>
          <cell r="D2574"/>
          <cell r="E2574"/>
          <cell r="F2574"/>
          <cell r="G2574">
            <v>2</v>
          </cell>
          <cell r="H2574"/>
          <cell r="I2574"/>
          <cell r="J2574"/>
          <cell r="K2574"/>
          <cell r="L2574"/>
          <cell r="M2574"/>
          <cell r="N2574"/>
          <cell r="O2574"/>
        </row>
        <row r="2575">
          <cell r="A2575" t="str">
            <v>684 - FU FUNDACION CASA DEL REY JESUS (CENTRO 2)</v>
          </cell>
          <cell r="B2575"/>
          <cell r="C2575">
            <v>4</v>
          </cell>
          <cell r="D2575"/>
          <cell r="E2575"/>
          <cell r="F2575"/>
          <cell r="G2575"/>
          <cell r="H2575"/>
          <cell r="I2575"/>
          <cell r="J2575"/>
          <cell r="K2575"/>
          <cell r="L2575"/>
          <cell r="M2575"/>
          <cell r="N2575"/>
          <cell r="O2575"/>
        </row>
        <row r="2576">
          <cell r="A2576" t="str">
            <v>229 PA - PARROQUIA SAN CRISTOBAL DE CHEPO</v>
          </cell>
          <cell r="B2576"/>
          <cell r="C2576"/>
          <cell r="D2576">
            <v>3</v>
          </cell>
          <cell r="E2576"/>
          <cell r="F2576"/>
          <cell r="G2576"/>
          <cell r="H2576"/>
          <cell r="I2576"/>
          <cell r="J2576"/>
          <cell r="K2576"/>
          <cell r="L2576"/>
          <cell r="M2576"/>
          <cell r="N2576"/>
          <cell r="O2576"/>
        </row>
        <row r="2577">
          <cell r="A2577" t="str">
            <v>737- ASOCIACION CRISTIANA EBEN-EZER (ESTE)</v>
          </cell>
          <cell r="B2577"/>
          <cell r="C2577"/>
          <cell r="D2577">
            <v>2</v>
          </cell>
          <cell r="E2577"/>
          <cell r="F2577"/>
          <cell r="G2577"/>
          <cell r="H2577"/>
          <cell r="I2577"/>
          <cell r="J2577"/>
          <cell r="K2577"/>
          <cell r="L2577"/>
          <cell r="M2577"/>
          <cell r="N2577"/>
          <cell r="O2577"/>
        </row>
        <row r="2578">
          <cell r="A2578" t="str">
            <v>760-FU AYUDAME A VIVIR</v>
          </cell>
          <cell r="B2578"/>
          <cell r="C2578"/>
          <cell r="D2578"/>
          <cell r="E2578"/>
          <cell r="F2578"/>
          <cell r="G2578"/>
          <cell r="H2578"/>
          <cell r="I2578">
            <v>8</v>
          </cell>
          <cell r="J2578"/>
          <cell r="K2578"/>
          <cell r="L2578"/>
          <cell r="M2578"/>
          <cell r="N2578"/>
          <cell r="O2578"/>
        </row>
        <row r="2579">
          <cell r="A2579" t="str">
            <v>281-FU FUNDACIÓN CAMBIO CREATIVO</v>
          </cell>
          <cell r="B2579"/>
          <cell r="C2579"/>
          <cell r="D2579"/>
          <cell r="E2579"/>
          <cell r="F2579"/>
          <cell r="G2579"/>
          <cell r="H2579">
            <v>15</v>
          </cell>
          <cell r="I2579"/>
          <cell r="J2579"/>
          <cell r="K2579"/>
          <cell r="L2579"/>
          <cell r="M2579"/>
          <cell r="N2579"/>
          <cell r="O2579"/>
        </row>
        <row r="2580">
          <cell r="A2580" t="str">
            <v>201 OR - MISIONERAS MADRE LAURA</v>
          </cell>
          <cell r="B2580"/>
          <cell r="C2580">
            <v>2</v>
          </cell>
          <cell r="D2580"/>
          <cell r="E2580"/>
          <cell r="F2580"/>
          <cell r="G2580"/>
          <cell r="H2580"/>
          <cell r="I2580"/>
          <cell r="J2580"/>
          <cell r="K2580"/>
          <cell r="L2580"/>
          <cell r="M2580"/>
          <cell r="N2580"/>
          <cell r="O2580"/>
        </row>
        <row r="2581">
          <cell r="A2581" t="str">
            <v>785-FU FUNDACION GOTAS DE ESPERANZA</v>
          </cell>
          <cell r="B2581"/>
          <cell r="C2581"/>
          <cell r="D2581"/>
          <cell r="E2581">
            <v>6</v>
          </cell>
          <cell r="F2581"/>
          <cell r="G2581"/>
          <cell r="H2581"/>
          <cell r="I2581"/>
          <cell r="J2581"/>
          <cell r="K2581"/>
          <cell r="L2581"/>
          <cell r="M2581"/>
          <cell r="N2581"/>
          <cell r="O2581"/>
        </row>
        <row r="2582">
          <cell r="A2582" t="str">
            <v>424-AS MINISTERIO EL PODER DE LA SANGRE QUE LIBERTA (ESTE)</v>
          </cell>
          <cell r="B2582"/>
          <cell r="C2582"/>
          <cell r="D2582">
            <v>2</v>
          </cell>
          <cell r="E2582"/>
          <cell r="F2582"/>
          <cell r="G2582"/>
          <cell r="H2582"/>
          <cell r="I2582"/>
          <cell r="J2582"/>
          <cell r="K2582"/>
          <cell r="L2582"/>
          <cell r="M2582"/>
          <cell r="N2582"/>
          <cell r="O2582"/>
        </row>
        <row r="2583">
          <cell r="A2583" t="str">
            <v>253 FU - FUNDACIÓN PARA EL BIENESTAR SOCIAL (CENTRO2)</v>
          </cell>
          <cell r="B2583"/>
          <cell r="C2583">
            <v>15</v>
          </cell>
          <cell r="D2583"/>
          <cell r="E2583"/>
          <cell r="F2583"/>
          <cell r="G2583"/>
          <cell r="H2583"/>
          <cell r="I2583"/>
          <cell r="J2583"/>
          <cell r="K2583"/>
          <cell r="L2583"/>
          <cell r="M2583"/>
          <cell r="N2583"/>
          <cell r="O2583"/>
        </row>
        <row r="2584">
          <cell r="A2584" t="str">
            <v>COOLBOX FRESIA CORP.</v>
          </cell>
          <cell r="B2584"/>
          <cell r="C2584"/>
          <cell r="D2584">
            <v>6</v>
          </cell>
          <cell r="E2584">
            <v>6</v>
          </cell>
          <cell r="F2584"/>
          <cell r="G2584"/>
          <cell r="H2584"/>
          <cell r="I2584"/>
          <cell r="J2584"/>
          <cell r="K2584"/>
          <cell r="L2584"/>
          <cell r="M2584"/>
          <cell r="N2584"/>
          <cell r="O2584"/>
        </row>
        <row r="2585">
          <cell r="A2585" t="str">
            <v>687 - FU FUNDACION ARCA DE JESUS</v>
          </cell>
          <cell r="B2585"/>
          <cell r="C2585"/>
          <cell r="D2585"/>
          <cell r="E2585">
            <v>3</v>
          </cell>
          <cell r="F2585"/>
          <cell r="G2585"/>
          <cell r="H2585"/>
          <cell r="I2585"/>
          <cell r="J2585"/>
          <cell r="K2585"/>
          <cell r="L2585"/>
          <cell r="M2585"/>
          <cell r="N2585"/>
          <cell r="O2585"/>
        </row>
        <row r="2586">
          <cell r="A2586" t="str">
            <v>696 - FU MINISTERIO BERAKHAH INTERNACIONAL CHEPO #1</v>
          </cell>
          <cell r="B2586"/>
          <cell r="C2586"/>
          <cell r="D2586">
            <v>3</v>
          </cell>
          <cell r="E2586"/>
          <cell r="F2586"/>
          <cell r="G2586"/>
          <cell r="H2586"/>
          <cell r="I2586"/>
          <cell r="J2586"/>
          <cell r="K2586"/>
          <cell r="L2586"/>
          <cell r="M2586"/>
          <cell r="N2586"/>
          <cell r="O2586"/>
        </row>
        <row r="2587">
          <cell r="A2587" t="str">
            <v>381-FU FUNDAMIDOM</v>
          </cell>
          <cell r="B2587"/>
          <cell r="C2587"/>
          <cell r="D2587"/>
          <cell r="E2587">
            <v>3</v>
          </cell>
          <cell r="F2587"/>
          <cell r="G2587"/>
          <cell r="H2587"/>
          <cell r="I2587"/>
          <cell r="J2587"/>
          <cell r="K2587"/>
          <cell r="L2587"/>
          <cell r="M2587"/>
          <cell r="N2587"/>
          <cell r="O2587"/>
        </row>
        <row r="2588">
          <cell r="A2588" t="str">
            <v>741-IG BUNKER DE ESPERANZA</v>
          </cell>
          <cell r="B2588"/>
          <cell r="C2588"/>
          <cell r="D2588">
            <v>3</v>
          </cell>
          <cell r="E2588"/>
          <cell r="F2588"/>
          <cell r="G2588"/>
          <cell r="H2588"/>
          <cell r="I2588"/>
          <cell r="J2588"/>
          <cell r="K2588"/>
          <cell r="L2588"/>
          <cell r="M2588"/>
          <cell r="N2588"/>
          <cell r="O2588"/>
        </row>
        <row r="2589">
          <cell r="A2589" t="str">
            <v>GOLD MILLS</v>
          </cell>
          <cell r="B2589"/>
          <cell r="C2589">
            <v>70</v>
          </cell>
          <cell r="D2589">
            <v>202</v>
          </cell>
          <cell r="E2589">
            <v>52</v>
          </cell>
          <cell r="F2589"/>
          <cell r="G2589">
            <v>22</v>
          </cell>
          <cell r="H2589">
            <v>106</v>
          </cell>
          <cell r="I2589">
            <v>6</v>
          </cell>
          <cell r="J2589"/>
          <cell r="K2589"/>
          <cell r="L2589"/>
          <cell r="M2589"/>
          <cell r="N2589"/>
          <cell r="O2589"/>
        </row>
        <row r="2590">
          <cell r="A2590" t="str">
            <v>209 IG - TEMPLO MISIONERO CRISTO TE LLAMA</v>
          </cell>
          <cell r="B2590"/>
          <cell r="C2590"/>
          <cell r="D2590">
            <v>12</v>
          </cell>
          <cell r="E2590"/>
          <cell r="F2590"/>
          <cell r="G2590"/>
          <cell r="H2590"/>
          <cell r="I2590"/>
          <cell r="J2590"/>
          <cell r="K2590"/>
          <cell r="L2590"/>
          <cell r="M2590"/>
          <cell r="N2590"/>
          <cell r="O2590"/>
        </row>
        <row r="2591">
          <cell r="A2591" t="str">
            <v>178 IG - TEMPLO ZURIEL EL REFUGIO</v>
          </cell>
          <cell r="B2591"/>
          <cell r="C2591"/>
          <cell r="D2591"/>
          <cell r="E2591"/>
          <cell r="F2591"/>
          <cell r="G2591">
            <v>20</v>
          </cell>
          <cell r="H2591"/>
          <cell r="I2591"/>
          <cell r="J2591"/>
          <cell r="K2591"/>
          <cell r="L2591"/>
          <cell r="M2591"/>
          <cell r="N2591"/>
          <cell r="O2591"/>
        </row>
        <row r="2592">
          <cell r="A2592" t="str">
            <v>636- FU JAH - LIVE (JAHL) - COLON</v>
          </cell>
          <cell r="B2592"/>
          <cell r="C2592"/>
          <cell r="D2592"/>
          <cell r="E2592"/>
          <cell r="F2592"/>
          <cell r="G2592"/>
          <cell r="H2592">
            <v>86</v>
          </cell>
          <cell r="I2592"/>
          <cell r="J2592"/>
          <cell r="K2592"/>
          <cell r="L2592"/>
          <cell r="M2592"/>
          <cell r="N2592"/>
          <cell r="O2592"/>
        </row>
        <row r="2593">
          <cell r="A2593" t="str">
            <v>365-IG COMEDOR HEFZIBA</v>
          </cell>
          <cell r="B2593"/>
          <cell r="C2593"/>
          <cell r="D2593"/>
          <cell r="E2593"/>
          <cell r="F2593"/>
          <cell r="G2593"/>
          <cell r="H2593"/>
          <cell r="I2593">
            <v>6</v>
          </cell>
          <cell r="J2593"/>
          <cell r="K2593"/>
          <cell r="L2593"/>
          <cell r="M2593"/>
          <cell r="N2593"/>
          <cell r="O2593"/>
        </row>
        <row r="2594">
          <cell r="A2594" t="str">
            <v>687 - FU FUNDACION ARCA DE JESUS</v>
          </cell>
          <cell r="B2594"/>
          <cell r="C2594"/>
          <cell r="D2594"/>
          <cell r="E2594">
            <v>4</v>
          </cell>
          <cell r="F2594"/>
          <cell r="G2594"/>
          <cell r="H2594"/>
          <cell r="I2594"/>
          <cell r="J2594"/>
          <cell r="K2594"/>
          <cell r="L2594"/>
          <cell r="M2594"/>
          <cell r="N2594"/>
          <cell r="O2594"/>
        </row>
        <row r="2595">
          <cell r="A2595" t="str">
            <v>218 ED - LOS PREFERIDOS DEL SEÑOR (CENTRO2)</v>
          </cell>
          <cell r="B2595"/>
          <cell r="C2595">
            <v>10</v>
          </cell>
          <cell r="D2595"/>
          <cell r="E2595"/>
          <cell r="F2595"/>
          <cell r="G2595"/>
          <cell r="H2595"/>
          <cell r="I2595"/>
          <cell r="J2595"/>
          <cell r="K2595"/>
          <cell r="L2595"/>
          <cell r="M2595"/>
          <cell r="N2595"/>
          <cell r="O2595"/>
        </row>
        <row r="2596">
          <cell r="A2596" t="str">
            <v>187 IG - IGLESIA DE DIOS DE LA PROFECÍA</v>
          </cell>
          <cell r="B2596"/>
          <cell r="C2596"/>
          <cell r="D2596">
            <v>44</v>
          </cell>
          <cell r="E2596"/>
          <cell r="F2596"/>
          <cell r="G2596"/>
          <cell r="H2596"/>
          <cell r="I2596"/>
          <cell r="J2596"/>
          <cell r="K2596"/>
          <cell r="L2596"/>
          <cell r="M2596"/>
          <cell r="N2596"/>
          <cell r="O2596"/>
        </row>
        <row r="2597">
          <cell r="A2597" t="str">
            <v>321-IG IGLESIA DIOS ES MI PROVEEDOR Y SUSTENTO</v>
          </cell>
          <cell r="B2597"/>
          <cell r="C2597"/>
          <cell r="D2597">
            <v>20</v>
          </cell>
          <cell r="E2597"/>
          <cell r="F2597"/>
          <cell r="G2597"/>
          <cell r="H2597"/>
          <cell r="I2597"/>
          <cell r="J2597"/>
          <cell r="K2597"/>
          <cell r="L2597"/>
          <cell r="M2597"/>
          <cell r="N2597"/>
          <cell r="O2597"/>
        </row>
        <row r="2598">
          <cell r="A2598" t="str">
            <v>694 - FU MINISTERIO BERAKHAH INTERNACIONAL TOCUMEN #2</v>
          </cell>
          <cell r="B2598"/>
          <cell r="C2598"/>
          <cell r="D2598">
            <v>6</v>
          </cell>
          <cell r="E2598"/>
          <cell r="F2598"/>
          <cell r="G2598"/>
          <cell r="H2598"/>
          <cell r="I2598"/>
          <cell r="J2598"/>
          <cell r="K2598"/>
          <cell r="L2598"/>
          <cell r="M2598"/>
          <cell r="N2598"/>
          <cell r="O2598"/>
        </row>
        <row r="2599">
          <cell r="A2599" t="str">
            <v>695 - FU MINISTERIO BERAKHAH INTERNACIONAL 24 DIC</v>
          </cell>
          <cell r="B2599"/>
          <cell r="C2599"/>
          <cell r="D2599">
            <v>8</v>
          </cell>
          <cell r="E2599"/>
          <cell r="F2599"/>
          <cell r="G2599"/>
          <cell r="H2599"/>
          <cell r="I2599"/>
          <cell r="J2599"/>
          <cell r="K2599"/>
          <cell r="L2599"/>
          <cell r="M2599"/>
          <cell r="N2599"/>
          <cell r="O2599"/>
        </row>
        <row r="2600">
          <cell r="A2600" t="str">
            <v>366-FU CENTRO MISIONERO EL SHADAI (ESTE)</v>
          </cell>
          <cell r="B2600"/>
          <cell r="C2600"/>
          <cell r="D2600">
            <v>16</v>
          </cell>
          <cell r="E2600"/>
          <cell r="F2600"/>
          <cell r="G2600"/>
          <cell r="H2600"/>
          <cell r="I2600"/>
          <cell r="J2600"/>
          <cell r="K2600"/>
          <cell r="L2600"/>
          <cell r="M2600"/>
          <cell r="N2600"/>
          <cell r="O2600"/>
        </row>
        <row r="2601">
          <cell r="A2601" t="str">
            <v>498-FU COMEDOR NIÑOS DE BENDICION</v>
          </cell>
          <cell r="B2601"/>
          <cell r="C2601"/>
          <cell r="D2601"/>
          <cell r="E2601">
            <v>4</v>
          </cell>
          <cell r="F2601"/>
          <cell r="G2601"/>
          <cell r="H2601"/>
          <cell r="I2601"/>
          <cell r="J2601"/>
          <cell r="K2601"/>
          <cell r="L2601"/>
          <cell r="M2601"/>
          <cell r="N2601"/>
          <cell r="O2601"/>
        </row>
        <row r="2602">
          <cell r="A2602" t="str">
            <v>288 IG MINISTERIO EVANGELISTICO DE SANACION Y RESTAURACION, SENALES, MILAGROS Y MARAVILLAS (ESTE)</v>
          </cell>
          <cell r="B2602"/>
          <cell r="C2602"/>
          <cell r="D2602">
            <v>8</v>
          </cell>
          <cell r="E2602"/>
          <cell r="F2602"/>
          <cell r="G2602"/>
          <cell r="H2602"/>
          <cell r="I2602"/>
          <cell r="J2602"/>
          <cell r="K2602"/>
          <cell r="L2602"/>
          <cell r="M2602"/>
          <cell r="N2602"/>
          <cell r="O2602"/>
        </row>
        <row r="2603">
          <cell r="A2603" t="str">
            <v>431-IG IGLESIA ADVENTISTA DISTRITO 8</v>
          </cell>
          <cell r="B2603"/>
          <cell r="C2603"/>
          <cell r="D2603">
            <v>4</v>
          </cell>
          <cell r="E2603"/>
          <cell r="F2603"/>
          <cell r="G2603"/>
          <cell r="H2603"/>
          <cell r="I2603"/>
          <cell r="J2603"/>
          <cell r="K2603"/>
          <cell r="L2603"/>
          <cell r="M2603"/>
          <cell r="N2603"/>
          <cell r="O2603"/>
        </row>
        <row r="2604">
          <cell r="A2604" t="str">
            <v>368-FU MINISTERIO PACTO DE SANTIDAD</v>
          </cell>
          <cell r="B2604"/>
          <cell r="C2604">
            <v>10</v>
          </cell>
          <cell r="D2604"/>
          <cell r="E2604"/>
          <cell r="F2604"/>
          <cell r="G2604"/>
          <cell r="H2604"/>
          <cell r="I2604"/>
          <cell r="J2604"/>
          <cell r="K2604"/>
          <cell r="L2604"/>
          <cell r="M2604"/>
          <cell r="N2604"/>
          <cell r="O2604"/>
        </row>
        <row r="2605">
          <cell r="A2605" t="str">
            <v>487-FU FUNDACION CASA AVE MARIA</v>
          </cell>
          <cell r="B2605"/>
          <cell r="C2605"/>
          <cell r="D2605"/>
          <cell r="E2605">
            <v>40</v>
          </cell>
          <cell r="F2605"/>
          <cell r="G2605"/>
          <cell r="H2605"/>
          <cell r="I2605"/>
          <cell r="J2605"/>
          <cell r="K2605"/>
          <cell r="L2605"/>
          <cell r="M2605"/>
          <cell r="N2605"/>
          <cell r="O2605"/>
        </row>
        <row r="2606">
          <cell r="A2606" t="str">
            <v>222 ED - MISERICORDIAR</v>
          </cell>
          <cell r="B2606"/>
          <cell r="C2606"/>
          <cell r="D2606">
            <v>24</v>
          </cell>
          <cell r="E2606"/>
          <cell r="F2606"/>
          <cell r="G2606"/>
          <cell r="H2606"/>
          <cell r="I2606"/>
          <cell r="J2606"/>
          <cell r="K2606"/>
          <cell r="L2606"/>
          <cell r="M2606"/>
          <cell r="N2606"/>
          <cell r="O2606"/>
        </row>
        <row r="2607">
          <cell r="A2607" t="str">
            <v>379-FU Fundacion Ministerio Apostolico Manantial de Vida</v>
          </cell>
          <cell r="B2607"/>
          <cell r="C2607"/>
          <cell r="D2607"/>
          <cell r="E2607"/>
          <cell r="F2607"/>
          <cell r="G2607"/>
          <cell r="H2607">
            <v>20</v>
          </cell>
          <cell r="I2607"/>
          <cell r="J2607"/>
          <cell r="K2607"/>
          <cell r="L2607"/>
          <cell r="M2607"/>
          <cell r="N2607"/>
          <cell r="O2607"/>
        </row>
        <row r="2608">
          <cell r="A2608" t="str">
            <v>630-IG MIN.INTL.DE CRISTO PAZ DE DIOS</v>
          </cell>
          <cell r="B2608"/>
          <cell r="C2608">
            <v>20</v>
          </cell>
          <cell r="D2608"/>
          <cell r="E2608"/>
          <cell r="F2608"/>
          <cell r="G2608"/>
          <cell r="H2608"/>
          <cell r="I2608"/>
          <cell r="J2608"/>
          <cell r="K2608"/>
          <cell r="L2608"/>
          <cell r="M2608"/>
          <cell r="N2608"/>
          <cell r="O2608"/>
        </row>
        <row r="2609">
          <cell r="A2609" t="str">
            <v>450-FU MINISTERIO DE RESTAURACION EFESIOS 4 (ESTE)</v>
          </cell>
          <cell r="B2609"/>
          <cell r="C2609"/>
          <cell r="D2609">
            <v>16</v>
          </cell>
          <cell r="E2609"/>
          <cell r="F2609"/>
          <cell r="G2609"/>
          <cell r="H2609"/>
          <cell r="I2609"/>
          <cell r="J2609"/>
          <cell r="K2609"/>
          <cell r="L2609"/>
          <cell r="M2609"/>
          <cell r="N2609"/>
          <cell r="O2609"/>
        </row>
        <row r="2610">
          <cell r="A2610" t="str">
            <v>202 FU - FUNDACIÓN HOGAR SAN JOSÉ (ESTE)</v>
          </cell>
          <cell r="B2610"/>
          <cell r="C2610"/>
          <cell r="D2610">
            <v>4</v>
          </cell>
          <cell r="E2610"/>
          <cell r="F2610"/>
          <cell r="G2610"/>
          <cell r="H2610"/>
          <cell r="I2610"/>
          <cell r="J2610"/>
          <cell r="K2610"/>
          <cell r="L2610"/>
          <cell r="M2610"/>
          <cell r="N2610"/>
          <cell r="O2610"/>
        </row>
        <row r="2611">
          <cell r="A2611" t="str">
            <v>144 OR - HERMANAS DE SAN JOSÉ DE LA APARICIÓN (RETIRA EN EL BANCO)</v>
          </cell>
          <cell r="B2611"/>
          <cell r="C2611"/>
          <cell r="D2611">
            <v>14</v>
          </cell>
          <cell r="E2611"/>
          <cell r="F2611"/>
          <cell r="G2611"/>
          <cell r="H2611"/>
          <cell r="I2611"/>
          <cell r="J2611"/>
          <cell r="K2611"/>
          <cell r="L2611"/>
          <cell r="M2611"/>
          <cell r="N2611"/>
          <cell r="O2611"/>
        </row>
        <row r="2612">
          <cell r="A2612" t="str">
            <v>672 - FU FUNDACION NUEVO PACTO POR LA NIÑEZ</v>
          </cell>
          <cell r="B2612"/>
          <cell r="C2612">
            <v>6</v>
          </cell>
          <cell r="D2612"/>
          <cell r="E2612"/>
          <cell r="F2612"/>
          <cell r="G2612"/>
          <cell r="H2612"/>
          <cell r="I2612"/>
          <cell r="J2612"/>
          <cell r="K2612"/>
          <cell r="L2612"/>
          <cell r="M2612"/>
          <cell r="N2612"/>
          <cell r="O2612"/>
        </row>
        <row r="2613">
          <cell r="A2613" t="str">
            <v>719 FU FUNDACION VIDA NUEVA EL SHADDAI</v>
          </cell>
          <cell r="B2613"/>
          <cell r="C2613"/>
          <cell r="D2613"/>
          <cell r="E2613"/>
          <cell r="F2613"/>
          <cell r="G2613">
            <v>2</v>
          </cell>
          <cell r="H2613"/>
          <cell r="I2613"/>
          <cell r="J2613"/>
          <cell r="K2613"/>
          <cell r="L2613"/>
          <cell r="M2613"/>
          <cell r="N2613"/>
          <cell r="O2613"/>
        </row>
        <row r="2614">
          <cell r="A2614" t="str">
            <v>54 FU - FUNDACIÓN CASA HOGAR EL BUEN SAMARITANO</v>
          </cell>
          <cell r="B2614"/>
          <cell r="C2614"/>
          <cell r="D2614">
            <v>20</v>
          </cell>
          <cell r="E2614"/>
          <cell r="F2614"/>
          <cell r="G2614"/>
          <cell r="H2614"/>
          <cell r="I2614"/>
          <cell r="J2614"/>
          <cell r="K2614"/>
          <cell r="L2614"/>
          <cell r="M2614"/>
          <cell r="N2614"/>
          <cell r="O2614"/>
        </row>
        <row r="2615">
          <cell r="A2615" t="str">
            <v>684 - FU FUNDACION CASA DEL REY JESUS (CENTRO 2)</v>
          </cell>
          <cell r="B2615"/>
          <cell r="C2615">
            <v>12</v>
          </cell>
          <cell r="D2615"/>
          <cell r="E2615"/>
          <cell r="F2615"/>
          <cell r="G2615"/>
          <cell r="H2615"/>
          <cell r="I2615"/>
          <cell r="J2615"/>
          <cell r="K2615"/>
          <cell r="L2615"/>
          <cell r="M2615"/>
          <cell r="N2615"/>
          <cell r="O2615"/>
        </row>
        <row r="2616">
          <cell r="A2616" t="str">
            <v>741-IG BUNKER DE ESPERANZA</v>
          </cell>
          <cell r="B2616"/>
          <cell r="C2616"/>
          <cell r="D2616">
            <v>6</v>
          </cell>
          <cell r="E2616"/>
          <cell r="F2616"/>
          <cell r="G2616"/>
          <cell r="H2616"/>
          <cell r="I2616"/>
          <cell r="J2616"/>
          <cell r="K2616"/>
          <cell r="L2616"/>
          <cell r="M2616"/>
          <cell r="N2616"/>
          <cell r="O2616"/>
        </row>
        <row r="2617">
          <cell r="A2617" t="str">
            <v>275 IG CONCILIO GENERAL DE LAS ASAMBLEAS DE DIOS DE PANAMÁ</v>
          </cell>
          <cell r="B2617"/>
          <cell r="C2617">
            <v>4</v>
          </cell>
          <cell r="D2617"/>
          <cell r="E2617"/>
          <cell r="F2617"/>
          <cell r="G2617"/>
          <cell r="H2617"/>
          <cell r="I2617"/>
          <cell r="J2617"/>
          <cell r="K2617"/>
          <cell r="L2617"/>
          <cell r="M2617"/>
          <cell r="N2617"/>
          <cell r="O2617"/>
        </row>
        <row r="2618">
          <cell r="A2618" t="str">
            <v>253 FU - FUNDACIÓN PARA EL BIENESTAR SOCIAL (CENTRO2)</v>
          </cell>
          <cell r="B2618"/>
          <cell r="C2618">
            <v>8</v>
          </cell>
          <cell r="D2618"/>
          <cell r="E2618"/>
          <cell r="F2618"/>
          <cell r="G2618"/>
          <cell r="H2618"/>
          <cell r="I2618"/>
          <cell r="J2618"/>
          <cell r="K2618"/>
          <cell r="L2618"/>
          <cell r="M2618"/>
          <cell r="N2618"/>
          <cell r="O2618"/>
        </row>
        <row r="2619">
          <cell r="A2619" t="str">
            <v>392-FU Fundacion Jerusalen Trono de Jehova III</v>
          </cell>
          <cell r="B2619"/>
          <cell r="C2619"/>
          <cell r="D2619"/>
          <cell r="E2619">
            <v>4</v>
          </cell>
          <cell r="F2619"/>
          <cell r="G2619"/>
          <cell r="H2619"/>
          <cell r="I2619"/>
          <cell r="J2619"/>
          <cell r="K2619"/>
          <cell r="L2619"/>
          <cell r="M2619"/>
          <cell r="N2619"/>
          <cell r="O2619"/>
        </row>
        <row r="2620">
          <cell r="A2620" t="str">
            <v>CERRO PUNTA, S.A</v>
          </cell>
          <cell r="B2620"/>
          <cell r="C2620">
            <v>210</v>
          </cell>
          <cell r="D2620">
            <v>275</v>
          </cell>
          <cell r="E2620">
            <v>75</v>
          </cell>
          <cell r="F2620"/>
          <cell r="G2620">
            <v>60</v>
          </cell>
          <cell r="H2620">
            <v>15</v>
          </cell>
          <cell r="I2620">
            <v>60</v>
          </cell>
          <cell r="J2620">
            <v>15</v>
          </cell>
          <cell r="K2620"/>
          <cell r="L2620"/>
          <cell r="M2620"/>
          <cell r="N2620"/>
          <cell r="O2620"/>
        </row>
        <row r="2621">
          <cell r="A2621" t="str">
            <v>178 IG - TEMPLO ZURIEL EL REFUGIO</v>
          </cell>
          <cell r="B2621"/>
          <cell r="C2621"/>
          <cell r="D2621"/>
          <cell r="E2621"/>
          <cell r="F2621"/>
          <cell r="G2621">
            <v>60</v>
          </cell>
          <cell r="H2621"/>
          <cell r="I2621"/>
          <cell r="J2621"/>
          <cell r="K2621"/>
          <cell r="L2621"/>
          <cell r="M2621"/>
          <cell r="N2621"/>
          <cell r="O2621"/>
        </row>
        <row r="2622">
          <cell r="A2622" t="str">
            <v>636- FU JAH - LIVE (JAHL) - COLON</v>
          </cell>
          <cell r="B2622"/>
          <cell r="C2622"/>
          <cell r="D2622"/>
          <cell r="E2622"/>
          <cell r="F2622"/>
          <cell r="G2622"/>
          <cell r="H2622">
            <v>15</v>
          </cell>
          <cell r="I2622"/>
          <cell r="J2622"/>
          <cell r="K2622"/>
          <cell r="L2622"/>
          <cell r="M2622"/>
          <cell r="N2622"/>
          <cell r="O2622"/>
        </row>
        <row r="2623">
          <cell r="A2623" t="str">
            <v>365-IG COMEDOR HEFZIBA</v>
          </cell>
          <cell r="B2623"/>
          <cell r="C2623"/>
          <cell r="D2623"/>
          <cell r="E2623"/>
          <cell r="F2623"/>
          <cell r="G2623"/>
          <cell r="H2623"/>
          <cell r="I2623">
            <v>15</v>
          </cell>
          <cell r="J2623"/>
          <cell r="K2623"/>
          <cell r="L2623"/>
          <cell r="M2623"/>
          <cell r="N2623"/>
          <cell r="O2623"/>
        </row>
        <row r="2624">
          <cell r="A2624" t="str">
            <v>635 TEMPLO ADULAM</v>
          </cell>
          <cell r="B2624"/>
          <cell r="C2624"/>
          <cell r="D2624"/>
          <cell r="E2624">
            <v>15</v>
          </cell>
          <cell r="F2624"/>
          <cell r="G2624"/>
          <cell r="H2624"/>
          <cell r="I2624"/>
          <cell r="J2624"/>
          <cell r="K2624"/>
          <cell r="L2624"/>
          <cell r="M2624"/>
          <cell r="N2624"/>
          <cell r="O2624"/>
        </row>
        <row r="2625">
          <cell r="A2625" t="str">
            <v>470-FU IGLESIA MONTE SANTO</v>
          </cell>
          <cell r="B2625"/>
          <cell r="C2625"/>
          <cell r="D2625">
            <v>10</v>
          </cell>
          <cell r="E2625"/>
          <cell r="F2625"/>
          <cell r="G2625"/>
          <cell r="H2625"/>
          <cell r="I2625"/>
          <cell r="J2625"/>
          <cell r="K2625"/>
          <cell r="L2625"/>
          <cell r="M2625"/>
          <cell r="N2625"/>
          <cell r="O2625"/>
        </row>
        <row r="2626">
          <cell r="A2626" t="str">
            <v>687 - FU FUNDACION ARCA DE JESUS</v>
          </cell>
          <cell r="B2626"/>
          <cell r="C2626"/>
          <cell r="D2626"/>
          <cell r="E2626">
            <v>15</v>
          </cell>
          <cell r="F2626"/>
          <cell r="G2626"/>
          <cell r="H2626"/>
          <cell r="I2626"/>
          <cell r="J2626"/>
          <cell r="K2626"/>
          <cell r="L2626"/>
          <cell r="M2626"/>
          <cell r="N2626"/>
          <cell r="O2626"/>
        </row>
        <row r="2627">
          <cell r="A2627" t="str">
            <v>218 ED - LOS PREFERIDOS DEL SEÑOR (CENTRO2)</v>
          </cell>
          <cell r="B2627"/>
          <cell r="C2627">
            <v>45</v>
          </cell>
          <cell r="D2627"/>
          <cell r="E2627"/>
          <cell r="F2627"/>
          <cell r="G2627"/>
          <cell r="H2627"/>
          <cell r="I2627"/>
          <cell r="J2627"/>
          <cell r="K2627"/>
          <cell r="L2627"/>
          <cell r="M2627"/>
          <cell r="N2627"/>
          <cell r="O2627"/>
        </row>
        <row r="2628">
          <cell r="A2628" t="str">
            <v>187 IG - IGLESIA DE DIOS DE LA PROFECÍA</v>
          </cell>
          <cell r="B2628"/>
          <cell r="C2628"/>
          <cell r="D2628">
            <v>55</v>
          </cell>
          <cell r="E2628"/>
          <cell r="F2628"/>
          <cell r="G2628"/>
          <cell r="H2628"/>
          <cell r="I2628"/>
          <cell r="J2628"/>
          <cell r="K2628"/>
          <cell r="L2628"/>
          <cell r="M2628"/>
          <cell r="N2628"/>
          <cell r="O2628"/>
        </row>
        <row r="2629">
          <cell r="A2629" t="str">
            <v>321-IG IGLESIA DIOS ES MI PROVEEDOR Y SUSTENTO</v>
          </cell>
          <cell r="B2629"/>
          <cell r="C2629"/>
          <cell r="D2629">
            <v>55</v>
          </cell>
          <cell r="E2629"/>
          <cell r="F2629"/>
          <cell r="G2629"/>
          <cell r="H2629"/>
          <cell r="I2629"/>
          <cell r="J2629"/>
          <cell r="K2629"/>
          <cell r="L2629"/>
          <cell r="M2629"/>
          <cell r="N2629"/>
          <cell r="O2629"/>
        </row>
        <row r="2630">
          <cell r="A2630" t="str">
            <v>366-FU CENTRO MISIONERO EL SHADAI (ESTE)</v>
          </cell>
          <cell r="B2630"/>
          <cell r="C2630"/>
          <cell r="D2630">
            <v>15</v>
          </cell>
          <cell r="E2630"/>
          <cell r="F2630"/>
          <cell r="G2630"/>
          <cell r="H2630"/>
          <cell r="I2630"/>
          <cell r="J2630"/>
          <cell r="K2630"/>
          <cell r="L2630"/>
          <cell r="M2630"/>
          <cell r="N2630"/>
          <cell r="O2630"/>
        </row>
        <row r="2631">
          <cell r="A2631" t="str">
            <v>498-FU COMEDOR NIÑOS DE BENDICION</v>
          </cell>
          <cell r="B2631"/>
          <cell r="C2631"/>
          <cell r="D2631"/>
          <cell r="E2631">
            <v>15</v>
          </cell>
          <cell r="F2631"/>
          <cell r="G2631"/>
          <cell r="H2631"/>
          <cell r="I2631"/>
          <cell r="J2631"/>
          <cell r="K2631"/>
          <cell r="L2631"/>
          <cell r="M2631"/>
          <cell r="N2631"/>
          <cell r="O2631"/>
        </row>
        <row r="2632">
          <cell r="A2632" t="str">
            <v>197 FU FUNDACION SOCIAL CULTURAL Y AMBIENTAL DE VERACRUZ (OESTE)</v>
          </cell>
          <cell r="B2632"/>
          <cell r="C2632"/>
          <cell r="D2632"/>
          <cell r="E2632">
            <v>15</v>
          </cell>
          <cell r="F2632"/>
          <cell r="G2632"/>
          <cell r="H2632"/>
          <cell r="I2632"/>
          <cell r="J2632"/>
          <cell r="K2632"/>
          <cell r="L2632"/>
          <cell r="M2632"/>
          <cell r="N2632"/>
          <cell r="O2632"/>
        </row>
        <row r="2633">
          <cell r="A2633" t="str">
            <v>183 ED - BELÉN CASA DE PAN (ESTE)</v>
          </cell>
          <cell r="B2633"/>
          <cell r="C2633"/>
          <cell r="D2633">
            <v>15</v>
          </cell>
          <cell r="E2633"/>
          <cell r="F2633"/>
          <cell r="G2633"/>
          <cell r="H2633"/>
          <cell r="I2633"/>
          <cell r="J2633"/>
          <cell r="K2633"/>
          <cell r="L2633"/>
          <cell r="M2633"/>
          <cell r="N2633"/>
          <cell r="O2633"/>
        </row>
        <row r="2634">
          <cell r="A2634" t="str">
            <v>668 - FU FUNDACION CRISTIANA LA FE EN MARCHA</v>
          </cell>
          <cell r="B2634"/>
          <cell r="C2634"/>
          <cell r="D2634"/>
          <cell r="E2634"/>
          <cell r="F2634"/>
          <cell r="G2634"/>
          <cell r="H2634"/>
          <cell r="I2634"/>
          <cell r="J2634">
            <v>15</v>
          </cell>
          <cell r="K2634"/>
          <cell r="L2634"/>
          <cell r="M2634"/>
          <cell r="N2634"/>
          <cell r="O2634"/>
        </row>
        <row r="2635">
          <cell r="A2635" t="str">
            <v>630-IG MIN.INTL.DE CRISTO PAZ DE DIOS</v>
          </cell>
          <cell r="B2635"/>
          <cell r="C2635">
            <v>60</v>
          </cell>
          <cell r="D2635"/>
          <cell r="E2635"/>
          <cell r="F2635"/>
          <cell r="G2635"/>
          <cell r="H2635"/>
          <cell r="I2635"/>
          <cell r="J2635"/>
          <cell r="K2635"/>
          <cell r="L2635"/>
          <cell r="M2635"/>
          <cell r="N2635"/>
          <cell r="O2635"/>
        </row>
        <row r="2636">
          <cell r="A2636" t="str">
            <v>469-FU MINISTERIO CRISTIANO EL SHADAI</v>
          </cell>
          <cell r="B2636"/>
          <cell r="C2636"/>
          <cell r="D2636">
            <v>10</v>
          </cell>
          <cell r="E2636"/>
          <cell r="F2636"/>
          <cell r="G2636"/>
          <cell r="H2636"/>
          <cell r="I2636"/>
          <cell r="J2636"/>
          <cell r="K2636"/>
          <cell r="L2636"/>
          <cell r="M2636"/>
          <cell r="N2636"/>
          <cell r="O2636"/>
        </row>
        <row r="2637">
          <cell r="A2637" t="str">
            <v>144 OR - HERMANAS DE SAN JOSÉ DE LA APARICIÓN (RETIRA EN EL BANCO)</v>
          </cell>
          <cell r="B2637"/>
          <cell r="C2637"/>
          <cell r="D2637">
            <v>45</v>
          </cell>
          <cell r="E2637"/>
          <cell r="F2637"/>
          <cell r="G2637"/>
          <cell r="H2637"/>
          <cell r="I2637"/>
          <cell r="J2637"/>
          <cell r="K2637"/>
          <cell r="L2637"/>
          <cell r="M2637"/>
          <cell r="N2637"/>
          <cell r="O2637"/>
        </row>
        <row r="2638">
          <cell r="A2638" t="str">
            <v>681 - FU FUNDACION NUEVA SOCIEDAD (NORTE)</v>
          </cell>
          <cell r="B2638"/>
          <cell r="C2638"/>
          <cell r="D2638"/>
          <cell r="E2638"/>
          <cell r="F2638"/>
          <cell r="G2638"/>
          <cell r="H2638"/>
          <cell r="I2638">
            <v>45</v>
          </cell>
          <cell r="J2638"/>
          <cell r="K2638"/>
          <cell r="L2638"/>
          <cell r="M2638"/>
          <cell r="N2638"/>
          <cell r="O2638"/>
        </row>
        <row r="2639">
          <cell r="A2639" t="str">
            <v>656 - FU FUNDACION COCINA DEL REINO Y AMIGOS (CENTRO 1)</v>
          </cell>
          <cell r="B2639"/>
          <cell r="C2639">
            <v>15</v>
          </cell>
          <cell r="D2639"/>
          <cell r="E2639"/>
          <cell r="F2639"/>
          <cell r="G2639"/>
          <cell r="H2639"/>
          <cell r="I2639"/>
          <cell r="J2639"/>
          <cell r="K2639"/>
          <cell r="L2639"/>
          <cell r="M2639"/>
          <cell r="N2639"/>
          <cell r="O2639"/>
        </row>
        <row r="2640">
          <cell r="A2640" t="str">
            <v>684 - FU FUNDACION CASA DEL REY JESUS (CENTRO 2)</v>
          </cell>
          <cell r="B2640"/>
          <cell r="C2640">
            <v>45</v>
          </cell>
          <cell r="D2640"/>
          <cell r="E2640"/>
          <cell r="F2640"/>
          <cell r="G2640"/>
          <cell r="H2640"/>
          <cell r="I2640"/>
          <cell r="J2640"/>
          <cell r="K2640"/>
          <cell r="L2640"/>
          <cell r="M2640"/>
          <cell r="N2640"/>
          <cell r="O2640"/>
        </row>
        <row r="2641">
          <cell r="A2641" t="str">
            <v>229 PA - PARROQUIA SAN CRISTOBAL DE CHEPO</v>
          </cell>
          <cell r="B2641"/>
          <cell r="C2641"/>
          <cell r="D2641">
            <v>20</v>
          </cell>
          <cell r="E2641"/>
          <cell r="F2641"/>
          <cell r="G2641"/>
          <cell r="H2641"/>
          <cell r="I2641"/>
          <cell r="J2641"/>
          <cell r="K2641"/>
          <cell r="L2641"/>
          <cell r="M2641"/>
          <cell r="N2641"/>
          <cell r="O2641"/>
        </row>
        <row r="2642">
          <cell r="A2642" t="str">
            <v>737- ASOCIACION CRISTIANA EBEN-EZER (ESTE)</v>
          </cell>
          <cell r="B2642"/>
          <cell r="C2642"/>
          <cell r="D2642">
            <v>45</v>
          </cell>
          <cell r="E2642"/>
          <cell r="F2642"/>
          <cell r="G2642"/>
          <cell r="H2642"/>
          <cell r="I2642"/>
          <cell r="J2642"/>
          <cell r="K2642"/>
          <cell r="L2642"/>
          <cell r="M2642"/>
          <cell r="N2642"/>
          <cell r="O2642"/>
        </row>
        <row r="2643">
          <cell r="A2643" t="str">
            <v>738- IG MINISTERIO DIOS CON NOSOTROS EMANUEL</v>
          </cell>
          <cell r="B2643"/>
          <cell r="C2643"/>
          <cell r="D2643">
            <v>5</v>
          </cell>
          <cell r="E2643"/>
          <cell r="F2643"/>
          <cell r="G2643"/>
          <cell r="H2643"/>
          <cell r="I2643"/>
          <cell r="J2643"/>
          <cell r="K2643"/>
          <cell r="L2643"/>
          <cell r="M2643"/>
          <cell r="N2643"/>
          <cell r="O2643"/>
        </row>
        <row r="2644">
          <cell r="A2644" t="str">
            <v>201 OR - MISIONERAS MADRE LAURA</v>
          </cell>
          <cell r="B2644"/>
          <cell r="C2644">
            <v>45</v>
          </cell>
          <cell r="D2644"/>
          <cell r="E2644"/>
          <cell r="F2644"/>
          <cell r="G2644"/>
          <cell r="H2644"/>
          <cell r="I2644"/>
          <cell r="J2644"/>
          <cell r="K2644"/>
          <cell r="L2644"/>
          <cell r="M2644"/>
          <cell r="N2644"/>
          <cell r="O2644"/>
        </row>
        <row r="2645">
          <cell r="A2645" t="str">
            <v>598- IG IGLESIA GLORIA TRANSFORMADORA SHEKINAH</v>
          </cell>
          <cell r="B2645"/>
          <cell r="C2645"/>
          <cell r="D2645"/>
          <cell r="E2645">
            <v>15</v>
          </cell>
          <cell r="F2645"/>
          <cell r="G2645"/>
          <cell r="H2645"/>
          <cell r="I2645"/>
          <cell r="J2645"/>
          <cell r="K2645"/>
          <cell r="L2645"/>
          <cell r="M2645"/>
          <cell r="N2645"/>
          <cell r="O2645"/>
        </row>
        <row r="2646">
          <cell r="A2646" t="str">
            <v>MARTIN BROWER</v>
          </cell>
          <cell r="B2646"/>
          <cell r="C2646">
            <v>146</v>
          </cell>
          <cell r="D2646">
            <v>241</v>
          </cell>
          <cell r="E2646">
            <v>41.5</v>
          </cell>
          <cell r="F2646">
            <v>8</v>
          </cell>
          <cell r="G2646">
            <v>49</v>
          </cell>
          <cell r="H2646">
            <v>18</v>
          </cell>
          <cell r="I2646">
            <v>18</v>
          </cell>
          <cell r="J2646"/>
          <cell r="K2646"/>
          <cell r="L2646">
            <v>6</v>
          </cell>
          <cell r="M2646"/>
          <cell r="N2646"/>
          <cell r="O2646"/>
        </row>
        <row r="2647">
          <cell r="A2647" t="str">
            <v>479-IG IGLESIA NUEVA ESPERANZA</v>
          </cell>
          <cell r="B2647"/>
          <cell r="C2647"/>
          <cell r="D2647">
            <v>6</v>
          </cell>
          <cell r="E2647"/>
          <cell r="F2647"/>
          <cell r="G2647"/>
          <cell r="H2647"/>
          <cell r="I2647"/>
          <cell r="J2647"/>
          <cell r="K2647"/>
          <cell r="L2647"/>
          <cell r="M2647"/>
          <cell r="N2647"/>
          <cell r="O2647"/>
        </row>
        <row r="2648">
          <cell r="A2648" t="str">
            <v>178 IG - TEMPLO ZURIEL EL REFUGIO</v>
          </cell>
          <cell r="B2648"/>
          <cell r="C2648"/>
          <cell r="D2648"/>
          <cell r="E2648"/>
          <cell r="F2648"/>
          <cell r="G2648">
            <v>15</v>
          </cell>
          <cell r="H2648"/>
          <cell r="I2648"/>
          <cell r="J2648"/>
          <cell r="K2648"/>
          <cell r="L2648"/>
          <cell r="M2648"/>
          <cell r="N2648"/>
          <cell r="O2648"/>
        </row>
        <row r="2649">
          <cell r="A2649" t="str">
            <v>207 IG - IGLESIA CENTRO DE VIDA CRISTIANA</v>
          </cell>
          <cell r="B2649"/>
          <cell r="C2649"/>
          <cell r="D2649">
            <v>6</v>
          </cell>
          <cell r="E2649"/>
          <cell r="F2649"/>
          <cell r="G2649"/>
          <cell r="H2649"/>
          <cell r="I2649"/>
          <cell r="J2649"/>
          <cell r="K2649"/>
          <cell r="L2649"/>
          <cell r="M2649"/>
          <cell r="N2649"/>
          <cell r="O2649"/>
        </row>
        <row r="2650">
          <cell r="A2650" t="str">
            <v>493-FU Comedor Jesús es mi Pastor</v>
          </cell>
          <cell r="B2650"/>
          <cell r="C2650"/>
          <cell r="D2650">
            <v>8</v>
          </cell>
          <cell r="E2650"/>
          <cell r="F2650"/>
          <cell r="G2650"/>
          <cell r="H2650"/>
          <cell r="I2650"/>
          <cell r="J2650"/>
          <cell r="K2650"/>
          <cell r="L2650"/>
          <cell r="M2650"/>
          <cell r="N2650"/>
          <cell r="O2650"/>
        </row>
        <row r="2651">
          <cell r="A2651" t="str">
            <v>636- FU JAH - LIVE (JAHL) - COLON</v>
          </cell>
          <cell r="B2651"/>
          <cell r="C2651"/>
          <cell r="D2651"/>
          <cell r="E2651"/>
          <cell r="F2651"/>
          <cell r="G2651"/>
          <cell r="H2651">
            <v>6</v>
          </cell>
          <cell r="I2651"/>
          <cell r="J2651"/>
          <cell r="K2651"/>
          <cell r="L2651"/>
          <cell r="M2651"/>
          <cell r="N2651"/>
          <cell r="O2651"/>
        </row>
        <row r="2652">
          <cell r="A2652" t="str">
            <v>635 TEMPLO ADULAM</v>
          </cell>
          <cell r="B2652"/>
          <cell r="C2652"/>
          <cell r="D2652"/>
          <cell r="E2652">
            <v>3</v>
          </cell>
          <cell r="F2652"/>
          <cell r="G2652"/>
          <cell r="H2652"/>
          <cell r="I2652"/>
          <cell r="J2652"/>
          <cell r="K2652"/>
          <cell r="L2652"/>
          <cell r="M2652"/>
          <cell r="N2652"/>
          <cell r="O2652"/>
        </row>
        <row r="2653">
          <cell r="A2653" t="str">
            <v>470-FU IGLESIA MONTE SANTO</v>
          </cell>
          <cell r="B2653"/>
          <cell r="C2653"/>
          <cell r="D2653">
            <v>1.5</v>
          </cell>
          <cell r="E2653"/>
          <cell r="F2653"/>
          <cell r="G2653"/>
          <cell r="H2653"/>
          <cell r="I2653"/>
          <cell r="J2653"/>
          <cell r="K2653"/>
          <cell r="L2653"/>
          <cell r="M2653"/>
          <cell r="N2653"/>
          <cell r="O2653"/>
        </row>
        <row r="2654">
          <cell r="A2654" t="str">
            <v>687 - FU FUNDACION ARCA DE JESUS</v>
          </cell>
          <cell r="B2654"/>
          <cell r="C2654"/>
          <cell r="D2654"/>
          <cell r="E2654">
            <v>11</v>
          </cell>
          <cell r="F2654"/>
          <cell r="G2654"/>
          <cell r="H2654"/>
          <cell r="I2654"/>
          <cell r="J2654"/>
          <cell r="K2654"/>
          <cell r="L2654"/>
          <cell r="M2654"/>
          <cell r="N2654"/>
          <cell r="O2654"/>
        </row>
        <row r="2655">
          <cell r="A2655" t="str">
            <v>218 ED - LOS PREFERIDOS DEL SEÑOR (CENTRO2)</v>
          </cell>
          <cell r="B2655"/>
          <cell r="C2655">
            <v>7</v>
          </cell>
          <cell r="D2655"/>
          <cell r="E2655"/>
          <cell r="F2655"/>
          <cell r="G2655"/>
          <cell r="H2655"/>
          <cell r="I2655"/>
          <cell r="J2655"/>
          <cell r="K2655"/>
          <cell r="L2655"/>
          <cell r="M2655"/>
          <cell r="N2655"/>
          <cell r="O2655"/>
        </row>
        <row r="2656">
          <cell r="A2656" t="str">
            <v>187 IG - IGLESIA DE DIOS DE LA PROFECÍA</v>
          </cell>
          <cell r="B2656"/>
          <cell r="C2656"/>
          <cell r="D2656">
            <v>10</v>
          </cell>
          <cell r="E2656"/>
          <cell r="F2656"/>
          <cell r="G2656"/>
          <cell r="H2656"/>
          <cell r="I2656"/>
          <cell r="J2656"/>
          <cell r="K2656"/>
          <cell r="L2656"/>
          <cell r="M2656"/>
          <cell r="N2656"/>
          <cell r="O2656"/>
        </row>
        <row r="2657">
          <cell r="A2657" t="str">
            <v>321-IG IGLESIA DIOS ES MI PROVEEDOR Y SUSTENTO</v>
          </cell>
          <cell r="B2657"/>
          <cell r="C2657"/>
          <cell r="D2657">
            <v>4</v>
          </cell>
          <cell r="E2657"/>
          <cell r="F2657"/>
          <cell r="G2657"/>
          <cell r="H2657"/>
          <cell r="I2657"/>
          <cell r="J2657"/>
          <cell r="K2657"/>
          <cell r="L2657"/>
          <cell r="M2657"/>
          <cell r="N2657"/>
          <cell r="O2657"/>
        </row>
        <row r="2658">
          <cell r="A2658" t="str">
            <v>694 - FU MINISTERIO BERAKHAH INTERNACIONAL TOCUMEN #2</v>
          </cell>
          <cell r="B2658"/>
          <cell r="C2658"/>
          <cell r="D2658">
            <v>10</v>
          </cell>
          <cell r="E2658"/>
          <cell r="F2658"/>
          <cell r="G2658"/>
          <cell r="H2658"/>
          <cell r="I2658"/>
          <cell r="J2658"/>
          <cell r="K2658"/>
          <cell r="L2658"/>
          <cell r="M2658"/>
          <cell r="N2658"/>
          <cell r="O2658"/>
        </row>
        <row r="2659">
          <cell r="A2659" t="str">
            <v>695 - FU MINISTERIO BERAKHAH INTERNACIONAL 24 DIC</v>
          </cell>
          <cell r="B2659"/>
          <cell r="C2659"/>
          <cell r="D2659">
            <v>3</v>
          </cell>
          <cell r="E2659"/>
          <cell r="F2659"/>
          <cell r="G2659"/>
          <cell r="H2659"/>
          <cell r="I2659"/>
          <cell r="J2659"/>
          <cell r="K2659"/>
          <cell r="L2659"/>
          <cell r="M2659"/>
          <cell r="N2659"/>
          <cell r="O2659"/>
        </row>
        <row r="2660">
          <cell r="A2660" t="str">
            <v>444-FU MINISTERIO BERAKHAH INTERNACIONAL COMEDOR LAS GARZAS #1</v>
          </cell>
          <cell r="B2660"/>
          <cell r="C2660"/>
          <cell r="D2660">
            <v>9</v>
          </cell>
          <cell r="E2660"/>
          <cell r="F2660"/>
          <cell r="G2660"/>
          <cell r="H2660"/>
          <cell r="I2660"/>
          <cell r="J2660"/>
          <cell r="K2660"/>
          <cell r="L2660"/>
          <cell r="M2660"/>
          <cell r="N2660"/>
          <cell r="O2660"/>
        </row>
        <row r="2661">
          <cell r="A2661" t="str">
            <v>366-FU CENTRO MISIONERO EL SHADAI (ESTE)</v>
          </cell>
          <cell r="B2661"/>
          <cell r="C2661"/>
          <cell r="D2661">
            <v>3</v>
          </cell>
          <cell r="E2661"/>
          <cell r="F2661"/>
          <cell r="G2661"/>
          <cell r="H2661"/>
          <cell r="I2661"/>
          <cell r="J2661"/>
          <cell r="K2661"/>
          <cell r="L2661"/>
          <cell r="M2661"/>
          <cell r="N2661"/>
          <cell r="O2661"/>
        </row>
        <row r="2662">
          <cell r="A2662" t="str">
            <v>498-FU COMEDOR NIÑOS DE BENDICION</v>
          </cell>
          <cell r="B2662"/>
          <cell r="C2662"/>
          <cell r="D2662"/>
          <cell r="E2662">
            <v>3</v>
          </cell>
          <cell r="F2662"/>
          <cell r="G2662"/>
          <cell r="H2662"/>
          <cell r="I2662"/>
          <cell r="J2662"/>
          <cell r="K2662"/>
          <cell r="L2662"/>
          <cell r="M2662"/>
          <cell r="N2662"/>
          <cell r="O2662"/>
        </row>
        <row r="2663">
          <cell r="A2663" t="str">
            <v>288 IG MINISTERIO EVANGELISTICO DE SANACION Y RESTAURACION, SENALES, MILAGROS Y MARAVILLAS (ESTE)</v>
          </cell>
          <cell r="B2663"/>
          <cell r="C2663"/>
          <cell r="D2663">
            <v>3</v>
          </cell>
          <cell r="E2663"/>
          <cell r="F2663"/>
          <cell r="G2663"/>
          <cell r="H2663"/>
          <cell r="I2663"/>
          <cell r="J2663"/>
          <cell r="K2663"/>
          <cell r="L2663"/>
          <cell r="M2663"/>
          <cell r="N2663"/>
          <cell r="O2663"/>
        </row>
        <row r="2664">
          <cell r="A2664" t="str">
            <v>373-FU MINISTERIO INTERNACIONAL BOANERGES</v>
          </cell>
          <cell r="B2664"/>
          <cell r="C2664"/>
          <cell r="D2664"/>
          <cell r="E2664"/>
          <cell r="F2664"/>
          <cell r="G2664"/>
          <cell r="H2664"/>
          <cell r="I2664">
            <v>11</v>
          </cell>
          <cell r="J2664"/>
          <cell r="K2664"/>
          <cell r="L2664"/>
          <cell r="M2664"/>
          <cell r="N2664"/>
          <cell r="O2664"/>
        </row>
        <row r="2665">
          <cell r="A2665" t="str">
            <v>183 ED - BELÉN CASA DE PAN (ESTE)</v>
          </cell>
          <cell r="B2665"/>
          <cell r="C2665"/>
          <cell r="D2665">
            <v>3</v>
          </cell>
          <cell r="E2665"/>
          <cell r="F2665"/>
          <cell r="G2665"/>
          <cell r="H2665"/>
          <cell r="I2665"/>
          <cell r="J2665"/>
          <cell r="K2665"/>
          <cell r="L2665"/>
          <cell r="M2665"/>
          <cell r="N2665"/>
          <cell r="O2665"/>
        </row>
        <row r="2666">
          <cell r="A2666" t="str">
            <v>211 IG - IGLESIA CRISTIANA KADOSH</v>
          </cell>
          <cell r="B2666"/>
          <cell r="C2666">
            <v>3</v>
          </cell>
          <cell r="D2666"/>
          <cell r="E2666"/>
          <cell r="F2666"/>
          <cell r="G2666"/>
          <cell r="H2666"/>
          <cell r="I2666"/>
          <cell r="J2666"/>
          <cell r="K2666"/>
          <cell r="L2666"/>
          <cell r="M2666"/>
          <cell r="N2666"/>
          <cell r="O2666"/>
        </row>
        <row r="2667">
          <cell r="A2667" t="str">
            <v>368-FU MINISTERIO PACTO DE SANTIDAD</v>
          </cell>
          <cell r="B2667"/>
          <cell r="C2667">
            <v>5.5</v>
          </cell>
          <cell r="D2667"/>
          <cell r="E2667"/>
          <cell r="F2667"/>
          <cell r="G2667"/>
          <cell r="H2667"/>
          <cell r="I2667"/>
          <cell r="J2667"/>
          <cell r="K2667"/>
          <cell r="L2667"/>
          <cell r="M2667"/>
          <cell r="N2667"/>
          <cell r="O2667"/>
        </row>
        <row r="2668">
          <cell r="A2668" t="str">
            <v>363-FU FUNDACION MINISTERIO DEL EVANGELIO ETERNO DEL REINO (NORTE)</v>
          </cell>
          <cell r="B2668"/>
          <cell r="C2668"/>
          <cell r="D2668"/>
          <cell r="E2668"/>
          <cell r="F2668"/>
          <cell r="G2668">
            <v>3</v>
          </cell>
          <cell r="H2668"/>
          <cell r="I2668"/>
          <cell r="J2668"/>
          <cell r="K2668"/>
          <cell r="L2668"/>
          <cell r="M2668"/>
          <cell r="N2668"/>
          <cell r="O2668"/>
        </row>
        <row r="2669">
          <cell r="A2669" t="str">
            <v>2 PA - PARROQUIA SAN JUAN MARIA VIANNEY (NORTE)</v>
          </cell>
          <cell r="B2669"/>
          <cell r="C2669"/>
          <cell r="D2669"/>
          <cell r="E2669"/>
          <cell r="F2669"/>
          <cell r="G2669"/>
          <cell r="H2669"/>
          <cell r="I2669">
            <v>4</v>
          </cell>
          <cell r="J2669"/>
          <cell r="K2669"/>
          <cell r="L2669"/>
          <cell r="M2669"/>
          <cell r="N2669"/>
          <cell r="O2669"/>
        </row>
        <row r="2670">
          <cell r="A2670" t="str">
            <v>696 - FU MINISTERIO BERAKHAH INTERNACIONAL CHEPO #1</v>
          </cell>
          <cell r="B2670"/>
          <cell r="C2670"/>
          <cell r="D2670">
            <v>28</v>
          </cell>
          <cell r="E2670"/>
          <cell r="F2670"/>
          <cell r="G2670"/>
          <cell r="H2670"/>
          <cell r="I2670"/>
          <cell r="J2670"/>
          <cell r="K2670"/>
          <cell r="L2670"/>
          <cell r="M2670"/>
          <cell r="N2670"/>
          <cell r="O2670"/>
        </row>
        <row r="2671">
          <cell r="A2671" t="str">
            <v>222 ED - MISERICORDIAR</v>
          </cell>
          <cell r="B2671"/>
          <cell r="C2671"/>
          <cell r="D2671">
            <v>43.5</v>
          </cell>
          <cell r="E2671"/>
          <cell r="F2671"/>
          <cell r="G2671"/>
          <cell r="H2671"/>
          <cell r="I2671"/>
          <cell r="J2671"/>
          <cell r="K2671"/>
          <cell r="L2671"/>
          <cell r="M2671"/>
          <cell r="N2671"/>
          <cell r="O2671"/>
        </row>
        <row r="2672">
          <cell r="A2672" t="str">
            <v>259 IG - ALCANCE VICTORIA PANAMÁ</v>
          </cell>
          <cell r="B2672"/>
          <cell r="C2672">
            <v>15.5</v>
          </cell>
          <cell r="D2672"/>
          <cell r="E2672"/>
          <cell r="F2672"/>
          <cell r="G2672"/>
          <cell r="H2672"/>
          <cell r="I2672"/>
          <cell r="J2672"/>
          <cell r="K2672"/>
          <cell r="L2672"/>
          <cell r="M2672"/>
          <cell r="N2672"/>
          <cell r="O2672"/>
        </row>
        <row r="2673">
          <cell r="A2673" t="str">
            <v>379-FU Fundacion Ministerio Apostolico Manantial de Vida</v>
          </cell>
          <cell r="B2673"/>
          <cell r="C2673"/>
          <cell r="D2673"/>
          <cell r="E2673"/>
          <cell r="F2673"/>
          <cell r="G2673"/>
          <cell r="H2673">
            <v>4</v>
          </cell>
          <cell r="I2673"/>
          <cell r="J2673"/>
          <cell r="K2673"/>
          <cell r="L2673"/>
          <cell r="M2673"/>
          <cell r="N2673"/>
          <cell r="O2673"/>
        </row>
        <row r="2674">
          <cell r="A2674" t="str">
            <v>387-AS Asociacion ODSSAR-OBC</v>
          </cell>
          <cell r="B2674"/>
          <cell r="C2674"/>
          <cell r="D2674">
            <v>4</v>
          </cell>
          <cell r="E2674"/>
          <cell r="F2674"/>
          <cell r="G2674"/>
          <cell r="H2674"/>
          <cell r="I2674"/>
          <cell r="J2674"/>
          <cell r="K2674"/>
          <cell r="L2674"/>
          <cell r="M2674"/>
          <cell r="N2674"/>
          <cell r="O2674"/>
        </row>
        <row r="2675">
          <cell r="A2675" t="str">
            <v>300 ED - BENEFICIARIOS</v>
          </cell>
          <cell r="B2675"/>
          <cell r="C2675"/>
          <cell r="D2675">
            <v>1.5</v>
          </cell>
          <cell r="E2675"/>
          <cell r="F2675"/>
          <cell r="G2675"/>
          <cell r="H2675"/>
          <cell r="I2675"/>
          <cell r="J2675"/>
          <cell r="K2675"/>
          <cell r="L2675"/>
          <cell r="M2675"/>
          <cell r="N2675"/>
          <cell r="O2675"/>
        </row>
        <row r="2676">
          <cell r="A2676" t="str">
            <v>657 - FU CENTRO COMUNITARIO MONTAÑAS DE ESPERANZA (RETIRO EN EL BAP)</v>
          </cell>
          <cell r="B2676"/>
          <cell r="C2676"/>
          <cell r="D2676">
            <v>8</v>
          </cell>
          <cell r="E2676"/>
          <cell r="F2676"/>
          <cell r="G2676"/>
          <cell r="H2676"/>
          <cell r="I2676"/>
          <cell r="J2676"/>
          <cell r="K2676"/>
          <cell r="L2676"/>
          <cell r="M2676"/>
          <cell r="N2676"/>
          <cell r="O2676"/>
        </row>
        <row r="2677">
          <cell r="A2677" t="str">
            <v>630-IG MIN.INTL.DE CRISTO PAZ DE DIOS</v>
          </cell>
          <cell r="B2677"/>
          <cell r="C2677">
            <v>3</v>
          </cell>
          <cell r="D2677"/>
          <cell r="E2677"/>
          <cell r="F2677"/>
          <cell r="G2677"/>
          <cell r="H2677"/>
          <cell r="I2677"/>
          <cell r="J2677"/>
          <cell r="K2677"/>
          <cell r="L2677"/>
          <cell r="M2677"/>
          <cell r="N2677"/>
          <cell r="O2677"/>
        </row>
        <row r="2678">
          <cell r="A2678" t="str">
            <v>397-FU FUNDACION SHALOM PANAMA</v>
          </cell>
          <cell r="B2678"/>
          <cell r="C2678"/>
          <cell r="D2678"/>
          <cell r="E2678">
            <v>1.5</v>
          </cell>
          <cell r="F2678"/>
          <cell r="G2678"/>
          <cell r="H2678"/>
          <cell r="I2678"/>
          <cell r="J2678"/>
          <cell r="K2678"/>
          <cell r="L2678"/>
          <cell r="M2678"/>
          <cell r="N2678"/>
          <cell r="O2678"/>
        </row>
        <row r="2679">
          <cell r="A2679" t="str">
            <v>697 - FU MINISTERIO BERAKHAH INTERNACIONAL CHEPO #2</v>
          </cell>
          <cell r="B2679"/>
          <cell r="C2679"/>
          <cell r="D2679">
            <v>3</v>
          </cell>
          <cell r="E2679"/>
          <cell r="F2679"/>
          <cell r="G2679"/>
          <cell r="H2679"/>
          <cell r="I2679"/>
          <cell r="J2679"/>
          <cell r="K2679"/>
          <cell r="L2679"/>
          <cell r="M2679"/>
          <cell r="N2679"/>
          <cell r="O2679"/>
        </row>
        <row r="2680">
          <cell r="A2680" t="str">
            <v>195 ED - JUNTOS PODEMOS</v>
          </cell>
          <cell r="B2680"/>
          <cell r="C2680">
            <v>15</v>
          </cell>
          <cell r="D2680"/>
          <cell r="E2680"/>
          <cell r="F2680"/>
          <cell r="G2680"/>
          <cell r="H2680"/>
          <cell r="I2680"/>
          <cell r="J2680"/>
          <cell r="K2680"/>
          <cell r="L2680"/>
          <cell r="M2680"/>
          <cell r="N2680"/>
          <cell r="O2680"/>
        </row>
        <row r="2681">
          <cell r="A2681" t="str">
            <v>235 FU - FUNDACION GRUPO ENVIADOS</v>
          </cell>
          <cell r="B2681"/>
          <cell r="C2681"/>
          <cell r="D2681">
            <v>3</v>
          </cell>
          <cell r="E2681"/>
          <cell r="F2681"/>
          <cell r="G2681"/>
          <cell r="H2681"/>
          <cell r="I2681"/>
          <cell r="J2681"/>
          <cell r="K2681"/>
          <cell r="L2681"/>
          <cell r="M2681"/>
          <cell r="N2681"/>
          <cell r="O2681"/>
        </row>
        <row r="2682">
          <cell r="A2682" t="str">
            <v>380-ED COMEDOR COMUNITARIO CASA DEL ALFARERO</v>
          </cell>
          <cell r="B2682"/>
          <cell r="C2682"/>
          <cell r="D2682">
            <v>7</v>
          </cell>
          <cell r="E2682"/>
          <cell r="F2682"/>
          <cell r="G2682"/>
          <cell r="H2682"/>
          <cell r="I2682"/>
          <cell r="J2682"/>
          <cell r="K2682"/>
          <cell r="L2682"/>
          <cell r="M2682"/>
          <cell r="N2682"/>
          <cell r="O2682"/>
        </row>
        <row r="2683">
          <cell r="A2683" t="str">
            <v>451-IG IGLESIA MANANTIAL DE VIDA (ESTE)</v>
          </cell>
          <cell r="B2683"/>
          <cell r="C2683"/>
          <cell r="D2683">
            <v>6</v>
          </cell>
          <cell r="E2683"/>
          <cell r="F2683"/>
          <cell r="G2683"/>
          <cell r="H2683"/>
          <cell r="I2683"/>
          <cell r="J2683"/>
          <cell r="K2683"/>
          <cell r="L2683"/>
          <cell r="M2683"/>
          <cell r="N2683"/>
          <cell r="O2683"/>
        </row>
        <row r="2684">
          <cell r="A2684" t="str">
            <v>597- IG MINISTERIO APOSTOLICO NEMUEL INTERNACIONAL</v>
          </cell>
          <cell r="B2684"/>
          <cell r="C2684"/>
          <cell r="D2684">
            <v>12</v>
          </cell>
          <cell r="E2684"/>
          <cell r="F2684"/>
          <cell r="G2684"/>
          <cell r="H2684"/>
          <cell r="I2684"/>
          <cell r="J2684"/>
          <cell r="K2684"/>
          <cell r="L2684"/>
          <cell r="M2684"/>
          <cell r="N2684"/>
          <cell r="O2684"/>
        </row>
        <row r="2685">
          <cell r="A2685" t="str">
            <v>647 - IG CRISTO REY CAMBIANDO VIDAS (ESTE)</v>
          </cell>
          <cell r="B2685"/>
          <cell r="C2685"/>
          <cell r="D2685">
            <v>15</v>
          </cell>
          <cell r="E2685"/>
          <cell r="F2685"/>
          <cell r="G2685"/>
          <cell r="H2685"/>
          <cell r="I2685"/>
          <cell r="J2685"/>
          <cell r="K2685"/>
          <cell r="L2685"/>
          <cell r="M2685"/>
          <cell r="N2685"/>
          <cell r="O2685"/>
        </row>
        <row r="2686">
          <cell r="A2686" t="str">
            <v>339-AS ASOCIACION RESIDENCIA LISBETH</v>
          </cell>
          <cell r="B2686"/>
          <cell r="C2686"/>
          <cell r="D2686">
            <v>5.5</v>
          </cell>
          <cell r="E2686"/>
          <cell r="F2686"/>
          <cell r="G2686"/>
          <cell r="H2686"/>
          <cell r="I2686"/>
          <cell r="J2686"/>
          <cell r="K2686"/>
          <cell r="L2686"/>
          <cell r="M2686"/>
          <cell r="N2686"/>
          <cell r="O2686"/>
        </row>
        <row r="2687">
          <cell r="A2687" t="str">
            <v>381-FU FUNDAMIDOM</v>
          </cell>
          <cell r="B2687"/>
          <cell r="C2687"/>
          <cell r="D2687"/>
          <cell r="E2687">
            <v>4</v>
          </cell>
          <cell r="F2687"/>
          <cell r="G2687"/>
          <cell r="H2687"/>
          <cell r="I2687"/>
          <cell r="J2687"/>
          <cell r="K2687"/>
          <cell r="L2687"/>
          <cell r="M2687"/>
          <cell r="N2687"/>
          <cell r="O2687"/>
        </row>
        <row r="2688">
          <cell r="A2688" t="str">
            <v>491-FU Fundación Aleluya</v>
          </cell>
          <cell r="B2688"/>
          <cell r="C2688"/>
          <cell r="D2688"/>
          <cell r="E2688"/>
          <cell r="F2688"/>
          <cell r="G2688">
            <v>14</v>
          </cell>
          <cell r="H2688"/>
          <cell r="I2688"/>
          <cell r="J2688"/>
          <cell r="K2688"/>
          <cell r="L2688"/>
          <cell r="M2688"/>
          <cell r="N2688"/>
          <cell r="O2688"/>
        </row>
        <row r="2689">
          <cell r="A2689" t="str">
            <v>377-FU CENTRO CRISTIANO CASA DE DIOS PANAMA</v>
          </cell>
          <cell r="B2689"/>
          <cell r="C2689"/>
          <cell r="D2689"/>
          <cell r="E2689"/>
          <cell r="F2689"/>
          <cell r="G2689">
            <v>6</v>
          </cell>
          <cell r="H2689"/>
          <cell r="I2689"/>
          <cell r="J2689"/>
          <cell r="K2689"/>
          <cell r="L2689"/>
          <cell r="M2689"/>
          <cell r="N2689"/>
          <cell r="O2689"/>
        </row>
        <row r="2690">
          <cell r="A2690" t="str">
            <v>360-IG IGLESIA CRISTIANA CASA DE REUNION</v>
          </cell>
          <cell r="B2690"/>
          <cell r="C2690"/>
          <cell r="D2690"/>
          <cell r="E2690"/>
          <cell r="F2690"/>
          <cell r="G2690">
            <v>11</v>
          </cell>
          <cell r="H2690"/>
          <cell r="I2690"/>
          <cell r="J2690"/>
          <cell r="K2690"/>
          <cell r="L2690"/>
          <cell r="M2690"/>
          <cell r="N2690"/>
          <cell r="O2690"/>
        </row>
        <row r="2691">
          <cell r="A2691" t="str">
            <v>684 - FU FUNDACION CASA DEL REY JESUS (CENTRO 2)</v>
          </cell>
          <cell r="B2691"/>
          <cell r="C2691">
            <v>29.5</v>
          </cell>
          <cell r="D2691"/>
          <cell r="E2691"/>
          <cell r="F2691"/>
          <cell r="G2691"/>
          <cell r="H2691"/>
          <cell r="I2691"/>
          <cell r="J2691"/>
          <cell r="K2691"/>
          <cell r="L2691"/>
          <cell r="M2691"/>
          <cell r="N2691"/>
          <cell r="O2691"/>
        </row>
        <row r="2692">
          <cell r="A2692" t="str">
            <v>723 ASOCIACION AQUI ESTOY</v>
          </cell>
          <cell r="B2692"/>
          <cell r="C2692"/>
          <cell r="D2692"/>
          <cell r="E2692">
            <v>7</v>
          </cell>
          <cell r="F2692"/>
          <cell r="G2692"/>
          <cell r="H2692"/>
          <cell r="I2692"/>
          <cell r="J2692"/>
          <cell r="K2692"/>
          <cell r="L2692"/>
          <cell r="M2692"/>
          <cell r="N2692"/>
          <cell r="O2692"/>
        </row>
        <row r="2693">
          <cell r="A2693" t="str">
            <v>229 PA - PARROQUIA SAN CRISTOBAL DE CHEPO</v>
          </cell>
          <cell r="B2693"/>
          <cell r="C2693"/>
          <cell r="D2693">
            <v>11</v>
          </cell>
          <cell r="E2693"/>
          <cell r="F2693"/>
          <cell r="G2693"/>
          <cell r="H2693"/>
          <cell r="I2693"/>
          <cell r="J2693"/>
          <cell r="K2693"/>
          <cell r="L2693"/>
          <cell r="M2693"/>
          <cell r="N2693"/>
          <cell r="O2693"/>
        </row>
        <row r="2694">
          <cell r="A2694" t="str">
            <v>390-FU FUNDACION CRISTIANA FAMILIAR EL TALLER DEL MAESTRO (CENTRO1)</v>
          </cell>
          <cell r="B2694"/>
          <cell r="C2694">
            <v>4</v>
          </cell>
          <cell r="D2694"/>
          <cell r="E2694"/>
          <cell r="F2694"/>
          <cell r="G2694"/>
          <cell r="H2694"/>
          <cell r="I2694"/>
          <cell r="J2694"/>
          <cell r="K2694"/>
          <cell r="L2694"/>
          <cell r="M2694"/>
          <cell r="N2694"/>
          <cell r="O2694"/>
        </row>
        <row r="2695">
          <cell r="A2695" t="str">
            <v>737- ASOCIACION CRISTIANA EBEN-EZER (ESTE)</v>
          </cell>
          <cell r="B2695"/>
          <cell r="C2695"/>
          <cell r="D2695">
            <v>6</v>
          </cell>
          <cell r="E2695"/>
          <cell r="F2695"/>
          <cell r="G2695"/>
          <cell r="H2695"/>
          <cell r="I2695"/>
          <cell r="J2695"/>
          <cell r="K2695"/>
          <cell r="L2695"/>
          <cell r="M2695"/>
          <cell r="N2695"/>
          <cell r="O2695"/>
        </row>
        <row r="2696">
          <cell r="A2696" t="str">
            <v>738- IG MINISTERIO DIOS CON NOSOTROS EMANUEL</v>
          </cell>
          <cell r="B2696"/>
          <cell r="C2696"/>
          <cell r="D2696">
            <v>3</v>
          </cell>
          <cell r="E2696"/>
          <cell r="F2696"/>
          <cell r="G2696"/>
          <cell r="H2696"/>
          <cell r="I2696"/>
          <cell r="J2696"/>
          <cell r="K2696"/>
          <cell r="L2696"/>
          <cell r="M2696"/>
          <cell r="N2696"/>
          <cell r="O2696"/>
        </row>
        <row r="2697">
          <cell r="A2697" t="str">
            <v>733-IG LA ORACION FUERTE AL ESPIRITU SANTO</v>
          </cell>
          <cell r="B2697"/>
          <cell r="C2697">
            <v>17.5</v>
          </cell>
          <cell r="D2697"/>
          <cell r="E2697"/>
          <cell r="F2697"/>
          <cell r="G2697"/>
          <cell r="H2697"/>
          <cell r="I2697"/>
          <cell r="J2697"/>
          <cell r="K2697"/>
          <cell r="L2697"/>
          <cell r="M2697"/>
          <cell r="N2697"/>
          <cell r="O2697"/>
        </row>
        <row r="2698">
          <cell r="A2698" t="str">
            <v>745-FU CASA DE MISERICORDIA</v>
          </cell>
          <cell r="B2698"/>
          <cell r="C2698">
            <v>16</v>
          </cell>
          <cell r="D2698"/>
          <cell r="E2698"/>
          <cell r="F2698"/>
          <cell r="G2698"/>
          <cell r="H2698"/>
          <cell r="I2698"/>
          <cell r="J2698"/>
          <cell r="K2698"/>
          <cell r="L2698"/>
          <cell r="M2698"/>
          <cell r="N2698"/>
          <cell r="O2698"/>
        </row>
        <row r="2699">
          <cell r="A2699" t="str">
            <v>741-IG BUNKER DE ESPERANZA</v>
          </cell>
          <cell r="B2699"/>
          <cell r="C2699"/>
          <cell r="D2699">
            <v>6</v>
          </cell>
          <cell r="E2699"/>
          <cell r="F2699"/>
          <cell r="G2699"/>
          <cell r="H2699"/>
          <cell r="I2699"/>
          <cell r="J2699"/>
          <cell r="K2699"/>
          <cell r="L2699"/>
          <cell r="M2699"/>
          <cell r="N2699"/>
          <cell r="O2699"/>
        </row>
        <row r="2700">
          <cell r="A2700" t="str">
            <v>275 IG CONCILIO GENERAL DE LAS ASAMBLEAS DE DIOS DE PANAMÁ</v>
          </cell>
          <cell r="B2700"/>
          <cell r="C2700">
            <v>3</v>
          </cell>
          <cell r="D2700"/>
          <cell r="E2700"/>
          <cell r="F2700"/>
          <cell r="G2700"/>
          <cell r="H2700"/>
          <cell r="I2700"/>
          <cell r="J2700"/>
          <cell r="K2700"/>
          <cell r="L2700"/>
          <cell r="M2700"/>
          <cell r="N2700"/>
          <cell r="O2700"/>
        </row>
        <row r="2701">
          <cell r="A2701" t="str">
            <v>785-FU FUNDACION GOTAS DE ESPERANZA</v>
          </cell>
          <cell r="B2701"/>
          <cell r="C2701"/>
          <cell r="D2701"/>
          <cell r="E2701">
            <v>12</v>
          </cell>
          <cell r="F2701"/>
          <cell r="G2701"/>
          <cell r="H2701"/>
          <cell r="I2701"/>
          <cell r="J2701"/>
          <cell r="K2701"/>
          <cell r="L2701"/>
          <cell r="M2701"/>
          <cell r="N2701"/>
          <cell r="O2701"/>
        </row>
        <row r="2702">
          <cell r="A2702" t="str">
            <v>394-IG IGLESIA ESCUADRONES DEL EJERCITO DE DIOS (CENTRO2)</v>
          </cell>
          <cell r="B2702"/>
          <cell r="C2702">
            <v>17</v>
          </cell>
          <cell r="D2702"/>
          <cell r="E2702"/>
          <cell r="F2702"/>
          <cell r="G2702"/>
          <cell r="H2702"/>
          <cell r="I2702"/>
          <cell r="J2702"/>
          <cell r="K2702"/>
          <cell r="L2702"/>
          <cell r="M2702"/>
          <cell r="N2702"/>
          <cell r="O2702"/>
        </row>
        <row r="2703">
          <cell r="A2703" t="str">
            <v>789-FU Fundación Rescate de Alimentos</v>
          </cell>
          <cell r="B2703"/>
          <cell r="C2703">
            <v>3</v>
          </cell>
          <cell r="D2703"/>
          <cell r="E2703"/>
          <cell r="F2703"/>
          <cell r="G2703"/>
          <cell r="H2703"/>
          <cell r="I2703"/>
          <cell r="J2703"/>
          <cell r="K2703"/>
          <cell r="L2703"/>
          <cell r="M2703"/>
          <cell r="N2703"/>
          <cell r="O2703"/>
        </row>
        <row r="2704">
          <cell r="A2704" t="str">
            <v>793-FU Fundación Príncipes de Jehová</v>
          </cell>
          <cell r="B2704"/>
          <cell r="C2704"/>
          <cell r="D2704"/>
          <cell r="E2704"/>
          <cell r="F2704"/>
          <cell r="G2704"/>
          <cell r="H2704"/>
          <cell r="I2704">
            <v>3</v>
          </cell>
          <cell r="J2704"/>
          <cell r="K2704"/>
          <cell r="L2704"/>
          <cell r="M2704"/>
          <cell r="N2704"/>
          <cell r="O2704"/>
        </row>
        <row r="2705">
          <cell r="A2705" t="str">
            <v>791-FU FUNDACION DIVINO NINO JESUS DE MI CORAZON</v>
          </cell>
          <cell r="B2705"/>
          <cell r="C2705"/>
          <cell r="D2705">
            <v>3</v>
          </cell>
          <cell r="E2705"/>
          <cell r="F2705"/>
          <cell r="G2705"/>
          <cell r="H2705"/>
          <cell r="I2705"/>
          <cell r="J2705"/>
          <cell r="K2705"/>
          <cell r="L2705"/>
          <cell r="M2705"/>
          <cell r="N2705"/>
          <cell r="O2705"/>
        </row>
        <row r="2706">
          <cell r="A2706" t="str">
            <v>138 OR - HERMANAS FRANCISCANAS DE MARIA INMACULADALA</v>
          </cell>
          <cell r="B2706"/>
          <cell r="C2706"/>
          <cell r="D2706"/>
          <cell r="E2706"/>
          <cell r="F2706"/>
          <cell r="G2706"/>
          <cell r="H2706">
            <v>8</v>
          </cell>
          <cell r="I2706"/>
          <cell r="J2706"/>
          <cell r="K2706"/>
          <cell r="L2706"/>
          <cell r="M2706"/>
          <cell r="N2706"/>
          <cell r="O2706"/>
        </row>
        <row r="2707">
          <cell r="A2707" t="str">
            <v>661 - FU FUNDACION MAS INTEGRADOS (DARIEN)</v>
          </cell>
          <cell r="B2707"/>
          <cell r="C2707"/>
          <cell r="D2707"/>
          <cell r="E2707"/>
          <cell r="F2707">
            <v>8</v>
          </cell>
          <cell r="G2707"/>
          <cell r="H2707"/>
          <cell r="I2707"/>
          <cell r="J2707"/>
          <cell r="K2707"/>
          <cell r="L2707"/>
          <cell r="M2707"/>
          <cell r="N2707"/>
          <cell r="O2707"/>
        </row>
        <row r="2708">
          <cell r="A2708" t="str">
            <v>753-AS CLUB ACTIVO 20-30 DE CHITRE</v>
          </cell>
          <cell r="B2708"/>
          <cell r="C2708"/>
          <cell r="D2708"/>
          <cell r="E2708"/>
          <cell r="F2708"/>
          <cell r="G2708"/>
          <cell r="H2708"/>
          <cell r="I2708"/>
          <cell r="J2708"/>
          <cell r="K2708"/>
          <cell r="L2708">
            <v>6</v>
          </cell>
          <cell r="M2708"/>
          <cell r="N2708"/>
          <cell r="O2708"/>
        </row>
        <row r="2709">
          <cell r="A2709" t="str">
            <v>463-FU MINISTERIO BERAKHAH INTERNACIONAL COMEDOR OASIS DE ESPERANZA (ESTE)</v>
          </cell>
          <cell r="B2709"/>
          <cell r="C2709"/>
          <cell r="D2709">
            <v>9</v>
          </cell>
          <cell r="E2709"/>
          <cell r="F2709"/>
          <cell r="G2709"/>
          <cell r="H2709"/>
          <cell r="I2709"/>
          <cell r="J2709"/>
          <cell r="K2709"/>
          <cell r="L2709"/>
          <cell r="M2709"/>
          <cell r="N2709"/>
          <cell r="O2709"/>
        </row>
        <row r="2710">
          <cell r="A2710" t="str">
            <v>802-IG IGLESIA INTERNACIONAL DEL EVANGELIO CUADRANGULAR DE PANAMÁ</v>
          </cell>
          <cell r="B2710"/>
          <cell r="C2710">
            <v>7</v>
          </cell>
          <cell r="D2710"/>
          <cell r="E2710"/>
          <cell r="F2710"/>
          <cell r="G2710"/>
          <cell r="H2710"/>
          <cell r="I2710"/>
          <cell r="J2710"/>
          <cell r="K2710"/>
          <cell r="L2710"/>
          <cell r="M2710"/>
          <cell r="N2710"/>
          <cell r="O2710"/>
        </row>
        <row r="2711">
          <cell r="A2711" t="str">
            <v>MERCALIMENTOS PANAMA, S.A</v>
          </cell>
          <cell r="B2711"/>
          <cell r="C2711">
            <v>896.5</v>
          </cell>
          <cell r="D2711">
            <v>385.5</v>
          </cell>
          <cell r="E2711">
            <v>146.5</v>
          </cell>
          <cell r="F2711">
            <v>13</v>
          </cell>
          <cell r="G2711">
            <v>100.5</v>
          </cell>
          <cell r="H2711">
            <v>91.5</v>
          </cell>
          <cell r="I2711">
            <v>40</v>
          </cell>
          <cell r="J2711">
            <v>30</v>
          </cell>
          <cell r="K2711"/>
          <cell r="L2711">
            <v>8</v>
          </cell>
          <cell r="M2711"/>
          <cell r="N2711"/>
          <cell r="O2711">
            <v>16</v>
          </cell>
        </row>
        <row r="2712">
          <cell r="A2712" t="str">
            <v>662-IG MINISTERIO EVANGELICO EL APOSENTO ALTO (CENTRO 1)</v>
          </cell>
          <cell r="B2712"/>
          <cell r="C2712">
            <v>10</v>
          </cell>
          <cell r="D2712"/>
          <cell r="E2712"/>
          <cell r="F2712"/>
          <cell r="G2712"/>
          <cell r="H2712"/>
          <cell r="I2712"/>
          <cell r="J2712"/>
          <cell r="K2712"/>
          <cell r="L2712"/>
          <cell r="M2712"/>
          <cell r="N2712"/>
          <cell r="O2712"/>
        </row>
        <row r="2713">
          <cell r="A2713" t="str">
            <v>702 - FU MINISTERIO BERAKHAH INTERNACIONAL ARRAIJAN</v>
          </cell>
          <cell r="B2713"/>
          <cell r="C2713"/>
          <cell r="D2713"/>
          <cell r="E2713">
            <v>3.5</v>
          </cell>
          <cell r="F2713"/>
          <cell r="G2713"/>
          <cell r="H2713"/>
          <cell r="I2713"/>
          <cell r="J2713"/>
          <cell r="K2713"/>
          <cell r="L2713"/>
          <cell r="M2713"/>
          <cell r="N2713"/>
          <cell r="O2713"/>
        </row>
        <row r="2714">
          <cell r="A2714" t="str">
            <v>298-FU - MINISTERIO FUENTE DE VIDA PARA EL PERDIDO</v>
          </cell>
          <cell r="B2714"/>
          <cell r="C2714"/>
          <cell r="D2714"/>
          <cell r="E2714"/>
          <cell r="F2714">
            <v>4</v>
          </cell>
          <cell r="G2714"/>
          <cell r="H2714"/>
          <cell r="I2714"/>
          <cell r="J2714"/>
          <cell r="K2714"/>
          <cell r="L2714"/>
          <cell r="M2714"/>
          <cell r="N2714"/>
          <cell r="O2714"/>
        </row>
        <row r="2715">
          <cell r="A2715" t="str">
            <v>104 AS - ASOCIACIÓN HOGAR FELICIDAD</v>
          </cell>
          <cell r="B2715"/>
          <cell r="C2715"/>
          <cell r="D2715"/>
          <cell r="E2715">
            <v>51.5</v>
          </cell>
          <cell r="F2715"/>
          <cell r="G2715"/>
          <cell r="H2715"/>
          <cell r="I2715"/>
          <cell r="J2715"/>
          <cell r="K2715"/>
          <cell r="L2715"/>
          <cell r="M2715"/>
          <cell r="N2715"/>
          <cell r="O2715"/>
        </row>
        <row r="2716">
          <cell r="A2716" t="str">
            <v>175 AS - ASOCIACIÓN RESTAURANDO VIDAS</v>
          </cell>
          <cell r="B2716"/>
          <cell r="C2716"/>
          <cell r="D2716">
            <v>10</v>
          </cell>
          <cell r="E2716"/>
          <cell r="F2716"/>
          <cell r="G2716"/>
          <cell r="H2716"/>
          <cell r="I2716"/>
          <cell r="J2716"/>
          <cell r="K2716"/>
          <cell r="L2716"/>
          <cell r="M2716"/>
          <cell r="N2716"/>
          <cell r="O2716"/>
        </row>
        <row r="2717">
          <cell r="A2717" t="str">
            <v>178 IG - TEMPLO ZURIEL EL REFUGIO</v>
          </cell>
          <cell r="B2717"/>
          <cell r="C2717"/>
          <cell r="D2717"/>
          <cell r="E2717"/>
          <cell r="F2717"/>
          <cell r="G2717">
            <v>82</v>
          </cell>
          <cell r="H2717"/>
          <cell r="I2717"/>
          <cell r="J2717"/>
          <cell r="K2717"/>
          <cell r="L2717"/>
          <cell r="M2717"/>
          <cell r="N2717"/>
          <cell r="O2717"/>
        </row>
        <row r="2718">
          <cell r="A2718" t="str">
            <v>207 IG - IGLESIA CENTRO DE VIDA CRISTIANA</v>
          </cell>
          <cell r="B2718"/>
          <cell r="C2718"/>
          <cell r="D2718">
            <v>18</v>
          </cell>
          <cell r="E2718"/>
          <cell r="F2718"/>
          <cell r="G2718"/>
          <cell r="H2718"/>
          <cell r="I2718"/>
          <cell r="J2718"/>
          <cell r="K2718"/>
          <cell r="L2718"/>
          <cell r="M2718"/>
          <cell r="N2718"/>
          <cell r="O2718"/>
        </row>
        <row r="2719">
          <cell r="A2719" t="str">
            <v>636- FU JAH - LIVE (JAHL) - COLON</v>
          </cell>
          <cell r="B2719"/>
          <cell r="C2719"/>
          <cell r="D2719"/>
          <cell r="E2719"/>
          <cell r="F2719"/>
          <cell r="G2719"/>
          <cell r="H2719">
            <v>54</v>
          </cell>
          <cell r="I2719"/>
          <cell r="J2719"/>
          <cell r="K2719"/>
          <cell r="L2719"/>
          <cell r="M2719"/>
          <cell r="N2719"/>
          <cell r="O2719"/>
        </row>
        <row r="2720">
          <cell r="A2720" t="str">
            <v>224 OR MISIONERAS DE LA CARIDAD DE COLON</v>
          </cell>
          <cell r="B2720"/>
          <cell r="C2720"/>
          <cell r="D2720"/>
          <cell r="E2720"/>
          <cell r="F2720"/>
          <cell r="G2720"/>
          <cell r="H2720">
            <v>5</v>
          </cell>
          <cell r="I2720"/>
          <cell r="J2720"/>
          <cell r="K2720"/>
          <cell r="L2720"/>
          <cell r="M2720"/>
          <cell r="N2720"/>
          <cell r="O2720"/>
        </row>
        <row r="2721">
          <cell r="A2721" t="str">
            <v>365-IG COMEDOR HEFZIBA</v>
          </cell>
          <cell r="B2721"/>
          <cell r="C2721"/>
          <cell r="D2721"/>
          <cell r="E2721"/>
          <cell r="F2721"/>
          <cell r="G2721"/>
          <cell r="H2721"/>
          <cell r="I2721">
            <v>19</v>
          </cell>
          <cell r="J2721"/>
          <cell r="K2721"/>
          <cell r="L2721"/>
          <cell r="M2721"/>
          <cell r="N2721"/>
          <cell r="O2721"/>
        </row>
        <row r="2722">
          <cell r="A2722" t="str">
            <v>635 TEMPLO ADULAM</v>
          </cell>
          <cell r="B2722"/>
          <cell r="C2722"/>
          <cell r="D2722"/>
          <cell r="E2722">
            <v>7</v>
          </cell>
          <cell r="F2722"/>
          <cell r="G2722"/>
          <cell r="H2722"/>
          <cell r="I2722"/>
          <cell r="J2722"/>
          <cell r="K2722"/>
          <cell r="L2722"/>
          <cell r="M2722"/>
          <cell r="N2722"/>
          <cell r="O2722"/>
        </row>
        <row r="2723">
          <cell r="A2723" t="str">
            <v>470-FU IGLESIA MONTE SANTO</v>
          </cell>
          <cell r="B2723"/>
          <cell r="C2723"/>
          <cell r="D2723">
            <v>6</v>
          </cell>
          <cell r="E2723"/>
          <cell r="F2723"/>
          <cell r="G2723"/>
          <cell r="H2723"/>
          <cell r="I2723"/>
          <cell r="J2723"/>
          <cell r="K2723"/>
          <cell r="L2723"/>
          <cell r="M2723"/>
          <cell r="N2723"/>
          <cell r="O2723"/>
        </row>
        <row r="2724">
          <cell r="A2724" t="str">
            <v>687 - FU FUNDACION ARCA DE JESUS</v>
          </cell>
          <cell r="B2724"/>
          <cell r="C2724"/>
          <cell r="D2724"/>
          <cell r="E2724">
            <v>8</v>
          </cell>
          <cell r="F2724"/>
          <cell r="G2724"/>
          <cell r="H2724"/>
          <cell r="I2724"/>
          <cell r="J2724"/>
          <cell r="K2724"/>
          <cell r="L2724"/>
          <cell r="M2724"/>
          <cell r="N2724"/>
          <cell r="O2724"/>
        </row>
        <row r="2725">
          <cell r="A2725" t="str">
            <v>218 ED - LOS PREFERIDOS DEL SEÑOR (CENTRO2)</v>
          </cell>
          <cell r="B2725"/>
          <cell r="C2725">
            <v>310</v>
          </cell>
          <cell r="D2725"/>
          <cell r="E2725"/>
          <cell r="F2725"/>
          <cell r="G2725"/>
          <cell r="H2725"/>
          <cell r="I2725"/>
          <cell r="J2725"/>
          <cell r="K2725"/>
          <cell r="L2725"/>
          <cell r="M2725"/>
          <cell r="N2725"/>
          <cell r="O2725"/>
        </row>
        <row r="2726">
          <cell r="A2726" t="str">
            <v>187 IG - IGLESIA DE DIOS DE LA PROFECÍA</v>
          </cell>
          <cell r="B2726"/>
          <cell r="C2726"/>
          <cell r="D2726">
            <v>41</v>
          </cell>
          <cell r="E2726"/>
          <cell r="F2726"/>
          <cell r="G2726"/>
          <cell r="H2726"/>
          <cell r="I2726"/>
          <cell r="J2726"/>
          <cell r="K2726"/>
          <cell r="L2726"/>
          <cell r="M2726"/>
          <cell r="N2726"/>
          <cell r="O2726"/>
        </row>
        <row r="2727">
          <cell r="A2727" t="str">
            <v>321-IG IGLESIA DIOS ES MI PROVEEDOR Y SUSTENTO</v>
          </cell>
          <cell r="B2727"/>
          <cell r="C2727"/>
          <cell r="D2727">
            <v>6</v>
          </cell>
          <cell r="E2727"/>
          <cell r="F2727"/>
          <cell r="G2727"/>
          <cell r="H2727"/>
          <cell r="I2727"/>
          <cell r="J2727"/>
          <cell r="K2727"/>
          <cell r="L2727"/>
          <cell r="M2727"/>
          <cell r="N2727"/>
          <cell r="O2727"/>
        </row>
        <row r="2728">
          <cell r="A2728" t="str">
            <v>443-FU MINISTERIO BERAKHAH INTERNACIONAL COMEDOR LAS GARZAS #2</v>
          </cell>
          <cell r="B2728"/>
          <cell r="C2728"/>
          <cell r="D2728">
            <v>10</v>
          </cell>
          <cell r="E2728"/>
          <cell r="F2728"/>
          <cell r="G2728"/>
          <cell r="H2728"/>
          <cell r="I2728"/>
          <cell r="J2728"/>
          <cell r="K2728"/>
          <cell r="L2728"/>
          <cell r="M2728"/>
          <cell r="N2728"/>
          <cell r="O2728"/>
        </row>
        <row r="2729">
          <cell r="A2729" t="str">
            <v>694 - FU MINISTERIO BERAKHAH INTERNACIONAL TOCUMEN #2</v>
          </cell>
          <cell r="B2729"/>
          <cell r="C2729"/>
          <cell r="D2729">
            <v>10</v>
          </cell>
          <cell r="E2729"/>
          <cell r="F2729"/>
          <cell r="G2729"/>
          <cell r="H2729"/>
          <cell r="I2729"/>
          <cell r="J2729"/>
          <cell r="K2729"/>
          <cell r="L2729"/>
          <cell r="M2729"/>
          <cell r="N2729"/>
          <cell r="O2729"/>
        </row>
        <row r="2730">
          <cell r="A2730" t="str">
            <v>695 - FU MINISTERIO BERAKHAH INTERNACIONAL 24 DIC</v>
          </cell>
          <cell r="B2730"/>
          <cell r="C2730"/>
          <cell r="D2730">
            <v>28</v>
          </cell>
          <cell r="E2730"/>
          <cell r="F2730"/>
          <cell r="G2730"/>
          <cell r="H2730"/>
          <cell r="I2730"/>
          <cell r="J2730"/>
          <cell r="K2730"/>
          <cell r="L2730"/>
          <cell r="M2730"/>
          <cell r="N2730"/>
          <cell r="O2730"/>
        </row>
        <row r="2731">
          <cell r="A2731" t="str">
            <v>366-FU CENTRO MISIONERO EL SHADAI (ESTE)</v>
          </cell>
          <cell r="B2731"/>
          <cell r="C2731"/>
          <cell r="D2731">
            <v>15</v>
          </cell>
          <cell r="E2731"/>
          <cell r="F2731"/>
          <cell r="G2731"/>
          <cell r="H2731"/>
          <cell r="I2731"/>
          <cell r="J2731"/>
          <cell r="K2731"/>
          <cell r="L2731"/>
          <cell r="M2731"/>
          <cell r="N2731"/>
          <cell r="O2731"/>
        </row>
        <row r="2732">
          <cell r="A2732" t="str">
            <v>498-FU COMEDOR NIÑOS DE BENDICION</v>
          </cell>
          <cell r="B2732"/>
          <cell r="C2732"/>
          <cell r="D2732"/>
          <cell r="E2732">
            <v>4</v>
          </cell>
          <cell r="F2732"/>
          <cell r="G2732"/>
          <cell r="H2732"/>
          <cell r="I2732"/>
          <cell r="J2732"/>
          <cell r="K2732"/>
          <cell r="L2732"/>
          <cell r="M2732"/>
          <cell r="N2732"/>
          <cell r="O2732"/>
        </row>
        <row r="2733">
          <cell r="A2733" t="str">
            <v>288 IG MINISTERIO EVANGELISTICO DE SANACION Y RESTAURACION, SENALES, MILAGROS Y MARAVILLAS (ESTE)</v>
          </cell>
          <cell r="B2733"/>
          <cell r="C2733"/>
          <cell r="D2733">
            <v>12</v>
          </cell>
          <cell r="E2733"/>
          <cell r="F2733"/>
          <cell r="G2733"/>
          <cell r="H2733"/>
          <cell r="I2733"/>
          <cell r="J2733"/>
          <cell r="K2733"/>
          <cell r="L2733"/>
          <cell r="M2733"/>
          <cell r="N2733"/>
          <cell r="O2733"/>
        </row>
        <row r="2734">
          <cell r="A2734" t="str">
            <v>373-FU MINISTERIO INTERNACIONAL BOANERGES</v>
          </cell>
          <cell r="B2734"/>
          <cell r="C2734"/>
          <cell r="D2734"/>
          <cell r="E2734"/>
          <cell r="F2734"/>
          <cell r="G2734"/>
          <cell r="H2734"/>
          <cell r="I2734">
            <v>4</v>
          </cell>
          <cell r="J2734"/>
          <cell r="K2734"/>
          <cell r="L2734"/>
          <cell r="M2734"/>
          <cell r="N2734"/>
          <cell r="O2734"/>
        </row>
        <row r="2735">
          <cell r="A2735" t="str">
            <v>197 FU FUNDACION SOCIAL CULTURAL Y AMBIENTAL DE VERACRUZ (OESTE)</v>
          </cell>
          <cell r="B2735"/>
          <cell r="C2735"/>
          <cell r="D2735"/>
          <cell r="E2735">
            <v>15</v>
          </cell>
          <cell r="F2735"/>
          <cell r="G2735"/>
          <cell r="H2735"/>
          <cell r="I2735"/>
          <cell r="J2735"/>
          <cell r="K2735"/>
          <cell r="L2735"/>
          <cell r="M2735"/>
          <cell r="N2735"/>
          <cell r="O2735"/>
        </row>
        <row r="2736">
          <cell r="A2736" t="str">
            <v>183 ED - BELÉN CASA DE PAN (ESTE)</v>
          </cell>
          <cell r="B2736"/>
          <cell r="C2736"/>
          <cell r="D2736">
            <v>5</v>
          </cell>
          <cell r="E2736"/>
          <cell r="F2736"/>
          <cell r="G2736"/>
          <cell r="H2736"/>
          <cell r="I2736"/>
          <cell r="J2736"/>
          <cell r="K2736"/>
          <cell r="L2736"/>
          <cell r="M2736"/>
          <cell r="N2736"/>
          <cell r="O2736"/>
        </row>
        <row r="2737">
          <cell r="A2737" t="str">
            <v>431-IG IGLESIA ADVENTISTA DISTRITO 8</v>
          </cell>
          <cell r="B2737"/>
          <cell r="C2737"/>
          <cell r="D2737">
            <v>5</v>
          </cell>
          <cell r="E2737"/>
          <cell r="F2737"/>
          <cell r="G2737"/>
          <cell r="H2737"/>
          <cell r="I2737"/>
          <cell r="J2737"/>
          <cell r="K2737"/>
          <cell r="L2737"/>
          <cell r="M2737"/>
          <cell r="N2737"/>
          <cell r="O2737"/>
        </row>
        <row r="2738">
          <cell r="A2738" t="str">
            <v>643 - IG TEMPLO PUERTA DEL CIELO (CHIRIQUI)</v>
          </cell>
          <cell r="B2738"/>
          <cell r="C2738"/>
          <cell r="D2738"/>
          <cell r="E2738"/>
          <cell r="F2738"/>
          <cell r="G2738"/>
          <cell r="H2738"/>
          <cell r="I2738"/>
          <cell r="J2738">
            <v>3</v>
          </cell>
          <cell r="K2738"/>
          <cell r="L2738"/>
          <cell r="M2738"/>
          <cell r="N2738"/>
          <cell r="O2738"/>
        </row>
        <row r="2739">
          <cell r="A2739" t="str">
            <v>368-FU MINISTERIO PACTO DE SANTIDAD</v>
          </cell>
          <cell r="B2739"/>
          <cell r="C2739">
            <v>15</v>
          </cell>
          <cell r="D2739"/>
          <cell r="E2739"/>
          <cell r="F2739"/>
          <cell r="G2739"/>
          <cell r="H2739"/>
          <cell r="I2739"/>
          <cell r="J2739"/>
          <cell r="K2739"/>
          <cell r="L2739"/>
          <cell r="M2739"/>
          <cell r="N2739"/>
          <cell r="O2739"/>
        </row>
        <row r="2740">
          <cell r="A2740" t="str">
            <v>654 - IG M.I.A.F NUEVA JERUSALEN PANAMA (ESTE)</v>
          </cell>
          <cell r="B2740"/>
          <cell r="C2740"/>
          <cell r="D2740">
            <v>4</v>
          </cell>
          <cell r="E2740"/>
          <cell r="F2740"/>
          <cell r="G2740"/>
          <cell r="H2740"/>
          <cell r="I2740"/>
          <cell r="J2740"/>
          <cell r="K2740"/>
          <cell r="L2740"/>
          <cell r="M2740"/>
          <cell r="N2740"/>
          <cell r="O2740"/>
        </row>
        <row r="2741">
          <cell r="A2741" t="str">
            <v>487-FU FUNDACION CASA AVE MARIA</v>
          </cell>
          <cell r="B2741"/>
          <cell r="C2741"/>
          <cell r="D2741"/>
          <cell r="E2741">
            <v>6</v>
          </cell>
          <cell r="F2741"/>
          <cell r="G2741"/>
          <cell r="H2741"/>
          <cell r="I2741"/>
          <cell r="J2741"/>
          <cell r="K2741"/>
          <cell r="L2741"/>
          <cell r="M2741"/>
          <cell r="N2741"/>
          <cell r="O2741"/>
        </row>
        <row r="2742">
          <cell r="A2742" t="str">
            <v>696 - FU MINISTERIO BERAKHAH INTERNACIONAL CHEPO #1</v>
          </cell>
          <cell r="B2742"/>
          <cell r="C2742"/>
          <cell r="D2742">
            <v>4.5</v>
          </cell>
          <cell r="E2742"/>
          <cell r="F2742"/>
          <cell r="G2742"/>
          <cell r="H2742"/>
          <cell r="I2742"/>
          <cell r="J2742"/>
          <cell r="K2742"/>
          <cell r="L2742"/>
          <cell r="M2742"/>
          <cell r="N2742"/>
          <cell r="O2742"/>
        </row>
        <row r="2743">
          <cell r="A2743" t="str">
            <v>222 ED - MISERICORDIAR</v>
          </cell>
          <cell r="B2743"/>
          <cell r="C2743"/>
          <cell r="D2743">
            <v>26</v>
          </cell>
          <cell r="E2743"/>
          <cell r="F2743"/>
          <cell r="G2743"/>
          <cell r="H2743"/>
          <cell r="I2743"/>
          <cell r="J2743"/>
          <cell r="K2743"/>
          <cell r="L2743"/>
          <cell r="M2743"/>
          <cell r="N2743"/>
          <cell r="O2743"/>
        </row>
        <row r="2744">
          <cell r="A2744" t="str">
            <v>259 IG - ALCANCE VICTORIA PANAMÁ</v>
          </cell>
          <cell r="B2744"/>
          <cell r="C2744">
            <v>15</v>
          </cell>
          <cell r="D2744"/>
          <cell r="E2744"/>
          <cell r="F2744"/>
          <cell r="G2744"/>
          <cell r="H2744"/>
          <cell r="I2744"/>
          <cell r="J2744"/>
          <cell r="K2744"/>
          <cell r="L2744"/>
          <cell r="M2744"/>
          <cell r="N2744"/>
          <cell r="O2744"/>
        </row>
        <row r="2745">
          <cell r="A2745" t="str">
            <v>379-FU Fundacion Ministerio Apostolico Manantial de Vida</v>
          </cell>
          <cell r="B2745"/>
          <cell r="C2745"/>
          <cell r="D2745"/>
          <cell r="E2745"/>
          <cell r="F2745"/>
          <cell r="G2745"/>
          <cell r="H2745">
            <v>15.5</v>
          </cell>
          <cell r="I2745"/>
          <cell r="J2745"/>
          <cell r="K2745"/>
          <cell r="L2745"/>
          <cell r="M2745"/>
          <cell r="N2745"/>
          <cell r="O2745"/>
        </row>
        <row r="2746">
          <cell r="A2746" t="str">
            <v>644 - IG TEMPLO SENDA DE VIDA (CHIRIQUÍ)</v>
          </cell>
          <cell r="B2746"/>
          <cell r="C2746"/>
          <cell r="D2746"/>
          <cell r="E2746"/>
          <cell r="F2746"/>
          <cell r="G2746"/>
          <cell r="H2746"/>
          <cell r="I2746"/>
          <cell r="J2746">
            <v>12</v>
          </cell>
          <cell r="K2746"/>
          <cell r="L2746"/>
          <cell r="M2746"/>
          <cell r="N2746"/>
          <cell r="O2746"/>
        </row>
        <row r="2747">
          <cell r="A2747" t="str">
            <v>387-AS Asociacion ODSSAR-OBC</v>
          </cell>
          <cell r="B2747"/>
          <cell r="C2747"/>
          <cell r="D2747">
            <v>5</v>
          </cell>
          <cell r="E2747"/>
          <cell r="F2747"/>
          <cell r="G2747"/>
          <cell r="H2747"/>
          <cell r="I2747"/>
          <cell r="J2747"/>
          <cell r="K2747"/>
          <cell r="L2747"/>
          <cell r="M2747"/>
          <cell r="N2747"/>
          <cell r="O2747"/>
        </row>
        <row r="2748">
          <cell r="A2748" t="str">
            <v>300 ED - BENEFICIARIOS</v>
          </cell>
          <cell r="B2748"/>
          <cell r="C2748"/>
          <cell r="D2748">
            <v>2</v>
          </cell>
          <cell r="E2748"/>
          <cell r="F2748"/>
          <cell r="G2748"/>
          <cell r="H2748"/>
          <cell r="I2748"/>
          <cell r="J2748"/>
          <cell r="K2748"/>
          <cell r="L2748"/>
          <cell r="M2748"/>
          <cell r="N2748"/>
          <cell r="O2748"/>
        </row>
        <row r="2749">
          <cell r="A2749" t="str">
            <v>657 - FU CENTRO COMUNITARIO MONTAÑAS DE ESPERANZA (RETIRO EN EL BAP)</v>
          </cell>
          <cell r="B2749"/>
          <cell r="C2749"/>
          <cell r="D2749">
            <v>8</v>
          </cell>
          <cell r="E2749"/>
          <cell r="F2749"/>
          <cell r="G2749"/>
          <cell r="H2749"/>
          <cell r="I2749"/>
          <cell r="J2749"/>
          <cell r="K2749"/>
          <cell r="L2749"/>
          <cell r="M2749"/>
          <cell r="N2749"/>
          <cell r="O2749"/>
        </row>
        <row r="2750">
          <cell r="A2750" t="str">
            <v>630-IG MIN.INTL.DE CRISTO PAZ DE DIOS</v>
          </cell>
          <cell r="B2750"/>
          <cell r="C2750">
            <v>81.5</v>
          </cell>
          <cell r="D2750"/>
          <cell r="E2750"/>
          <cell r="F2750"/>
          <cell r="G2750"/>
          <cell r="H2750"/>
          <cell r="I2750"/>
          <cell r="J2750"/>
          <cell r="K2750"/>
          <cell r="L2750"/>
          <cell r="M2750"/>
          <cell r="N2750"/>
          <cell r="O2750"/>
        </row>
        <row r="2751">
          <cell r="A2751" t="str">
            <v>397-FU FUNDACION SHALOM PANAMA</v>
          </cell>
          <cell r="B2751"/>
          <cell r="C2751"/>
          <cell r="D2751"/>
          <cell r="E2751">
            <v>13</v>
          </cell>
          <cell r="F2751"/>
          <cell r="G2751"/>
          <cell r="H2751"/>
          <cell r="I2751"/>
          <cell r="J2751"/>
          <cell r="K2751"/>
          <cell r="L2751"/>
          <cell r="M2751"/>
          <cell r="N2751"/>
          <cell r="O2751"/>
        </row>
        <row r="2752">
          <cell r="A2752" t="str">
            <v>697 - FU MINISTERIO BERAKHAH INTERNACIONAL CHEPO #2</v>
          </cell>
          <cell r="B2752"/>
          <cell r="C2752"/>
          <cell r="D2752">
            <v>2.5</v>
          </cell>
          <cell r="E2752"/>
          <cell r="F2752"/>
          <cell r="G2752"/>
          <cell r="H2752"/>
          <cell r="I2752"/>
          <cell r="J2752"/>
          <cell r="K2752"/>
          <cell r="L2752"/>
          <cell r="M2752"/>
          <cell r="N2752"/>
          <cell r="O2752"/>
        </row>
        <row r="2753">
          <cell r="A2753" t="str">
            <v>195 ED - JUNTOS PODEMOS</v>
          </cell>
          <cell r="B2753"/>
          <cell r="C2753">
            <v>5</v>
          </cell>
          <cell r="D2753"/>
          <cell r="E2753"/>
          <cell r="F2753"/>
          <cell r="G2753"/>
          <cell r="H2753"/>
          <cell r="I2753"/>
          <cell r="J2753"/>
          <cell r="K2753"/>
          <cell r="L2753"/>
          <cell r="M2753"/>
          <cell r="N2753"/>
          <cell r="O2753"/>
        </row>
        <row r="2754">
          <cell r="A2754" t="str">
            <v>709 - FU FUNRECRISTO</v>
          </cell>
          <cell r="B2754"/>
          <cell r="C2754"/>
          <cell r="D2754">
            <v>3</v>
          </cell>
          <cell r="E2754"/>
          <cell r="F2754"/>
          <cell r="G2754"/>
          <cell r="H2754"/>
          <cell r="I2754"/>
          <cell r="J2754"/>
          <cell r="K2754"/>
          <cell r="L2754"/>
          <cell r="M2754"/>
          <cell r="N2754"/>
          <cell r="O2754"/>
        </row>
        <row r="2755">
          <cell r="A2755" t="str">
            <v>450-FU MINISTERIO DE RESTAURACION EFESIOS 4 (ESTE)</v>
          </cell>
          <cell r="B2755"/>
          <cell r="C2755"/>
          <cell r="D2755">
            <v>12</v>
          </cell>
          <cell r="E2755"/>
          <cell r="F2755"/>
          <cell r="G2755"/>
          <cell r="H2755"/>
          <cell r="I2755"/>
          <cell r="J2755"/>
          <cell r="K2755"/>
          <cell r="L2755"/>
          <cell r="M2755"/>
          <cell r="N2755"/>
          <cell r="O2755"/>
        </row>
        <row r="2756">
          <cell r="A2756" t="str">
            <v>235 FU - FUNDACION GRUPO ENVIADOS</v>
          </cell>
          <cell r="B2756"/>
          <cell r="C2756"/>
          <cell r="D2756">
            <v>11</v>
          </cell>
          <cell r="E2756"/>
          <cell r="F2756"/>
          <cell r="G2756"/>
          <cell r="H2756"/>
          <cell r="I2756"/>
          <cell r="J2756"/>
          <cell r="K2756"/>
          <cell r="L2756"/>
          <cell r="M2756"/>
          <cell r="N2756"/>
          <cell r="O2756"/>
        </row>
        <row r="2757">
          <cell r="A2757" t="str">
            <v>380-ED COMEDOR COMUNITARIO CASA DEL ALFARERO</v>
          </cell>
          <cell r="B2757"/>
          <cell r="C2757"/>
          <cell r="D2757">
            <v>4</v>
          </cell>
          <cell r="E2757"/>
          <cell r="F2757"/>
          <cell r="G2757"/>
          <cell r="H2757"/>
          <cell r="I2757"/>
          <cell r="J2757"/>
          <cell r="K2757"/>
          <cell r="L2757"/>
          <cell r="M2757"/>
          <cell r="N2757"/>
          <cell r="O2757"/>
        </row>
        <row r="2758">
          <cell r="A2758" t="str">
            <v>202 FU - FUNDACIÓN HOGAR SAN JOSÉ (ESTE)</v>
          </cell>
          <cell r="B2758"/>
          <cell r="C2758"/>
          <cell r="D2758">
            <v>5</v>
          </cell>
          <cell r="E2758"/>
          <cell r="F2758"/>
          <cell r="G2758"/>
          <cell r="H2758"/>
          <cell r="I2758"/>
          <cell r="J2758"/>
          <cell r="K2758"/>
          <cell r="L2758"/>
          <cell r="M2758"/>
          <cell r="N2758"/>
          <cell r="O2758"/>
        </row>
        <row r="2759">
          <cell r="A2759" t="str">
            <v>417-AS CLUB DE LEONES DE PEDREGAL (ESTE)</v>
          </cell>
          <cell r="B2759"/>
          <cell r="C2759"/>
          <cell r="D2759">
            <v>13</v>
          </cell>
          <cell r="E2759"/>
          <cell r="F2759"/>
          <cell r="G2759"/>
          <cell r="H2759"/>
          <cell r="I2759"/>
          <cell r="J2759"/>
          <cell r="K2759"/>
          <cell r="L2759"/>
          <cell r="M2759"/>
          <cell r="N2759"/>
          <cell r="O2759"/>
        </row>
        <row r="2760">
          <cell r="A2760" t="str">
            <v>252 IG - MINISTERIO INTERNACIONAL DE AMISTADES CRISTIANAS</v>
          </cell>
          <cell r="B2760"/>
          <cell r="C2760"/>
          <cell r="D2760">
            <v>4</v>
          </cell>
          <cell r="E2760"/>
          <cell r="F2760"/>
          <cell r="G2760"/>
          <cell r="H2760"/>
          <cell r="I2760"/>
          <cell r="J2760"/>
          <cell r="K2760"/>
          <cell r="L2760"/>
          <cell r="M2760"/>
          <cell r="N2760"/>
          <cell r="O2760"/>
        </row>
        <row r="2761">
          <cell r="A2761" t="str">
            <v>339-AS ASOCIACION RESIDENCIA LISBETH</v>
          </cell>
          <cell r="B2761"/>
          <cell r="C2761"/>
          <cell r="D2761">
            <v>11</v>
          </cell>
          <cell r="E2761"/>
          <cell r="F2761"/>
          <cell r="G2761"/>
          <cell r="H2761"/>
          <cell r="I2761"/>
          <cell r="J2761"/>
          <cell r="K2761"/>
          <cell r="L2761"/>
          <cell r="M2761"/>
          <cell r="N2761"/>
          <cell r="O2761"/>
        </row>
        <row r="2762">
          <cell r="A2762" t="str">
            <v>144 OR - HERMANAS DE SAN JOSÉ DE LA APARICIÓN (RETIRA EN EL BANCO)</v>
          </cell>
          <cell r="B2762"/>
          <cell r="C2762"/>
          <cell r="D2762">
            <v>14</v>
          </cell>
          <cell r="E2762"/>
          <cell r="F2762"/>
          <cell r="G2762"/>
          <cell r="H2762"/>
          <cell r="I2762"/>
          <cell r="J2762"/>
          <cell r="K2762"/>
          <cell r="L2762"/>
          <cell r="M2762"/>
          <cell r="N2762"/>
          <cell r="O2762"/>
        </row>
        <row r="2763">
          <cell r="A2763" t="str">
            <v>270 FU - FUNDACIÓN MISERICORDIA DE DON BOSCO (OESTE)</v>
          </cell>
          <cell r="B2763"/>
          <cell r="C2763"/>
          <cell r="D2763"/>
          <cell r="E2763">
            <v>3</v>
          </cell>
          <cell r="F2763"/>
          <cell r="G2763"/>
          <cell r="H2763"/>
          <cell r="I2763"/>
          <cell r="J2763"/>
          <cell r="K2763"/>
          <cell r="L2763"/>
          <cell r="M2763"/>
          <cell r="N2763"/>
          <cell r="O2763"/>
        </row>
        <row r="2764">
          <cell r="A2764" t="str">
            <v>274 IG - AMIGOS DE JESÚS (CENTRO1)</v>
          </cell>
          <cell r="B2764"/>
          <cell r="C2764"/>
          <cell r="D2764">
            <v>8</v>
          </cell>
          <cell r="E2764"/>
          <cell r="F2764"/>
          <cell r="G2764"/>
          <cell r="H2764"/>
          <cell r="I2764"/>
          <cell r="J2764"/>
          <cell r="K2764"/>
          <cell r="L2764"/>
          <cell r="M2764"/>
          <cell r="N2764"/>
          <cell r="O2764"/>
        </row>
        <row r="2765">
          <cell r="A2765" t="str">
            <v>698 - FU MINISTERIO BERAKHAH INTERNACIONAL PASO BLANCO</v>
          </cell>
          <cell r="B2765"/>
          <cell r="C2765"/>
          <cell r="D2765">
            <v>18.5</v>
          </cell>
          <cell r="E2765"/>
          <cell r="F2765"/>
          <cell r="G2765"/>
          <cell r="H2765"/>
          <cell r="I2765"/>
          <cell r="J2765"/>
          <cell r="K2765"/>
          <cell r="L2765"/>
          <cell r="M2765"/>
          <cell r="N2765"/>
          <cell r="O2765"/>
        </row>
        <row r="2766">
          <cell r="A2766" t="str">
            <v>377-FU CENTRO CRISTIANO CASA DE DIOS PANAMA</v>
          </cell>
          <cell r="B2766"/>
          <cell r="C2766"/>
          <cell r="D2766"/>
          <cell r="E2766"/>
          <cell r="F2766"/>
          <cell r="G2766">
            <v>7</v>
          </cell>
          <cell r="H2766"/>
          <cell r="I2766"/>
          <cell r="J2766"/>
          <cell r="K2766"/>
          <cell r="L2766"/>
          <cell r="M2766"/>
          <cell r="N2766"/>
          <cell r="O2766"/>
        </row>
        <row r="2767">
          <cell r="A2767" t="str">
            <v>656 - FU FUNDACION COCINA DEL REINO Y AMIGOS (CENTRO 1)</v>
          </cell>
          <cell r="B2767"/>
          <cell r="C2767">
            <v>10</v>
          </cell>
          <cell r="D2767"/>
          <cell r="E2767"/>
          <cell r="F2767"/>
          <cell r="G2767"/>
          <cell r="H2767"/>
          <cell r="I2767"/>
          <cell r="J2767"/>
          <cell r="K2767"/>
          <cell r="L2767"/>
          <cell r="M2767"/>
          <cell r="N2767"/>
          <cell r="O2767"/>
        </row>
        <row r="2768">
          <cell r="A2768" t="str">
            <v>595-FU CENTRO DE LA MUJER Y LA NIÑEZ</v>
          </cell>
          <cell r="B2768"/>
          <cell r="C2768">
            <v>8</v>
          </cell>
          <cell r="D2768"/>
          <cell r="E2768"/>
          <cell r="F2768"/>
          <cell r="G2768"/>
          <cell r="H2768"/>
          <cell r="I2768"/>
          <cell r="J2768"/>
          <cell r="K2768"/>
          <cell r="L2768"/>
          <cell r="M2768"/>
          <cell r="N2768"/>
          <cell r="O2768"/>
        </row>
        <row r="2769">
          <cell r="A2769" t="str">
            <v>118 FU - FUNDACIÓN UN NUEVO AMANECER</v>
          </cell>
          <cell r="B2769"/>
          <cell r="C2769"/>
          <cell r="D2769"/>
          <cell r="E2769">
            <v>7.5</v>
          </cell>
          <cell r="F2769"/>
          <cell r="G2769"/>
          <cell r="H2769"/>
          <cell r="I2769"/>
          <cell r="J2769"/>
          <cell r="K2769"/>
          <cell r="L2769"/>
          <cell r="M2769"/>
          <cell r="N2769"/>
          <cell r="O2769"/>
        </row>
        <row r="2770">
          <cell r="A2770" t="str">
            <v>360-IG IGLESIA CRISTIANA CASA DE REUNION</v>
          </cell>
          <cell r="B2770"/>
          <cell r="C2770"/>
          <cell r="D2770"/>
          <cell r="E2770"/>
          <cell r="F2770"/>
          <cell r="G2770">
            <v>7.5</v>
          </cell>
          <cell r="H2770"/>
          <cell r="I2770"/>
          <cell r="J2770"/>
          <cell r="K2770"/>
          <cell r="L2770"/>
          <cell r="M2770"/>
          <cell r="N2770"/>
          <cell r="O2770"/>
        </row>
        <row r="2771">
          <cell r="A2771" t="str">
            <v>719 FU FUNDACION VIDA NUEVA EL SHADDAI</v>
          </cell>
          <cell r="B2771"/>
          <cell r="C2771"/>
          <cell r="D2771"/>
          <cell r="E2771"/>
          <cell r="F2771"/>
          <cell r="G2771">
            <v>4</v>
          </cell>
          <cell r="H2771"/>
          <cell r="I2771"/>
          <cell r="J2771"/>
          <cell r="K2771"/>
          <cell r="L2771"/>
          <cell r="M2771"/>
          <cell r="N2771"/>
          <cell r="O2771"/>
        </row>
        <row r="2772">
          <cell r="A2772" t="str">
            <v>684 - FU FUNDACION CASA DEL REY JESUS (CENTRO 2)</v>
          </cell>
          <cell r="B2772"/>
          <cell r="C2772">
            <v>186</v>
          </cell>
          <cell r="D2772"/>
          <cell r="E2772"/>
          <cell r="F2772"/>
          <cell r="G2772"/>
          <cell r="H2772"/>
          <cell r="I2772"/>
          <cell r="J2772"/>
          <cell r="K2772"/>
          <cell r="L2772"/>
          <cell r="M2772"/>
          <cell r="N2772"/>
          <cell r="O2772"/>
        </row>
        <row r="2773">
          <cell r="A2773" t="str">
            <v>723 ASOCIACION AQUI ESTOY</v>
          </cell>
          <cell r="B2773"/>
          <cell r="C2773"/>
          <cell r="D2773"/>
          <cell r="E2773">
            <v>2</v>
          </cell>
          <cell r="F2773"/>
          <cell r="G2773"/>
          <cell r="H2773"/>
          <cell r="I2773"/>
          <cell r="J2773"/>
          <cell r="K2773"/>
          <cell r="L2773"/>
          <cell r="M2773"/>
          <cell r="N2773"/>
          <cell r="O2773"/>
        </row>
        <row r="2774">
          <cell r="A2774" t="str">
            <v>229 PA - PARROQUIA SAN CRISTOBAL DE CHEPO</v>
          </cell>
          <cell r="B2774"/>
          <cell r="C2774"/>
          <cell r="D2774">
            <v>15</v>
          </cell>
          <cell r="E2774"/>
          <cell r="F2774"/>
          <cell r="G2774"/>
          <cell r="H2774"/>
          <cell r="I2774"/>
          <cell r="J2774"/>
          <cell r="K2774"/>
          <cell r="L2774"/>
          <cell r="M2774"/>
          <cell r="N2774"/>
          <cell r="O2774"/>
        </row>
        <row r="2775">
          <cell r="A2775" t="str">
            <v>166 FU - FUNDACION CURAME</v>
          </cell>
          <cell r="B2775"/>
          <cell r="C2775">
            <v>2</v>
          </cell>
          <cell r="D2775"/>
          <cell r="E2775"/>
          <cell r="F2775"/>
          <cell r="G2775"/>
          <cell r="H2775"/>
          <cell r="I2775"/>
          <cell r="J2775"/>
          <cell r="K2775"/>
          <cell r="L2775"/>
          <cell r="M2775"/>
          <cell r="N2775"/>
          <cell r="O2775"/>
        </row>
        <row r="2776">
          <cell r="A2776" t="str">
            <v>736-IG JESUS HACE MILAGROS</v>
          </cell>
          <cell r="B2776"/>
          <cell r="C2776"/>
          <cell r="D2776"/>
          <cell r="E2776"/>
          <cell r="F2776"/>
          <cell r="G2776"/>
          <cell r="H2776"/>
          <cell r="I2776"/>
          <cell r="J2776">
            <v>3</v>
          </cell>
          <cell r="K2776"/>
          <cell r="L2776"/>
          <cell r="M2776"/>
          <cell r="N2776"/>
          <cell r="O2776"/>
        </row>
        <row r="2777">
          <cell r="A2777" t="str">
            <v>215 IG - IGLESIA INTERNACIONAL DEL EVANGELIO CUADRANGULAR DE (CHIRIQUÍ)</v>
          </cell>
          <cell r="B2777"/>
          <cell r="C2777"/>
          <cell r="D2777"/>
          <cell r="E2777"/>
          <cell r="F2777"/>
          <cell r="G2777"/>
          <cell r="H2777"/>
          <cell r="I2777"/>
          <cell r="J2777">
            <v>12</v>
          </cell>
          <cell r="K2777"/>
          <cell r="L2777"/>
          <cell r="M2777"/>
          <cell r="N2777"/>
          <cell r="O2777"/>
        </row>
        <row r="2778">
          <cell r="A2778" t="str">
            <v>737- ASOCIACION CRISTIANA EBEN-EZER (ESTE)</v>
          </cell>
          <cell r="B2778"/>
          <cell r="C2778"/>
          <cell r="D2778">
            <v>12</v>
          </cell>
          <cell r="E2778"/>
          <cell r="F2778"/>
          <cell r="G2778"/>
          <cell r="H2778"/>
          <cell r="I2778"/>
          <cell r="J2778"/>
          <cell r="K2778"/>
          <cell r="L2778"/>
          <cell r="M2778"/>
          <cell r="N2778"/>
          <cell r="O2778"/>
        </row>
        <row r="2779">
          <cell r="A2779" t="str">
            <v>738- IG MINISTERIO DIOS CON NOSOTROS EMANUEL</v>
          </cell>
          <cell r="B2779"/>
          <cell r="C2779"/>
          <cell r="D2779">
            <v>2</v>
          </cell>
          <cell r="E2779"/>
          <cell r="F2779"/>
          <cell r="G2779"/>
          <cell r="H2779"/>
          <cell r="I2779"/>
          <cell r="J2779"/>
          <cell r="K2779"/>
          <cell r="L2779"/>
          <cell r="M2779"/>
          <cell r="N2779"/>
          <cell r="O2779"/>
        </row>
        <row r="2780">
          <cell r="A2780" t="str">
            <v>743- ED CLUB FAMILIA DEPORTIVA</v>
          </cell>
          <cell r="B2780"/>
          <cell r="C2780">
            <v>6</v>
          </cell>
          <cell r="D2780"/>
          <cell r="E2780"/>
          <cell r="F2780"/>
          <cell r="G2780"/>
          <cell r="H2780"/>
          <cell r="I2780"/>
          <cell r="J2780"/>
          <cell r="K2780"/>
          <cell r="L2780"/>
          <cell r="M2780"/>
          <cell r="N2780"/>
          <cell r="O2780"/>
        </row>
        <row r="2781">
          <cell r="A2781" t="str">
            <v>733-IG LA ORACION FUERTE AL ESPIRITU SANTO</v>
          </cell>
          <cell r="B2781"/>
          <cell r="C2781">
            <v>9</v>
          </cell>
          <cell r="D2781"/>
          <cell r="E2781"/>
          <cell r="F2781"/>
          <cell r="G2781"/>
          <cell r="H2781"/>
          <cell r="I2781"/>
          <cell r="J2781"/>
          <cell r="K2781"/>
          <cell r="L2781"/>
          <cell r="M2781"/>
          <cell r="N2781"/>
          <cell r="O2781"/>
        </row>
        <row r="2782">
          <cell r="A2782" t="str">
            <v>281-FU FUNDACIÓN CAMBIO CREATIVO</v>
          </cell>
          <cell r="B2782"/>
          <cell r="C2782"/>
          <cell r="D2782"/>
          <cell r="E2782"/>
          <cell r="F2782"/>
          <cell r="G2782"/>
          <cell r="H2782">
            <v>6</v>
          </cell>
          <cell r="I2782"/>
          <cell r="J2782"/>
          <cell r="K2782"/>
          <cell r="L2782"/>
          <cell r="M2782"/>
          <cell r="N2782"/>
          <cell r="O2782"/>
        </row>
        <row r="2783">
          <cell r="A2783" t="str">
            <v>275 IG CONCILIO GENERAL DE LAS ASAMBLEAS DE DIOS DE PANAMÁ</v>
          </cell>
          <cell r="B2783"/>
          <cell r="C2783">
            <v>4</v>
          </cell>
          <cell r="D2783"/>
          <cell r="E2783"/>
          <cell r="F2783"/>
          <cell r="G2783"/>
          <cell r="H2783"/>
          <cell r="I2783"/>
          <cell r="J2783"/>
          <cell r="K2783"/>
          <cell r="L2783"/>
          <cell r="M2783"/>
          <cell r="N2783"/>
          <cell r="O2783"/>
        </row>
        <row r="2784">
          <cell r="A2784" t="str">
            <v>752-IG Ministerio Tabernáculo De Santidad Internacional (Chitre)</v>
          </cell>
          <cell r="B2784"/>
          <cell r="C2784"/>
          <cell r="D2784"/>
          <cell r="E2784"/>
          <cell r="F2784"/>
          <cell r="G2784"/>
          <cell r="H2784"/>
          <cell r="I2784"/>
          <cell r="J2784"/>
          <cell r="K2784"/>
          <cell r="L2784">
            <v>3</v>
          </cell>
          <cell r="M2784"/>
          <cell r="N2784"/>
          <cell r="O2784"/>
        </row>
        <row r="2785">
          <cell r="A2785" t="str">
            <v>758-FU RESTAURANDO EL PRIMER AMOR</v>
          </cell>
          <cell r="B2785"/>
          <cell r="C2785"/>
          <cell r="D2785"/>
          <cell r="E2785"/>
          <cell r="F2785"/>
          <cell r="G2785"/>
          <cell r="H2785"/>
          <cell r="I2785">
            <v>1</v>
          </cell>
          <cell r="J2785"/>
          <cell r="K2785"/>
          <cell r="L2785"/>
          <cell r="M2785"/>
          <cell r="N2785"/>
          <cell r="O2785"/>
        </row>
        <row r="2786">
          <cell r="A2786" t="str">
            <v>201 OR - MISIONERAS MADRE LAURA</v>
          </cell>
          <cell r="B2786"/>
          <cell r="C2786">
            <v>2</v>
          </cell>
          <cell r="D2786"/>
          <cell r="E2786"/>
          <cell r="F2786"/>
          <cell r="G2786"/>
          <cell r="H2786"/>
          <cell r="I2786"/>
          <cell r="J2786"/>
          <cell r="K2786"/>
          <cell r="L2786"/>
          <cell r="M2786"/>
          <cell r="N2786"/>
          <cell r="O2786"/>
        </row>
        <row r="2787">
          <cell r="A2787" t="str">
            <v>765-IG EXPANSION MISIONERA RIOS DE AGUA VIVA</v>
          </cell>
          <cell r="B2787"/>
          <cell r="C2787"/>
          <cell r="D2787"/>
          <cell r="E2787"/>
          <cell r="F2787"/>
          <cell r="G2787"/>
          <cell r="H2787"/>
          <cell r="I2787"/>
          <cell r="J2787"/>
          <cell r="K2787"/>
          <cell r="L2787">
            <v>5</v>
          </cell>
          <cell r="M2787"/>
          <cell r="N2787"/>
          <cell r="O2787"/>
        </row>
        <row r="2788">
          <cell r="A2788" t="str">
            <v>766-IG MINISTERIO BET-EL</v>
          </cell>
          <cell r="B2788"/>
          <cell r="C2788"/>
          <cell r="D2788"/>
          <cell r="E2788"/>
          <cell r="F2788"/>
          <cell r="G2788"/>
          <cell r="H2788"/>
          <cell r="I2788"/>
          <cell r="J2788"/>
          <cell r="K2788"/>
          <cell r="L2788"/>
          <cell r="M2788"/>
          <cell r="N2788"/>
          <cell r="O2788">
            <v>6</v>
          </cell>
        </row>
        <row r="2789">
          <cell r="A2789" t="str">
            <v>394-IG IGLESIA ESCUADRONES DEL EJERCITO DE DIOS (CENTRO2)</v>
          </cell>
          <cell r="B2789"/>
          <cell r="C2789">
            <v>11</v>
          </cell>
          <cell r="D2789"/>
          <cell r="E2789"/>
          <cell r="F2789"/>
          <cell r="G2789"/>
          <cell r="H2789"/>
          <cell r="I2789"/>
          <cell r="J2789"/>
          <cell r="K2789"/>
          <cell r="L2789"/>
          <cell r="M2789"/>
          <cell r="N2789"/>
          <cell r="O2789"/>
        </row>
        <row r="2790">
          <cell r="A2790" t="str">
            <v>789-FU Fundación Rescate de Alimentos</v>
          </cell>
          <cell r="B2790"/>
          <cell r="C2790">
            <v>14</v>
          </cell>
          <cell r="D2790"/>
          <cell r="E2790"/>
          <cell r="F2790"/>
          <cell r="G2790"/>
          <cell r="H2790"/>
          <cell r="I2790"/>
          <cell r="J2790"/>
          <cell r="K2790"/>
          <cell r="L2790"/>
          <cell r="M2790"/>
          <cell r="N2790"/>
          <cell r="O2790"/>
        </row>
        <row r="2791">
          <cell r="A2791" t="str">
            <v>793-FU Fundación Príncipes de Jehová</v>
          </cell>
          <cell r="B2791"/>
          <cell r="C2791"/>
          <cell r="D2791"/>
          <cell r="E2791"/>
          <cell r="F2791"/>
          <cell r="G2791"/>
          <cell r="H2791"/>
          <cell r="I2791">
            <v>14</v>
          </cell>
          <cell r="J2791"/>
          <cell r="K2791"/>
          <cell r="L2791"/>
          <cell r="M2791"/>
          <cell r="N2791"/>
          <cell r="O2791"/>
        </row>
        <row r="2792">
          <cell r="A2792" t="str">
            <v>69 FU - FUNDACIÓN VIDA ABUNDANTE</v>
          </cell>
          <cell r="B2792"/>
          <cell r="C2792">
            <v>75</v>
          </cell>
          <cell r="D2792"/>
          <cell r="E2792"/>
          <cell r="F2792"/>
          <cell r="G2792"/>
          <cell r="H2792"/>
          <cell r="I2792"/>
          <cell r="J2792"/>
          <cell r="K2792"/>
          <cell r="L2792"/>
          <cell r="M2792"/>
          <cell r="N2792"/>
          <cell r="O2792"/>
        </row>
        <row r="2793">
          <cell r="A2793" t="str">
            <v>138 OR - HERMANAS FRANCISCANAS DE MARIA INMACULADALA</v>
          </cell>
          <cell r="B2793"/>
          <cell r="C2793"/>
          <cell r="D2793"/>
          <cell r="E2793"/>
          <cell r="F2793"/>
          <cell r="G2793"/>
          <cell r="H2793">
            <v>11</v>
          </cell>
          <cell r="I2793"/>
          <cell r="J2793"/>
          <cell r="K2793"/>
          <cell r="L2793"/>
          <cell r="M2793"/>
          <cell r="N2793"/>
          <cell r="O2793"/>
        </row>
        <row r="2794">
          <cell r="A2794" t="str">
            <v>3 IG - IGLESIA DEL NAZARENO</v>
          </cell>
          <cell r="B2794"/>
          <cell r="C2794"/>
          <cell r="D2794"/>
          <cell r="E2794">
            <v>16</v>
          </cell>
          <cell r="F2794"/>
          <cell r="G2794"/>
          <cell r="H2794"/>
          <cell r="I2794"/>
          <cell r="J2794"/>
          <cell r="K2794"/>
          <cell r="L2794"/>
          <cell r="M2794"/>
          <cell r="N2794"/>
          <cell r="O2794"/>
        </row>
        <row r="2795">
          <cell r="A2795" t="str">
            <v>232 IG MINISTERIO TIEMPO DE COSECHA</v>
          </cell>
          <cell r="B2795"/>
          <cell r="C2795"/>
          <cell r="D2795"/>
          <cell r="E2795"/>
          <cell r="F2795"/>
          <cell r="G2795"/>
          <cell r="H2795"/>
          <cell r="I2795">
            <v>2</v>
          </cell>
          <cell r="J2795"/>
          <cell r="K2795"/>
          <cell r="L2795"/>
          <cell r="M2795"/>
          <cell r="N2795"/>
          <cell r="O2795"/>
        </row>
        <row r="2796">
          <cell r="A2796" t="str">
            <v>253 FU - FUNDACIÓN PARA EL BIENESTAR SOCIAL (CENTRO2)</v>
          </cell>
          <cell r="B2796"/>
          <cell r="C2796">
            <v>18</v>
          </cell>
          <cell r="D2796"/>
          <cell r="E2796"/>
          <cell r="F2796"/>
          <cell r="G2796"/>
          <cell r="H2796"/>
          <cell r="I2796"/>
          <cell r="J2796"/>
          <cell r="K2796"/>
          <cell r="L2796"/>
          <cell r="M2796"/>
          <cell r="N2796"/>
          <cell r="O2796"/>
        </row>
        <row r="2797">
          <cell r="A2797" t="str">
            <v>463-FU MINISTERIO BERAKHAH INTERNACIONAL COMEDOR OASIS DE ESPERANZA (ESTE)</v>
          </cell>
          <cell r="B2797"/>
          <cell r="C2797"/>
          <cell r="D2797">
            <v>15</v>
          </cell>
          <cell r="E2797"/>
          <cell r="F2797"/>
          <cell r="G2797"/>
          <cell r="H2797"/>
          <cell r="I2797"/>
          <cell r="J2797"/>
          <cell r="K2797"/>
          <cell r="L2797"/>
          <cell r="M2797"/>
          <cell r="N2797"/>
          <cell r="O2797"/>
        </row>
        <row r="2798">
          <cell r="A2798" t="str">
            <v>650 - IG ASOCIACION CRISTIANA EBEN - EZER #27 (ESTE)</v>
          </cell>
          <cell r="B2798"/>
          <cell r="C2798"/>
          <cell r="D2798">
            <v>10</v>
          </cell>
          <cell r="E2798"/>
          <cell r="F2798"/>
          <cell r="G2798"/>
          <cell r="H2798"/>
          <cell r="I2798"/>
          <cell r="J2798"/>
          <cell r="K2798"/>
          <cell r="L2798"/>
          <cell r="M2798"/>
          <cell r="N2798"/>
          <cell r="O2798"/>
        </row>
        <row r="2799">
          <cell r="A2799" t="str">
            <v>375-FU Ministerio a Dios sea la Gloria</v>
          </cell>
          <cell r="B2799"/>
          <cell r="C2799">
            <v>5</v>
          </cell>
          <cell r="D2799"/>
          <cell r="E2799"/>
          <cell r="F2799"/>
          <cell r="G2799"/>
          <cell r="H2799"/>
          <cell r="I2799"/>
          <cell r="J2799"/>
          <cell r="K2799"/>
          <cell r="L2799"/>
          <cell r="M2799"/>
          <cell r="N2799"/>
          <cell r="O2799"/>
        </row>
        <row r="2800">
          <cell r="A2800" t="str">
            <v>802-IG IGLESIA INTERNACIONAL DEL EVANGELIO CUADRANGULAR DE PANAMÁ</v>
          </cell>
          <cell r="B2800"/>
          <cell r="C2800">
            <v>5</v>
          </cell>
          <cell r="D2800"/>
          <cell r="E2800"/>
          <cell r="F2800"/>
          <cell r="G2800"/>
          <cell r="H2800"/>
          <cell r="I2800"/>
          <cell r="J2800"/>
          <cell r="K2800"/>
          <cell r="L2800"/>
          <cell r="M2800"/>
          <cell r="N2800"/>
          <cell r="O2800"/>
        </row>
        <row r="2801">
          <cell r="A2801" t="str">
            <v>814-IG Templo Morada Santa</v>
          </cell>
          <cell r="B2801"/>
          <cell r="C2801"/>
          <cell r="D2801"/>
          <cell r="E2801"/>
          <cell r="F2801">
            <v>9</v>
          </cell>
          <cell r="G2801"/>
          <cell r="H2801"/>
          <cell r="I2801"/>
          <cell r="J2801"/>
          <cell r="K2801"/>
          <cell r="L2801"/>
          <cell r="M2801"/>
          <cell r="N2801"/>
          <cell r="O2801"/>
        </row>
        <row r="2802">
          <cell r="A2802" t="str">
            <v>496-AS CUERPO DE VOLUNTARIAS DEL HOSPITAL DEL NIÑO</v>
          </cell>
          <cell r="B2802"/>
          <cell r="C2802">
            <v>80</v>
          </cell>
          <cell r="D2802"/>
          <cell r="E2802"/>
          <cell r="F2802"/>
          <cell r="G2802"/>
          <cell r="H2802"/>
          <cell r="I2802"/>
          <cell r="J2802"/>
          <cell r="K2802"/>
          <cell r="L2802"/>
          <cell r="M2802"/>
          <cell r="N2802"/>
          <cell r="O2802"/>
        </row>
        <row r="2803">
          <cell r="A2803" t="str">
            <v>392-FU Fundacion Jerusalen Trono de Jehova III</v>
          </cell>
          <cell r="B2803"/>
          <cell r="C2803"/>
          <cell r="D2803"/>
          <cell r="E2803">
            <v>5</v>
          </cell>
          <cell r="F2803"/>
          <cell r="G2803"/>
          <cell r="H2803"/>
          <cell r="I2803"/>
          <cell r="J2803"/>
          <cell r="K2803"/>
          <cell r="L2803"/>
          <cell r="M2803"/>
          <cell r="N2803"/>
          <cell r="O2803"/>
        </row>
        <row r="2804">
          <cell r="A2804" t="str">
            <v>641 - IG IGLESIA EVANGELICA QUIRIAT SALEM (ESTE)</v>
          </cell>
          <cell r="B2804"/>
          <cell r="C2804"/>
          <cell r="D2804">
            <v>10</v>
          </cell>
          <cell r="E2804"/>
          <cell r="F2804"/>
          <cell r="G2804"/>
          <cell r="H2804"/>
          <cell r="I2804"/>
          <cell r="J2804"/>
          <cell r="K2804"/>
          <cell r="L2804"/>
          <cell r="M2804"/>
          <cell r="N2804"/>
          <cell r="O2804"/>
        </row>
        <row r="2805">
          <cell r="A2805" t="str">
            <v>471-FU FUNDACION BUSCANDO UNA OPORTUNIDAD</v>
          </cell>
          <cell r="B2805"/>
          <cell r="C2805"/>
          <cell r="D2805"/>
          <cell r="E2805">
            <v>5</v>
          </cell>
          <cell r="F2805"/>
          <cell r="G2805"/>
          <cell r="H2805"/>
          <cell r="I2805"/>
          <cell r="J2805"/>
          <cell r="K2805"/>
          <cell r="L2805"/>
          <cell r="M2805"/>
          <cell r="N2805"/>
          <cell r="O2805"/>
        </row>
        <row r="2806">
          <cell r="A2806" t="str">
            <v>5 AS - ASOCIACIÓN DAME UNA OPORTUNIDAD</v>
          </cell>
          <cell r="B2806"/>
          <cell r="C2806">
            <v>9</v>
          </cell>
          <cell r="D2806"/>
          <cell r="E2806"/>
          <cell r="F2806"/>
          <cell r="G2806"/>
          <cell r="H2806"/>
          <cell r="I2806"/>
          <cell r="J2806"/>
          <cell r="K2806"/>
          <cell r="L2806"/>
          <cell r="M2806"/>
          <cell r="N2806"/>
          <cell r="O2806"/>
        </row>
        <row r="2807">
          <cell r="A2807" t="str">
            <v>708 - FU MINISTERIO BERAKHAH INTERNACIONAL GUARARE</v>
          </cell>
          <cell r="B2807"/>
          <cell r="C2807"/>
          <cell r="D2807"/>
          <cell r="E2807"/>
          <cell r="F2807"/>
          <cell r="G2807"/>
          <cell r="H2807"/>
          <cell r="I2807"/>
          <cell r="J2807"/>
          <cell r="K2807"/>
          <cell r="L2807"/>
          <cell r="M2807"/>
          <cell r="N2807"/>
          <cell r="O2807">
            <v>10</v>
          </cell>
        </row>
        <row r="2808">
          <cell r="A2808" t="str">
            <v>782-FU Fundación Calicanto</v>
          </cell>
          <cell r="B2808"/>
          <cell r="C2808">
            <v>16</v>
          </cell>
          <cell r="D2808"/>
          <cell r="E2808"/>
          <cell r="F2808"/>
          <cell r="G2808"/>
          <cell r="H2808"/>
          <cell r="I2808"/>
          <cell r="J2808"/>
          <cell r="K2808"/>
          <cell r="L2808"/>
          <cell r="M2808"/>
          <cell r="N2808"/>
          <cell r="O2808"/>
        </row>
        <row r="2809">
          <cell r="A2809" t="str">
            <v>FRESCAFHISH, S.A</v>
          </cell>
          <cell r="B2809"/>
          <cell r="C2809">
            <v>8</v>
          </cell>
          <cell r="D2809">
            <v>64</v>
          </cell>
          <cell r="E2809">
            <v>16</v>
          </cell>
          <cell r="F2809"/>
          <cell r="G2809"/>
          <cell r="H2809"/>
          <cell r="I2809">
            <v>16</v>
          </cell>
          <cell r="J2809">
            <v>105</v>
          </cell>
          <cell r="K2809">
            <v>40</v>
          </cell>
          <cell r="L2809">
            <v>20</v>
          </cell>
          <cell r="M2809">
            <v>155</v>
          </cell>
          <cell r="N2809"/>
          <cell r="O2809">
            <v>25</v>
          </cell>
        </row>
        <row r="2810">
          <cell r="A2810" t="str">
            <v>365-IG COMEDOR HEFZIBA</v>
          </cell>
          <cell r="B2810"/>
          <cell r="C2810"/>
          <cell r="D2810"/>
          <cell r="E2810"/>
          <cell r="F2810"/>
          <cell r="G2810"/>
          <cell r="H2810"/>
          <cell r="I2810">
            <v>8</v>
          </cell>
          <cell r="J2810"/>
          <cell r="K2810"/>
          <cell r="L2810"/>
          <cell r="M2810"/>
          <cell r="N2810"/>
          <cell r="O2810"/>
        </row>
        <row r="2811">
          <cell r="A2811" t="str">
            <v>635 TEMPLO ADULAM</v>
          </cell>
          <cell r="B2811"/>
          <cell r="C2811"/>
          <cell r="D2811"/>
          <cell r="E2811">
            <v>8</v>
          </cell>
          <cell r="F2811"/>
          <cell r="G2811"/>
          <cell r="H2811"/>
          <cell r="I2811"/>
          <cell r="J2811"/>
          <cell r="K2811"/>
          <cell r="L2811"/>
          <cell r="M2811"/>
          <cell r="N2811"/>
          <cell r="O2811"/>
        </row>
        <row r="2812">
          <cell r="A2812" t="str">
            <v>218 ED - LOS PREFERIDOS DEL SEÑOR (CENTRO2)</v>
          </cell>
          <cell r="B2812"/>
          <cell r="C2812">
            <v>8</v>
          </cell>
          <cell r="D2812"/>
          <cell r="E2812"/>
          <cell r="F2812"/>
          <cell r="G2812"/>
          <cell r="H2812"/>
          <cell r="I2812"/>
          <cell r="J2812"/>
          <cell r="K2812"/>
          <cell r="L2812"/>
          <cell r="M2812"/>
          <cell r="N2812"/>
          <cell r="O2812"/>
        </row>
        <row r="2813">
          <cell r="A2813" t="str">
            <v>187 IG - IGLESIA DE DIOS DE LA PROFECÍA</v>
          </cell>
          <cell r="B2813"/>
          <cell r="C2813"/>
          <cell r="D2813">
            <v>16</v>
          </cell>
          <cell r="E2813"/>
          <cell r="F2813"/>
          <cell r="G2813"/>
          <cell r="H2813"/>
          <cell r="I2813"/>
          <cell r="J2813"/>
          <cell r="K2813"/>
          <cell r="L2813"/>
          <cell r="M2813"/>
          <cell r="N2813"/>
          <cell r="O2813"/>
        </row>
        <row r="2814">
          <cell r="A2814" t="str">
            <v>197 FU FUNDACION SOCIAL CULTURAL Y AMBIENTAL DE VERACRUZ (OESTE)</v>
          </cell>
          <cell r="B2814"/>
          <cell r="C2814"/>
          <cell r="D2814"/>
          <cell r="E2814">
            <v>8</v>
          </cell>
          <cell r="F2814"/>
          <cell r="G2814"/>
          <cell r="H2814"/>
          <cell r="I2814"/>
          <cell r="J2814"/>
          <cell r="K2814"/>
          <cell r="L2814"/>
          <cell r="M2814"/>
          <cell r="N2814"/>
          <cell r="O2814"/>
        </row>
        <row r="2815">
          <cell r="A2815" t="str">
            <v>431-IG IGLESIA ADVENTISTA DISTRITO 8</v>
          </cell>
          <cell r="B2815"/>
          <cell r="C2815"/>
          <cell r="D2815">
            <v>8</v>
          </cell>
          <cell r="E2815"/>
          <cell r="F2815"/>
          <cell r="G2815"/>
          <cell r="H2815"/>
          <cell r="I2815"/>
          <cell r="J2815"/>
          <cell r="K2815"/>
          <cell r="L2815"/>
          <cell r="M2815"/>
          <cell r="N2815"/>
          <cell r="O2815"/>
        </row>
        <row r="2816">
          <cell r="A2816" t="str">
            <v>643 - IG TEMPLO PUERTA DEL CIELO (CHIRIQUI)</v>
          </cell>
          <cell r="B2816"/>
          <cell r="C2816"/>
          <cell r="D2816"/>
          <cell r="E2816"/>
          <cell r="F2816"/>
          <cell r="G2816"/>
          <cell r="H2816"/>
          <cell r="I2816"/>
          <cell r="J2816">
            <v>25</v>
          </cell>
          <cell r="K2816"/>
          <cell r="L2816"/>
          <cell r="M2816"/>
          <cell r="N2816"/>
          <cell r="O2816"/>
        </row>
        <row r="2817">
          <cell r="A2817" t="str">
            <v>668 - FU FUNDACION CRISTIANA LA FE EN MARCHA</v>
          </cell>
          <cell r="B2817"/>
          <cell r="C2817"/>
          <cell r="D2817"/>
          <cell r="E2817"/>
          <cell r="F2817"/>
          <cell r="G2817"/>
          <cell r="H2817"/>
          <cell r="I2817"/>
          <cell r="J2817">
            <v>15</v>
          </cell>
          <cell r="K2817"/>
          <cell r="L2817"/>
          <cell r="M2817"/>
          <cell r="N2817"/>
          <cell r="O2817"/>
        </row>
        <row r="2818">
          <cell r="A2818" t="str">
            <v>644 - IG TEMPLO SENDA DE VIDA (CHIRIQUÍ)</v>
          </cell>
          <cell r="B2818"/>
          <cell r="C2818"/>
          <cell r="D2818"/>
          <cell r="E2818"/>
          <cell r="F2818"/>
          <cell r="G2818"/>
          <cell r="H2818"/>
          <cell r="I2818"/>
          <cell r="J2818">
            <v>30</v>
          </cell>
          <cell r="K2818"/>
          <cell r="L2818"/>
          <cell r="M2818"/>
          <cell r="N2818"/>
          <cell r="O2818"/>
        </row>
        <row r="2819">
          <cell r="A2819" t="str">
            <v>300 ED - BENEFICIARIOS</v>
          </cell>
          <cell r="B2819"/>
          <cell r="C2819"/>
          <cell r="D2819">
            <v>40</v>
          </cell>
          <cell r="E2819"/>
          <cell r="F2819"/>
          <cell r="G2819"/>
          <cell r="H2819"/>
          <cell r="I2819"/>
          <cell r="J2819"/>
          <cell r="K2819"/>
          <cell r="L2819"/>
          <cell r="M2819"/>
          <cell r="N2819"/>
          <cell r="O2819"/>
        </row>
        <row r="2820">
          <cell r="A2820" t="str">
            <v>263 IG TABERNÁCULO DE DIOS DE SAN MIGUEL DEL EXQUISITO</v>
          </cell>
          <cell r="B2820"/>
          <cell r="C2820"/>
          <cell r="D2820"/>
          <cell r="E2820"/>
          <cell r="F2820"/>
          <cell r="G2820"/>
          <cell r="H2820"/>
          <cell r="I2820"/>
          <cell r="J2820">
            <v>35</v>
          </cell>
          <cell r="K2820"/>
          <cell r="L2820"/>
          <cell r="M2820"/>
          <cell r="N2820"/>
          <cell r="O2820"/>
        </row>
        <row r="2821">
          <cell r="A2821" t="str">
            <v>750-IG MTSI Santiago</v>
          </cell>
          <cell r="B2821"/>
          <cell r="C2821"/>
          <cell r="D2821"/>
          <cell r="E2821"/>
          <cell r="F2821"/>
          <cell r="G2821"/>
          <cell r="H2821"/>
          <cell r="I2821"/>
          <cell r="J2821"/>
          <cell r="K2821"/>
          <cell r="L2821"/>
          <cell r="M2821">
            <v>150</v>
          </cell>
          <cell r="N2821"/>
          <cell r="O2821"/>
        </row>
        <row r="2822">
          <cell r="A2822" t="str">
            <v>613-FU FUNDACION INMARE</v>
          </cell>
          <cell r="B2822"/>
          <cell r="C2822"/>
          <cell r="D2822"/>
          <cell r="E2822"/>
          <cell r="F2822"/>
          <cell r="G2822"/>
          <cell r="H2822"/>
          <cell r="I2822"/>
          <cell r="J2822"/>
          <cell r="K2822">
            <v>40</v>
          </cell>
          <cell r="L2822"/>
          <cell r="M2822"/>
          <cell r="N2822"/>
          <cell r="O2822"/>
        </row>
        <row r="2823">
          <cell r="A2823" t="str">
            <v>766-IG MINISTERIO BET-EL</v>
          </cell>
          <cell r="B2823"/>
          <cell r="C2823"/>
          <cell r="D2823"/>
          <cell r="E2823"/>
          <cell r="F2823"/>
          <cell r="G2823"/>
          <cell r="H2823"/>
          <cell r="I2823"/>
          <cell r="J2823"/>
          <cell r="K2823"/>
          <cell r="L2823"/>
          <cell r="M2823"/>
          <cell r="N2823"/>
          <cell r="O2823">
            <v>20</v>
          </cell>
        </row>
        <row r="2824">
          <cell r="A2824" t="str">
            <v>734-FU MINISTERIO DE SALVACION EL CAMINO DE DIOS</v>
          </cell>
          <cell r="B2824"/>
          <cell r="C2824"/>
          <cell r="D2824"/>
          <cell r="E2824"/>
          <cell r="F2824"/>
          <cell r="G2824"/>
          <cell r="H2824"/>
          <cell r="I2824">
            <v>8</v>
          </cell>
          <cell r="J2824"/>
          <cell r="K2824"/>
          <cell r="L2824"/>
          <cell r="M2824"/>
          <cell r="N2824"/>
          <cell r="O2824"/>
        </row>
        <row r="2825">
          <cell r="A2825" t="str">
            <v>708 - FU MINISTERIO BERAKHAH INTERNACIONAL GUARARE</v>
          </cell>
          <cell r="B2825"/>
          <cell r="C2825"/>
          <cell r="D2825"/>
          <cell r="E2825"/>
          <cell r="F2825"/>
          <cell r="G2825"/>
          <cell r="H2825"/>
          <cell r="I2825"/>
          <cell r="J2825"/>
          <cell r="K2825"/>
          <cell r="L2825"/>
          <cell r="M2825"/>
          <cell r="N2825"/>
          <cell r="O2825">
            <v>5</v>
          </cell>
        </row>
        <row r="2826">
          <cell r="A2826" t="str">
            <v>728-FU ANCEC SANTIAGO</v>
          </cell>
          <cell r="B2826"/>
          <cell r="C2826"/>
          <cell r="D2826"/>
          <cell r="E2826"/>
          <cell r="F2826"/>
          <cell r="G2826"/>
          <cell r="H2826"/>
          <cell r="I2826"/>
          <cell r="J2826"/>
          <cell r="K2826"/>
          <cell r="L2826"/>
          <cell r="M2826">
            <v>5</v>
          </cell>
          <cell r="N2826"/>
          <cell r="O2826"/>
        </row>
        <row r="2827">
          <cell r="A2827" t="str">
            <v>821-IG Ministerio de Adoracion Y Restauracion Guardadores del Pacto</v>
          </cell>
          <cell r="B2827"/>
          <cell r="C2827"/>
          <cell r="D2827"/>
          <cell r="E2827"/>
          <cell r="F2827"/>
          <cell r="G2827"/>
          <cell r="H2827"/>
          <cell r="I2827"/>
          <cell r="J2827"/>
          <cell r="K2827"/>
          <cell r="L2827">
            <v>20</v>
          </cell>
          <cell r="M2827"/>
          <cell r="N2827"/>
          <cell r="O2827"/>
        </row>
        <row r="2828">
          <cell r="A2828" t="str">
            <v>Federación Nacional de Cooperativas Salineras de Panamá (FENCOSPA, R.L.)</v>
          </cell>
          <cell r="B2828"/>
          <cell r="C2828"/>
          <cell r="D2828"/>
          <cell r="E2828"/>
          <cell r="F2828"/>
          <cell r="G2828"/>
          <cell r="H2828"/>
          <cell r="I2828"/>
          <cell r="J2828"/>
          <cell r="K2828"/>
          <cell r="L2828"/>
          <cell r="M2828"/>
          <cell r="N2828"/>
          <cell r="O2828">
            <v>42</v>
          </cell>
        </row>
        <row r="2829">
          <cell r="A2829" t="str">
            <v>766-IG MINISTERIO BET-EL</v>
          </cell>
          <cell r="B2829"/>
          <cell r="C2829"/>
          <cell r="D2829"/>
          <cell r="E2829"/>
          <cell r="F2829"/>
          <cell r="G2829"/>
          <cell r="H2829"/>
          <cell r="I2829"/>
          <cell r="J2829"/>
          <cell r="K2829"/>
          <cell r="L2829"/>
          <cell r="M2829"/>
          <cell r="N2829"/>
          <cell r="O2829">
            <v>42</v>
          </cell>
        </row>
        <row r="2830">
          <cell r="A2830" t="str">
            <v>IMPORTADORA RICAMAR - SUPER 99</v>
          </cell>
          <cell r="B2830"/>
          <cell r="C2830">
            <v>13.5</v>
          </cell>
          <cell r="D2830">
            <v>12</v>
          </cell>
          <cell r="E2830">
            <v>12</v>
          </cell>
          <cell r="F2830">
            <v>3</v>
          </cell>
          <cell r="G2830">
            <v>3</v>
          </cell>
          <cell r="H2830"/>
          <cell r="I2830">
            <v>3</v>
          </cell>
          <cell r="J2830"/>
          <cell r="K2830"/>
          <cell r="L2830"/>
          <cell r="M2830"/>
          <cell r="N2830"/>
          <cell r="O2830"/>
        </row>
        <row r="2831">
          <cell r="A2831" t="str">
            <v>662-IG MINISTERIO EVANGELICO EL APOSENTO ALTO (CENTRO 1)</v>
          </cell>
          <cell r="B2831"/>
          <cell r="C2831">
            <v>1.5</v>
          </cell>
          <cell r="D2831"/>
          <cell r="E2831"/>
          <cell r="F2831"/>
          <cell r="G2831"/>
          <cell r="H2831"/>
          <cell r="I2831"/>
          <cell r="J2831"/>
          <cell r="K2831"/>
          <cell r="L2831"/>
          <cell r="M2831"/>
          <cell r="N2831"/>
          <cell r="O2831"/>
        </row>
        <row r="2832">
          <cell r="A2832" t="str">
            <v>104 AS - ASOCIACIÓN HOGAR FELICIDAD</v>
          </cell>
          <cell r="B2832"/>
          <cell r="C2832"/>
          <cell r="D2832"/>
          <cell r="E2832">
            <v>1.5</v>
          </cell>
          <cell r="F2832"/>
          <cell r="G2832"/>
          <cell r="H2832"/>
          <cell r="I2832"/>
          <cell r="J2832"/>
          <cell r="K2832"/>
          <cell r="L2832"/>
          <cell r="M2832"/>
          <cell r="N2832"/>
          <cell r="O2832"/>
        </row>
        <row r="2833">
          <cell r="A2833" t="str">
            <v>407-IG ASOCIACION CRISTIANA INTERNACIONAL EBEN-EZER (OESTE)</v>
          </cell>
          <cell r="B2833"/>
          <cell r="C2833"/>
          <cell r="D2833"/>
          <cell r="E2833">
            <v>1.5</v>
          </cell>
          <cell r="F2833"/>
          <cell r="G2833"/>
          <cell r="H2833"/>
          <cell r="I2833"/>
          <cell r="J2833"/>
          <cell r="K2833"/>
          <cell r="L2833"/>
          <cell r="M2833"/>
          <cell r="N2833"/>
          <cell r="O2833"/>
        </row>
        <row r="2834">
          <cell r="A2834" t="str">
            <v>694 - FU MINISTERIO BERAKHAH INTERNACIONAL TOCUMEN #2</v>
          </cell>
          <cell r="B2834"/>
          <cell r="C2834"/>
          <cell r="D2834">
            <v>3</v>
          </cell>
          <cell r="E2834"/>
          <cell r="F2834"/>
          <cell r="G2834"/>
          <cell r="H2834"/>
          <cell r="I2834"/>
          <cell r="J2834"/>
          <cell r="K2834"/>
          <cell r="L2834"/>
          <cell r="M2834"/>
          <cell r="N2834"/>
          <cell r="O2834"/>
        </row>
        <row r="2835">
          <cell r="A2835" t="str">
            <v>444-FU MINISTERIO BERAKHAH INTERNACIONAL COMEDOR LAS GARZAS #1</v>
          </cell>
          <cell r="B2835"/>
          <cell r="C2835"/>
          <cell r="D2835">
            <v>1.5</v>
          </cell>
          <cell r="E2835"/>
          <cell r="F2835"/>
          <cell r="G2835"/>
          <cell r="H2835"/>
          <cell r="I2835"/>
          <cell r="J2835"/>
          <cell r="K2835"/>
          <cell r="L2835"/>
          <cell r="M2835"/>
          <cell r="N2835"/>
          <cell r="O2835"/>
        </row>
        <row r="2836">
          <cell r="A2836" t="str">
            <v>288 IG MINISTERIO EVANGELISTICO DE SANACION Y RESTAURACION, SENALES, MILAGROS Y MARAVILLAS (ESTE)</v>
          </cell>
          <cell r="B2836"/>
          <cell r="C2836"/>
          <cell r="D2836">
            <v>1.5</v>
          </cell>
          <cell r="E2836"/>
          <cell r="F2836"/>
          <cell r="G2836"/>
          <cell r="H2836"/>
          <cell r="I2836"/>
          <cell r="J2836"/>
          <cell r="K2836"/>
          <cell r="L2836"/>
          <cell r="M2836"/>
          <cell r="N2836"/>
          <cell r="O2836"/>
        </row>
        <row r="2837">
          <cell r="A2837" t="str">
            <v>373-FU MINISTERIO INTERNACIONAL BOANERGES</v>
          </cell>
          <cell r="B2837"/>
          <cell r="C2837"/>
          <cell r="D2837"/>
          <cell r="E2837"/>
          <cell r="F2837"/>
          <cell r="G2837"/>
          <cell r="H2837"/>
          <cell r="I2837">
            <v>1.5</v>
          </cell>
          <cell r="J2837"/>
          <cell r="K2837"/>
          <cell r="L2837"/>
          <cell r="M2837"/>
          <cell r="N2837"/>
          <cell r="O2837"/>
        </row>
        <row r="2838">
          <cell r="A2838" t="str">
            <v>654 - IG M.I.A.F NUEVA JERUSALEN PANAMA (ESTE)</v>
          </cell>
          <cell r="B2838"/>
          <cell r="C2838"/>
          <cell r="D2838">
            <v>1.5</v>
          </cell>
          <cell r="E2838"/>
          <cell r="F2838"/>
          <cell r="G2838"/>
          <cell r="H2838"/>
          <cell r="I2838"/>
          <cell r="J2838"/>
          <cell r="K2838"/>
          <cell r="L2838"/>
          <cell r="M2838"/>
          <cell r="N2838"/>
          <cell r="O2838"/>
        </row>
        <row r="2839">
          <cell r="A2839" t="str">
            <v>2 PA - PARROQUIA SAN JUAN MARIA VIANNEY (NORTE)</v>
          </cell>
          <cell r="B2839"/>
          <cell r="C2839"/>
          <cell r="D2839"/>
          <cell r="E2839"/>
          <cell r="F2839"/>
          <cell r="G2839"/>
          <cell r="H2839"/>
          <cell r="I2839">
            <v>1.5</v>
          </cell>
          <cell r="J2839"/>
          <cell r="K2839"/>
          <cell r="L2839"/>
          <cell r="M2839"/>
          <cell r="N2839"/>
          <cell r="O2839"/>
        </row>
        <row r="2840">
          <cell r="A2840" t="str">
            <v>472-FU FUNDACION TALITA CUMI</v>
          </cell>
          <cell r="B2840"/>
          <cell r="C2840"/>
          <cell r="D2840">
            <v>1.5</v>
          </cell>
          <cell r="E2840"/>
          <cell r="F2840"/>
          <cell r="G2840"/>
          <cell r="H2840"/>
          <cell r="I2840"/>
          <cell r="J2840"/>
          <cell r="K2840"/>
          <cell r="L2840"/>
          <cell r="M2840"/>
          <cell r="N2840"/>
          <cell r="O2840"/>
        </row>
        <row r="2841">
          <cell r="A2841" t="str">
            <v>259 IG - ALCANCE VICTORIA PANAMÁ</v>
          </cell>
          <cell r="B2841"/>
          <cell r="C2841">
            <v>3</v>
          </cell>
          <cell r="D2841"/>
          <cell r="E2841"/>
          <cell r="F2841"/>
          <cell r="G2841"/>
          <cell r="H2841"/>
          <cell r="I2841"/>
          <cell r="J2841"/>
          <cell r="K2841"/>
          <cell r="L2841"/>
          <cell r="M2841"/>
          <cell r="N2841"/>
          <cell r="O2841"/>
        </row>
        <row r="2842">
          <cell r="A2842" t="str">
            <v>397-FU FUNDACION SHALOM PANAMA</v>
          </cell>
          <cell r="B2842"/>
          <cell r="C2842"/>
          <cell r="D2842"/>
          <cell r="E2842">
            <v>1.5</v>
          </cell>
          <cell r="F2842"/>
          <cell r="G2842"/>
          <cell r="H2842"/>
          <cell r="I2842"/>
          <cell r="J2842"/>
          <cell r="K2842"/>
          <cell r="L2842"/>
          <cell r="M2842"/>
          <cell r="N2842"/>
          <cell r="O2842"/>
        </row>
        <row r="2843">
          <cell r="A2843" t="str">
            <v>339-AS ASOCIACION RESIDENCIA LISBETH</v>
          </cell>
          <cell r="B2843"/>
          <cell r="C2843"/>
          <cell r="D2843">
            <v>1.5</v>
          </cell>
          <cell r="E2843"/>
          <cell r="F2843"/>
          <cell r="G2843"/>
          <cell r="H2843"/>
          <cell r="I2843"/>
          <cell r="J2843"/>
          <cell r="K2843"/>
          <cell r="L2843"/>
          <cell r="M2843"/>
          <cell r="N2843"/>
          <cell r="O2843"/>
        </row>
        <row r="2844">
          <cell r="A2844" t="str">
            <v>381-FU FUNDAMIDOM</v>
          </cell>
          <cell r="B2844"/>
          <cell r="C2844"/>
          <cell r="D2844"/>
          <cell r="E2844">
            <v>3</v>
          </cell>
          <cell r="F2844"/>
          <cell r="G2844"/>
          <cell r="H2844"/>
          <cell r="I2844"/>
          <cell r="J2844"/>
          <cell r="K2844"/>
          <cell r="L2844"/>
          <cell r="M2844"/>
          <cell r="N2844"/>
          <cell r="O2844"/>
        </row>
        <row r="2845">
          <cell r="A2845" t="str">
            <v>377-FU CENTRO CRISTIANO CASA DE DIOS PANAMA</v>
          </cell>
          <cell r="B2845"/>
          <cell r="C2845"/>
          <cell r="D2845"/>
          <cell r="E2845"/>
          <cell r="F2845"/>
          <cell r="G2845">
            <v>1.5</v>
          </cell>
          <cell r="H2845"/>
          <cell r="I2845"/>
          <cell r="J2845"/>
          <cell r="K2845"/>
          <cell r="L2845"/>
          <cell r="M2845"/>
          <cell r="N2845"/>
          <cell r="O2845"/>
        </row>
        <row r="2846">
          <cell r="A2846" t="str">
            <v>595-FU CENTRO DE LA MUJER Y LA NIÑEZ</v>
          </cell>
          <cell r="B2846"/>
          <cell r="C2846">
            <v>1.5</v>
          </cell>
          <cell r="D2846"/>
          <cell r="E2846"/>
          <cell r="F2846"/>
          <cell r="G2846"/>
          <cell r="H2846"/>
          <cell r="I2846"/>
          <cell r="J2846"/>
          <cell r="K2846"/>
          <cell r="L2846"/>
          <cell r="M2846"/>
          <cell r="N2846"/>
          <cell r="O2846"/>
        </row>
        <row r="2847">
          <cell r="A2847" t="str">
            <v>360-IG IGLESIA CRISTIANA CASA DE REUNION</v>
          </cell>
          <cell r="B2847"/>
          <cell r="C2847"/>
          <cell r="D2847"/>
          <cell r="E2847"/>
          <cell r="F2847"/>
          <cell r="G2847">
            <v>1.5</v>
          </cell>
          <cell r="H2847"/>
          <cell r="I2847"/>
          <cell r="J2847"/>
          <cell r="K2847"/>
          <cell r="L2847"/>
          <cell r="M2847"/>
          <cell r="N2847"/>
          <cell r="O2847"/>
        </row>
        <row r="2848">
          <cell r="A2848" t="str">
            <v>723 ASOCIACION AQUI ESTOY</v>
          </cell>
          <cell r="B2848"/>
          <cell r="C2848"/>
          <cell r="D2848"/>
          <cell r="E2848">
            <v>1.5</v>
          </cell>
          <cell r="F2848"/>
          <cell r="G2848"/>
          <cell r="H2848"/>
          <cell r="I2848"/>
          <cell r="J2848"/>
          <cell r="K2848"/>
          <cell r="L2848"/>
          <cell r="M2848"/>
          <cell r="N2848"/>
          <cell r="O2848"/>
        </row>
        <row r="2849">
          <cell r="A2849" t="str">
            <v>390-FU FUNDACION CRISTIANA FAMILIAR EL TALLER DEL MAESTRO (CENTRO1)</v>
          </cell>
          <cell r="B2849"/>
          <cell r="C2849">
            <v>3</v>
          </cell>
          <cell r="D2849"/>
          <cell r="E2849"/>
          <cell r="F2849"/>
          <cell r="G2849"/>
          <cell r="H2849"/>
          <cell r="I2849"/>
          <cell r="J2849"/>
          <cell r="K2849"/>
          <cell r="L2849"/>
          <cell r="M2849"/>
          <cell r="N2849"/>
          <cell r="O2849"/>
        </row>
        <row r="2850">
          <cell r="A2850" t="str">
            <v>738- IG MINISTERIO DIOS CON NOSOTROS EMANUEL</v>
          </cell>
          <cell r="B2850"/>
          <cell r="C2850"/>
          <cell r="D2850">
            <v>1.5</v>
          </cell>
          <cell r="E2850"/>
          <cell r="F2850"/>
          <cell r="G2850"/>
          <cell r="H2850"/>
          <cell r="I2850"/>
          <cell r="J2850"/>
          <cell r="K2850"/>
          <cell r="L2850"/>
          <cell r="M2850"/>
          <cell r="N2850"/>
          <cell r="O2850"/>
        </row>
        <row r="2851">
          <cell r="A2851" t="str">
            <v>745-FU CASA DE MISERICORDIA</v>
          </cell>
          <cell r="B2851"/>
          <cell r="C2851">
            <v>1.5</v>
          </cell>
          <cell r="D2851"/>
          <cell r="E2851"/>
          <cell r="F2851"/>
          <cell r="G2851"/>
          <cell r="H2851"/>
          <cell r="I2851"/>
          <cell r="J2851"/>
          <cell r="K2851"/>
          <cell r="L2851"/>
          <cell r="M2851"/>
          <cell r="N2851"/>
          <cell r="O2851"/>
        </row>
        <row r="2852">
          <cell r="A2852" t="str">
            <v>789-FU Fundación Rescate de Alimentos</v>
          </cell>
          <cell r="B2852"/>
          <cell r="C2852">
            <v>3</v>
          </cell>
          <cell r="D2852"/>
          <cell r="E2852"/>
          <cell r="F2852"/>
          <cell r="G2852"/>
          <cell r="H2852"/>
          <cell r="I2852"/>
          <cell r="J2852"/>
          <cell r="K2852"/>
          <cell r="L2852"/>
          <cell r="M2852"/>
          <cell r="N2852"/>
          <cell r="O2852"/>
        </row>
        <row r="2853">
          <cell r="A2853" t="str">
            <v>3 IG - IGLESIA DEL NAZARENO</v>
          </cell>
          <cell r="B2853"/>
          <cell r="C2853"/>
          <cell r="D2853"/>
          <cell r="E2853">
            <v>3</v>
          </cell>
          <cell r="F2853"/>
          <cell r="G2853"/>
          <cell r="H2853"/>
          <cell r="I2853"/>
          <cell r="J2853"/>
          <cell r="K2853"/>
          <cell r="L2853"/>
          <cell r="M2853"/>
          <cell r="N2853"/>
          <cell r="O2853"/>
        </row>
        <row r="2854">
          <cell r="A2854" t="str">
            <v>661 - FU FUNDACION MAS INTEGRADOS (DARIEN)</v>
          </cell>
          <cell r="B2854"/>
          <cell r="C2854"/>
          <cell r="D2854"/>
          <cell r="E2854"/>
          <cell r="F2854">
            <v>3</v>
          </cell>
          <cell r="G2854"/>
          <cell r="H2854"/>
          <cell r="I2854"/>
          <cell r="J2854"/>
          <cell r="K2854"/>
          <cell r="L2854"/>
          <cell r="M2854"/>
          <cell r="N2854"/>
          <cell r="O2854"/>
        </row>
        <row r="2855">
          <cell r="A2855" t="str">
            <v>AGENCIAS ESCOFFERY, S.A</v>
          </cell>
          <cell r="B2855"/>
          <cell r="C2855">
            <v>82</v>
          </cell>
          <cell r="D2855">
            <v>158</v>
          </cell>
          <cell r="E2855">
            <v>28</v>
          </cell>
          <cell r="F2855"/>
          <cell r="G2855"/>
          <cell r="H2855">
            <v>16</v>
          </cell>
          <cell r="I2855"/>
          <cell r="J2855"/>
          <cell r="K2855"/>
          <cell r="L2855"/>
          <cell r="M2855"/>
          <cell r="N2855"/>
          <cell r="O2855"/>
        </row>
        <row r="2856">
          <cell r="A2856" t="str">
            <v>207 IG - IGLESIA CENTRO DE VIDA CRISTIANA</v>
          </cell>
          <cell r="B2856"/>
          <cell r="C2856"/>
          <cell r="D2856">
            <v>4</v>
          </cell>
          <cell r="E2856"/>
          <cell r="F2856"/>
          <cell r="G2856"/>
          <cell r="H2856"/>
          <cell r="I2856"/>
          <cell r="J2856"/>
          <cell r="K2856"/>
          <cell r="L2856"/>
          <cell r="M2856"/>
          <cell r="N2856"/>
          <cell r="O2856"/>
        </row>
        <row r="2857">
          <cell r="A2857" t="str">
            <v>636- FU JAH - LIVE (JAHL) - COLON</v>
          </cell>
          <cell r="B2857"/>
          <cell r="C2857"/>
          <cell r="D2857"/>
          <cell r="E2857"/>
          <cell r="F2857"/>
          <cell r="G2857"/>
          <cell r="H2857">
            <v>6</v>
          </cell>
          <cell r="I2857"/>
          <cell r="J2857"/>
          <cell r="K2857"/>
          <cell r="L2857"/>
          <cell r="M2857"/>
          <cell r="N2857"/>
          <cell r="O2857"/>
        </row>
        <row r="2858">
          <cell r="A2858" t="str">
            <v>218 ED - LOS PREFERIDOS DEL SEÑOR (CENTRO2)</v>
          </cell>
          <cell r="B2858"/>
          <cell r="C2858">
            <v>6</v>
          </cell>
          <cell r="D2858"/>
          <cell r="E2858"/>
          <cell r="F2858"/>
          <cell r="G2858"/>
          <cell r="H2858"/>
          <cell r="I2858"/>
          <cell r="J2858"/>
          <cell r="K2858"/>
          <cell r="L2858"/>
          <cell r="M2858"/>
          <cell r="N2858"/>
          <cell r="O2858"/>
        </row>
        <row r="2859">
          <cell r="A2859" t="str">
            <v>187 IG - IGLESIA DE DIOS DE LA PROFECÍA</v>
          </cell>
          <cell r="B2859"/>
          <cell r="C2859"/>
          <cell r="D2859">
            <v>20</v>
          </cell>
          <cell r="E2859"/>
          <cell r="F2859"/>
          <cell r="G2859"/>
          <cell r="H2859"/>
          <cell r="I2859"/>
          <cell r="J2859"/>
          <cell r="K2859"/>
          <cell r="L2859"/>
          <cell r="M2859"/>
          <cell r="N2859"/>
          <cell r="O2859"/>
        </row>
        <row r="2860">
          <cell r="A2860" t="str">
            <v>694 - FU MINISTERIO BERAKHAH INTERNACIONAL TOCUMEN #2</v>
          </cell>
          <cell r="B2860"/>
          <cell r="C2860"/>
          <cell r="D2860">
            <v>2</v>
          </cell>
          <cell r="E2860"/>
          <cell r="F2860"/>
          <cell r="G2860"/>
          <cell r="H2860"/>
          <cell r="I2860"/>
          <cell r="J2860"/>
          <cell r="K2860"/>
          <cell r="L2860"/>
          <cell r="M2860"/>
          <cell r="N2860"/>
          <cell r="O2860"/>
        </row>
        <row r="2861">
          <cell r="A2861" t="str">
            <v>366-FU CENTRO MISIONERO EL SHADAI (ESTE)</v>
          </cell>
          <cell r="B2861"/>
          <cell r="C2861"/>
          <cell r="D2861">
            <v>22</v>
          </cell>
          <cell r="E2861"/>
          <cell r="F2861"/>
          <cell r="G2861"/>
          <cell r="H2861"/>
          <cell r="I2861"/>
          <cell r="J2861"/>
          <cell r="K2861"/>
          <cell r="L2861"/>
          <cell r="M2861"/>
          <cell r="N2861"/>
          <cell r="O2861"/>
        </row>
        <row r="2862">
          <cell r="A2862" t="str">
            <v>288 IG MINISTERIO EVANGELISTICO DE SANACION Y RESTAURACION, SENALES, MILAGROS Y MARAVILLAS (ESTE)</v>
          </cell>
          <cell r="B2862"/>
          <cell r="C2862"/>
          <cell r="D2862">
            <v>20</v>
          </cell>
          <cell r="E2862"/>
          <cell r="F2862"/>
          <cell r="G2862"/>
          <cell r="H2862"/>
          <cell r="I2862"/>
          <cell r="J2862"/>
          <cell r="K2862"/>
          <cell r="L2862"/>
          <cell r="M2862"/>
          <cell r="N2862"/>
          <cell r="O2862"/>
        </row>
        <row r="2863">
          <cell r="A2863" t="str">
            <v>197 FU FUNDACION SOCIAL CULTURAL Y AMBIENTAL DE VERACRUZ (OESTE)</v>
          </cell>
          <cell r="B2863"/>
          <cell r="C2863"/>
          <cell r="D2863"/>
          <cell r="E2863">
            <v>6</v>
          </cell>
          <cell r="F2863"/>
          <cell r="G2863"/>
          <cell r="H2863"/>
          <cell r="I2863"/>
          <cell r="J2863"/>
          <cell r="K2863"/>
          <cell r="L2863"/>
          <cell r="M2863"/>
          <cell r="N2863"/>
          <cell r="O2863"/>
        </row>
        <row r="2864">
          <cell r="A2864" t="str">
            <v>431-IG IGLESIA ADVENTISTA DISTRITO 8</v>
          </cell>
          <cell r="B2864"/>
          <cell r="C2864"/>
          <cell r="D2864">
            <v>6</v>
          </cell>
          <cell r="E2864"/>
          <cell r="F2864"/>
          <cell r="G2864"/>
          <cell r="H2864"/>
          <cell r="I2864"/>
          <cell r="J2864"/>
          <cell r="K2864"/>
          <cell r="L2864"/>
          <cell r="M2864"/>
          <cell r="N2864"/>
          <cell r="O2864"/>
        </row>
        <row r="2865">
          <cell r="A2865" t="str">
            <v>222 ED - MISERICORDIAR</v>
          </cell>
          <cell r="B2865"/>
          <cell r="C2865"/>
          <cell r="D2865">
            <v>26</v>
          </cell>
          <cell r="E2865"/>
          <cell r="F2865"/>
          <cell r="G2865"/>
          <cell r="H2865"/>
          <cell r="I2865"/>
          <cell r="J2865"/>
          <cell r="K2865"/>
          <cell r="L2865"/>
          <cell r="M2865"/>
          <cell r="N2865"/>
          <cell r="O2865"/>
        </row>
        <row r="2866">
          <cell r="A2866" t="str">
            <v>300 ED - BENEFICIARIOS</v>
          </cell>
          <cell r="B2866"/>
          <cell r="C2866"/>
          <cell r="D2866">
            <v>8</v>
          </cell>
          <cell r="E2866"/>
          <cell r="F2866"/>
          <cell r="G2866"/>
          <cell r="H2866"/>
          <cell r="I2866"/>
          <cell r="J2866"/>
          <cell r="K2866"/>
          <cell r="L2866"/>
          <cell r="M2866"/>
          <cell r="N2866"/>
          <cell r="O2866"/>
        </row>
        <row r="2867">
          <cell r="A2867" t="str">
            <v>630-IG MIN.INTL.DE CRISTO PAZ DE DIOS</v>
          </cell>
          <cell r="B2867"/>
          <cell r="C2867">
            <v>16</v>
          </cell>
          <cell r="D2867"/>
          <cell r="E2867"/>
          <cell r="F2867"/>
          <cell r="G2867"/>
          <cell r="H2867"/>
          <cell r="I2867"/>
          <cell r="J2867"/>
          <cell r="K2867"/>
          <cell r="L2867"/>
          <cell r="M2867"/>
          <cell r="N2867"/>
          <cell r="O2867"/>
        </row>
        <row r="2868">
          <cell r="A2868" t="str">
            <v>397-FU FUNDACION SHALOM PANAMA</v>
          </cell>
          <cell r="B2868"/>
          <cell r="C2868"/>
          <cell r="D2868"/>
          <cell r="E2868">
            <v>4</v>
          </cell>
          <cell r="F2868"/>
          <cell r="G2868"/>
          <cell r="H2868"/>
          <cell r="I2868"/>
          <cell r="J2868"/>
          <cell r="K2868"/>
          <cell r="L2868"/>
          <cell r="M2868"/>
          <cell r="N2868"/>
          <cell r="O2868"/>
        </row>
        <row r="2869">
          <cell r="A2869" t="str">
            <v>670 - FU FUNDACION MINISTERIIO CRISTIANO EL REINO DE DIOS (ESTE)</v>
          </cell>
          <cell r="B2869"/>
          <cell r="C2869"/>
          <cell r="D2869">
            <v>10</v>
          </cell>
          <cell r="E2869"/>
          <cell r="F2869"/>
          <cell r="G2869"/>
          <cell r="H2869"/>
          <cell r="I2869"/>
          <cell r="J2869"/>
          <cell r="K2869"/>
          <cell r="L2869"/>
          <cell r="M2869"/>
          <cell r="N2869"/>
          <cell r="O2869"/>
        </row>
        <row r="2870">
          <cell r="A2870" t="str">
            <v>235 FU - FUNDACION GRUPO ENVIADOS</v>
          </cell>
          <cell r="B2870"/>
          <cell r="C2870"/>
          <cell r="D2870">
            <v>16</v>
          </cell>
          <cell r="E2870"/>
          <cell r="F2870"/>
          <cell r="G2870"/>
          <cell r="H2870"/>
          <cell r="I2870"/>
          <cell r="J2870"/>
          <cell r="K2870"/>
          <cell r="L2870"/>
          <cell r="M2870"/>
          <cell r="N2870"/>
          <cell r="O2870"/>
        </row>
        <row r="2871">
          <cell r="A2871" t="str">
            <v>647 - IG CRISTO REY CAMBIANDO VIDAS (ESTE)</v>
          </cell>
          <cell r="B2871"/>
          <cell r="C2871"/>
          <cell r="D2871">
            <v>4</v>
          </cell>
          <cell r="E2871"/>
          <cell r="F2871"/>
          <cell r="G2871"/>
          <cell r="H2871"/>
          <cell r="I2871"/>
          <cell r="J2871"/>
          <cell r="K2871"/>
          <cell r="L2871"/>
          <cell r="M2871"/>
          <cell r="N2871"/>
          <cell r="O2871"/>
        </row>
        <row r="2872">
          <cell r="A2872" t="str">
            <v>417-AS CLUB DE LEONES DE PEDREGAL (ESTE)</v>
          </cell>
          <cell r="B2872"/>
          <cell r="C2872"/>
          <cell r="D2872">
            <v>10</v>
          </cell>
          <cell r="E2872"/>
          <cell r="F2872"/>
          <cell r="G2872"/>
          <cell r="H2872"/>
          <cell r="I2872"/>
          <cell r="J2872"/>
          <cell r="K2872"/>
          <cell r="L2872"/>
          <cell r="M2872"/>
          <cell r="N2872"/>
          <cell r="O2872"/>
        </row>
        <row r="2873">
          <cell r="A2873" t="str">
            <v>144 OR - HERMANAS DE SAN JOSÉ DE LA APARICIÓN (RETIRA EN EL BANCO)</v>
          </cell>
          <cell r="B2873"/>
          <cell r="C2873"/>
          <cell r="D2873">
            <v>6</v>
          </cell>
          <cell r="E2873"/>
          <cell r="F2873"/>
          <cell r="G2873"/>
          <cell r="H2873"/>
          <cell r="I2873"/>
          <cell r="J2873"/>
          <cell r="K2873"/>
          <cell r="L2873"/>
          <cell r="M2873"/>
          <cell r="N2873"/>
          <cell r="O2873"/>
        </row>
        <row r="2874">
          <cell r="A2874" t="str">
            <v>381-FU FUNDAMIDOM</v>
          </cell>
          <cell r="B2874"/>
          <cell r="C2874"/>
          <cell r="D2874"/>
          <cell r="E2874">
            <v>2</v>
          </cell>
          <cell r="F2874"/>
          <cell r="G2874"/>
          <cell r="H2874"/>
          <cell r="I2874"/>
          <cell r="J2874"/>
          <cell r="K2874"/>
          <cell r="L2874"/>
          <cell r="M2874"/>
          <cell r="N2874"/>
          <cell r="O2874"/>
        </row>
        <row r="2875">
          <cell r="A2875" t="str">
            <v>684 - FU FUNDACION CASA DEL REY JESUS (CENTRO 2)</v>
          </cell>
          <cell r="B2875"/>
          <cell r="C2875">
            <v>4</v>
          </cell>
          <cell r="D2875"/>
          <cell r="E2875"/>
          <cell r="F2875"/>
          <cell r="G2875"/>
          <cell r="H2875"/>
          <cell r="I2875"/>
          <cell r="J2875"/>
          <cell r="K2875"/>
          <cell r="L2875"/>
          <cell r="M2875"/>
          <cell r="N2875"/>
          <cell r="O2875"/>
        </row>
        <row r="2876">
          <cell r="A2876" t="str">
            <v>229 PA - PARROQUIA SAN CRISTOBAL DE CHEPO</v>
          </cell>
          <cell r="B2876"/>
          <cell r="C2876"/>
          <cell r="D2876">
            <v>4</v>
          </cell>
          <cell r="E2876"/>
          <cell r="F2876"/>
          <cell r="G2876"/>
          <cell r="H2876"/>
          <cell r="I2876"/>
          <cell r="J2876"/>
          <cell r="K2876"/>
          <cell r="L2876"/>
          <cell r="M2876"/>
          <cell r="N2876"/>
          <cell r="O2876"/>
        </row>
        <row r="2877">
          <cell r="A2877" t="str">
            <v>281-FU FUNDACIÓN CAMBIO CREATIVO</v>
          </cell>
          <cell r="B2877"/>
          <cell r="C2877"/>
          <cell r="D2877"/>
          <cell r="E2877"/>
          <cell r="F2877"/>
          <cell r="G2877"/>
          <cell r="H2877">
            <v>10</v>
          </cell>
          <cell r="I2877"/>
          <cell r="J2877"/>
          <cell r="K2877"/>
          <cell r="L2877"/>
          <cell r="M2877"/>
          <cell r="N2877"/>
          <cell r="O2877"/>
        </row>
        <row r="2878">
          <cell r="A2878" t="str">
            <v>275 IG CONCILIO GENERAL DE LAS ASAMBLEAS DE DIOS DE PANAMÁ</v>
          </cell>
          <cell r="B2878"/>
          <cell r="C2878">
            <v>4</v>
          </cell>
          <cell r="D2878"/>
          <cell r="E2878"/>
          <cell r="F2878"/>
          <cell r="G2878"/>
          <cell r="H2878"/>
          <cell r="I2878"/>
          <cell r="J2878"/>
          <cell r="K2878"/>
          <cell r="L2878"/>
          <cell r="M2878"/>
          <cell r="N2878"/>
          <cell r="O2878"/>
        </row>
        <row r="2879">
          <cell r="A2879" t="str">
            <v>394-IG IGLESIA ESCUADRONES DEL EJERCITO DE DIOS (CENTRO2)</v>
          </cell>
          <cell r="B2879"/>
          <cell r="C2879">
            <v>4</v>
          </cell>
          <cell r="D2879"/>
          <cell r="E2879"/>
          <cell r="F2879"/>
          <cell r="G2879"/>
          <cell r="H2879"/>
          <cell r="I2879"/>
          <cell r="J2879"/>
          <cell r="K2879"/>
          <cell r="L2879"/>
          <cell r="M2879"/>
          <cell r="N2879"/>
          <cell r="O2879"/>
        </row>
        <row r="2880">
          <cell r="A2880" t="str">
            <v>253 FU - FUNDACIÓN PARA EL BIENESTAR SOCIAL (CENTRO2)</v>
          </cell>
          <cell r="B2880"/>
          <cell r="C2880">
            <v>10</v>
          </cell>
          <cell r="D2880"/>
          <cell r="E2880"/>
          <cell r="F2880"/>
          <cell r="G2880"/>
          <cell r="H2880"/>
          <cell r="I2880"/>
          <cell r="J2880"/>
          <cell r="K2880"/>
          <cell r="L2880"/>
          <cell r="M2880"/>
          <cell r="N2880"/>
          <cell r="O2880"/>
        </row>
        <row r="2881">
          <cell r="A2881" t="str">
            <v>496-AS CUERPO DE VOLUNTARIAS DEL HOSPITAL DEL NIÑO</v>
          </cell>
          <cell r="B2881"/>
          <cell r="C2881">
            <v>30</v>
          </cell>
          <cell r="D2881"/>
          <cell r="E2881"/>
          <cell r="F2881"/>
          <cell r="G2881"/>
          <cell r="H2881"/>
          <cell r="I2881"/>
          <cell r="J2881"/>
          <cell r="K2881"/>
          <cell r="L2881"/>
          <cell r="M2881"/>
          <cell r="N2881"/>
          <cell r="O2881"/>
        </row>
        <row r="2882">
          <cell r="A2882" t="str">
            <v>471-FU FUNDACION BUSCANDO UNA OPORTUNIDAD</v>
          </cell>
          <cell r="B2882"/>
          <cell r="C2882"/>
          <cell r="D2882"/>
          <cell r="E2882">
            <v>6</v>
          </cell>
          <cell r="F2882"/>
          <cell r="G2882"/>
          <cell r="H2882"/>
          <cell r="I2882"/>
          <cell r="J2882"/>
          <cell r="K2882"/>
          <cell r="L2882"/>
          <cell r="M2882"/>
          <cell r="N2882"/>
          <cell r="O2882"/>
        </row>
        <row r="2883">
          <cell r="A2883" t="str">
            <v>5 AS - ASOCIACIÓN DAME UNA OPORTUNIDAD</v>
          </cell>
          <cell r="B2883"/>
          <cell r="C2883">
            <v>8</v>
          </cell>
          <cell r="D2883"/>
          <cell r="E2883"/>
          <cell r="F2883"/>
          <cell r="G2883"/>
          <cell r="H2883"/>
          <cell r="I2883"/>
          <cell r="J2883"/>
          <cell r="K2883"/>
          <cell r="L2883"/>
          <cell r="M2883"/>
          <cell r="N2883"/>
          <cell r="O2883"/>
        </row>
        <row r="2884">
          <cell r="A2884" t="str">
            <v>827-FU Fundación Transformemos mi comunidad</v>
          </cell>
          <cell r="B2884"/>
          <cell r="C2884"/>
          <cell r="D2884"/>
          <cell r="E2884">
            <v>10</v>
          </cell>
          <cell r="F2884"/>
          <cell r="G2884"/>
          <cell r="H2884"/>
          <cell r="I2884"/>
          <cell r="J2884"/>
          <cell r="K2884"/>
          <cell r="L2884"/>
          <cell r="M2884"/>
          <cell r="N2884"/>
          <cell r="O2884"/>
        </row>
        <row r="2885">
          <cell r="A2885" t="str">
            <v>Total general</v>
          </cell>
          <cell r="B2885">
            <v>8071.1600000000017</v>
          </cell>
          <cell r="C2885">
            <v>33274.289999999979</v>
          </cell>
          <cell r="D2885">
            <v>52191.29000000003</v>
          </cell>
          <cell r="E2885">
            <v>21221.819999999992</v>
          </cell>
          <cell r="F2885">
            <v>1720.3300000000002</v>
          </cell>
          <cell r="G2885">
            <v>4682.4699999999993</v>
          </cell>
          <cell r="H2885">
            <v>14179.62</v>
          </cell>
          <cell r="I2885">
            <v>8710.840000000002</v>
          </cell>
          <cell r="J2885">
            <v>16694.45</v>
          </cell>
          <cell r="K2885">
            <v>15281.279999999999</v>
          </cell>
          <cell r="L2885">
            <v>4874.0599999999995</v>
          </cell>
          <cell r="M2885">
            <v>21156.19</v>
          </cell>
          <cell r="N2885">
            <v>1434.49</v>
          </cell>
          <cell r="O2885">
            <v>1355.24</v>
          </cell>
        </row>
        <row r="2886">
          <cell r="A2886"/>
          <cell r="B2886"/>
          <cell r="C2886"/>
          <cell r="D2886"/>
          <cell r="E2886"/>
          <cell r="F2886"/>
          <cell r="G2886"/>
          <cell r="H2886"/>
          <cell r="I2886"/>
          <cell r="J2886"/>
          <cell r="K2886"/>
          <cell r="L2886"/>
          <cell r="M2886"/>
          <cell r="N2886"/>
          <cell r="O2886"/>
        </row>
        <row r="2887">
          <cell r="A2887"/>
          <cell r="B2887"/>
          <cell r="C2887"/>
          <cell r="D2887"/>
          <cell r="E2887"/>
          <cell r="F2887"/>
          <cell r="G2887"/>
          <cell r="H2887"/>
          <cell r="I2887"/>
          <cell r="J2887"/>
          <cell r="K2887"/>
          <cell r="L2887"/>
          <cell r="M2887"/>
          <cell r="N2887"/>
          <cell r="O2887"/>
        </row>
        <row r="2888">
          <cell r="A2888"/>
          <cell r="B2888"/>
          <cell r="C2888"/>
          <cell r="D2888"/>
          <cell r="E2888"/>
          <cell r="F2888"/>
          <cell r="G2888"/>
          <cell r="H2888"/>
          <cell r="I2888"/>
          <cell r="J2888"/>
          <cell r="K2888"/>
          <cell r="L2888"/>
          <cell r="M2888"/>
          <cell r="N2888"/>
          <cell r="O2888"/>
        </row>
        <row r="2889">
          <cell r="A2889"/>
          <cell r="B2889"/>
          <cell r="C2889"/>
          <cell r="D2889"/>
          <cell r="E2889"/>
          <cell r="F2889"/>
          <cell r="G2889"/>
          <cell r="H2889"/>
          <cell r="I2889"/>
          <cell r="J2889"/>
          <cell r="K2889"/>
          <cell r="L2889"/>
          <cell r="M2889"/>
          <cell r="N2889"/>
          <cell r="O2889"/>
        </row>
        <row r="2890">
          <cell r="A2890"/>
          <cell r="B2890"/>
          <cell r="C2890"/>
          <cell r="D2890"/>
          <cell r="E2890"/>
          <cell r="F2890"/>
          <cell r="G2890"/>
          <cell r="H2890"/>
          <cell r="I2890"/>
          <cell r="J2890"/>
          <cell r="K2890"/>
          <cell r="L2890"/>
          <cell r="M2890"/>
          <cell r="N2890"/>
          <cell r="O2890"/>
        </row>
        <row r="2891">
          <cell r="A2891"/>
          <cell r="B2891"/>
          <cell r="C2891"/>
          <cell r="D2891"/>
          <cell r="E2891"/>
          <cell r="F2891"/>
          <cell r="G2891"/>
          <cell r="H2891"/>
          <cell r="I2891"/>
          <cell r="J2891"/>
          <cell r="K2891"/>
          <cell r="L2891"/>
          <cell r="M2891"/>
          <cell r="N2891"/>
          <cell r="O2891"/>
        </row>
        <row r="2892">
          <cell r="A2892"/>
          <cell r="B2892"/>
          <cell r="C2892"/>
          <cell r="D2892"/>
          <cell r="E2892"/>
          <cell r="F2892"/>
          <cell r="G2892"/>
          <cell r="H2892"/>
          <cell r="I2892"/>
          <cell r="J2892"/>
          <cell r="K2892"/>
          <cell r="L2892"/>
          <cell r="M2892"/>
          <cell r="N2892"/>
          <cell r="O2892"/>
        </row>
        <row r="2893">
          <cell r="A2893"/>
          <cell r="B2893"/>
          <cell r="C2893"/>
          <cell r="D2893"/>
          <cell r="E2893"/>
          <cell r="F2893"/>
          <cell r="G2893"/>
          <cell r="H2893"/>
          <cell r="I2893"/>
          <cell r="J2893"/>
          <cell r="K2893"/>
          <cell r="L2893"/>
          <cell r="M2893"/>
          <cell r="N2893"/>
          <cell r="O2893"/>
        </row>
        <row r="2894">
          <cell r="A2894"/>
          <cell r="B2894"/>
          <cell r="C2894"/>
          <cell r="D2894"/>
          <cell r="E2894"/>
          <cell r="F2894"/>
          <cell r="G2894"/>
          <cell r="H2894"/>
          <cell r="I2894"/>
          <cell r="J2894"/>
          <cell r="K2894"/>
          <cell r="L2894"/>
          <cell r="M2894"/>
          <cell r="N2894"/>
          <cell r="O2894"/>
        </row>
        <row r="2895">
          <cell r="A2895"/>
          <cell r="B2895"/>
          <cell r="C2895"/>
          <cell r="D2895"/>
          <cell r="E2895"/>
          <cell r="F2895"/>
          <cell r="G2895"/>
          <cell r="H2895"/>
          <cell r="I2895"/>
          <cell r="J2895"/>
          <cell r="K2895"/>
          <cell r="L2895"/>
          <cell r="M2895"/>
          <cell r="N2895"/>
          <cell r="O2895"/>
        </row>
        <row r="2896">
          <cell r="A2896"/>
          <cell r="B2896"/>
          <cell r="C2896"/>
          <cell r="D2896"/>
          <cell r="E2896"/>
          <cell r="F2896"/>
          <cell r="G2896"/>
          <cell r="H2896"/>
          <cell r="I2896"/>
          <cell r="J2896"/>
          <cell r="K2896"/>
          <cell r="L2896"/>
          <cell r="M2896"/>
          <cell r="N2896"/>
          <cell r="O2896"/>
        </row>
        <row r="2897">
          <cell r="A2897"/>
          <cell r="B2897"/>
          <cell r="C2897"/>
          <cell r="D2897"/>
          <cell r="E2897"/>
          <cell r="F2897"/>
          <cell r="G2897"/>
          <cell r="H2897"/>
          <cell r="I2897"/>
          <cell r="J2897"/>
          <cell r="K2897"/>
          <cell r="L2897"/>
          <cell r="M2897"/>
          <cell r="N2897"/>
          <cell r="O2897"/>
        </row>
        <row r="2898">
          <cell r="A2898"/>
          <cell r="B2898"/>
          <cell r="C2898"/>
          <cell r="D2898"/>
          <cell r="E2898"/>
          <cell r="F2898"/>
          <cell r="G2898"/>
          <cell r="H2898"/>
          <cell r="I2898"/>
          <cell r="J2898"/>
          <cell r="K2898"/>
          <cell r="L2898"/>
          <cell r="M2898"/>
          <cell r="N2898"/>
          <cell r="O2898"/>
        </row>
        <row r="2899">
          <cell r="A2899"/>
          <cell r="B2899"/>
          <cell r="C2899"/>
          <cell r="D2899"/>
          <cell r="E2899"/>
          <cell r="F2899"/>
          <cell r="G2899"/>
          <cell r="H2899"/>
          <cell r="I2899"/>
          <cell r="J2899"/>
          <cell r="K2899"/>
          <cell r="L2899"/>
          <cell r="M2899"/>
          <cell r="N2899"/>
          <cell r="O2899"/>
        </row>
        <row r="2900">
          <cell r="A2900"/>
          <cell r="B2900"/>
          <cell r="C2900"/>
          <cell r="D2900"/>
          <cell r="E2900"/>
          <cell r="F2900"/>
          <cell r="G2900"/>
          <cell r="H2900"/>
          <cell r="I2900"/>
          <cell r="J2900"/>
          <cell r="K2900"/>
          <cell r="L2900"/>
          <cell r="M2900"/>
          <cell r="N2900"/>
          <cell r="O2900"/>
        </row>
        <row r="2901">
          <cell r="A2901"/>
          <cell r="B2901"/>
          <cell r="C2901"/>
          <cell r="D2901"/>
          <cell r="E2901"/>
          <cell r="F2901"/>
          <cell r="G2901"/>
          <cell r="H2901"/>
          <cell r="I2901"/>
          <cell r="J2901"/>
          <cell r="K2901"/>
          <cell r="L2901"/>
          <cell r="M2901"/>
          <cell r="N2901"/>
          <cell r="O2901"/>
        </row>
        <row r="2902">
          <cell r="A2902"/>
          <cell r="B2902"/>
          <cell r="C2902"/>
          <cell r="D2902"/>
          <cell r="E2902"/>
          <cell r="F2902"/>
          <cell r="G2902"/>
          <cell r="H2902"/>
          <cell r="I2902"/>
          <cell r="J2902"/>
          <cell r="K2902"/>
          <cell r="L2902"/>
          <cell r="M2902"/>
          <cell r="N2902"/>
          <cell r="O2902"/>
        </row>
        <row r="2903">
          <cell r="A2903"/>
          <cell r="B2903"/>
          <cell r="C2903"/>
          <cell r="D2903"/>
          <cell r="E2903"/>
          <cell r="F2903"/>
          <cell r="G2903"/>
          <cell r="H2903"/>
          <cell r="I2903"/>
          <cell r="J2903"/>
          <cell r="K2903"/>
          <cell r="L2903"/>
          <cell r="M2903"/>
          <cell r="N2903"/>
          <cell r="O2903"/>
        </row>
        <row r="2904">
          <cell r="A2904"/>
          <cell r="B2904"/>
          <cell r="C2904"/>
          <cell r="D2904"/>
          <cell r="E2904"/>
          <cell r="F2904"/>
          <cell r="G2904"/>
          <cell r="H2904"/>
          <cell r="I2904"/>
          <cell r="J2904"/>
          <cell r="K2904"/>
          <cell r="L2904"/>
          <cell r="M2904"/>
          <cell r="N2904"/>
          <cell r="O2904"/>
        </row>
        <row r="2905">
          <cell r="A2905"/>
          <cell r="B2905"/>
          <cell r="C2905"/>
          <cell r="D2905"/>
          <cell r="E2905"/>
          <cell r="F2905"/>
          <cell r="G2905"/>
          <cell r="H2905"/>
          <cell r="I2905"/>
          <cell r="J2905"/>
          <cell r="K2905"/>
          <cell r="L2905"/>
          <cell r="M2905"/>
          <cell r="N2905"/>
          <cell r="O2905"/>
        </row>
        <row r="2906">
          <cell r="A2906"/>
          <cell r="B2906"/>
          <cell r="C2906"/>
          <cell r="D2906"/>
          <cell r="E2906"/>
          <cell r="F2906"/>
          <cell r="G2906"/>
          <cell r="H2906"/>
          <cell r="I2906"/>
          <cell r="J2906"/>
          <cell r="K2906"/>
          <cell r="L2906"/>
          <cell r="M2906"/>
          <cell r="N2906"/>
          <cell r="O2906"/>
        </row>
        <row r="2907">
          <cell r="A2907"/>
          <cell r="B2907"/>
          <cell r="C2907"/>
          <cell r="D2907"/>
          <cell r="E2907"/>
          <cell r="F2907"/>
          <cell r="G2907"/>
          <cell r="H2907"/>
          <cell r="I2907"/>
          <cell r="J2907"/>
          <cell r="K2907"/>
          <cell r="L2907"/>
          <cell r="M2907"/>
          <cell r="N2907"/>
          <cell r="O2907"/>
        </row>
        <row r="2908">
          <cell r="A2908"/>
          <cell r="B2908"/>
          <cell r="C2908"/>
          <cell r="D2908"/>
          <cell r="E2908"/>
          <cell r="F2908"/>
          <cell r="G2908"/>
          <cell r="H2908"/>
          <cell r="I2908"/>
          <cell r="J2908"/>
          <cell r="K2908"/>
          <cell r="L2908"/>
          <cell r="M2908"/>
          <cell r="N2908"/>
          <cell r="O2908"/>
        </row>
        <row r="2909">
          <cell r="A2909"/>
          <cell r="B2909"/>
          <cell r="C2909"/>
          <cell r="D2909"/>
          <cell r="E2909"/>
          <cell r="F2909"/>
          <cell r="G2909"/>
          <cell r="H2909"/>
          <cell r="I2909"/>
          <cell r="J2909"/>
          <cell r="K2909"/>
          <cell r="L2909"/>
          <cell r="M2909"/>
          <cell r="N2909"/>
          <cell r="O2909"/>
        </row>
        <row r="2910">
          <cell r="A2910"/>
          <cell r="B2910"/>
          <cell r="C2910"/>
          <cell r="D2910"/>
          <cell r="E2910"/>
          <cell r="F2910"/>
          <cell r="G2910"/>
          <cell r="H2910"/>
          <cell r="I2910"/>
          <cell r="J2910"/>
          <cell r="K2910"/>
          <cell r="L2910"/>
          <cell r="M2910"/>
          <cell r="N2910"/>
          <cell r="O2910"/>
        </row>
        <row r="2911">
          <cell r="A2911"/>
          <cell r="B2911"/>
          <cell r="C2911"/>
          <cell r="D2911"/>
          <cell r="E2911"/>
          <cell r="F2911"/>
          <cell r="G2911"/>
          <cell r="H2911"/>
          <cell r="I2911"/>
          <cell r="J2911"/>
          <cell r="K2911"/>
          <cell r="L2911"/>
          <cell r="M2911"/>
          <cell r="N2911"/>
          <cell r="O2911"/>
        </row>
        <row r="2912">
          <cell r="A2912"/>
          <cell r="B2912"/>
          <cell r="C2912"/>
          <cell r="D2912"/>
          <cell r="E2912"/>
          <cell r="F2912"/>
          <cell r="G2912"/>
          <cell r="H2912"/>
          <cell r="I2912"/>
          <cell r="J2912"/>
          <cell r="K2912"/>
          <cell r="L2912"/>
          <cell r="M2912"/>
          <cell r="N2912"/>
          <cell r="O2912"/>
        </row>
        <row r="2913">
          <cell r="A2913"/>
          <cell r="B2913"/>
          <cell r="C2913"/>
          <cell r="D2913"/>
          <cell r="E2913"/>
          <cell r="F2913"/>
          <cell r="G2913"/>
          <cell r="H2913"/>
          <cell r="I2913"/>
          <cell r="J2913"/>
          <cell r="K2913"/>
          <cell r="L2913"/>
          <cell r="M2913"/>
          <cell r="N2913"/>
          <cell r="O2913"/>
        </row>
        <row r="2914">
          <cell r="A2914"/>
          <cell r="B2914"/>
          <cell r="C2914"/>
          <cell r="D2914"/>
          <cell r="E2914"/>
          <cell r="F2914"/>
          <cell r="G2914"/>
          <cell r="H2914"/>
          <cell r="I2914"/>
          <cell r="J2914"/>
          <cell r="K2914"/>
          <cell r="L2914"/>
          <cell r="M2914"/>
          <cell r="N2914"/>
          <cell r="O2914"/>
        </row>
        <row r="2915">
          <cell r="A2915"/>
          <cell r="B2915"/>
          <cell r="C2915"/>
          <cell r="D2915"/>
          <cell r="E2915"/>
          <cell r="F2915"/>
          <cell r="G2915"/>
          <cell r="H2915"/>
          <cell r="I2915"/>
          <cell r="J2915"/>
          <cell r="K2915"/>
          <cell r="L2915"/>
          <cell r="M2915"/>
          <cell r="N2915"/>
          <cell r="O2915"/>
        </row>
        <row r="2916">
          <cell r="A2916"/>
          <cell r="B2916"/>
          <cell r="C2916"/>
          <cell r="D2916"/>
          <cell r="E2916"/>
          <cell r="F2916"/>
          <cell r="G2916"/>
          <cell r="H2916"/>
          <cell r="I2916"/>
          <cell r="J2916"/>
          <cell r="K2916"/>
          <cell r="L2916"/>
          <cell r="M2916"/>
          <cell r="N2916"/>
          <cell r="O2916"/>
        </row>
        <row r="2917">
          <cell r="A2917"/>
          <cell r="B2917"/>
          <cell r="C2917"/>
          <cell r="D2917"/>
          <cell r="E2917"/>
          <cell r="F2917"/>
          <cell r="G2917"/>
          <cell r="H2917"/>
          <cell r="I2917"/>
          <cell r="J2917"/>
          <cell r="K2917"/>
          <cell r="L2917"/>
          <cell r="M2917"/>
          <cell r="N2917"/>
          <cell r="O2917"/>
        </row>
        <row r="2918">
          <cell r="A2918"/>
          <cell r="B2918"/>
          <cell r="C2918"/>
          <cell r="D2918"/>
          <cell r="E2918"/>
          <cell r="F2918"/>
          <cell r="G2918"/>
          <cell r="H2918"/>
          <cell r="I2918"/>
          <cell r="J2918"/>
          <cell r="K2918"/>
          <cell r="L2918"/>
          <cell r="M2918"/>
          <cell r="N2918"/>
          <cell r="O2918"/>
        </row>
        <row r="2919">
          <cell r="A2919"/>
          <cell r="B2919"/>
          <cell r="C2919"/>
          <cell r="D2919"/>
          <cell r="E2919"/>
          <cell r="F2919"/>
          <cell r="G2919"/>
          <cell r="H2919"/>
          <cell r="I2919"/>
          <cell r="J2919"/>
          <cell r="K2919"/>
          <cell r="L2919"/>
          <cell r="M2919"/>
          <cell r="N2919"/>
          <cell r="O2919"/>
        </row>
        <row r="2920">
          <cell r="A2920"/>
          <cell r="B2920"/>
          <cell r="C2920"/>
          <cell r="D2920"/>
          <cell r="E2920"/>
          <cell r="F2920"/>
          <cell r="G2920"/>
          <cell r="H2920"/>
          <cell r="I2920"/>
          <cell r="J2920"/>
          <cell r="K2920"/>
          <cell r="L2920"/>
          <cell r="M2920"/>
          <cell r="N2920"/>
          <cell r="O2920"/>
        </row>
        <row r="2921">
          <cell r="A2921"/>
          <cell r="B2921"/>
          <cell r="C2921"/>
          <cell r="D2921"/>
          <cell r="E2921"/>
          <cell r="F2921"/>
          <cell r="G2921"/>
          <cell r="H2921"/>
          <cell r="I2921"/>
          <cell r="J2921"/>
          <cell r="K2921"/>
          <cell r="L2921"/>
          <cell r="M2921"/>
          <cell r="N2921"/>
          <cell r="O2921"/>
        </row>
        <row r="2922">
          <cell r="A2922"/>
          <cell r="B2922"/>
          <cell r="C2922"/>
          <cell r="D2922"/>
          <cell r="E2922"/>
          <cell r="F2922"/>
          <cell r="G2922"/>
          <cell r="H2922"/>
          <cell r="I2922"/>
          <cell r="J2922"/>
          <cell r="K2922"/>
          <cell r="L2922"/>
          <cell r="M2922"/>
          <cell r="N2922"/>
          <cell r="O2922"/>
        </row>
        <row r="2923">
          <cell r="A2923"/>
          <cell r="B2923"/>
          <cell r="C2923"/>
          <cell r="D2923"/>
          <cell r="E2923"/>
          <cell r="F2923"/>
          <cell r="G2923"/>
          <cell r="H2923"/>
          <cell r="I2923"/>
          <cell r="J2923"/>
          <cell r="K2923"/>
          <cell r="L2923"/>
          <cell r="M2923"/>
          <cell r="N2923"/>
          <cell r="O2923"/>
        </row>
        <row r="2924">
          <cell r="A2924"/>
          <cell r="B2924"/>
          <cell r="C2924"/>
          <cell r="D2924"/>
          <cell r="E2924"/>
          <cell r="F2924"/>
          <cell r="G2924"/>
          <cell r="H2924"/>
          <cell r="I2924"/>
          <cell r="J2924"/>
          <cell r="K2924"/>
          <cell r="L2924"/>
          <cell r="M2924"/>
          <cell r="N2924"/>
          <cell r="O2924"/>
        </row>
        <row r="2925">
          <cell r="A2925"/>
          <cell r="B2925"/>
          <cell r="C2925"/>
          <cell r="D2925"/>
          <cell r="E2925"/>
          <cell r="F2925"/>
          <cell r="G2925"/>
          <cell r="H2925"/>
          <cell r="I2925"/>
          <cell r="J2925"/>
          <cell r="K2925"/>
          <cell r="L2925"/>
          <cell r="M2925"/>
          <cell r="N2925"/>
          <cell r="O2925"/>
        </row>
        <row r="2926">
          <cell r="A2926"/>
          <cell r="B2926"/>
          <cell r="C2926"/>
          <cell r="D2926"/>
          <cell r="E2926"/>
          <cell r="F2926"/>
          <cell r="G2926"/>
          <cell r="H2926"/>
          <cell r="I2926"/>
          <cell r="J2926"/>
          <cell r="K2926"/>
          <cell r="L2926"/>
          <cell r="M2926"/>
          <cell r="N2926"/>
          <cell r="O2926"/>
        </row>
        <row r="2927">
          <cell r="A2927"/>
          <cell r="B2927"/>
          <cell r="C2927"/>
          <cell r="D2927"/>
          <cell r="E2927"/>
          <cell r="F2927"/>
          <cell r="G2927"/>
          <cell r="H2927"/>
          <cell r="I2927"/>
          <cell r="J2927"/>
          <cell r="K2927"/>
          <cell r="L2927"/>
          <cell r="M2927"/>
          <cell r="N2927"/>
          <cell r="O2927"/>
        </row>
        <row r="2928">
          <cell r="A2928"/>
          <cell r="B2928"/>
          <cell r="C2928"/>
          <cell r="D2928"/>
          <cell r="E2928"/>
          <cell r="F2928"/>
          <cell r="G2928"/>
          <cell r="H2928"/>
          <cell r="I2928"/>
          <cell r="J2928"/>
          <cell r="K2928"/>
          <cell r="L2928"/>
          <cell r="M2928"/>
          <cell r="N2928"/>
          <cell r="O2928"/>
        </row>
        <row r="2929">
          <cell r="A2929"/>
          <cell r="B2929"/>
          <cell r="C2929"/>
          <cell r="D2929"/>
          <cell r="E2929"/>
          <cell r="F2929"/>
          <cell r="G2929"/>
          <cell r="H2929"/>
          <cell r="I2929"/>
          <cell r="J2929"/>
          <cell r="K2929"/>
          <cell r="L2929"/>
          <cell r="M2929"/>
          <cell r="N2929"/>
          <cell r="O2929"/>
        </row>
        <row r="2930">
          <cell r="A2930"/>
          <cell r="B2930"/>
          <cell r="C2930"/>
          <cell r="D2930"/>
          <cell r="E2930"/>
          <cell r="F2930"/>
          <cell r="G2930"/>
          <cell r="H2930"/>
          <cell r="I2930"/>
          <cell r="J2930"/>
          <cell r="K2930"/>
          <cell r="L2930"/>
          <cell r="M2930"/>
          <cell r="N2930"/>
          <cell r="O2930"/>
        </row>
        <row r="2931">
          <cell r="A2931"/>
          <cell r="B2931"/>
          <cell r="C2931"/>
          <cell r="D2931"/>
          <cell r="E2931"/>
          <cell r="F2931"/>
          <cell r="G2931"/>
          <cell r="H2931"/>
          <cell r="I2931"/>
          <cell r="J2931"/>
          <cell r="K2931"/>
          <cell r="L2931"/>
          <cell r="M2931"/>
          <cell r="N2931"/>
          <cell r="O2931"/>
        </row>
        <row r="2932">
          <cell r="A2932"/>
          <cell r="B2932"/>
          <cell r="C2932"/>
          <cell r="D2932"/>
          <cell r="E2932"/>
          <cell r="F2932"/>
          <cell r="G2932"/>
          <cell r="H2932"/>
          <cell r="I2932"/>
          <cell r="J2932"/>
          <cell r="K2932"/>
          <cell r="L2932"/>
          <cell r="M2932"/>
          <cell r="N2932"/>
          <cell r="O2932"/>
        </row>
        <row r="2933">
          <cell r="A2933"/>
          <cell r="B2933"/>
          <cell r="C2933"/>
          <cell r="D2933"/>
          <cell r="E2933"/>
          <cell r="F2933"/>
          <cell r="G2933"/>
          <cell r="H2933"/>
          <cell r="I2933"/>
          <cell r="J2933"/>
          <cell r="K2933"/>
          <cell r="L2933"/>
          <cell r="M2933"/>
          <cell r="N2933"/>
          <cell r="O2933"/>
        </row>
        <row r="2934">
          <cell r="A2934"/>
          <cell r="B2934"/>
          <cell r="C2934"/>
          <cell r="D2934"/>
          <cell r="E2934"/>
          <cell r="F2934"/>
          <cell r="G2934"/>
          <cell r="H2934"/>
          <cell r="I2934"/>
          <cell r="J2934"/>
          <cell r="K2934"/>
          <cell r="L2934"/>
          <cell r="M2934"/>
          <cell r="N2934"/>
          <cell r="O2934"/>
        </row>
        <row r="2935">
          <cell r="A2935"/>
          <cell r="B2935"/>
          <cell r="C2935"/>
          <cell r="D2935"/>
          <cell r="E2935"/>
          <cell r="F2935"/>
          <cell r="G2935"/>
          <cell r="H2935"/>
          <cell r="I2935"/>
          <cell r="J2935"/>
          <cell r="K2935"/>
          <cell r="L2935"/>
          <cell r="M2935"/>
          <cell r="N2935"/>
          <cell r="O2935"/>
        </row>
        <row r="2936">
          <cell r="A2936"/>
          <cell r="B2936"/>
          <cell r="C2936"/>
          <cell r="D2936"/>
          <cell r="E2936"/>
          <cell r="F2936"/>
          <cell r="G2936"/>
          <cell r="H2936"/>
          <cell r="I2936"/>
          <cell r="J2936"/>
          <cell r="K2936"/>
          <cell r="L2936"/>
          <cell r="M2936"/>
          <cell r="N2936"/>
          <cell r="O2936"/>
        </row>
        <row r="2937">
          <cell r="A2937"/>
          <cell r="B2937"/>
          <cell r="C2937"/>
          <cell r="D2937"/>
          <cell r="E2937"/>
          <cell r="F2937"/>
          <cell r="G2937"/>
          <cell r="H2937"/>
          <cell r="I2937"/>
          <cell r="J2937"/>
          <cell r="K2937"/>
          <cell r="L2937"/>
          <cell r="M2937"/>
          <cell r="N2937"/>
          <cell r="O2937"/>
        </row>
        <row r="2938">
          <cell r="A2938"/>
          <cell r="B2938"/>
          <cell r="C2938"/>
          <cell r="D2938"/>
          <cell r="E2938"/>
          <cell r="F2938"/>
          <cell r="G2938"/>
          <cell r="H2938"/>
          <cell r="I2938"/>
          <cell r="J2938"/>
          <cell r="K2938"/>
          <cell r="L2938"/>
          <cell r="M2938"/>
          <cell r="N2938"/>
          <cell r="O2938"/>
        </row>
        <row r="2939">
          <cell r="A2939"/>
          <cell r="B2939"/>
          <cell r="C2939"/>
          <cell r="D2939"/>
          <cell r="E2939"/>
          <cell r="F2939"/>
          <cell r="G2939"/>
          <cell r="H2939"/>
          <cell r="I2939"/>
          <cell r="J2939"/>
          <cell r="K2939"/>
          <cell r="L2939"/>
          <cell r="M2939"/>
          <cell r="N2939"/>
          <cell r="O2939"/>
        </row>
        <row r="2940">
          <cell r="A2940"/>
          <cell r="B2940"/>
          <cell r="C2940"/>
          <cell r="D2940"/>
          <cell r="E2940"/>
          <cell r="F2940"/>
          <cell r="G2940"/>
          <cell r="H2940"/>
          <cell r="I2940"/>
          <cell r="J2940"/>
          <cell r="K2940"/>
          <cell r="L2940"/>
          <cell r="M2940"/>
          <cell r="N2940"/>
          <cell r="O2940"/>
        </row>
        <row r="2941">
          <cell r="A2941"/>
          <cell r="B2941"/>
          <cell r="C2941"/>
          <cell r="D2941"/>
          <cell r="E2941"/>
          <cell r="F2941"/>
          <cell r="G2941"/>
          <cell r="H2941"/>
          <cell r="I2941"/>
          <cell r="J2941"/>
          <cell r="K2941"/>
          <cell r="L2941"/>
          <cell r="M2941"/>
          <cell r="N2941"/>
          <cell r="O2941"/>
        </row>
        <row r="2942">
          <cell r="A2942"/>
          <cell r="B2942"/>
          <cell r="C2942"/>
          <cell r="D2942"/>
          <cell r="E2942"/>
          <cell r="F2942"/>
          <cell r="G2942"/>
          <cell r="H2942"/>
          <cell r="I2942"/>
          <cell r="J2942"/>
          <cell r="K2942"/>
          <cell r="L2942"/>
          <cell r="M2942"/>
          <cell r="N2942"/>
          <cell r="O2942"/>
        </row>
        <row r="2943">
          <cell r="A2943"/>
          <cell r="B2943"/>
          <cell r="C2943"/>
          <cell r="D2943"/>
          <cell r="E2943"/>
          <cell r="F2943"/>
          <cell r="G2943"/>
          <cell r="H2943"/>
          <cell r="I2943"/>
          <cell r="J2943"/>
          <cell r="K2943"/>
          <cell r="L2943"/>
          <cell r="M2943"/>
          <cell r="N2943"/>
          <cell r="O2943"/>
        </row>
        <row r="2944">
          <cell r="A2944"/>
          <cell r="B2944"/>
          <cell r="C2944"/>
          <cell r="D2944"/>
          <cell r="E2944"/>
          <cell r="F2944"/>
          <cell r="G2944"/>
          <cell r="H2944"/>
          <cell r="I2944"/>
          <cell r="J2944"/>
          <cell r="K2944"/>
          <cell r="L2944"/>
          <cell r="M2944"/>
          <cell r="N2944"/>
          <cell r="O2944"/>
        </row>
        <row r="2945">
          <cell r="A2945"/>
          <cell r="B2945"/>
          <cell r="C2945"/>
          <cell r="D2945"/>
          <cell r="E2945"/>
          <cell r="F2945"/>
          <cell r="G2945"/>
          <cell r="H2945"/>
          <cell r="I2945"/>
          <cell r="J2945"/>
          <cell r="K2945"/>
          <cell r="L2945"/>
          <cell r="M2945"/>
          <cell r="N2945"/>
          <cell r="O2945"/>
        </row>
        <row r="2946">
          <cell r="A2946"/>
          <cell r="B2946"/>
          <cell r="C2946"/>
          <cell r="D2946"/>
          <cell r="E2946"/>
          <cell r="F2946"/>
          <cell r="G2946"/>
          <cell r="H2946"/>
          <cell r="I2946"/>
          <cell r="J2946"/>
          <cell r="K2946"/>
          <cell r="L2946"/>
          <cell r="M2946"/>
          <cell r="N2946"/>
          <cell r="O2946"/>
        </row>
        <row r="2947">
          <cell r="A2947"/>
          <cell r="B2947"/>
          <cell r="C2947"/>
          <cell r="D2947"/>
          <cell r="E2947"/>
          <cell r="F2947"/>
          <cell r="G2947"/>
          <cell r="H2947"/>
          <cell r="I2947"/>
          <cell r="J2947"/>
          <cell r="K2947"/>
          <cell r="L2947"/>
          <cell r="M2947"/>
          <cell r="N2947"/>
          <cell r="O2947"/>
        </row>
        <row r="2948">
          <cell r="A2948"/>
          <cell r="B2948"/>
          <cell r="C2948"/>
          <cell r="D2948"/>
          <cell r="E2948"/>
          <cell r="F2948"/>
          <cell r="G2948"/>
          <cell r="H2948"/>
          <cell r="I2948"/>
          <cell r="J2948"/>
          <cell r="K2948"/>
          <cell r="L2948"/>
          <cell r="M2948"/>
          <cell r="N2948"/>
          <cell r="O2948"/>
        </row>
        <row r="2949">
          <cell r="A2949"/>
          <cell r="B2949"/>
          <cell r="C2949"/>
          <cell r="D2949"/>
          <cell r="E2949"/>
          <cell r="F2949"/>
          <cell r="G2949"/>
          <cell r="H2949"/>
          <cell r="I2949"/>
          <cell r="J2949"/>
          <cell r="K2949"/>
          <cell r="L2949"/>
          <cell r="M2949"/>
          <cell r="N2949"/>
          <cell r="O2949"/>
        </row>
        <row r="2950">
          <cell r="A2950"/>
          <cell r="B2950"/>
          <cell r="C2950"/>
          <cell r="D2950"/>
          <cell r="E2950"/>
          <cell r="F2950"/>
          <cell r="G2950"/>
          <cell r="H2950"/>
          <cell r="I2950"/>
          <cell r="J2950"/>
          <cell r="K2950"/>
          <cell r="L2950"/>
          <cell r="M2950"/>
          <cell r="N2950"/>
          <cell r="O2950"/>
        </row>
        <row r="2951">
          <cell r="A2951"/>
          <cell r="B2951"/>
          <cell r="C2951"/>
          <cell r="D2951"/>
          <cell r="E2951"/>
          <cell r="F2951"/>
          <cell r="G2951"/>
          <cell r="H2951"/>
          <cell r="I2951"/>
          <cell r="J2951"/>
          <cell r="K2951"/>
          <cell r="L2951"/>
          <cell r="M2951"/>
          <cell r="N2951"/>
          <cell r="O2951"/>
        </row>
        <row r="2952">
          <cell r="A2952"/>
          <cell r="B2952"/>
          <cell r="C2952"/>
          <cell r="D2952"/>
          <cell r="E2952"/>
          <cell r="F2952"/>
          <cell r="G2952"/>
          <cell r="H2952"/>
          <cell r="I2952"/>
          <cell r="J2952"/>
          <cell r="K2952"/>
          <cell r="L2952"/>
          <cell r="M2952"/>
          <cell r="N2952"/>
          <cell r="O2952"/>
        </row>
        <row r="2953">
          <cell r="A2953"/>
          <cell r="B2953"/>
          <cell r="C2953"/>
          <cell r="D2953"/>
          <cell r="E2953"/>
          <cell r="F2953"/>
          <cell r="G2953"/>
          <cell r="H2953"/>
          <cell r="I2953"/>
          <cell r="J2953"/>
          <cell r="K2953"/>
          <cell r="L2953"/>
          <cell r="M2953"/>
          <cell r="N2953"/>
          <cell r="O2953"/>
        </row>
        <row r="2954">
          <cell r="A2954"/>
          <cell r="B2954"/>
          <cell r="C2954"/>
          <cell r="D2954"/>
          <cell r="E2954"/>
          <cell r="F2954"/>
          <cell r="G2954"/>
          <cell r="H2954"/>
          <cell r="I2954"/>
          <cell r="J2954"/>
          <cell r="K2954"/>
          <cell r="L2954"/>
          <cell r="M2954"/>
          <cell r="N2954"/>
          <cell r="O2954"/>
        </row>
        <row r="2955">
          <cell r="A2955"/>
          <cell r="B2955"/>
          <cell r="C2955"/>
          <cell r="D2955"/>
          <cell r="E2955"/>
          <cell r="F2955"/>
          <cell r="G2955"/>
          <cell r="H2955"/>
          <cell r="I2955"/>
          <cell r="J2955"/>
          <cell r="K2955"/>
          <cell r="L2955"/>
          <cell r="M2955"/>
          <cell r="N2955"/>
          <cell r="O2955"/>
        </row>
        <row r="2956">
          <cell r="A2956"/>
          <cell r="B2956"/>
          <cell r="C2956"/>
          <cell r="D2956"/>
          <cell r="E2956"/>
          <cell r="F2956"/>
          <cell r="G2956"/>
          <cell r="H2956"/>
          <cell r="I2956"/>
          <cell r="J2956"/>
          <cell r="K2956"/>
          <cell r="L2956"/>
          <cell r="M2956"/>
          <cell r="N2956"/>
          <cell r="O2956"/>
        </row>
        <row r="2957">
          <cell r="A2957"/>
          <cell r="B2957"/>
          <cell r="C2957"/>
          <cell r="D2957"/>
          <cell r="E2957"/>
          <cell r="F2957"/>
          <cell r="G2957"/>
          <cell r="H2957"/>
          <cell r="I2957"/>
          <cell r="J2957"/>
          <cell r="K2957"/>
          <cell r="L2957"/>
          <cell r="M2957"/>
          <cell r="N2957"/>
          <cell r="O2957"/>
        </row>
        <row r="2958">
          <cell r="A2958"/>
          <cell r="B2958"/>
          <cell r="C2958"/>
          <cell r="D2958"/>
          <cell r="E2958"/>
          <cell r="F2958"/>
          <cell r="G2958"/>
          <cell r="H2958"/>
          <cell r="I2958"/>
          <cell r="J2958"/>
          <cell r="K2958"/>
          <cell r="L2958"/>
          <cell r="M2958"/>
          <cell r="N2958"/>
          <cell r="O2958"/>
        </row>
        <row r="2959">
          <cell r="A2959"/>
          <cell r="B2959"/>
          <cell r="C2959"/>
          <cell r="D2959"/>
          <cell r="E2959"/>
          <cell r="F2959"/>
          <cell r="G2959"/>
          <cell r="H2959"/>
          <cell r="I2959"/>
          <cell r="J2959"/>
          <cell r="K2959"/>
          <cell r="L2959"/>
          <cell r="M2959"/>
          <cell r="N2959"/>
          <cell r="O2959"/>
        </row>
        <row r="2960">
          <cell r="A2960"/>
          <cell r="B2960"/>
          <cell r="C2960"/>
          <cell r="D2960"/>
          <cell r="E2960"/>
          <cell r="F2960"/>
          <cell r="G2960"/>
          <cell r="H2960"/>
          <cell r="I2960"/>
          <cell r="J2960"/>
          <cell r="K2960"/>
          <cell r="L2960"/>
          <cell r="M2960"/>
          <cell r="N2960"/>
          <cell r="O2960"/>
        </row>
        <row r="2961">
          <cell r="A2961"/>
          <cell r="B2961"/>
          <cell r="C2961"/>
          <cell r="D2961"/>
          <cell r="E2961"/>
          <cell r="F2961"/>
          <cell r="G2961"/>
          <cell r="H2961"/>
          <cell r="I2961"/>
          <cell r="J2961"/>
          <cell r="K2961"/>
          <cell r="L2961"/>
          <cell r="M2961"/>
          <cell r="N2961"/>
          <cell r="O2961"/>
        </row>
        <row r="2962">
          <cell r="A2962"/>
          <cell r="B2962"/>
          <cell r="C2962"/>
          <cell r="D2962"/>
          <cell r="E2962"/>
          <cell r="F2962"/>
          <cell r="G2962"/>
          <cell r="H2962"/>
          <cell r="I2962"/>
          <cell r="J2962"/>
          <cell r="K2962"/>
          <cell r="L2962"/>
          <cell r="M2962"/>
          <cell r="N2962"/>
          <cell r="O2962"/>
        </row>
        <row r="2963">
          <cell r="A2963"/>
          <cell r="B2963"/>
          <cell r="C2963"/>
          <cell r="D2963"/>
          <cell r="E2963"/>
          <cell r="F2963"/>
          <cell r="G2963"/>
          <cell r="H2963"/>
          <cell r="I2963"/>
          <cell r="J2963"/>
          <cell r="K2963"/>
          <cell r="L2963"/>
          <cell r="M2963"/>
          <cell r="N2963"/>
          <cell r="O2963"/>
        </row>
        <row r="2964">
          <cell r="A2964"/>
          <cell r="B2964"/>
          <cell r="C2964"/>
          <cell r="D2964"/>
          <cell r="E2964"/>
          <cell r="F2964"/>
          <cell r="G2964"/>
          <cell r="H2964"/>
          <cell r="I2964"/>
          <cell r="J2964"/>
          <cell r="K2964"/>
          <cell r="L2964"/>
          <cell r="M2964"/>
          <cell r="N2964"/>
          <cell r="O2964"/>
        </row>
        <row r="2965">
          <cell r="A2965"/>
          <cell r="B2965"/>
          <cell r="C2965"/>
          <cell r="D2965"/>
          <cell r="E2965"/>
          <cell r="F2965"/>
          <cell r="G2965"/>
          <cell r="H2965"/>
          <cell r="I2965"/>
          <cell r="J2965"/>
          <cell r="K2965"/>
          <cell r="L2965"/>
          <cell r="M2965"/>
          <cell r="N2965"/>
          <cell r="O2965"/>
        </row>
        <row r="2966">
          <cell r="A2966"/>
          <cell r="B2966"/>
          <cell r="C2966"/>
          <cell r="D2966"/>
          <cell r="E2966"/>
          <cell r="F2966"/>
          <cell r="G2966"/>
          <cell r="H2966"/>
          <cell r="I2966"/>
          <cell r="J2966"/>
          <cell r="K2966"/>
          <cell r="L2966"/>
          <cell r="M2966"/>
          <cell r="N2966"/>
          <cell r="O2966"/>
        </row>
        <row r="2967">
          <cell r="A2967"/>
          <cell r="B2967"/>
          <cell r="C2967"/>
          <cell r="D2967"/>
          <cell r="E2967"/>
          <cell r="F2967"/>
          <cell r="G2967"/>
          <cell r="H2967"/>
          <cell r="I2967"/>
          <cell r="J2967"/>
          <cell r="K2967"/>
          <cell r="L2967"/>
          <cell r="M2967"/>
          <cell r="N2967"/>
          <cell r="O2967"/>
        </row>
        <row r="2968">
          <cell r="A2968"/>
          <cell r="B2968"/>
          <cell r="C2968"/>
          <cell r="D2968"/>
          <cell r="E2968"/>
          <cell r="F2968"/>
          <cell r="G2968"/>
          <cell r="H2968"/>
          <cell r="I2968"/>
          <cell r="J2968"/>
          <cell r="K2968"/>
          <cell r="L2968"/>
          <cell r="M2968"/>
          <cell r="N2968"/>
          <cell r="O2968"/>
        </row>
        <row r="2969">
          <cell r="A2969"/>
          <cell r="B2969"/>
          <cell r="C2969"/>
          <cell r="D2969"/>
          <cell r="E2969"/>
          <cell r="F2969"/>
          <cell r="G2969"/>
          <cell r="H2969"/>
          <cell r="I2969"/>
          <cell r="J2969"/>
          <cell r="K2969"/>
          <cell r="L2969"/>
          <cell r="M2969"/>
          <cell r="N2969"/>
          <cell r="O2969"/>
        </row>
        <row r="2970">
          <cell r="A2970"/>
          <cell r="B2970"/>
          <cell r="C2970"/>
          <cell r="D2970"/>
          <cell r="E2970"/>
          <cell r="F2970"/>
          <cell r="G2970"/>
          <cell r="H2970"/>
          <cell r="I2970"/>
          <cell r="J2970"/>
          <cell r="K2970"/>
          <cell r="L2970"/>
          <cell r="M2970"/>
          <cell r="N2970"/>
          <cell r="O2970"/>
        </row>
        <row r="2971">
          <cell r="A2971"/>
          <cell r="B2971"/>
          <cell r="C2971"/>
          <cell r="D2971"/>
          <cell r="E2971"/>
          <cell r="F2971"/>
          <cell r="G2971"/>
          <cell r="H2971"/>
          <cell r="I2971"/>
          <cell r="J2971"/>
          <cell r="K2971"/>
          <cell r="L2971"/>
          <cell r="M2971"/>
          <cell r="N2971"/>
          <cell r="O2971"/>
        </row>
        <row r="2972">
          <cell r="A2972"/>
          <cell r="B2972"/>
          <cell r="C2972"/>
          <cell r="D2972"/>
          <cell r="E2972"/>
          <cell r="F2972"/>
          <cell r="G2972"/>
          <cell r="H2972"/>
          <cell r="I2972"/>
          <cell r="J2972"/>
          <cell r="K2972"/>
          <cell r="L2972"/>
          <cell r="M2972"/>
          <cell r="N2972"/>
          <cell r="O2972"/>
        </row>
        <row r="2973">
          <cell r="A2973"/>
          <cell r="B2973"/>
          <cell r="C2973"/>
          <cell r="D2973"/>
          <cell r="E2973"/>
          <cell r="F2973"/>
          <cell r="G2973"/>
          <cell r="H2973"/>
          <cell r="I2973"/>
          <cell r="J2973"/>
          <cell r="K2973"/>
          <cell r="L2973"/>
          <cell r="M2973"/>
          <cell r="N2973"/>
          <cell r="O2973"/>
        </row>
        <row r="2974">
          <cell r="A2974"/>
          <cell r="B2974"/>
          <cell r="C2974"/>
          <cell r="D2974"/>
          <cell r="E2974"/>
          <cell r="F2974"/>
          <cell r="G2974"/>
          <cell r="H2974"/>
          <cell r="I2974"/>
          <cell r="J2974"/>
          <cell r="K2974"/>
          <cell r="L2974"/>
          <cell r="M2974"/>
          <cell r="N2974"/>
          <cell r="O2974"/>
        </row>
        <row r="2975">
          <cell r="A2975"/>
          <cell r="B2975"/>
          <cell r="C2975"/>
          <cell r="D2975"/>
          <cell r="E2975"/>
          <cell r="F2975"/>
          <cell r="G2975"/>
          <cell r="H2975"/>
          <cell r="I2975"/>
          <cell r="J2975"/>
          <cell r="K2975"/>
          <cell r="L2975"/>
          <cell r="M2975"/>
          <cell r="N2975"/>
          <cell r="O2975"/>
        </row>
        <row r="2976">
          <cell r="A2976"/>
          <cell r="B2976"/>
          <cell r="C2976"/>
          <cell r="D2976"/>
          <cell r="E2976"/>
          <cell r="F2976"/>
          <cell r="G2976"/>
          <cell r="H2976"/>
          <cell r="I2976"/>
          <cell r="J2976"/>
          <cell r="K2976"/>
          <cell r="L2976"/>
          <cell r="M2976"/>
          <cell r="N2976"/>
          <cell r="O2976"/>
        </row>
        <row r="2977">
          <cell r="A2977"/>
          <cell r="B2977"/>
          <cell r="C2977"/>
          <cell r="D2977"/>
          <cell r="E2977"/>
          <cell r="F2977"/>
          <cell r="G2977"/>
          <cell r="H2977"/>
          <cell r="I2977"/>
          <cell r="J2977"/>
          <cell r="K2977"/>
          <cell r="L2977"/>
          <cell r="M2977"/>
          <cell r="N2977"/>
          <cell r="O2977"/>
        </row>
        <row r="2978">
          <cell r="A2978"/>
          <cell r="B2978"/>
          <cell r="C2978"/>
          <cell r="D2978"/>
          <cell r="E2978"/>
          <cell r="F2978"/>
          <cell r="G2978"/>
          <cell r="H2978"/>
          <cell r="I2978"/>
          <cell r="J2978"/>
          <cell r="K2978"/>
          <cell r="L2978"/>
          <cell r="M2978"/>
          <cell r="N2978"/>
          <cell r="O2978"/>
        </row>
        <row r="2979">
          <cell r="A2979"/>
          <cell r="B2979"/>
          <cell r="C2979"/>
          <cell r="D2979"/>
          <cell r="E2979"/>
          <cell r="F2979"/>
          <cell r="G2979"/>
          <cell r="H2979"/>
          <cell r="I2979"/>
          <cell r="J2979"/>
          <cell r="K2979"/>
          <cell r="L2979"/>
          <cell r="M2979"/>
          <cell r="N2979"/>
          <cell r="O2979"/>
        </row>
        <row r="2980">
          <cell r="A2980"/>
          <cell r="B2980"/>
          <cell r="C2980"/>
          <cell r="D2980"/>
          <cell r="E2980"/>
          <cell r="F2980"/>
          <cell r="G2980"/>
          <cell r="H2980"/>
          <cell r="I2980"/>
          <cell r="J2980"/>
          <cell r="K2980"/>
          <cell r="L2980"/>
          <cell r="M2980"/>
          <cell r="N2980"/>
          <cell r="O2980"/>
        </row>
        <row r="2981">
          <cell r="A2981"/>
          <cell r="B2981"/>
          <cell r="C2981"/>
          <cell r="D2981"/>
          <cell r="E2981"/>
          <cell r="F2981"/>
          <cell r="G2981"/>
          <cell r="H2981"/>
          <cell r="I2981"/>
          <cell r="J2981"/>
          <cell r="K2981"/>
          <cell r="L2981"/>
          <cell r="M2981"/>
          <cell r="N2981"/>
          <cell r="O2981"/>
        </row>
        <row r="2982">
          <cell r="A2982"/>
          <cell r="B2982"/>
          <cell r="C2982"/>
          <cell r="D2982"/>
          <cell r="E2982"/>
          <cell r="F2982"/>
          <cell r="G2982"/>
          <cell r="H2982"/>
          <cell r="I2982"/>
          <cell r="J2982"/>
          <cell r="K2982"/>
          <cell r="L2982"/>
          <cell r="M2982"/>
          <cell r="N2982"/>
          <cell r="O2982"/>
        </row>
        <row r="2983">
          <cell r="A2983"/>
          <cell r="B2983"/>
          <cell r="C2983"/>
          <cell r="D2983"/>
          <cell r="E2983"/>
          <cell r="F2983"/>
          <cell r="G2983"/>
          <cell r="H2983"/>
          <cell r="I2983"/>
          <cell r="J2983"/>
          <cell r="K2983"/>
          <cell r="L2983"/>
          <cell r="M2983"/>
          <cell r="N2983"/>
          <cell r="O2983"/>
        </row>
        <row r="2984">
          <cell r="A2984"/>
          <cell r="B2984"/>
          <cell r="C2984"/>
          <cell r="D2984"/>
          <cell r="E2984"/>
          <cell r="F2984"/>
          <cell r="G2984"/>
          <cell r="H2984"/>
          <cell r="I2984"/>
          <cell r="J2984"/>
          <cell r="K2984"/>
          <cell r="L2984"/>
          <cell r="M2984"/>
          <cell r="N2984"/>
          <cell r="O2984"/>
        </row>
        <row r="2985">
          <cell r="A2985"/>
          <cell r="B2985"/>
          <cell r="C2985"/>
          <cell r="D2985"/>
          <cell r="E2985"/>
          <cell r="F2985"/>
          <cell r="G2985"/>
          <cell r="H2985"/>
          <cell r="I2985"/>
          <cell r="J2985"/>
          <cell r="K2985"/>
          <cell r="L2985"/>
          <cell r="M2985"/>
          <cell r="N2985"/>
          <cell r="O2985"/>
        </row>
        <row r="2986">
          <cell r="A2986"/>
          <cell r="B2986"/>
          <cell r="C2986"/>
          <cell r="D2986"/>
          <cell r="E2986"/>
          <cell r="F2986"/>
          <cell r="G2986"/>
          <cell r="H2986"/>
          <cell r="I2986"/>
          <cell r="J2986"/>
          <cell r="K2986"/>
          <cell r="L2986"/>
          <cell r="M2986"/>
          <cell r="N2986"/>
          <cell r="O2986"/>
        </row>
        <row r="2987">
          <cell r="A2987"/>
          <cell r="B2987"/>
          <cell r="C2987"/>
          <cell r="D2987"/>
          <cell r="E2987"/>
          <cell r="F2987"/>
          <cell r="G2987"/>
          <cell r="H2987"/>
          <cell r="I2987"/>
          <cell r="J2987"/>
          <cell r="K2987"/>
          <cell r="L2987"/>
          <cell r="M2987"/>
          <cell r="N2987"/>
          <cell r="O2987"/>
        </row>
        <row r="2988">
          <cell r="A2988"/>
          <cell r="B2988"/>
          <cell r="C2988"/>
          <cell r="D2988"/>
          <cell r="E2988"/>
          <cell r="F2988"/>
          <cell r="G2988"/>
          <cell r="H2988"/>
          <cell r="I2988"/>
          <cell r="J2988"/>
          <cell r="K2988"/>
          <cell r="L2988"/>
          <cell r="M2988"/>
          <cell r="N2988"/>
          <cell r="O2988"/>
        </row>
        <row r="2989">
          <cell r="A2989"/>
          <cell r="B2989"/>
          <cell r="C2989"/>
          <cell r="D2989"/>
          <cell r="E2989"/>
          <cell r="F2989"/>
          <cell r="G2989"/>
          <cell r="H2989"/>
          <cell r="I2989"/>
          <cell r="J2989"/>
          <cell r="K2989"/>
          <cell r="L2989"/>
          <cell r="M2989"/>
          <cell r="N2989"/>
          <cell r="O2989"/>
        </row>
        <row r="2990">
          <cell r="A2990"/>
          <cell r="B2990"/>
          <cell r="C2990"/>
          <cell r="D2990"/>
          <cell r="E2990"/>
          <cell r="F2990"/>
          <cell r="G2990"/>
          <cell r="H2990"/>
          <cell r="I2990"/>
          <cell r="J2990"/>
          <cell r="K2990"/>
          <cell r="L2990"/>
          <cell r="M2990"/>
          <cell r="N2990"/>
          <cell r="O2990"/>
        </row>
        <row r="2991">
          <cell r="A2991"/>
          <cell r="B2991"/>
          <cell r="C2991"/>
          <cell r="D2991"/>
          <cell r="E2991"/>
          <cell r="F2991"/>
          <cell r="G2991"/>
          <cell r="H2991"/>
          <cell r="I2991"/>
          <cell r="J2991"/>
          <cell r="K2991"/>
          <cell r="L2991"/>
          <cell r="M2991"/>
          <cell r="N2991"/>
          <cell r="O2991"/>
        </row>
        <row r="2992">
          <cell r="A2992"/>
          <cell r="B2992"/>
          <cell r="C2992"/>
          <cell r="D2992"/>
          <cell r="E2992"/>
          <cell r="F2992"/>
          <cell r="G2992"/>
          <cell r="H2992"/>
          <cell r="I2992"/>
          <cell r="J2992"/>
          <cell r="K2992"/>
          <cell r="L2992"/>
          <cell r="M2992"/>
          <cell r="N2992"/>
          <cell r="O2992"/>
        </row>
        <row r="2993">
          <cell r="A2993"/>
          <cell r="B2993"/>
          <cell r="C2993"/>
          <cell r="D2993"/>
          <cell r="E2993"/>
          <cell r="F2993"/>
          <cell r="G2993"/>
          <cell r="H2993"/>
          <cell r="I2993"/>
          <cell r="J2993"/>
          <cell r="K2993"/>
          <cell r="L2993"/>
          <cell r="M2993"/>
          <cell r="N2993"/>
          <cell r="O2993"/>
        </row>
        <row r="2994">
          <cell r="A2994"/>
          <cell r="B2994"/>
          <cell r="C2994"/>
          <cell r="D2994"/>
          <cell r="E2994"/>
          <cell r="F2994"/>
          <cell r="G2994"/>
          <cell r="H2994"/>
          <cell r="I2994"/>
          <cell r="J2994"/>
          <cell r="K2994"/>
          <cell r="L2994"/>
          <cell r="M2994"/>
          <cell r="N2994"/>
          <cell r="O2994"/>
        </row>
        <row r="2995">
          <cell r="A2995"/>
          <cell r="B2995"/>
          <cell r="C2995"/>
          <cell r="D2995"/>
          <cell r="E2995"/>
          <cell r="F2995"/>
          <cell r="G2995"/>
          <cell r="H2995"/>
          <cell r="I2995"/>
          <cell r="J2995"/>
          <cell r="K2995"/>
          <cell r="L2995"/>
          <cell r="M2995"/>
          <cell r="N2995"/>
          <cell r="O2995"/>
        </row>
        <row r="2996">
          <cell r="A2996"/>
          <cell r="B2996"/>
          <cell r="C2996"/>
          <cell r="D2996"/>
          <cell r="E2996"/>
          <cell r="F2996"/>
          <cell r="G2996"/>
          <cell r="H2996"/>
          <cell r="I2996"/>
          <cell r="J2996"/>
          <cell r="K2996"/>
          <cell r="L2996"/>
          <cell r="M2996"/>
          <cell r="N2996"/>
          <cell r="O2996"/>
        </row>
        <row r="2997">
          <cell r="A2997"/>
          <cell r="B2997"/>
          <cell r="C2997"/>
          <cell r="D2997"/>
          <cell r="E2997"/>
          <cell r="F2997"/>
          <cell r="G2997"/>
          <cell r="H2997"/>
          <cell r="I2997"/>
          <cell r="J2997"/>
          <cell r="K2997"/>
          <cell r="L2997"/>
          <cell r="M2997"/>
          <cell r="N2997"/>
          <cell r="O2997"/>
        </row>
        <row r="2998">
          <cell r="A2998"/>
          <cell r="B2998"/>
          <cell r="C2998"/>
          <cell r="D2998"/>
          <cell r="E2998"/>
          <cell r="F2998"/>
          <cell r="G2998"/>
          <cell r="H2998"/>
          <cell r="I2998"/>
          <cell r="J2998"/>
          <cell r="K2998"/>
          <cell r="L2998"/>
          <cell r="M2998"/>
          <cell r="N2998"/>
          <cell r="O2998"/>
        </row>
        <row r="2999">
          <cell r="A2999"/>
          <cell r="B2999"/>
          <cell r="C2999"/>
          <cell r="D2999"/>
          <cell r="E2999"/>
          <cell r="F2999"/>
          <cell r="G2999"/>
          <cell r="H2999"/>
          <cell r="I2999"/>
          <cell r="J2999"/>
          <cell r="K2999"/>
          <cell r="L2999"/>
          <cell r="M2999"/>
          <cell r="N2999"/>
          <cell r="O2999"/>
        </row>
        <row r="3000">
          <cell r="A3000"/>
          <cell r="B3000"/>
          <cell r="C3000"/>
          <cell r="D3000"/>
          <cell r="E3000"/>
          <cell r="F3000"/>
          <cell r="G3000"/>
          <cell r="H3000"/>
          <cell r="I3000"/>
          <cell r="J3000"/>
          <cell r="K3000"/>
          <cell r="L3000"/>
          <cell r="M3000"/>
          <cell r="N3000"/>
          <cell r="O3000"/>
        </row>
        <row r="3001">
          <cell r="A3001"/>
          <cell r="B3001"/>
          <cell r="C3001"/>
          <cell r="D3001"/>
          <cell r="E3001"/>
          <cell r="F3001"/>
          <cell r="G3001"/>
          <cell r="H3001"/>
          <cell r="I3001"/>
          <cell r="J3001"/>
          <cell r="K3001"/>
          <cell r="L3001"/>
          <cell r="M3001"/>
          <cell r="N3001"/>
          <cell r="O3001"/>
        </row>
        <row r="3002">
          <cell r="A3002"/>
          <cell r="B3002"/>
          <cell r="C3002"/>
          <cell r="D3002"/>
          <cell r="E3002"/>
          <cell r="F3002"/>
          <cell r="G3002"/>
          <cell r="H3002"/>
          <cell r="I3002"/>
          <cell r="J3002"/>
          <cell r="K3002"/>
          <cell r="L3002"/>
          <cell r="M3002"/>
          <cell r="N3002"/>
          <cell r="O3002"/>
        </row>
        <row r="3003">
          <cell r="A3003"/>
          <cell r="B3003"/>
          <cell r="C3003"/>
          <cell r="D3003"/>
          <cell r="E3003"/>
          <cell r="F3003"/>
          <cell r="G3003"/>
          <cell r="H3003"/>
          <cell r="I3003"/>
          <cell r="J3003"/>
          <cell r="K3003"/>
          <cell r="L3003"/>
          <cell r="M3003"/>
          <cell r="N3003"/>
          <cell r="O3003"/>
        </row>
        <row r="3004">
          <cell r="A3004"/>
          <cell r="B3004"/>
          <cell r="C3004"/>
          <cell r="D3004"/>
          <cell r="E3004"/>
          <cell r="F3004"/>
          <cell r="G3004"/>
          <cell r="H3004"/>
          <cell r="I3004"/>
          <cell r="J3004"/>
          <cell r="K3004"/>
          <cell r="L3004"/>
          <cell r="M3004"/>
          <cell r="N3004"/>
          <cell r="O3004"/>
        </row>
        <row r="3005">
          <cell r="A3005"/>
          <cell r="B3005"/>
          <cell r="C3005"/>
          <cell r="D3005"/>
          <cell r="E3005"/>
          <cell r="F3005"/>
          <cell r="G3005"/>
          <cell r="H3005"/>
          <cell r="I3005"/>
          <cell r="J3005"/>
          <cell r="K3005"/>
          <cell r="L3005"/>
          <cell r="M3005"/>
          <cell r="N3005"/>
          <cell r="O3005"/>
        </row>
        <row r="3006">
          <cell r="A3006"/>
          <cell r="B3006"/>
          <cell r="C3006"/>
          <cell r="D3006"/>
          <cell r="E3006"/>
          <cell r="F3006"/>
          <cell r="G3006"/>
          <cell r="H3006"/>
          <cell r="I3006"/>
          <cell r="J3006"/>
          <cell r="K3006"/>
          <cell r="L3006"/>
          <cell r="M3006"/>
          <cell r="N3006"/>
          <cell r="O3006"/>
        </row>
        <row r="3007">
          <cell r="A3007"/>
          <cell r="B3007"/>
          <cell r="C3007"/>
          <cell r="D3007"/>
          <cell r="E3007"/>
          <cell r="F3007"/>
          <cell r="G3007"/>
          <cell r="H3007"/>
          <cell r="I3007"/>
          <cell r="J3007"/>
          <cell r="K3007"/>
          <cell r="L3007"/>
          <cell r="M3007"/>
          <cell r="N3007"/>
          <cell r="O3007"/>
        </row>
        <row r="3008">
          <cell r="A3008"/>
          <cell r="B3008"/>
          <cell r="C3008"/>
          <cell r="D3008"/>
          <cell r="E3008"/>
          <cell r="F3008"/>
          <cell r="G3008"/>
          <cell r="H3008"/>
          <cell r="I3008"/>
          <cell r="J3008"/>
          <cell r="K3008"/>
          <cell r="L3008"/>
          <cell r="M3008"/>
          <cell r="N3008"/>
          <cell r="O3008"/>
        </row>
        <row r="3009">
          <cell r="A3009"/>
          <cell r="B3009"/>
          <cell r="C3009"/>
          <cell r="D3009"/>
          <cell r="E3009"/>
          <cell r="F3009"/>
          <cell r="G3009"/>
          <cell r="H3009"/>
          <cell r="I3009"/>
          <cell r="J3009"/>
          <cell r="K3009"/>
          <cell r="L3009"/>
          <cell r="M3009"/>
          <cell r="N3009"/>
          <cell r="O3009"/>
        </row>
        <row r="3010">
          <cell r="A3010"/>
          <cell r="B3010"/>
          <cell r="C3010"/>
          <cell r="D3010"/>
          <cell r="E3010"/>
          <cell r="F3010"/>
          <cell r="G3010"/>
          <cell r="H3010"/>
          <cell r="I3010"/>
          <cell r="J3010"/>
          <cell r="K3010"/>
          <cell r="L3010"/>
          <cell r="M3010"/>
          <cell r="N3010"/>
          <cell r="O3010"/>
        </row>
        <row r="3011">
          <cell r="A3011"/>
          <cell r="B3011"/>
          <cell r="C3011"/>
          <cell r="D3011"/>
          <cell r="E3011"/>
          <cell r="F3011"/>
          <cell r="G3011"/>
          <cell r="H3011"/>
          <cell r="I3011"/>
          <cell r="J3011"/>
          <cell r="K3011"/>
          <cell r="L3011"/>
          <cell r="M3011"/>
          <cell r="N3011"/>
          <cell r="O3011"/>
        </row>
        <row r="3012">
          <cell r="A3012"/>
          <cell r="B3012"/>
          <cell r="C3012"/>
          <cell r="D3012"/>
          <cell r="E3012"/>
          <cell r="F3012"/>
          <cell r="G3012"/>
          <cell r="H3012"/>
          <cell r="I3012"/>
          <cell r="J3012"/>
          <cell r="K3012"/>
          <cell r="L3012"/>
          <cell r="M3012"/>
          <cell r="N3012"/>
          <cell r="O3012"/>
        </row>
        <row r="3013">
          <cell r="A3013"/>
          <cell r="B3013"/>
          <cell r="C3013"/>
          <cell r="D3013"/>
          <cell r="E3013"/>
          <cell r="F3013"/>
          <cell r="G3013"/>
          <cell r="H3013"/>
          <cell r="I3013"/>
          <cell r="J3013"/>
          <cell r="K3013"/>
          <cell r="L3013"/>
          <cell r="M3013"/>
          <cell r="N3013"/>
          <cell r="O3013"/>
        </row>
        <row r="3014">
          <cell r="A3014"/>
          <cell r="B3014"/>
          <cell r="C3014"/>
          <cell r="D3014"/>
          <cell r="E3014"/>
          <cell r="F3014"/>
          <cell r="G3014"/>
          <cell r="H3014"/>
          <cell r="I3014"/>
          <cell r="J3014"/>
          <cell r="K3014"/>
          <cell r="L3014"/>
          <cell r="M3014"/>
          <cell r="N3014"/>
          <cell r="O3014"/>
        </row>
        <row r="3015">
          <cell r="A3015"/>
          <cell r="B3015"/>
          <cell r="C3015"/>
          <cell r="D3015"/>
          <cell r="E3015"/>
          <cell r="F3015"/>
          <cell r="G3015"/>
          <cell r="H3015"/>
          <cell r="I3015"/>
          <cell r="J3015"/>
          <cell r="K3015"/>
          <cell r="L3015"/>
          <cell r="M3015"/>
          <cell r="N3015"/>
          <cell r="O3015"/>
        </row>
        <row r="3016">
          <cell r="A3016"/>
          <cell r="B3016"/>
          <cell r="C3016"/>
          <cell r="D3016"/>
          <cell r="E3016"/>
          <cell r="F3016"/>
          <cell r="G3016"/>
          <cell r="H3016"/>
          <cell r="I3016"/>
          <cell r="J3016"/>
          <cell r="K3016"/>
          <cell r="L3016"/>
          <cell r="M3016"/>
          <cell r="N3016"/>
          <cell r="O3016"/>
        </row>
        <row r="3017">
          <cell r="A3017"/>
          <cell r="B3017"/>
          <cell r="C3017"/>
          <cell r="D3017"/>
          <cell r="E3017"/>
          <cell r="F3017"/>
          <cell r="G3017"/>
          <cell r="H3017"/>
          <cell r="I3017"/>
          <cell r="J3017"/>
          <cell r="K3017"/>
          <cell r="L3017"/>
          <cell r="M3017"/>
          <cell r="N3017"/>
          <cell r="O3017"/>
        </row>
        <row r="3018">
          <cell r="A3018"/>
          <cell r="B3018"/>
          <cell r="C3018"/>
          <cell r="D3018"/>
          <cell r="E3018"/>
          <cell r="F3018"/>
          <cell r="G3018"/>
          <cell r="H3018"/>
          <cell r="I3018"/>
          <cell r="J3018"/>
          <cell r="K3018"/>
          <cell r="L3018"/>
          <cell r="M3018"/>
          <cell r="N3018"/>
          <cell r="O3018"/>
        </row>
        <row r="3019">
          <cell r="A3019"/>
          <cell r="B3019"/>
          <cell r="C3019"/>
          <cell r="D3019"/>
          <cell r="E3019"/>
          <cell r="F3019"/>
          <cell r="G3019"/>
          <cell r="H3019"/>
          <cell r="I3019"/>
          <cell r="J3019"/>
          <cell r="K3019"/>
          <cell r="L3019"/>
          <cell r="M3019"/>
          <cell r="N3019"/>
          <cell r="O3019"/>
        </row>
        <row r="3020">
          <cell r="A3020"/>
          <cell r="B3020"/>
          <cell r="C3020"/>
          <cell r="D3020"/>
          <cell r="E3020"/>
          <cell r="F3020"/>
          <cell r="G3020"/>
          <cell r="H3020"/>
          <cell r="I3020"/>
          <cell r="J3020"/>
          <cell r="K3020"/>
          <cell r="L3020"/>
          <cell r="M3020"/>
          <cell r="N3020"/>
          <cell r="O3020"/>
        </row>
        <row r="3021">
          <cell r="A3021"/>
          <cell r="B3021"/>
          <cell r="C3021"/>
          <cell r="D3021"/>
          <cell r="E3021"/>
          <cell r="F3021"/>
          <cell r="G3021"/>
          <cell r="H3021"/>
          <cell r="I3021"/>
          <cell r="J3021"/>
          <cell r="K3021"/>
          <cell r="L3021"/>
          <cell r="M3021"/>
          <cell r="N3021"/>
          <cell r="O3021"/>
        </row>
        <row r="3022">
          <cell r="A3022"/>
          <cell r="B3022"/>
          <cell r="C3022"/>
          <cell r="D3022"/>
          <cell r="E3022"/>
          <cell r="F3022"/>
          <cell r="G3022"/>
          <cell r="H3022"/>
          <cell r="I3022"/>
          <cell r="J3022"/>
          <cell r="K3022"/>
          <cell r="L3022"/>
          <cell r="M3022"/>
          <cell r="N3022"/>
          <cell r="O3022"/>
        </row>
        <row r="3023">
          <cell r="A3023"/>
          <cell r="B3023"/>
          <cell r="C3023"/>
          <cell r="D3023"/>
          <cell r="E3023"/>
          <cell r="F3023"/>
          <cell r="G3023"/>
          <cell r="H3023"/>
          <cell r="I3023"/>
          <cell r="J3023"/>
          <cell r="K3023"/>
          <cell r="L3023"/>
          <cell r="M3023"/>
          <cell r="N3023"/>
          <cell r="O3023"/>
        </row>
        <row r="3024">
          <cell r="A3024"/>
          <cell r="B3024"/>
          <cell r="C3024"/>
          <cell r="D3024"/>
          <cell r="E3024"/>
          <cell r="F3024"/>
          <cell r="G3024"/>
          <cell r="H3024"/>
          <cell r="I3024"/>
          <cell r="J3024"/>
          <cell r="K3024"/>
          <cell r="L3024"/>
          <cell r="M3024"/>
          <cell r="N3024"/>
          <cell r="O3024"/>
        </row>
        <row r="3025">
          <cell r="A3025"/>
          <cell r="B3025"/>
          <cell r="C3025"/>
          <cell r="D3025"/>
          <cell r="E3025"/>
          <cell r="F3025"/>
          <cell r="G3025"/>
          <cell r="H3025"/>
          <cell r="I3025"/>
          <cell r="J3025"/>
          <cell r="K3025"/>
          <cell r="L3025"/>
          <cell r="M3025"/>
          <cell r="N3025"/>
          <cell r="O3025"/>
        </row>
        <row r="3026">
          <cell r="A3026"/>
          <cell r="B3026"/>
          <cell r="C3026"/>
          <cell r="D3026"/>
          <cell r="E3026"/>
          <cell r="F3026"/>
          <cell r="G3026"/>
          <cell r="H3026"/>
          <cell r="I3026"/>
          <cell r="J3026"/>
          <cell r="K3026"/>
          <cell r="L3026"/>
          <cell r="M3026"/>
          <cell r="N3026"/>
          <cell r="O3026"/>
        </row>
        <row r="3027">
          <cell r="A3027"/>
          <cell r="B3027"/>
          <cell r="C3027"/>
          <cell r="D3027"/>
          <cell r="E3027"/>
          <cell r="F3027"/>
          <cell r="G3027"/>
          <cell r="H3027"/>
          <cell r="I3027"/>
          <cell r="J3027"/>
          <cell r="K3027"/>
          <cell r="L3027"/>
          <cell r="M3027"/>
          <cell r="N3027"/>
          <cell r="O3027"/>
        </row>
        <row r="3028">
          <cell r="A3028"/>
          <cell r="B3028"/>
          <cell r="C3028"/>
          <cell r="D3028"/>
          <cell r="E3028"/>
          <cell r="F3028"/>
          <cell r="G3028"/>
          <cell r="H3028"/>
          <cell r="I3028"/>
          <cell r="J3028"/>
          <cell r="K3028"/>
          <cell r="L3028"/>
          <cell r="M3028"/>
          <cell r="N3028"/>
          <cell r="O3028"/>
        </row>
        <row r="3029">
          <cell r="A3029"/>
          <cell r="B3029"/>
          <cell r="C3029"/>
          <cell r="D3029"/>
          <cell r="E3029"/>
          <cell r="F3029"/>
          <cell r="G3029"/>
          <cell r="H3029"/>
          <cell r="I3029"/>
          <cell r="J3029"/>
          <cell r="K3029"/>
          <cell r="L3029"/>
          <cell r="M3029"/>
          <cell r="N3029"/>
          <cell r="O3029"/>
        </row>
        <row r="3030">
          <cell r="A3030"/>
          <cell r="B3030"/>
          <cell r="C3030"/>
          <cell r="D3030"/>
          <cell r="E3030"/>
          <cell r="F3030"/>
          <cell r="G3030"/>
          <cell r="H3030"/>
          <cell r="I3030"/>
          <cell r="J3030"/>
          <cell r="K3030"/>
          <cell r="L3030"/>
          <cell r="M3030"/>
          <cell r="N3030"/>
          <cell r="O3030"/>
        </row>
        <row r="3031">
          <cell r="A3031"/>
          <cell r="B3031"/>
          <cell r="C3031"/>
          <cell r="D3031"/>
          <cell r="E3031"/>
          <cell r="F3031"/>
          <cell r="G3031"/>
          <cell r="H3031"/>
          <cell r="I3031"/>
          <cell r="J3031"/>
          <cell r="K3031"/>
          <cell r="L3031"/>
          <cell r="M3031"/>
          <cell r="N3031"/>
          <cell r="O3031"/>
        </row>
        <row r="3032">
          <cell r="A3032"/>
          <cell r="B3032"/>
          <cell r="C3032"/>
          <cell r="D3032"/>
          <cell r="E3032"/>
          <cell r="F3032"/>
          <cell r="G3032"/>
          <cell r="H3032"/>
          <cell r="I3032"/>
          <cell r="J3032"/>
          <cell r="K3032"/>
          <cell r="L3032"/>
          <cell r="M3032"/>
          <cell r="N3032"/>
          <cell r="O3032"/>
        </row>
        <row r="3033">
          <cell r="A3033"/>
          <cell r="B3033"/>
          <cell r="C3033"/>
          <cell r="D3033"/>
          <cell r="E3033"/>
          <cell r="F3033"/>
          <cell r="G3033"/>
          <cell r="H3033"/>
          <cell r="I3033"/>
          <cell r="J3033"/>
          <cell r="K3033"/>
          <cell r="L3033"/>
          <cell r="M3033"/>
          <cell r="N3033"/>
          <cell r="O3033"/>
        </row>
        <row r="3034">
          <cell r="A3034"/>
          <cell r="B3034"/>
          <cell r="C3034"/>
          <cell r="D3034"/>
          <cell r="E3034"/>
          <cell r="F3034"/>
          <cell r="G3034"/>
          <cell r="H3034"/>
          <cell r="I3034"/>
          <cell r="J3034"/>
          <cell r="K3034"/>
          <cell r="L3034"/>
          <cell r="M3034"/>
          <cell r="N3034"/>
          <cell r="O3034"/>
        </row>
        <row r="3035">
          <cell r="A3035"/>
          <cell r="B3035"/>
          <cell r="C3035"/>
          <cell r="D3035"/>
          <cell r="E3035"/>
          <cell r="F3035"/>
          <cell r="G3035"/>
          <cell r="H3035"/>
          <cell r="I3035"/>
          <cell r="J3035"/>
          <cell r="K3035"/>
          <cell r="L3035"/>
          <cell r="M3035"/>
          <cell r="N3035"/>
          <cell r="O3035"/>
        </row>
        <row r="3036">
          <cell r="A3036"/>
          <cell r="B3036"/>
          <cell r="C3036"/>
          <cell r="D3036"/>
          <cell r="E3036"/>
          <cell r="F3036"/>
          <cell r="G3036"/>
          <cell r="H3036"/>
          <cell r="I3036"/>
          <cell r="J3036"/>
          <cell r="K3036"/>
          <cell r="L3036"/>
          <cell r="M3036"/>
          <cell r="N3036"/>
          <cell r="O3036"/>
        </row>
        <row r="3037">
          <cell r="A3037"/>
          <cell r="B3037"/>
          <cell r="C3037"/>
          <cell r="D3037"/>
          <cell r="E3037"/>
          <cell r="F3037"/>
          <cell r="G3037"/>
          <cell r="H3037"/>
          <cell r="I3037"/>
          <cell r="J3037"/>
          <cell r="K3037"/>
          <cell r="L3037"/>
          <cell r="M3037"/>
          <cell r="N3037"/>
          <cell r="O3037"/>
        </row>
        <row r="3038">
          <cell r="A3038"/>
          <cell r="B3038"/>
          <cell r="C3038"/>
          <cell r="D3038"/>
          <cell r="E3038"/>
          <cell r="F3038"/>
          <cell r="G3038"/>
          <cell r="H3038"/>
          <cell r="I3038"/>
          <cell r="J3038"/>
          <cell r="K3038"/>
          <cell r="L3038"/>
          <cell r="M3038"/>
          <cell r="N3038"/>
          <cell r="O3038"/>
        </row>
        <row r="3039">
          <cell r="A3039"/>
          <cell r="B3039"/>
          <cell r="C3039"/>
          <cell r="D3039"/>
          <cell r="E3039"/>
          <cell r="F3039"/>
          <cell r="G3039"/>
          <cell r="H3039"/>
          <cell r="I3039"/>
          <cell r="J3039"/>
          <cell r="K3039"/>
          <cell r="L3039"/>
          <cell r="M3039"/>
          <cell r="N3039"/>
          <cell r="O3039"/>
        </row>
        <row r="3040">
          <cell r="A3040"/>
          <cell r="B3040"/>
          <cell r="C3040"/>
          <cell r="D3040"/>
          <cell r="E3040"/>
          <cell r="F3040"/>
          <cell r="G3040"/>
          <cell r="H3040"/>
          <cell r="I3040"/>
          <cell r="J3040"/>
          <cell r="K3040"/>
          <cell r="L3040"/>
          <cell r="M3040"/>
          <cell r="N3040"/>
          <cell r="O3040"/>
        </row>
        <row r="3041">
          <cell r="A3041"/>
          <cell r="B3041"/>
          <cell r="C3041"/>
          <cell r="D3041"/>
          <cell r="E3041"/>
          <cell r="F3041"/>
          <cell r="G3041"/>
          <cell r="H3041"/>
          <cell r="I3041"/>
          <cell r="J3041"/>
          <cell r="K3041"/>
          <cell r="L3041"/>
          <cell r="M3041"/>
          <cell r="N3041"/>
          <cell r="O3041"/>
        </row>
        <row r="3042">
          <cell r="A3042"/>
          <cell r="B3042"/>
          <cell r="C3042"/>
          <cell r="D3042"/>
          <cell r="E3042"/>
          <cell r="F3042"/>
          <cell r="G3042"/>
          <cell r="H3042"/>
          <cell r="I3042"/>
          <cell r="J3042"/>
          <cell r="K3042"/>
          <cell r="L3042"/>
          <cell r="M3042"/>
          <cell r="N3042"/>
          <cell r="O3042"/>
        </row>
        <row r="3043">
          <cell r="A3043"/>
          <cell r="B3043"/>
          <cell r="C3043"/>
          <cell r="D3043"/>
          <cell r="E3043"/>
          <cell r="F3043"/>
          <cell r="G3043"/>
          <cell r="H3043"/>
          <cell r="I3043"/>
          <cell r="J3043"/>
          <cell r="K3043"/>
          <cell r="L3043"/>
          <cell r="M3043"/>
          <cell r="N3043"/>
          <cell r="O3043"/>
        </row>
        <row r="3044">
          <cell r="A3044"/>
          <cell r="B3044"/>
          <cell r="C3044"/>
          <cell r="D3044"/>
          <cell r="E3044"/>
          <cell r="F3044"/>
          <cell r="G3044"/>
          <cell r="H3044"/>
          <cell r="I3044"/>
          <cell r="J3044"/>
          <cell r="K3044"/>
          <cell r="L3044"/>
          <cell r="M3044"/>
          <cell r="N3044"/>
          <cell r="O3044"/>
        </row>
        <row r="3045">
          <cell r="A3045"/>
          <cell r="B3045"/>
          <cell r="C3045"/>
          <cell r="D3045"/>
          <cell r="E3045"/>
          <cell r="F3045"/>
          <cell r="G3045"/>
          <cell r="H3045"/>
          <cell r="I3045"/>
          <cell r="J3045"/>
          <cell r="K3045"/>
          <cell r="L3045"/>
          <cell r="M3045"/>
          <cell r="N3045"/>
          <cell r="O3045"/>
        </row>
        <row r="3046">
          <cell r="A3046"/>
          <cell r="B3046"/>
          <cell r="C3046"/>
          <cell r="D3046"/>
          <cell r="E3046"/>
          <cell r="F3046"/>
          <cell r="G3046"/>
          <cell r="H3046"/>
          <cell r="I3046"/>
          <cell r="J3046"/>
          <cell r="K3046"/>
          <cell r="L3046"/>
          <cell r="M3046"/>
          <cell r="N3046"/>
          <cell r="O3046"/>
        </row>
        <row r="3047">
          <cell r="A3047"/>
          <cell r="B3047"/>
          <cell r="C3047"/>
          <cell r="D3047"/>
          <cell r="E3047"/>
          <cell r="F3047"/>
          <cell r="G3047"/>
          <cell r="H3047"/>
          <cell r="I3047"/>
          <cell r="J3047"/>
          <cell r="K3047"/>
          <cell r="L3047"/>
          <cell r="M3047"/>
          <cell r="N3047"/>
          <cell r="O3047"/>
        </row>
        <row r="3048">
          <cell r="A3048"/>
          <cell r="B3048"/>
          <cell r="C3048"/>
          <cell r="D3048"/>
          <cell r="E3048"/>
          <cell r="F3048"/>
          <cell r="G3048"/>
          <cell r="H3048"/>
          <cell r="I3048"/>
          <cell r="J3048"/>
          <cell r="K3048"/>
          <cell r="L3048"/>
          <cell r="M3048"/>
          <cell r="N3048"/>
          <cell r="O3048"/>
        </row>
        <row r="3049">
          <cell r="A3049"/>
          <cell r="B3049"/>
          <cell r="C3049"/>
          <cell r="D3049"/>
          <cell r="E3049"/>
          <cell r="F3049"/>
          <cell r="G3049"/>
          <cell r="H3049"/>
          <cell r="I3049"/>
          <cell r="J3049"/>
          <cell r="K3049"/>
          <cell r="L3049"/>
          <cell r="M3049"/>
          <cell r="N3049"/>
          <cell r="O3049"/>
        </row>
        <row r="3050">
          <cell r="A3050"/>
          <cell r="B3050"/>
          <cell r="C3050"/>
          <cell r="D3050"/>
          <cell r="E3050"/>
          <cell r="F3050"/>
          <cell r="G3050"/>
          <cell r="H3050"/>
          <cell r="I3050"/>
          <cell r="J3050"/>
          <cell r="K3050"/>
          <cell r="L3050"/>
          <cell r="M3050"/>
          <cell r="N3050"/>
          <cell r="O3050"/>
        </row>
        <row r="3051">
          <cell r="A3051"/>
          <cell r="B3051"/>
          <cell r="C3051"/>
          <cell r="D3051"/>
          <cell r="E3051"/>
          <cell r="F3051"/>
          <cell r="G3051"/>
          <cell r="H3051"/>
          <cell r="I3051"/>
          <cell r="J3051"/>
          <cell r="K3051"/>
          <cell r="L3051"/>
          <cell r="M3051"/>
          <cell r="N3051"/>
          <cell r="O3051"/>
        </row>
        <row r="3052">
          <cell r="A3052"/>
          <cell r="B3052"/>
          <cell r="C3052"/>
          <cell r="D3052"/>
          <cell r="E3052"/>
          <cell r="F3052"/>
          <cell r="G3052"/>
          <cell r="H3052"/>
          <cell r="I3052"/>
          <cell r="J3052"/>
          <cell r="K3052"/>
          <cell r="L3052"/>
          <cell r="M3052"/>
          <cell r="N3052"/>
          <cell r="O3052"/>
        </row>
        <row r="3053">
          <cell r="A3053"/>
          <cell r="B3053"/>
          <cell r="C3053"/>
          <cell r="D3053"/>
          <cell r="E3053"/>
          <cell r="F3053"/>
          <cell r="G3053"/>
          <cell r="H3053"/>
          <cell r="I3053"/>
          <cell r="J3053"/>
          <cell r="K3053"/>
          <cell r="L3053"/>
          <cell r="M3053"/>
          <cell r="N3053"/>
          <cell r="O3053"/>
        </row>
        <row r="3054">
          <cell r="A3054"/>
          <cell r="B3054"/>
          <cell r="C3054"/>
          <cell r="D3054"/>
          <cell r="E3054"/>
          <cell r="F3054"/>
          <cell r="G3054"/>
          <cell r="H3054"/>
          <cell r="I3054"/>
          <cell r="J3054"/>
          <cell r="K3054"/>
          <cell r="L3054"/>
          <cell r="M3054"/>
          <cell r="N3054"/>
          <cell r="O3054"/>
        </row>
        <row r="3055">
          <cell r="A3055"/>
          <cell r="B3055"/>
          <cell r="C3055"/>
          <cell r="D3055"/>
          <cell r="E3055"/>
          <cell r="F3055"/>
          <cell r="G3055"/>
          <cell r="H3055"/>
          <cell r="I3055"/>
          <cell r="J3055"/>
          <cell r="K3055"/>
          <cell r="L3055"/>
          <cell r="M3055"/>
          <cell r="N3055"/>
          <cell r="O3055"/>
        </row>
        <row r="3056">
          <cell r="A3056"/>
          <cell r="B3056"/>
          <cell r="C3056"/>
          <cell r="D3056"/>
          <cell r="E3056"/>
          <cell r="F3056"/>
          <cell r="G3056"/>
          <cell r="H3056"/>
          <cell r="I3056"/>
          <cell r="J3056"/>
          <cell r="K3056"/>
          <cell r="L3056"/>
          <cell r="M3056"/>
          <cell r="N3056"/>
          <cell r="O3056"/>
        </row>
        <row r="3057">
          <cell r="A3057"/>
          <cell r="B3057"/>
          <cell r="C3057"/>
          <cell r="D3057"/>
          <cell r="E3057"/>
          <cell r="F3057"/>
          <cell r="G3057"/>
          <cell r="H3057"/>
          <cell r="I3057"/>
          <cell r="J3057"/>
          <cell r="K3057"/>
          <cell r="L3057"/>
          <cell r="M3057"/>
          <cell r="N3057"/>
          <cell r="O3057"/>
        </row>
        <row r="3058">
          <cell r="A3058"/>
          <cell r="B3058"/>
          <cell r="C3058"/>
          <cell r="D3058"/>
          <cell r="E3058"/>
          <cell r="F3058"/>
          <cell r="G3058"/>
          <cell r="H3058"/>
          <cell r="I3058"/>
          <cell r="J3058"/>
          <cell r="K3058"/>
          <cell r="L3058"/>
          <cell r="M3058"/>
          <cell r="N3058"/>
          <cell r="O3058"/>
        </row>
        <row r="3059">
          <cell r="A3059"/>
          <cell r="B3059"/>
          <cell r="C3059"/>
          <cell r="D3059"/>
          <cell r="E3059"/>
          <cell r="F3059"/>
          <cell r="G3059"/>
          <cell r="H3059"/>
          <cell r="I3059"/>
          <cell r="J3059"/>
          <cell r="K3059"/>
          <cell r="L3059"/>
          <cell r="M3059"/>
          <cell r="N3059"/>
          <cell r="O3059"/>
        </row>
        <row r="3060">
          <cell r="A3060"/>
          <cell r="B3060"/>
          <cell r="C3060"/>
          <cell r="D3060"/>
          <cell r="E3060"/>
          <cell r="F3060"/>
          <cell r="G3060"/>
          <cell r="H3060"/>
          <cell r="I3060"/>
          <cell r="J3060"/>
          <cell r="K3060"/>
          <cell r="L3060"/>
          <cell r="M3060"/>
          <cell r="N3060"/>
          <cell r="O3060"/>
        </row>
        <row r="3061">
          <cell r="A3061"/>
          <cell r="B3061"/>
          <cell r="C3061"/>
          <cell r="D3061"/>
          <cell r="E3061"/>
          <cell r="F3061"/>
          <cell r="G3061"/>
          <cell r="H3061"/>
          <cell r="I3061"/>
          <cell r="J3061"/>
          <cell r="K3061"/>
          <cell r="L3061"/>
          <cell r="M3061"/>
          <cell r="N3061"/>
          <cell r="O3061"/>
        </row>
        <row r="3062">
          <cell r="A3062"/>
          <cell r="B3062"/>
          <cell r="C3062"/>
          <cell r="D3062"/>
          <cell r="E3062"/>
          <cell r="F3062"/>
          <cell r="G3062"/>
          <cell r="H3062"/>
          <cell r="I3062"/>
          <cell r="J3062"/>
          <cell r="K3062"/>
          <cell r="L3062"/>
          <cell r="M3062"/>
          <cell r="N3062"/>
          <cell r="O3062"/>
        </row>
        <row r="3063">
          <cell r="A3063"/>
          <cell r="B3063"/>
          <cell r="C3063"/>
          <cell r="D3063"/>
          <cell r="E3063"/>
          <cell r="F3063"/>
          <cell r="G3063"/>
          <cell r="H3063"/>
          <cell r="I3063"/>
          <cell r="J3063"/>
          <cell r="K3063"/>
          <cell r="L3063"/>
          <cell r="M3063"/>
          <cell r="N3063"/>
          <cell r="O3063"/>
        </row>
        <row r="3064">
          <cell r="A3064"/>
          <cell r="B3064"/>
          <cell r="C3064"/>
          <cell r="D3064"/>
          <cell r="E3064"/>
          <cell r="F3064"/>
          <cell r="G3064"/>
          <cell r="H3064"/>
          <cell r="I3064"/>
          <cell r="J3064"/>
          <cell r="K3064"/>
          <cell r="L3064"/>
          <cell r="M3064"/>
          <cell r="N3064"/>
          <cell r="O3064"/>
        </row>
        <row r="3065">
          <cell r="A3065"/>
          <cell r="B3065"/>
          <cell r="C3065"/>
          <cell r="D3065"/>
          <cell r="E3065"/>
          <cell r="F3065"/>
          <cell r="G3065"/>
          <cell r="H3065"/>
          <cell r="I3065"/>
          <cell r="J3065"/>
          <cell r="K3065"/>
          <cell r="L3065"/>
          <cell r="M3065"/>
          <cell r="N3065"/>
          <cell r="O3065"/>
        </row>
        <row r="3066">
          <cell r="A3066"/>
          <cell r="B3066"/>
          <cell r="C3066"/>
          <cell r="D3066"/>
          <cell r="E3066"/>
          <cell r="F3066"/>
          <cell r="G3066"/>
          <cell r="H3066"/>
          <cell r="I3066"/>
          <cell r="J3066"/>
          <cell r="K3066"/>
          <cell r="L3066"/>
          <cell r="M3066"/>
          <cell r="N3066"/>
          <cell r="O3066"/>
        </row>
        <row r="3067">
          <cell r="A3067"/>
          <cell r="B3067"/>
          <cell r="C3067"/>
          <cell r="D3067"/>
          <cell r="E3067"/>
          <cell r="F3067"/>
          <cell r="G3067"/>
          <cell r="H3067"/>
          <cell r="I3067"/>
          <cell r="J3067"/>
          <cell r="K3067"/>
          <cell r="L3067"/>
          <cell r="M3067"/>
          <cell r="N3067"/>
          <cell r="O3067"/>
        </row>
        <row r="3068">
          <cell r="A3068"/>
          <cell r="B3068"/>
          <cell r="C3068"/>
          <cell r="D3068"/>
          <cell r="E3068"/>
          <cell r="F3068"/>
          <cell r="G3068"/>
          <cell r="H3068"/>
          <cell r="I3068"/>
          <cell r="J3068"/>
          <cell r="K3068"/>
          <cell r="L3068"/>
          <cell r="M3068"/>
          <cell r="N3068"/>
          <cell r="O3068"/>
        </row>
        <row r="3069">
          <cell r="A3069"/>
          <cell r="B3069"/>
          <cell r="C3069"/>
          <cell r="D3069"/>
          <cell r="E3069"/>
          <cell r="F3069"/>
          <cell r="G3069"/>
          <cell r="H3069"/>
          <cell r="I3069"/>
          <cell r="J3069"/>
          <cell r="K3069"/>
          <cell r="L3069"/>
          <cell r="M3069"/>
          <cell r="N3069"/>
          <cell r="O3069"/>
        </row>
        <row r="3070">
          <cell r="A3070"/>
          <cell r="B3070"/>
          <cell r="C3070"/>
          <cell r="D3070"/>
          <cell r="E3070"/>
          <cell r="F3070"/>
          <cell r="G3070"/>
          <cell r="H3070"/>
          <cell r="I3070"/>
          <cell r="J3070"/>
          <cell r="K3070"/>
          <cell r="L3070"/>
          <cell r="M3070"/>
          <cell r="N3070"/>
          <cell r="O3070"/>
        </row>
        <row r="3071">
          <cell r="A3071"/>
          <cell r="B3071"/>
          <cell r="C3071"/>
          <cell r="D3071"/>
          <cell r="E3071"/>
          <cell r="F3071"/>
          <cell r="G3071"/>
          <cell r="H3071"/>
          <cell r="I3071"/>
          <cell r="J3071"/>
          <cell r="K3071"/>
          <cell r="L3071"/>
          <cell r="M3071"/>
          <cell r="N3071"/>
          <cell r="O3071"/>
        </row>
        <row r="3072">
          <cell r="A3072"/>
          <cell r="B3072"/>
          <cell r="C3072"/>
          <cell r="D3072"/>
          <cell r="E3072"/>
          <cell r="F3072"/>
          <cell r="G3072"/>
          <cell r="H3072"/>
          <cell r="I3072"/>
          <cell r="J3072"/>
          <cell r="K3072"/>
          <cell r="L3072"/>
          <cell r="M3072"/>
          <cell r="N3072"/>
          <cell r="O3072"/>
        </row>
        <row r="3073">
          <cell r="A3073"/>
          <cell r="B3073"/>
          <cell r="C3073"/>
          <cell r="D3073"/>
          <cell r="E3073"/>
          <cell r="F3073"/>
          <cell r="G3073"/>
          <cell r="H3073"/>
          <cell r="I3073"/>
          <cell r="J3073"/>
          <cell r="K3073"/>
          <cell r="L3073"/>
          <cell r="M3073"/>
          <cell r="N3073"/>
          <cell r="O3073"/>
        </row>
        <row r="3074">
          <cell r="A3074"/>
          <cell r="B3074"/>
          <cell r="C3074"/>
          <cell r="D3074"/>
          <cell r="E3074"/>
          <cell r="F3074"/>
          <cell r="G3074"/>
          <cell r="H3074"/>
          <cell r="I3074"/>
          <cell r="J3074"/>
          <cell r="K3074"/>
          <cell r="L3074"/>
          <cell r="M3074"/>
          <cell r="N3074"/>
          <cell r="O3074"/>
        </row>
        <row r="3075">
          <cell r="A3075"/>
          <cell r="B3075"/>
          <cell r="C3075"/>
          <cell r="D3075"/>
          <cell r="E3075"/>
          <cell r="F3075"/>
          <cell r="G3075"/>
          <cell r="H3075"/>
          <cell r="I3075"/>
          <cell r="J3075"/>
          <cell r="K3075"/>
          <cell r="L3075"/>
          <cell r="M3075"/>
          <cell r="N3075"/>
          <cell r="O3075"/>
        </row>
        <row r="3076">
          <cell r="A3076"/>
          <cell r="B3076"/>
          <cell r="C3076"/>
          <cell r="D3076"/>
          <cell r="E3076"/>
          <cell r="F3076"/>
          <cell r="G3076"/>
          <cell r="H3076"/>
          <cell r="I3076"/>
          <cell r="J3076"/>
          <cell r="K3076"/>
          <cell r="L3076"/>
          <cell r="M3076"/>
          <cell r="N3076"/>
          <cell r="O3076"/>
        </row>
        <row r="3077">
          <cell r="A3077"/>
          <cell r="B3077"/>
          <cell r="C3077"/>
          <cell r="D3077"/>
          <cell r="E3077"/>
          <cell r="F3077"/>
          <cell r="G3077"/>
          <cell r="H3077"/>
          <cell r="I3077"/>
          <cell r="J3077"/>
          <cell r="K3077"/>
          <cell r="L3077"/>
          <cell r="M3077"/>
          <cell r="N3077"/>
          <cell r="O3077"/>
        </row>
        <row r="3078">
          <cell r="A3078"/>
          <cell r="B3078"/>
          <cell r="C3078"/>
          <cell r="D3078"/>
          <cell r="E3078"/>
          <cell r="F3078"/>
          <cell r="G3078"/>
          <cell r="H3078"/>
          <cell r="I3078"/>
          <cell r="J3078"/>
          <cell r="K3078"/>
          <cell r="L3078"/>
          <cell r="M3078"/>
          <cell r="N3078"/>
          <cell r="O3078"/>
        </row>
        <row r="3079">
          <cell r="A3079"/>
          <cell r="B3079"/>
          <cell r="C3079"/>
          <cell r="D3079"/>
          <cell r="E3079"/>
          <cell r="F3079"/>
          <cell r="G3079"/>
          <cell r="H3079"/>
          <cell r="I3079"/>
          <cell r="J3079"/>
          <cell r="K3079"/>
          <cell r="L3079"/>
          <cell r="M3079"/>
          <cell r="N3079"/>
          <cell r="O3079"/>
        </row>
        <row r="3080">
          <cell r="A3080"/>
          <cell r="B3080"/>
          <cell r="C3080"/>
          <cell r="D3080"/>
          <cell r="E3080"/>
          <cell r="F3080"/>
          <cell r="G3080"/>
          <cell r="H3080"/>
          <cell r="I3080"/>
          <cell r="J3080"/>
          <cell r="K3080"/>
          <cell r="L3080"/>
          <cell r="M3080"/>
          <cell r="N3080"/>
          <cell r="O3080"/>
        </row>
        <row r="3081">
          <cell r="A3081"/>
          <cell r="B3081"/>
          <cell r="C3081"/>
          <cell r="D3081"/>
          <cell r="E3081"/>
          <cell r="F3081"/>
          <cell r="G3081"/>
          <cell r="H3081"/>
          <cell r="I3081"/>
          <cell r="J3081"/>
          <cell r="K3081"/>
          <cell r="L3081"/>
          <cell r="M3081"/>
          <cell r="N3081"/>
          <cell r="O3081"/>
        </row>
        <row r="3082">
          <cell r="A3082"/>
          <cell r="B3082"/>
          <cell r="C3082"/>
          <cell r="D3082"/>
          <cell r="E3082"/>
          <cell r="F3082"/>
          <cell r="G3082"/>
          <cell r="H3082"/>
          <cell r="I3082"/>
          <cell r="J3082"/>
          <cell r="K3082"/>
          <cell r="L3082"/>
          <cell r="M3082"/>
          <cell r="N3082"/>
          <cell r="O3082"/>
        </row>
        <row r="3083">
          <cell r="A3083"/>
          <cell r="B3083"/>
          <cell r="C3083"/>
          <cell r="D3083"/>
          <cell r="E3083"/>
          <cell r="F3083"/>
          <cell r="G3083"/>
          <cell r="H3083"/>
          <cell r="I3083"/>
          <cell r="J3083"/>
          <cell r="K3083"/>
          <cell r="L3083"/>
          <cell r="M3083"/>
          <cell r="N3083"/>
          <cell r="O3083"/>
        </row>
        <row r="3084">
          <cell r="A3084"/>
          <cell r="B3084"/>
          <cell r="C3084"/>
          <cell r="D3084"/>
          <cell r="E3084"/>
          <cell r="F3084"/>
          <cell r="G3084"/>
          <cell r="H3084"/>
          <cell r="I3084"/>
          <cell r="J3084"/>
          <cell r="K3084"/>
          <cell r="L3084"/>
          <cell r="M3084"/>
          <cell r="N3084"/>
          <cell r="O3084"/>
        </row>
        <row r="3085">
          <cell r="A3085"/>
          <cell r="B3085"/>
          <cell r="C3085"/>
          <cell r="D3085"/>
          <cell r="E3085"/>
          <cell r="F3085"/>
          <cell r="G3085"/>
          <cell r="H3085"/>
          <cell r="I3085"/>
          <cell r="J3085"/>
          <cell r="K3085"/>
          <cell r="L3085"/>
          <cell r="M3085"/>
          <cell r="N3085"/>
          <cell r="O3085"/>
        </row>
        <row r="3086">
          <cell r="A3086"/>
          <cell r="B3086"/>
          <cell r="C3086"/>
          <cell r="D3086"/>
          <cell r="E3086"/>
          <cell r="F3086"/>
          <cell r="G3086"/>
          <cell r="H3086"/>
          <cell r="I3086"/>
          <cell r="J3086"/>
          <cell r="K3086"/>
          <cell r="L3086"/>
          <cell r="M3086"/>
          <cell r="N3086"/>
          <cell r="O3086"/>
        </row>
        <row r="3087">
          <cell r="A3087"/>
          <cell r="B3087"/>
          <cell r="C3087"/>
          <cell r="D3087"/>
          <cell r="E3087"/>
          <cell r="F3087"/>
          <cell r="G3087"/>
          <cell r="H3087"/>
          <cell r="I3087"/>
          <cell r="J3087"/>
          <cell r="K3087"/>
          <cell r="L3087"/>
          <cell r="M3087"/>
          <cell r="N3087"/>
          <cell r="O3087"/>
        </row>
        <row r="3088">
          <cell r="A3088"/>
          <cell r="B3088"/>
          <cell r="C3088"/>
          <cell r="D3088"/>
          <cell r="E3088"/>
          <cell r="F3088"/>
          <cell r="G3088"/>
          <cell r="H3088"/>
          <cell r="I3088"/>
          <cell r="J3088"/>
          <cell r="K3088"/>
          <cell r="L3088"/>
          <cell r="M3088"/>
          <cell r="N3088"/>
          <cell r="O3088"/>
        </row>
        <row r="3089">
          <cell r="A3089"/>
          <cell r="B3089"/>
          <cell r="C3089"/>
          <cell r="D3089"/>
          <cell r="E3089"/>
          <cell r="F3089"/>
          <cell r="G3089"/>
          <cell r="H3089"/>
          <cell r="I3089"/>
          <cell r="J3089"/>
          <cell r="K3089"/>
          <cell r="L3089"/>
          <cell r="M3089"/>
          <cell r="N3089"/>
          <cell r="O3089"/>
        </row>
        <row r="3090">
          <cell r="A3090"/>
          <cell r="B3090"/>
          <cell r="C3090"/>
          <cell r="D3090"/>
          <cell r="E3090"/>
          <cell r="F3090"/>
          <cell r="G3090"/>
          <cell r="H3090"/>
          <cell r="I3090"/>
          <cell r="J3090"/>
          <cell r="K3090"/>
          <cell r="L3090"/>
          <cell r="M3090"/>
          <cell r="N3090"/>
          <cell r="O3090"/>
        </row>
        <row r="3091">
          <cell r="A3091"/>
          <cell r="B3091"/>
          <cell r="C3091"/>
          <cell r="D3091"/>
          <cell r="E3091"/>
          <cell r="F3091"/>
          <cell r="G3091"/>
          <cell r="H3091"/>
          <cell r="I3091"/>
          <cell r="J3091"/>
          <cell r="K3091"/>
          <cell r="L3091"/>
          <cell r="M3091"/>
          <cell r="N3091"/>
          <cell r="O3091"/>
        </row>
        <row r="3092">
          <cell r="A3092"/>
          <cell r="B3092"/>
          <cell r="C3092"/>
          <cell r="D3092"/>
          <cell r="E3092"/>
          <cell r="F3092"/>
          <cell r="G3092"/>
          <cell r="H3092"/>
          <cell r="I3092"/>
          <cell r="J3092"/>
          <cell r="K3092"/>
          <cell r="L3092"/>
          <cell r="M3092"/>
          <cell r="N3092"/>
          <cell r="O3092"/>
        </row>
        <row r="3093">
          <cell r="A3093"/>
          <cell r="B3093"/>
          <cell r="C3093"/>
          <cell r="D3093"/>
          <cell r="E3093"/>
          <cell r="F3093"/>
          <cell r="G3093"/>
          <cell r="H3093"/>
          <cell r="I3093"/>
          <cell r="J3093"/>
          <cell r="K3093"/>
          <cell r="L3093"/>
          <cell r="M3093"/>
          <cell r="N3093"/>
          <cell r="O3093"/>
        </row>
        <row r="3094">
          <cell r="A3094"/>
          <cell r="B3094"/>
          <cell r="C3094"/>
          <cell r="D3094"/>
          <cell r="E3094"/>
          <cell r="F3094"/>
          <cell r="G3094"/>
          <cell r="H3094"/>
          <cell r="I3094"/>
          <cell r="J3094"/>
          <cell r="K3094"/>
          <cell r="L3094"/>
          <cell r="M3094"/>
          <cell r="N3094"/>
          <cell r="O3094"/>
        </row>
        <row r="3095">
          <cell r="A3095"/>
          <cell r="B3095"/>
          <cell r="C3095"/>
          <cell r="D3095"/>
          <cell r="E3095"/>
          <cell r="F3095"/>
          <cell r="G3095"/>
          <cell r="H3095"/>
          <cell r="I3095"/>
          <cell r="J3095"/>
          <cell r="K3095"/>
          <cell r="L3095"/>
          <cell r="M3095"/>
          <cell r="N3095"/>
          <cell r="O3095"/>
        </row>
        <row r="3096">
          <cell r="A3096"/>
          <cell r="B3096"/>
          <cell r="C3096"/>
          <cell r="D3096"/>
          <cell r="E3096"/>
          <cell r="F3096"/>
          <cell r="G3096"/>
          <cell r="H3096"/>
          <cell r="I3096"/>
          <cell r="J3096"/>
          <cell r="K3096"/>
          <cell r="L3096"/>
          <cell r="M3096"/>
          <cell r="N3096"/>
          <cell r="O3096"/>
        </row>
        <row r="3097">
          <cell r="A3097"/>
          <cell r="B3097"/>
          <cell r="C3097"/>
          <cell r="D3097"/>
          <cell r="E3097"/>
          <cell r="F3097"/>
          <cell r="G3097"/>
          <cell r="H3097"/>
          <cell r="I3097"/>
          <cell r="J3097"/>
          <cell r="K3097"/>
          <cell r="L3097"/>
          <cell r="M3097"/>
          <cell r="N3097"/>
          <cell r="O3097"/>
        </row>
        <row r="3098">
          <cell r="A3098"/>
          <cell r="B3098"/>
          <cell r="C3098"/>
          <cell r="D3098"/>
          <cell r="E3098"/>
          <cell r="F3098"/>
          <cell r="G3098"/>
          <cell r="H3098"/>
          <cell r="I3098"/>
          <cell r="J3098"/>
          <cell r="K3098"/>
          <cell r="L3098"/>
          <cell r="M3098"/>
          <cell r="N3098"/>
          <cell r="O3098"/>
        </row>
        <row r="3099">
          <cell r="A3099"/>
          <cell r="B3099"/>
          <cell r="C3099"/>
          <cell r="D3099"/>
          <cell r="E3099"/>
          <cell r="F3099"/>
          <cell r="G3099"/>
          <cell r="H3099"/>
          <cell r="I3099"/>
          <cell r="J3099"/>
          <cell r="K3099"/>
          <cell r="L3099"/>
          <cell r="M3099"/>
          <cell r="N3099"/>
          <cell r="O3099"/>
        </row>
        <row r="3100">
          <cell r="A3100"/>
          <cell r="B3100"/>
          <cell r="C3100"/>
          <cell r="D3100"/>
          <cell r="E3100"/>
          <cell r="F3100"/>
          <cell r="G3100"/>
          <cell r="H3100"/>
          <cell r="I3100"/>
          <cell r="J3100"/>
          <cell r="K3100"/>
          <cell r="L3100"/>
          <cell r="M3100"/>
          <cell r="N3100"/>
          <cell r="O3100"/>
        </row>
        <row r="3101">
          <cell r="A3101"/>
          <cell r="B3101"/>
          <cell r="C3101"/>
          <cell r="D3101"/>
          <cell r="E3101"/>
          <cell r="F3101"/>
          <cell r="G3101"/>
          <cell r="H3101"/>
          <cell r="I3101"/>
          <cell r="J3101"/>
          <cell r="K3101"/>
          <cell r="L3101"/>
          <cell r="M3101"/>
          <cell r="N3101"/>
          <cell r="O3101"/>
        </row>
        <row r="3102">
          <cell r="A3102"/>
          <cell r="B3102"/>
          <cell r="C3102"/>
          <cell r="D3102"/>
          <cell r="E3102"/>
          <cell r="F3102"/>
          <cell r="G3102"/>
          <cell r="H3102"/>
          <cell r="I3102"/>
          <cell r="J3102"/>
          <cell r="K3102"/>
          <cell r="L3102"/>
          <cell r="M3102"/>
          <cell r="N3102"/>
          <cell r="O3102"/>
        </row>
        <row r="3103">
          <cell r="A3103"/>
          <cell r="B3103"/>
          <cell r="C3103"/>
          <cell r="D3103"/>
          <cell r="E3103"/>
          <cell r="F3103"/>
          <cell r="G3103"/>
          <cell r="H3103"/>
          <cell r="I3103"/>
          <cell r="J3103"/>
          <cell r="K3103"/>
          <cell r="L3103"/>
          <cell r="M3103"/>
          <cell r="N3103"/>
          <cell r="O3103"/>
        </row>
        <row r="3104">
          <cell r="A3104"/>
          <cell r="B3104"/>
          <cell r="C3104"/>
          <cell r="D3104"/>
          <cell r="E3104"/>
          <cell r="F3104"/>
          <cell r="G3104"/>
          <cell r="H3104"/>
          <cell r="I3104"/>
          <cell r="J3104"/>
          <cell r="K3104"/>
          <cell r="L3104"/>
          <cell r="M3104"/>
          <cell r="N3104"/>
          <cell r="O3104"/>
        </row>
        <row r="3105">
          <cell r="A3105"/>
          <cell r="B3105"/>
          <cell r="C3105"/>
          <cell r="D3105"/>
          <cell r="E3105"/>
          <cell r="F3105"/>
          <cell r="G3105"/>
          <cell r="H3105"/>
          <cell r="I3105"/>
          <cell r="J3105"/>
          <cell r="K3105"/>
          <cell r="L3105"/>
          <cell r="M3105"/>
          <cell r="N3105"/>
          <cell r="O3105"/>
        </row>
        <row r="3106">
          <cell r="A3106"/>
          <cell r="B3106"/>
          <cell r="C3106"/>
          <cell r="D3106"/>
          <cell r="E3106"/>
          <cell r="F3106"/>
          <cell r="G3106"/>
          <cell r="H3106"/>
          <cell r="I3106"/>
          <cell r="J3106"/>
          <cell r="K3106"/>
          <cell r="L3106"/>
          <cell r="M3106"/>
          <cell r="N3106"/>
          <cell r="O3106"/>
        </row>
        <row r="3107">
          <cell r="A3107"/>
          <cell r="B3107"/>
          <cell r="C3107"/>
          <cell r="D3107"/>
          <cell r="E3107"/>
          <cell r="F3107"/>
          <cell r="G3107"/>
          <cell r="H3107"/>
          <cell r="I3107"/>
          <cell r="J3107"/>
          <cell r="K3107"/>
          <cell r="L3107"/>
          <cell r="M3107"/>
          <cell r="N3107"/>
          <cell r="O3107"/>
        </row>
        <row r="3108">
          <cell r="A3108"/>
          <cell r="B3108"/>
          <cell r="C3108"/>
          <cell r="D3108"/>
          <cell r="E3108"/>
          <cell r="F3108"/>
          <cell r="G3108"/>
          <cell r="H3108"/>
          <cell r="I3108"/>
          <cell r="J3108"/>
          <cell r="K3108"/>
          <cell r="L3108"/>
          <cell r="M3108"/>
          <cell r="N3108"/>
          <cell r="O3108"/>
        </row>
        <row r="3109">
          <cell r="A3109"/>
          <cell r="B3109"/>
          <cell r="C3109"/>
          <cell r="D3109"/>
          <cell r="E3109"/>
          <cell r="F3109"/>
          <cell r="G3109"/>
          <cell r="H3109"/>
          <cell r="I3109"/>
          <cell r="J3109"/>
          <cell r="K3109"/>
          <cell r="L3109"/>
          <cell r="M3109"/>
          <cell r="N3109"/>
          <cell r="O3109"/>
        </row>
        <row r="3110">
          <cell r="A3110"/>
          <cell r="B3110"/>
          <cell r="C3110"/>
          <cell r="D3110"/>
          <cell r="E3110"/>
          <cell r="F3110"/>
          <cell r="G3110"/>
          <cell r="H3110"/>
          <cell r="I3110"/>
          <cell r="J3110"/>
          <cell r="K3110"/>
          <cell r="L3110"/>
          <cell r="M3110"/>
          <cell r="N3110"/>
          <cell r="O3110"/>
        </row>
        <row r="3111">
          <cell r="A3111"/>
          <cell r="B3111"/>
          <cell r="C3111"/>
          <cell r="D3111"/>
          <cell r="E3111"/>
          <cell r="F3111"/>
          <cell r="G3111"/>
          <cell r="H3111"/>
          <cell r="I3111"/>
          <cell r="J3111"/>
          <cell r="K3111"/>
          <cell r="L3111"/>
          <cell r="M3111"/>
          <cell r="N3111"/>
          <cell r="O3111"/>
        </row>
        <row r="3112">
          <cell r="A3112"/>
          <cell r="B3112"/>
          <cell r="C3112"/>
          <cell r="D3112"/>
          <cell r="E3112"/>
          <cell r="F3112"/>
          <cell r="G3112"/>
          <cell r="H3112"/>
          <cell r="I3112"/>
          <cell r="J3112"/>
          <cell r="K3112"/>
          <cell r="L3112"/>
          <cell r="M3112"/>
          <cell r="N3112"/>
          <cell r="O3112"/>
        </row>
        <row r="3113">
          <cell r="A3113"/>
          <cell r="B3113"/>
          <cell r="C3113"/>
          <cell r="D3113"/>
          <cell r="E3113"/>
          <cell r="F3113"/>
          <cell r="G3113"/>
          <cell r="H3113"/>
          <cell r="I3113"/>
          <cell r="J3113"/>
          <cell r="K3113"/>
          <cell r="L3113"/>
          <cell r="M3113"/>
          <cell r="N3113"/>
          <cell r="O3113"/>
        </row>
        <row r="3114">
          <cell r="A3114"/>
          <cell r="B3114"/>
          <cell r="C3114"/>
          <cell r="D3114"/>
          <cell r="E3114"/>
          <cell r="F3114"/>
          <cell r="G3114"/>
          <cell r="H3114"/>
          <cell r="I3114"/>
          <cell r="J3114"/>
          <cell r="K3114"/>
          <cell r="L3114"/>
          <cell r="M3114"/>
          <cell r="N3114"/>
          <cell r="O3114"/>
        </row>
        <row r="3115">
          <cell r="A3115"/>
          <cell r="B3115"/>
          <cell r="C3115"/>
          <cell r="D3115"/>
          <cell r="E3115"/>
          <cell r="F3115"/>
          <cell r="G3115"/>
          <cell r="H3115"/>
          <cell r="I3115"/>
          <cell r="J3115"/>
          <cell r="K3115"/>
          <cell r="L3115"/>
          <cell r="M3115"/>
          <cell r="N3115"/>
          <cell r="O3115"/>
        </row>
        <row r="3116">
          <cell r="A3116"/>
          <cell r="B3116"/>
          <cell r="C3116"/>
          <cell r="D3116"/>
          <cell r="E3116"/>
          <cell r="F3116"/>
          <cell r="G3116"/>
          <cell r="H3116"/>
          <cell r="I3116"/>
          <cell r="J3116"/>
          <cell r="K3116"/>
          <cell r="L3116"/>
          <cell r="M3116"/>
          <cell r="N3116"/>
          <cell r="O3116"/>
        </row>
        <row r="3117">
          <cell r="A3117"/>
          <cell r="B3117"/>
          <cell r="C3117"/>
          <cell r="D3117"/>
          <cell r="E3117"/>
          <cell r="F3117"/>
          <cell r="G3117"/>
          <cell r="H3117"/>
          <cell r="I3117"/>
          <cell r="J3117"/>
          <cell r="K3117"/>
          <cell r="L3117"/>
          <cell r="M3117"/>
          <cell r="N3117"/>
          <cell r="O3117"/>
        </row>
        <row r="3118">
          <cell r="A3118"/>
          <cell r="B3118"/>
          <cell r="C3118"/>
          <cell r="D3118"/>
          <cell r="E3118"/>
          <cell r="F3118"/>
          <cell r="G3118"/>
          <cell r="H3118"/>
          <cell r="I3118"/>
          <cell r="J3118"/>
          <cell r="K3118"/>
          <cell r="L3118"/>
          <cell r="M3118"/>
          <cell r="N3118"/>
          <cell r="O3118"/>
        </row>
        <row r="3119">
          <cell r="A3119"/>
          <cell r="B3119"/>
          <cell r="C3119"/>
          <cell r="D3119"/>
          <cell r="E3119"/>
          <cell r="F3119"/>
          <cell r="G3119"/>
          <cell r="H3119"/>
          <cell r="I3119"/>
          <cell r="J3119"/>
          <cell r="K3119"/>
          <cell r="L3119"/>
          <cell r="M3119"/>
          <cell r="N3119"/>
          <cell r="O3119"/>
        </row>
        <row r="3120">
          <cell r="A3120"/>
          <cell r="B3120"/>
          <cell r="C3120"/>
          <cell r="D3120"/>
          <cell r="E3120"/>
          <cell r="F3120"/>
          <cell r="G3120"/>
          <cell r="H3120"/>
          <cell r="I3120"/>
          <cell r="J3120"/>
          <cell r="K3120"/>
          <cell r="L3120"/>
          <cell r="M3120"/>
          <cell r="N3120"/>
          <cell r="O3120"/>
        </row>
        <row r="3121">
          <cell r="A3121"/>
          <cell r="B3121"/>
          <cell r="C3121"/>
          <cell r="D3121"/>
          <cell r="E3121"/>
          <cell r="F3121"/>
          <cell r="G3121"/>
          <cell r="H3121"/>
          <cell r="I3121"/>
          <cell r="J3121"/>
          <cell r="K3121"/>
          <cell r="L3121"/>
          <cell r="M3121"/>
          <cell r="N3121"/>
          <cell r="O3121"/>
        </row>
        <row r="3122">
          <cell r="A3122"/>
          <cell r="B3122"/>
          <cell r="C3122"/>
          <cell r="D3122"/>
          <cell r="E3122"/>
          <cell r="F3122"/>
          <cell r="G3122"/>
          <cell r="H3122"/>
          <cell r="I3122"/>
          <cell r="J3122"/>
          <cell r="K3122"/>
          <cell r="L3122"/>
          <cell r="M3122"/>
          <cell r="N3122"/>
          <cell r="O3122"/>
        </row>
        <row r="3123">
          <cell r="A3123"/>
          <cell r="B3123"/>
          <cell r="C3123"/>
          <cell r="D3123"/>
          <cell r="E3123"/>
          <cell r="F3123"/>
          <cell r="G3123"/>
          <cell r="H3123"/>
          <cell r="I3123"/>
          <cell r="J3123"/>
          <cell r="K3123"/>
          <cell r="L3123"/>
          <cell r="M3123"/>
          <cell r="N3123"/>
          <cell r="O3123"/>
        </row>
        <row r="3124">
          <cell r="A3124"/>
          <cell r="B3124"/>
          <cell r="C3124"/>
          <cell r="D3124"/>
          <cell r="E3124"/>
          <cell r="F3124"/>
          <cell r="G3124"/>
          <cell r="H3124"/>
          <cell r="I3124"/>
          <cell r="J3124"/>
          <cell r="K3124"/>
          <cell r="L3124"/>
          <cell r="M3124"/>
          <cell r="N3124"/>
          <cell r="O3124"/>
        </row>
        <row r="3125">
          <cell r="A3125"/>
          <cell r="B3125"/>
          <cell r="C3125"/>
          <cell r="D3125"/>
          <cell r="E3125"/>
          <cell r="F3125"/>
          <cell r="G3125"/>
          <cell r="H3125"/>
          <cell r="I3125"/>
          <cell r="J3125"/>
          <cell r="K3125"/>
          <cell r="L3125"/>
          <cell r="M3125"/>
          <cell r="N3125"/>
          <cell r="O3125"/>
        </row>
        <row r="3126">
          <cell r="A3126"/>
          <cell r="B3126"/>
          <cell r="C3126"/>
          <cell r="D3126"/>
          <cell r="E3126"/>
          <cell r="F3126"/>
          <cell r="G3126"/>
          <cell r="H3126"/>
          <cell r="I3126"/>
          <cell r="J3126"/>
          <cell r="K3126"/>
          <cell r="L3126"/>
          <cell r="M3126"/>
          <cell r="N3126"/>
          <cell r="O3126"/>
        </row>
        <row r="3127">
          <cell r="A3127"/>
          <cell r="B3127"/>
          <cell r="C3127"/>
          <cell r="D3127"/>
          <cell r="E3127"/>
          <cell r="F3127"/>
          <cell r="G3127"/>
          <cell r="H3127"/>
          <cell r="I3127"/>
          <cell r="J3127"/>
          <cell r="K3127"/>
          <cell r="L3127"/>
          <cell r="M3127"/>
          <cell r="N3127"/>
          <cell r="O3127"/>
        </row>
        <row r="3128">
          <cell r="A3128"/>
          <cell r="B3128"/>
          <cell r="C3128"/>
          <cell r="D3128"/>
          <cell r="E3128"/>
          <cell r="F3128"/>
          <cell r="G3128"/>
          <cell r="H3128"/>
          <cell r="I3128"/>
          <cell r="J3128"/>
          <cell r="K3128"/>
          <cell r="L3128"/>
          <cell r="M3128"/>
          <cell r="N3128"/>
          <cell r="O3128"/>
        </row>
        <row r="3129">
          <cell r="A3129"/>
          <cell r="B3129"/>
          <cell r="C3129"/>
          <cell r="D3129"/>
          <cell r="E3129"/>
          <cell r="F3129"/>
          <cell r="G3129"/>
          <cell r="H3129"/>
          <cell r="I3129"/>
          <cell r="J3129"/>
          <cell r="K3129"/>
          <cell r="L3129"/>
          <cell r="M3129"/>
          <cell r="N3129"/>
          <cell r="O3129"/>
        </row>
        <row r="3130">
          <cell r="A3130"/>
          <cell r="B3130"/>
          <cell r="C3130"/>
          <cell r="D3130"/>
          <cell r="E3130"/>
          <cell r="F3130"/>
          <cell r="G3130"/>
          <cell r="H3130"/>
          <cell r="I3130"/>
          <cell r="J3130"/>
          <cell r="K3130"/>
          <cell r="L3130"/>
          <cell r="M3130"/>
          <cell r="N3130"/>
          <cell r="O3130"/>
        </row>
        <row r="3131">
          <cell r="A3131"/>
          <cell r="B3131"/>
          <cell r="C3131"/>
          <cell r="D3131"/>
          <cell r="E3131"/>
          <cell r="F3131"/>
          <cell r="G3131"/>
          <cell r="H3131"/>
          <cell r="I3131"/>
          <cell r="J3131"/>
          <cell r="K3131"/>
          <cell r="L3131"/>
          <cell r="M3131"/>
          <cell r="N3131"/>
          <cell r="O3131"/>
        </row>
        <row r="3132">
          <cell r="A3132"/>
          <cell r="B3132"/>
          <cell r="C3132"/>
          <cell r="D3132"/>
          <cell r="E3132"/>
          <cell r="F3132"/>
          <cell r="G3132"/>
          <cell r="H3132"/>
          <cell r="I3132"/>
          <cell r="J3132"/>
          <cell r="K3132"/>
          <cell r="L3132"/>
          <cell r="M3132"/>
          <cell r="N3132"/>
          <cell r="O3132"/>
        </row>
        <row r="3133">
          <cell r="A3133"/>
          <cell r="B3133"/>
          <cell r="C3133"/>
          <cell r="D3133"/>
          <cell r="E3133"/>
          <cell r="F3133"/>
          <cell r="G3133"/>
          <cell r="H3133"/>
          <cell r="I3133"/>
          <cell r="J3133"/>
          <cell r="K3133"/>
          <cell r="L3133"/>
          <cell r="M3133"/>
          <cell r="N3133"/>
          <cell r="O3133"/>
        </row>
        <row r="3134">
          <cell r="A3134"/>
          <cell r="B3134"/>
          <cell r="C3134"/>
          <cell r="D3134"/>
          <cell r="E3134"/>
          <cell r="F3134"/>
          <cell r="G3134"/>
          <cell r="H3134"/>
          <cell r="I3134"/>
          <cell r="J3134"/>
          <cell r="K3134"/>
          <cell r="L3134"/>
          <cell r="M3134"/>
          <cell r="N3134"/>
          <cell r="O3134"/>
        </row>
        <row r="3135">
          <cell r="A3135"/>
          <cell r="B3135"/>
          <cell r="C3135"/>
          <cell r="D3135"/>
          <cell r="E3135"/>
          <cell r="F3135"/>
          <cell r="G3135"/>
          <cell r="H3135"/>
          <cell r="I3135"/>
          <cell r="J3135"/>
          <cell r="K3135"/>
          <cell r="L3135"/>
          <cell r="M3135"/>
          <cell r="N3135"/>
          <cell r="O3135"/>
        </row>
        <row r="3136">
          <cell r="A3136"/>
          <cell r="B3136"/>
          <cell r="C3136"/>
          <cell r="D3136"/>
          <cell r="E3136"/>
          <cell r="F3136"/>
          <cell r="G3136"/>
          <cell r="H3136"/>
          <cell r="I3136"/>
          <cell r="J3136"/>
          <cell r="K3136"/>
          <cell r="L3136"/>
          <cell r="M3136"/>
          <cell r="N3136"/>
          <cell r="O3136"/>
        </row>
        <row r="3137">
          <cell r="A3137"/>
          <cell r="B3137"/>
          <cell r="C3137"/>
          <cell r="D3137"/>
          <cell r="E3137"/>
          <cell r="F3137"/>
          <cell r="G3137"/>
          <cell r="H3137"/>
          <cell r="I3137"/>
          <cell r="J3137"/>
          <cell r="K3137"/>
          <cell r="L3137"/>
          <cell r="M3137"/>
          <cell r="N3137"/>
          <cell r="O3137"/>
        </row>
        <row r="3138">
          <cell r="A3138"/>
          <cell r="B3138"/>
          <cell r="C3138"/>
          <cell r="D3138"/>
          <cell r="E3138"/>
          <cell r="F3138"/>
          <cell r="G3138"/>
          <cell r="H3138"/>
          <cell r="I3138"/>
          <cell r="J3138"/>
          <cell r="K3138"/>
          <cell r="L3138"/>
          <cell r="M3138"/>
          <cell r="N3138"/>
          <cell r="O3138"/>
        </row>
        <row r="3139">
          <cell r="A3139"/>
          <cell r="B3139"/>
          <cell r="C3139"/>
          <cell r="D3139"/>
          <cell r="E3139"/>
          <cell r="F3139"/>
          <cell r="G3139"/>
          <cell r="H3139"/>
          <cell r="I3139"/>
          <cell r="J3139"/>
          <cell r="K3139"/>
          <cell r="L3139"/>
          <cell r="M3139"/>
          <cell r="N3139"/>
          <cell r="O3139"/>
        </row>
        <row r="3140">
          <cell r="A3140"/>
          <cell r="B3140"/>
          <cell r="C3140"/>
          <cell r="D3140"/>
          <cell r="E3140"/>
          <cell r="F3140"/>
          <cell r="G3140"/>
          <cell r="H3140"/>
          <cell r="I3140"/>
          <cell r="J3140"/>
          <cell r="K3140"/>
          <cell r="L3140"/>
          <cell r="M3140"/>
          <cell r="N3140"/>
          <cell r="O3140"/>
        </row>
        <row r="3141">
          <cell r="A3141"/>
          <cell r="B3141"/>
          <cell r="C3141"/>
          <cell r="D3141"/>
          <cell r="E3141"/>
          <cell r="F3141"/>
          <cell r="G3141"/>
          <cell r="H3141"/>
          <cell r="I3141"/>
          <cell r="J3141"/>
          <cell r="K3141"/>
          <cell r="L3141"/>
          <cell r="M3141"/>
          <cell r="N3141"/>
          <cell r="O3141"/>
        </row>
        <row r="3142">
          <cell r="A3142"/>
          <cell r="B3142"/>
          <cell r="C3142"/>
          <cell r="D3142"/>
          <cell r="E3142"/>
          <cell r="F3142"/>
          <cell r="G3142"/>
          <cell r="H3142"/>
          <cell r="I3142"/>
          <cell r="J3142"/>
          <cell r="K3142"/>
          <cell r="L3142"/>
          <cell r="M3142"/>
          <cell r="N3142"/>
          <cell r="O3142"/>
        </row>
        <row r="3143">
          <cell r="A3143"/>
          <cell r="B3143"/>
          <cell r="C3143"/>
          <cell r="D3143"/>
          <cell r="E3143"/>
          <cell r="F3143"/>
          <cell r="G3143"/>
          <cell r="H3143"/>
          <cell r="I3143"/>
          <cell r="J3143"/>
          <cell r="K3143"/>
          <cell r="L3143"/>
          <cell r="M3143"/>
          <cell r="N3143"/>
          <cell r="O3143"/>
        </row>
        <row r="3144">
          <cell r="A3144"/>
          <cell r="B3144"/>
          <cell r="C3144"/>
          <cell r="D3144"/>
          <cell r="E3144"/>
          <cell r="F3144"/>
          <cell r="G3144"/>
          <cell r="H3144"/>
          <cell r="I3144"/>
          <cell r="J3144"/>
          <cell r="K3144"/>
          <cell r="L3144"/>
          <cell r="M3144"/>
          <cell r="N3144"/>
          <cell r="O3144"/>
        </row>
        <row r="3145">
          <cell r="A3145"/>
          <cell r="B3145"/>
          <cell r="C3145"/>
          <cell r="D3145"/>
          <cell r="E3145"/>
          <cell r="F3145"/>
          <cell r="G3145"/>
          <cell r="H3145"/>
          <cell r="I3145"/>
          <cell r="J3145"/>
          <cell r="K3145"/>
          <cell r="L3145"/>
          <cell r="M3145"/>
          <cell r="N3145"/>
          <cell r="O3145"/>
        </row>
        <row r="3146">
          <cell r="A3146"/>
          <cell r="B3146"/>
          <cell r="C3146"/>
          <cell r="D3146"/>
          <cell r="E3146"/>
          <cell r="F3146"/>
          <cell r="G3146"/>
          <cell r="H3146"/>
          <cell r="I3146"/>
          <cell r="J3146"/>
          <cell r="K3146"/>
          <cell r="L3146"/>
          <cell r="M3146"/>
          <cell r="N3146"/>
          <cell r="O3146"/>
        </row>
        <row r="3147">
          <cell r="A3147"/>
          <cell r="B3147"/>
          <cell r="C3147"/>
          <cell r="D3147"/>
          <cell r="E3147"/>
          <cell r="F3147"/>
          <cell r="G3147"/>
          <cell r="H3147"/>
          <cell r="I3147"/>
          <cell r="J3147"/>
          <cell r="K3147"/>
          <cell r="L3147"/>
          <cell r="M3147"/>
          <cell r="N3147"/>
          <cell r="O3147"/>
        </row>
        <row r="3148">
          <cell r="A3148"/>
          <cell r="B3148"/>
          <cell r="C3148"/>
          <cell r="D3148"/>
          <cell r="E3148"/>
          <cell r="F3148"/>
          <cell r="G3148"/>
          <cell r="H3148"/>
          <cell r="I3148"/>
          <cell r="J3148"/>
          <cell r="K3148"/>
          <cell r="L3148"/>
          <cell r="M3148"/>
          <cell r="N3148"/>
          <cell r="O3148"/>
        </row>
        <row r="3149">
          <cell r="A3149"/>
          <cell r="B3149"/>
          <cell r="C3149"/>
          <cell r="D3149"/>
          <cell r="E3149"/>
          <cell r="F3149"/>
          <cell r="G3149"/>
          <cell r="H3149"/>
          <cell r="I3149"/>
          <cell r="J3149"/>
          <cell r="K3149"/>
          <cell r="L3149"/>
          <cell r="M3149"/>
          <cell r="N3149"/>
          <cell r="O3149"/>
        </row>
        <row r="3150">
          <cell r="A3150"/>
          <cell r="B3150"/>
          <cell r="C3150"/>
          <cell r="D3150"/>
          <cell r="E3150"/>
          <cell r="F3150"/>
          <cell r="G3150"/>
          <cell r="H3150"/>
          <cell r="I3150"/>
          <cell r="J3150"/>
          <cell r="K3150"/>
          <cell r="L3150"/>
          <cell r="M3150"/>
          <cell r="N3150"/>
          <cell r="O3150"/>
        </row>
        <row r="3151">
          <cell r="A3151"/>
          <cell r="B3151"/>
          <cell r="C3151"/>
          <cell r="D3151"/>
          <cell r="E3151"/>
          <cell r="F3151"/>
          <cell r="G3151"/>
          <cell r="H3151"/>
          <cell r="I3151"/>
          <cell r="J3151"/>
          <cell r="K3151"/>
          <cell r="L3151"/>
          <cell r="M3151"/>
          <cell r="N3151"/>
          <cell r="O3151"/>
        </row>
        <row r="3152">
          <cell r="A3152"/>
          <cell r="B3152"/>
          <cell r="C3152"/>
          <cell r="D3152"/>
          <cell r="E3152"/>
          <cell r="F3152"/>
          <cell r="G3152"/>
          <cell r="H3152"/>
          <cell r="I3152"/>
          <cell r="J3152"/>
          <cell r="K3152"/>
          <cell r="L3152"/>
          <cell r="M3152"/>
          <cell r="N3152"/>
          <cell r="O3152"/>
        </row>
        <row r="3153">
          <cell r="A3153"/>
          <cell r="B3153"/>
          <cell r="C3153"/>
          <cell r="D3153"/>
          <cell r="E3153"/>
          <cell r="F3153"/>
          <cell r="G3153"/>
          <cell r="H3153"/>
          <cell r="I3153"/>
          <cell r="J3153"/>
          <cell r="K3153"/>
          <cell r="L3153"/>
          <cell r="M3153"/>
          <cell r="N3153"/>
          <cell r="O3153"/>
        </row>
        <row r="3154">
          <cell r="A3154"/>
          <cell r="B3154"/>
          <cell r="C3154"/>
          <cell r="D3154"/>
          <cell r="E3154"/>
          <cell r="F3154"/>
          <cell r="G3154"/>
          <cell r="H3154"/>
          <cell r="I3154"/>
          <cell r="J3154"/>
          <cell r="K3154"/>
          <cell r="L3154"/>
          <cell r="M3154"/>
          <cell r="N3154"/>
          <cell r="O3154"/>
        </row>
        <row r="3155">
          <cell r="A3155"/>
          <cell r="B3155"/>
          <cell r="C3155"/>
          <cell r="D3155"/>
          <cell r="E3155"/>
          <cell r="F3155"/>
          <cell r="G3155"/>
          <cell r="H3155"/>
          <cell r="I3155"/>
          <cell r="J3155"/>
          <cell r="K3155"/>
          <cell r="L3155"/>
          <cell r="M3155"/>
          <cell r="N3155"/>
          <cell r="O3155"/>
        </row>
        <row r="3156">
          <cell r="A3156"/>
          <cell r="B3156"/>
          <cell r="C3156"/>
          <cell r="D3156"/>
          <cell r="E3156"/>
          <cell r="F3156"/>
          <cell r="G3156"/>
          <cell r="H3156"/>
          <cell r="I3156"/>
          <cell r="J3156"/>
          <cell r="K3156"/>
          <cell r="L3156"/>
          <cell r="M3156"/>
          <cell r="N3156"/>
          <cell r="O3156"/>
        </row>
        <row r="3157">
          <cell r="A3157"/>
          <cell r="B3157"/>
          <cell r="C3157"/>
          <cell r="D3157"/>
          <cell r="E3157"/>
          <cell r="F3157"/>
          <cell r="G3157"/>
          <cell r="H3157"/>
          <cell r="I3157"/>
          <cell r="J3157"/>
          <cell r="K3157"/>
          <cell r="L3157"/>
          <cell r="M3157"/>
          <cell r="N3157"/>
          <cell r="O3157"/>
        </row>
        <row r="3158">
          <cell r="A3158"/>
          <cell r="B3158"/>
          <cell r="C3158"/>
          <cell r="D3158"/>
          <cell r="E3158"/>
          <cell r="F3158"/>
          <cell r="G3158"/>
          <cell r="H3158"/>
          <cell r="I3158"/>
          <cell r="J3158"/>
          <cell r="K3158"/>
          <cell r="L3158"/>
          <cell r="M3158"/>
          <cell r="N3158"/>
          <cell r="O3158"/>
        </row>
        <row r="3159">
          <cell r="A3159"/>
          <cell r="B3159"/>
          <cell r="C3159"/>
          <cell r="D3159"/>
          <cell r="E3159"/>
          <cell r="F3159"/>
          <cell r="G3159"/>
          <cell r="H3159"/>
          <cell r="I3159"/>
          <cell r="J3159"/>
          <cell r="K3159"/>
          <cell r="L3159"/>
          <cell r="M3159"/>
          <cell r="N3159"/>
          <cell r="O3159"/>
        </row>
        <row r="3160">
          <cell r="A3160"/>
          <cell r="B3160"/>
          <cell r="C3160"/>
          <cell r="D3160"/>
          <cell r="E3160"/>
          <cell r="F3160"/>
          <cell r="G3160"/>
          <cell r="H3160"/>
          <cell r="I3160"/>
          <cell r="J3160"/>
          <cell r="K3160"/>
          <cell r="L3160"/>
          <cell r="M3160"/>
          <cell r="N3160"/>
          <cell r="O3160"/>
        </row>
        <row r="3161">
          <cell r="A3161"/>
          <cell r="B3161"/>
          <cell r="C3161"/>
          <cell r="D3161"/>
          <cell r="E3161"/>
          <cell r="F3161"/>
          <cell r="G3161"/>
          <cell r="H3161"/>
          <cell r="I3161"/>
          <cell r="J3161"/>
          <cell r="K3161"/>
          <cell r="L3161"/>
          <cell r="M3161"/>
          <cell r="N3161"/>
          <cell r="O3161"/>
        </row>
        <row r="3162">
          <cell r="A3162"/>
          <cell r="B3162"/>
          <cell r="C3162"/>
          <cell r="D3162"/>
          <cell r="E3162"/>
          <cell r="F3162"/>
          <cell r="G3162"/>
          <cell r="H3162"/>
          <cell r="I3162"/>
          <cell r="J3162"/>
          <cell r="K3162"/>
          <cell r="L3162"/>
          <cell r="M3162"/>
          <cell r="N3162"/>
          <cell r="O3162"/>
        </row>
        <row r="3163">
          <cell r="A3163"/>
          <cell r="B3163"/>
          <cell r="C3163"/>
          <cell r="D3163"/>
          <cell r="E3163"/>
          <cell r="F3163"/>
          <cell r="G3163"/>
          <cell r="H3163"/>
          <cell r="I3163"/>
          <cell r="J3163"/>
          <cell r="K3163"/>
          <cell r="L3163"/>
          <cell r="M3163"/>
          <cell r="N3163"/>
          <cell r="O3163"/>
        </row>
        <row r="3164">
          <cell r="A3164"/>
          <cell r="B3164"/>
          <cell r="C3164"/>
          <cell r="D3164"/>
          <cell r="E3164"/>
          <cell r="F3164"/>
          <cell r="G3164"/>
          <cell r="H3164"/>
          <cell r="I3164"/>
          <cell r="J3164"/>
          <cell r="K3164"/>
          <cell r="L3164"/>
          <cell r="M3164"/>
          <cell r="N3164"/>
          <cell r="O3164"/>
        </row>
        <row r="3165">
          <cell r="A3165"/>
          <cell r="B3165"/>
          <cell r="C3165"/>
          <cell r="D3165"/>
          <cell r="E3165"/>
          <cell r="F3165"/>
          <cell r="G3165"/>
          <cell r="H3165"/>
          <cell r="I3165"/>
          <cell r="J3165"/>
          <cell r="K3165"/>
          <cell r="L3165"/>
          <cell r="M3165"/>
          <cell r="N3165"/>
          <cell r="O3165"/>
        </row>
        <row r="3166">
          <cell r="A3166"/>
          <cell r="B3166"/>
          <cell r="C3166"/>
          <cell r="D3166"/>
          <cell r="E3166"/>
          <cell r="F3166"/>
          <cell r="G3166"/>
          <cell r="H3166"/>
          <cell r="I3166"/>
          <cell r="J3166"/>
          <cell r="K3166"/>
          <cell r="L3166"/>
          <cell r="M3166"/>
          <cell r="N3166"/>
          <cell r="O3166"/>
        </row>
        <row r="3167">
          <cell r="A3167"/>
          <cell r="B3167"/>
          <cell r="C3167"/>
          <cell r="D3167"/>
          <cell r="E3167"/>
          <cell r="F3167"/>
          <cell r="G3167"/>
          <cell r="H3167"/>
          <cell r="I3167"/>
          <cell r="J3167"/>
          <cell r="K3167"/>
          <cell r="L3167"/>
          <cell r="M3167"/>
          <cell r="N3167"/>
          <cell r="O3167"/>
        </row>
        <row r="3168">
          <cell r="A3168"/>
          <cell r="B3168"/>
          <cell r="C3168"/>
          <cell r="D3168"/>
          <cell r="E3168"/>
          <cell r="F3168"/>
          <cell r="G3168"/>
          <cell r="H3168"/>
          <cell r="I3168"/>
          <cell r="J3168"/>
          <cell r="K3168"/>
          <cell r="L3168"/>
          <cell r="M3168"/>
          <cell r="N3168"/>
          <cell r="O3168"/>
        </row>
        <row r="3169">
          <cell r="A3169"/>
          <cell r="B3169"/>
          <cell r="C3169"/>
          <cell r="D3169"/>
          <cell r="E3169"/>
          <cell r="F3169"/>
          <cell r="G3169"/>
          <cell r="H3169"/>
          <cell r="I3169"/>
          <cell r="J3169"/>
          <cell r="K3169"/>
          <cell r="L3169"/>
          <cell r="M3169"/>
          <cell r="N3169"/>
          <cell r="O3169"/>
        </row>
        <row r="3170">
          <cell r="A3170"/>
          <cell r="B3170"/>
          <cell r="C3170"/>
          <cell r="D3170"/>
          <cell r="E3170"/>
          <cell r="F3170"/>
          <cell r="G3170"/>
          <cell r="H3170"/>
          <cell r="I3170"/>
          <cell r="J3170"/>
          <cell r="K3170"/>
          <cell r="L3170"/>
          <cell r="M3170"/>
          <cell r="N3170"/>
          <cell r="O3170"/>
        </row>
        <row r="3171">
          <cell r="A3171"/>
          <cell r="B3171"/>
          <cell r="C3171"/>
          <cell r="D3171"/>
          <cell r="E3171"/>
          <cell r="F3171"/>
          <cell r="G3171"/>
          <cell r="H3171"/>
          <cell r="I3171"/>
          <cell r="J3171"/>
          <cell r="K3171"/>
          <cell r="L3171"/>
          <cell r="M3171"/>
          <cell r="N3171"/>
          <cell r="O3171"/>
        </row>
        <row r="3172">
          <cell r="A3172"/>
          <cell r="B3172"/>
          <cell r="C3172"/>
          <cell r="D3172"/>
          <cell r="E3172"/>
          <cell r="F3172"/>
          <cell r="G3172"/>
          <cell r="H3172"/>
          <cell r="I3172"/>
          <cell r="J3172"/>
          <cell r="K3172"/>
          <cell r="L3172"/>
          <cell r="M3172"/>
          <cell r="N3172"/>
          <cell r="O3172"/>
        </row>
        <row r="3173">
          <cell r="A3173"/>
          <cell r="B3173"/>
          <cell r="C3173"/>
          <cell r="D3173"/>
          <cell r="E3173"/>
          <cell r="F3173"/>
          <cell r="G3173"/>
          <cell r="H3173"/>
          <cell r="I3173"/>
          <cell r="J3173"/>
          <cell r="K3173"/>
          <cell r="L3173"/>
          <cell r="M3173"/>
          <cell r="N3173"/>
          <cell r="O3173"/>
        </row>
        <row r="3174">
          <cell r="A3174"/>
          <cell r="B3174"/>
          <cell r="C3174"/>
          <cell r="D3174"/>
          <cell r="E3174"/>
          <cell r="F3174"/>
          <cell r="G3174"/>
          <cell r="H3174"/>
          <cell r="I3174"/>
          <cell r="J3174"/>
          <cell r="K3174"/>
          <cell r="L3174"/>
          <cell r="M3174"/>
          <cell r="N3174"/>
          <cell r="O3174"/>
        </row>
        <row r="3175">
          <cell r="A3175"/>
          <cell r="B3175"/>
          <cell r="C3175"/>
          <cell r="D3175"/>
          <cell r="E3175"/>
          <cell r="F3175"/>
          <cell r="G3175"/>
          <cell r="H3175"/>
          <cell r="I3175"/>
          <cell r="J3175"/>
          <cell r="K3175"/>
          <cell r="L3175"/>
          <cell r="M3175"/>
          <cell r="N3175"/>
          <cell r="O3175"/>
        </row>
        <row r="3176">
          <cell r="A3176"/>
          <cell r="B3176"/>
          <cell r="C3176"/>
          <cell r="D3176"/>
          <cell r="E3176"/>
          <cell r="F3176"/>
          <cell r="G3176"/>
          <cell r="H3176"/>
          <cell r="I3176"/>
          <cell r="J3176"/>
          <cell r="K3176"/>
          <cell r="L3176"/>
          <cell r="M3176"/>
          <cell r="N3176"/>
          <cell r="O3176"/>
        </row>
        <row r="3177">
          <cell r="A3177"/>
          <cell r="B3177"/>
          <cell r="C3177"/>
          <cell r="D3177"/>
          <cell r="E3177"/>
          <cell r="F3177"/>
          <cell r="G3177"/>
          <cell r="H3177"/>
          <cell r="I3177"/>
          <cell r="J3177"/>
          <cell r="K3177"/>
          <cell r="L3177"/>
          <cell r="M3177"/>
          <cell r="N3177"/>
          <cell r="O3177"/>
        </row>
        <row r="3178">
          <cell r="A3178"/>
          <cell r="B3178"/>
          <cell r="C3178"/>
          <cell r="D3178"/>
          <cell r="E3178"/>
          <cell r="F3178"/>
          <cell r="G3178"/>
          <cell r="H3178"/>
          <cell r="I3178"/>
          <cell r="J3178"/>
          <cell r="K3178"/>
          <cell r="L3178"/>
          <cell r="M3178"/>
          <cell r="N3178"/>
          <cell r="O3178"/>
        </row>
        <row r="3179">
          <cell r="A3179"/>
          <cell r="B3179"/>
          <cell r="C3179"/>
          <cell r="D3179"/>
          <cell r="E3179"/>
          <cell r="F3179"/>
          <cell r="G3179"/>
          <cell r="H3179"/>
          <cell r="I3179"/>
          <cell r="J3179"/>
          <cell r="K3179"/>
          <cell r="L3179"/>
          <cell r="M3179"/>
          <cell r="N3179"/>
          <cell r="O3179"/>
        </row>
        <row r="3180">
          <cell r="A3180"/>
          <cell r="B3180"/>
          <cell r="C3180"/>
          <cell r="D3180"/>
          <cell r="E3180"/>
          <cell r="F3180"/>
          <cell r="G3180"/>
          <cell r="H3180"/>
          <cell r="I3180"/>
          <cell r="J3180"/>
          <cell r="K3180"/>
          <cell r="L3180"/>
          <cell r="M3180"/>
          <cell r="N3180"/>
          <cell r="O3180"/>
        </row>
        <row r="3181">
          <cell r="A3181"/>
          <cell r="B3181"/>
          <cell r="C3181"/>
          <cell r="D3181"/>
          <cell r="E3181"/>
          <cell r="F3181"/>
          <cell r="G3181"/>
          <cell r="H3181"/>
          <cell r="I3181"/>
          <cell r="J3181"/>
          <cell r="K3181"/>
          <cell r="L3181"/>
          <cell r="M3181"/>
          <cell r="N3181"/>
          <cell r="O3181"/>
        </row>
        <row r="3182">
          <cell r="A3182"/>
          <cell r="B3182"/>
          <cell r="C3182"/>
          <cell r="D3182"/>
          <cell r="E3182"/>
          <cell r="F3182"/>
          <cell r="G3182"/>
          <cell r="H3182"/>
          <cell r="I3182"/>
          <cell r="J3182"/>
          <cell r="K3182"/>
          <cell r="L3182"/>
          <cell r="M3182"/>
          <cell r="N3182"/>
          <cell r="O3182"/>
        </row>
        <row r="3183">
          <cell r="A3183"/>
          <cell r="B3183"/>
          <cell r="C3183"/>
          <cell r="D3183"/>
          <cell r="E3183"/>
          <cell r="F3183"/>
          <cell r="G3183"/>
          <cell r="H3183"/>
          <cell r="I3183"/>
          <cell r="J3183"/>
          <cell r="K3183"/>
          <cell r="L3183"/>
          <cell r="M3183"/>
          <cell r="N3183"/>
          <cell r="O3183"/>
        </row>
        <row r="3184">
          <cell r="A3184"/>
          <cell r="B3184"/>
          <cell r="C3184"/>
          <cell r="D3184"/>
          <cell r="E3184"/>
          <cell r="F3184"/>
          <cell r="G3184"/>
          <cell r="H3184"/>
          <cell r="I3184"/>
          <cell r="J3184"/>
          <cell r="K3184"/>
          <cell r="L3184"/>
          <cell r="M3184"/>
          <cell r="N3184"/>
          <cell r="O3184"/>
        </row>
        <row r="3185">
          <cell r="A3185"/>
          <cell r="B3185"/>
          <cell r="C3185"/>
          <cell r="D3185"/>
          <cell r="E3185"/>
          <cell r="F3185"/>
          <cell r="G3185"/>
          <cell r="H3185"/>
          <cell r="I3185"/>
          <cell r="J3185"/>
          <cell r="K3185"/>
          <cell r="L3185"/>
          <cell r="M3185"/>
          <cell r="N3185"/>
          <cell r="O3185"/>
        </row>
        <row r="3186">
          <cell r="A3186"/>
          <cell r="B3186"/>
          <cell r="C3186"/>
          <cell r="D3186"/>
          <cell r="E3186"/>
          <cell r="F3186"/>
          <cell r="G3186"/>
          <cell r="H3186"/>
          <cell r="I3186"/>
          <cell r="J3186"/>
          <cell r="K3186"/>
          <cell r="L3186"/>
          <cell r="M3186"/>
          <cell r="N3186"/>
          <cell r="O3186"/>
        </row>
        <row r="3187">
          <cell r="A3187"/>
          <cell r="B3187"/>
          <cell r="C3187"/>
          <cell r="D3187"/>
          <cell r="E3187"/>
          <cell r="F3187"/>
          <cell r="G3187"/>
          <cell r="H3187"/>
          <cell r="I3187"/>
          <cell r="J3187"/>
          <cell r="K3187"/>
          <cell r="L3187"/>
          <cell r="M3187"/>
          <cell r="N3187"/>
          <cell r="O3187"/>
        </row>
        <row r="3188">
          <cell r="A3188"/>
          <cell r="B3188"/>
          <cell r="C3188"/>
          <cell r="D3188"/>
          <cell r="E3188"/>
          <cell r="F3188"/>
          <cell r="G3188"/>
          <cell r="H3188"/>
          <cell r="I3188"/>
          <cell r="J3188"/>
          <cell r="K3188"/>
          <cell r="L3188"/>
          <cell r="M3188"/>
          <cell r="N3188"/>
          <cell r="O3188"/>
        </row>
        <row r="3189">
          <cell r="A3189"/>
          <cell r="B3189"/>
          <cell r="C3189"/>
          <cell r="D3189"/>
          <cell r="E3189"/>
          <cell r="F3189"/>
          <cell r="G3189"/>
          <cell r="H3189"/>
          <cell r="I3189"/>
          <cell r="J3189"/>
          <cell r="K3189"/>
          <cell r="L3189"/>
          <cell r="M3189"/>
          <cell r="N3189"/>
          <cell r="O3189"/>
        </row>
        <row r="3190">
          <cell r="A3190"/>
          <cell r="B3190"/>
          <cell r="C3190"/>
          <cell r="D3190"/>
          <cell r="E3190"/>
          <cell r="F3190"/>
          <cell r="G3190"/>
          <cell r="H3190"/>
          <cell r="I3190"/>
          <cell r="J3190"/>
          <cell r="K3190"/>
          <cell r="L3190"/>
          <cell r="M3190"/>
          <cell r="N3190"/>
          <cell r="O3190"/>
        </row>
        <row r="3191">
          <cell r="A3191"/>
          <cell r="B3191"/>
          <cell r="C3191"/>
          <cell r="D3191"/>
          <cell r="E3191"/>
          <cell r="F3191"/>
          <cell r="G3191"/>
          <cell r="H3191"/>
          <cell r="I3191"/>
          <cell r="J3191"/>
          <cell r="K3191"/>
          <cell r="L3191"/>
          <cell r="M3191"/>
          <cell r="N3191"/>
          <cell r="O3191"/>
        </row>
        <row r="3192">
          <cell r="A3192"/>
          <cell r="B3192"/>
          <cell r="C3192"/>
          <cell r="D3192"/>
          <cell r="E3192"/>
          <cell r="F3192"/>
          <cell r="G3192"/>
          <cell r="H3192"/>
          <cell r="I3192"/>
          <cell r="J3192"/>
          <cell r="K3192"/>
          <cell r="L3192"/>
          <cell r="M3192"/>
          <cell r="N3192"/>
          <cell r="O3192"/>
        </row>
        <row r="3193">
          <cell r="A3193"/>
          <cell r="B3193"/>
          <cell r="C3193"/>
          <cell r="D3193"/>
          <cell r="E3193"/>
          <cell r="F3193"/>
          <cell r="G3193"/>
          <cell r="H3193"/>
          <cell r="I3193"/>
          <cell r="J3193"/>
          <cell r="K3193"/>
          <cell r="L3193"/>
          <cell r="M3193"/>
          <cell r="N3193"/>
          <cell r="O3193"/>
        </row>
        <row r="3194">
          <cell r="A3194"/>
          <cell r="B3194"/>
          <cell r="C3194"/>
          <cell r="D3194"/>
          <cell r="E3194"/>
          <cell r="F3194"/>
          <cell r="G3194"/>
          <cell r="H3194"/>
          <cell r="I3194"/>
          <cell r="J3194"/>
          <cell r="K3194"/>
          <cell r="L3194"/>
          <cell r="M3194"/>
          <cell r="N3194"/>
          <cell r="O3194"/>
        </row>
        <row r="3195">
          <cell r="A3195"/>
          <cell r="B3195"/>
          <cell r="C3195"/>
          <cell r="D3195"/>
          <cell r="E3195"/>
          <cell r="F3195"/>
          <cell r="G3195"/>
          <cell r="H3195"/>
          <cell r="I3195"/>
          <cell r="J3195"/>
          <cell r="K3195"/>
          <cell r="L3195"/>
          <cell r="M3195"/>
          <cell r="N3195"/>
          <cell r="O3195"/>
        </row>
        <row r="3196">
          <cell r="A3196"/>
          <cell r="B3196"/>
          <cell r="C3196"/>
          <cell r="D3196"/>
          <cell r="E3196"/>
          <cell r="F3196"/>
          <cell r="G3196"/>
          <cell r="H3196"/>
          <cell r="I3196"/>
          <cell r="J3196"/>
          <cell r="K3196"/>
          <cell r="L3196"/>
          <cell r="M3196"/>
          <cell r="N3196"/>
          <cell r="O3196"/>
        </row>
        <row r="3197">
          <cell r="A3197"/>
          <cell r="B3197"/>
          <cell r="C3197"/>
          <cell r="D3197"/>
          <cell r="E3197"/>
          <cell r="F3197"/>
          <cell r="G3197"/>
          <cell r="H3197"/>
          <cell r="I3197"/>
          <cell r="J3197"/>
          <cell r="K3197"/>
          <cell r="L3197"/>
          <cell r="M3197"/>
          <cell r="N3197"/>
          <cell r="O3197"/>
        </row>
        <row r="3198">
          <cell r="A3198"/>
          <cell r="B3198"/>
          <cell r="C3198"/>
          <cell r="D3198"/>
          <cell r="E3198"/>
          <cell r="F3198"/>
          <cell r="G3198"/>
          <cell r="H3198"/>
          <cell r="I3198"/>
          <cell r="J3198"/>
          <cell r="K3198"/>
          <cell r="L3198"/>
          <cell r="M3198"/>
          <cell r="N3198"/>
          <cell r="O3198"/>
        </row>
        <row r="3199">
          <cell r="A3199"/>
          <cell r="B3199"/>
          <cell r="C3199"/>
          <cell r="D3199"/>
          <cell r="E3199"/>
          <cell r="F3199"/>
          <cell r="G3199"/>
          <cell r="H3199"/>
          <cell r="I3199"/>
          <cell r="J3199"/>
          <cell r="K3199"/>
          <cell r="L3199"/>
          <cell r="M3199"/>
          <cell r="N3199"/>
          <cell r="O3199"/>
        </row>
        <row r="3200">
          <cell r="A3200"/>
          <cell r="B3200"/>
          <cell r="C3200"/>
          <cell r="D3200"/>
          <cell r="E3200"/>
          <cell r="F3200"/>
          <cell r="G3200"/>
          <cell r="H3200"/>
          <cell r="I3200"/>
          <cell r="J3200"/>
          <cell r="K3200"/>
          <cell r="L3200"/>
          <cell r="M3200"/>
          <cell r="N3200"/>
          <cell r="O3200"/>
        </row>
        <row r="3201">
          <cell r="A3201"/>
          <cell r="B3201"/>
          <cell r="C3201"/>
          <cell r="D3201"/>
          <cell r="E3201"/>
          <cell r="F3201"/>
          <cell r="G3201"/>
          <cell r="H3201"/>
          <cell r="I3201"/>
          <cell r="J3201"/>
          <cell r="K3201"/>
          <cell r="L3201"/>
          <cell r="M3201"/>
          <cell r="N3201"/>
          <cell r="O3201"/>
        </row>
        <row r="3202">
          <cell r="A3202"/>
          <cell r="B3202"/>
          <cell r="C3202"/>
          <cell r="D3202"/>
          <cell r="E3202"/>
          <cell r="F3202"/>
          <cell r="G3202"/>
          <cell r="H3202"/>
          <cell r="I3202"/>
          <cell r="J3202"/>
          <cell r="K3202"/>
          <cell r="L3202"/>
          <cell r="M3202"/>
          <cell r="N3202"/>
          <cell r="O3202"/>
        </row>
        <row r="3203">
          <cell r="A3203"/>
          <cell r="B3203"/>
          <cell r="C3203"/>
          <cell r="D3203"/>
          <cell r="E3203"/>
          <cell r="F3203"/>
          <cell r="G3203"/>
          <cell r="H3203"/>
          <cell r="I3203"/>
          <cell r="J3203"/>
          <cell r="K3203"/>
          <cell r="L3203"/>
          <cell r="M3203"/>
          <cell r="N3203"/>
          <cell r="O3203"/>
        </row>
        <row r="3204">
          <cell r="A3204"/>
          <cell r="B3204"/>
          <cell r="C3204"/>
          <cell r="D3204"/>
          <cell r="E3204"/>
          <cell r="F3204"/>
          <cell r="G3204"/>
          <cell r="H3204"/>
          <cell r="I3204"/>
          <cell r="J3204"/>
          <cell r="K3204"/>
          <cell r="L3204"/>
          <cell r="M3204"/>
          <cell r="N3204"/>
          <cell r="O3204"/>
        </row>
        <row r="3205">
          <cell r="A3205"/>
          <cell r="B3205"/>
          <cell r="C3205"/>
          <cell r="D3205"/>
          <cell r="E3205"/>
          <cell r="F3205"/>
          <cell r="G3205"/>
          <cell r="H3205"/>
          <cell r="I3205"/>
          <cell r="J3205"/>
          <cell r="K3205"/>
          <cell r="L3205"/>
          <cell r="M3205"/>
          <cell r="N3205"/>
          <cell r="O3205"/>
        </row>
        <row r="3206">
          <cell r="A3206"/>
          <cell r="B3206"/>
          <cell r="C3206"/>
          <cell r="D3206"/>
          <cell r="E3206"/>
          <cell r="F3206"/>
          <cell r="G3206"/>
          <cell r="H3206"/>
          <cell r="I3206"/>
          <cell r="J3206"/>
          <cell r="K3206"/>
          <cell r="L3206"/>
          <cell r="M3206"/>
          <cell r="N3206"/>
          <cell r="O3206"/>
        </row>
        <row r="3207">
          <cell r="A3207"/>
          <cell r="B3207"/>
          <cell r="C3207"/>
          <cell r="D3207"/>
          <cell r="E3207"/>
          <cell r="F3207"/>
          <cell r="G3207"/>
          <cell r="H3207"/>
          <cell r="I3207"/>
          <cell r="J3207"/>
          <cell r="K3207"/>
          <cell r="L3207"/>
          <cell r="M3207"/>
          <cell r="N3207"/>
          <cell r="O3207"/>
        </row>
        <row r="3208">
          <cell r="A3208"/>
          <cell r="B3208"/>
          <cell r="C3208"/>
          <cell r="D3208"/>
          <cell r="E3208"/>
          <cell r="F3208"/>
          <cell r="G3208"/>
          <cell r="H3208"/>
          <cell r="I3208"/>
          <cell r="J3208"/>
          <cell r="K3208"/>
          <cell r="L3208"/>
          <cell r="M3208"/>
          <cell r="N3208"/>
          <cell r="O3208"/>
        </row>
        <row r="3209">
          <cell r="A3209"/>
          <cell r="B3209"/>
          <cell r="C3209"/>
          <cell r="D3209"/>
          <cell r="E3209"/>
          <cell r="F3209"/>
          <cell r="G3209"/>
          <cell r="H3209"/>
          <cell r="I3209"/>
          <cell r="J3209"/>
          <cell r="K3209"/>
          <cell r="L3209"/>
          <cell r="M3209"/>
          <cell r="N3209"/>
          <cell r="O3209"/>
        </row>
        <row r="3210">
          <cell r="A3210"/>
          <cell r="B3210"/>
          <cell r="C3210"/>
          <cell r="D3210"/>
          <cell r="E3210"/>
          <cell r="F3210"/>
          <cell r="G3210"/>
          <cell r="H3210"/>
          <cell r="I3210"/>
          <cell r="J3210"/>
          <cell r="K3210"/>
          <cell r="L3210"/>
          <cell r="M3210"/>
          <cell r="N3210"/>
          <cell r="O3210"/>
        </row>
        <row r="3211">
          <cell r="A3211"/>
          <cell r="B3211"/>
          <cell r="C3211"/>
          <cell r="D3211"/>
          <cell r="E3211"/>
          <cell r="F3211"/>
          <cell r="G3211"/>
          <cell r="H3211"/>
          <cell r="I3211"/>
          <cell r="J3211"/>
          <cell r="K3211"/>
          <cell r="L3211"/>
          <cell r="M3211"/>
          <cell r="N3211"/>
          <cell r="O3211"/>
        </row>
        <row r="3212">
          <cell r="A3212"/>
          <cell r="B3212"/>
          <cell r="C3212"/>
          <cell r="D3212"/>
          <cell r="E3212"/>
          <cell r="F3212"/>
          <cell r="G3212"/>
          <cell r="H3212"/>
          <cell r="I3212"/>
          <cell r="J3212"/>
          <cell r="K3212"/>
          <cell r="L3212"/>
          <cell r="M3212"/>
          <cell r="N3212"/>
          <cell r="O3212"/>
        </row>
        <row r="3213">
          <cell r="A3213"/>
          <cell r="B3213"/>
          <cell r="C3213"/>
          <cell r="D3213"/>
          <cell r="E3213"/>
          <cell r="F3213"/>
          <cell r="G3213"/>
          <cell r="H3213"/>
          <cell r="I3213"/>
          <cell r="J3213"/>
          <cell r="K3213"/>
          <cell r="L3213"/>
          <cell r="M3213"/>
          <cell r="N3213"/>
          <cell r="O3213"/>
        </row>
        <row r="3214">
          <cell r="A3214"/>
          <cell r="B3214"/>
          <cell r="C3214"/>
          <cell r="D3214"/>
          <cell r="E3214"/>
          <cell r="F3214"/>
          <cell r="G3214"/>
          <cell r="H3214"/>
          <cell r="I3214"/>
          <cell r="J3214"/>
          <cell r="K3214"/>
          <cell r="L3214"/>
          <cell r="M3214"/>
          <cell r="N3214"/>
          <cell r="O3214"/>
        </row>
        <row r="3215">
          <cell r="A3215"/>
          <cell r="B3215"/>
          <cell r="C3215"/>
          <cell r="D3215"/>
          <cell r="E3215"/>
          <cell r="F3215"/>
          <cell r="G3215"/>
          <cell r="H3215"/>
          <cell r="I3215"/>
          <cell r="J3215"/>
          <cell r="K3215"/>
          <cell r="L3215"/>
          <cell r="M3215"/>
          <cell r="N3215"/>
          <cell r="O3215"/>
        </row>
        <row r="3216">
          <cell r="A3216"/>
          <cell r="B3216"/>
          <cell r="C3216"/>
          <cell r="D3216"/>
          <cell r="E3216"/>
          <cell r="F3216"/>
          <cell r="G3216"/>
          <cell r="H3216"/>
          <cell r="I3216"/>
          <cell r="J3216"/>
          <cell r="K3216"/>
          <cell r="L3216"/>
          <cell r="M3216"/>
          <cell r="N3216"/>
          <cell r="O3216"/>
        </row>
        <row r="3217">
          <cell r="A3217"/>
          <cell r="B3217"/>
          <cell r="C3217"/>
          <cell r="D3217"/>
          <cell r="E3217"/>
          <cell r="F3217"/>
          <cell r="G3217"/>
          <cell r="H3217"/>
          <cell r="I3217"/>
          <cell r="J3217"/>
          <cell r="K3217"/>
          <cell r="L3217"/>
          <cell r="M3217"/>
          <cell r="N3217"/>
          <cell r="O3217"/>
        </row>
        <row r="3218">
          <cell r="A3218"/>
          <cell r="B3218"/>
          <cell r="C3218"/>
          <cell r="D3218"/>
          <cell r="E3218"/>
          <cell r="F3218"/>
          <cell r="G3218"/>
          <cell r="H3218"/>
          <cell r="I3218"/>
          <cell r="J3218"/>
          <cell r="K3218"/>
          <cell r="L3218"/>
          <cell r="M3218"/>
          <cell r="N3218"/>
          <cell r="O3218"/>
        </row>
        <row r="3219">
          <cell r="A3219"/>
          <cell r="B3219"/>
          <cell r="C3219"/>
          <cell r="D3219"/>
          <cell r="E3219"/>
          <cell r="F3219"/>
          <cell r="G3219"/>
          <cell r="H3219"/>
          <cell r="I3219"/>
          <cell r="J3219"/>
          <cell r="K3219"/>
          <cell r="L3219"/>
          <cell r="M3219"/>
          <cell r="N3219"/>
          <cell r="O3219"/>
        </row>
        <row r="3220">
          <cell r="A3220"/>
          <cell r="B3220"/>
          <cell r="C3220"/>
          <cell r="D3220"/>
          <cell r="E3220"/>
          <cell r="F3220"/>
          <cell r="G3220"/>
          <cell r="H3220"/>
          <cell r="I3220"/>
          <cell r="J3220"/>
          <cell r="K3220"/>
          <cell r="L3220"/>
          <cell r="M3220"/>
          <cell r="N3220"/>
          <cell r="O3220"/>
        </row>
        <row r="3221">
          <cell r="A3221"/>
          <cell r="B3221"/>
          <cell r="C3221"/>
          <cell r="D3221"/>
          <cell r="E3221"/>
          <cell r="F3221"/>
          <cell r="G3221"/>
          <cell r="H3221"/>
          <cell r="I3221"/>
          <cell r="J3221"/>
          <cell r="K3221"/>
          <cell r="L3221"/>
          <cell r="M3221"/>
          <cell r="N3221"/>
          <cell r="O3221"/>
        </row>
        <row r="3222">
          <cell r="A3222"/>
          <cell r="B3222"/>
          <cell r="C3222"/>
          <cell r="D3222"/>
          <cell r="E3222"/>
          <cell r="F3222"/>
          <cell r="G3222"/>
          <cell r="H3222"/>
          <cell r="I3222"/>
          <cell r="J3222"/>
          <cell r="K3222"/>
          <cell r="L3222"/>
          <cell r="M3222"/>
          <cell r="N3222"/>
          <cell r="O3222"/>
        </row>
        <row r="3223">
          <cell r="A3223"/>
          <cell r="B3223"/>
          <cell r="C3223"/>
          <cell r="D3223"/>
          <cell r="E3223"/>
          <cell r="F3223"/>
          <cell r="G3223"/>
          <cell r="H3223"/>
          <cell r="I3223"/>
          <cell r="J3223"/>
          <cell r="K3223"/>
          <cell r="L3223"/>
          <cell r="M3223"/>
          <cell r="N3223"/>
          <cell r="O3223"/>
        </row>
        <row r="3224">
          <cell r="A3224"/>
          <cell r="B3224"/>
          <cell r="C3224"/>
          <cell r="D3224"/>
          <cell r="E3224"/>
          <cell r="F3224"/>
          <cell r="G3224"/>
          <cell r="H3224"/>
          <cell r="I3224"/>
          <cell r="J3224"/>
          <cell r="K3224"/>
          <cell r="L3224"/>
          <cell r="M3224"/>
          <cell r="N3224"/>
          <cell r="O3224"/>
        </row>
        <row r="3225">
          <cell r="A3225"/>
          <cell r="B3225"/>
          <cell r="C3225"/>
          <cell r="D3225"/>
          <cell r="E3225"/>
          <cell r="F3225"/>
          <cell r="G3225"/>
          <cell r="H3225"/>
          <cell r="I3225"/>
          <cell r="J3225"/>
          <cell r="K3225"/>
          <cell r="L3225"/>
          <cell r="M3225"/>
          <cell r="N3225"/>
          <cell r="O3225"/>
        </row>
        <row r="3226">
          <cell r="A3226"/>
          <cell r="B3226"/>
          <cell r="C3226"/>
          <cell r="D3226"/>
          <cell r="E3226"/>
          <cell r="F3226"/>
          <cell r="G3226"/>
          <cell r="H3226"/>
          <cell r="I3226"/>
          <cell r="J3226"/>
          <cell r="K3226"/>
          <cell r="L3226"/>
          <cell r="M3226"/>
          <cell r="N3226"/>
          <cell r="O3226"/>
        </row>
        <row r="3227">
          <cell r="A3227"/>
          <cell r="B3227"/>
          <cell r="C3227"/>
          <cell r="D3227"/>
          <cell r="E3227"/>
          <cell r="F3227"/>
          <cell r="G3227"/>
          <cell r="H3227"/>
          <cell r="I3227"/>
          <cell r="J3227"/>
          <cell r="K3227"/>
          <cell r="L3227"/>
          <cell r="M3227"/>
          <cell r="N3227"/>
          <cell r="O3227"/>
        </row>
        <row r="3228">
          <cell r="A3228"/>
          <cell r="B3228"/>
          <cell r="C3228"/>
          <cell r="D3228"/>
          <cell r="E3228"/>
          <cell r="F3228"/>
          <cell r="G3228"/>
          <cell r="H3228"/>
          <cell r="I3228"/>
          <cell r="J3228"/>
          <cell r="K3228"/>
          <cell r="L3228"/>
          <cell r="M3228"/>
          <cell r="N3228"/>
          <cell r="O3228"/>
        </row>
        <row r="3229">
          <cell r="A3229"/>
          <cell r="B3229"/>
          <cell r="C3229"/>
          <cell r="D3229"/>
          <cell r="E3229"/>
          <cell r="F3229"/>
          <cell r="G3229"/>
          <cell r="H3229"/>
          <cell r="I3229"/>
          <cell r="J3229"/>
          <cell r="K3229"/>
          <cell r="L3229"/>
          <cell r="M3229"/>
          <cell r="N3229"/>
          <cell r="O3229"/>
        </row>
        <row r="3230">
          <cell r="A3230"/>
          <cell r="B3230"/>
          <cell r="C3230"/>
          <cell r="D3230"/>
          <cell r="E3230"/>
          <cell r="F3230"/>
          <cell r="G3230"/>
          <cell r="H3230"/>
          <cell r="I3230"/>
          <cell r="J3230"/>
          <cell r="K3230"/>
          <cell r="L3230"/>
          <cell r="M3230"/>
          <cell r="N3230"/>
          <cell r="O3230"/>
        </row>
        <row r="3231">
          <cell r="A3231"/>
          <cell r="B3231"/>
          <cell r="C3231"/>
          <cell r="D3231"/>
          <cell r="E3231"/>
          <cell r="F3231"/>
          <cell r="G3231"/>
          <cell r="H3231"/>
          <cell r="I3231"/>
          <cell r="J3231"/>
          <cell r="K3231"/>
          <cell r="L3231"/>
          <cell r="M3231"/>
          <cell r="N3231"/>
          <cell r="O3231"/>
        </row>
        <row r="3232">
          <cell r="A3232"/>
          <cell r="B3232"/>
          <cell r="C3232"/>
          <cell r="D3232"/>
          <cell r="E3232"/>
          <cell r="F3232"/>
          <cell r="G3232"/>
          <cell r="H3232"/>
          <cell r="I3232"/>
          <cell r="J3232"/>
          <cell r="K3232"/>
          <cell r="L3232"/>
          <cell r="M3232"/>
          <cell r="N3232"/>
          <cell r="O3232"/>
        </row>
        <row r="3233">
          <cell r="A3233"/>
          <cell r="B3233"/>
          <cell r="C3233"/>
          <cell r="D3233"/>
          <cell r="E3233"/>
          <cell r="F3233"/>
          <cell r="G3233"/>
          <cell r="H3233"/>
          <cell r="I3233"/>
          <cell r="J3233"/>
          <cell r="K3233"/>
          <cell r="L3233"/>
          <cell r="M3233"/>
          <cell r="N3233"/>
          <cell r="O3233"/>
        </row>
        <row r="3234">
          <cell r="A3234"/>
          <cell r="B3234"/>
          <cell r="C3234"/>
          <cell r="D3234"/>
          <cell r="E3234"/>
          <cell r="F3234"/>
          <cell r="G3234"/>
          <cell r="H3234"/>
          <cell r="I3234"/>
          <cell r="J3234"/>
          <cell r="K3234"/>
          <cell r="L3234"/>
          <cell r="M3234"/>
          <cell r="N3234"/>
          <cell r="O3234"/>
        </row>
        <row r="3235">
          <cell r="A3235"/>
          <cell r="B3235"/>
          <cell r="C3235"/>
          <cell r="D3235"/>
          <cell r="E3235"/>
          <cell r="F3235"/>
          <cell r="G3235"/>
          <cell r="H3235"/>
          <cell r="I3235"/>
          <cell r="J3235"/>
          <cell r="K3235"/>
          <cell r="L3235"/>
          <cell r="M3235"/>
          <cell r="N3235"/>
          <cell r="O3235"/>
        </row>
        <row r="3236">
          <cell r="A3236"/>
          <cell r="B3236"/>
          <cell r="C3236"/>
          <cell r="D3236"/>
          <cell r="E3236"/>
          <cell r="F3236"/>
          <cell r="G3236"/>
          <cell r="H3236"/>
          <cell r="I3236"/>
          <cell r="J3236"/>
          <cell r="K3236"/>
          <cell r="L3236"/>
          <cell r="M3236"/>
          <cell r="N3236"/>
          <cell r="O3236"/>
        </row>
        <row r="3237">
          <cell r="A3237"/>
          <cell r="B3237"/>
          <cell r="C3237"/>
          <cell r="D3237"/>
          <cell r="E3237"/>
          <cell r="F3237"/>
          <cell r="G3237"/>
          <cell r="H3237"/>
          <cell r="I3237"/>
          <cell r="J3237"/>
          <cell r="K3237"/>
          <cell r="L3237"/>
          <cell r="M3237"/>
          <cell r="N3237"/>
          <cell r="O3237"/>
        </row>
        <row r="3238">
          <cell r="A3238"/>
          <cell r="B3238"/>
          <cell r="C3238"/>
          <cell r="D3238"/>
          <cell r="E3238"/>
          <cell r="F3238"/>
          <cell r="G3238"/>
          <cell r="H3238"/>
          <cell r="I3238"/>
          <cell r="J3238"/>
          <cell r="K3238"/>
          <cell r="L3238"/>
          <cell r="M3238"/>
          <cell r="N3238"/>
          <cell r="O3238"/>
        </row>
        <row r="3239">
          <cell r="A3239"/>
          <cell r="B3239"/>
          <cell r="C3239"/>
          <cell r="D3239"/>
          <cell r="E3239"/>
          <cell r="F3239"/>
          <cell r="G3239"/>
          <cell r="H3239"/>
          <cell r="I3239"/>
          <cell r="J3239"/>
          <cell r="K3239"/>
          <cell r="L3239"/>
          <cell r="M3239"/>
          <cell r="N3239"/>
          <cell r="O3239"/>
        </row>
        <row r="3240">
          <cell r="A3240"/>
          <cell r="B3240"/>
          <cell r="C3240"/>
          <cell r="D3240"/>
          <cell r="E3240"/>
          <cell r="F3240"/>
          <cell r="G3240"/>
          <cell r="H3240"/>
          <cell r="I3240"/>
          <cell r="J3240"/>
          <cell r="K3240"/>
          <cell r="L3240"/>
          <cell r="M3240"/>
          <cell r="N3240"/>
          <cell r="O3240"/>
        </row>
        <row r="3241">
          <cell r="A3241"/>
          <cell r="B3241"/>
          <cell r="C3241"/>
          <cell r="D3241"/>
          <cell r="E3241"/>
          <cell r="F3241"/>
          <cell r="G3241"/>
          <cell r="H3241"/>
          <cell r="I3241"/>
          <cell r="J3241"/>
          <cell r="K3241"/>
          <cell r="L3241"/>
          <cell r="M3241"/>
          <cell r="N3241"/>
          <cell r="O3241"/>
        </row>
        <row r="3242">
          <cell r="A3242"/>
          <cell r="B3242"/>
          <cell r="C3242"/>
          <cell r="D3242"/>
          <cell r="E3242"/>
          <cell r="F3242"/>
          <cell r="G3242"/>
          <cell r="H3242"/>
          <cell r="I3242"/>
          <cell r="J3242"/>
          <cell r="K3242"/>
          <cell r="L3242"/>
          <cell r="M3242"/>
          <cell r="N3242"/>
          <cell r="O3242"/>
        </row>
        <row r="3243">
          <cell r="A3243"/>
          <cell r="B3243"/>
          <cell r="C3243"/>
          <cell r="D3243"/>
          <cell r="E3243"/>
          <cell r="F3243"/>
          <cell r="G3243"/>
          <cell r="H3243"/>
          <cell r="I3243"/>
          <cell r="J3243"/>
          <cell r="K3243"/>
          <cell r="L3243"/>
          <cell r="M3243"/>
          <cell r="N3243"/>
          <cell r="O3243"/>
        </row>
        <row r="3244">
          <cell r="A3244"/>
          <cell r="B3244"/>
          <cell r="C3244"/>
          <cell r="D3244"/>
          <cell r="E3244"/>
          <cell r="F3244"/>
          <cell r="G3244"/>
          <cell r="H3244"/>
          <cell r="I3244"/>
          <cell r="J3244"/>
          <cell r="K3244"/>
          <cell r="L3244"/>
          <cell r="M3244"/>
          <cell r="N3244"/>
          <cell r="O3244"/>
        </row>
        <row r="3245">
          <cell r="A3245"/>
          <cell r="B3245"/>
          <cell r="C3245"/>
          <cell r="D3245"/>
          <cell r="E3245"/>
          <cell r="F3245"/>
          <cell r="G3245"/>
          <cell r="H3245"/>
          <cell r="I3245"/>
          <cell r="J3245"/>
          <cell r="K3245"/>
          <cell r="L3245"/>
          <cell r="M3245"/>
          <cell r="N3245"/>
          <cell r="O3245"/>
        </row>
        <row r="3246">
          <cell r="A3246"/>
          <cell r="B3246"/>
          <cell r="C3246"/>
          <cell r="D3246"/>
          <cell r="E3246"/>
          <cell r="F3246"/>
          <cell r="G3246"/>
          <cell r="H3246"/>
          <cell r="I3246"/>
          <cell r="J3246"/>
          <cell r="K3246"/>
          <cell r="L3246"/>
          <cell r="M3246"/>
          <cell r="N3246"/>
          <cell r="O3246"/>
        </row>
        <row r="3247">
          <cell r="A3247"/>
          <cell r="B3247"/>
          <cell r="C3247"/>
          <cell r="D3247"/>
          <cell r="E3247"/>
          <cell r="F3247"/>
          <cell r="G3247"/>
          <cell r="H3247"/>
          <cell r="I3247"/>
          <cell r="J3247"/>
          <cell r="K3247"/>
          <cell r="L3247"/>
          <cell r="M3247"/>
          <cell r="N3247"/>
          <cell r="O3247"/>
        </row>
        <row r="3248">
          <cell r="A3248"/>
          <cell r="B3248"/>
          <cell r="C3248"/>
          <cell r="D3248"/>
          <cell r="E3248"/>
          <cell r="F3248"/>
          <cell r="G3248"/>
          <cell r="H3248"/>
          <cell r="I3248"/>
          <cell r="J3248"/>
          <cell r="K3248"/>
          <cell r="L3248"/>
          <cell r="M3248"/>
          <cell r="N3248"/>
          <cell r="O3248"/>
        </row>
        <row r="3249">
          <cell r="A3249"/>
          <cell r="B3249"/>
          <cell r="C3249"/>
          <cell r="D3249"/>
          <cell r="E3249"/>
          <cell r="F3249"/>
          <cell r="G3249"/>
          <cell r="H3249"/>
          <cell r="I3249"/>
          <cell r="J3249"/>
          <cell r="K3249"/>
          <cell r="L3249"/>
          <cell r="M3249"/>
          <cell r="N3249"/>
          <cell r="O3249"/>
        </row>
        <row r="3250">
          <cell r="A3250"/>
          <cell r="B3250"/>
          <cell r="C3250"/>
          <cell r="D3250"/>
          <cell r="E3250"/>
          <cell r="F3250"/>
          <cell r="G3250"/>
          <cell r="H3250"/>
          <cell r="I3250"/>
          <cell r="J3250"/>
          <cell r="K3250"/>
          <cell r="L3250"/>
          <cell r="M3250"/>
          <cell r="N3250"/>
          <cell r="O3250"/>
        </row>
        <row r="3251">
          <cell r="A3251"/>
          <cell r="B3251"/>
          <cell r="C3251"/>
          <cell r="D3251"/>
          <cell r="E3251"/>
          <cell r="F3251"/>
          <cell r="G3251"/>
          <cell r="H3251"/>
          <cell r="I3251"/>
          <cell r="J3251"/>
          <cell r="K3251"/>
          <cell r="L3251"/>
          <cell r="M3251"/>
          <cell r="N3251"/>
          <cell r="O3251"/>
        </row>
        <row r="3252">
          <cell r="A3252"/>
          <cell r="B3252"/>
          <cell r="C3252"/>
          <cell r="D3252"/>
          <cell r="E3252"/>
          <cell r="F3252"/>
          <cell r="G3252"/>
          <cell r="H3252"/>
          <cell r="I3252"/>
          <cell r="J3252"/>
          <cell r="K3252"/>
          <cell r="L3252"/>
          <cell r="M3252"/>
          <cell r="N3252"/>
          <cell r="O3252"/>
        </row>
        <row r="3253">
          <cell r="A3253"/>
          <cell r="B3253"/>
          <cell r="C3253"/>
          <cell r="D3253"/>
          <cell r="E3253"/>
          <cell r="F3253"/>
          <cell r="G3253"/>
          <cell r="H3253"/>
          <cell r="I3253"/>
          <cell r="J3253"/>
          <cell r="K3253"/>
          <cell r="L3253"/>
          <cell r="M3253"/>
          <cell r="N3253"/>
          <cell r="O3253"/>
        </row>
        <row r="3254">
          <cell r="A3254"/>
          <cell r="B3254"/>
          <cell r="C3254"/>
          <cell r="D3254"/>
          <cell r="E3254"/>
          <cell r="F3254"/>
          <cell r="G3254"/>
          <cell r="H3254"/>
          <cell r="I3254"/>
          <cell r="J3254"/>
          <cell r="K3254"/>
          <cell r="L3254"/>
          <cell r="M3254"/>
          <cell r="N3254"/>
          <cell r="O3254"/>
        </row>
        <row r="3255">
          <cell r="A3255"/>
          <cell r="B3255"/>
          <cell r="C3255"/>
          <cell r="D3255"/>
          <cell r="E3255"/>
          <cell r="F3255"/>
          <cell r="G3255"/>
          <cell r="H3255"/>
          <cell r="I3255"/>
          <cell r="J3255"/>
          <cell r="K3255"/>
          <cell r="L3255"/>
          <cell r="M3255"/>
          <cell r="N3255"/>
          <cell r="O3255"/>
        </row>
        <row r="3256">
          <cell r="A3256"/>
          <cell r="B3256"/>
          <cell r="C3256"/>
          <cell r="D3256"/>
          <cell r="E3256"/>
          <cell r="F3256"/>
          <cell r="G3256"/>
          <cell r="H3256"/>
          <cell r="I3256"/>
          <cell r="J3256"/>
          <cell r="K3256"/>
          <cell r="L3256"/>
          <cell r="M3256"/>
          <cell r="N3256"/>
          <cell r="O3256"/>
        </row>
        <row r="3257">
          <cell r="A3257"/>
          <cell r="B3257"/>
          <cell r="C3257"/>
          <cell r="D3257"/>
          <cell r="E3257"/>
          <cell r="F3257"/>
          <cell r="G3257"/>
          <cell r="H3257"/>
          <cell r="I3257"/>
          <cell r="J3257"/>
          <cell r="K3257"/>
          <cell r="L3257"/>
          <cell r="M3257"/>
          <cell r="N3257"/>
          <cell r="O3257"/>
        </row>
        <row r="3258">
          <cell r="A3258"/>
          <cell r="B3258"/>
          <cell r="C3258"/>
          <cell r="D3258"/>
          <cell r="E3258"/>
          <cell r="F3258"/>
          <cell r="G3258"/>
          <cell r="H3258"/>
          <cell r="I3258"/>
          <cell r="J3258"/>
          <cell r="K3258"/>
          <cell r="L3258"/>
          <cell r="M3258"/>
          <cell r="N3258"/>
          <cell r="O3258"/>
        </row>
        <row r="3259">
          <cell r="A3259"/>
          <cell r="B3259"/>
          <cell r="C3259"/>
          <cell r="D3259"/>
          <cell r="E3259"/>
          <cell r="F3259"/>
          <cell r="G3259"/>
          <cell r="H3259"/>
          <cell r="I3259"/>
          <cell r="J3259"/>
          <cell r="K3259"/>
          <cell r="L3259"/>
          <cell r="M3259"/>
          <cell r="N3259"/>
          <cell r="O3259"/>
        </row>
        <row r="3260">
          <cell r="A3260"/>
          <cell r="B3260"/>
          <cell r="C3260"/>
          <cell r="D3260"/>
          <cell r="E3260"/>
          <cell r="F3260"/>
          <cell r="G3260"/>
          <cell r="H3260"/>
          <cell r="I3260"/>
          <cell r="J3260"/>
          <cell r="K3260"/>
          <cell r="L3260"/>
          <cell r="M3260"/>
          <cell r="N3260"/>
          <cell r="O3260"/>
        </row>
        <row r="3261">
          <cell r="A3261"/>
          <cell r="B3261"/>
          <cell r="C3261"/>
          <cell r="D3261"/>
          <cell r="E3261"/>
          <cell r="F3261"/>
          <cell r="G3261"/>
          <cell r="H3261"/>
          <cell r="I3261"/>
          <cell r="J3261"/>
          <cell r="K3261"/>
          <cell r="L3261"/>
          <cell r="M3261"/>
          <cell r="N3261"/>
          <cell r="O3261"/>
        </row>
        <row r="3262">
          <cell r="A3262"/>
          <cell r="B3262"/>
          <cell r="C3262"/>
          <cell r="D3262"/>
          <cell r="E3262"/>
          <cell r="F3262"/>
          <cell r="G3262"/>
          <cell r="H3262"/>
          <cell r="I3262"/>
          <cell r="J3262"/>
          <cell r="K3262"/>
          <cell r="L3262"/>
          <cell r="M3262"/>
          <cell r="N3262"/>
          <cell r="O3262"/>
        </row>
        <row r="3263">
          <cell r="A3263"/>
          <cell r="B3263"/>
          <cell r="C3263"/>
          <cell r="D3263"/>
          <cell r="E3263"/>
          <cell r="F3263"/>
          <cell r="G3263"/>
          <cell r="H3263"/>
          <cell r="I3263"/>
          <cell r="J3263"/>
          <cell r="K3263"/>
          <cell r="L3263"/>
          <cell r="M3263"/>
          <cell r="N3263"/>
          <cell r="O3263"/>
        </row>
        <row r="3264">
          <cell r="A3264"/>
          <cell r="B3264"/>
          <cell r="C3264"/>
          <cell r="D3264"/>
          <cell r="E3264"/>
          <cell r="F3264"/>
          <cell r="G3264"/>
          <cell r="H3264"/>
          <cell r="I3264"/>
          <cell r="J3264"/>
          <cell r="K3264"/>
          <cell r="L3264"/>
          <cell r="M3264"/>
          <cell r="N3264"/>
          <cell r="O3264"/>
        </row>
        <row r="3265">
          <cell r="A3265"/>
          <cell r="B3265"/>
          <cell r="C3265"/>
          <cell r="D3265"/>
          <cell r="E3265"/>
          <cell r="F3265"/>
          <cell r="G3265"/>
          <cell r="H3265"/>
          <cell r="I3265"/>
          <cell r="J3265"/>
          <cell r="K3265"/>
          <cell r="L3265"/>
          <cell r="M3265"/>
          <cell r="N3265"/>
          <cell r="O3265"/>
        </row>
        <row r="3266">
          <cell r="A3266"/>
          <cell r="B3266"/>
          <cell r="C3266"/>
          <cell r="D3266"/>
          <cell r="E3266"/>
          <cell r="F3266"/>
          <cell r="G3266"/>
          <cell r="H3266"/>
          <cell r="I3266"/>
          <cell r="J3266"/>
          <cell r="K3266"/>
          <cell r="L3266"/>
          <cell r="M3266"/>
          <cell r="N3266"/>
          <cell r="O3266"/>
        </row>
        <row r="3267">
          <cell r="A3267"/>
          <cell r="B3267"/>
          <cell r="C3267"/>
          <cell r="D3267"/>
          <cell r="E3267"/>
          <cell r="F3267"/>
          <cell r="G3267"/>
          <cell r="H3267"/>
          <cell r="I3267"/>
          <cell r="J3267"/>
          <cell r="K3267"/>
          <cell r="L3267"/>
          <cell r="M3267"/>
          <cell r="N3267"/>
          <cell r="O3267"/>
        </row>
        <row r="3268">
          <cell r="A3268"/>
          <cell r="B3268"/>
          <cell r="C3268"/>
          <cell r="D3268"/>
          <cell r="E3268"/>
          <cell r="F3268"/>
          <cell r="G3268"/>
          <cell r="H3268"/>
          <cell r="I3268"/>
          <cell r="J3268"/>
          <cell r="K3268"/>
          <cell r="L3268"/>
          <cell r="M3268"/>
          <cell r="N3268"/>
          <cell r="O3268"/>
        </row>
        <row r="3269">
          <cell r="A3269"/>
          <cell r="B3269"/>
          <cell r="C3269"/>
          <cell r="D3269"/>
          <cell r="E3269"/>
          <cell r="F3269"/>
          <cell r="G3269"/>
          <cell r="H3269"/>
          <cell r="I3269"/>
          <cell r="J3269"/>
          <cell r="K3269"/>
          <cell r="L3269"/>
          <cell r="M3269"/>
          <cell r="N3269"/>
          <cell r="O3269"/>
        </row>
        <row r="3270">
          <cell r="A3270"/>
          <cell r="B3270"/>
          <cell r="C3270"/>
          <cell r="D3270"/>
          <cell r="E3270"/>
          <cell r="F3270"/>
          <cell r="G3270"/>
          <cell r="H3270"/>
          <cell r="I3270"/>
          <cell r="J3270"/>
          <cell r="K3270"/>
          <cell r="L3270"/>
          <cell r="M3270"/>
          <cell r="N3270"/>
          <cell r="O3270"/>
        </row>
        <row r="3271">
          <cell r="A3271"/>
          <cell r="B3271"/>
          <cell r="C3271"/>
          <cell r="D3271"/>
          <cell r="E3271"/>
          <cell r="F3271"/>
          <cell r="G3271"/>
          <cell r="H3271"/>
          <cell r="I3271"/>
          <cell r="J3271"/>
          <cell r="K3271"/>
          <cell r="L3271"/>
          <cell r="M3271"/>
          <cell r="N3271"/>
          <cell r="O3271"/>
        </row>
        <row r="3272">
          <cell r="A3272"/>
          <cell r="B3272"/>
          <cell r="C3272"/>
          <cell r="D3272"/>
          <cell r="E3272"/>
          <cell r="F3272"/>
          <cell r="G3272"/>
          <cell r="H3272"/>
          <cell r="I3272"/>
          <cell r="J3272"/>
          <cell r="K3272"/>
          <cell r="L3272"/>
          <cell r="M3272"/>
          <cell r="N3272"/>
          <cell r="O3272"/>
        </row>
        <row r="3273">
          <cell r="A3273"/>
          <cell r="B3273"/>
          <cell r="C3273"/>
          <cell r="D3273"/>
          <cell r="E3273"/>
          <cell r="F3273"/>
          <cell r="G3273"/>
          <cell r="H3273"/>
          <cell r="I3273"/>
          <cell r="J3273"/>
          <cell r="K3273"/>
          <cell r="L3273"/>
          <cell r="M3273"/>
          <cell r="N3273"/>
          <cell r="O3273"/>
        </row>
        <row r="3274">
          <cell r="A3274"/>
          <cell r="B3274"/>
          <cell r="C3274"/>
          <cell r="D3274"/>
          <cell r="E3274"/>
          <cell r="F3274"/>
          <cell r="G3274"/>
          <cell r="H3274"/>
          <cell r="I3274"/>
          <cell r="J3274"/>
          <cell r="K3274"/>
          <cell r="L3274"/>
          <cell r="M3274"/>
          <cell r="N3274"/>
          <cell r="O3274"/>
        </row>
        <row r="3275">
          <cell r="A3275"/>
          <cell r="B3275"/>
          <cell r="C3275"/>
          <cell r="D3275"/>
          <cell r="E3275"/>
          <cell r="F3275"/>
          <cell r="G3275"/>
          <cell r="H3275"/>
          <cell r="I3275"/>
          <cell r="J3275"/>
          <cell r="K3275"/>
          <cell r="L3275"/>
          <cell r="M3275"/>
          <cell r="N3275"/>
          <cell r="O3275"/>
        </row>
        <row r="3276">
          <cell r="A3276"/>
          <cell r="B3276"/>
          <cell r="C3276"/>
          <cell r="D3276"/>
          <cell r="E3276"/>
          <cell r="F3276"/>
          <cell r="G3276"/>
          <cell r="H3276"/>
          <cell r="I3276"/>
          <cell r="J3276"/>
          <cell r="K3276"/>
          <cell r="L3276"/>
          <cell r="M3276"/>
          <cell r="N3276"/>
          <cell r="O3276"/>
        </row>
        <row r="3277">
          <cell r="A3277"/>
          <cell r="B3277"/>
          <cell r="C3277"/>
          <cell r="D3277"/>
          <cell r="E3277"/>
          <cell r="F3277"/>
          <cell r="G3277"/>
          <cell r="H3277"/>
          <cell r="I3277"/>
          <cell r="J3277"/>
          <cell r="K3277"/>
          <cell r="L3277"/>
          <cell r="M3277"/>
          <cell r="N3277"/>
          <cell r="O3277"/>
        </row>
        <row r="3278">
          <cell r="A3278"/>
          <cell r="B3278"/>
          <cell r="C3278"/>
          <cell r="D3278"/>
          <cell r="E3278"/>
          <cell r="F3278"/>
          <cell r="G3278"/>
          <cell r="H3278"/>
          <cell r="I3278"/>
          <cell r="J3278"/>
          <cell r="K3278"/>
          <cell r="L3278"/>
          <cell r="M3278"/>
          <cell r="N3278"/>
          <cell r="O3278"/>
        </row>
        <row r="3279">
          <cell r="A3279"/>
          <cell r="B3279"/>
          <cell r="C3279"/>
          <cell r="D3279"/>
          <cell r="E3279"/>
          <cell r="F3279"/>
          <cell r="G3279"/>
          <cell r="H3279"/>
          <cell r="I3279"/>
          <cell r="J3279"/>
          <cell r="K3279"/>
          <cell r="L3279"/>
          <cell r="M3279"/>
          <cell r="N3279"/>
          <cell r="O3279"/>
        </row>
        <row r="3280">
          <cell r="A3280"/>
          <cell r="B3280"/>
          <cell r="C3280"/>
          <cell r="D3280"/>
          <cell r="E3280"/>
          <cell r="F3280"/>
          <cell r="G3280"/>
          <cell r="H3280"/>
          <cell r="I3280"/>
          <cell r="J3280"/>
          <cell r="K3280"/>
          <cell r="L3280"/>
          <cell r="M3280"/>
          <cell r="N3280"/>
          <cell r="O3280"/>
        </row>
        <row r="3281">
          <cell r="A3281"/>
          <cell r="B3281"/>
          <cell r="C3281"/>
          <cell r="D3281"/>
          <cell r="E3281"/>
          <cell r="F3281"/>
          <cell r="G3281"/>
          <cell r="H3281"/>
          <cell r="I3281"/>
          <cell r="J3281"/>
          <cell r="K3281"/>
          <cell r="L3281"/>
          <cell r="M3281"/>
          <cell r="N3281"/>
          <cell r="O3281"/>
        </row>
        <row r="3282">
          <cell r="A3282"/>
          <cell r="B3282"/>
          <cell r="C3282"/>
          <cell r="D3282"/>
          <cell r="E3282"/>
          <cell r="F3282"/>
          <cell r="G3282"/>
          <cell r="H3282"/>
          <cell r="I3282"/>
          <cell r="J3282"/>
          <cell r="K3282"/>
          <cell r="L3282"/>
          <cell r="M3282"/>
          <cell r="N3282"/>
          <cell r="O3282"/>
        </row>
        <row r="3283">
          <cell r="A3283"/>
          <cell r="B3283"/>
          <cell r="C3283"/>
          <cell r="D3283"/>
          <cell r="E3283"/>
          <cell r="F3283"/>
          <cell r="G3283"/>
          <cell r="H3283"/>
          <cell r="I3283"/>
          <cell r="J3283"/>
          <cell r="K3283"/>
          <cell r="L3283"/>
          <cell r="M3283"/>
          <cell r="N3283"/>
          <cell r="O3283"/>
        </row>
        <row r="3284">
          <cell r="A3284"/>
          <cell r="B3284"/>
          <cell r="C3284"/>
          <cell r="D3284"/>
          <cell r="E3284"/>
          <cell r="F3284"/>
          <cell r="G3284"/>
          <cell r="H3284"/>
          <cell r="I3284"/>
          <cell r="J3284"/>
          <cell r="K3284"/>
          <cell r="L3284"/>
          <cell r="M3284"/>
          <cell r="N3284"/>
          <cell r="O3284"/>
        </row>
        <row r="3285">
          <cell r="A3285"/>
          <cell r="B3285"/>
          <cell r="C3285"/>
          <cell r="D3285"/>
          <cell r="E3285"/>
          <cell r="F3285"/>
          <cell r="G3285"/>
          <cell r="H3285"/>
          <cell r="I3285"/>
          <cell r="J3285"/>
          <cell r="K3285"/>
          <cell r="L3285"/>
          <cell r="M3285"/>
          <cell r="N3285"/>
          <cell r="O3285"/>
        </row>
        <row r="3286">
          <cell r="A3286"/>
          <cell r="B3286"/>
          <cell r="C3286"/>
          <cell r="D3286"/>
          <cell r="E3286"/>
          <cell r="F3286"/>
          <cell r="G3286"/>
          <cell r="H3286"/>
          <cell r="I3286"/>
          <cell r="J3286"/>
          <cell r="K3286"/>
          <cell r="L3286"/>
          <cell r="M3286"/>
          <cell r="N3286"/>
          <cell r="O3286"/>
        </row>
        <row r="3287">
          <cell r="A3287"/>
          <cell r="B3287"/>
          <cell r="C3287"/>
          <cell r="D3287"/>
          <cell r="E3287"/>
          <cell r="F3287"/>
          <cell r="G3287"/>
          <cell r="H3287"/>
          <cell r="I3287"/>
          <cell r="J3287"/>
          <cell r="K3287"/>
          <cell r="L3287"/>
          <cell r="M3287"/>
          <cell r="N3287"/>
          <cell r="O3287"/>
        </row>
        <row r="3288">
          <cell r="A3288"/>
          <cell r="B3288"/>
          <cell r="C3288"/>
          <cell r="D3288"/>
          <cell r="E3288"/>
          <cell r="F3288"/>
          <cell r="G3288"/>
          <cell r="H3288"/>
          <cell r="I3288"/>
          <cell r="J3288"/>
          <cell r="K3288"/>
          <cell r="L3288"/>
          <cell r="M3288"/>
          <cell r="N3288"/>
          <cell r="O3288"/>
        </row>
        <row r="3289">
          <cell r="A3289"/>
          <cell r="B3289"/>
          <cell r="C3289"/>
          <cell r="D3289"/>
          <cell r="E3289"/>
          <cell r="F3289"/>
          <cell r="G3289"/>
          <cell r="H3289"/>
          <cell r="I3289"/>
          <cell r="J3289"/>
          <cell r="K3289"/>
          <cell r="L3289"/>
          <cell r="M3289"/>
          <cell r="N3289"/>
          <cell r="O3289"/>
        </row>
        <row r="3290">
          <cell r="A3290"/>
          <cell r="B3290"/>
          <cell r="C3290"/>
          <cell r="D3290"/>
          <cell r="E3290"/>
          <cell r="F3290"/>
          <cell r="G3290"/>
          <cell r="H3290"/>
          <cell r="I3290"/>
          <cell r="J3290"/>
          <cell r="K3290"/>
          <cell r="L3290"/>
          <cell r="M3290"/>
          <cell r="N3290"/>
          <cell r="O3290"/>
        </row>
        <row r="3291">
          <cell r="A3291"/>
          <cell r="B3291"/>
          <cell r="C3291"/>
          <cell r="D3291"/>
          <cell r="E3291"/>
          <cell r="F3291"/>
          <cell r="G3291"/>
          <cell r="H3291"/>
          <cell r="I3291"/>
          <cell r="J3291"/>
          <cell r="K3291"/>
          <cell r="L3291"/>
          <cell r="M3291"/>
          <cell r="N3291"/>
          <cell r="O3291"/>
        </row>
        <row r="3292">
          <cell r="A3292"/>
          <cell r="B3292"/>
          <cell r="C3292"/>
          <cell r="D3292"/>
          <cell r="E3292"/>
          <cell r="F3292"/>
          <cell r="G3292"/>
          <cell r="H3292"/>
          <cell r="I3292"/>
          <cell r="J3292"/>
          <cell r="K3292"/>
          <cell r="L3292"/>
          <cell r="M3292"/>
          <cell r="N3292"/>
          <cell r="O3292"/>
        </row>
        <row r="3293">
          <cell r="A3293"/>
          <cell r="B3293"/>
          <cell r="C3293"/>
          <cell r="D3293"/>
          <cell r="E3293"/>
          <cell r="F3293"/>
          <cell r="G3293"/>
          <cell r="H3293"/>
          <cell r="I3293"/>
          <cell r="J3293"/>
          <cell r="K3293"/>
          <cell r="L3293"/>
          <cell r="M3293"/>
          <cell r="N3293"/>
          <cell r="O3293"/>
        </row>
        <row r="3294">
          <cell r="A3294"/>
          <cell r="B3294"/>
          <cell r="C3294"/>
          <cell r="D3294"/>
          <cell r="E3294"/>
          <cell r="F3294"/>
          <cell r="G3294"/>
          <cell r="H3294"/>
          <cell r="I3294"/>
          <cell r="J3294"/>
          <cell r="K3294"/>
          <cell r="L3294"/>
          <cell r="M3294"/>
          <cell r="N3294"/>
          <cell r="O3294"/>
        </row>
        <row r="3295">
          <cell r="A3295"/>
          <cell r="B3295"/>
          <cell r="C3295"/>
          <cell r="D3295"/>
          <cell r="E3295"/>
          <cell r="F3295"/>
          <cell r="G3295"/>
          <cell r="H3295"/>
          <cell r="I3295"/>
          <cell r="J3295"/>
          <cell r="K3295"/>
          <cell r="L3295"/>
          <cell r="M3295"/>
          <cell r="N3295"/>
          <cell r="O3295"/>
        </row>
        <row r="3296">
          <cell r="A3296"/>
          <cell r="B3296"/>
          <cell r="C3296"/>
          <cell r="D3296"/>
          <cell r="E3296"/>
          <cell r="F3296"/>
          <cell r="G3296"/>
          <cell r="H3296"/>
          <cell r="I3296"/>
          <cell r="J3296"/>
          <cell r="K3296"/>
          <cell r="L3296"/>
          <cell r="M3296"/>
          <cell r="N3296"/>
          <cell r="O3296"/>
        </row>
        <row r="3297">
          <cell r="A3297"/>
          <cell r="B3297"/>
          <cell r="C3297"/>
          <cell r="D3297"/>
          <cell r="E3297"/>
          <cell r="F3297"/>
          <cell r="G3297"/>
          <cell r="H3297"/>
          <cell r="I3297"/>
          <cell r="J3297"/>
          <cell r="K3297"/>
          <cell r="L3297"/>
          <cell r="M3297"/>
          <cell r="N3297"/>
          <cell r="O3297"/>
        </row>
        <row r="3298">
          <cell r="A3298"/>
          <cell r="B3298"/>
          <cell r="C3298"/>
          <cell r="D3298"/>
          <cell r="E3298"/>
          <cell r="F3298"/>
          <cell r="G3298"/>
          <cell r="H3298"/>
          <cell r="I3298"/>
          <cell r="J3298"/>
          <cell r="K3298"/>
          <cell r="L3298"/>
          <cell r="M3298"/>
          <cell r="N3298"/>
          <cell r="O3298"/>
        </row>
        <row r="3299">
          <cell r="A3299"/>
          <cell r="B3299"/>
          <cell r="C3299"/>
          <cell r="D3299"/>
          <cell r="E3299"/>
          <cell r="F3299"/>
          <cell r="G3299"/>
          <cell r="H3299"/>
          <cell r="I3299"/>
          <cell r="J3299"/>
          <cell r="K3299"/>
          <cell r="L3299"/>
          <cell r="M3299"/>
          <cell r="N3299"/>
          <cell r="O3299"/>
        </row>
        <row r="3300">
          <cell r="A3300"/>
          <cell r="B3300"/>
          <cell r="C3300"/>
          <cell r="D3300"/>
          <cell r="E3300"/>
          <cell r="F3300"/>
          <cell r="G3300"/>
          <cell r="H3300"/>
          <cell r="I3300"/>
          <cell r="J3300"/>
          <cell r="K3300"/>
          <cell r="L3300"/>
          <cell r="M3300"/>
          <cell r="N3300"/>
          <cell r="O3300"/>
        </row>
        <row r="3301">
          <cell r="A3301"/>
          <cell r="B3301"/>
          <cell r="C3301"/>
          <cell r="D3301"/>
          <cell r="E3301"/>
          <cell r="F3301"/>
          <cell r="G3301"/>
          <cell r="H3301"/>
          <cell r="I3301"/>
          <cell r="J3301"/>
          <cell r="K3301"/>
          <cell r="L3301"/>
          <cell r="M3301"/>
          <cell r="N3301"/>
          <cell r="O3301"/>
        </row>
        <row r="3302">
          <cell r="A3302"/>
          <cell r="B3302"/>
          <cell r="C3302"/>
          <cell r="D3302"/>
          <cell r="E3302"/>
          <cell r="F3302"/>
          <cell r="G3302"/>
          <cell r="H3302"/>
          <cell r="I3302"/>
          <cell r="J3302"/>
          <cell r="K3302"/>
          <cell r="L3302"/>
          <cell r="M3302"/>
          <cell r="N3302"/>
          <cell r="O3302"/>
        </row>
        <row r="3303">
          <cell r="A3303"/>
          <cell r="B3303"/>
          <cell r="C3303"/>
          <cell r="D3303"/>
          <cell r="E3303"/>
          <cell r="F3303"/>
          <cell r="G3303"/>
          <cell r="H3303"/>
          <cell r="I3303"/>
          <cell r="J3303"/>
          <cell r="K3303"/>
          <cell r="L3303"/>
          <cell r="M3303"/>
          <cell r="N3303"/>
          <cell r="O3303"/>
        </row>
        <row r="3304">
          <cell r="A3304"/>
          <cell r="B3304"/>
          <cell r="C3304"/>
          <cell r="D3304"/>
          <cell r="E3304"/>
          <cell r="F3304"/>
          <cell r="G3304"/>
          <cell r="H3304"/>
          <cell r="I3304"/>
          <cell r="J3304"/>
          <cell r="K3304"/>
          <cell r="L3304"/>
          <cell r="M3304"/>
          <cell r="N3304"/>
          <cell r="O3304"/>
        </row>
        <row r="3305">
          <cell r="A3305"/>
          <cell r="B3305"/>
          <cell r="C3305"/>
          <cell r="D3305"/>
          <cell r="E3305"/>
          <cell r="F3305"/>
          <cell r="G3305"/>
          <cell r="H3305"/>
          <cell r="I3305"/>
          <cell r="J3305"/>
          <cell r="K3305"/>
          <cell r="L3305"/>
          <cell r="M3305"/>
          <cell r="N3305"/>
          <cell r="O3305"/>
        </row>
        <row r="3306">
          <cell r="A3306"/>
          <cell r="B3306"/>
          <cell r="C3306"/>
          <cell r="D3306"/>
          <cell r="E3306"/>
          <cell r="F3306"/>
          <cell r="G3306"/>
          <cell r="H3306"/>
          <cell r="I3306"/>
          <cell r="J3306"/>
          <cell r="K3306"/>
          <cell r="L3306"/>
          <cell r="M3306"/>
          <cell r="N3306"/>
          <cell r="O3306"/>
        </row>
        <row r="3307">
          <cell r="A3307"/>
          <cell r="B3307"/>
          <cell r="C3307"/>
          <cell r="D3307"/>
          <cell r="E3307"/>
          <cell r="F3307"/>
          <cell r="G3307"/>
          <cell r="H3307"/>
          <cell r="I3307"/>
          <cell r="J3307"/>
          <cell r="K3307"/>
          <cell r="L3307"/>
          <cell r="M3307"/>
          <cell r="N3307"/>
          <cell r="O3307"/>
        </row>
        <row r="3308">
          <cell r="A3308"/>
          <cell r="B3308"/>
          <cell r="C3308"/>
          <cell r="D3308"/>
          <cell r="E3308"/>
          <cell r="F3308"/>
          <cell r="G3308"/>
          <cell r="H3308"/>
          <cell r="I3308"/>
          <cell r="J3308"/>
          <cell r="K3308"/>
          <cell r="L3308"/>
          <cell r="M3308"/>
          <cell r="N3308"/>
          <cell r="O3308"/>
        </row>
        <row r="3309">
          <cell r="A3309"/>
          <cell r="B3309"/>
          <cell r="C3309"/>
          <cell r="D3309"/>
          <cell r="E3309"/>
          <cell r="F3309"/>
          <cell r="G3309"/>
          <cell r="H3309"/>
          <cell r="I3309"/>
          <cell r="J3309"/>
          <cell r="K3309"/>
          <cell r="L3309"/>
          <cell r="M3309"/>
          <cell r="N3309"/>
          <cell r="O3309"/>
        </row>
        <row r="3310">
          <cell r="A3310"/>
          <cell r="B3310"/>
          <cell r="C3310"/>
          <cell r="D3310"/>
          <cell r="E3310"/>
          <cell r="F3310"/>
          <cell r="G3310"/>
          <cell r="H3310"/>
          <cell r="I3310"/>
          <cell r="J3310"/>
          <cell r="K3310"/>
          <cell r="L3310"/>
          <cell r="M3310"/>
          <cell r="N3310"/>
          <cell r="O3310"/>
        </row>
        <row r="3311">
          <cell r="A3311"/>
          <cell r="B3311"/>
          <cell r="C3311"/>
          <cell r="D3311"/>
          <cell r="E3311"/>
          <cell r="F3311"/>
          <cell r="G3311"/>
          <cell r="H3311"/>
          <cell r="I3311"/>
          <cell r="J3311"/>
          <cell r="K3311"/>
          <cell r="L3311"/>
          <cell r="M3311"/>
          <cell r="N3311"/>
          <cell r="O3311"/>
        </row>
        <row r="3312">
          <cell r="A3312"/>
          <cell r="B3312"/>
          <cell r="C3312"/>
          <cell r="D3312"/>
          <cell r="E3312"/>
          <cell r="F3312"/>
          <cell r="G3312"/>
          <cell r="H3312"/>
          <cell r="I3312"/>
          <cell r="J3312"/>
          <cell r="K3312"/>
          <cell r="L3312"/>
          <cell r="M3312"/>
          <cell r="N3312"/>
          <cell r="O3312"/>
        </row>
        <row r="3313">
          <cell r="A3313"/>
          <cell r="B3313"/>
          <cell r="C3313"/>
          <cell r="D3313"/>
          <cell r="E3313"/>
          <cell r="F3313"/>
          <cell r="G3313"/>
          <cell r="H3313"/>
          <cell r="I3313"/>
          <cell r="J3313"/>
          <cell r="K3313"/>
          <cell r="L3313"/>
          <cell r="M3313"/>
          <cell r="N3313"/>
          <cell r="O3313"/>
        </row>
        <row r="3314">
          <cell r="A3314"/>
          <cell r="B3314"/>
          <cell r="C3314"/>
          <cell r="D3314"/>
          <cell r="E3314"/>
          <cell r="F3314"/>
          <cell r="G3314"/>
          <cell r="H3314"/>
          <cell r="I3314"/>
          <cell r="J3314"/>
          <cell r="K3314"/>
          <cell r="L3314"/>
          <cell r="M3314"/>
          <cell r="N3314"/>
          <cell r="O3314"/>
        </row>
        <row r="3315">
          <cell r="A3315"/>
          <cell r="B3315"/>
          <cell r="C3315"/>
          <cell r="D3315"/>
          <cell r="E3315"/>
          <cell r="F3315"/>
          <cell r="G3315"/>
          <cell r="H3315"/>
          <cell r="I3315"/>
          <cell r="J3315"/>
          <cell r="K3315"/>
          <cell r="L3315"/>
          <cell r="M3315"/>
          <cell r="N3315"/>
          <cell r="O3315"/>
        </row>
        <row r="3316">
          <cell r="A3316"/>
          <cell r="B3316"/>
          <cell r="C3316"/>
          <cell r="D3316"/>
          <cell r="E3316"/>
          <cell r="F3316"/>
          <cell r="G3316"/>
          <cell r="H3316"/>
          <cell r="I3316"/>
          <cell r="J3316"/>
          <cell r="K3316"/>
          <cell r="L3316"/>
          <cell r="M3316"/>
          <cell r="N3316"/>
          <cell r="O3316"/>
        </row>
        <row r="3317">
          <cell r="A3317"/>
          <cell r="B3317"/>
          <cell r="C3317"/>
          <cell r="D3317"/>
          <cell r="E3317"/>
          <cell r="F3317"/>
          <cell r="G3317"/>
          <cell r="H3317"/>
          <cell r="I3317"/>
          <cell r="J3317"/>
          <cell r="K3317"/>
          <cell r="L3317"/>
          <cell r="M3317"/>
          <cell r="N3317"/>
          <cell r="O3317"/>
        </row>
        <row r="3318">
          <cell r="A3318"/>
          <cell r="B3318"/>
          <cell r="C3318"/>
          <cell r="D3318"/>
          <cell r="E3318"/>
          <cell r="F3318"/>
          <cell r="G3318"/>
          <cell r="H3318"/>
          <cell r="I3318"/>
          <cell r="J3318"/>
          <cell r="K3318"/>
          <cell r="L3318"/>
          <cell r="M3318"/>
          <cell r="N3318"/>
          <cell r="O3318"/>
        </row>
        <row r="3319">
          <cell r="A3319"/>
          <cell r="B3319"/>
          <cell r="C3319"/>
          <cell r="D3319"/>
          <cell r="E3319"/>
          <cell r="F3319"/>
          <cell r="G3319"/>
          <cell r="H3319"/>
          <cell r="I3319"/>
          <cell r="J3319"/>
          <cell r="K3319"/>
          <cell r="L3319"/>
          <cell r="M3319"/>
          <cell r="N3319"/>
          <cell r="O3319"/>
        </row>
        <row r="3320">
          <cell r="A3320"/>
          <cell r="B3320"/>
          <cell r="C3320"/>
          <cell r="D3320"/>
          <cell r="E3320"/>
          <cell r="F3320"/>
          <cell r="G3320"/>
          <cell r="H3320"/>
          <cell r="I3320"/>
          <cell r="J3320"/>
          <cell r="K3320"/>
          <cell r="L3320"/>
          <cell r="M3320"/>
          <cell r="N3320"/>
          <cell r="O3320"/>
        </row>
        <row r="3321">
          <cell r="A3321"/>
          <cell r="B3321"/>
          <cell r="C3321"/>
          <cell r="D3321"/>
          <cell r="E3321"/>
          <cell r="F3321"/>
          <cell r="G3321"/>
          <cell r="H3321"/>
          <cell r="I3321"/>
          <cell r="J3321"/>
          <cell r="K3321"/>
          <cell r="L3321"/>
          <cell r="M3321"/>
          <cell r="N3321"/>
          <cell r="O3321"/>
        </row>
        <row r="3322">
          <cell r="A3322"/>
          <cell r="B3322"/>
          <cell r="C3322"/>
          <cell r="D3322"/>
          <cell r="E3322"/>
          <cell r="F3322"/>
          <cell r="G3322"/>
          <cell r="H3322"/>
          <cell r="I3322"/>
          <cell r="J3322"/>
          <cell r="K3322"/>
          <cell r="L3322"/>
          <cell r="M3322"/>
          <cell r="N3322"/>
          <cell r="O3322"/>
        </row>
        <row r="3323">
          <cell r="A3323"/>
          <cell r="B3323"/>
          <cell r="C3323"/>
          <cell r="D3323"/>
          <cell r="E3323"/>
          <cell r="F3323"/>
          <cell r="G3323"/>
          <cell r="H3323"/>
          <cell r="I3323"/>
          <cell r="J3323"/>
          <cell r="K3323"/>
          <cell r="L3323"/>
          <cell r="M3323"/>
          <cell r="N3323"/>
          <cell r="O3323"/>
        </row>
        <row r="3324">
          <cell r="A3324"/>
          <cell r="B3324"/>
          <cell r="C3324"/>
          <cell r="D3324"/>
          <cell r="E3324"/>
          <cell r="F3324"/>
          <cell r="G3324"/>
          <cell r="H3324"/>
          <cell r="I3324"/>
          <cell r="J3324"/>
          <cell r="K3324"/>
          <cell r="L3324"/>
          <cell r="M3324"/>
          <cell r="N3324"/>
          <cell r="O3324"/>
        </row>
        <row r="3325">
          <cell r="A3325"/>
          <cell r="B3325"/>
          <cell r="C3325"/>
          <cell r="D3325"/>
          <cell r="E3325"/>
          <cell r="F3325"/>
          <cell r="G3325"/>
          <cell r="H3325"/>
          <cell r="I3325"/>
          <cell r="J3325"/>
          <cell r="K3325"/>
          <cell r="L3325"/>
          <cell r="M3325"/>
          <cell r="N3325"/>
          <cell r="O3325"/>
        </row>
        <row r="3326">
          <cell r="A3326"/>
          <cell r="B3326"/>
          <cell r="C3326"/>
          <cell r="D3326"/>
          <cell r="E3326"/>
          <cell r="F3326"/>
          <cell r="G3326"/>
          <cell r="H3326"/>
          <cell r="I3326"/>
          <cell r="J3326"/>
          <cell r="K3326"/>
          <cell r="L3326"/>
          <cell r="M3326"/>
          <cell r="N3326"/>
          <cell r="O3326"/>
        </row>
        <row r="3327">
          <cell r="A3327"/>
          <cell r="B3327"/>
          <cell r="C3327"/>
          <cell r="D3327"/>
          <cell r="E3327"/>
          <cell r="F3327"/>
          <cell r="G3327"/>
          <cell r="H3327"/>
          <cell r="I3327"/>
          <cell r="J3327"/>
          <cell r="K3327"/>
          <cell r="L3327"/>
          <cell r="M3327"/>
          <cell r="N3327"/>
          <cell r="O3327"/>
        </row>
        <row r="3328">
          <cell r="A3328"/>
          <cell r="B3328"/>
          <cell r="C3328"/>
          <cell r="D3328"/>
          <cell r="E3328"/>
          <cell r="F3328"/>
          <cell r="G3328"/>
          <cell r="H3328"/>
          <cell r="I3328"/>
          <cell r="J3328"/>
          <cell r="K3328"/>
          <cell r="L3328"/>
          <cell r="M3328"/>
          <cell r="N3328"/>
          <cell r="O3328"/>
        </row>
        <row r="3329">
          <cell r="A3329"/>
          <cell r="B3329"/>
          <cell r="C3329"/>
          <cell r="D3329"/>
          <cell r="E3329"/>
          <cell r="F3329"/>
          <cell r="G3329"/>
          <cell r="H3329"/>
          <cell r="I3329"/>
          <cell r="J3329"/>
          <cell r="K3329"/>
          <cell r="L3329"/>
          <cell r="M3329"/>
          <cell r="N3329"/>
          <cell r="O3329"/>
        </row>
        <row r="3330">
          <cell r="A3330"/>
          <cell r="B3330"/>
          <cell r="C3330"/>
          <cell r="D3330"/>
          <cell r="E3330"/>
          <cell r="F3330"/>
          <cell r="G3330"/>
          <cell r="H3330"/>
          <cell r="I3330"/>
          <cell r="J3330"/>
          <cell r="K3330"/>
          <cell r="L3330"/>
          <cell r="M3330"/>
          <cell r="N3330"/>
          <cell r="O3330"/>
        </row>
        <row r="3331">
          <cell r="A3331"/>
          <cell r="B3331"/>
          <cell r="C3331"/>
          <cell r="D3331"/>
          <cell r="E3331"/>
          <cell r="F3331"/>
          <cell r="G3331"/>
          <cell r="H3331"/>
          <cell r="I3331"/>
          <cell r="J3331"/>
          <cell r="K3331"/>
          <cell r="L3331"/>
          <cell r="M3331"/>
          <cell r="N3331"/>
          <cell r="O3331"/>
        </row>
        <row r="3332">
          <cell r="A3332"/>
          <cell r="B3332"/>
          <cell r="C3332"/>
          <cell r="D3332"/>
          <cell r="E3332"/>
          <cell r="F3332"/>
          <cell r="G3332"/>
          <cell r="H3332"/>
          <cell r="I3332"/>
          <cell r="J3332"/>
          <cell r="K3332"/>
          <cell r="L3332"/>
          <cell r="M3332"/>
          <cell r="N3332"/>
          <cell r="O3332"/>
        </row>
        <row r="3333">
          <cell r="A3333"/>
          <cell r="B3333"/>
          <cell r="C3333"/>
          <cell r="D3333"/>
          <cell r="E3333"/>
          <cell r="F3333"/>
          <cell r="G3333"/>
          <cell r="H3333"/>
          <cell r="I3333"/>
          <cell r="J3333"/>
          <cell r="K3333"/>
          <cell r="L3333"/>
          <cell r="M3333"/>
          <cell r="N3333"/>
          <cell r="O3333"/>
        </row>
        <row r="3334">
          <cell r="A3334"/>
          <cell r="B3334"/>
          <cell r="C3334"/>
          <cell r="D3334"/>
          <cell r="E3334"/>
          <cell r="F3334"/>
          <cell r="G3334"/>
          <cell r="H3334"/>
          <cell r="I3334"/>
          <cell r="J3334"/>
          <cell r="K3334"/>
          <cell r="L3334"/>
          <cell r="M3334"/>
          <cell r="N3334"/>
          <cell r="O3334"/>
        </row>
        <row r="3335">
          <cell r="A3335"/>
          <cell r="B3335"/>
          <cell r="C3335"/>
          <cell r="D3335"/>
          <cell r="E3335"/>
          <cell r="F3335"/>
          <cell r="G3335"/>
          <cell r="H3335"/>
          <cell r="I3335"/>
          <cell r="J3335"/>
          <cell r="K3335"/>
          <cell r="L3335"/>
          <cell r="M3335"/>
          <cell r="N3335"/>
          <cell r="O3335"/>
        </row>
        <row r="3336">
          <cell r="A3336"/>
          <cell r="B3336"/>
          <cell r="C3336"/>
          <cell r="D3336"/>
          <cell r="E3336"/>
          <cell r="F3336"/>
          <cell r="G3336"/>
          <cell r="H3336"/>
          <cell r="I3336"/>
          <cell r="J3336"/>
          <cell r="K3336"/>
          <cell r="L3336"/>
          <cell r="M3336"/>
          <cell r="N3336"/>
          <cell r="O3336"/>
        </row>
        <row r="3337">
          <cell r="A3337"/>
          <cell r="B3337"/>
          <cell r="C3337"/>
          <cell r="D3337"/>
          <cell r="E3337"/>
          <cell r="F3337"/>
          <cell r="G3337"/>
          <cell r="H3337"/>
          <cell r="I3337"/>
          <cell r="J3337"/>
          <cell r="K3337"/>
          <cell r="L3337"/>
          <cell r="M3337"/>
          <cell r="N3337"/>
          <cell r="O3337"/>
        </row>
        <row r="3338">
          <cell r="A3338"/>
          <cell r="B3338"/>
          <cell r="C3338"/>
          <cell r="D3338"/>
          <cell r="E3338"/>
          <cell r="F3338"/>
          <cell r="G3338"/>
          <cell r="H3338"/>
          <cell r="I3338"/>
          <cell r="J3338"/>
          <cell r="K3338"/>
          <cell r="L3338"/>
          <cell r="M3338"/>
          <cell r="N3338"/>
          <cell r="O3338"/>
        </row>
        <row r="3339">
          <cell r="A3339"/>
          <cell r="B3339"/>
          <cell r="C3339"/>
          <cell r="D3339"/>
          <cell r="E3339"/>
          <cell r="F3339"/>
          <cell r="G3339"/>
          <cell r="H3339"/>
          <cell r="I3339"/>
          <cell r="J3339"/>
          <cell r="K3339"/>
          <cell r="L3339"/>
          <cell r="M3339"/>
          <cell r="N3339"/>
          <cell r="O3339"/>
        </row>
        <row r="3340">
          <cell r="A3340"/>
          <cell r="B3340"/>
          <cell r="C3340"/>
          <cell r="D3340"/>
          <cell r="E3340"/>
          <cell r="F3340"/>
          <cell r="G3340"/>
          <cell r="H3340"/>
          <cell r="I3340"/>
          <cell r="J3340"/>
          <cell r="K3340"/>
          <cell r="L3340"/>
          <cell r="M3340"/>
          <cell r="N3340"/>
          <cell r="O3340"/>
        </row>
        <row r="3341">
          <cell r="A3341"/>
          <cell r="B3341"/>
          <cell r="C3341"/>
          <cell r="D3341"/>
          <cell r="E3341"/>
          <cell r="F3341"/>
          <cell r="G3341"/>
          <cell r="H3341"/>
          <cell r="I3341"/>
          <cell r="J3341"/>
          <cell r="K3341"/>
          <cell r="L3341"/>
          <cell r="M3341"/>
          <cell r="N3341"/>
          <cell r="O3341"/>
        </row>
        <row r="3342">
          <cell r="A3342"/>
          <cell r="B3342"/>
          <cell r="C3342"/>
          <cell r="D3342"/>
          <cell r="E3342"/>
          <cell r="F3342"/>
          <cell r="G3342"/>
          <cell r="H3342"/>
          <cell r="I3342"/>
          <cell r="J3342"/>
          <cell r="K3342"/>
          <cell r="L3342"/>
          <cell r="M3342"/>
          <cell r="N3342"/>
          <cell r="O3342"/>
        </row>
        <row r="3343">
          <cell r="A3343"/>
          <cell r="B3343"/>
          <cell r="C3343"/>
          <cell r="D3343"/>
          <cell r="E3343"/>
          <cell r="F3343"/>
          <cell r="G3343"/>
          <cell r="H3343"/>
          <cell r="I3343"/>
          <cell r="J3343"/>
          <cell r="K3343"/>
          <cell r="L3343"/>
          <cell r="M3343"/>
          <cell r="N3343"/>
          <cell r="O3343"/>
        </row>
        <row r="3344">
          <cell r="A3344"/>
          <cell r="B3344"/>
          <cell r="C3344"/>
          <cell r="D3344"/>
          <cell r="E3344"/>
          <cell r="F3344"/>
          <cell r="G3344"/>
          <cell r="H3344"/>
          <cell r="I3344"/>
          <cell r="J3344"/>
          <cell r="K3344"/>
          <cell r="L3344"/>
          <cell r="M3344"/>
          <cell r="N3344"/>
          <cell r="O3344"/>
        </row>
        <row r="3345">
          <cell r="A3345"/>
          <cell r="B3345"/>
          <cell r="C3345"/>
          <cell r="D3345"/>
          <cell r="E3345"/>
          <cell r="F3345"/>
          <cell r="G3345"/>
          <cell r="H3345"/>
          <cell r="I3345"/>
          <cell r="J3345"/>
          <cell r="K3345"/>
          <cell r="L3345"/>
          <cell r="M3345"/>
          <cell r="N3345"/>
          <cell r="O3345"/>
        </row>
        <row r="3346">
          <cell r="A3346"/>
          <cell r="B3346"/>
          <cell r="C3346"/>
          <cell r="D3346"/>
          <cell r="E3346"/>
          <cell r="F3346"/>
          <cell r="G3346"/>
          <cell r="H3346"/>
          <cell r="I3346"/>
          <cell r="J3346"/>
          <cell r="K3346"/>
          <cell r="L3346"/>
          <cell r="M3346"/>
          <cell r="N3346"/>
          <cell r="O3346"/>
        </row>
        <row r="3347">
          <cell r="A3347"/>
          <cell r="B3347"/>
          <cell r="C3347"/>
          <cell r="D3347"/>
          <cell r="E3347"/>
          <cell r="F3347"/>
          <cell r="G3347"/>
          <cell r="H3347"/>
          <cell r="I3347"/>
          <cell r="J3347"/>
          <cell r="K3347"/>
          <cell r="L3347"/>
          <cell r="M3347"/>
          <cell r="N3347"/>
          <cell r="O3347"/>
        </row>
        <row r="3348">
          <cell r="A3348"/>
          <cell r="B3348"/>
          <cell r="C3348"/>
          <cell r="D3348"/>
          <cell r="E3348"/>
          <cell r="F3348"/>
          <cell r="G3348"/>
          <cell r="H3348"/>
          <cell r="I3348"/>
          <cell r="J3348"/>
          <cell r="K3348"/>
          <cell r="L3348"/>
          <cell r="M3348"/>
          <cell r="N3348"/>
          <cell r="O3348"/>
        </row>
        <row r="3349">
          <cell r="A3349"/>
          <cell r="B3349"/>
          <cell r="C3349"/>
          <cell r="D3349"/>
          <cell r="E3349"/>
          <cell r="F3349"/>
          <cell r="G3349"/>
          <cell r="H3349"/>
          <cell r="I3349"/>
          <cell r="J3349"/>
          <cell r="K3349"/>
          <cell r="L3349"/>
          <cell r="M3349"/>
          <cell r="N3349"/>
          <cell r="O3349"/>
        </row>
        <row r="3350">
          <cell r="A3350"/>
          <cell r="B3350"/>
          <cell r="C3350"/>
          <cell r="D3350"/>
          <cell r="E3350"/>
          <cell r="F3350"/>
          <cell r="G3350"/>
          <cell r="H3350"/>
          <cell r="I3350"/>
          <cell r="J3350"/>
          <cell r="K3350"/>
          <cell r="L3350"/>
          <cell r="M3350"/>
          <cell r="N3350"/>
          <cell r="O3350"/>
        </row>
        <row r="3351">
          <cell r="A3351"/>
          <cell r="B3351"/>
          <cell r="C3351"/>
          <cell r="D3351"/>
          <cell r="E3351"/>
          <cell r="F3351"/>
          <cell r="G3351"/>
          <cell r="H3351"/>
          <cell r="I3351"/>
          <cell r="J3351"/>
          <cell r="K3351"/>
          <cell r="L3351"/>
          <cell r="M3351"/>
          <cell r="N3351"/>
          <cell r="O3351"/>
        </row>
        <row r="3352">
          <cell r="A3352"/>
          <cell r="B3352"/>
          <cell r="C3352"/>
          <cell r="D3352"/>
          <cell r="E3352"/>
          <cell r="F3352"/>
          <cell r="G3352"/>
          <cell r="H3352"/>
          <cell r="I3352"/>
          <cell r="J3352"/>
          <cell r="K3352"/>
          <cell r="L3352"/>
          <cell r="M3352"/>
          <cell r="N3352"/>
          <cell r="O3352"/>
        </row>
        <row r="3353">
          <cell r="A3353"/>
          <cell r="B3353"/>
          <cell r="C3353"/>
          <cell r="D3353"/>
          <cell r="E3353"/>
          <cell r="F3353"/>
          <cell r="G3353"/>
          <cell r="H3353"/>
          <cell r="I3353"/>
          <cell r="J3353"/>
          <cell r="K3353"/>
          <cell r="L3353"/>
          <cell r="M3353"/>
          <cell r="N3353"/>
          <cell r="O3353"/>
        </row>
        <row r="3354">
          <cell r="A3354"/>
          <cell r="B3354"/>
          <cell r="C3354"/>
          <cell r="D3354"/>
          <cell r="E3354"/>
          <cell r="F3354"/>
          <cell r="G3354"/>
          <cell r="H3354"/>
          <cell r="I3354"/>
          <cell r="J3354"/>
          <cell r="K3354"/>
          <cell r="L3354"/>
          <cell r="M3354"/>
          <cell r="N3354"/>
          <cell r="O3354"/>
        </row>
        <row r="3355">
          <cell r="A3355"/>
          <cell r="B3355"/>
          <cell r="C3355"/>
          <cell r="D3355"/>
          <cell r="E3355"/>
          <cell r="F3355"/>
          <cell r="G3355"/>
          <cell r="H3355"/>
          <cell r="I3355"/>
          <cell r="J3355"/>
          <cell r="K3355"/>
          <cell r="L3355"/>
          <cell r="M3355"/>
          <cell r="N3355"/>
          <cell r="O3355"/>
        </row>
        <row r="3356">
          <cell r="A3356"/>
          <cell r="B3356"/>
          <cell r="C3356"/>
          <cell r="D3356"/>
          <cell r="E3356"/>
          <cell r="F3356"/>
          <cell r="G3356"/>
          <cell r="H3356"/>
          <cell r="I3356"/>
          <cell r="J3356"/>
          <cell r="K3356"/>
          <cell r="L3356"/>
          <cell r="M3356"/>
          <cell r="N3356"/>
          <cell r="O3356"/>
        </row>
        <row r="3357">
          <cell r="A3357"/>
          <cell r="B3357"/>
          <cell r="C3357"/>
          <cell r="D3357"/>
          <cell r="E3357"/>
          <cell r="F3357"/>
          <cell r="G3357"/>
          <cell r="H3357"/>
          <cell r="I3357"/>
          <cell r="J3357"/>
          <cell r="K3357"/>
          <cell r="L3357"/>
          <cell r="M3357"/>
          <cell r="N3357"/>
          <cell r="O3357"/>
        </row>
        <row r="3358">
          <cell r="A3358"/>
          <cell r="B3358"/>
          <cell r="C3358"/>
          <cell r="D3358"/>
          <cell r="E3358"/>
          <cell r="F3358"/>
          <cell r="G3358"/>
          <cell r="H3358"/>
          <cell r="I3358"/>
          <cell r="J3358"/>
          <cell r="K3358"/>
          <cell r="L3358"/>
          <cell r="M3358"/>
          <cell r="N3358"/>
          <cell r="O3358"/>
        </row>
        <row r="3359">
          <cell r="A3359"/>
          <cell r="B3359"/>
          <cell r="C3359"/>
          <cell r="D3359"/>
          <cell r="E3359"/>
          <cell r="F3359"/>
          <cell r="G3359"/>
          <cell r="H3359"/>
          <cell r="I3359"/>
          <cell r="J3359"/>
          <cell r="K3359"/>
          <cell r="L3359"/>
          <cell r="M3359"/>
          <cell r="N3359"/>
          <cell r="O3359"/>
        </row>
        <row r="3360">
          <cell r="A3360"/>
          <cell r="B3360"/>
          <cell r="C3360"/>
          <cell r="D3360"/>
          <cell r="E3360"/>
          <cell r="F3360"/>
          <cell r="G3360"/>
          <cell r="H3360"/>
          <cell r="I3360"/>
          <cell r="J3360"/>
          <cell r="K3360"/>
          <cell r="L3360"/>
          <cell r="M3360"/>
          <cell r="N3360"/>
          <cell r="O3360"/>
        </row>
        <row r="3361">
          <cell r="A3361"/>
          <cell r="B3361"/>
          <cell r="C3361"/>
          <cell r="D3361"/>
          <cell r="E3361"/>
          <cell r="F3361"/>
          <cell r="G3361"/>
          <cell r="H3361"/>
          <cell r="I3361"/>
          <cell r="J3361"/>
          <cell r="K3361"/>
          <cell r="L3361"/>
          <cell r="M3361"/>
          <cell r="N3361"/>
          <cell r="O3361"/>
        </row>
        <row r="3362">
          <cell r="A3362"/>
          <cell r="B3362"/>
          <cell r="C3362"/>
          <cell r="D3362"/>
          <cell r="E3362"/>
          <cell r="F3362"/>
          <cell r="G3362"/>
          <cell r="H3362"/>
          <cell r="I3362"/>
          <cell r="J3362"/>
          <cell r="K3362"/>
          <cell r="L3362"/>
          <cell r="M3362"/>
          <cell r="N3362"/>
          <cell r="O3362"/>
        </row>
        <row r="3363">
          <cell r="A3363"/>
          <cell r="B3363"/>
          <cell r="C3363"/>
          <cell r="D3363"/>
          <cell r="E3363"/>
          <cell r="F3363"/>
          <cell r="G3363"/>
          <cell r="H3363"/>
          <cell r="I3363"/>
          <cell r="J3363"/>
          <cell r="K3363"/>
          <cell r="L3363"/>
          <cell r="M3363"/>
          <cell r="N3363"/>
          <cell r="O3363"/>
        </row>
        <row r="3364">
          <cell r="A3364"/>
          <cell r="B3364"/>
          <cell r="C3364"/>
          <cell r="D3364"/>
          <cell r="E3364"/>
          <cell r="F3364"/>
          <cell r="G3364"/>
          <cell r="H3364"/>
          <cell r="I3364"/>
          <cell r="J3364"/>
          <cell r="K3364"/>
          <cell r="L3364"/>
          <cell r="M3364"/>
          <cell r="N3364"/>
          <cell r="O3364"/>
        </row>
        <row r="3365">
          <cell r="A3365"/>
          <cell r="B3365"/>
          <cell r="C3365"/>
          <cell r="D3365"/>
          <cell r="E3365"/>
          <cell r="F3365"/>
          <cell r="G3365"/>
          <cell r="H3365"/>
          <cell r="I3365"/>
          <cell r="J3365"/>
          <cell r="K3365"/>
          <cell r="L3365"/>
          <cell r="M3365"/>
          <cell r="N3365"/>
          <cell r="O3365"/>
        </row>
        <row r="3366">
          <cell r="A3366"/>
          <cell r="B3366"/>
          <cell r="C3366"/>
          <cell r="D3366"/>
          <cell r="E3366"/>
          <cell r="F3366"/>
          <cell r="G3366"/>
          <cell r="H3366"/>
          <cell r="I3366"/>
          <cell r="J3366"/>
          <cell r="K3366"/>
          <cell r="L3366"/>
          <cell r="M3366"/>
          <cell r="N3366"/>
          <cell r="O3366"/>
        </row>
        <row r="3367">
          <cell r="A3367"/>
          <cell r="B3367"/>
          <cell r="C3367"/>
          <cell r="D3367"/>
          <cell r="E3367"/>
          <cell r="F3367"/>
          <cell r="G3367"/>
          <cell r="H3367"/>
          <cell r="I3367"/>
          <cell r="J3367"/>
          <cell r="K3367"/>
          <cell r="L3367"/>
          <cell r="M3367"/>
          <cell r="N3367"/>
          <cell r="O3367"/>
        </row>
        <row r="3368">
          <cell r="A3368"/>
          <cell r="B3368"/>
          <cell r="C3368"/>
          <cell r="D3368"/>
          <cell r="E3368"/>
          <cell r="F3368"/>
          <cell r="G3368"/>
          <cell r="H3368"/>
          <cell r="I3368"/>
          <cell r="J3368"/>
          <cell r="K3368"/>
          <cell r="L3368"/>
          <cell r="M3368"/>
          <cell r="N3368"/>
          <cell r="O3368"/>
        </row>
        <row r="3369">
          <cell r="A3369"/>
          <cell r="B3369"/>
          <cell r="C3369"/>
          <cell r="D3369"/>
          <cell r="E3369"/>
          <cell r="F3369"/>
          <cell r="G3369"/>
          <cell r="H3369"/>
          <cell r="I3369"/>
          <cell r="J3369"/>
          <cell r="K3369"/>
          <cell r="L3369"/>
          <cell r="M3369"/>
          <cell r="N3369"/>
          <cell r="O3369"/>
        </row>
        <row r="3370">
          <cell r="A3370"/>
          <cell r="B3370"/>
          <cell r="C3370"/>
          <cell r="D3370"/>
          <cell r="E3370"/>
          <cell r="F3370"/>
          <cell r="G3370"/>
          <cell r="H3370"/>
          <cell r="I3370"/>
          <cell r="J3370"/>
          <cell r="K3370"/>
          <cell r="L3370"/>
          <cell r="M3370"/>
          <cell r="N3370"/>
          <cell r="O3370"/>
        </row>
        <row r="3371">
          <cell r="A3371"/>
          <cell r="B3371"/>
          <cell r="C3371"/>
          <cell r="D3371"/>
          <cell r="E3371"/>
          <cell r="F3371"/>
          <cell r="G3371"/>
          <cell r="H3371"/>
          <cell r="I3371"/>
          <cell r="J3371"/>
          <cell r="K3371"/>
          <cell r="L3371"/>
          <cell r="M3371"/>
          <cell r="N3371"/>
          <cell r="O3371"/>
        </row>
        <row r="3372">
          <cell r="A3372"/>
          <cell r="B3372"/>
          <cell r="C3372"/>
          <cell r="D3372"/>
          <cell r="E3372"/>
          <cell r="F3372"/>
          <cell r="G3372"/>
          <cell r="H3372"/>
          <cell r="I3372"/>
          <cell r="J3372"/>
          <cell r="K3372"/>
          <cell r="L3372"/>
          <cell r="M3372"/>
          <cell r="N3372"/>
          <cell r="O3372"/>
        </row>
        <row r="3373">
          <cell r="A3373"/>
          <cell r="B3373"/>
          <cell r="C3373"/>
          <cell r="D3373"/>
          <cell r="E3373"/>
          <cell r="F3373"/>
          <cell r="G3373"/>
          <cell r="H3373"/>
          <cell r="I3373"/>
          <cell r="J3373"/>
          <cell r="K3373"/>
          <cell r="L3373"/>
          <cell r="M3373"/>
          <cell r="N3373"/>
          <cell r="O3373"/>
        </row>
        <row r="3374">
          <cell r="A3374"/>
          <cell r="B3374"/>
          <cell r="C3374"/>
          <cell r="D3374"/>
          <cell r="E3374"/>
          <cell r="F3374"/>
          <cell r="G3374"/>
          <cell r="H3374"/>
          <cell r="I3374"/>
          <cell r="J3374"/>
          <cell r="K3374"/>
          <cell r="L3374"/>
          <cell r="M3374"/>
          <cell r="N3374"/>
          <cell r="O3374"/>
        </row>
        <row r="3375">
          <cell r="A3375"/>
          <cell r="B3375"/>
          <cell r="C3375"/>
          <cell r="D3375"/>
          <cell r="E3375"/>
          <cell r="F3375"/>
          <cell r="G3375"/>
          <cell r="H3375"/>
          <cell r="I3375"/>
          <cell r="J3375"/>
          <cell r="K3375"/>
          <cell r="L3375"/>
          <cell r="M3375"/>
          <cell r="N3375"/>
          <cell r="O3375"/>
        </row>
        <row r="3376">
          <cell r="A3376"/>
          <cell r="B3376"/>
          <cell r="C3376"/>
          <cell r="D3376"/>
          <cell r="E3376"/>
          <cell r="F3376"/>
          <cell r="G3376"/>
          <cell r="H3376"/>
          <cell r="I3376"/>
          <cell r="J3376"/>
          <cell r="K3376"/>
          <cell r="L3376"/>
          <cell r="M3376"/>
          <cell r="N3376"/>
          <cell r="O3376"/>
        </row>
        <row r="3377">
          <cell r="A3377"/>
          <cell r="B3377"/>
          <cell r="C3377"/>
          <cell r="D3377"/>
          <cell r="E3377"/>
          <cell r="F3377"/>
          <cell r="G3377"/>
          <cell r="H3377"/>
          <cell r="I3377"/>
          <cell r="J3377"/>
          <cell r="K3377"/>
          <cell r="L3377"/>
          <cell r="M3377"/>
          <cell r="N3377"/>
          <cell r="O3377"/>
        </row>
        <row r="3378">
          <cell r="A3378"/>
          <cell r="B3378"/>
          <cell r="C3378"/>
          <cell r="D3378"/>
          <cell r="E3378"/>
          <cell r="F3378"/>
          <cell r="G3378"/>
          <cell r="H3378"/>
          <cell r="I3378"/>
          <cell r="J3378"/>
          <cell r="K3378"/>
          <cell r="L3378"/>
          <cell r="M3378"/>
          <cell r="N3378"/>
          <cell r="O3378"/>
        </row>
        <row r="3379">
          <cell r="A3379"/>
          <cell r="B3379"/>
          <cell r="C3379"/>
          <cell r="D3379"/>
          <cell r="E3379"/>
          <cell r="F3379"/>
          <cell r="G3379"/>
          <cell r="H3379"/>
          <cell r="I3379"/>
          <cell r="J3379"/>
          <cell r="K3379"/>
          <cell r="L3379"/>
          <cell r="M3379"/>
          <cell r="N3379"/>
          <cell r="O3379"/>
        </row>
        <row r="3380">
          <cell r="A3380"/>
          <cell r="B3380"/>
          <cell r="C3380"/>
          <cell r="D3380"/>
          <cell r="E3380"/>
          <cell r="F3380"/>
          <cell r="G3380"/>
          <cell r="H3380"/>
          <cell r="I3380"/>
          <cell r="J3380"/>
          <cell r="K3380"/>
          <cell r="L3380"/>
          <cell r="M3380"/>
          <cell r="N3380"/>
          <cell r="O3380"/>
        </row>
        <row r="3381">
          <cell r="A3381"/>
          <cell r="B3381"/>
          <cell r="C3381"/>
          <cell r="D3381"/>
          <cell r="E3381"/>
          <cell r="F3381"/>
          <cell r="G3381"/>
          <cell r="H3381"/>
          <cell r="I3381"/>
          <cell r="J3381"/>
          <cell r="K3381"/>
          <cell r="L3381"/>
          <cell r="M3381"/>
          <cell r="N3381"/>
          <cell r="O3381"/>
        </row>
        <row r="3382">
          <cell r="A3382"/>
          <cell r="B3382"/>
          <cell r="C3382"/>
          <cell r="D3382"/>
          <cell r="E3382"/>
          <cell r="F3382"/>
          <cell r="G3382"/>
          <cell r="H3382"/>
          <cell r="I3382"/>
          <cell r="J3382"/>
          <cell r="K3382"/>
          <cell r="L3382"/>
          <cell r="M3382"/>
          <cell r="N3382"/>
          <cell r="O3382"/>
        </row>
        <row r="3383">
          <cell r="A3383"/>
          <cell r="B3383"/>
          <cell r="C3383"/>
          <cell r="D3383"/>
          <cell r="E3383"/>
          <cell r="F3383"/>
          <cell r="G3383"/>
          <cell r="H3383"/>
          <cell r="I3383"/>
          <cell r="J3383"/>
          <cell r="K3383"/>
          <cell r="L3383"/>
          <cell r="M3383"/>
          <cell r="N3383"/>
          <cell r="O3383"/>
        </row>
        <row r="3384">
          <cell r="A3384"/>
          <cell r="B3384"/>
          <cell r="C3384"/>
          <cell r="D3384"/>
          <cell r="E3384"/>
          <cell r="F3384"/>
          <cell r="G3384"/>
          <cell r="H3384"/>
          <cell r="I3384"/>
          <cell r="J3384"/>
          <cell r="K3384"/>
          <cell r="L3384"/>
          <cell r="M3384"/>
          <cell r="N3384"/>
          <cell r="O3384"/>
        </row>
        <row r="3385">
          <cell r="A3385"/>
          <cell r="B3385"/>
          <cell r="C3385"/>
          <cell r="D3385"/>
          <cell r="E3385"/>
          <cell r="F3385"/>
          <cell r="G3385"/>
          <cell r="H3385"/>
          <cell r="I3385"/>
          <cell r="J3385"/>
          <cell r="K3385"/>
          <cell r="L3385"/>
          <cell r="M3385"/>
          <cell r="N3385"/>
          <cell r="O3385"/>
        </row>
        <row r="3386">
          <cell r="A3386"/>
          <cell r="B3386"/>
          <cell r="C3386"/>
          <cell r="D3386"/>
          <cell r="E3386"/>
          <cell r="F3386"/>
          <cell r="G3386"/>
          <cell r="H3386"/>
          <cell r="I3386"/>
          <cell r="J3386"/>
          <cell r="K3386"/>
          <cell r="L3386"/>
          <cell r="M3386"/>
          <cell r="N3386"/>
          <cell r="O3386"/>
        </row>
        <row r="3387">
          <cell r="A3387"/>
          <cell r="B3387"/>
          <cell r="C3387"/>
          <cell r="D3387"/>
          <cell r="E3387"/>
          <cell r="F3387"/>
          <cell r="G3387"/>
          <cell r="H3387"/>
          <cell r="I3387"/>
          <cell r="J3387"/>
          <cell r="K3387"/>
          <cell r="L3387"/>
          <cell r="M3387"/>
          <cell r="N3387"/>
          <cell r="O3387"/>
        </row>
        <row r="3388">
          <cell r="A3388"/>
          <cell r="B3388"/>
          <cell r="C3388"/>
          <cell r="D3388"/>
          <cell r="E3388"/>
          <cell r="F3388"/>
          <cell r="G3388"/>
          <cell r="H3388"/>
          <cell r="I3388"/>
          <cell r="J3388"/>
          <cell r="K3388"/>
          <cell r="L3388"/>
          <cell r="M3388"/>
          <cell r="N3388"/>
          <cell r="O3388"/>
        </row>
        <row r="3389">
          <cell r="A3389"/>
          <cell r="B3389"/>
          <cell r="C3389"/>
          <cell r="D3389"/>
          <cell r="E3389"/>
          <cell r="F3389"/>
          <cell r="G3389"/>
          <cell r="H3389"/>
          <cell r="I3389"/>
          <cell r="J3389"/>
          <cell r="K3389"/>
          <cell r="L3389"/>
          <cell r="M3389"/>
          <cell r="N3389"/>
          <cell r="O3389"/>
        </row>
        <row r="3390">
          <cell r="A3390"/>
          <cell r="B3390"/>
          <cell r="C3390"/>
          <cell r="D3390"/>
          <cell r="E3390"/>
          <cell r="F3390"/>
          <cell r="G3390"/>
          <cell r="H3390"/>
          <cell r="I3390"/>
          <cell r="J3390"/>
          <cell r="K3390"/>
          <cell r="L3390"/>
          <cell r="M3390"/>
          <cell r="N3390"/>
          <cell r="O3390"/>
        </row>
        <row r="3391">
          <cell r="A3391"/>
          <cell r="B3391"/>
          <cell r="C3391"/>
          <cell r="D3391"/>
          <cell r="E3391"/>
          <cell r="F3391"/>
          <cell r="G3391"/>
          <cell r="H3391"/>
          <cell r="I3391"/>
          <cell r="J3391"/>
          <cell r="K3391"/>
          <cell r="L3391"/>
          <cell r="M3391"/>
          <cell r="N3391"/>
          <cell r="O3391"/>
        </row>
        <row r="3392">
          <cell r="A3392"/>
          <cell r="B3392"/>
          <cell r="C3392"/>
          <cell r="D3392"/>
          <cell r="E3392"/>
          <cell r="F3392"/>
          <cell r="G3392"/>
          <cell r="H3392"/>
          <cell r="I3392"/>
          <cell r="J3392"/>
          <cell r="K3392"/>
          <cell r="L3392"/>
          <cell r="M3392"/>
          <cell r="N3392"/>
          <cell r="O3392"/>
        </row>
        <row r="3393">
          <cell r="A3393"/>
          <cell r="B3393"/>
          <cell r="C3393"/>
          <cell r="D3393"/>
          <cell r="E3393"/>
          <cell r="F3393"/>
          <cell r="G3393"/>
          <cell r="H3393"/>
          <cell r="I3393"/>
          <cell r="J3393"/>
          <cell r="K3393"/>
          <cell r="L3393"/>
          <cell r="M3393"/>
          <cell r="N3393"/>
          <cell r="O3393"/>
        </row>
        <row r="3394">
          <cell r="A3394"/>
          <cell r="B3394"/>
          <cell r="C3394"/>
          <cell r="D3394"/>
          <cell r="E3394"/>
          <cell r="F3394"/>
          <cell r="G3394"/>
          <cell r="H3394"/>
          <cell r="I3394"/>
          <cell r="J3394"/>
          <cell r="K3394"/>
          <cell r="L3394"/>
          <cell r="M3394"/>
          <cell r="N3394"/>
          <cell r="O3394"/>
        </row>
        <row r="3395">
          <cell r="A3395"/>
          <cell r="B3395"/>
          <cell r="C3395"/>
          <cell r="D3395"/>
          <cell r="E3395"/>
          <cell r="F3395"/>
          <cell r="G3395"/>
          <cell r="H3395"/>
          <cell r="I3395"/>
          <cell r="J3395"/>
          <cell r="K3395"/>
          <cell r="L3395"/>
          <cell r="M3395"/>
          <cell r="N3395"/>
          <cell r="O3395"/>
        </row>
        <row r="3396">
          <cell r="A3396"/>
          <cell r="B3396"/>
          <cell r="C3396"/>
          <cell r="D3396"/>
          <cell r="E3396"/>
          <cell r="F3396"/>
          <cell r="G3396"/>
          <cell r="H3396"/>
          <cell r="I3396"/>
          <cell r="J3396"/>
          <cell r="K3396"/>
          <cell r="L3396"/>
          <cell r="M3396"/>
          <cell r="N3396"/>
          <cell r="O3396"/>
        </row>
        <row r="3397">
          <cell r="A3397"/>
          <cell r="B3397"/>
          <cell r="C3397"/>
          <cell r="D3397"/>
          <cell r="E3397"/>
          <cell r="F3397"/>
          <cell r="G3397"/>
          <cell r="H3397"/>
          <cell r="I3397"/>
          <cell r="J3397"/>
          <cell r="K3397"/>
          <cell r="L3397"/>
          <cell r="M3397"/>
          <cell r="N3397"/>
          <cell r="O3397"/>
        </row>
        <row r="3398">
          <cell r="A3398"/>
          <cell r="B3398"/>
          <cell r="C3398"/>
          <cell r="D3398"/>
          <cell r="E3398"/>
          <cell r="F3398"/>
          <cell r="G3398"/>
          <cell r="H3398"/>
          <cell r="I3398"/>
          <cell r="J3398"/>
          <cell r="K3398"/>
          <cell r="L3398"/>
          <cell r="M3398"/>
          <cell r="N3398"/>
          <cell r="O3398"/>
        </row>
        <row r="3399">
          <cell r="A3399"/>
          <cell r="B3399"/>
          <cell r="C3399"/>
          <cell r="D3399"/>
          <cell r="E3399"/>
          <cell r="F3399"/>
          <cell r="G3399"/>
          <cell r="H3399"/>
          <cell r="I3399"/>
          <cell r="J3399"/>
          <cell r="K3399"/>
          <cell r="L3399"/>
          <cell r="M3399"/>
          <cell r="N3399"/>
          <cell r="O3399"/>
        </row>
        <row r="3400">
          <cell r="A3400"/>
          <cell r="B3400"/>
          <cell r="C3400"/>
          <cell r="D3400"/>
          <cell r="E3400"/>
          <cell r="F3400"/>
          <cell r="G3400"/>
          <cell r="H3400"/>
          <cell r="I3400"/>
          <cell r="J3400"/>
          <cell r="K3400"/>
          <cell r="L3400"/>
          <cell r="M3400"/>
          <cell r="N3400"/>
          <cell r="O3400"/>
        </row>
        <row r="3401">
          <cell r="A3401"/>
          <cell r="B3401"/>
          <cell r="C3401"/>
          <cell r="D3401"/>
          <cell r="E3401"/>
          <cell r="F3401"/>
          <cell r="G3401"/>
          <cell r="H3401"/>
          <cell r="I3401"/>
          <cell r="J3401"/>
          <cell r="K3401"/>
          <cell r="L3401"/>
          <cell r="M3401"/>
          <cell r="N3401"/>
          <cell r="O3401"/>
        </row>
        <row r="3402">
          <cell r="A3402"/>
          <cell r="B3402"/>
          <cell r="C3402"/>
          <cell r="D3402"/>
          <cell r="E3402"/>
          <cell r="F3402"/>
          <cell r="G3402"/>
          <cell r="H3402"/>
          <cell r="I3402"/>
          <cell r="J3402"/>
          <cell r="K3402"/>
          <cell r="L3402"/>
          <cell r="M3402"/>
          <cell r="N3402"/>
          <cell r="O3402"/>
        </row>
        <row r="3403">
          <cell r="A3403"/>
          <cell r="B3403"/>
          <cell r="C3403"/>
          <cell r="D3403"/>
          <cell r="E3403"/>
          <cell r="F3403"/>
          <cell r="G3403"/>
          <cell r="H3403"/>
          <cell r="I3403"/>
          <cell r="J3403"/>
          <cell r="K3403"/>
          <cell r="L3403"/>
          <cell r="M3403"/>
          <cell r="N3403"/>
          <cell r="O3403"/>
        </row>
        <row r="3404">
          <cell r="A3404"/>
          <cell r="B3404"/>
          <cell r="C3404"/>
          <cell r="D3404"/>
          <cell r="E3404"/>
          <cell r="F3404"/>
          <cell r="G3404"/>
          <cell r="H3404"/>
          <cell r="I3404"/>
          <cell r="J3404"/>
          <cell r="K3404"/>
          <cell r="L3404"/>
          <cell r="M3404"/>
          <cell r="N3404"/>
          <cell r="O3404"/>
        </row>
        <row r="3405">
          <cell r="A3405"/>
          <cell r="B3405"/>
          <cell r="C3405"/>
          <cell r="D3405"/>
          <cell r="E3405"/>
          <cell r="F3405"/>
          <cell r="G3405"/>
          <cell r="H3405"/>
          <cell r="I3405"/>
          <cell r="J3405"/>
          <cell r="K3405"/>
          <cell r="L3405"/>
          <cell r="M3405"/>
          <cell r="N3405"/>
          <cell r="O3405"/>
        </row>
        <row r="3406">
          <cell r="A3406"/>
          <cell r="B3406"/>
          <cell r="C3406"/>
          <cell r="D3406"/>
          <cell r="E3406"/>
          <cell r="F3406"/>
          <cell r="G3406"/>
          <cell r="H3406"/>
          <cell r="I3406"/>
          <cell r="J3406"/>
          <cell r="K3406"/>
          <cell r="L3406"/>
          <cell r="M3406"/>
          <cell r="N3406"/>
          <cell r="O3406"/>
        </row>
        <row r="3407">
          <cell r="A3407"/>
          <cell r="B3407"/>
          <cell r="C3407"/>
          <cell r="D3407"/>
          <cell r="E3407"/>
          <cell r="F3407"/>
          <cell r="G3407"/>
          <cell r="H3407"/>
          <cell r="I3407"/>
          <cell r="J3407"/>
          <cell r="K3407"/>
          <cell r="L3407"/>
          <cell r="M3407"/>
          <cell r="N3407"/>
          <cell r="O3407"/>
        </row>
        <row r="3408">
          <cell r="A3408"/>
          <cell r="B3408"/>
          <cell r="C3408"/>
          <cell r="D3408"/>
          <cell r="E3408"/>
          <cell r="F3408"/>
          <cell r="G3408"/>
          <cell r="H3408"/>
          <cell r="I3408"/>
          <cell r="J3408"/>
          <cell r="K3408"/>
          <cell r="L3408"/>
          <cell r="M3408"/>
          <cell r="N3408"/>
          <cell r="O3408"/>
        </row>
        <row r="3409">
          <cell r="A3409"/>
          <cell r="B3409"/>
          <cell r="C3409"/>
          <cell r="D3409"/>
          <cell r="E3409"/>
          <cell r="F3409"/>
          <cell r="G3409"/>
          <cell r="H3409"/>
          <cell r="I3409"/>
          <cell r="J3409"/>
          <cell r="K3409"/>
          <cell r="L3409"/>
          <cell r="M3409"/>
          <cell r="N3409"/>
          <cell r="O3409"/>
        </row>
        <row r="3410">
          <cell r="A3410"/>
          <cell r="B3410"/>
          <cell r="C3410"/>
          <cell r="D3410"/>
          <cell r="E3410"/>
          <cell r="F3410"/>
          <cell r="G3410"/>
          <cell r="H3410"/>
          <cell r="I3410"/>
          <cell r="J3410"/>
          <cell r="K3410"/>
          <cell r="L3410"/>
          <cell r="M3410"/>
          <cell r="N3410"/>
          <cell r="O3410"/>
        </row>
        <row r="3411">
          <cell r="A3411"/>
          <cell r="B3411"/>
          <cell r="C3411"/>
          <cell r="D3411"/>
          <cell r="E3411"/>
          <cell r="F3411"/>
          <cell r="G3411"/>
          <cell r="H3411"/>
          <cell r="I3411"/>
          <cell r="J3411"/>
          <cell r="K3411"/>
          <cell r="L3411"/>
          <cell r="M3411"/>
          <cell r="N3411"/>
          <cell r="O3411"/>
        </row>
        <row r="3412">
          <cell r="A3412"/>
          <cell r="B3412"/>
          <cell r="C3412"/>
          <cell r="D3412"/>
          <cell r="E3412"/>
          <cell r="F3412"/>
          <cell r="G3412"/>
          <cell r="H3412"/>
          <cell r="I3412"/>
          <cell r="J3412"/>
          <cell r="K3412"/>
          <cell r="L3412"/>
          <cell r="M3412"/>
          <cell r="N3412"/>
          <cell r="O3412"/>
        </row>
        <row r="3413">
          <cell r="A3413"/>
          <cell r="B3413"/>
          <cell r="C3413"/>
          <cell r="D3413"/>
          <cell r="E3413"/>
          <cell r="F3413"/>
          <cell r="G3413"/>
          <cell r="H3413"/>
          <cell r="I3413"/>
          <cell r="J3413"/>
          <cell r="K3413"/>
          <cell r="L3413"/>
          <cell r="M3413"/>
          <cell r="N3413"/>
          <cell r="O3413"/>
        </row>
        <row r="3414">
          <cell r="A3414"/>
          <cell r="B3414"/>
          <cell r="C3414"/>
          <cell r="D3414"/>
          <cell r="E3414"/>
          <cell r="F3414"/>
          <cell r="G3414"/>
          <cell r="H3414"/>
          <cell r="I3414"/>
          <cell r="J3414"/>
          <cell r="K3414"/>
          <cell r="L3414"/>
          <cell r="M3414"/>
          <cell r="N3414"/>
          <cell r="O3414"/>
        </row>
        <row r="3415">
          <cell r="A3415"/>
          <cell r="B3415"/>
          <cell r="C3415"/>
          <cell r="D3415"/>
          <cell r="E3415"/>
          <cell r="F3415"/>
          <cell r="G3415"/>
          <cell r="H3415"/>
          <cell r="I3415"/>
          <cell r="J3415"/>
          <cell r="K3415"/>
          <cell r="L3415"/>
          <cell r="M3415"/>
          <cell r="N3415"/>
          <cell r="O3415"/>
        </row>
        <row r="3416">
          <cell r="A3416"/>
          <cell r="B3416"/>
          <cell r="C3416"/>
          <cell r="D3416"/>
          <cell r="E3416"/>
          <cell r="F3416"/>
          <cell r="G3416"/>
          <cell r="H3416"/>
          <cell r="I3416"/>
          <cell r="J3416"/>
          <cell r="K3416"/>
          <cell r="L3416"/>
          <cell r="M3416"/>
          <cell r="N3416"/>
          <cell r="O3416"/>
        </row>
        <row r="3417">
          <cell r="A3417"/>
          <cell r="B3417"/>
          <cell r="C3417"/>
          <cell r="D3417"/>
          <cell r="E3417"/>
          <cell r="F3417"/>
          <cell r="G3417"/>
          <cell r="H3417"/>
          <cell r="I3417"/>
          <cell r="J3417"/>
          <cell r="K3417"/>
          <cell r="L3417"/>
          <cell r="M3417"/>
          <cell r="N3417"/>
          <cell r="O3417"/>
        </row>
        <row r="3418">
          <cell r="A3418"/>
          <cell r="B3418"/>
          <cell r="C3418"/>
          <cell r="D3418"/>
          <cell r="E3418"/>
          <cell r="F3418"/>
          <cell r="G3418"/>
          <cell r="H3418"/>
          <cell r="I3418"/>
          <cell r="J3418"/>
          <cell r="K3418"/>
          <cell r="L3418"/>
          <cell r="M3418"/>
          <cell r="N3418"/>
          <cell r="O3418"/>
        </row>
        <row r="3419">
          <cell r="A3419"/>
          <cell r="B3419"/>
          <cell r="C3419"/>
          <cell r="D3419"/>
          <cell r="E3419"/>
          <cell r="F3419"/>
          <cell r="G3419"/>
          <cell r="H3419"/>
          <cell r="I3419"/>
          <cell r="J3419"/>
          <cell r="K3419"/>
          <cell r="L3419"/>
          <cell r="M3419"/>
          <cell r="N3419"/>
          <cell r="O3419"/>
        </row>
        <row r="3420">
          <cell r="A3420"/>
          <cell r="B3420"/>
          <cell r="C3420"/>
          <cell r="D3420"/>
          <cell r="E3420"/>
          <cell r="F3420"/>
          <cell r="G3420"/>
          <cell r="H3420"/>
          <cell r="I3420"/>
          <cell r="J3420"/>
          <cell r="K3420"/>
          <cell r="L3420"/>
          <cell r="M3420"/>
          <cell r="N3420"/>
          <cell r="O3420"/>
        </row>
        <row r="3421">
          <cell r="A3421"/>
          <cell r="B3421"/>
          <cell r="C3421"/>
          <cell r="D3421"/>
          <cell r="E3421"/>
          <cell r="F3421"/>
          <cell r="G3421"/>
          <cell r="H3421"/>
          <cell r="I3421"/>
          <cell r="J3421"/>
          <cell r="K3421"/>
          <cell r="L3421"/>
          <cell r="M3421"/>
          <cell r="N3421"/>
          <cell r="O3421"/>
        </row>
        <row r="3422">
          <cell r="A3422"/>
          <cell r="B3422"/>
          <cell r="C3422"/>
          <cell r="D3422"/>
          <cell r="E3422"/>
          <cell r="F3422"/>
          <cell r="G3422"/>
          <cell r="H3422"/>
          <cell r="I3422"/>
          <cell r="J3422"/>
          <cell r="K3422"/>
          <cell r="L3422"/>
          <cell r="M3422"/>
          <cell r="N3422"/>
          <cell r="O3422"/>
        </row>
        <row r="3423">
          <cell r="A3423"/>
          <cell r="B3423"/>
          <cell r="C3423"/>
          <cell r="D3423"/>
          <cell r="E3423"/>
          <cell r="F3423"/>
          <cell r="G3423"/>
          <cell r="H3423"/>
          <cell r="I3423"/>
          <cell r="J3423"/>
          <cell r="K3423"/>
          <cell r="L3423"/>
          <cell r="M3423"/>
          <cell r="N3423"/>
          <cell r="O3423"/>
        </row>
        <row r="3424">
          <cell r="A3424"/>
          <cell r="B3424"/>
          <cell r="C3424"/>
          <cell r="D3424"/>
          <cell r="E3424"/>
          <cell r="F3424"/>
          <cell r="G3424"/>
          <cell r="H3424"/>
          <cell r="I3424"/>
          <cell r="J3424"/>
          <cell r="K3424"/>
          <cell r="L3424"/>
          <cell r="M3424"/>
          <cell r="N3424"/>
          <cell r="O3424"/>
        </row>
        <row r="3425">
          <cell r="A3425"/>
          <cell r="B3425"/>
          <cell r="C3425"/>
          <cell r="D3425"/>
          <cell r="E3425"/>
          <cell r="F3425"/>
          <cell r="G3425"/>
          <cell r="H3425"/>
          <cell r="I3425"/>
          <cell r="J3425"/>
          <cell r="K3425"/>
          <cell r="L3425"/>
          <cell r="M3425"/>
          <cell r="N3425"/>
          <cell r="O3425"/>
        </row>
        <row r="3426">
          <cell r="A3426"/>
          <cell r="B3426"/>
          <cell r="C3426"/>
          <cell r="D3426"/>
          <cell r="E3426"/>
          <cell r="F3426"/>
          <cell r="G3426"/>
          <cell r="H3426"/>
          <cell r="I3426"/>
          <cell r="J3426"/>
          <cell r="K3426"/>
          <cell r="L3426"/>
          <cell r="M3426"/>
          <cell r="N3426"/>
          <cell r="O3426"/>
        </row>
        <row r="3427">
          <cell r="A3427"/>
          <cell r="B3427"/>
          <cell r="C3427"/>
          <cell r="D3427"/>
          <cell r="E3427"/>
          <cell r="F3427"/>
          <cell r="G3427"/>
          <cell r="H3427"/>
          <cell r="I3427"/>
          <cell r="J3427"/>
          <cell r="K3427"/>
          <cell r="L3427"/>
          <cell r="M3427"/>
          <cell r="N3427"/>
          <cell r="O3427"/>
        </row>
        <row r="3428">
          <cell r="A3428"/>
          <cell r="B3428"/>
          <cell r="C3428"/>
          <cell r="D3428"/>
          <cell r="E3428"/>
          <cell r="F3428"/>
          <cell r="G3428"/>
          <cell r="H3428"/>
          <cell r="I3428"/>
          <cell r="J3428"/>
          <cell r="K3428"/>
          <cell r="L3428"/>
          <cell r="M3428"/>
          <cell r="N3428"/>
          <cell r="O3428"/>
        </row>
        <row r="3429">
          <cell r="A3429"/>
          <cell r="B3429"/>
          <cell r="C3429"/>
          <cell r="D3429"/>
          <cell r="E3429"/>
          <cell r="F3429"/>
          <cell r="G3429"/>
          <cell r="H3429"/>
          <cell r="I3429"/>
          <cell r="J3429"/>
          <cell r="K3429"/>
          <cell r="L3429"/>
          <cell r="M3429"/>
          <cell r="N3429"/>
          <cell r="O3429"/>
        </row>
        <row r="3430">
          <cell r="A3430"/>
          <cell r="B3430"/>
          <cell r="C3430"/>
          <cell r="D3430"/>
          <cell r="E3430"/>
          <cell r="F3430"/>
          <cell r="G3430"/>
          <cell r="H3430"/>
          <cell r="I3430"/>
          <cell r="J3430"/>
          <cell r="K3430"/>
          <cell r="L3430"/>
          <cell r="M3430"/>
          <cell r="N3430"/>
          <cell r="O3430"/>
        </row>
        <row r="3431">
          <cell r="A3431"/>
          <cell r="B3431"/>
          <cell r="C3431"/>
          <cell r="D3431"/>
          <cell r="E3431"/>
          <cell r="F3431"/>
          <cell r="G3431"/>
          <cell r="H3431"/>
          <cell r="I3431"/>
          <cell r="J3431"/>
          <cell r="K3431"/>
          <cell r="L3431"/>
          <cell r="M3431"/>
          <cell r="N3431"/>
          <cell r="O3431"/>
        </row>
        <row r="3432">
          <cell r="A3432"/>
          <cell r="B3432"/>
          <cell r="C3432"/>
          <cell r="D3432"/>
          <cell r="E3432"/>
          <cell r="F3432"/>
          <cell r="G3432"/>
          <cell r="H3432"/>
          <cell r="I3432"/>
          <cell r="J3432"/>
          <cell r="K3432"/>
          <cell r="L3432"/>
          <cell r="M3432"/>
          <cell r="N3432"/>
          <cell r="O3432"/>
        </row>
        <row r="3433">
          <cell r="A3433"/>
          <cell r="B3433"/>
          <cell r="C3433"/>
          <cell r="D3433"/>
          <cell r="E3433"/>
          <cell r="F3433"/>
          <cell r="G3433"/>
          <cell r="H3433"/>
          <cell r="I3433"/>
          <cell r="J3433"/>
          <cell r="K3433"/>
          <cell r="L3433"/>
          <cell r="M3433"/>
          <cell r="N3433"/>
          <cell r="O3433"/>
        </row>
        <row r="3434">
          <cell r="A3434"/>
          <cell r="B3434"/>
          <cell r="C3434"/>
          <cell r="D3434"/>
          <cell r="E3434"/>
          <cell r="F3434"/>
          <cell r="G3434"/>
          <cell r="H3434"/>
          <cell r="I3434"/>
          <cell r="J3434"/>
          <cell r="K3434"/>
          <cell r="L3434"/>
          <cell r="M3434"/>
          <cell r="N3434"/>
          <cell r="O3434"/>
        </row>
        <row r="3435">
          <cell r="A3435"/>
          <cell r="B3435"/>
          <cell r="C3435"/>
          <cell r="D3435"/>
          <cell r="E3435"/>
          <cell r="F3435"/>
          <cell r="G3435"/>
          <cell r="H3435"/>
          <cell r="I3435"/>
          <cell r="J3435"/>
          <cell r="K3435"/>
          <cell r="L3435"/>
          <cell r="M3435"/>
          <cell r="N3435"/>
          <cell r="O3435"/>
        </row>
        <row r="3436">
          <cell r="A3436"/>
          <cell r="B3436"/>
          <cell r="C3436"/>
          <cell r="D3436"/>
          <cell r="E3436"/>
          <cell r="F3436"/>
          <cell r="G3436"/>
          <cell r="H3436"/>
          <cell r="I3436"/>
          <cell r="J3436"/>
          <cell r="K3436"/>
          <cell r="L3436"/>
          <cell r="M3436"/>
          <cell r="N3436"/>
          <cell r="O3436"/>
        </row>
        <row r="3437">
          <cell r="A3437"/>
          <cell r="B3437"/>
          <cell r="C3437"/>
          <cell r="D3437"/>
          <cell r="E3437"/>
          <cell r="F3437"/>
          <cell r="G3437"/>
          <cell r="H3437"/>
          <cell r="I3437"/>
          <cell r="J3437"/>
          <cell r="K3437"/>
          <cell r="L3437"/>
          <cell r="M3437"/>
          <cell r="N3437"/>
          <cell r="O3437"/>
        </row>
        <row r="3438">
          <cell r="A3438"/>
          <cell r="B3438"/>
          <cell r="C3438"/>
          <cell r="D3438"/>
          <cell r="E3438"/>
          <cell r="F3438"/>
          <cell r="G3438"/>
          <cell r="H3438"/>
          <cell r="I3438"/>
          <cell r="J3438"/>
          <cell r="K3438"/>
          <cell r="L3438"/>
          <cell r="M3438"/>
          <cell r="N3438"/>
          <cell r="O3438"/>
        </row>
        <row r="3439">
          <cell r="A3439"/>
          <cell r="B3439"/>
          <cell r="C3439"/>
          <cell r="D3439"/>
          <cell r="E3439"/>
          <cell r="F3439"/>
          <cell r="G3439"/>
          <cell r="H3439"/>
          <cell r="I3439"/>
          <cell r="J3439"/>
          <cell r="K3439"/>
          <cell r="L3439"/>
          <cell r="M3439"/>
          <cell r="N3439"/>
          <cell r="O3439"/>
        </row>
        <row r="3440">
          <cell r="A3440"/>
          <cell r="B3440"/>
          <cell r="C3440"/>
          <cell r="D3440"/>
          <cell r="E3440"/>
          <cell r="F3440"/>
          <cell r="G3440"/>
          <cell r="H3440"/>
          <cell r="I3440"/>
          <cell r="J3440"/>
          <cell r="K3440"/>
          <cell r="L3440"/>
          <cell r="M3440"/>
          <cell r="N3440"/>
          <cell r="O3440"/>
        </row>
        <row r="3441">
          <cell r="A3441"/>
          <cell r="B3441"/>
          <cell r="C3441"/>
          <cell r="D3441"/>
          <cell r="E3441"/>
          <cell r="F3441"/>
          <cell r="G3441"/>
          <cell r="H3441"/>
          <cell r="I3441"/>
          <cell r="J3441"/>
          <cell r="K3441"/>
          <cell r="L3441"/>
          <cell r="M3441"/>
          <cell r="N3441"/>
          <cell r="O3441"/>
        </row>
        <row r="3442">
          <cell r="A3442"/>
          <cell r="B3442"/>
          <cell r="C3442"/>
          <cell r="D3442"/>
          <cell r="E3442"/>
          <cell r="F3442"/>
          <cell r="G3442"/>
          <cell r="H3442"/>
          <cell r="I3442"/>
          <cell r="J3442"/>
          <cell r="K3442"/>
          <cell r="L3442"/>
          <cell r="M3442"/>
          <cell r="N3442"/>
          <cell r="O3442"/>
        </row>
        <row r="3443">
          <cell r="A3443"/>
          <cell r="B3443"/>
          <cell r="C3443"/>
          <cell r="D3443"/>
          <cell r="E3443"/>
          <cell r="F3443"/>
          <cell r="G3443"/>
          <cell r="H3443"/>
          <cell r="I3443"/>
          <cell r="J3443"/>
          <cell r="K3443"/>
          <cell r="L3443"/>
          <cell r="M3443"/>
          <cell r="N3443"/>
          <cell r="O3443"/>
        </row>
        <row r="3444">
          <cell r="A3444"/>
          <cell r="B3444"/>
          <cell r="C3444"/>
          <cell r="D3444"/>
          <cell r="E3444"/>
          <cell r="F3444"/>
          <cell r="G3444"/>
          <cell r="H3444"/>
          <cell r="I3444"/>
          <cell r="J3444"/>
          <cell r="K3444"/>
          <cell r="L3444"/>
          <cell r="M3444"/>
          <cell r="N3444"/>
          <cell r="O3444"/>
        </row>
        <row r="3445">
          <cell r="A3445"/>
          <cell r="B3445"/>
          <cell r="C3445"/>
          <cell r="D3445"/>
          <cell r="E3445"/>
          <cell r="F3445"/>
          <cell r="G3445"/>
          <cell r="H3445"/>
          <cell r="I3445"/>
          <cell r="J3445"/>
          <cell r="K3445"/>
          <cell r="L3445"/>
          <cell r="M3445"/>
          <cell r="N3445"/>
          <cell r="O3445"/>
        </row>
        <row r="3446">
          <cell r="A3446"/>
          <cell r="B3446"/>
          <cell r="C3446"/>
          <cell r="D3446"/>
          <cell r="E3446"/>
          <cell r="F3446"/>
          <cell r="G3446"/>
          <cell r="H3446"/>
          <cell r="I3446"/>
          <cell r="J3446"/>
          <cell r="K3446"/>
          <cell r="L3446"/>
          <cell r="M3446"/>
          <cell r="N3446"/>
          <cell r="O3446"/>
        </row>
        <row r="3447">
          <cell r="A3447"/>
          <cell r="B3447"/>
          <cell r="C3447"/>
          <cell r="D3447"/>
          <cell r="E3447"/>
          <cell r="F3447"/>
          <cell r="G3447"/>
          <cell r="H3447"/>
          <cell r="I3447"/>
          <cell r="J3447"/>
          <cell r="K3447"/>
          <cell r="L3447"/>
          <cell r="M3447"/>
          <cell r="N3447"/>
          <cell r="O3447"/>
        </row>
        <row r="3448">
          <cell r="A3448"/>
          <cell r="B3448"/>
          <cell r="C3448"/>
          <cell r="D3448"/>
          <cell r="E3448"/>
          <cell r="F3448"/>
          <cell r="G3448"/>
          <cell r="H3448"/>
          <cell r="I3448"/>
          <cell r="J3448"/>
          <cell r="K3448"/>
          <cell r="L3448"/>
          <cell r="M3448"/>
          <cell r="N3448"/>
          <cell r="O3448"/>
        </row>
        <row r="3449">
          <cell r="A3449"/>
          <cell r="B3449"/>
          <cell r="C3449"/>
          <cell r="D3449"/>
          <cell r="E3449"/>
          <cell r="F3449"/>
          <cell r="G3449"/>
          <cell r="H3449"/>
          <cell r="I3449"/>
          <cell r="J3449"/>
          <cell r="K3449"/>
          <cell r="L3449"/>
          <cell r="M3449"/>
          <cell r="N3449"/>
          <cell r="O3449"/>
        </row>
        <row r="3450">
          <cell r="A3450"/>
          <cell r="B3450"/>
          <cell r="C3450"/>
          <cell r="D3450"/>
          <cell r="E3450"/>
          <cell r="F3450"/>
          <cell r="G3450"/>
          <cell r="H3450"/>
          <cell r="I3450"/>
          <cell r="J3450"/>
          <cell r="K3450"/>
          <cell r="L3450"/>
          <cell r="M3450"/>
          <cell r="N3450"/>
          <cell r="O3450"/>
        </row>
        <row r="3451">
          <cell r="A3451"/>
          <cell r="B3451"/>
          <cell r="C3451"/>
          <cell r="D3451"/>
          <cell r="E3451"/>
          <cell r="F3451"/>
          <cell r="G3451"/>
          <cell r="H3451"/>
          <cell r="I3451"/>
          <cell r="J3451"/>
          <cell r="K3451"/>
          <cell r="L3451"/>
          <cell r="M3451"/>
          <cell r="N3451"/>
          <cell r="O3451"/>
        </row>
        <row r="3452">
          <cell r="A3452"/>
          <cell r="B3452"/>
          <cell r="C3452"/>
          <cell r="D3452"/>
          <cell r="E3452"/>
          <cell r="F3452"/>
          <cell r="G3452"/>
          <cell r="H3452"/>
          <cell r="I3452"/>
          <cell r="J3452"/>
          <cell r="K3452"/>
          <cell r="L3452"/>
          <cell r="M3452"/>
          <cell r="N3452"/>
          <cell r="O3452"/>
        </row>
        <row r="3453">
          <cell r="A3453"/>
          <cell r="B3453"/>
          <cell r="C3453"/>
          <cell r="D3453"/>
          <cell r="E3453"/>
          <cell r="F3453"/>
          <cell r="G3453"/>
          <cell r="H3453"/>
          <cell r="I3453"/>
          <cell r="J3453"/>
          <cell r="K3453"/>
          <cell r="L3453"/>
          <cell r="M3453"/>
          <cell r="N3453"/>
          <cell r="O3453"/>
        </row>
        <row r="3454">
          <cell r="A3454"/>
          <cell r="B3454"/>
          <cell r="C3454"/>
          <cell r="D3454"/>
          <cell r="E3454"/>
          <cell r="F3454"/>
          <cell r="G3454"/>
          <cell r="H3454"/>
          <cell r="I3454"/>
          <cell r="J3454"/>
          <cell r="K3454"/>
          <cell r="L3454"/>
          <cell r="M3454"/>
          <cell r="N3454"/>
          <cell r="O3454"/>
        </row>
        <row r="3455">
          <cell r="A3455"/>
          <cell r="B3455"/>
          <cell r="C3455"/>
          <cell r="D3455"/>
          <cell r="E3455"/>
          <cell r="F3455"/>
          <cell r="G3455"/>
          <cell r="H3455"/>
          <cell r="I3455"/>
          <cell r="J3455"/>
          <cell r="K3455"/>
          <cell r="L3455"/>
          <cell r="M3455"/>
          <cell r="N3455"/>
          <cell r="O3455"/>
        </row>
        <row r="3456">
          <cell r="A3456"/>
          <cell r="B3456"/>
          <cell r="C3456"/>
          <cell r="D3456"/>
          <cell r="E3456"/>
          <cell r="F3456"/>
          <cell r="G3456"/>
          <cell r="H3456"/>
          <cell r="I3456"/>
          <cell r="J3456"/>
          <cell r="K3456"/>
          <cell r="L3456"/>
          <cell r="M3456"/>
          <cell r="N3456"/>
          <cell r="O3456"/>
        </row>
        <row r="3457">
          <cell r="A3457"/>
          <cell r="B3457"/>
          <cell r="C3457"/>
          <cell r="D3457"/>
          <cell r="E3457"/>
          <cell r="F3457"/>
          <cell r="G3457"/>
          <cell r="H3457"/>
          <cell r="I3457"/>
          <cell r="J3457"/>
          <cell r="K3457"/>
          <cell r="L3457"/>
          <cell r="M3457"/>
          <cell r="N3457"/>
          <cell r="O3457"/>
        </row>
        <row r="3458">
          <cell r="A3458"/>
          <cell r="B3458"/>
          <cell r="C3458"/>
          <cell r="D3458"/>
          <cell r="E3458"/>
          <cell r="F3458"/>
          <cell r="G3458"/>
          <cell r="H3458"/>
          <cell r="I3458"/>
          <cell r="J3458"/>
          <cell r="K3458"/>
          <cell r="L3458"/>
          <cell r="M3458"/>
          <cell r="N3458"/>
          <cell r="O3458"/>
        </row>
        <row r="3459">
          <cell r="A3459"/>
          <cell r="B3459"/>
          <cell r="C3459"/>
          <cell r="D3459"/>
          <cell r="E3459"/>
          <cell r="F3459"/>
          <cell r="G3459"/>
          <cell r="H3459"/>
          <cell r="I3459"/>
          <cell r="J3459"/>
          <cell r="K3459"/>
          <cell r="L3459"/>
          <cell r="M3459"/>
          <cell r="N3459"/>
          <cell r="O3459"/>
        </row>
        <row r="3460">
          <cell r="A3460"/>
          <cell r="B3460"/>
          <cell r="C3460"/>
          <cell r="D3460"/>
          <cell r="E3460"/>
          <cell r="F3460"/>
          <cell r="G3460"/>
          <cell r="H3460"/>
          <cell r="I3460"/>
          <cell r="J3460"/>
          <cell r="K3460"/>
          <cell r="L3460"/>
          <cell r="M3460"/>
          <cell r="N3460"/>
          <cell r="O3460"/>
        </row>
        <row r="3461">
          <cell r="A3461"/>
          <cell r="B3461"/>
          <cell r="C3461"/>
          <cell r="D3461"/>
          <cell r="E3461"/>
          <cell r="F3461"/>
          <cell r="G3461"/>
          <cell r="H3461"/>
          <cell r="I3461"/>
          <cell r="J3461"/>
          <cell r="K3461"/>
          <cell r="L3461"/>
          <cell r="M3461"/>
          <cell r="N3461"/>
          <cell r="O3461"/>
        </row>
        <row r="3462">
          <cell r="A3462"/>
          <cell r="B3462"/>
          <cell r="C3462"/>
          <cell r="D3462"/>
          <cell r="E3462"/>
          <cell r="F3462"/>
          <cell r="G3462"/>
          <cell r="H3462"/>
          <cell r="I3462"/>
          <cell r="J3462"/>
          <cell r="K3462"/>
          <cell r="L3462"/>
          <cell r="M3462"/>
          <cell r="N3462"/>
          <cell r="O3462"/>
        </row>
        <row r="3463">
          <cell r="A3463"/>
          <cell r="B3463"/>
          <cell r="C3463"/>
          <cell r="D3463"/>
          <cell r="E3463"/>
          <cell r="F3463"/>
          <cell r="G3463"/>
          <cell r="H3463"/>
          <cell r="I3463"/>
          <cell r="J3463"/>
          <cell r="K3463"/>
          <cell r="L3463"/>
          <cell r="M3463"/>
          <cell r="N3463"/>
          <cell r="O3463"/>
        </row>
        <row r="3464">
          <cell r="A3464"/>
          <cell r="B3464"/>
          <cell r="C3464"/>
          <cell r="D3464"/>
          <cell r="E3464"/>
          <cell r="F3464"/>
          <cell r="G3464"/>
          <cell r="H3464"/>
          <cell r="I3464"/>
          <cell r="J3464"/>
          <cell r="K3464"/>
          <cell r="L3464"/>
          <cell r="M3464"/>
          <cell r="N3464"/>
          <cell r="O3464"/>
        </row>
        <row r="3465">
          <cell r="A3465"/>
          <cell r="B3465"/>
          <cell r="C3465"/>
          <cell r="D3465"/>
          <cell r="E3465"/>
          <cell r="F3465"/>
          <cell r="G3465"/>
          <cell r="H3465"/>
          <cell r="I3465"/>
          <cell r="J3465"/>
          <cell r="K3465"/>
          <cell r="L3465"/>
          <cell r="M3465"/>
          <cell r="N3465"/>
          <cell r="O3465"/>
        </row>
        <row r="3466">
          <cell r="A3466"/>
          <cell r="B3466"/>
          <cell r="C3466"/>
          <cell r="D3466"/>
          <cell r="E3466"/>
          <cell r="F3466"/>
          <cell r="G3466"/>
          <cell r="H3466"/>
          <cell r="I3466"/>
          <cell r="J3466"/>
          <cell r="K3466"/>
          <cell r="L3466"/>
          <cell r="M3466"/>
          <cell r="N3466"/>
          <cell r="O3466"/>
        </row>
        <row r="3467">
          <cell r="A3467"/>
          <cell r="B3467"/>
          <cell r="C3467"/>
          <cell r="D3467"/>
          <cell r="E3467"/>
          <cell r="F3467"/>
          <cell r="G3467"/>
          <cell r="H3467"/>
          <cell r="I3467"/>
          <cell r="J3467"/>
          <cell r="K3467"/>
          <cell r="L3467"/>
          <cell r="M3467"/>
          <cell r="N3467"/>
          <cell r="O3467"/>
        </row>
        <row r="3468">
          <cell r="A3468"/>
          <cell r="B3468"/>
          <cell r="C3468"/>
          <cell r="D3468"/>
          <cell r="E3468"/>
          <cell r="F3468"/>
          <cell r="G3468"/>
          <cell r="H3468"/>
          <cell r="I3468"/>
          <cell r="J3468"/>
          <cell r="K3468"/>
          <cell r="L3468"/>
          <cell r="M3468"/>
          <cell r="N3468"/>
          <cell r="O3468"/>
        </row>
        <row r="3469">
          <cell r="A3469"/>
          <cell r="B3469"/>
          <cell r="C3469"/>
          <cell r="D3469"/>
          <cell r="E3469"/>
          <cell r="F3469"/>
          <cell r="G3469"/>
          <cell r="H3469"/>
          <cell r="I3469"/>
          <cell r="J3469"/>
          <cell r="K3469"/>
          <cell r="L3469"/>
          <cell r="M3469"/>
          <cell r="N3469"/>
          <cell r="O3469"/>
        </row>
        <row r="3470">
          <cell r="A3470"/>
          <cell r="B3470"/>
          <cell r="C3470"/>
          <cell r="D3470"/>
          <cell r="E3470"/>
          <cell r="F3470"/>
          <cell r="G3470"/>
          <cell r="H3470"/>
          <cell r="I3470"/>
          <cell r="J3470"/>
          <cell r="K3470"/>
          <cell r="L3470"/>
          <cell r="M3470"/>
          <cell r="N3470"/>
          <cell r="O3470"/>
        </row>
        <row r="3471">
          <cell r="A3471"/>
          <cell r="B3471"/>
          <cell r="C3471"/>
          <cell r="D3471"/>
          <cell r="E3471"/>
          <cell r="F3471"/>
          <cell r="G3471"/>
          <cell r="H3471"/>
          <cell r="I3471"/>
          <cell r="J3471"/>
          <cell r="K3471"/>
          <cell r="L3471"/>
          <cell r="M3471"/>
          <cell r="N3471"/>
          <cell r="O3471"/>
        </row>
        <row r="3472">
          <cell r="A3472"/>
          <cell r="B3472"/>
          <cell r="C3472"/>
          <cell r="D3472"/>
          <cell r="E3472"/>
          <cell r="F3472"/>
          <cell r="G3472"/>
          <cell r="H3472"/>
          <cell r="I3472"/>
          <cell r="J3472"/>
          <cell r="K3472"/>
          <cell r="L3472"/>
          <cell r="M3472"/>
          <cell r="N3472"/>
          <cell r="O3472"/>
        </row>
        <row r="3473">
          <cell r="A3473"/>
          <cell r="B3473"/>
          <cell r="C3473"/>
          <cell r="D3473"/>
          <cell r="E3473"/>
          <cell r="F3473"/>
          <cell r="G3473"/>
          <cell r="H3473"/>
          <cell r="I3473"/>
          <cell r="J3473"/>
          <cell r="K3473"/>
          <cell r="L3473"/>
          <cell r="M3473"/>
          <cell r="N3473"/>
          <cell r="O3473"/>
        </row>
        <row r="3474">
          <cell r="A3474"/>
          <cell r="B3474"/>
          <cell r="C3474"/>
          <cell r="D3474"/>
          <cell r="E3474"/>
          <cell r="F3474"/>
          <cell r="G3474"/>
          <cell r="H3474"/>
          <cell r="I3474"/>
          <cell r="J3474"/>
          <cell r="K3474"/>
          <cell r="L3474"/>
          <cell r="M3474"/>
          <cell r="N3474"/>
          <cell r="O3474"/>
        </row>
        <row r="3475">
          <cell r="A3475"/>
          <cell r="B3475"/>
          <cell r="C3475"/>
          <cell r="D3475"/>
          <cell r="E3475"/>
          <cell r="F3475"/>
          <cell r="G3475"/>
          <cell r="H3475"/>
          <cell r="I3475"/>
          <cell r="J3475"/>
          <cell r="K3475"/>
          <cell r="L3475"/>
          <cell r="M3475"/>
          <cell r="N3475"/>
          <cell r="O3475"/>
        </row>
        <row r="3476">
          <cell r="A3476"/>
          <cell r="B3476"/>
          <cell r="C3476"/>
          <cell r="D3476"/>
          <cell r="E3476"/>
          <cell r="F3476"/>
          <cell r="G3476"/>
          <cell r="H3476"/>
          <cell r="I3476"/>
          <cell r="J3476"/>
          <cell r="K3476"/>
          <cell r="L3476"/>
          <cell r="M3476"/>
          <cell r="N3476"/>
          <cell r="O3476"/>
        </row>
        <row r="3477">
          <cell r="A3477"/>
          <cell r="B3477"/>
          <cell r="C3477"/>
          <cell r="D3477"/>
          <cell r="E3477"/>
          <cell r="F3477"/>
          <cell r="G3477"/>
          <cell r="H3477"/>
          <cell r="I3477"/>
          <cell r="J3477"/>
          <cell r="K3477"/>
          <cell r="L3477"/>
          <cell r="M3477"/>
          <cell r="N3477"/>
          <cell r="O3477"/>
        </row>
        <row r="3478">
          <cell r="A3478"/>
          <cell r="B3478"/>
          <cell r="C3478"/>
          <cell r="D3478"/>
          <cell r="E3478"/>
          <cell r="F3478"/>
          <cell r="G3478"/>
          <cell r="H3478"/>
          <cell r="I3478"/>
          <cell r="J3478"/>
          <cell r="K3478"/>
          <cell r="L3478"/>
          <cell r="M3478"/>
          <cell r="N3478"/>
          <cell r="O3478"/>
        </row>
        <row r="3479">
          <cell r="A3479"/>
          <cell r="B3479"/>
          <cell r="C3479"/>
          <cell r="D3479"/>
          <cell r="E3479"/>
          <cell r="F3479"/>
          <cell r="G3479"/>
          <cell r="H3479"/>
          <cell r="I3479"/>
          <cell r="J3479"/>
          <cell r="K3479"/>
          <cell r="L3479"/>
          <cell r="M3479"/>
          <cell r="N3479"/>
          <cell r="O3479"/>
        </row>
        <row r="3480">
          <cell r="A3480"/>
          <cell r="B3480"/>
          <cell r="C3480"/>
          <cell r="D3480"/>
          <cell r="E3480"/>
          <cell r="F3480"/>
          <cell r="G3480"/>
          <cell r="H3480"/>
          <cell r="I3480"/>
          <cell r="J3480"/>
          <cell r="K3480"/>
          <cell r="L3480"/>
          <cell r="M3480"/>
          <cell r="N3480"/>
          <cell r="O3480"/>
        </row>
        <row r="3481">
          <cell r="A3481"/>
          <cell r="B3481"/>
          <cell r="C3481"/>
          <cell r="D3481"/>
          <cell r="E3481"/>
          <cell r="F3481"/>
          <cell r="G3481"/>
          <cell r="H3481"/>
          <cell r="I3481"/>
          <cell r="J3481"/>
          <cell r="K3481"/>
          <cell r="L3481"/>
          <cell r="M3481"/>
          <cell r="N3481"/>
          <cell r="O3481"/>
        </row>
        <row r="3482">
          <cell r="A3482"/>
          <cell r="B3482"/>
          <cell r="C3482"/>
          <cell r="D3482"/>
          <cell r="E3482"/>
          <cell r="F3482"/>
          <cell r="G3482"/>
          <cell r="H3482"/>
          <cell r="I3482"/>
          <cell r="J3482"/>
          <cell r="K3482"/>
          <cell r="L3482"/>
          <cell r="M3482"/>
          <cell r="N3482"/>
          <cell r="O3482"/>
        </row>
        <row r="3483">
          <cell r="A3483"/>
          <cell r="B3483"/>
          <cell r="C3483"/>
          <cell r="D3483"/>
          <cell r="E3483"/>
          <cell r="F3483"/>
          <cell r="G3483"/>
          <cell r="H3483"/>
          <cell r="I3483"/>
          <cell r="J3483"/>
          <cell r="K3483"/>
          <cell r="L3483"/>
          <cell r="M3483"/>
          <cell r="N3483"/>
          <cell r="O3483"/>
        </row>
        <row r="3484">
          <cell r="A3484"/>
          <cell r="B3484"/>
          <cell r="C3484"/>
          <cell r="D3484"/>
          <cell r="E3484"/>
          <cell r="F3484"/>
          <cell r="G3484"/>
          <cell r="H3484"/>
          <cell r="I3484"/>
          <cell r="J3484"/>
          <cell r="K3484"/>
          <cell r="L3484"/>
          <cell r="M3484"/>
          <cell r="N3484"/>
          <cell r="O3484"/>
        </row>
        <row r="3485">
          <cell r="A3485"/>
          <cell r="B3485"/>
          <cell r="C3485"/>
          <cell r="D3485"/>
          <cell r="E3485"/>
          <cell r="F3485"/>
          <cell r="G3485"/>
          <cell r="H3485"/>
          <cell r="I3485"/>
          <cell r="J3485"/>
          <cell r="K3485"/>
          <cell r="L3485"/>
          <cell r="M3485"/>
          <cell r="N3485"/>
          <cell r="O3485"/>
        </row>
        <row r="3486">
          <cell r="A3486"/>
          <cell r="B3486"/>
          <cell r="C3486"/>
          <cell r="D3486"/>
          <cell r="E3486"/>
          <cell r="F3486"/>
          <cell r="G3486"/>
          <cell r="H3486"/>
          <cell r="I3486"/>
          <cell r="J3486"/>
          <cell r="K3486"/>
          <cell r="L3486"/>
          <cell r="M3486"/>
          <cell r="N3486"/>
          <cell r="O3486"/>
        </row>
        <row r="3487">
          <cell r="A3487"/>
          <cell r="B3487"/>
          <cell r="C3487"/>
          <cell r="D3487"/>
          <cell r="E3487"/>
          <cell r="F3487"/>
          <cell r="G3487"/>
          <cell r="H3487"/>
          <cell r="I3487"/>
          <cell r="J3487"/>
          <cell r="K3487"/>
          <cell r="L3487"/>
          <cell r="M3487"/>
          <cell r="N3487"/>
          <cell r="O3487"/>
        </row>
        <row r="3488">
          <cell r="A3488"/>
          <cell r="B3488"/>
          <cell r="C3488"/>
          <cell r="D3488"/>
          <cell r="E3488"/>
          <cell r="F3488"/>
          <cell r="G3488"/>
          <cell r="H3488"/>
          <cell r="I3488"/>
          <cell r="J3488"/>
          <cell r="K3488"/>
          <cell r="L3488"/>
          <cell r="M3488"/>
          <cell r="N3488"/>
          <cell r="O3488"/>
        </row>
        <row r="3489">
          <cell r="A3489"/>
          <cell r="B3489"/>
          <cell r="C3489"/>
          <cell r="D3489"/>
          <cell r="E3489"/>
          <cell r="F3489"/>
          <cell r="G3489"/>
          <cell r="H3489"/>
          <cell r="I3489"/>
          <cell r="J3489"/>
          <cell r="K3489"/>
          <cell r="L3489"/>
          <cell r="M3489"/>
          <cell r="N3489"/>
          <cell r="O3489"/>
        </row>
        <row r="3490">
          <cell r="A3490"/>
          <cell r="B3490"/>
          <cell r="C3490"/>
          <cell r="D3490"/>
          <cell r="E3490"/>
          <cell r="F3490"/>
          <cell r="G3490"/>
          <cell r="H3490"/>
          <cell r="I3490"/>
          <cell r="J3490"/>
          <cell r="K3490"/>
          <cell r="L3490"/>
          <cell r="M3490"/>
          <cell r="N3490"/>
          <cell r="O3490"/>
        </row>
        <row r="3491">
          <cell r="A3491"/>
          <cell r="B3491"/>
          <cell r="C3491"/>
          <cell r="D3491"/>
          <cell r="E3491"/>
          <cell r="F3491"/>
          <cell r="G3491"/>
          <cell r="H3491"/>
          <cell r="I3491"/>
          <cell r="J3491"/>
          <cell r="K3491"/>
          <cell r="L3491"/>
          <cell r="M3491"/>
          <cell r="N3491"/>
          <cell r="O3491"/>
        </row>
        <row r="3492">
          <cell r="A3492"/>
          <cell r="B3492"/>
          <cell r="C3492"/>
          <cell r="D3492"/>
          <cell r="E3492"/>
          <cell r="F3492"/>
          <cell r="G3492"/>
          <cell r="H3492"/>
          <cell r="I3492"/>
          <cell r="J3492"/>
          <cell r="K3492"/>
          <cell r="L3492"/>
          <cell r="M3492"/>
          <cell r="N3492"/>
          <cell r="O3492"/>
        </row>
        <row r="3493">
          <cell r="A3493"/>
          <cell r="B3493"/>
          <cell r="C3493"/>
          <cell r="D3493"/>
          <cell r="E3493"/>
          <cell r="F3493"/>
          <cell r="G3493"/>
          <cell r="H3493"/>
          <cell r="I3493"/>
          <cell r="J3493"/>
          <cell r="K3493"/>
          <cell r="L3493"/>
          <cell r="M3493"/>
          <cell r="N3493"/>
          <cell r="O3493"/>
        </row>
        <row r="3494">
          <cell r="A3494"/>
          <cell r="B3494"/>
          <cell r="C3494"/>
          <cell r="D3494"/>
          <cell r="E3494"/>
          <cell r="F3494"/>
          <cell r="G3494"/>
          <cell r="H3494"/>
          <cell r="I3494"/>
          <cell r="J3494"/>
          <cell r="K3494"/>
          <cell r="L3494"/>
          <cell r="M3494"/>
          <cell r="N3494"/>
          <cell r="O3494"/>
        </row>
        <row r="3495">
          <cell r="A3495"/>
          <cell r="B3495"/>
          <cell r="C3495"/>
          <cell r="D3495"/>
          <cell r="E3495"/>
          <cell r="F3495"/>
          <cell r="G3495"/>
          <cell r="H3495"/>
          <cell r="I3495"/>
          <cell r="J3495"/>
          <cell r="K3495"/>
          <cell r="L3495"/>
          <cell r="M3495"/>
          <cell r="N3495"/>
          <cell r="O3495"/>
        </row>
        <row r="3496">
          <cell r="A3496"/>
          <cell r="B3496"/>
          <cell r="C3496"/>
          <cell r="D3496"/>
          <cell r="E3496"/>
          <cell r="F3496"/>
          <cell r="G3496"/>
          <cell r="H3496"/>
          <cell r="I3496"/>
          <cell r="J3496"/>
          <cell r="K3496"/>
          <cell r="L3496"/>
          <cell r="M3496"/>
          <cell r="N3496"/>
          <cell r="O3496"/>
        </row>
        <row r="3497">
          <cell r="A3497"/>
          <cell r="B3497"/>
          <cell r="C3497"/>
          <cell r="D3497"/>
          <cell r="E3497"/>
          <cell r="F3497"/>
          <cell r="G3497"/>
          <cell r="H3497"/>
          <cell r="I3497"/>
          <cell r="J3497"/>
          <cell r="K3497"/>
          <cell r="L3497"/>
          <cell r="M3497"/>
          <cell r="N3497"/>
          <cell r="O3497"/>
        </row>
        <row r="3498">
          <cell r="A3498"/>
          <cell r="B3498"/>
          <cell r="C3498"/>
          <cell r="D3498"/>
          <cell r="E3498"/>
          <cell r="F3498"/>
          <cell r="G3498"/>
          <cell r="H3498"/>
          <cell r="I3498"/>
          <cell r="J3498"/>
          <cell r="K3498"/>
          <cell r="L3498"/>
          <cell r="M3498"/>
          <cell r="N3498"/>
          <cell r="O3498"/>
        </row>
        <row r="3499">
          <cell r="A3499"/>
          <cell r="B3499"/>
          <cell r="C3499"/>
          <cell r="D3499"/>
          <cell r="E3499"/>
          <cell r="F3499"/>
          <cell r="G3499"/>
          <cell r="H3499"/>
          <cell r="I3499"/>
          <cell r="J3499"/>
          <cell r="K3499"/>
          <cell r="L3499"/>
          <cell r="M3499"/>
          <cell r="N3499"/>
          <cell r="O3499"/>
        </row>
        <row r="3500">
          <cell r="A3500"/>
          <cell r="B3500"/>
          <cell r="C3500"/>
          <cell r="D3500"/>
          <cell r="E3500"/>
          <cell r="F3500"/>
          <cell r="G3500"/>
          <cell r="H3500"/>
          <cell r="I3500"/>
          <cell r="J3500"/>
          <cell r="K3500"/>
          <cell r="L3500"/>
          <cell r="M3500"/>
          <cell r="N3500"/>
          <cell r="O3500"/>
        </row>
        <row r="3501">
          <cell r="A3501"/>
          <cell r="B3501"/>
          <cell r="C3501"/>
          <cell r="D3501"/>
          <cell r="E3501"/>
          <cell r="F3501"/>
          <cell r="G3501"/>
          <cell r="H3501"/>
          <cell r="I3501"/>
          <cell r="J3501"/>
          <cell r="K3501"/>
          <cell r="L3501"/>
          <cell r="M3501"/>
          <cell r="N3501"/>
          <cell r="O3501"/>
        </row>
        <row r="3502">
          <cell r="A3502"/>
          <cell r="B3502"/>
          <cell r="C3502"/>
          <cell r="D3502"/>
          <cell r="E3502"/>
          <cell r="F3502"/>
          <cell r="G3502"/>
          <cell r="H3502"/>
          <cell r="I3502"/>
          <cell r="J3502"/>
          <cell r="K3502"/>
          <cell r="L3502"/>
          <cell r="M3502"/>
          <cell r="N3502"/>
          <cell r="O3502"/>
        </row>
        <row r="3503">
          <cell r="A3503"/>
          <cell r="B3503"/>
          <cell r="C3503"/>
          <cell r="D3503"/>
          <cell r="E3503"/>
          <cell r="F3503"/>
          <cell r="G3503"/>
          <cell r="H3503"/>
          <cell r="I3503"/>
          <cell r="J3503"/>
          <cell r="K3503"/>
          <cell r="L3503"/>
          <cell r="M3503"/>
          <cell r="N3503"/>
          <cell r="O3503"/>
        </row>
        <row r="3504">
          <cell r="A3504"/>
          <cell r="B3504"/>
          <cell r="C3504"/>
          <cell r="D3504"/>
          <cell r="E3504"/>
          <cell r="F3504"/>
          <cell r="G3504"/>
          <cell r="H3504"/>
          <cell r="I3504"/>
          <cell r="J3504"/>
          <cell r="K3504"/>
          <cell r="L3504"/>
          <cell r="M3504"/>
          <cell r="N3504"/>
          <cell r="O3504"/>
        </row>
        <row r="3505">
          <cell r="A3505"/>
          <cell r="B3505"/>
          <cell r="C3505"/>
          <cell r="D3505"/>
          <cell r="E3505"/>
          <cell r="F3505"/>
          <cell r="G3505"/>
          <cell r="H3505"/>
          <cell r="I3505"/>
          <cell r="J3505"/>
          <cell r="K3505"/>
          <cell r="L3505"/>
          <cell r="M3505"/>
          <cell r="N3505"/>
          <cell r="O3505"/>
        </row>
        <row r="3506">
          <cell r="A3506"/>
          <cell r="B3506"/>
          <cell r="C3506"/>
          <cell r="D3506"/>
          <cell r="E3506"/>
          <cell r="F3506"/>
          <cell r="G3506"/>
          <cell r="H3506"/>
          <cell r="I3506"/>
          <cell r="J3506"/>
          <cell r="K3506"/>
          <cell r="L3506"/>
          <cell r="M3506"/>
          <cell r="N3506"/>
          <cell r="O3506"/>
        </row>
        <row r="3507">
          <cell r="A3507"/>
          <cell r="B3507"/>
          <cell r="C3507"/>
          <cell r="D3507"/>
          <cell r="E3507"/>
          <cell r="F3507"/>
          <cell r="G3507"/>
          <cell r="H3507"/>
          <cell r="I3507"/>
          <cell r="J3507"/>
          <cell r="K3507"/>
          <cell r="L3507"/>
          <cell r="M3507"/>
          <cell r="N3507"/>
          <cell r="O3507"/>
        </row>
        <row r="3508">
          <cell r="A3508"/>
          <cell r="B3508"/>
          <cell r="C3508"/>
          <cell r="D3508"/>
          <cell r="E3508"/>
          <cell r="F3508"/>
          <cell r="G3508"/>
          <cell r="H3508"/>
          <cell r="I3508"/>
          <cell r="J3508"/>
          <cell r="K3508"/>
          <cell r="L3508"/>
          <cell r="M3508"/>
          <cell r="N3508"/>
          <cell r="O3508"/>
        </row>
        <row r="3509">
          <cell r="A3509"/>
          <cell r="B3509"/>
          <cell r="C3509"/>
          <cell r="D3509"/>
          <cell r="E3509"/>
          <cell r="F3509"/>
          <cell r="G3509"/>
          <cell r="H3509"/>
          <cell r="I3509"/>
          <cell r="J3509"/>
          <cell r="K3509"/>
          <cell r="L3509"/>
          <cell r="M3509"/>
          <cell r="N3509"/>
          <cell r="O3509"/>
        </row>
        <row r="3510">
          <cell r="A3510"/>
          <cell r="B3510"/>
          <cell r="C3510"/>
          <cell r="D3510"/>
          <cell r="E3510"/>
          <cell r="F3510"/>
          <cell r="G3510"/>
          <cell r="H3510"/>
          <cell r="I3510"/>
          <cell r="J3510"/>
          <cell r="K3510"/>
          <cell r="L3510"/>
          <cell r="M3510"/>
          <cell r="N3510"/>
          <cell r="O3510"/>
        </row>
        <row r="3511">
          <cell r="A3511"/>
          <cell r="B3511"/>
          <cell r="C3511"/>
          <cell r="D3511"/>
          <cell r="E3511"/>
          <cell r="F3511"/>
          <cell r="G3511"/>
          <cell r="H3511"/>
          <cell r="I3511"/>
          <cell r="J3511"/>
          <cell r="K3511"/>
          <cell r="L3511"/>
          <cell r="M3511"/>
          <cell r="N3511"/>
          <cell r="O3511"/>
        </row>
        <row r="3512">
          <cell r="A3512"/>
          <cell r="B3512"/>
          <cell r="C3512"/>
          <cell r="D3512"/>
          <cell r="E3512"/>
          <cell r="F3512"/>
          <cell r="G3512"/>
          <cell r="H3512"/>
          <cell r="I3512"/>
          <cell r="J3512"/>
          <cell r="K3512"/>
          <cell r="L3512"/>
          <cell r="M3512"/>
          <cell r="N3512"/>
          <cell r="O3512"/>
        </row>
        <row r="3513">
          <cell r="A3513"/>
          <cell r="B3513"/>
          <cell r="C3513"/>
          <cell r="D3513"/>
          <cell r="E3513"/>
          <cell r="F3513"/>
          <cell r="G3513"/>
          <cell r="H3513"/>
          <cell r="I3513"/>
          <cell r="J3513"/>
          <cell r="K3513"/>
          <cell r="L3513"/>
          <cell r="M3513"/>
          <cell r="N3513"/>
          <cell r="O3513"/>
        </row>
        <row r="3514">
          <cell r="A3514"/>
          <cell r="B3514"/>
          <cell r="C3514"/>
          <cell r="D3514"/>
          <cell r="E3514"/>
          <cell r="F3514"/>
          <cell r="G3514"/>
          <cell r="H3514"/>
          <cell r="I3514"/>
          <cell r="J3514"/>
          <cell r="K3514"/>
          <cell r="L3514"/>
          <cell r="M3514"/>
          <cell r="N3514"/>
          <cell r="O3514"/>
        </row>
        <row r="3515">
          <cell r="A3515"/>
          <cell r="B3515"/>
          <cell r="C3515"/>
          <cell r="D3515"/>
          <cell r="E3515"/>
          <cell r="F3515"/>
          <cell r="G3515"/>
          <cell r="H3515"/>
          <cell r="I3515"/>
          <cell r="J3515"/>
          <cell r="K3515"/>
          <cell r="L3515"/>
          <cell r="M3515"/>
          <cell r="N3515"/>
          <cell r="O3515"/>
        </row>
        <row r="3516">
          <cell r="A3516"/>
          <cell r="B3516"/>
          <cell r="C3516"/>
          <cell r="D3516"/>
          <cell r="E3516"/>
          <cell r="F3516"/>
          <cell r="G3516"/>
          <cell r="H3516"/>
          <cell r="I3516"/>
          <cell r="J3516"/>
          <cell r="K3516"/>
          <cell r="L3516"/>
          <cell r="M3516"/>
          <cell r="N3516"/>
          <cell r="O3516"/>
        </row>
        <row r="3517">
          <cell r="A3517"/>
          <cell r="B3517"/>
          <cell r="C3517"/>
          <cell r="D3517"/>
          <cell r="E3517"/>
          <cell r="F3517"/>
          <cell r="G3517"/>
          <cell r="H3517"/>
          <cell r="I3517"/>
          <cell r="J3517"/>
          <cell r="K3517"/>
          <cell r="L3517"/>
          <cell r="M3517"/>
          <cell r="N3517"/>
          <cell r="O3517"/>
        </row>
        <row r="3518">
          <cell r="A3518"/>
          <cell r="B3518"/>
          <cell r="C3518"/>
          <cell r="D3518"/>
          <cell r="E3518"/>
          <cell r="F3518"/>
          <cell r="G3518"/>
          <cell r="H3518"/>
          <cell r="I3518"/>
          <cell r="J3518"/>
          <cell r="K3518"/>
          <cell r="L3518"/>
          <cell r="M3518"/>
          <cell r="N3518"/>
          <cell r="O3518"/>
        </row>
        <row r="3519">
          <cell r="A3519"/>
          <cell r="B3519"/>
          <cell r="C3519"/>
          <cell r="D3519"/>
          <cell r="E3519"/>
          <cell r="F3519"/>
          <cell r="G3519"/>
          <cell r="H3519"/>
          <cell r="I3519"/>
          <cell r="J3519"/>
          <cell r="K3519"/>
          <cell r="L3519"/>
          <cell r="M3519"/>
          <cell r="N3519"/>
          <cell r="O3519"/>
        </row>
        <row r="3520">
          <cell r="A3520"/>
          <cell r="B3520"/>
          <cell r="C3520"/>
          <cell r="D3520"/>
          <cell r="E3520"/>
          <cell r="F3520"/>
          <cell r="G3520"/>
          <cell r="H3520"/>
          <cell r="I3520"/>
          <cell r="J3520"/>
          <cell r="K3520"/>
          <cell r="L3520"/>
          <cell r="M3520"/>
          <cell r="N3520"/>
          <cell r="O3520"/>
        </row>
        <row r="3521">
          <cell r="A3521"/>
          <cell r="B3521"/>
          <cell r="C3521"/>
          <cell r="D3521"/>
          <cell r="E3521"/>
          <cell r="F3521"/>
          <cell r="G3521"/>
          <cell r="H3521"/>
          <cell r="I3521"/>
          <cell r="J3521"/>
          <cell r="K3521"/>
          <cell r="L3521"/>
          <cell r="M3521"/>
          <cell r="N3521"/>
          <cell r="O3521"/>
        </row>
        <row r="3522">
          <cell r="A3522"/>
          <cell r="B3522"/>
          <cell r="C3522"/>
          <cell r="D3522"/>
          <cell r="E3522"/>
          <cell r="F3522"/>
          <cell r="G3522"/>
          <cell r="H3522"/>
          <cell r="I3522"/>
          <cell r="J3522"/>
          <cell r="K3522"/>
          <cell r="L3522"/>
          <cell r="M3522"/>
          <cell r="N3522"/>
          <cell r="O3522"/>
        </row>
        <row r="3523">
          <cell r="A3523"/>
          <cell r="B3523"/>
          <cell r="C3523"/>
          <cell r="D3523"/>
          <cell r="E3523"/>
          <cell r="F3523"/>
          <cell r="G3523"/>
          <cell r="H3523"/>
          <cell r="I3523"/>
          <cell r="J3523"/>
          <cell r="K3523"/>
          <cell r="L3523"/>
          <cell r="M3523"/>
          <cell r="N3523"/>
          <cell r="O3523"/>
        </row>
        <row r="3524">
          <cell r="A3524"/>
          <cell r="B3524"/>
          <cell r="C3524"/>
          <cell r="D3524"/>
          <cell r="E3524"/>
          <cell r="F3524"/>
          <cell r="G3524"/>
          <cell r="H3524"/>
          <cell r="I3524"/>
          <cell r="J3524"/>
          <cell r="K3524"/>
          <cell r="L3524"/>
          <cell r="M3524"/>
          <cell r="N3524"/>
          <cell r="O3524"/>
        </row>
        <row r="3525">
          <cell r="A3525"/>
          <cell r="B3525"/>
          <cell r="C3525"/>
          <cell r="D3525"/>
          <cell r="E3525"/>
          <cell r="F3525"/>
          <cell r="G3525"/>
          <cell r="H3525"/>
          <cell r="I3525"/>
          <cell r="J3525"/>
          <cell r="K3525"/>
          <cell r="L3525"/>
          <cell r="M3525"/>
          <cell r="N3525"/>
          <cell r="O3525"/>
        </row>
        <row r="3526">
          <cell r="A3526"/>
          <cell r="B3526"/>
          <cell r="C3526"/>
          <cell r="D3526"/>
          <cell r="E3526"/>
          <cell r="F3526"/>
          <cell r="G3526"/>
          <cell r="H3526"/>
          <cell r="I3526"/>
          <cell r="J3526"/>
          <cell r="K3526"/>
          <cell r="L3526"/>
          <cell r="M3526"/>
          <cell r="N3526"/>
          <cell r="O3526"/>
        </row>
        <row r="3527">
          <cell r="A3527"/>
          <cell r="B3527"/>
          <cell r="C3527"/>
          <cell r="D3527"/>
          <cell r="E3527"/>
          <cell r="F3527"/>
          <cell r="G3527"/>
          <cell r="H3527"/>
          <cell r="I3527"/>
          <cell r="J3527"/>
          <cell r="K3527"/>
          <cell r="L3527"/>
          <cell r="M3527"/>
          <cell r="N3527"/>
          <cell r="O3527"/>
        </row>
        <row r="3528">
          <cell r="A3528"/>
          <cell r="B3528"/>
          <cell r="C3528"/>
          <cell r="D3528"/>
          <cell r="E3528"/>
          <cell r="F3528"/>
          <cell r="G3528"/>
          <cell r="H3528"/>
          <cell r="I3528"/>
          <cell r="J3528"/>
          <cell r="K3528"/>
          <cell r="L3528"/>
          <cell r="M3528"/>
          <cell r="N3528"/>
          <cell r="O3528"/>
        </row>
        <row r="3529">
          <cell r="A3529"/>
          <cell r="B3529"/>
          <cell r="C3529"/>
          <cell r="D3529"/>
          <cell r="E3529"/>
          <cell r="F3529"/>
          <cell r="G3529"/>
          <cell r="H3529"/>
          <cell r="I3529"/>
          <cell r="J3529"/>
          <cell r="K3529"/>
          <cell r="L3529"/>
          <cell r="M3529"/>
          <cell r="N3529"/>
          <cell r="O3529"/>
        </row>
        <row r="3530">
          <cell r="A3530"/>
          <cell r="B3530"/>
          <cell r="C3530"/>
          <cell r="D3530"/>
          <cell r="E3530"/>
          <cell r="F3530"/>
          <cell r="G3530"/>
          <cell r="H3530"/>
          <cell r="I3530"/>
          <cell r="J3530"/>
          <cell r="K3530"/>
          <cell r="L3530"/>
          <cell r="M3530"/>
          <cell r="N3530"/>
          <cell r="O3530"/>
        </row>
        <row r="3531">
          <cell r="A3531"/>
          <cell r="B3531"/>
          <cell r="C3531"/>
          <cell r="D3531"/>
          <cell r="E3531"/>
          <cell r="F3531"/>
          <cell r="G3531"/>
          <cell r="H3531"/>
          <cell r="I3531"/>
          <cell r="J3531"/>
          <cell r="K3531"/>
          <cell r="L3531"/>
          <cell r="M3531"/>
          <cell r="N3531"/>
          <cell r="O3531"/>
        </row>
        <row r="3532">
          <cell r="A3532"/>
          <cell r="B3532"/>
          <cell r="C3532"/>
          <cell r="D3532"/>
          <cell r="E3532"/>
          <cell r="F3532"/>
          <cell r="G3532"/>
          <cell r="H3532"/>
          <cell r="I3532"/>
          <cell r="J3532"/>
          <cell r="K3532"/>
          <cell r="L3532"/>
          <cell r="M3532"/>
          <cell r="N3532"/>
          <cell r="O3532"/>
        </row>
        <row r="3533">
          <cell r="A3533"/>
          <cell r="B3533"/>
          <cell r="C3533"/>
          <cell r="D3533"/>
          <cell r="E3533"/>
          <cell r="F3533"/>
          <cell r="G3533"/>
          <cell r="H3533"/>
          <cell r="I3533"/>
          <cell r="J3533"/>
          <cell r="K3533"/>
          <cell r="L3533"/>
          <cell r="M3533"/>
          <cell r="N3533"/>
          <cell r="O3533"/>
        </row>
        <row r="3534">
          <cell r="A3534"/>
          <cell r="B3534"/>
          <cell r="C3534"/>
          <cell r="D3534"/>
          <cell r="E3534"/>
          <cell r="F3534"/>
          <cell r="G3534"/>
          <cell r="H3534"/>
          <cell r="I3534"/>
          <cell r="J3534"/>
          <cell r="K3534"/>
          <cell r="L3534"/>
          <cell r="M3534"/>
          <cell r="N3534"/>
          <cell r="O3534"/>
        </row>
        <row r="3535">
          <cell r="A3535"/>
          <cell r="B3535"/>
          <cell r="C3535"/>
          <cell r="D3535"/>
          <cell r="E3535"/>
          <cell r="F3535"/>
          <cell r="G3535"/>
          <cell r="H3535"/>
          <cell r="I3535"/>
          <cell r="J3535"/>
          <cell r="K3535"/>
          <cell r="L3535"/>
          <cell r="M3535"/>
          <cell r="N3535"/>
          <cell r="O3535"/>
        </row>
        <row r="3536">
          <cell r="A3536"/>
          <cell r="B3536"/>
          <cell r="C3536"/>
          <cell r="D3536"/>
          <cell r="E3536"/>
          <cell r="F3536"/>
          <cell r="G3536"/>
          <cell r="H3536"/>
          <cell r="I3536"/>
          <cell r="J3536"/>
          <cell r="K3536"/>
          <cell r="L3536"/>
          <cell r="M3536"/>
          <cell r="N3536"/>
          <cell r="O3536"/>
        </row>
        <row r="3537">
          <cell r="A3537"/>
          <cell r="B3537"/>
          <cell r="C3537"/>
          <cell r="D3537"/>
          <cell r="E3537"/>
          <cell r="F3537"/>
          <cell r="G3537"/>
          <cell r="H3537"/>
          <cell r="I3537"/>
          <cell r="J3537"/>
          <cell r="K3537"/>
          <cell r="L3537"/>
          <cell r="M3537"/>
          <cell r="N3537"/>
          <cell r="O3537"/>
        </row>
        <row r="3538">
          <cell r="A3538"/>
          <cell r="B3538"/>
          <cell r="C3538"/>
          <cell r="D3538"/>
          <cell r="E3538"/>
          <cell r="F3538"/>
          <cell r="G3538"/>
          <cell r="H3538"/>
          <cell r="I3538"/>
          <cell r="J3538"/>
          <cell r="K3538"/>
          <cell r="L3538"/>
          <cell r="M3538"/>
          <cell r="N3538"/>
          <cell r="O3538"/>
        </row>
        <row r="3539">
          <cell r="A3539"/>
          <cell r="B3539"/>
          <cell r="C3539"/>
          <cell r="D3539"/>
          <cell r="E3539"/>
          <cell r="F3539"/>
          <cell r="G3539"/>
          <cell r="H3539"/>
          <cell r="I3539"/>
          <cell r="J3539"/>
          <cell r="K3539"/>
          <cell r="L3539"/>
          <cell r="M3539"/>
          <cell r="N3539"/>
          <cell r="O3539"/>
        </row>
        <row r="3540">
          <cell r="A3540"/>
          <cell r="B3540"/>
          <cell r="C3540"/>
          <cell r="D3540"/>
          <cell r="E3540"/>
          <cell r="F3540"/>
          <cell r="G3540"/>
          <cell r="H3540"/>
          <cell r="I3540"/>
          <cell r="J3540"/>
          <cell r="K3540"/>
          <cell r="L3540"/>
          <cell r="M3540"/>
          <cell r="N3540"/>
          <cell r="O3540"/>
        </row>
        <row r="3541">
          <cell r="A3541"/>
          <cell r="B3541"/>
          <cell r="C3541"/>
          <cell r="D3541"/>
          <cell r="E3541"/>
          <cell r="F3541"/>
          <cell r="G3541"/>
          <cell r="H3541"/>
          <cell r="I3541"/>
          <cell r="J3541"/>
          <cell r="K3541"/>
          <cell r="L3541"/>
          <cell r="M3541"/>
          <cell r="N3541"/>
          <cell r="O3541"/>
        </row>
        <row r="3542">
          <cell r="A3542"/>
          <cell r="B3542"/>
          <cell r="C3542"/>
          <cell r="D3542"/>
          <cell r="E3542"/>
          <cell r="F3542"/>
          <cell r="G3542"/>
          <cell r="H3542"/>
          <cell r="I3542"/>
          <cell r="J3542"/>
          <cell r="K3542"/>
          <cell r="L3542"/>
          <cell r="M3542"/>
          <cell r="N3542"/>
          <cell r="O3542"/>
        </row>
        <row r="3543">
          <cell r="A3543"/>
          <cell r="B3543"/>
          <cell r="C3543"/>
          <cell r="D3543"/>
          <cell r="E3543"/>
          <cell r="F3543"/>
          <cell r="G3543"/>
          <cell r="H3543"/>
          <cell r="I3543"/>
          <cell r="J3543"/>
          <cell r="K3543"/>
          <cell r="L3543"/>
          <cell r="M3543"/>
          <cell r="N3543"/>
          <cell r="O3543"/>
        </row>
        <row r="3544">
          <cell r="A3544"/>
          <cell r="B3544"/>
          <cell r="C3544"/>
          <cell r="D3544"/>
          <cell r="E3544"/>
          <cell r="F3544"/>
          <cell r="G3544"/>
          <cell r="H3544"/>
          <cell r="I3544"/>
          <cell r="J3544"/>
          <cell r="K3544"/>
          <cell r="L3544"/>
          <cell r="M3544"/>
          <cell r="N3544"/>
          <cell r="O3544"/>
        </row>
        <row r="3545">
          <cell r="A3545"/>
          <cell r="B3545"/>
          <cell r="C3545"/>
          <cell r="D3545"/>
          <cell r="E3545"/>
          <cell r="F3545"/>
          <cell r="G3545"/>
          <cell r="H3545"/>
          <cell r="I3545"/>
          <cell r="J3545"/>
          <cell r="K3545"/>
          <cell r="L3545"/>
          <cell r="M3545"/>
          <cell r="N3545"/>
          <cell r="O3545"/>
        </row>
        <row r="3546">
          <cell r="A3546"/>
          <cell r="B3546"/>
          <cell r="C3546"/>
          <cell r="D3546"/>
          <cell r="E3546"/>
          <cell r="F3546"/>
          <cell r="G3546"/>
          <cell r="H3546"/>
          <cell r="I3546"/>
          <cell r="J3546"/>
          <cell r="K3546"/>
          <cell r="L3546"/>
          <cell r="M3546"/>
          <cell r="N3546"/>
          <cell r="O3546"/>
        </row>
        <row r="3547">
          <cell r="A3547"/>
          <cell r="B3547"/>
          <cell r="C3547"/>
          <cell r="D3547"/>
          <cell r="E3547"/>
          <cell r="F3547"/>
          <cell r="G3547"/>
          <cell r="H3547"/>
          <cell r="I3547"/>
          <cell r="J3547"/>
          <cell r="K3547"/>
          <cell r="L3547"/>
          <cell r="M3547"/>
          <cell r="N3547"/>
          <cell r="O3547"/>
        </row>
        <row r="3548">
          <cell r="A3548"/>
          <cell r="B3548"/>
          <cell r="C3548"/>
          <cell r="D3548"/>
          <cell r="E3548"/>
          <cell r="F3548"/>
          <cell r="G3548"/>
          <cell r="H3548"/>
          <cell r="I3548"/>
          <cell r="J3548"/>
          <cell r="K3548"/>
          <cell r="L3548"/>
          <cell r="M3548"/>
          <cell r="N3548"/>
          <cell r="O3548"/>
        </row>
        <row r="3549">
          <cell r="A3549"/>
          <cell r="B3549"/>
          <cell r="C3549"/>
          <cell r="D3549"/>
          <cell r="E3549"/>
          <cell r="F3549"/>
          <cell r="G3549"/>
          <cell r="H3549"/>
          <cell r="I3549"/>
          <cell r="J3549"/>
          <cell r="K3549"/>
          <cell r="L3549"/>
          <cell r="M3549"/>
          <cell r="N3549"/>
          <cell r="O3549"/>
        </row>
        <row r="3550">
          <cell r="A3550"/>
          <cell r="B3550"/>
          <cell r="C3550"/>
          <cell r="D3550"/>
          <cell r="E3550"/>
          <cell r="F3550"/>
          <cell r="G3550"/>
          <cell r="H3550"/>
          <cell r="I3550"/>
          <cell r="J3550"/>
          <cell r="K3550"/>
          <cell r="L3550"/>
          <cell r="M3550"/>
          <cell r="N3550"/>
          <cell r="O3550"/>
        </row>
        <row r="3551">
          <cell r="A3551"/>
          <cell r="B3551"/>
          <cell r="C3551"/>
          <cell r="D3551"/>
          <cell r="E3551"/>
          <cell r="F3551"/>
          <cell r="G3551"/>
          <cell r="H3551"/>
          <cell r="I3551"/>
          <cell r="J3551"/>
          <cell r="K3551"/>
          <cell r="L3551"/>
          <cell r="M3551"/>
          <cell r="N3551"/>
          <cell r="O3551"/>
        </row>
        <row r="3552">
          <cell r="A3552"/>
          <cell r="B3552"/>
          <cell r="C3552"/>
          <cell r="D3552"/>
          <cell r="E3552"/>
          <cell r="F3552"/>
          <cell r="G3552"/>
          <cell r="H3552"/>
          <cell r="I3552"/>
          <cell r="J3552"/>
          <cell r="K3552"/>
          <cell r="L3552"/>
          <cell r="M3552"/>
          <cell r="N3552"/>
          <cell r="O3552"/>
        </row>
        <row r="3553">
          <cell r="A3553"/>
          <cell r="B3553"/>
          <cell r="C3553"/>
          <cell r="D3553"/>
          <cell r="E3553"/>
          <cell r="F3553"/>
          <cell r="G3553"/>
          <cell r="H3553"/>
          <cell r="I3553"/>
          <cell r="J3553"/>
          <cell r="K3553"/>
          <cell r="L3553"/>
          <cell r="M3553"/>
          <cell r="N3553"/>
          <cell r="O3553"/>
        </row>
        <row r="3554">
          <cell r="A3554"/>
          <cell r="B3554"/>
          <cell r="C3554"/>
          <cell r="D3554"/>
          <cell r="E3554"/>
          <cell r="F3554"/>
          <cell r="G3554"/>
          <cell r="H3554"/>
          <cell r="I3554"/>
          <cell r="J3554"/>
          <cell r="K3554"/>
          <cell r="L3554"/>
          <cell r="M3554"/>
          <cell r="N3554"/>
          <cell r="O3554"/>
        </row>
        <row r="3555">
          <cell r="A3555"/>
          <cell r="B3555"/>
          <cell r="C3555"/>
          <cell r="D3555"/>
          <cell r="E3555"/>
          <cell r="F3555"/>
          <cell r="G3555"/>
          <cell r="H3555"/>
          <cell r="I3555"/>
          <cell r="J3555"/>
          <cell r="K3555"/>
          <cell r="L3555"/>
          <cell r="M3555"/>
          <cell r="N3555"/>
          <cell r="O3555"/>
        </row>
        <row r="3556">
          <cell r="A3556"/>
          <cell r="B3556"/>
          <cell r="C3556"/>
          <cell r="D3556"/>
          <cell r="E3556"/>
          <cell r="F3556"/>
          <cell r="G3556"/>
          <cell r="H3556"/>
          <cell r="I3556"/>
          <cell r="J3556"/>
          <cell r="K3556"/>
          <cell r="L3556"/>
          <cell r="M3556"/>
          <cell r="N3556"/>
          <cell r="O3556"/>
        </row>
        <row r="3557">
          <cell r="A3557"/>
          <cell r="B3557"/>
          <cell r="C3557"/>
          <cell r="D3557"/>
          <cell r="E3557"/>
          <cell r="F3557"/>
          <cell r="G3557"/>
          <cell r="H3557"/>
          <cell r="I3557"/>
          <cell r="J3557"/>
          <cell r="K3557"/>
          <cell r="L3557"/>
          <cell r="M3557"/>
          <cell r="N3557"/>
          <cell r="O3557"/>
        </row>
        <row r="3558">
          <cell r="A3558"/>
          <cell r="B3558"/>
          <cell r="C3558"/>
          <cell r="D3558"/>
          <cell r="E3558"/>
          <cell r="F3558"/>
          <cell r="G3558"/>
          <cell r="H3558"/>
          <cell r="I3558"/>
          <cell r="J3558"/>
          <cell r="K3558"/>
          <cell r="L3558"/>
          <cell r="M3558"/>
          <cell r="N3558"/>
          <cell r="O3558"/>
        </row>
        <row r="3559">
          <cell r="A3559"/>
          <cell r="B3559"/>
          <cell r="C3559"/>
          <cell r="D3559"/>
          <cell r="E3559"/>
          <cell r="F3559"/>
          <cell r="G3559"/>
          <cell r="H3559"/>
          <cell r="I3559"/>
          <cell r="J3559"/>
          <cell r="K3559"/>
          <cell r="L3559"/>
          <cell r="M3559"/>
          <cell r="N3559"/>
          <cell r="O3559"/>
        </row>
        <row r="3560">
          <cell r="A3560"/>
          <cell r="B3560"/>
          <cell r="C3560"/>
          <cell r="D3560"/>
          <cell r="E3560"/>
          <cell r="F3560"/>
          <cell r="G3560"/>
          <cell r="H3560"/>
          <cell r="I3560"/>
          <cell r="J3560"/>
          <cell r="K3560"/>
          <cell r="L3560"/>
          <cell r="M3560"/>
          <cell r="N3560"/>
          <cell r="O3560"/>
        </row>
        <row r="3561">
          <cell r="A3561"/>
          <cell r="B3561"/>
          <cell r="C3561"/>
          <cell r="D3561"/>
          <cell r="E3561"/>
          <cell r="F3561"/>
          <cell r="G3561"/>
          <cell r="H3561"/>
          <cell r="I3561"/>
          <cell r="J3561"/>
          <cell r="K3561"/>
          <cell r="L3561"/>
          <cell r="M3561"/>
          <cell r="N3561"/>
          <cell r="O3561"/>
        </row>
        <row r="3562">
          <cell r="A3562"/>
          <cell r="B3562"/>
          <cell r="C3562"/>
          <cell r="D3562"/>
          <cell r="E3562"/>
          <cell r="F3562"/>
          <cell r="G3562"/>
          <cell r="H3562"/>
          <cell r="I3562"/>
          <cell r="J3562"/>
          <cell r="K3562"/>
          <cell r="L3562"/>
          <cell r="M3562"/>
          <cell r="N3562"/>
          <cell r="O3562"/>
        </row>
        <row r="3563">
          <cell r="A3563"/>
          <cell r="B3563"/>
          <cell r="C3563"/>
          <cell r="D3563"/>
          <cell r="E3563"/>
          <cell r="F3563"/>
          <cell r="G3563"/>
          <cell r="H3563"/>
          <cell r="I3563"/>
          <cell r="J3563"/>
          <cell r="K3563"/>
          <cell r="L3563"/>
          <cell r="M3563"/>
          <cell r="N3563"/>
          <cell r="O3563"/>
        </row>
        <row r="3564">
          <cell r="A3564"/>
          <cell r="B3564"/>
          <cell r="C3564"/>
          <cell r="D3564"/>
          <cell r="E3564"/>
          <cell r="F3564"/>
          <cell r="G3564"/>
          <cell r="H3564"/>
          <cell r="I3564"/>
          <cell r="J3564"/>
          <cell r="K3564"/>
          <cell r="L3564"/>
          <cell r="M3564"/>
          <cell r="N3564"/>
          <cell r="O3564"/>
        </row>
        <row r="3565">
          <cell r="A3565"/>
          <cell r="B3565"/>
          <cell r="C3565"/>
          <cell r="D3565"/>
          <cell r="E3565"/>
          <cell r="F3565"/>
          <cell r="G3565"/>
          <cell r="H3565"/>
          <cell r="I3565"/>
          <cell r="J3565"/>
          <cell r="K3565"/>
          <cell r="L3565"/>
          <cell r="M3565"/>
          <cell r="N3565"/>
          <cell r="O3565"/>
        </row>
        <row r="3566">
          <cell r="A3566"/>
          <cell r="B3566"/>
          <cell r="C3566"/>
          <cell r="D3566"/>
          <cell r="E3566"/>
          <cell r="F3566"/>
          <cell r="G3566"/>
          <cell r="H3566"/>
          <cell r="I3566"/>
          <cell r="J3566"/>
          <cell r="K3566"/>
          <cell r="L3566"/>
          <cell r="M3566"/>
          <cell r="N3566"/>
          <cell r="O3566"/>
        </row>
        <row r="3567">
          <cell r="A3567"/>
          <cell r="B3567"/>
          <cell r="C3567"/>
          <cell r="D3567"/>
          <cell r="E3567"/>
          <cell r="F3567"/>
          <cell r="G3567"/>
          <cell r="H3567"/>
          <cell r="I3567"/>
          <cell r="J3567"/>
          <cell r="K3567"/>
          <cell r="L3567"/>
          <cell r="M3567"/>
          <cell r="N3567"/>
          <cell r="O3567"/>
        </row>
        <row r="3568">
          <cell r="A3568"/>
          <cell r="B3568"/>
          <cell r="C3568"/>
          <cell r="D3568"/>
          <cell r="E3568"/>
          <cell r="F3568"/>
          <cell r="G3568"/>
          <cell r="H3568"/>
          <cell r="I3568"/>
          <cell r="J3568"/>
          <cell r="K3568"/>
          <cell r="L3568"/>
          <cell r="M3568"/>
          <cell r="N3568"/>
          <cell r="O3568"/>
        </row>
        <row r="3569">
          <cell r="A3569"/>
          <cell r="B3569"/>
          <cell r="C3569"/>
          <cell r="D3569"/>
          <cell r="E3569"/>
          <cell r="F3569"/>
          <cell r="G3569"/>
          <cell r="H3569"/>
          <cell r="I3569"/>
          <cell r="J3569"/>
          <cell r="K3569"/>
          <cell r="L3569"/>
          <cell r="M3569"/>
          <cell r="N3569"/>
          <cell r="O3569"/>
        </row>
        <row r="3570">
          <cell r="A3570"/>
          <cell r="B3570"/>
          <cell r="C3570"/>
          <cell r="D3570"/>
          <cell r="E3570"/>
          <cell r="F3570"/>
          <cell r="G3570"/>
          <cell r="H3570"/>
          <cell r="I3570"/>
          <cell r="J3570"/>
          <cell r="K3570"/>
          <cell r="L3570"/>
          <cell r="M3570"/>
          <cell r="N3570"/>
          <cell r="O3570"/>
        </row>
        <row r="3571">
          <cell r="A3571"/>
          <cell r="B3571"/>
          <cell r="C3571"/>
          <cell r="D3571"/>
          <cell r="E3571"/>
          <cell r="F3571"/>
          <cell r="G3571"/>
          <cell r="H3571"/>
          <cell r="I3571"/>
          <cell r="J3571"/>
          <cell r="K3571"/>
          <cell r="L3571"/>
          <cell r="M3571"/>
          <cell r="N3571"/>
          <cell r="O3571"/>
        </row>
        <row r="3572">
          <cell r="A3572"/>
          <cell r="B3572"/>
          <cell r="C3572"/>
          <cell r="D3572"/>
          <cell r="E3572"/>
          <cell r="F3572"/>
          <cell r="G3572"/>
          <cell r="H3572"/>
          <cell r="I3572"/>
          <cell r="J3572"/>
          <cell r="K3572"/>
          <cell r="L3572"/>
          <cell r="M3572"/>
          <cell r="N3572"/>
          <cell r="O3572"/>
        </row>
        <row r="3573">
          <cell r="A3573"/>
          <cell r="B3573"/>
          <cell r="C3573"/>
          <cell r="D3573"/>
          <cell r="E3573"/>
          <cell r="F3573"/>
          <cell r="G3573"/>
          <cell r="H3573"/>
          <cell r="I3573"/>
          <cell r="J3573"/>
          <cell r="K3573"/>
          <cell r="L3573"/>
          <cell r="M3573"/>
          <cell r="N3573"/>
          <cell r="O3573"/>
        </row>
        <row r="3574">
          <cell r="A3574"/>
          <cell r="B3574"/>
          <cell r="C3574"/>
          <cell r="D3574"/>
          <cell r="E3574"/>
          <cell r="F3574"/>
          <cell r="G3574"/>
          <cell r="H3574"/>
          <cell r="I3574"/>
          <cell r="J3574"/>
          <cell r="K3574"/>
          <cell r="L3574"/>
          <cell r="M3574"/>
          <cell r="N3574"/>
          <cell r="O3574"/>
        </row>
        <row r="3575">
          <cell r="A3575"/>
          <cell r="B3575"/>
          <cell r="C3575"/>
          <cell r="D3575"/>
          <cell r="E3575"/>
          <cell r="F3575"/>
          <cell r="G3575"/>
          <cell r="H3575"/>
          <cell r="I3575"/>
          <cell r="J3575"/>
          <cell r="K3575"/>
          <cell r="L3575"/>
          <cell r="M3575"/>
          <cell r="N3575"/>
          <cell r="O3575"/>
        </row>
        <row r="3576">
          <cell r="A3576"/>
          <cell r="B3576"/>
          <cell r="C3576"/>
          <cell r="D3576"/>
          <cell r="E3576"/>
          <cell r="F3576"/>
          <cell r="G3576"/>
          <cell r="H3576"/>
          <cell r="I3576"/>
          <cell r="J3576"/>
          <cell r="K3576"/>
          <cell r="L3576"/>
          <cell r="M3576"/>
          <cell r="N3576"/>
          <cell r="O3576"/>
        </row>
        <row r="3577">
          <cell r="A3577"/>
          <cell r="B3577"/>
          <cell r="C3577"/>
          <cell r="D3577"/>
          <cell r="E3577"/>
          <cell r="F3577"/>
          <cell r="G3577"/>
          <cell r="H3577"/>
          <cell r="I3577"/>
          <cell r="J3577"/>
          <cell r="K3577"/>
          <cell r="L3577"/>
          <cell r="M3577"/>
          <cell r="N3577"/>
          <cell r="O3577"/>
        </row>
        <row r="3578">
          <cell r="A3578"/>
          <cell r="B3578"/>
          <cell r="C3578"/>
          <cell r="D3578"/>
          <cell r="E3578"/>
          <cell r="F3578"/>
          <cell r="G3578"/>
          <cell r="H3578"/>
          <cell r="I3578"/>
          <cell r="J3578"/>
          <cell r="K3578"/>
          <cell r="L3578"/>
          <cell r="M3578"/>
          <cell r="N3578"/>
          <cell r="O3578"/>
        </row>
        <row r="3579">
          <cell r="A3579"/>
          <cell r="B3579"/>
          <cell r="C3579"/>
          <cell r="D3579"/>
          <cell r="E3579"/>
          <cell r="F3579"/>
          <cell r="G3579"/>
          <cell r="H3579"/>
          <cell r="I3579"/>
          <cell r="J3579"/>
          <cell r="K3579"/>
          <cell r="L3579"/>
          <cell r="M3579"/>
          <cell r="N3579"/>
          <cell r="O3579"/>
        </row>
        <row r="3580">
          <cell r="A3580"/>
          <cell r="B3580"/>
          <cell r="C3580"/>
          <cell r="D3580"/>
          <cell r="E3580"/>
          <cell r="F3580"/>
          <cell r="G3580"/>
          <cell r="H3580"/>
          <cell r="I3580"/>
          <cell r="J3580"/>
          <cell r="K3580"/>
          <cell r="L3580"/>
          <cell r="M3580"/>
          <cell r="N3580"/>
          <cell r="O3580"/>
        </row>
        <row r="3581">
          <cell r="A3581"/>
          <cell r="B3581"/>
          <cell r="C3581"/>
          <cell r="D3581"/>
          <cell r="E3581"/>
          <cell r="F3581"/>
          <cell r="G3581"/>
          <cell r="H3581"/>
          <cell r="I3581"/>
          <cell r="J3581"/>
          <cell r="K3581"/>
          <cell r="L3581"/>
          <cell r="M3581"/>
          <cell r="N3581"/>
          <cell r="O3581"/>
        </row>
        <row r="3582">
          <cell r="A3582"/>
          <cell r="B3582"/>
          <cell r="C3582"/>
          <cell r="D3582"/>
          <cell r="E3582"/>
          <cell r="F3582"/>
          <cell r="G3582"/>
          <cell r="H3582"/>
          <cell r="I3582"/>
          <cell r="J3582"/>
          <cell r="K3582"/>
          <cell r="L3582"/>
          <cell r="M3582"/>
          <cell r="N3582"/>
          <cell r="O3582"/>
        </row>
        <row r="3583">
          <cell r="A3583"/>
          <cell r="B3583"/>
          <cell r="C3583"/>
          <cell r="D3583"/>
          <cell r="E3583"/>
          <cell r="F3583"/>
          <cell r="G3583"/>
          <cell r="H3583"/>
          <cell r="I3583"/>
          <cell r="J3583"/>
          <cell r="K3583"/>
          <cell r="L3583"/>
          <cell r="M3583"/>
          <cell r="N3583"/>
          <cell r="O3583"/>
        </row>
        <row r="3584">
          <cell r="A3584"/>
          <cell r="B3584"/>
          <cell r="C3584"/>
          <cell r="D3584"/>
          <cell r="E3584"/>
          <cell r="F3584"/>
          <cell r="G3584"/>
          <cell r="H3584"/>
          <cell r="I3584"/>
          <cell r="J3584"/>
          <cell r="K3584"/>
          <cell r="L3584"/>
          <cell r="M3584"/>
          <cell r="N3584"/>
          <cell r="O3584"/>
        </row>
        <row r="3585">
          <cell r="A3585"/>
          <cell r="B3585"/>
          <cell r="C3585"/>
          <cell r="D3585"/>
          <cell r="E3585"/>
          <cell r="F3585"/>
          <cell r="G3585"/>
          <cell r="H3585"/>
          <cell r="I3585"/>
          <cell r="J3585"/>
          <cell r="K3585"/>
          <cell r="L3585"/>
          <cell r="M3585"/>
          <cell r="N3585"/>
          <cell r="O3585"/>
        </row>
        <row r="3586">
          <cell r="A3586"/>
          <cell r="B3586"/>
          <cell r="C3586"/>
          <cell r="D3586"/>
          <cell r="E3586"/>
          <cell r="F3586"/>
          <cell r="G3586"/>
          <cell r="H3586"/>
          <cell r="I3586"/>
          <cell r="J3586"/>
          <cell r="K3586"/>
          <cell r="L3586"/>
          <cell r="M3586"/>
          <cell r="N3586"/>
          <cell r="O3586"/>
        </row>
        <row r="3587">
          <cell r="A3587"/>
          <cell r="B3587"/>
          <cell r="C3587"/>
          <cell r="D3587"/>
          <cell r="E3587"/>
          <cell r="F3587"/>
          <cell r="G3587"/>
          <cell r="H3587"/>
          <cell r="I3587"/>
          <cell r="J3587"/>
          <cell r="K3587"/>
          <cell r="L3587"/>
          <cell r="M3587"/>
          <cell r="N3587"/>
          <cell r="O3587"/>
        </row>
        <row r="3588">
          <cell r="A3588"/>
          <cell r="B3588"/>
          <cell r="C3588"/>
          <cell r="D3588"/>
          <cell r="E3588"/>
          <cell r="F3588"/>
          <cell r="G3588"/>
          <cell r="H3588"/>
          <cell r="I3588"/>
          <cell r="J3588"/>
          <cell r="K3588"/>
          <cell r="L3588"/>
          <cell r="M3588"/>
          <cell r="N3588"/>
          <cell r="O3588"/>
        </row>
        <row r="3589">
          <cell r="A3589"/>
          <cell r="B3589"/>
          <cell r="C3589"/>
          <cell r="D3589"/>
          <cell r="E3589"/>
          <cell r="F3589"/>
          <cell r="G3589"/>
          <cell r="H3589"/>
          <cell r="I3589"/>
          <cell r="J3589"/>
          <cell r="K3589"/>
          <cell r="L3589"/>
          <cell r="M3589"/>
          <cell r="N3589"/>
          <cell r="O3589"/>
        </row>
        <row r="3590">
          <cell r="A3590"/>
          <cell r="B3590"/>
          <cell r="C3590"/>
          <cell r="D3590"/>
          <cell r="E3590"/>
          <cell r="F3590"/>
          <cell r="G3590"/>
          <cell r="H3590"/>
          <cell r="I3590"/>
          <cell r="J3590"/>
          <cell r="K3590"/>
          <cell r="L3590"/>
          <cell r="M3590"/>
          <cell r="N3590"/>
          <cell r="O3590"/>
        </row>
        <row r="3591">
          <cell r="A3591"/>
          <cell r="B3591"/>
          <cell r="C3591"/>
          <cell r="D3591"/>
          <cell r="E3591"/>
          <cell r="F3591"/>
          <cell r="G3591"/>
          <cell r="H3591"/>
          <cell r="I3591"/>
          <cell r="J3591"/>
          <cell r="K3591"/>
          <cell r="L3591"/>
          <cell r="M3591"/>
          <cell r="N3591"/>
          <cell r="O3591"/>
        </row>
        <row r="3592">
          <cell r="A3592"/>
          <cell r="B3592"/>
          <cell r="C3592"/>
          <cell r="D3592"/>
          <cell r="E3592"/>
          <cell r="F3592"/>
          <cell r="G3592"/>
          <cell r="H3592"/>
          <cell r="I3592"/>
          <cell r="J3592"/>
          <cell r="K3592"/>
          <cell r="L3592"/>
          <cell r="M3592"/>
          <cell r="N3592"/>
          <cell r="O3592"/>
        </row>
        <row r="3593">
          <cell r="A3593"/>
          <cell r="B3593"/>
          <cell r="C3593"/>
          <cell r="D3593"/>
          <cell r="E3593"/>
          <cell r="F3593"/>
          <cell r="G3593"/>
          <cell r="H3593"/>
          <cell r="I3593"/>
          <cell r="J3593"/>
          <cell r="K3593"/>
          <cell r="L3593"/>
          <cell r="M3593"/>
          <cell r="N3593"/>
          <cell r="O3593"/>
        </row>
        <row r="3594">
          <cell r="A3594"/>
          <cell r="B3594"/>
          <cell r="C3594"/>
          <cell r="D3594"/>
          <cell r="E3594"/>
          <cell r="F3594"/>
          <cell r="G3594"/>
          <cell r="H3594"/>
          <cell r="I3594"/>
          <cell r="J3594"/>
          <cell r="K3594"/>
          <cell r="L3594"/>
          <cell r="M3594"/>
          <cell r="N3594"/>
          <cell r="O3594"/>
        </row>
        <row r="3595">
          <cell r="A3595"/>
          <cell r="B3595"/>
          <cell r="C3595"/>
          <cell r="D3595"/>
          <cell r="E3595"/>
          <cell r="F3595"/>
          <cell r="G3595"/>
          <cell r="H3595"/>
          <cell r="I3595"/>
          <cell r="J3595"/>
          <cell r="K3595"/>
          <cell r="L3595"/>
          <cell r="M3595"/>
          <cell r="N3595"/>
          <cell r="O3595"/>
        </row>
        <row r="3596">
          <cell r="A3596"/>
          <cell r="B3596"/>
          <cell r="C3596"/>
          <cell r="D3596"/>
          <cell r="E3596"/>
          <cell r="F3596"/>
          <cell r="G3596"/>
          <cell r="H3596"/>
          <cell r="I3596"/>
          <cell r="J3596"/>
          <cell r="K3596"/>
          <cell r="L3596"/>
          <cell r="M3596"/>
          <cell r="N3596"/>
          <cell r="O3596"/>
        </row>
        <row r="3597">
          <cell r="A3597"/>
          <cell r="B3597"/>
          <cell r="C3597"/>
          <cell r="D3597"/>
          <cell r="E3597"/>
          <cell r="F3597"/>
          <cell r="G3597"/>
          <cell r="H3597"/>
          <cell r="I3597"/>
          <cell r="J3597"/>
          <cell r="K3597"/>
          <cell r="L3597"/>
          <cell r="M3597"/>
          <cell r="N3597"/>
          <cell r="O3597"/>
        </row>
        <row r="3598">
          <cell r="A3598"/>
          <cell r="B3598"/>
          <cell r="C3598"/>
          <cell r="D3598"/>
          <cell r="E3598"/>
          <cell r="F3598"/>
          <cell r="G3598"/>
          <cell r="H3598"/>
          <cell r="I3598"/>
          <cell r="J3598"/>
          <cell r="K3598"/>
          <cell r="L3598"/>
          <cell r="M3598"/>
          <cell r="N3598"/>
          <cell r="O3598"/>
        </row>
        <row r="3599">
          <cell r="A3599"/>
          <cell r="B3599"/>
          <cell r="C3599"/>
          <cell r="D3599"/>
          <cell r="E3599"/>
          <cell r="F3599"/>
          <cell r="G3599"/>
          <cell r="H3599"/>
          <cell r="I3599"/>
          <cell r="J3599"/>
          <cell r="K3599"/>
          <cell r="L3599"/>
          <cell r="M3599"/>
          <cell r="N3599"/>
          <cell r="O3599"/>
        </row>
        <row r="3600">
          <cell r="A3600"/>
          <cell r="B3600"/>
          <cell r="C3600"/>
          <cell r="D3600"/>
          <cell r="E3600"/>
          <cell r="F3600"/>
          <cell r="G3600"/>
          <cell r="H3600"/>
          <cell r="I3600"/>
          <cell r="J3600"/>
          <cell r="K3600"/>
          <cell r="L3600"/>
          <cell r="M3600"/>
          <cell r="N3600"/>
          <cell r="O3600"/>
        </row>
        <row r="3601">
          <cell r="A3601"/>
          <cell r="B3601"/>
          <cell r="C3601"/>
          <cell r="D3601"/>
          <cell r="E3601"/>
          <cell r="F3601"/>
          <cell r="G3601"/>
          <cell r="H3601"/>
          <cell r="I3601"/>
          <cell r="J3601"/>
          <cell r="K3601"/>
          <cell r="L3601"/>
          <cell r="M3601"/>
          <cell r="N3601"/>
          <cell r="O3601"/>
        </row>
        <row r="3602">
          <cell r="A3602"/>
          <cell r="B3602"/>
          <cell r="C3602"/>
          <cell r="D3602"/>
          <cell r="E3602"/>
          <cell r="F3602"/>
          <cell r="G3602"/>
          <cell r="H3602"/>
          <cell r="I3602"/>
          <cell r="J3602"/>
          <cell r="K3602"/>
          <cell r="L3602"/>
          <cell r="M3602"/>
          <cell r="N3602"/>
          <cell r="O3602"/>
        </row>
        <row r="3603">
          <cell r="A3603"/>
          <cell r="B3603"/>
          <cell r="C3603"/>
          <cell r="D3603"/>
          <cell r="E3603"/>
          <cell r="F3603"/>
          <cell r="G3603"/>
          <cell r="H3603"/>
          <cell r="I3603"/>
          <cell r="J3603"/>
          <cell r="K3603"/>
          <cell r="L3603"/>
          <cell r="M3603"/>
          <cell r="N3603"/>
          <cell r="O3603"/>
        </row>
        <row r="3604">
          <cell r="A3604"/>
          <cell r="B3604"/>
          <cell r="C3604"/>
          <cell r="D3604"/>
          <cell r="E3604"/>
          <cell r="F3604"/>
          <cell r="G3604"/>
          <cell r="H3604"/>
          <cell r="I3604"/>
          <cell r="J3604"/>
          <cell r="K3604"/>
          <cell r="L3604"/>
          <cell r="M3604"/>
          <cell r="N3604"/>
          <cell r="O3604"/>
        </row>
        <row r="3605">
          <cell r="A3605"/>
          <cell r="B3605"/>
          <cell r="C3605"/>
          <cell r="D3605"/>
          <cell r="E3605"/>
          <cell r="F3605"/>
          <cell r="G3605"/>
          <cell r="H3605"/>
          <cell r="I3605"/>
          <cell r="J3605"/>
          <cell r="K3605"/>
          <cell r="L3605"/>
          <cell r="M3605"/>
          <cell r="N3605"/>
          <cell r="O3605"/>
        </row>
        <row r="3606">
          <cell r="A3606"/>
          <cell r="B3606"/>
          <cell r="C3606"/>
          <cell r="D3606"/>
          <cell r="E3606"/>
          <cell r="F3606"/>
          <cell r="G3606"/>
          <cell r="H3606"/>
          <cell r="I3606"/>
          <cell r="J3606"/>
          <cell r="K3606"/>
          <cell r="L3606"/>
          <cell r="M3606"/>
          <cell r="N3606"/>
          <cell r="O3606"/>
        </row>
        <row r="3607">
          <cell r="A3607"/>
          <cell r="B3607"/>
          <cell r="C3607"/>
          <cell r="D3607"/>
          <cell r="E3607"/>
          <cell r="F3607"/>
          <cell r="G3607"/>
          <cell r="H3607"/>
          <cell r="I3607"/>
          <cell r="J3607"/>
          <cell r="K3607"/>
          <cell r="L3607"/>
          <cell r="M3607"/>
          <cell r="N3607"/>
          <cell r="O3607"/>
        </row>
        <row r="3608">
          <cell r="A3608"/>
          <cell r="B3608"/>
          <cell r="C3608"/>
          <cell r="D3608"/>
          <cell r="E3608"/>
          <cell r="F3608"/>
          <cell r="G3608"/>
          <cell r="H3608"/>
          <cell r="I3608"/>
          <cell r="J3608"/>
          <cell r="K3608"/>
          <cell r="L3608"/>
          <cell r="M3608"/>
          <cell r="N3608"/>
          <cell r="O3608"/>
        </row>
        <row r="3609">
          <cell r="A3609"/>
          <cell r="B3609"/>
          <cell r="C3609"/>
          <cell r="D3609"/>
          <cell r="E3609"/>
          <cell r="F3609"/>
          <cell r="G3609"/>
          <cell r="H3609"/>
          <cell r="I3609"/>
          <cell r="J3609"/>
          <cell r="K3609"/>
          <cell r="L3609"/>
          <cell r="M3609"/>
          <cell r="N3609"/>
          <cell r="O3609"/>
        </row>
        <row r="3610">
          <cell r="A3610"/>
          <cell r="B3610"/>
          <cell r="C3610"/>
          <cell r="D3610"/>
          <cell r="E3610"/>
          <cell r="F3610"/>
          <cell r="G3610"/>
          <cell r="H3610"/>
          <cell r="I3610"/>
          <cell r="J3610"/>
          <cell r="K3610"/>
          <cell r="L3610"/>
          <cell r="M3610"/>
          <cell r="N3610"/>
          <cell r="O3610"/>
        </row>
        <row r="3611">
          <cell r="A3611"/>
          <cell r="B3611"/>
          <cell r="C3611"/>
          <cell r="D3611"/>
          <cell r="E3611"/>
          <cell r="F3611"/>
          <cell r="G3611"/>
          <cell r="H3611"/>
          <cell r="I3611"/>
          <cell r="J3611"/>
          <cell r="K3611"/>
          <cell r="L3611"/>
          <cell r="M3611"/>
          <cell r="N3611"/>
          <cell r="O3611"/>
        </row>
        <row r="3612">
          <cell r="A3612"/>
          <cell r="B3612"/>
          <cell r="C3612"/>
          <cell r="D3612"/>
          <cell r="E3612"/>
          <cell r="F3612"/>
          <cell r="G3612"/>
          <cell r="H3612"/>
          <cell r="I3612"/>
          <cell r="J3612"/>
          <cell r="K3612"/>
          <cell r="L3612"/>
          <cell r="M3612"/>
          <cell r="N3612"/>
          <cell r="O3612"/>
        </row>
        <row r="3613">
          <cell r="A3613"/>
          <cell r="B3613"/>
          <cell r="C3613"/>
          <cell r="D3613"/>
          <cell r="E3613"/>
          <cell r="F3613"/>
          <cell r="G3613"/>
          <cell r="H3613"/>
          <cell r="I3613"/>
          <cell r="J3613"/>
          <cell r="K3613"/>
          <cell r="L3613"/>
          <cell r="M3613"/>
          <cell r="N3613"/>
          <cell r="O3613"/>
        </row>
        <row r="3614">
          <cell r="A3614"/>
          <cell r="B3614"/>
          <cell r="C3614"/>
          <cell r="D3614"/>
          <cell r="E3614"/>
          <cell r="F3614"/>
          <cell r="G3614"/>
          <cell r="H3614"/>
          <cell r="I3614"/>
          <cell r="J3614"/>
          <cell r="K3614"/>
          <cell r="L3614"/>
          <cell r="M3614"/>
          <cell r="N3614"/>
          <cell r="O3614"/>
        </row>
        <row r="3615">
          <cell r="A3615"/>
          <cell r="B3615"/>
          <cell r="C3615"/>
          <cell r="D3615"/>
          <cell r="E3615"/>
          <cell r="F3615"/>
          <cell r="G3615"/>
          <cell r="H3615"/>
          <cell r="I3615"/>
          <cell r="J3615"/>
          <cell r="K3615"/>
          <cell r="L3615"/>
          <cell r="M3615"/>
          <cell r="N3615"/>
          <cell r="O3615"/>
        </row>
        <row r="3616">
          <cell r="A3616"/>
          <cell r="B3616"/>
          <cell r="C3616"/>
          <cell r="D3616"/>
          <cell r="E3616"/>
          <cell r="F3616"/>
          <cell r="G3616"/>
          <cell r="H3616"/>
          <cell r="I3616"/>
          <cell r="J3616"/>
          <cell r="K3616"/>
          <cell r="L3616"/>
          <cell r="M3616"/>
          <cell r="N3616"/>
          <cell r="O3616"/>
        </row>
        <row r="3617">
          <cell r="A3617"/>
          <cell r="B3617"/>
          <cell r="C3617"/>
          <cell r="D3617"/>
          <cell r="E3617"/>
          <cell r="F3617"/>
          <cell r="G3617"/>
          <cell r="H3617"/>
          <cell r="I3617"/>
          <cell r="J3617"/>
          <cell r="K3617"/>
          <cell r="L3617"/>
          <cell r="M3617"/>
          <cell r="N3617"/>
          <cell r="O3617"/>
        </row>
        <row r="3618">
          <cell r="A3618"/>
          <cell r="B3618"/>
          <cell r="C3618"/>
          <cell r="D3618"/>
          <cell r="E3618"/>
          <cell r="F3618"/>
          <cell r="G3618"/>
          <cell r="H3618"/>
          <cell r="I3618"/>
          <cell r="J3618"/>
          <cell r="K3618"/>
          <cell r="L3618"/>
          <cell r="M3618"/>
          <cell r="N3618"/>
          <cell r="O3618"/>
        </row>
        <row r="3619">
          <cell r="A3619"/>
          <cell r="B3619"/>
          <cell r="C3619"/>
          <cell r="D3619"/>
          <cell r="E3619"/>
          <cell r="F3619"/>
          <cell r="G3619"/>
          <cell r="H3619"/>
          <cell r="I3619"/>
          <cell r="J3619"/>
          <cell r="K3619"/>
          <cell r="L3619"/>
          <cell r="M3619"/>
          <cell r="N3619"/>
          <cell r="O3619"/>
        </row>
        <row r="3620">
          <cell r="A3620"/>
          <cell r="B3620"/>
          <cell r="C3620"/>
          <cell r="D3620"/>
          <cell r="E3620"/>
          <cell r="F3620"/>
          <cell r="G3620"/>
          <cell r="H3620"/>
          <cell r="I3620"/>
          <cell r="J3620"/>
          <cell r="K3620"/>
          <cell r="L3620"/>
          <cell r="M3620"/>
          <cell r="N3620"/>
          <cell r="O3620"/>
        </row>
        <row r="3621">
          <cell r="A3621"/>
          <cell r="B3621"/>
          <cell r="C3621"/>
          <cell r="D3621"/>
          <cell r="E3621"/>
          <cell r="F3621"/>
          <cell r="G3621"/>
          <cell r="H3621"/>
          <cell r="I3621"/>
          <cell r="J3621"/>
          <cell r="K3621"/>
          <cell r="L3621"/>
          <cell r="M3621"/>
          <cell r="N3621"/>
          <cell r="O3621"/>
        </row>
        <row r="3622">
          <cell r="A3622"/>
          <cell r="B3622"/>
          <cell r="C3622"/>
          <cell r="D3622"/>
          <cell r="E3622"/>
          <cell r="F3622"/>
          <cell r="G3622"/>
          <cell r="H3622"/>
          <cell r="I3622"/>
          <cell r="J3622"/>
          <cell r="K3622"/>
          <cell r="L3622"/>
          <cell r="M3622"/>
          <cell r="N3622"/>
          <cell r="O3622"/>
        </row>
        <row r="3623">
          <cell r="A3623"/>
          <cell r="B3623"/>
          <cell r="C3623"/>
          <cell r="D3623"/>
          <cell r="E3623"/>
          <cell r="F3623"/>
          <cell r="G3623"/>
          <cell r="H3623"/>
          <cell r="I3623"/>
          <cell r="J3623"/>
          <cell r="K3623"/>
          <cell r="L3623"/>
          <cell r="M3623"/>
          <cell r="N3623"/>
          <cell r="O3623"/>
        </row>
        <row r="3624">
          <cell r="A3624"/>
          <cell r="B3624"/>
          <cell r="C3624"/>
          <cell r="D3624"/>
          <cell r="E3624"/>
          <cell r="F3624"/>
          <cell r="G3624"/>
          <cell r="H3624"/>
          <cell r="I3624"/>
          <cell r="J3624"/>
          <cell r="K3624"/>
          <cell r="L3624"/>
          <cell r="M3624"/>
          <cell r="N3624"/>
          <cell r="O3624"/>
        </row>
        <row r="3625">
          <cell r="A3625"/>
          <cell r="B3625"/>
          <cell r="C3625"/>
          <cell r="D3625"/>
          <cell r="E3625"/>
          <cell r="F3625"/>
          <cell r="G3625"/>
          <cell r="H3625"/>
          <cell r="I3625"/>
          <cell r="J3625"/>
          <cell r="K3625"/>
          <cell r="L3625"/>
          <cell r="M3625"/>
          <cell r="N3625"/>
          <cell r="O3625"/>
        </row>
        <row r="3626">
          <cell r="A3626"/>
          <cell r="B3626"/>
          <cell r="C3626"/>
          <cell r="D3626"/>
          <cell r="E3626"/>
          <cell r="F3626"/>
          <cell r="G3626"/>
          <cell r="H3626"/>
          <cell r="I3626"/>
          <cell r="J3626"/>
          <cell r="K3626"/>
          <cell r="L3626"/>
          <cell r="M3626"/>
          <cell r="N3626"/>
          <cell r="O3626"/>
        </row>
        <row r="3627">
          <cell r="A3627"/>
          <cell r="B3627"/>
          <cell r="C3627"/>
          <cell r="D3627"/>
          <cell r="E3627"/>
          <cell r="F3627"/>
          <cell r="G3627"/>
          <cell r="H3627"/>
          <cell r="I3627"/>
          <cell r="J3627"/>
          <cell r="K3627"/>
          <cell r="L3627"/>
          <cell r="M3627"/>
          <cell r="N3627"/>
          <cell r="O3627"/>
        </row>
        <row r="3628">
          <cell r="A3628"/>
          <cell r="B3628"/>
          <cell r="C3628"/>
          <cell r="D3628"/>
          <cell r="E3628"/>
          <cell r="F3628"/>
          <cell r="G3628"/>
          <cell r="H3628"/>
          <cell r="I3628"/>
          <cell r="J3628"/>
          <cell r="K3628"/>
          <cell r="L3628"/>
          <cell r="M3628"/>
          <cell r="N3628"/>
          <cell r="O3628"/>
        </row>
        <row r="3629">
          <cell r="A3629"/>
          <cell r="B3629"/>
          <cell r="C3629"/>
          <cell r="D3629"/>
          <cell r="E3629"/>
          <cell r="F3629"/>
          <cell r="G3629"/>
          <cell r="H3629"/>
          <cell r="I3629"/>
          <cell r="J3629"/>
          <cell r="K3629"/>
          <cell r="L3629"/>
          <cell r="M3629"/>
          <cell r="N3629"/>
          <cell r="O3629"/>
        </row>
        <row r="3630">
          <cell r="A3630"/>
          <cell r="B3630"/>
          <cell r="C3630"/>
          <cell r="D3630"/>
          <cell r="E3630"/>
          <cell r="F3630"/>
          <cell r="G3630"/>
          <cell r="H3630"/>
          <cell r="I3630"/>
          <cell r="J3630"/>
          <cell r="K3630"/>
          <cell r="L3630"/>
          <cell r="M3630"/>
          <cell r="N3630"/>
          <cell r="O3630"/>
        </row>
        <row r="3631">
          <cell r="A3631"/>
          <cell r="B3631"/>
          <cell r="C3631"/>
          <cell r="D3631"/>
          <cell r="E3631"/>
          <cell r="F3631"/>
          <cell r="G3631"/>
          <cell r="H3631"/>
          <cell r="I3631"/>
          <cell r="J3631"/>
          <cell r="K3631"/>
          <cell r="L3631"/>
          <cell r="M3631"/>
          <cell r="N3631"/>
          <cell r="O3631"/>
        </row>
        <row r="3632">
          <cell r="A3632"/>
          <cell r="B3632"/>
          <cell r="C3632"/>
          <cell r="D3632"/>
          <cell r="E3632"/>
          <cell r="F3632"/>
          <cell r="G3632"/>
          <cell r="H3632"/>
          <cell r="I3632"/>
          <cell r="J3632"/>
          <cell r="K3632"/>
          <cell r="L3632"/>
          <cell r="M3632"/>
          <cell r="N3632"/>
          <cell r="O3632"/>
        </row>
        <row r="3633">
          <cell r="A3633"/>
          <cell r="B3633"/>
          <cell r="C3633"/>
          <cell r="D3633"/>
          <cell r="E3633"/>
          <cell r="F3633"/>
          <cell r="G3633"/>
          <cell r="H3633"/>
          <cell r="I3633"/>
          <cell r="J3633"/>
          <cell r="K3633"/>
          <cell r="L3633"/>
          <cell r="M3633"/>
          <cell r="N3633"/>
          <cell r="O3633"/>
        </row>
        <row r="3634">
          <cell r="A3634"/>
          <cell r="B3634"/>
          <cell r="C3634"/>
          <cell r="D3634"/>
          <cell r="E3634"/>
          <cell r="F3634"/>
          <cell r="G3634"/>
          <cell r="H3634"/>
          <cell r="I3634"/>
          <cell r="J3634"/>
          <cell r="K3634"/>
          <cell r="L3634"/>
          <cell r="M3634"/>
          <cell r="N3634"/>
          <cell r="O3634"/>
        </row>
        <row r="3635">
          <cell r="A3635"/>
          <cell r="B3635"/>
          <cell r="C3635"/>
          <cell r="D3635"/>
          <cell r="E3635"/>
          <cell r="F3635"/>
          <cell r="G3635"/>
          <cell r="H3635"/>
          <cell r="I3635"/>
          <cell r="J3635"/>
          <cell r="K3635"/>
          <cell r="L3635"/>
          <cell r="M3635"/>
          <cell r="N3635"/>
          <cell r="O3635"/>
        </row>
        <row r="3636">
          <cell r="A3636"/>
          <cell r="B3636"/>
          <cell r="C3636"/>
          <cell r="D3636"/>
          <cell r="E3636"/>
          <cell r="F3636"/>
          <cell r="G3636"/>
          <cell r="H3636"/>
          <cell r="I3636"/>
          <cell r="J3636"/>
          <cell r="K3636"/>
          <cell r="L3636"/>
          <cell r="M3636"/>
          <cell r="N3636"/>
          <cell r="O3636"/>
        </row>
        <row r="3637">
          <cell r="A3637"/>
          <cell r="B3637"/>
          <cell r="C3637"/>
          <cell r="D3637"/>
          <cell r="E3637"/>
          <cell r="F3637"/>
          <cell r="G3637"/>
          <cell r="H3637"/>
          <cell r="I3637"/>
          <cell r="J3637"/>
          <cell r="K3637"/>
          <cell r="L3637"/>
          <cell r="M3637"/>
          <cell r="N3637"/>
          <cell r="O3637"/>
        </row>
        <row r="3638">
          <cell r="A3638"/>
          <cell r="B3638"/>
          <cell r="C3638"/>
          <cell r="D3638"/>
          <cell r="E3638"/>
          <cell r="F3638"/>
          <cell r="G3638"/>
          <cell r="H3638"/>
          <cell r="I3638"/>
          <cell r="J3638"/>
          <cell r="K3638"/>
          <cell r="L3638"/>
          <cell r="M3638"/>
          <cell r="N3638"/>
          <cell r="O3638"/>
        </row>
        <row r="3639">
          <cell r="A3639"/>
          <cell r="B3639"/>
          <cell r="C3639"/>
          <cell r="D3639"/>
          <cell r="E3639"/>
          <cell r="F3639"/>
          <cell r="G3639"/>
          <cell r="H3639"/>
          <cell r="I3639"/>
          <cell r="J3639"/>
          <cell r="K3639"/>
          <cell r="L3639"/>
          <cell r="M3639"/>
          <cell r="N3639"/>
          <cell r="O3639"/>
        </row>
        <row r="3640">
          <cell r="A3640"/>
          <cell r="B3640"/>
          <cell r="C3640"/>
          <cell r="D3640"/>
          <cell r="E3640"/>
          <cell r="F3640"/>
          <cell r="G3640"/>
          <cell r="H3640"/>
          <cell r="I3640"/>
          <cell r="J3640"/>
          <cell r="K3640"/>
          <cell r="L3640"/>
          <cell r="M3640"/>
          <cell r="N3640"/>
          <cell r="O3640"/>
        </row>
        <row r="3641">
          <cell r="A3641"/>
          <cell r="B3641"/>
          <cell r="C3641"/>
          <cell r="D3641"/>
          <cell r="E3641"/>
          <cell r="F3641"/>
          <cell r="G3641"/>
          <cell r="H3641"/>
          <cell r="I3641"/>
          <cell r="J3641"/>
          <cell r="K3641"/>
          <cell r="L3641"/>
          <cell r="M3641"/>
          <cell r="N3641"/>
          <cell r="O3641"/>
        </row>
        <row r="3642">
          <cell r="A3642"/>
          <cell r="B3642"/>
          <cell r="C3642"/>
          <cell r="D3642"/>
          <cell r="E3642"/>
          <cell r="F3642"/>
          <cell r="G3642"/>
          <cell r="H3642"/>
          <cell r="I3642"/>
          <cell r="J3642"/>
          <cell r="K3642"/>
          <cell r="L3642"/>
          <cell r="M3642"/>
          <cell r="N3642"/>
          <cell r="O3642"/>
        </row>
        <row r="3643">
          <cell r="A3643"/>
          <cell r="B3643"/>
          <cell r="C3643"/>
          <cell r="D3643"/>
          <cell r="E3643"/>
          <cell r="F3643"/>
          <cell r="G3643"/>
          <cell r="H3643"/>
          <cell r="I3643"/>
          <cell r="J3643"/>
          <cell r="K3643"/>
          <cell r="L3643"/>
          <cell r="M3643"/>
          <cell r="N3643"/>
          <cell r="O3643"/>
        </row>
        <row r="3644">
          <cell r="A3644"/>
          <cell r="B3644"/>
          <cell r="C3644"/>
          <cell r="D3644"/>
          <cell r="E3644"/>
          <cell r="F3644"/>
          <cell r="G3644"/>
          <cell r="H3644"/>
          <cell r="I3644"/>
          <cell r="J3644"/>
          <cell r="K3644"/>
          <cell r="L3644"/>
          <cell r="M3644"/>
          <cell r="N3644"/>
          <cell r="O3644"/>
        </row>
        <row r="3645">
          <cell r="A3645"/>
          <cell r="B3645"/>
          <cell r="C3645"/>
          <cell r="D3645"/>
          <cell r="E3645"/>
          <cell r="F3645"/>
          <cell r="G3645"/>
          <cell r="H3645"/>
          <cell r="I3645"/>
          <cell r="J3645"/>
          <cell r="K3645"/>
          <cell r="L3645"/>
          <cell r="M3645"/>
          <cell r="N3645"/>
          <cell r="O3645"/>
        </row>
        <row r="3646">
          <cell r="A3646"/>
          <cell r="B3646"/>
          <cell r="C3646"/>
          <cell r="D3646"/>
          <cell r="E3646"/>
          <cell r="F3646"/>
          <cell r="G3646"/>
          <cell r="H3646"/>
          <cell r="I3646"/>
          <cell r="J3646"/>
          <cell r="K3646"/>
          <cell r="L3646"/>
          <cell r="M3646"/>
          <cell r="N3646"/>
          <cell r="O3646"/>
        </row>
        <row r="3647">
          <cell r="A3647"/>
          <cell r="B3647"/>
          <cell r="C3647"/>
          <cell r="D3647"/>
          <cell r="E3647"/>
          <cell r="F3647"/>
          <cell r="G3647"/>
          <cell r="H3647"/>
          <cell r="I3647"/>
          <cell r="J3647"/>
          <cell r="K3647"/>
          <cell r="L3647"/>
          <cell r="M3647"/>
          <cell r="N3647"/>
          <cell r="O3647"/>
        </row>
        <row r="3648">
          <cell r="A3648"/>
          <cell r="B3648"/>
          <cell r="C3648"/>
          <cell r="D3648"/>
          <cell r="E3648"/>
          <cell r="F3648"/>
          <cell r="G3648"/>
          <cell r="H3648"/>
          <cell r="I3648"/>
          <cell r="J3648"/>
          <cell r="K3648"/>
          <cell r="L3648"/>
          <cell r="M3648"/>
          <cell r="N3648"/>
          <cell r="O3648"/>
        </row>
        <row r="3649">
          <cell r="A3649"/>
          <cell r="B3649"/>
          <cell r="C3649"/>
          <cell r="D3649"/>
          <cell r="E3649"/>
          <cell r="F3649"/>
          <cell r="G3649"/>
          <cell r="H3649"/>
          <cell r="I3649"/>
          <cell r="J3649"/>
          <cell r="K3649"/>
          <cell r="L3649"/>
          <cell r="M3649"/>
          <cell r="N3649"/>
          <cell r="O3649"/>
        </row>
        <row r="3650">
          <cell r="A3650"/>
          <cell r="B3650"/>
          <cell r="C3650"/>
          <cell r="D3650"/>
          <cell r="E3650"/>
          <cell r="F3650"/>
          <cell r="G3650"/>
          <cell r="H3650"/>
          <cell r="I3650"/>
          <cell r="J3650"/>
          <cell r="K3650"/>
          <cell r="L3650"/>
          <cell r="M3650"/>
          <cell r="N3650"/>
          <cell r="O3650"/>
        </row>
        <row r="3651">
          <cell r="A3651"/>
          <cell r="B3651"/>
          <cell r="C3651"/>
          <cell r="D3651"/>
          <cell r="E3651"/>
          <cell r="F3651"/>
          <cell r="G3651"/>
          <cell r="H3651"/>
          <cell r="I3651"/>
          <cell r="J3651"/>
          <cell r="K3651"/>
          <cell r="L3651"/>
          <cell r="M3651"/>
          <cell r="N3651"/>
          <cell r="O3651"/>
        </row>
        <row r="3652">
          <cell r="A3652"/>
          <cell r="B3652"/>
          <cell r="C3652"/>
          <cell r="D3652"/>
          <cell r="E3652"/>
          <cell r="F3652"/>
          <cell r="G3652"/>
          <cell r="H3652"/>
          <cell r="I3652"/>
          <cell r="J3652"/>
          <cell r="K3652"/>
          <cell r="L3652"/>
          <cell r="M3652"/>
          <cell r="N3652"/>
          <cell r="O3652"/>
        </row>
        <row r="3653">
          <cell r="A3653"/>
          <cell r="B3653"/>
          <cell r="C3653"/>
          <cell r="D3653"/>
          <cell r="E3653"/>
          <cell r="F3653"/>
          <cell r="G3653"/>
          <cell r="H3653"/>
          <cell r="I3653"/>
          <cell r="J3653"/>
          <cell r="K3653"/>
          <cell r="L3653"/>
          <cell r="M3653"/>
          <cell r="N3653"/>
          <cell r="O3653"/>
        </row>
        <row r="3654">
          <cell r="A3654"/>
          <cell r="B3654"/>
          <cell r="C3654"/>
          <cell r="D3654"/>
          <cell r="E3654"/>
          <cell r="F3654"/>
          <cell r="G3654"/>
          <cell r="H3654"/>
          <cell r="I3654"/>
          <cell r="J3654"/>
          <cell r="K3654"/>
          <cell r="L3654"/>
          <cell r="M3654"/>
          <cell r="N3654"/>
          <cell r="O3654"/>
        </row>
        <row r="3655">
          <cell r="A3655"/>
          <cell r="B3655"/>
          <cell r="C3655"/>
          <cell r="D3655"/>
          <cell r="E3655"/>
          <cell r="F3655"/>
          <cell r="G3655"/>
          <cell r="H3655"/>
          <cell r="I3655"/>
          <cell r="J3655"/>
          <cell r="K3655"/>
          <cell r="L3655"/>
          <cell r="M3655"/>
          <cell r="N3655"/>
          <cell r="O3655"/>
        </row>
        <row r="3656">
          <cell r="A3656"/>
          <cell r="B3656"/>
          <cell r="C3656"/>
          <cell r="D3656"/>
          <cell r="E3656"/>
          <cell r="F3656"/>
          <cell r="G3656"/>
          <cell r="H3656"/>
          <cell r="I3656"/>
          <cell r="J3656"/>
          <cell r="K3656"/>
          <cell r="L3656"/>
          <cell r="M3656"/>
          <cell r="N3656"/>
          <cell r="O3656"/>
        </row>
        <row r="3657">
          <cell r="A3657"/>
          <cell r="B3657"/>
          <cell r="C3657"/>
          <cell r="D3657"/>
          <cell r="E3657"/>
          <cell r="F3657"/>
          <cell r="G3657"/>
          <cell r="H3657"/>
          <cell r="I3657"/>
          <cell r="J3657"/>
          <cell r="K3657"/>
          <cell r="L3657"/>
          <cell r="M3657"/>
          <cell r="N3657"/>
          <cell r="O3657"/>
        </row>
        <row r="3658">
          <cell r="A3658"/>
          <cell r="B3658"/>
          <cell r="C3658"/>
          <cell r="D3658"/>
          <cell r="E3658"/>
          <cell r="F3658"/>
          <cell r="G3658"/>
          <cell r="H3658"/>
          <cell r="I3658"/>
          <cell r="J3658"/>
          <cell r="K3658"/>
          <cell r="L3658"/>
          <cell r="M3658"/>
          <cell r="N3658"/>
          <cell r="O3658"/>
        </row>
        <row r="3659">
          <cell r="A3659"/>
          <cell r="B3659"/>
          <cell r="C3659"/>
          <cell r="D3659"/>
          <cell r="E3659"/>
          <cell r="F3659"/>
          <cell r="G3659"/>
          <cell r="H3659"/>
          <cell r="I3659"/>
          <cell r="J3659"/>
          <cell r="K3659"/>
          <cell r="L3659"/>
          <cell r="M3659"/>
          <cell r="N3659"/>
          <cell r="O3659"/>
        </row>
        <row r="3660">
          <cell r="A3660"/>
          <cell r="B3660"/>
          <cell r="C3660"/>
          <cell r="D3660"/>
          <cell r="E3660"/>
          <cell r="F3660"/>
          <cell r="G3660"/>
          <cell r="H3660"/>
          <cell r="I3660"/>
          <cell r="J3660"/>
          <cell r="K3660"/>
          <cell r="L3660"/>
          <cell r="M3660"/>
          <cell r="N3660"/>
          <cell r="O3660"/>
        </row>
        <row r="3661">
          <cell r="A3661"/>
          <cell r="B3661"/>
          <cell r="C3661"/>
          <cell r="D3661"/>
          <cell r="E3661"/>
          <cell r="F3661"/>
          <cell r="G3661"/>
          <cell r="H3661"/>
          <cell r="I3661"/>
          <cell r="J3661"/>
          <cell r="K3661"/>
          <cell r="L3661"/>
          <cell r="M3661"/>
          <cell r="N3661"/>
          <cell r="O3661"/>
        </row>
        <row r="3662">
          <cell r="A3662"/>
          <cell r="B3662"/>
          <cell r="C3662"/>
          <cell r="D3662"/>
          <cell r="E3662"/>
          <cell r="F3662"/>
          <cell r="G3662"/>
          <cell r="H3662"/>
          <cell r="I3662"/>
          <cell r="J3662"/>
          <cell r="K3662"/>
          <cell r="L3662"/>
          <cell r="M3662"/>
          <cell r="N3662"/>
          <cell r="O3662"/>
        </row>
        <row r="3663">
          <cell r="A3663"/>
          <cell r="B3663"/>
          <cell r="C3663"/>
          <cell r="D3663"/>
          <cell r="E3663"/>
          <cell r="F3663"/>
          <cell r="G3663"/>
          <cell r="H3663"/>
          <cell r="I3663"/>
          <cell r="J3663"/>
          <cell r="K3663"/>
          <cell r="L3663"/>
          <cell r="M3663"/>
          <cell r="N3663"/>
          <cell r="O3663"/>
        </row>
        <row r="3664">
          <cell r="A3664"/>
          <cell r="B3664"/>
          <cell r="C3664"/>
          <cell r="D3664"/>
          <cell r="E3664"/>
          <cell r="F3664"/>
          <cell r="G3664"/>
          <cell r="H3664"/>
          <cell r="I3664"/>
          <cell r="J3664"/>
          <cell r="K3664"/>
          <cell r="L3664"/>
          <cell r="M3664"/>
          <cell r="N3664"/>
          <cell r="O3664"/>
        </row>
        <row r="3665">
          <cell r="A3665"/>
          <cell r="B3665"/>
          <cell r="C3665"/>
          <cell r="D3665"/>
          <cell r="E3665"/>
          <cell r="F3665"/>
          <cell r="G3665"/>
          <cell r="H3665"/>
          <cell r="I3665"/>
          <cell r="J3665"/>
          <cell r="K3665"/>
          <cell r="L3665"/>
          <cell r="M3665"/>
          <cell r="N3665"/>
          <cell r="O3665"/>
        </row>
        <row r="3666">
          <cell r="A3666"/>
          <cell r="B3666"/>
          <cell r="C3666"/>
          <cell r="D3666"/>
          <cell r="E3666"/>
          <cell r="F3666"/>
          <cell r="G3666"/>
          <cell r="H3666"/>
          <cell r="I3666"/>
          <cell r="J3666"/>
          <cell r="K3666"/>
          <cell r="L3666"/>
          <cell r="M3666"/>
          <cell r="N3666"/>
          <cell r="O3666"/>
        </row>
        <row r="3667">
          <cell r="A3667"/>
          <cell r="B3667"/>
          <cell r="C3667"/>
          <cell r="D3667"/>
          <cell r="E3667"/>
          <cell r="F3667"/>
          <cell r="G3667"/>
          <cell r="H3667"/>
          <cell r="I3667"/>
          <cell r="J3667"/>
          <cell r="K3667"/>
          <cell r="L3667"/>
          <cell r="M3667"/>
          <cell r="N3667"/>
          <cell r="O3667"/>
        </row>
        <row r="3668">
          <cell r="A3668"/>
          <cell r="B3668"/>
          <cell r="C3668"/>
          <cell r="D3668"/>
          <cell r="E3668"/>
          <cell r="F3668"/>
          <cell r="G3668"/>
          <cell r="H3668"/>
          <cell r="I3668"/>
          <cell r="J3668"/>
          <cell r="K3668"/>
          <cell r="L3668"/>
          <cell r="M3668"/>
          <cell r="N3668"/>
          <cell r="O3668"/>
        </row>
        <row r="3669">
          <cell r="A3669"/>
          <cell r="B3669"/>
          <cell r="C3669"/>
          <cell r="D3669"/>
          <cell r="E3669"/>
          <cell r="F3669"/>
          <cell r="G3669"/>
          <cell r="H3669"/>
          <cell r="I3669"/>
          <cell r="J3669"/>
          <cell r="K3669"/>
          <cell r="L3669"/>
          <cell r="M3669"/>
          <cell r="N3669"/>
          <cell r="O3669"/>
        </row>
        <row r="3670">
          <cell r="A3670"/>
          <cell r="B3670"/>
          <cell r="C3670"/>
          <cell r="D3670"/>
          <cell r="E3670"/>
          <cell r="F3670"/>
          <cell r="G3670"/>
          <cell r="H3670"/>
          <cell r="I3670"/>
          <cell r="J3670"/>
          <cell r="K3670"/>
          <cell r="L3670"/>
          <cell r="M3670"/>
          <cell r="N3670"/>
          <cell r="O3670"/>
        </row>
        <row r="3671">
          <cell r="A3671"/>
          <cell r="B3671"/>
          <cell r="C3671"/>
          <cell r="D3671"/>
          <cell r="E3671"/>
          <cell r="F3671"/>
          <cell r="G3671"/>
          <cell r="H3671"/>
          <cell r="I3671"/>
          <cell r="J3671"/>
          <cell r="K3671"/>
          <cell r="L3671"/>
          <cell r="M3671"/>
          <cell r="N3671"/>
          <cell r="O3671"/>
        </row>
        <row r="3672">
          <cell r="A3672"/>
          <cell r="B3672"/>
          <cell r="C3672"/>
          <cell r="D3672"/>
          <cell r="E3672"/>
          <cell r="F3672"/>
          <cell r="G3672"/>
          <cell r="H3672"/>
          <cell r="I3672"/>
          <cell r="J3672"/>
          <cell r="K3672"/>
          <cell r="L3672"/>
          <cell r="M3672"/>
          <cell r="N3672"/>
          <cell r="O3672"/>
        </row>
        <row r="3673">
          <cell r="A3673"/>
          <cell r="B3673"/>
          <cell r="C3673"/>
          <cell r="D3673"/>
          <cell r="E3673"/>
          <cell r="F3673"/>
          <cell r="G3673"/>
          <cell r="H3673"/>
          <cell r="I3673"/>
          <cell r="J3673"/>
          <cell r="K3673"/>
          <cell r="L3673"/>
          <cell r="M3673"/>
          <cell r="N3673"/>
          <cell r="O3673"/>
        </row>
        <row r="3674">
          <cell r="A3674"/>
          <cell r="B3674"/>
          <cell r="C3674"/>
          <cell r="D3674"/>
          <cell r="E3674"/>
          <cell r="F3674"/>
          <cell r="G3674"/>
          <cell r="H3674"/>
          <cell r="I3674"/>
          <cell r="J3674"/>
          <cell r="K3674"/>
          <cell r="L3674"/>
          <cell r="M3674"/>
          <cell r="N3674"/>
          <cell r="O3674"/>
        </row>
        <row r="3675">
          <cell r="A3675"/>
          <cell r="B3675"/>
          <cell r="C3675"/>
          <cell r="D3675"/>
          <cell r="E3675"/>
          <cell r="F3675"/>
          <cell r="G3675"/>
          <cell r="H3675"/>
          <cell r="I3675"/>
          <cell r="J3675"/>
          <cell r="K3675"/>
          <cell r="L3675"/>
          <cell r="M3675"/>
          <cell r="N3675"/>
          <cell r="O3675"/>
        </row>
        <row r="3676">
          <cell r="A3676"/>
          <cell r="B3676"/>
          <cell r="C3676"/>
          <cell r="D3676"/>
          <cell r="E3676"/>
          <cell r="F3676"/>
          <cell r="G3676"/>
          <cell r="H3676"/>
          <cell r="I3676"/>
          <cell r="J3676"/>
          <cell r="K3676"/>
          <cell r="L3676"/>
          <cell r="M3676"/>
          <cell r="N3676"/>
          <cell r="O3676"/>
        </row>
        <row r="3677">
          <cell r="A3677"/>
          <cell r="B3677"/>
          <cell r="C3677"/>
          <cell r="D3677"/>
          <cell r="E3677"/>
          <cell r="F3677"/>
          <cell r="G3677"/>
          <cell r="H3677"/>
          <cell r="I3677"/>
          <cell r="J3677"/>
          <cell r="K3677"/>
          <cell r="L3677"/>
          <cell r="M3677"/>
          <cell r="N3677"/>
          <cell r="O3677"/>
        </row>
        <row r="3678">
          <cell r="A3678"/>
          <cell r="B3678"/>
          <cell r="C3678"/>
          <cell r="D3678"/>
          <cell r="E3678"/>
          <cell r="F3678"/>
          <cell r="G3678"/>
          <cell r="H3678"/>
          <cell r="I3678"/>
          <cell r="J3678"/>
          <cell r="K3678"/>
          <cell r="L3678"/>
          <cell r="M3678"/>
          <cell r="N3678"/>
          <cell r="O3678"/>
        </row>
        <row r="3679">
          <cell r="A3679"/>
          <cell r="B3679"/>
          <cell r="C3679"/>
          <cell r="D3679"/>
          <cell r="E3679"/>
          <cell r="F3679"/>
          <cell r="G3679"/>
          <cell r="H3679"/>
          <cell r="I3679"/>
          <cell r="J3679"/>
          <cell r="K3679"/>
          <cell r="L3679"/>
          <cell r="M3679"/>
          <cell r="N3679"/>
          <cell r="O3679"/>
        </row>
        <row r="3680">
          <cell r="A3680"/>
          <cell r="B3680"/>
          <cell r="C3680"/>
          <cell r="D3680"/>
          <cell r="E3680"/>
          <cell r="F3680"/>
          <cell r="G3680"/>
          <cell r="H3680"/>
          <cell r="I3680"/>
          <cell r="J3680"/>
          <cell r="K3680"/>
          <cell r="L3680"/>
          <cell r="M3680"/>
          <cell r="N3680"/>
          <cell r="O3680"/>
        </row>
        <row r="3681">
          <cell r="A3681"/>
          <cell r="B3681"/>
          <cell r="C3681"/>
          <cell r="D3681"/>
          <cell r="E3681"/>
          <cell r="F3681"/>
          <cell r="G3681"/>
          <cell r="H3681"/>
          <cell r="I3681"/>
          <cell r="J3681"/>
          <cell r="K3681"/>
          <cell r="L3681"/>
          <cell r="M3681"/>
          <cell r="N3681"/>
          <cell r="O3681"/>
        </row>
        <row r="3682">
          <cell r="A3682"/>
          <cell r="B3682"/>
          <cell r="C3682"/>
          <cell r="D3682"/>
          <cell r="E3682"/>
          <cell r="F3682"/>
          <cell r="G3682"/>
          <cell r="H3682"/>
          <cell r="I3682"/>
          <cell r="J3682"/>
          <cell r="K3682"/>
          <cell r="L3682"/>
          <cell r="M3682"/>
          <cell r="N3682"/>
          <cell r="O3682"/>
        </row>
        <row r="3683">
          <cell r="A3683"/>
          <cell r="B3683"/>
          <cell r="C3683"/>
          <cell r="D3683"/>
          <cell r="E3683"/>
          <cell r="F3683"/>
          <cell r="G3683"/>
          <cell r="H3683"/>
          <cell r="I3683"/>
          <cell r="J3683"/>
          <cell r="K3683"/>
          <cell r="L3683"/>
          <cell r="M3683"/>
          <cell r="N3683"/>
          <cell r="O3683"/>
        </row>
        <row r="3684">
          <cell r="A3684"/>
          <cell r="B3684"/>
          <cell r="C3684"/>
          <cell r="D3684"/>
          <cell r="E3684"/>
          <cell r="F3684"/>
          <cell r="G3684"/>
          <cell r="H3684"/>
          <cell r="I3684"/>
          <cell r="J3684"/>
          <cell r="K3684"/>
          <cell r="L3684"/>
          <cell r="M3684"/>
          <cell r="N3684"/>
          <cell r="O3684"/>
        </row>
        <row r="3685">
          <cell r="A3685"/>
          <cell r="B3685"/>
          <cell r="C3685"/>
          <cell r="D3685"/>
          <cell r="E3685"/>
          <cell r="F3685"/>
          <cell r="G3685"/>
          <cell r="H3685"/>
          <cell r="I3685"/>
          <cell r="J3685"/>
          <cell r="K3685"/>
          <cell r="L3685"/>
          <cell r="M3685"/>
          <cell r="N3685"/>
          <cell r="O3685"/>
        </row>
        <row r="3686">
          <cell r="A3686"/>
          <cell r="B3686"/>
          <cell r="C3686"/>
          <cell r="D3686"/>
          <cell r="E3686"/>
          <cell r="F3686"/>
          <cell r="G3686"/>
          <cell r="H3686"/>
          <cell r="I3686"/>
          <cell r="J3686"/>
          <cell r="K3686"/>
          <cell r="L3686"/>
          <cell r="M3686"/>
          <cell r="N3686"/>
          <cell r="O3686"/>
        </row>
        <row r="3687">
          <cell r="A3687"/>
          <cell r="B3687"/>
          <cell r="C3687"/>
          <cell r="D3687"/>
          <cell r="E3687"/>
          <cell r="F3687"/>
          <cell r="G3687"/>
          <cell r="H3687"/>
          <cell r="I3687"/>
          <cell r="J3687"/>
          <cell r="K3687"/>
          <cell r="L3687"/>
          <cell r="M3687"/>
          <cell r="N3687"/>
          <cell r="O3687"/>
        </row>
        <row r="3688">
          <cell r="A3688"/>
          <cell r="B3688"/>
          <cell r="C3688"/>
          <cell r="D3688"/>
          <cell r="E3688"/>
          <cell r="F3688"/>
          <cell r="G3688"/>
          <cell r="H3688"/>
          <cell r="I3688"/>
          <cell r="J3688"/>
          <cell r="K3688"/>
          <cell r="L3688"/>
          <cell r="M3688"/>
          <cell r="N3688"/>
          <cell r="O3688"/>
        </row>
        <row r="3689">
          <cell r="A3689"/>
          <cell r="B3689"/>
          <cell r="C3689"/>
          <cell r="D3689"/>
          <cell r="E3689"/>
          <cell r="F3689"/>
          <cell r="G3689"/>
          <cell r="H3689"/>
          <cell r="I3689"/>
          <cell r="J3689"/>
          <cell r="K3689"/>
          <cell r="L3689"/>
          <cell r="M3689"/>
          <cell r="N3689"/>
          <cell r="O3689"/>
        </row>
        <row r="3690">
          <cell r="A3690"/>
          <cell r="B3690"/>
          <cell r="C3690"/>
          <cell r="D3690"/>
          <cell r="E3690"/>
          <cell r="F3690"/>
          <cell r="G3690"/>
          <cell r="H3690"/>
          <cell r="I3690"/>
          <cell r="J3690"/>
          <cell r="K3690"/>
          <cell r="L3690"/>
          <cell r="M3690"/>
          <cell r="N3690"/>
          <cell r="O3690"/>
        </row>
        <row r="3691">
          <cell r="A3691"/>
          <cell r="B3691"/>
          <cell r="C3691"/>
          <cell r="D3691"/>
          <cell r="E3691"/>
          <cell r="F3691"/>
          <cell r="G3691"/>
          <cell r="H3691"/>
          <cell r="I3691"/>
          <cell r="J3691"/>
          <cell r="K3691"/>
          <cell r="L3691"/>
          <cell r="M3691"/>
          <cell r="N3691"/>
          <cell r="O3691"/>
        </row>
        <row r="3692">
          <cell r="A3692"/>
          <cell r="B3692"/>
          <cell r="C3692"/>
          <cell r="D3692"/>
          <cell r="E3692"/>
          <cell r="F3692"/>
          <cell r="G3692"/>
          <cell r="H3692"/>
          <cell r="I3692"/>
          <cell r="J3692"/>
          <cell r="K3692"/>
          <cell r="L3692"/>
          <cell r="M3692"/>
          <cell r="N3692"/>
          <cell r="O3692"/>
        </row>
        <row r="3693">
          <cell r="A3693"/>
          <cell r="B3693"/>
          <cell r="C3693"/>
          <cell r="D3693"/>
          <cell r="E3693"/>
          <cell r="F3693"/>
          <cell r="G3693"/>
          <cell r="H3693"/>
          <cell r="I3693"/>
          <cell r="J3693"/>
          <cell r="K3693"/>
          <cell r="L3693"/>
          <cell r="M3693"/>
          <cell r="N3693"/>
          <cell r="O3693"/>
        </row>
        <row r="3694">
          <cell r="A3694"/>
          <cell r="B3694"/>
          <cell r="C3694"/>
          <cell r="D3694"/>
          <cell r="E3694"/>
          <cell r="F3694"/>
          <cell r="G3694"/>
          <cell r="H3694"/>
          <cell r="I3694"/>
          <cell r="J3694"/>
          <cell r="K3694"/>
          <cell r="L3694"/>
          <cell r="M3694"/>
          <cell r="N3694"/>
          <cell r="O3694"/>
        </row>
        <row r="3695">
          <cell r="A3695"/>
          <cell r="B3695"/>
          <cell r="C3695"/>
          <cell r="D3695"/>
          <cell r="E3695"/>
          <cell r="F3695"/>
          <cell r="G3695"/>
          <cell r="H3695"/>
          <cell r="I3695"/>
          <cell r="J3695"/>
          <cell r="K3695"/>
          <cell r="L3695"/>
          <cell r="M3695"/>
          <cell r="N3695"/>
          <cell r="O3695"/>
        </row>
        <row r="3696">
          <cell r="A3696"/>
          <cell r="B3696"/>
          <cell r="C3696"/>
          <cell r="D3696"/>
          <cell r="E3696"/>
          <cell r="F3696"/>
          <cell r="G3696"/>
          <cell r="H3696"/>
          <cell r="I3696"/>
          <cell r="J3696"/>
          <cell r="K3696"/>
          <cell r="L3696"/>
          <cell r="M3696"/>
          <cell r="N3696"/>
          <cell r="O3696"/>
        </row>
        <row r="3697">
          <cell r="A3697"/>
          <cell r="B3697"/>
          <cell r="C3697"/>
          <cell r="D3697"/>
          <cell r="E3697"/>
          <cell r="F3697"/>
          <cell r="G3697"/>
          <cell r="H3697"/>
          <cell r="I3697"/>
          <cell r="J3697"/>
          <cell r="K3697"/>
          <cell r="L3697"/>
          <cell r="M3697"/>
          <cell r="N3697"/>
          <cell r="O3697"/>
        </row>
        <row r="3698">
          <cell r="A3698"/>
          <cell r="B3698"/>
          <cell r="C3698"/>
          <cell r="D3698"/>
          <cell r="E3698"/>
          <cell r="F3698"/>
          <cell r="G3698"/>
          <cell r="H3698"/>
          <cell r="I3698"/>
          <cell r="J3698"/>
          <cell r="K3698"/>
          <cell r="L3698"/>
          <cell r="M3698"/>
          <cell r="N3698"/>
          <cell r="O3698"/>
        </row>
        <row r="3699">
          <cell r="A3699"/>
          <cell r="B3699"/>
          <cell r="C3699"/>
          <cell r="D3699"/>
          <cell r="E3699"/>
          <cell r="F3699"/>
          <cell r="G3699"/>
          <cell r="H3699"/>
          <cell r="I3699"/>
          <cell r="J3699"/>
          <cell r="K3699"/>
          <cell r="L3699"/>
          <cell r="M3699"/>
          <cell r="N3699"/>
          <cell r="O3699"/>
        </row>
        <row r="3700">
          <cell r="A3700"/>
          <cell r="B3700"/>
          <cell r="C3700"/>
          <cell r="D3700"/>
          <cell r="E3700"/>
          <cell r="F3700"/>
          <cell r="G3700"/>
          <cell r="H3700"/>
          <cell r="I3700"/>
          <cell r="J3700"/>
          <cell r="K3700"/>
          <cell r="L3700"/>
          <cell r="M3700"/>
          <cell r="N3700"/>
          <cell r="O3700"/>
        </row>
        <row r="3701">
          <cell r="A3701"/>
          <cell r="B3701"/>
          <cell r="C3701"/>
          <cell r="D3701"/>
          <cell r="E3701"/>
          <cell r="F3701"/>
          <cell r="G3701"/>
          <cell r="H3701"/>
          <cell r="I3701"/>
          <cell r="J3701"/>
          <cell r="K3701"/>
          <cell r="L3701"/>
          <cell r="M3701"/>
          <cell r="N3701"/>
          <cell r="O3701"/>
        </row>
        <row r="3702">
          <cell r="A3702"/>
          <cell r="B3702"/>
          <cell r="C3702"/>
          <cell r="D3702"/>
          <cell r="E3702"/>
          <cell r="F3702"/>
          <cell r="G3702"/>
          <cell r="H3702"/>
          <cell r="I3702"/>
          <cell r="J3702"/>
          <cell r="K3702"/>
          <cell r="L3702"/>
          <cell r="M3702"/>
          <cell r="N3702"/>
          <cell r="O3702"/>
        </row>
        <row r="3703">
          <cell r="A3703"/>
          <cell r="B3703"/>
          <cell r="C3703"/>
          <cell r="D3703"/>
          <cell r="E3703"/>
          <cell r="F3703"/>
          <cell r="G3703"/>
          <cell r="H3703"/>
          <cell r="I3703"/>
          <cell r="J3703"/>
          <cell r="K3703"/>
          <cell r="L3703"/>
          <cell r="M3703"/>
          <cell r="N3703"/>
          <cell r="O3703"/>
        </row>
        <row r="3704">
          <cell r="A3704"/>
          <cell r="B3704"/>
          <cell r="C3704"/>
          <cell r="D3704"/>
          <cell r="E3704"/>
          <cell r="F3704"/>
          <cell r="G3704"/>
          <cell r="H3704"/>
          <cell r="I3704"/>
          <cell r="J3704"/>
          <cell r="K3704"/>
          <cell r="L3704"/>
          <cell r="M3704"/>
          <cell r="N3704"/>
          <cell r="O3704"/>
        </row>
        <row r="3705">
          <cell r="A3705"/>
          <cell r="B3705"/>
          <cell r="C3705"/>
          <cell r="D3705"/>
          <cell r="E3705"/>
          <cell r="F3705"/>
          <cell r="G3705"/>
          <cell r="H3705"/>
          <cell r="I3705"/>
          <cell r="J3705"/>
          <cell r="K3705"/>
          <cell r="L3705"/>
          <cell r="M3705"/>
          <cell r="N3705"/>
          <cell r="O3705"/>
        </row>
        <row r="3706">
          <cell r="A3706"/>
          <cell r="B3706"/>
          <cell r="C3706"/>
          <cell r="D3706"/>
          <cell r="E3706"/>
          <cell r="F3706"/>
          <cell r="G3706"/>
          <cell r="H3706"/>
          <cell r="I3706"/>
          <cell r="J3706"/>
          <cell r="K3706"/>
          <cell r="L3706"/>
          <cell r="M3706"/>
          <cell r="N3706"/>
          <cell r="O3706"/>
        </row>
        <row r="3707">
          <cell r="A3707"/>
          <cell r="B3707"/>
          <cell r="C3707"/>
          <cell r="D3707"/>
          <cell r="E3707"/>
          <cell r="F3707"/>
          <cell r="G3707"/>
          <cell r="H3707"/>
          <cell r="I3707"/>
          <cell r="J3707"/>
          <cell r="K3707"/>
          <cell r="L3707"/>
          <cell r="M3707"/>
          <cell r="N3707"/>
          <cell r="O3707"/>
        </row>
        <row r="3708">
          <cell r="A3708"/>
          <cell r="B3708"/>
          <cell r="C3708"/>
          <cell r="D3708"/>
          <cell r="E3708"/>
          <cell r="F3708"/>
          <cell r="G3708"/>
          <cell r="H3708"/>
          <cell r="I3708"/>
          <cell r="J3708"/>
          <cell r="K3708"/>
          <cell r="L3708"/>
          <cell r="M3708"/>
          <cell r="N3708"/>
          <cell r="O3708"/>
        </row>
        <row r="3709">
          <cell r="A3709"/>
          <cell r="B3709"/>
          <cell r="C3709"/>
          <cell r="D3709"/>
          <cell r="E3709"/>
          <cell r="F3709"/>
          <cell r="G3709"/>
          <cell r="H3709"/>
          <cell r="I3709"/>
          <cell r="J3709"/>
          <cell r="K3709"/>
          <cell r="L3709"/>
          <cell r="M3709"/>
          <cell r="N3709"/>
          <cell r="O3709"/>
        </row>
        <row r="3710">
          <cell r="A3710"/>
          <cell r="B3710"/>
          <cell r="C3710"/>
          <cell r="D3710"/>
          <cell r="E3710"/>
          <cell r="F3710"/>
          <cell r="G3710"/>
          <cell r="H3710"/>
          <cell r="I3710"/>
          <cell r="J3710"/>
          <cell r="K3710"/>
          <cell r="L3710"/>
          <cell r="M3710"/>
          <cell r="N3710"/>
          <cell r="O3710"/>
        </row>
        <row r="3711">
          <cell r="A3711"/>
          <cell r="B3711"/>
          <cell r="C3711"/>
          <cell r="D3711"/>
          <cell r="E3711"/>
          <cell r="F3711"/>
          <cell r="G3711"/>
          <cell r="H3711"/>
          <cell r="I3711"/>
          <cell r="J3711"/>
          <cell r="K3711"/>
          <cell r="L3711"/>
          <cell r="M3711"/>
          <cell r="N3711"/>
          <cell r="O3711"/>
        </row>
        <row r="3712">
          <cell r="A3712"/>
          <cell r="B3712"/>
          <cell r="C3712"/>
          <cell r="D3712"/>
          <cell r="E3712"/>
          <cell r="F3712"/>
          <cell r="G3712"/>
          <cell r="H3712"/>
          <cell r="I3712"/>
          <cell r="J3712"/>
          <cell r="K3712"/>
          <cell r="L3712"/>
          <cell r="M3712"/>
          <cell r="N3712"/>
          <cell r="O3712"/>
        </row>
        <row r="3713">
          <cell r="A3713"/>
          <cell r="B3713"/>
          <cell r="C3713"/>
          <cell r="D3713"/>
          <cell r="E3713"/>
          <cell r="F3713"/>
          <cell r="G3713"/>
          <cell r="H3713"/>
          <cell r="I3713"/>
          <cell r="J3713"/>
          <cell r="K3713"/>
          <cell r="L3713"/>
          <cell r="M3713"/>
          <cell r="N3713"/>
          <cell r="O3713"/>
        </row>
        <row r="3714">
          <cell r="A3714"/>
          <cell r="B3714"/>
          <cell r="C3714"/>
          <cell r="D3714"/>
          <cell r="E3714"/>
          <cell r="F3714"/>
          <cell r="G3714"/>
          <cell r="H3714"/>
          <cell r="I3714"/>
          <cell r="J3714"/>
          <cell r="K3714"/>
          <cell r="L3714"/>
          <cell r="M3714"/>
          <cell r="N3714"/>
          <cell r="O3714"/>
        </row>
        <row r="3715">
          <cell r="A3715"/>
          <cell r="B3715"/>
          <cell r="C3715"/>
          <cell r="D3715"/>
          <cell r="E3715"/>
          <cell r="F3715"/>
          <cell r="G3715"/>
          <cell r="H3715"/>
          <cell r="I3715"/>
          <cell r="J3715"/>
          <cell r="K3715"/>
          <cell r="L3715"/>
          <cell r="M3715"/>
          <cell r="N3715"/>
          <cell r="O3715"/>
        </row>
        <row r="3716">
          <cell r="A3716"/>
          <cell r="B3716"/>
          <cell r="C3716"/>
          <cell r="D3716"/>
          <cell r="E3716"/>
          <cell r="F3716"/>
          <cell r="G3716"/>
          <cell r="H3716"/>
          <cell r="I3716"/>
          <cell r="J3716"/>
          <cell r="K3716"/>
          <cell r="L3716"/>
          <cell r="M3716"/>
          <cell r="N3716"/>
          <cell r="O3716"/>
        </row>
        <row r="3717">
          <cell r="A3717"/>
          <cell r="B3717"/>
          <cell r="C3717"/>
          <cell r="D3717"/>
          <cell r="E3717"/>
          <cell r="F3717"/>
          <cell r="G3717"/>
          <cell r="H3717"/>
          <cell r="I3717"/>
          <cell r="J3717"/>
          <cell r="K3717"/>
          <cell r="L3717"/>
          <cell r="M3717"/>
          <cell r="N3717"/>
          <cell r="O3717"/>
        </row>
        <row r="3718">
          <cell r="A3718"/>
          <cell r="B3718"/>
          <cell r="C3718"/>
          <cell r="D3718"/>
          <cell r="E3718"/>
          <cell r="F3718"/>
          <cell r="G3718"/>
          <cell r="H3718"/>
          <cell r="I3718"/>
          <cell r="J3718"/>
          <cell r="K3718"/>
          <cell r="L3718"/>
          <cell r="M3718"/>
          <cell r="N3718"/>
          <cell r="O3718"/>
        </row>
        <row r="3719">
          <cell r="A3719"/>
          <cell r="B3719"/>
          <cell r="C3719"/>
          <cell r="D3719"/>
          <cell r="E3719"/>
          <cell r="F3719"/>
          <cell r="G3719"/>
          <cell r="H3719"/>
          <cell r="I3719"/>
          <cell r="J3719"/>
          <cell r="K3719"/>
          <cell r="L3719"/>
          <cell r="M3719"/>
          <cell r="N3719"/>
          <cell r="O3719"/>
        </row>
        <row r="3720">
          <cell r="A3720"/>
          <cell r="B3720"/>
          <cell r="C3720"/>
          <cell r="D3720"/>
          <cell r="E3720"/>
          <cell r="F3720"/>
          <cell r="G3720"/>
          <cell r="H3720"/>
          <cell r="I3720"/>
          <cell r="J3720"/>
          <cell r="K3720"/>
          <cell r="L3720"/>
          <cell r="M3720"/>
          <cell r="N3720"/>
          <cell r="O3720"/>
        </row>
        <row r="3721">
          <cell r="A3721"/>
          <cell r="B3721"/>
          <cell r="C3721"/>
          <cell r="D3721"/>
          <cell r="E3721"/>
          <cell r="F3721"/>
          <cell r="G3721"/>
          <cell r="H3721"/>
          <cell r="I3721"/>
          <cell r="J3721"/>
          <cell r="K3721"/>
          <cell r="L3721"/>
          <cell r="M3721"/>
          <cell r="N3721"/>
          <cell r="O3721"/>
        </row>
        <row r="3722">
          <cell r="A3722"/>
          <cell r="B3722"/>
          <cell r="C3722"/>
          <cell r="D3722"/>
          <cell r="E3722"/>
          <cell r="F3722"/>
          <cell r="G3722"/>
          <cell r="H3722"/>
          <cell r="I3722"/>
          <cell r="J3722"/>
          <cell r="K3722"/>
          <cell r="L3722"/>
          <cell r="M3722"/>
          <cell r="N3722"/>
          <cell r="O3722"/>
        </row>
        <row r="3723">
          <cell r="A3723"/>
          <cell r="B3723"/>
          <cell r="C3723"/>
          <cell r="D3723"/>
          <cell r="E3723"/>
          <cell r="F3723"/>
          <cell r="G3723"/>
          <cell r="H3723"/>
          <cell r="I3723"/>
          <cell r="J3723"/>
          <cell r="K3723"/>
          <cell r="L3723"/>
          <cell r="M3723"/>
          <cell r="N3723"/>
          <cell r="O3723"/>
        </row>
        <row r="3724">
          <cell r="A3724"/>
          <cell r="B3724"/>
          <cell r="C3724"/>
          <cell r="D3724"/>
          <cell r="E3724"/>
          <cell r="F3724"/>
          <cell r="G3724"/>
          <cell r="H3724"/>
          <cell r="I3724"/>
          <cell r="J3724"/>
          <cell r="K3724"/>
          <cell r="L3724"/>
          <cell r="M3724"/>
          <cell r="N3724"/>
          <cell r="O3724"/>
        </row>
        <row r="3725">
          <cell r="A3725"/>
          <cell r="B3725"/>
          <cell r="C3725"/>
          <cell r="D3725"/>
          <cell r="E3725"/>
          <cell r="F3725"/>
          <cell r="G3725"/>
          <cell r="H3725"/>
          <cell r="I3725"/>
          <cell r="J3725"/>
          <cell r="K3725"/>
          <cell r="L3725"/>
          <cell r="M3725"/>
          <cell r="N3725"/>
          <cell r="O3725"/>
        </row>
        <row r="3726">
          <cell r="A3726"/>
          <cell r="B3726"/>
          <cell r="C3726"/>
          <cell r="D3726"/>
          <cell r="E3726"/>
          <cell r="F3726"/>
          <cell r="G3726"/>
          <cell r="H3726"/>
          <cell r="I3726"/>
          <cell r="J3726"/>
          <cell r="K3726"/>
          <cell r="L3726"/>
          <cell r="M3726"/>
          <cell r="N3726"/>
          <cell r="O3726"/>
        </row>
        <row r="3727">
          <cell r="A3727"/>
          <cell r="B3727"/>
          <cell r="C3727"/>
          <cell r="D3727"/>
          <cell r="E3727"/>
          <cell r="F3727"/>
          <cell r="G3727"/>
          <cell r="H3727"/>
          <cell r="I3727"/>
          <cell r="J3727"/>
          <cell r="K3727"/>
          <cell r="L3727"/>
          <cell r="M3727"/>
          <cell r="N3727"/>
          <cell r="O3727"/>
        </row>
        <row r="3728">
          <cell r="A3728"/>
          <cell r="B3728"/>
          <cell r="C3728"/>
          <cell r="D3728"/>
          <cell r="E3728"/>
          <cell r="F3728"/>
          <cell r="G3728"/>
          <cell r="H3728"/>
          <cell r="I3728"/>
          <cell r="J3728"/>
          <cell r="K3728"/>
          <cell r="L3728"/>
          <cell r="M3728"/>
          <cell r="N3728"/>
          <cell r="O3728"/>
        </row>
        <row r="3729">
          <cell r="A3729"/>
          <cell r="B3729"/>
          <cell r="C3729"/>
          <cell r="D3729"/>
          <cell r="E3729"/>
          <cell r="F3729"/>
          <cell r="G3729"/>
          <cell r="H3729"/>
          <cell r="I3729"/>
          <cell r="J3729"/>
          <cell r="K3729"/>
          <cell r="L3729"/>
          <cell r="M3729"/>
          <cell r="N3729"/>
          <cell r="O3729"/>
        </row>
        <row r="3730">
          <cell r="A3730"/>
          <cell r="B3730"/>
          <cell r="C3730"/>
          <cell r="D3730"/>
          <cell r="E3730"/>
          <cell r="F3730"/>
          <cell r="G3730"/>
          <cell r="H3730"/>
          <cell r="I3730"/>
          <cell r="J3730"/>
          <cell r="K3730"/>
          <cell r="L3730"/>
          <cell r="M3730"/>
          <cell r="N3730"/>
          <cell r="O3730"/>
        </row>
        <row r="3731">
          <cell r="A3731"/>
          <cell r="B3731"/>
          <cell r="C3731"/>
          <cell r="D3731"/>
          <cell r="E3731"/>
          <cell r="F3731"/>
          <cell r="G3731"/>
          <cell r="H3731"/>
          <cell r="I3731"/>
          <cell r="J3731"/>
          <cell r="K3731"/>
          <cell r="L3731"/>
          <cell r="M3731"/>
          <cell r="N3731"/>
          <cell r="O3731"/>
        </row>
        <row r="3732">
          <cell r="A3732"/>
          <cell r="B3732"/>
          <cell r="C3732"/>
          <cell r="D3732"/>
          <cell r="E3732"/>
          <cell r="F3732"/>
          <cell r="G3732"/>
          <cell r="H3732"/>
          <cell r="I3732"/>
          <cell r="J3732"/>
          <cell r="K3732"/>
          <cell r="L3732"/>
          <cell r="M3732"/>
          <cell r="N3732"/>
          <cell r="O3732"/>
        </row>
        <row r="3733">
          <cell r="A3733"/>
          <cell r="B3733"/>
          <cell r="C3733"/>
          <cell r="D3733"/>
          <cell r="E3733"/>
          <cell r="F3733"/>
          <cell r="G3733"/>
          <cell r="H3733"/>
          <cell r="I3733"/>
          <cell r="J3733"/>
          <cell r="K3733"/>
          <cell r="L3733"/>
          <cell r="M3733"/>
          <cell r="N3733"/>
          <cell r="O3733"/>
        </row>
        <row r="3734">
          <cell r="A3734"/>
          <cell r="B3734"/>
          <cell r="C3734"/>
          <cell r="D3734"/>
          <cell r="E3734"/>
          <cell r="F3734"/>
          <cell r="G3734"/>
          <cell r="H3734"/>
          <cell r="I3734"/>
          <cell r="J3734"/>
          <cell r="K3734"/>
          <cell r="L3734"/>
          <cell r="M3734"/>
          <cell r="N3734"/>
          <cell r="O3734"/>
        </row>
        <row r="3735">
          <cell r="A3735"/>
          <cell r="B3735"/>
          <cell r="C3735"/>
          <cell r="D3735"/>
          <cell r="E3735"/>
          <cell r="F3735"/>
          <cell r="G3735"/>
          <cell r="H3735"/>
          <cell r="I3735"/>
          <cell r="J3735"/>
          <cell r="K3735"/>
          <cell r="L3735"/>
          <cell r="M3735"/>
          <cell r="N3735"/>
          <cell r="O3735"/>
        </row>
        <row r="3736">
          <cell r="A3736"/>
          <cell r="B3736"/>
          <cell r="C3736"/>
          <cell r="D3736"/>
          <cell r="E3736"/>
          <cell r="F3736"/>
          <cell r="G3736"/>
          <cell r="H3736"/>
          <cell r="I3736"/>
          <cell r="J3736"/>
          <cell r="K3736"/>
          <cell r="L3736"/>
          <cell r="M3736"/>
          <cell r="N3736"/>
          <cell r="O3736"/>
        </row>
        <row r="3737">
          <cell r="A3737"/>
          <cell r="B3737"/>
          <cell r="C3737"/>
          <cell r="D3737"/>
          <cell r="E3737"/>
          <cell r="F3737"/>
          <cell r="G3737"/>
          <cell r="H3737"/>
          <cell r="I3737"/>
          <cell r="J3737"/>
          <cell r="K3737"/>
          <cell r="L3737"/>
          <cell r="M3737"/>
          <cell r="N3737"/>
          <cell r="O3737"/>
        </row>
        <row r="3738">
          <cell r="A3738"/>
          <cell r="B3738"/>
          <cell r="C3738"/>
          <cell r="D3738"/>
          <cell r="E3738"/>
          <cell r="F3738"/>
          <cell r="G3738"/>
          <cell r="H3738"/>
          <cell r="I3738"/>
          <cell r="J3738"/>
          <cell r="K3738"/>
          <cell r="L3738"/>
          <cell r="M3738"/>
          <cell r="N3738"/>
          <cell r="O3738"/>
        </row>
        <row r="3739">
          <cell r="A3739"/>
          <cell r="B3739"/>
          <cell r="C3739"/>
          <cell r="D3739"/>
          <cell r="E3739"/>
          <cell r="F3739"/>
          <cell r="G3739"/>
          <cell r="H3739"/>
          <cell r="I3739"/>
          <cell r="J3739"/>
          <cell r="K3739"/>
          <cell r="L3739"/>
          <cell r="M3739"/>
          <cell r="N3739"/>
          <cell r="O3739"/>
        </row>
        <row r="3740">
          <cell r="A3740"/>
          <cell r="B3740"/>
          <cell r="C3740"/>
          <cell r="D3740"/>
          <cell r="E3740"/>
          <cell r="F3740"/>
          <cell r="G3740"/>
          <cell r="H3740"/>
          <cell r="I3740"/>
          <cell r="J3740"/>
          <cell r="K3740"/>
          <cell r="L3740"/>
          <cell r="M3740"/>
          <cell r="N3740"/>
          <cell r="O3740"/>
        </row>
        <row r="3741">
          <cell r="A3741"/>
          <cell r="B3741"/>
          <cell r="C3741"/>
          <cell r="D3741"/>
          <cell r="E3741"/>
          <cell r="F3741"/>
          <cell r="G3741"/>
          <cell r="H3741"/>
          <cell r="I3741"/>
          <cell r="J3741"/>
          <cell r="K3741"/>
          <cell r="L3741"/>
          <cell r="M3741"/>
          <cell r="N3741"/>
          <cell r="O3741"/>
        </row>
        <row r="3742">
          <cell r="A3742"/>
          <cell r="B3742"/>
          <cell r="C3742"/>
          <cell r="D3742"/>
          <cell r="E3742"/>
          <cell r="F3742"/>
          <cell r="G3742"/>
          <cell r="H3742"/>
          <cell r="I3742"/>
          <cell r="J3742"/>
          <cell r="K3742"/>
          <cell r="L3742"/>
          <cell r="M3742"/>
          <cell r="N3742"/>
          <cell r="O3742"/>
        </row>
        <row r="3743">
          <cell r="A3743"/>
          <cell r="B3743"/>
          <cell r="C3743"/>
          <cell r="D3743"/>
          <cell r="E3743"/>
          <cell r="F3743"/>
          <cell r="G3743"/>
          <cell r="H3743"/>
          <cell r="I3743"/>
          <cell r="J3743"/>
          <cell r="K3743"/>
          <cell r="L3743"/>
          <cell r="M3743"/>
          <cell r="N3743"/>
          <cell r="O3743"/>
        </row>
        <row r="3744">
          <cell r="A3744"/>
          <cell r="B3744"/>
          <cell r="C3744"/>
          <cell r="D3744"/>
          <cell r="E3744"/>
          <cell r="F3744"/>
          <cell r="G3744"/>
          <cell r="H3744"/>
          <cell r="I3744"/>
          <cell r="J3744"/>
          <cell r="K3744"/>
          <cell r="L3744"/>
          <cell r="M3744"/>
          <cell r="N3744"/>
          <cell r="O3744"/>
        </row>
        <row r="3745">
          <cell r="A3745"/>
          <cell r="B3745"/>
          <cell r="C3745"/>
          <cell r="D3745"/>
          <cell r="E3745"/>
          <cell r="F3745"/>
          <cell r="G3745"/>
          <cell r="H3745"/>
          <cell r="I3745"/>
          <cell r="J3745"/>
          <cell r="K3745"/>
          <cell r="L3745"/>
          <cell r="M3745"/>
          <cell r="N3745"/>
          <cell r="O3745"/>
        </row>
        <row r="3746">
          <cell r="A3746"/>
          <cell r="B3746"/>
          <cell r="C3746"/>
          <cell r="D3746"/>
          <cell r="E3746"/>
          <cell r="F3746"/>
          <cell r="G3746"/>
          <cell r="H3746"/>
          <cell r="I3746"/>
          <cell r="J3746"/>
          <cell r="K3746"/>
          <cell r="L3746"/>
          <cell r="M3746"/>
          <cell r="N3746"/>
          <cell r="O3746"/>
        </row>
        <row r="3747">
          <cell r="A3747"/>
          <cell r="B3747"/>
          <cell r="C3747"/>
          <cell r="D3747"/>
          <cell r="E3747"/>
          <cell r="F3747"/>
          <cell r="G3747"/>
          <cell r="H3747"/>
          <cell r="I3747"/>
          <cell r="J3747"/>
          <cell r="K3747"/>
          <cell r="L3747"/>
          <cell r="M3747"/>
          <cell r="N3747"/>
          <cell r="O3747"/>
        </row>
        <row r="3748">
          <cell r="A3748"/>
          <cell r="B3748"/>
          <cell r="C3748"/>
          <cell r="D3748"/>
          <cell r="E3748"/>
          <cell r="F3748"/>
          <cell r="G3748"/>
          <cell r="H3748"/>
          <cell r="I3748"/>
          <cell r="J3748"/>
          <cell r="K3748"/>
          <cell r="L3748"/>
          <cell r="M3748"/>
          <cell r="N3748"/>
          <cell r="O3748"/>
        </row>
        <row r="3749">
          <cell r="A3749"/>
          <cell r="B3749"/>
          <cell r="C3749"/>
          <cell r="D3749"/>
          <cell r="E3749"/>
          <cell r="F3749"/>
          <cell r="G3749"/>
          <cell r="H3749"/>
          <cell r="I3749"/>
          <cell r="J3749"/>
          <cell r="K3749"/>
          <cell r="L3749"/>
          <cell r="M3749"/>
          <cell r="N3749"/>
          <cell r="O3749"/>
        </row>
        <row r="3750">
          <cell r="A3750"/>
          <cell r="B3750"/>
          <cell r="C3750"/>
          <cell r="D3750"/>
          <cell r="E3750"/>
          <cell r="F3750"/>
          <cell r="G3750"/>
          <cell r="H3750"/>
          <cell r="I3750"/>
          <cell r="J3750"/>
          <cell r="K3750"/>
          <cell r="L3750"/>
          <cell r="M3750"/>
          <cell r="N3750"/>
          <cell r="O3750"/>
        </row>
        <row r="3751">
          <cell r="A3751"/>
          <cell r="B3751"/>
          <cell r="C3751"/>
          <cell r="D3751"/>
          <cell r="E3751"/>
          <cell r="F3751"/>
          <cell r="G3751"/>
          <cell r="H3751"/>
          <cell r="I3751"/>
          <cell r="J3751"/>
          <cell r="K3751"/>
          <cell r="L3751"/>
          <cell r="M3751"/>
          <cell r="N3751"/>
          <cell r="O3751"/>
        </row>
        <row r="3752">
          <cell r="A3752"/>
          <cell r="B3752"/>
          <cell r="C3752"/>
          <cell r="D3752"/>
          <cell r="E3752"/>
          <cell r="F3752"/>
          <cell r="G3752"/>
          <cell r="H3752"/>
          <cell r="I3752"/>
          <cell r="J3752"/>
          <cell r="K3752"/>
          <cell r="L3752"/>
          <cell r="M3752"/>
          <cell r="N3752"/>
          <cell r="O3752"/>
        </row>
        <row r="3753">
          <cell r="A3753"/>
          <cell r="B3753"/>
          <cell r="C3753"/>
          <cell r="D3753"/>
          <cell r="E3753"/>
          <cell r="F3753"/>
          <cell r="G3753"/>
          <cell r="H3753"/>
          <cell r="I3753"/>
          <cell r="J3753"/>
          <cell r="K3753"/>
          <cell r="L3753"/>
          <cell r="M3753"/>
          <cell r="N3753"/>
          <cell r="O3753"/>
        </row>
        <row r="3754">
          <cell r="A3754"/>
          <cell r="B3754"/>
          <cell r="C3754"/>
          <cell r="D3754"/>
          <cell r="E3754"/>
          <cell r="F3754"/>
          <cell r="G3754"/>
          <cell r="H3754"/>
          <cell r="I3754"/>
          <cell r="J3754"/>
          <cell r="K3754"/>
          <cell r="L3754"/>
          <cell r="M3754"/>
          <cell r="N3754"/>
          <cell r="O3754"/>
        </row>
        <row r="3755">
          <cell r="A3755"/>
          <cell r="B3755"/>
          <cell r="C3755"/>
          <cell r="D3755"/>
          <cell r="E3755"/>
          <cell r="F3755"/>
          <cell r="G3755"/>
          <cell r="H3755"/>
          <cell r="I3755"/>
          <cell r="J3755"/>
          <cell r="K3755"/>
          <cell r="L3755"/>
          <cell r="M3755"/>
          <cell r="N3755"/>
          <cell r="O3755"/>
        </row>
        <row r="3756">
          <cell r="A3756"/>
          <cell r="B3756"/>
          <cell r="C3756"/>
          <cell r="D3756"/>
          <cell r="E3756"/>
          <cell r="F3756"/>
          <cell r="G3756"/>
          <cell r="H3756"/>
          <cell r="I3756"/>
          <cell r="J3756"/>
          <cell r="K3756"/>
          <cell r="L3756"/>
          <cell r="M3756"/>
          <cell r="N3756"/>
          <cell r="O3756"/>
        </row>
        <row r="3757">
          <cell r="A3757"/>
          <cell r="B3757"/>
          <cell r="C3757"/>
          <cell r="D3757"/>
          <cell r="E3757"/>
          <cell r="F3757"/>
          <cell r="G3757"/>
          <cell r="H3757"/>
          <cell r="I3757"/>
          <cell r="J3757"/>
          <cell r="K3757"/>
          <cell r="L3757"/>
          <cell r="M3757"/>
          <cell r="N3757"/>
          <cell r="O3757"/>
        </row>
        <row r="3758">
          <cell r="A3758"/>
          <cell r="B3758"/>
          <cell r="C3758"/>
          <cell r="D3758"/>
          <cell r="E3758"/>
          <cell r="F3758"/>
          <cell r="G3758"/>
          <cell r="H3758"/>
          <cell r="I3758"/>
          <cell r="J3758"/>
          <cell r="K3758"/>
          <cell r="L3758"/>
          <cell r="M3758"/>
          <cell r="N3758"/>
          <cell r="O3758"/>
        </row>
        <row r="3759">
          <cell r="A3759"/>
          <cell r="B3759"/>
          <cell r="C3759"/>
          <cell r="D3759"/>
          <cell r="E3759"/>
          <cell r="F3759"/>
          <cell r="G3759"/>
          <cell r="H3759"/>
          <cell r="I3759"/>
          <cell r="J3759"/>
          <cell r="K3759"/>
          <cell r="L3759"/>
          <cell r="M3759"/>
          <cell r="N3759"/>
          <cell r="O3759"/>
        </row>
        <row r="3760">
          <cell r="A3760"/>
          <cell r="B3760"/>
          <cell r="C3760"/>
          <cell r="D3760"/>
          <cell r="E3760"/>
          <cell r="F3760"/>
          <cell r="G3760"/>
          <cell r="H3760"/>
          <cell r="I3760"/>
          <cell r="J3760"/>
          <cell r="K3760"/>
          <cell r="L3760"/>
          <cell r="M3760"/>
          <cell r="N3760"/>
          <cell r="O3760"/>
        </row>
        <row r="3761">
          <cell r="A3761"/>
          <cell r="B3761"/>
          <cell r="C3761"/>
          <cell r="D3761"/>
          <cell r="E3761"/>
          <cell r="F3761"/>
          <cell r="G3761"/>
          <cell r="H3761"/>
          <cell r="I3761"/>
          <cell r="J3761"/>
          <cell r="K3761"/>
          <cell r="L3761"/>
          <cell r="M3761"/>
          <cell r="N3761"/>
          <cell r="O3761"/>
        </row>
        <row r="3762">
          <cell r="A3762"/>
          <cell r="B3762"/>
          <cell r="C3762"/>
          <cell r="D3762"/>
          <cell r="E3762"/>
          <cell r="F3762"/>
          <cell r="G3762"/>
          <cell r="H3762"/>
          <cell r="I3762"/>
          <cell r="J3762"/>
          <cell r="K3762"/>
          <cell r="L3762"/>
          <cell r="M3762"/>
          <cell r="N3762"/>
          <cell r="O3762"/>
        </row>
        <row r="3763">
          <cell r="A3763"/>
          <cell r="B3763"/>
          <cell r="C3763"/>
          <cell r="D3763"/>
          <cell r="E3763"/>
          <cell r="F3763"/>
          <cell r="G3763"/>
          <cell r="H3763"/>
          <cell r="I3763"/>
          <cell r="J3763"/>
          <cell r="K3763"/>
          <cell r="L3763"/>
          <cell r="M3763"/>
          <cell r="N3763"/>
          <cell r="O3763"/>
        </row>
        <row r="3764">
          <cell r="A3764"/>
          <cell r="B3764"/>
          <cell r="C3764"/>
          <cell r="D3764"/>
          <cell r="E3764"/>
          <cell r="F3764"/>
          <cell r="G3764"/>
          <cell r="H3764"/>
          <cell r="I3764"/>
          <cell r="J3764"/>
          <cell r="K3764"/>
          <cell r="L3764"/>
          <cell r="M3764"/>
          <cell r="N3764"/>
          <cell r="O3764"/>
        </row>
        <row r="3765">
          <cell r="A3765"/>
          <cell r="B3765"/>
          <cell r="C3765"/>
          <cell r="D3765"/>
          <cell r="E3765"/>
          <cell r="F3765"/>
          <cell r="G3765"/>
          <cell r="H3765"/>
          <cell r="I3765"/>
          <cell r="J3765"/>
          <cell r="K3765"/>
          <cell r="L3765"/>
          <cell r="M3765"/>
          <cell r="N3765"/>
          <cell r="O3765"/>
        </row>
        <row r="3766">
          <cell r="A3766"/>
          <cell r="B3766"/>
          <cell r="C3766"/>
          <cell r="D3766"/>
          <cell r="E3766"/>
          <cell r="F3766"/>
          <cell r="G3766"/>
          <cell r="H3766"/>
          <cell r="I3766"/>
          <cell r="J3766"/>
          <cell r="K3766"/>
          <cell r="L3766"/>
          <cell r="M3766"/>
          <cell r="N3766"/>
          <cell r="O3766"/>
        </row>
        <row r="3767">
          <cell r="A3767"/>
          <cell r="B3767"/>
          <cell r="C3767"/>
          <cell r="D3767"/>
          <cell r="E3767"/>
          <cell r="F3767"/>
          <cell r="G3767"/>
          <cell r="H3767"/>
          <cell r="I3767"/>
          <cell r="J3767"/>
          <cell r="K3767"/>
          <cell r="L3767"/>
          <cell r="M3767"/>
          <cell r="N3767"/>
          <cell r="O3767"/>
        </row>
        <row r="3768">
          <cell r="A3768"/>
          <cell r="B3768"/>
          <cell r="C3768"/>
          <cell r="D3768"/>
          <cell r="E3768"/>
          <cell r="F3768"/>
          <cell r="G3768"/>
          <cell r="H3768"/>
          <cell r="I3768"/>
          <cell r="J3768"/>
          <cell r="K3768"/>
          <cell r="L3768"/>
          <cell r="M3768"/>
          <cell r="N3768"/>
          <cell r="O3768"/>
        </row>
        <row r="3769">
          <cell r="A3769"/>
          <cell r="B3769"/>
          <cell r="C3769"/>
          <cell r="D3769"/>
          <cell r="E3769"/>
          <cell r="F3769"/>
          <cell r="G3769"/>
          <cell r="H3769"/>
          <cell r="I3769"/>
          <cell r="J3769"/>
          <cell r="K3769"/>
          <cell r="L3769"/>
          <cell r="M3769"/>
          <cell r="N3769"/>
          <cell r="O3769"/>
        </row>
        <row r="3770">
          <cell r="A3770"/>
          <cell r="B3770"/>
          <cell r="C3770"/>
          <cell r="D3770"/>
          <cell r="E3770"/>
          <cell r="F3770"/>
          <cell r="G3770"/>
          <cell r="H3770"/>
          <cell r="I3770"/>
          <cell r="J3770"/>
          <cell r="K3770"/>
          <cell r="L3770"/>
          <cell r="M3770"/>
          <cell r="N3770"/>
          <cell r="O3770"/>
        </row>
        <row r="3771">
          <cell r="A3771"/>
          <cell r="B3771"/>
          <cell r="C3771"/>
          <cell r="D3771"/>
          <cell r="E3771"/>
          <cell r="F3771"/>
          <cell r="G3771"/>
          <cell r="H3771"/>
          <cell r="I3771"/>
          <cell r="J3771"/>
          <cell r="K3771"/>
          <cell r="L3771"/>
          <cell r="M3771"/>
          <cell r="N3771"/>
          <cell r="O3771"/>
        </row>
        <row r="3772">
          <cell r="A3772"/>
          <cell r="B3772"/>
          <cell r="C3772"/>
          <cell r="D3772"/>
          <cell r="E3772"/>
          <cell r="F3772"/>
          <cell r="G3772"/>
          <cell r="H3772"/>
          <cell r="I3772"/>
          <cell r="J3772"/>
          <cell r="K3772"/>
          <cell r="L3772"/>
          <cell r="M3772"/>
          <cell r="N3772"/>
          <cell r="O3772"/>
        </row>
        <row r="3773">
          <cell r="A3773"/>
          <cell r="B3773"/>
          <cell r="C3773"/>
          <cell r="D3773"/>
          <cell r="E3773"/>
          <cell r="F3773"/>
          <cell r="G3773"/>
          <cell r="H3773"/>
          <cell r="I3773"/>
          <cell r="J3773"/>
          <cell r="K3773"/>
          <cell r="L3773"/>
          <cell r="M3773"/>
          <cell r="N3773"/>
          <cell r="O3773"/>
        </row>
        <row r="3774">
          <cell r="A3774"/>
          <cell r="B3774"/>
          <cell r="C3774"/>
          <cell r="D3774"/>
          <cell r="E3774"/>
          <cell r="F3774"/>
          <cell r="G3774"/>
          <cell r="H3774"/>
          <cell r="I3774"/>
          <cell r="J3774"/>
          <cell r="K3774"/>
          <cell r="L3774"/>
          <cell r="M3774"/>
          <cell r="N3774"/>
          <cell r="O3774"/>
        </row>
        <row r="3775">
          <cell r="A3775"/>
          <cell r="B3775"/>
          <cell r="C3775"/>
          <cell r="D3775"/>
          <cell r="E3775"/>
          <cell r="F3775"/>
          <cell r="G3775"/>
          <cell r="H3775"/>
          <cell r="I3775"/>
          <cell r="J3775"/>
          <cell r="K3775"/>
          <cell r="L3775"/>
          <cell r="M3775"/>
          <cell r="N3775"/>
          <cell r="O3775"/>
        </row>
        <row r="3776">
          <cell r="A3776"/>
          <cell r="B3776"/>
          <cell r="C3776"/>
          <cell r="D3776"/>
          <cell r="E3776"/>
          <cell r="F3776"/>
          <cell r="G3776"/>
          <cell r="H3776"/>
          <cell r="I3776"/>
          <cell r="J3776"/>
          <cell r="K3776"/>
          <cell r="L3776"/>
          <cell r="M3776"/>
          <cell r="N3776"/>
          <cell r="O3776"/>
        </row>
        <row r="3777">
          <cell r="A3777"/>
          <cell r="B3777"/>
          <cell r="C3777"/>
          <cell r="D3777"/>
          <cell r="E3777"/>
          <cell r="F3777"/>
          <cell r="G3777"/>
          <cell r="H3777"/>
          <cell r="I3777"/>
          <cell r="J3777"/>
          <cell r="K3777"/>
          <cell r="L3777"/>
          <cell r="M3777"/>
          <cell r="N3777"/>
          <cell r="O3777"/>
        </row>
        <row r="3778">
          <cell r="A3778"/>
          <cell r="B3778"/>
          <cell r="C3778"/>
          <cell r="D3778"/>
          <cell r="E3778"/>
          <cell r="F3778"/>
          <cell r="G3778"/>
          <cell r="H3778"/>
          <cell r="I3778"/>
          <cell r="J3778"/>
          <cell r="K3778"/>
          <cell r="L3778"/>
          <cell r="M3778"/>
          <cell r="N3778"/>
          <cell r="O3778"/>
        </row>
        <row r="3779">
          <cell r="A3779"/>
          <cell r="B3779"/>
          <cell r="C3779"/>
          <cell r="D3779"/>
          <cell r="E3779"/>
          <cell r="F3779"/>
          <cell r="G3779"/>
          <cell r="H3779"/>
          <cell r="I3779"/>
          <cell r="J3779"/>
          <cell r="K3779"/>
          <cell r="L3779"/>
          <cell r="M3779"/>
          <cell r="N3779"/>
          <cell r="O3779"/>
        </row>
        <row r="3780">
          <cell r="A3780"/>
          <cell r="B3780"/>
          <cell r="C3780"/>
          <cell r="D3780"/>
          <cell r="E3780"/>
          <cell r="F3780"/>
          <cell r="G3780"/>
          <cell r="H3780"/>
          <cell r="I3780"/>
          <cell r="J3780"/>
          <cell r="K3780"/>
          <cell r="L3780"/>
          <cell r="M3780"/>
          <cell r="N3780"/>
          <cell r="O3780"/>
        </row>
        <row r="3781">
          <cell r="A3781"/>
          <cell r="B3781"/>
          <cell r="C3781"/>
          <cell r="D3781"/>
          <cell r="E3781"/>
          <cell r="F3781"/>
          <cell r="G3781"/>
          <cell r="H3781"/>
          <cell r="I3781"/>
          <cell r="J3781"/>
          <cell r="K3781"/>
          <cell r="L3781"/>
          <cell r="M3781"/>
          <cell r="N3781"/>
          <cell r="O3781"/>
        </row>
        <row r="3782">
          <cell r="A3782"/>
          <cell r="B3782"/>
          <cell r="C3782"/>
          <cell r="D3782"/>
          <cell r="E3782"/>
          <cell r="F3782"/>
          <cell r="G3782"/>
          <cell r="H3782"/>
          <cell r="I3782"/>
          <cell r="J3782"/>
          <cell r="K3782"/>
          <cell r="L3782"/>
          <cell r="M3782"/>
          <cell r="N3782"/>
          <cell r="O3782"/>
        </row>
        <row r="3783">
          <cell r="A3783"/>
          <cell r="B3783"/>
          <cell r="C3783"/>
          <cell r="D3783"/>
          <cell r="E3783"/>
          <cell r="F3783"/>
          <cell r="G3783"/>
          <cell r="H3783"/>
          <cell r="I3783"/>
          <cell r="J3783"/>
          <cell r="K3783"/>
          <cell r="L3783"/>
          <cell r="M3783"/>
          <cell r="N3783"/>
          <cell r="O3783"/>
        </row>
        <row r="3784">
          <cell r="A3784"/>
          <cell r="B3784"/>
          <cell r="C3784"/>
          <cell r="D3784"/>
          <cell r="E3784"/>
          <cell r="F3784"/>
          <cell r="G3784"/>
          <cell r="H3784"/>
          <cell r="I3784"/>
          <cell r="J3784"/>
          <cell r="K3784"/>
          <cell r="L3784"/>
          <cell r="M3784"/>
          <cell r="N3784"/>
          <cell r="O3784"/>
        </row>
        <row r="3785">
          <cell r="A3785"/>
          <cell r="B3785"/>
          <cell r="C3785"/>
          <cell r="D3785"/>
          <cell r="E3785"/>
          <cell r="F3785"/>
          <cell r="G3785"/>
          <cell r="H3785"/>
          <cell r="I3785"/>
          <cell r="J3785"/>
          <cell r="K3785"/>
          <cell r="L3785"/>
          <cell r="M3785"/>
          <cell r="N3785"/>
          <cell r="O3785"/>
        </row>
        <row r="3786">
          <cell r="A3786"/>
          <cell r="B3786"/>
          <cell r="C3786"/>
          <cell r="D3786"/>
          <cell r="E3786"/>
          <cell r="F3786"/>
          <cell r="G3786"/>
          <cell r="H3786"/>
          <cell r="I3786"/>
          <cell r="J3786"/>
          <cell r="K3786"/>
          <cell r="L3786"/>
          <cell r="M3786"/>
          <cell r="N3786"/>
          <cell r="O3786"/>
        </row>
        <row r="3787">
          <cell r="A3787"/>
          <cell r="B3787"/>
          <cell r="C3787"/>
          <cell r="D3787"/>
          <cell r="E3787"/>
          <cell r="F3787"/>
          <cell r="G3787"/>
          <cell r="H3787"/>
          <cell r="I3787"/>
          <cell r="J3787"/>
          <cell r="K3787"/>
          <cell r="L3787"/>
          <cell r="M3787"/>
          <cell r="N3787"/>
          <cell r="O3787"/>
        </row>
        <row r="3788">
          <cell r="A3788"/>
          <cell r="B3788"/>
          <cell r="C3788"/>
          <cell r="D3788"/>
          <cell r="E3788"/>
          <cell r="F3788"/>
          <cell r="G3788"/>
          <cell r="H3788"/>
          <cell r="I3788"/>
          <cell r="J3788"/>
          <cell r="K3788"/>
          <cell r="L3788"/>
          <cell r="M3788"/>
          <cell r="N3788"/>
          <cell r="O3788"/>
        </row>
        <row r="3789">
          <cell r="A3789"/>
          <cell r="B3789"/>
          <cell r="C3789"/>
          <cell r="D3789"/>
          <cell r="E3789"/>
          <cell r="F3789"/>
          <cell r="G3789"/>
          <cell r="H3789"/>
          <cell r="I3789"/>
          <cell r="J3789"/>
          <cell r="K3789"/>
          <cell r="L3789"/>
          <cell r="M3789"/>
          <cell r="N3789"/>
          <cell r="O3789"/>
        </row>
        <row r="3790">
          <cell r="A3790"/>
          <cell r="B3790"/>
          <cell r="C3790"/>
          <cell r="D3790"/>
          <cell r="E3790"/>
          <cell r="F3790"/>
          <cell r="G3790"/>
          <cell r="H3790"/>
          <cell r="I3790"/>
          <cell r="J3790"/>
          <cell r="K3790"/>
          <cell r="L3790"/>
          <cell r="M3790"/>
          <cell r="N3790"/>
          <cell r="O3790"/>
        </row>
        <row r="3791">
          <cell r="A3791"/>
          <cell r="B3791"/>
          <cell r="C3791"/>
          <cell r="D3791"/>
          <cell r="E3791"/>
          <cell r="F3791"/>
          <cell r="G3791"/>
          <cell r="H3791"/>
          <cell r="I3791"/>
          <cell r="J3791"/>
          <cell r="K3791"/>
          <cell r="L3791"/>
          <cell r="M3791"/>
          <cell r="N3791"/>
          <cell r="O3791"/>
        </row>
        <row r="3792">
          <cell r="A3792"/>
          <cell r="B3792"/>
          <cell r="C3792"/>
          <cell r="D3792"/>
          <cell r="E3792"/>
          <cell r="F3792"/>
          <cell r="G3792"/>
          <cell r="H3792"/>
          <cell r="I3792"/>
          <cell r="J3792"/>
          <cell r="K3792"/>
          <cell r="L3792"/>
          <cell r="M3792"/>
          <cell r="N3792"/>
          <cell r="O3792"/>
        </row>
        <row r="3793">
          <cell r="A3793"/>
          <cell r="B3793"/>
          <cell r="C3793"/>
          <cell r="D3793"/>
          <cell r="E3793"/>
          <cell r="F3793"/>
          <cell r="G3793"/>
          <cell r="H3793"/>
          <cell r="I3793"/>
          <cell r="J3793"/>
          <cell r="K3793"/>
          <cell r="L3793"/>
          <cell r="M3793"/>
          <cell r="N3793"/>
          <cell r="O3793"/>
        </row>
        <row r="3794">
          <cell r="A3794"/>
          <cell r="B3794"/>
          <cell r="C3794"/>
          <cell r="D3794"/>
          <cell r="E3794"/>
          <cell r="F3794"/>
          <cell r="G3794"/>
          <cell r="H3794"/>
          <cell r="I3794"/>
          <cell r="J3794"/>
          <cell r="K3794"/>
          <cell r="L3794"/>
          <cell r="M3794"/>
          <cell r="N3794"/>
          <cell r="O3794"/>
        </row>
        <row r="3795">
          <cell r="A3795"/>
          <cell r="B3795"/>
          <cell r="C3795"/>
          <cell r="D3795"/>
          <cell r="E3795"/>
          <cell r="F3795"/>
          <cell r="G3795"/>
          <cell r="H3795"/>
          <cell r="I3795"/>
          <cell r="J3795"/>
          <cell r="K3795"/>
          <cell r="L3795"/>
          <cell r="M3795"/>
          <cell r="N3795"/>
          <cell r="O3795"/>
        </row>
        <row r="3796">
          <cell r="A3796"/>
          <cell r="B3796"/>
          <cell r="C3796"/>
          <cell r="D3796"/>
          <cell r="E3796"/>
          <cell r="F3796"/>
          <cell r="G3796"/>
          <cell r="H3796"/>
          <cell r="I3796"/>
          <cell r="J3796"/>
          <cell r="K3796"/>
          <cell r="L3796"/>
          <cell r="M3796"/>
          <cell r="N3796"/>
          <cell r="O3796"/>
        </row>
        <row r="3797">
          <cell r="A3797"/>
          <cell r="B3797"/>
          <cell r="C3797"/>
          <cell r="D3797"/>
          <cell r="E3797"/>
          <cell r="F3797"/>
          <cell r="G3797"/>
          <cell r="H3797"/>
          <cell r="I3797"/>
          <cell r="J3797"/>
          <cell r="K3797"/>
          <cell r="L3797"/>
          <cell r="M3797"/>
          <cell r="N3797"/>
          <cell r="O3797"/>
        </row>
        <row r="3798">
          <cell r="A3798"/>
          <cell r="B3798"/>
          <cell r="C3798"/>
          <cell r="D3798"/>
          <cell r="E3798"/>
          <cell r="F3798"/>
          <cell r="G3798"/>
          <cell r="H3798"/>
          <cell r="I3798"/>
          <cell r="J3798"/>
          <cell r="K3798"/>
          <cell r="L3798"/>
          <cell r="M3798"/>
          <cell r="N3798"/>
          <cell r="O3798"/>
        </row>
        <row r="3799">
          <cell r="A3799"/>
          <cell r="B3799"/>
          <cell r="C3799"/>
          <cell r="D3799"/>
          <cell r="E3799"/>
          <cell r="F3799"/>
          <cell r="G3799"/>
          <cell r="H3799"/>
          <cell r="I3799"/>
          <cell r="J3799"/>
          <cell r="K3799"/>
          <cell r="L3799"/>
          <cell r="M3799"/>
          <cell r="N3799"/>
          <cell r="O3799"/>
        </row>
        <row r="3800">
          <cell r="A3800"/>
          <cell r="B3800"/>
          <cell r="C3800"/>
          <cell r="D3800"/>
          <cell r="E3800"/>
          <cell r="F3800"/>
          <cell r="G3800"/>
          <cell r="H3800"/>
          <cell r="I3800"/>
          <cell r="J3800"/>
          <cell r="K3800"/>
          <cell r="L3800"/>
          <cell r="M3800"/>
          <cell r="N3800"/>
          <cell r="O3800"/>
        </row>
        <row r="3801">
          <cell r="A3801"/>
          <cell r="B3801"/>
          <cell r="C3801"/>
          <cell r="D3801"/>
          <cell r="E3801"/>
          <cell r="F3801"/>
          <cell r="G3801"/>
          <cell r="H3801"/>
          <cell r="I3801"/>
          <cell r="J3801"/>
          <cell r="K3801"/>
          <cell r="L3801"/>
          <cell r="M3801"/>
          <cell r="N3801"/>
          <cell r="O3801"/>
        </row>
        <row r="3802">
          <cell r="A3802"/>
          <cell r="B3802"/>
          <cell r="C3802"/>
          <cell r="D3802"/>
          <cell r="E3802"/>
          <cell r="F3802"/>
          <cell r="G3802"/>
          <cell r="H3802"/>
          <cell r="I3802"/>
          <cell r="J3802"/>
          <cell r="K3802"/>
          <cell r="L3802"/>
          <cell r="M3802"/>
          <cell r="N3802"/>
          <cell r="O3802"/>
        </row>
        <row r="3803">
          <cell r="A3803"/>
          <cell r="B3803"/>
          <cell r="C3803"/>
          <cell r="D3803"/>
          <cell r="E3803"/>
          <cell r="F3803"/>
          <cell r="G3803"/>
          <cell r="H3803"/>
          <cell r="I3803"/>
          <cell r="J3803"/>
          <cell r="K3803"/>
          <cell r="L3803"/>
          <cell r="M3803"/>
          <cell r="N3803"/>
          <cell r="O3803"/>
        </row>
        <row r="3804">
          <cell r="A3804"/>
          <cell r="B3804"/>
          <cell r="C3804"/>
          <cell r="D3804"/>
          <cell r="E3804"/>
          <cell r="F3804"/>
          <cell r="G3804"/>
          <cell r="H3804"/>
          <cell r="I3804"/>
          <cell r="J3804"/>
          <cell r="K3804"/>
          <cell r="L3804"/>
          <cell r="M3804"/>
          <cell r="N3804"/>
          <cell r="O3804"/>
        </row>
        <row r="3805">
          <cell r="A3805"/>
          <cell r="B3805"/>
          <cell r="C3805"/>
          <cell r="D3805"/>
          <cell r="E3805"/>
          <cell r="F3805"/>
          <cell r="G3805"/>
          <cell r="H3805"/>
          <cell r="I3805"/>
          <cell r="J3805"/>
          <cell r="K3805"/>
          <cell r="L3805"/>
          <cell r="M3805"/>
          <cell r="N3805"/>
          <cell r="O3805"/>
        </row>
        <row r="3806">
          <cell r="A3806"/>
          <cell r="B3806"/>
          <cell r="C3806"/>
          <cell r="D3806"/>
          <cell r="E3806"/>
          <cell r="F3806"/>
          <cell r="G3806"/>
          <cell r="H3806"/>
          <cell r="I3806"/>
          <cell r="J3806"/>
          <cell r="K3806"/>
          <cell r="L3806"/>
          <cell r="M3806"/>
          <cell r="N3806"/>
          <cell r="O3806"/>
        </row>
        <row r="3807">
          <cell r="A3807"/>
          <cell r="B3807"/>
          <cell r="C3807"/>
          <cell r="D3807"/>
          <cell r="E3807"/>
          <cell r="F3807"/>
          <cell r="G3807"/>
          <cell r="H3807"/>
          <cell r="I3807"/>
          <cell r="J3807"/>
          <cell r="K3807"/>
          <cell r="L3807"/>
          <cell r="M3807"/>
          <cell r="N3807"/>
          <cell r="O3807"/>
        </row>
        <row r="3808">
          <cell r="A3808"/>
          <cell r="B3808"/>
          <cell r="C3808"/>
          <cell r="D3808"/>
          <cell r="E3808"/>
          <cell r="F3808"/>
          <cell r="G3808"/>
          <cell r="H3808"/>
          <cell r="I3808"/>
          <cell r="J3808"/>
          <cell r="K3808"/>
          <cell r="L3808"/>
          <cell r="M3808"/>
          <cell r="N3808"/>
          <cell r="O3808"/>
        </row>
        <row r="3809">
          <cell r="A3809"/>
          <cell r="B3809"/>
          <cell r="C3809"/>
          <cell r="D3809"/>
          <cell r="E3809"/>
          <cell r="F3809"/>
          <cell r="G3809"/>
          <cell r="H3809"/>
          <cell r="I3809"/>
          <cell r="J3809"/>
          <cell r="K3809"/>
          <cell r="L3809"/>
          <cell r="M3809"/>
          <cell r="N3809"/>
          <cell r="O3809"/>
        </row>
        <row r="3810">
          <cell r="A3810"/>
          <cell r="B3810"/>
          <cell r="C3810"/>
          <cell r="D3810"/>
          <cell r="E3810"/>
          <cell r="F3810"/>
          <cell r="G3810"/>
          <cell r="H3810"/>
          <cell r="I3810"/>
          <cell r="J3810"/>
          <cell r="K3810"/>
          <cell r="L3810"/>
          <cell r="M3810"/>
          <cell r="N3810"/>
          <cell r="O3810"/>
        </row>
        <row r="3811">
          <cell r="A3811"/>
          <cell r="B3811"/>
          <cell r="C3811"/>
          <cell r="D3811"/>
          <cell r="E3811"/>
          <cell r="F3811"/>
          <cell r="G3811"/>
          <cell r="H3811"/>
          <cell r="I3811"/>
          <cell r="J3811"/>
          <cell r="K3811"/>
          <cell r="L3811"/>
          <cell r="M3811"/>
          <cell r="N3811"/>
          <cell r="O3811"/>
        </row>
        <row r="3812">
          <cell r="A3812"/>
          <cell r="B3812"/>
          <cell r="C3812"/>
          <cell r="D3812"/>
          <cell r="E3812"/>
          <cell r="F3812"/>
          <cell r="G3812"/>
          <cell r="H3812"/>
          <cell r="I3812"/>
          <cell r="J3812"/>
          <cell r="K3812"/>
          <cell r="L3812"/>
          <cell r="M3812"/>
          <cell r="N3812"/>
          <cell r="O3812"/>
        </row>
        <row r="3813">
          <cell r="A3813"/>
          <cell r="B3813"/>
          <cell r="C3813"/>
          <cell r="D3813"/>
          <cell r="E3813"/>
          <cell r="F3813"/>
          <cell r="G3813"/>
          <cell r="H3813"/>
          <cell r="I3813"/>
          <cell r="J3813"/>
          <cell r="K3813"/>
          <cell r="L3813"/>
          <cell r="M3813"/>
          <cell r="N3813"/>
          <cell r="O3813"/>
        </row>
        <row r="3814">
          <cell r="A3814"/>
          <cell r="B3814"/>
          <cell r="C3814"/>
          <cell r="D3814"/>
          <cell r="E3814"/>
          <cell r="F3814"/>
          <cell r="G3814"/>
          <cell r="H3814"/>
          <cell r="I3814"/>
          <cell r="J3814"/>
          <cell r="K3814"/>
          <cell r="L3814"/>
          <cell r="M3814"/>
          <cell r="N3814"/>
          <cell r="O3814"/>
        </row>
        <row r="3815">
          <cell r="A3815"/>
          <cell r="B3815"/>
          <cell r="C3815"/>
          <cell r="D3815"/>
          <cell r="E3815"/>
          <cell r="F3815"/>
          <cell r="G3815"/>
          <cell r="H3815"/>
          <cell r="I3815"/>
          <cell r="J3815"/>
          <cell r="K3815"/>
          <cell r="L3815"/>
          <cell r="M3815"/>
          <cell r="N3815"/>
          <cell r="O3815"/>
        </row>
        <row r="3816">
          <cell r="A3816"/>
          <cell r="B3816"/>
          <cell r="C3816"/>
          <cell r="D3816"/>
          <cell r="E3816"/>
          <cell r="F3816"/>
          <cell r="G3816"/>
          <cell r="H3816"/>
          <cell r="I3816"/>
          <cell r="J3816"/>
          <cell r="K3816"/>
          <cell r="L3816"/>
          <cell r="M3816"/>
          <cell r="N3816"/>
          <cell r="O3816"/>
        </row>
        <row r="3817">
          <cell r="A3817"/>
          <cell r="B3817"/>
          <cell r="C3817"/>
          <cell r="D3817"/>
          <cell r="E3817"/>
          <cell r="F3817"/>
          <cell r="G3817"/>
          <cell r="H3817"/>
          <cell r="I3817"/>
          <cell r="J3817"/>
          <cell r="K3817"/>
          <cell r="L3817"/>
          <cell r="M3817"/>
          <cell r="N3817"/>
          <cell r="O3817"/>
        </row>
        <row r="3818">
          <cell r="A3818"/>
          <cell r="B3818"/>
          <cell r="C3818"/>
          <cell r="D3818"/>
          <cell r="E3818"/>
          <cell r="F3818"/>
          <cell r="G3818"/>
          <cell r="H3818"/>
          <cell r="I3818"/>
          <cell r="J3818"/>
          <cell r="K3818"/>
          <cell r="L3818"/>
          <cell r="M3818"/>
          <cell r="N3818"/>
          <cell r="O3818"/>
        </row>
        <row r="3819">
          <cell r="A3819"/>
          <cell r="B3819"/>
          <cell r="C3819"/>
          <cell r="D3819"/>
          <cell r="E3819"/>
          <cell r="F3819"/>
          <cell r="G3819"/>
          <cell r="H3819"/>
          <cell r="I3819"/>
          <cell r="J3819"/>
          <cell r="K3819"/>
          <cell r="L3819"/>
          <cell r="M3819"/>
          <cell r="N3819"/>
          <cell r="O3819"/>
        </row>
        <row r="3820">
          <cell r="A3820"/>
          <cell r="B3820"/>
          <cell r="C3820"/>
          <cell r="D3820"/>
          <cell r="E3820"/>
          <cell r="F3820"/>
          <cell r="G3820"/>
          <cell r="H3820"/>
          <cell r="I3820"/>
          <cell r="J3820"/>
          <cell r="K3820"/>
          <cell r="L3820"/>
          <cell r="M3820"/>
          <cell r="N3820"/>
          <cell r="O3820"/>
        </row>
        <row r="3821">
          <cell r="A3821"/>
          <cell r="B3821"/>
          <cell r="C3821"/>
          <cell r="D3821"/>
          <cell r="E3821"/>
          <cell r="F3821"/>
          <cell r="G3821"/>
          <cell r="H3821"/>
          <cell r="I3821"/>
          <cell r="J3821"/>
          <cell r="K3821"/>
          <cell r="L3821"/>
          <cell r="M3821"/>
          <cell r="N3821"/>
          <cell r="O3821"/>
        </row>
        <row r="3822">
          <cell r="A3822"/>
          <cell r="B3822"/>
          <cell r="C3822"/>
          <cell r="D3822"/>
          <cell r="E3822"/>
          <cell r="F3822"/>
          <cell r="G3822"/>
          <cell r="H3822"/>
          <cell r="I3822"/>
          <cell r="J3822"/>
          <cell r="K3822"/>
          <cell r="L3822"/>
          <cell r="M3822"/>
          <cell r="N3822"/>
          <cell r="O3822"/>
        </row>
        <row r="3823">
          <cell r="A3823"/>
          <cell r="B3823"/>
          <cell r="C3823"/>
          <cell r="D3823"/>
          <cell r="E3823"/>
          <cell r="F3823"/>
          <cell r="G3823"/>
          <cell r="H3823"/>
          <cell r="I3823"/>
          <cell r="J3823"/>
          <cell r="K3823"/>
          <cell r="L3823"/>
          <cell r="M3823"/>
          <cell r="N3823"/>
          <cell r="O3823"/>
        </row>
        <row r="3824">
          <cell r="A3824"/>
          <cell r="B3824"/>
          <cell r="C3824"/>
          <cell r="D3824"/>
          <cell r="E3824"/>
          <cell r="F3824"/>
          <cell r="G3824"/>
          <cell r="H3824"/>
          <cell r="I3824"/>
          <cell r="J3824"/>
          <cell r="K3824"/>
          <cell r="L3824"/>
          <cell r="M3824"/>
          <cell r="N3824"/>
          <cell r="O3824"/>
        </row>
        <row r="3825">
          <cell r="A3825"/>
          <cell r="B3825"/>
          <cell r="C3825"/>
          <cell r="D3825"/>
          <cell r="E3825"/>
          <cell r="F3825"/>
          <cell r="G3825"/>
          <cell r="H3825"/>
          <cell r="I3825"/>
          <cell r="J3825"/>
          <cell r="K3825"/>
          <cell r="L3825"/>
          <cell r="M3825"/>
          <cell r="N3825"/>
          <cell r="O3825"/>
        </row>
        <row r="3826">
          <cell r="A3826"/>
          <cell r="B3826"/>
          <cell r="C3826"/>
          <cell r="D3826"/>
          <cell r="E3826"/>
          <cell r="F3826"/>
          <cell r="G3826"/>
          <cell r="H3826"/>
          <cell r="I3826"/>
          <cell r="J3826"/>
          <cell r="K3826"/>
          <cell r="L3826"/>
          <cell r="M3826"/>
          <cell r="N3826"/>
          <cell r="O3826"/>
        </row>
        <row r="3827">
          <cell r="A3827"/>
          <cell r="B3827"/>
          <cell r="C3827"/>
          <cell r="D3827"/>
          <cell r="E3827"/>
          <cell r="F3827"/>
          <cell r="G3827"/>
          <cell r="H3827"/>
          <cell r="I3827"/>
          <cell r="J3827"/>
          <cell r="K3827"/>
          <cell r="L3827"/>
          <cell r="M3827"/>
          <cell r="N3827"/>
          <cell r="O3827"/>
        </row>
        <row r="3828">
          <cell r="A3828"/>
          <cell r="B3828"/>
          <cell r="C3828"/>
          <cell r="D3828"/>
          <cell r="E3828"/>
          <cell r="F3828"/>
          <cell r="G3828"/>
          <cell r="H3828"/>
          <cell r="I3828"/>
          <cell r="J3828"/>
          <cell r="K3828"/>
          <cell r="L3828"/>
          <cell r="M3828"/>
          <cell r="N3828"/>
          <cell r="O3828"/>
        </row>
        <row r="3829">
          <cell r="A3829"/>
          <cell r="B3829"/>
          <cell r="C3829"/>
          <cell r="D3829"/>
          <cell r="E3829"/>
          <cell r="F3829"/>
          <cell r="G3829"/>
          <cell r="H3829"/>
          <cell r="I3829"/>
          <cell r="J3829"/>
          <cell r="K3829"/>
          <cell r="L3829"/>
          <cell r="M3829"/>
          <cell r="N3829"/>
          <cell r="O3829"/>
        </row>
        <row r="3830">
          <cell r="A3830"/>
          <cell r="B3830"/>
          <cell r="C3830"/>
          <cell r="D3830"/>
          <cell r="E3830"/>
          <cell r="F3830"/>
          <cell r="G3830"/>
          <cell r="H3830"/>
          <cell r="I3830"/>
          <cell r="J3830"/>
          <cell r="K3830"/>
          <cell r="L3830"/>
          <cell r="M3830"/>
          <cell r="N3830"/>
          <cell r="O3830"/>
        </row>
        <row r="3831">
          <cell r="A3831"/>
          <cell r="B3831"/>
          <cell r="C3831"/>
          <cell r="D3831"/>
          <cell r="E3831"/>
          <cell r="F3831"/>
          <cell r="G3831"/>
          <cell r="H3831"/>
          <cell r="I3831"/>
          <cell r="J3831"/>
          <cell r="K3831"/>
          <cell r="L3831"/>
          <cell r="M3831"/>
          <cell r="N3831"/>
          <cell r="O3831"/>
        </row>
        <row r="3832">
          <cell r="A3832"/>
          <cell r="B3832"/>
          <cell r="C3832"/>
          <cell r="D3832"/>
          <cell r="E3832"/>
          <cell r="F3832"/>
          <cell r="G3832"/>
          <cell r="H3832"/>
          <cell r="I3832"/>
          <cell r="J3832"/>
          <cell r="K3832"/>
          <cell r="L3832"/>
          <cell r="M3832"/>
          <cell r="N3832"/>
          <cell r="O3832"/>
        </row>
        <row r="3833">
          <cell r="A3833"/>
          <cell r="B3833"/>
          <cell r="C3833"/>
          <cell r="D3833"/>
          <cell r="E3833"/>
          <cell r="F3833"/>
          <cell r="G3833"/>
          <cell r="H3833"/>
          <cell r="I3833"/>
          <cell r="J3833"/>
          <cell r="K3833"/>
          <cell r="L3833"/>
          <cell r="M3833"/>
          <cell r="N3833"/>
          <cell r="O3833"/>
        </row>
        <row r="3834">
          <cell r="A3834"/>
          <cell r="B3834"/>
          <cell r="C3834"/>
          <cell r="D3834"/>
          <cell r="E3834"/>
          <cell r="F3834"/>
          <cell r="G3834"/>
          <cell r="H3834"/>
          <cell r="I3834"/>
          <cell r="J3834"/>
          <cell r="K3834"/>
          <cell r="L3834"/>
          <cell r="M3834"/>
          <cell r="N3834"/>
          <cell r="O3834"/>
        </row>
        <row r="3835">
          <cell r="A3835"/>
          <cell r="B3835"/>
          <cell r="C3835"/>
          <cell r="D3835"/>
          <cell r="E3835"/>
          <cell r="F3835"/>
          <cell r="G3835"/>
          <cell r="H3835"/>
          <cell r="I3835"/>
          <cell r="J3835"/>
          <cell r="K3835"/>
          <cell r="L3835"/>
          <cell r="M3835"/>
          <cell r="N3835"/>
          <cell r="O3835"/>
        </row>
        <row r="3836">
          <cell r="A3836"/>
          <cell r="B3836"/>
          <cell r="C3836"/>
          <cell r="D3836"/>
          <cell r="E3836"/>
          <cell r="F3836"/>
          <cell r="G3836"/>
          <cell r="H3836"/>
          <cell r="I3836"/>
          <cell r="J3836"/>
          <cell r="K3836"/>
          <cell r="L3836"/>
          <cell r="M3836"/>
          <cell r="N3836"/>
          <cell r="O3836"/>
        </row>
        <row r="3837">
          <cell r="A3837"/>
          <cell r="B3837"/>
          <cell r="C3837"/>
          <cell r="D3837"/>
          <cell r="E3837"/>
          <cell r="F3837"/>
          <cell r="G3837"/>
          <cell r="H3837"/>
          <cell r="I3837"/>
          <cell r="J3837"/>
          <cell r="K3837"/>
          <cell r="L3837"/>
          <cell r="M3837"/>
          <cell r="N3837"/>
          <cell r="O3837"/>
        </row>
        <row r="3838">
          <cell r="A3838"/>
          <cell r="B3838"/>
          <cell r="C3838"/>
          <cell r="D3838"/>
          <cell r="E3838"/>
          <cell r="F3838"/>
          <cell r="G3838"/>
          <cell r="H3838"/>
          <cell r="I3838"/>
          <cell r="J3838"/>
          <cell r="K3838"/>
          <cell r="L3838"/>
          <cell r="M3838"/>
          <cell r="N3838"/>
          <cell r="O3838"/>
        </row>
        <row r="3839">
          <cell r="A3839"/>
          <cell r="B3839"/>
          <cell r="C3839"/>
          <cell r="D3839"/>
          <cell r="E3839"/>
          <cell r="F3839"/>
          <cell r="G3839"/>
          <cell r="H3839"/>
          <cell r="I3839"/>
          <cell r="J3839"/>
          <cell r="K3839"/>
          <cell r="L3839"/>
          <cell r="M3839"/>
          <cell r="N3839"/>
          <cell r="O3839"/>
        </row>
        <row r="3840">
          <cell r="A3840"/>
          <cell r="B3840"/>
          <cell r="C3840"/>
          <cell r="D3840"/>
          <cell r="E3840"/>
          <cell r="F3840"/>
          <cell r="G3840"/>
          <cell r="H3840"/>
          <cell r="I3840"/>
          <cell r="J3840"/>
          <cell r="K3840"/>
          <cell r="L3840"/>
          <cell r="M3840"/>
          <cell r="N3840"/>
          <cell r="O3840"/>
        </row>
        <row r="3841">
          <cell r="A3841"/>
          <cell r="B3841"/>
          <cell r="C3841"/>
          <cell r="D3841"/>
          <cell r="E3841"/>
          <cell r="F3841"/>
          <cell r="G3841"/>
          <cell r="H3841"/>
          <cell r="I3841"/>
          <cell r="J3841"/>
          <cell r="K3841"/>
          <cell r="L3841"/>
          <cell r="M3841"/>
          <cell r="N3841"/>
          <cell r="O3841"/>
        </row>
        <row r="3842">
          <cell r="A3842"/>
          <cell r="B3842"/>
          <cell r="C3842"/>
          <cell r="D3842"/>
          <cell r="E3842"/>
          <cell r="F3842"/>
          <cell r="G3842"/>
          <cell r="H3842"/>
          <cell r="I3842"/>
          <cell r="J3842"/>
          <cell r="K3842"/>
          <cell r="L3842"/>
          <cell r="M3842"/>
          <cell r="N3842"/>
          <cell r="O3842"/>
        </row>
        <row r="3843">
          <cell r="A3843"/>
          <cell r="B3843"/>
          <cell r="C3843"/>
          <cell r="D3843"/>
          <cell r="E3843"/>
          <cell r="F3843"/>
          <cell r="G3843"/>
          <cell r="H3843"/>
          <cell r="I3843"/>
          <cell r="J3843"/>
          <cell r="K3843"/>
          <cell r="L3843"/>
          <cell r="M3843"/>
          <cell r="N3843"/>
          <cell r="O3843"/>
        </row>
        <row r="3844">
          <cell r="A3844"/>
          <cell r="B3844"/>
          <cell r="C3844"/>
          <cell r="D3844"/>
          <cell r="E3844"/>
          <cell r="F3844"/>
          <cell r="G3844"/>
          <cell r="H3844"/>
          <cell r="I3844"/>
          <cell r="J3844"/>
          <cell r="K3844"/>
          <cell r="L3844"/>
          <cell r="M3844"/>
          <cell r="N3844"/>
          <cell r="O3844"/>
        </row>
        <row r="3845">
          <cell r="A3845"/>
          <cell r="B3845"/>
          <cell r="C3845"/>
          <cell r="D3845"/>
          <cell r="E3845"/>
          <cell r="F3845"/>
          <cell r="G3845"/>
          <cell r="H3845"/>
          <cell r="I3845"/>
          <cell r="J3845"/>
          <cell r="K3845"/>
          <cell r="L3845"/>
          <cell r="M3845"/>
          <cell r="N3845"/>
          <cell r="O3845"/>
        </row>
        <row r="3846">
          <cell r="A3846"/>
          <cell r="B3846"/>
          <cell r="C3846"/>
          <cell r="D3846"/>
          <cell r="E3846"/>
          <cell r="F3846"/>
          <cell r="G3846"/>
          <cell r="H3846"/>
          <cell r="I3846"/>
          <cell r="J3846"/>
          <cell r="K3846"/>
          <cell r="L3846"/>
          <cell r="M3846"/>
          <cell r="N3846"/>
          <cell r="O3846"/>
        </row>
        <row r="3847">
          <cell r="A3847"/>
          <cell r="B3847"/>
          <cell r="C3847"/>
          <cell r="D3847"/>
          <cell r="E3847"/>
          <cell r="F3847"/>
          <cell r="G3847"/>
          <cell r="H3847"/>
          <cell r="I3847"/>
          <cell r="J3847"/>
          <cell r="K3847"/>
          <cell r="L3847"/>
          <cell r="M3847"/>
          <cell r="N3847"/>
          <cell r="O3847"/>
        </row>
        <row r="3848">
          <cell r="A3848"/>
          <cell r="B3848"/>
          <cell r="C3848"/>
          <cell r="D3848"/>
          <cell r="E3848"/>
          <cell r="F3848"/>
          <cell r="G3848"/>
          <cell r="H3848"/>
          <cell r="I3848"/>
          <cell r="J3848"/>
          <cell r="K3848"/>
          <cell r="L3848"/>
          <cell r="M3848"/>
          <cell r="N3848"/>
          <cell r="O3848"/>
        </row>
        <row r="3849">
          <cell r="A3849"/>
          <cell r="B3849"/>
          <cell r="C3849"/>
          <cell r="D3849"/>
          <cell r="E3849"/>
          <cell r="F3849"/>
          <cell r="G3849"/>
          <cell r="H3849"/>
          <cell r="I3849"/>
          <cell r="J3849"/>
          <cell r="K3849"/>
          <cell r="L3849"/>
          <cell r="M3849"/>
          <cell r="N3849"/>
          <cell r="O3849"/>
        </row>
        <row r="3850">
          <cell r="A3850"/>
          <cell r="B3850"/>
          <cell r="C3850"/>
          <cell r="D3850"/>
          <cell r="E3850"/>
          <cell r="F3850"/>
          <cell r="G3850"/>
          <cell r="H3850"/>
          <cell r="I3850"/>
          <cell r="J3850"/>
          <cell r="K3850"/>
          <cell r="L3850"/>
          <cell r="M3850"/>
          <cell r="N3850"/>
          <cell r="O3850"/>
        </row>
        <row r="3851">
          <cell r="A3851"/>
          <cell r="B3851"/>
          <cell r="C3851"/>
          <cell r="D3851"/>
          <cell r="E3851"/>
          <cell r="F3851"/>
          <cell r="G3851"/>
          <cell r="H3851"/>
          <cell r="I3851"/>
          <cell r="J3851"/>
          <cell r="K3851"/>
          <cell r="L3851"/>
          <cell r="M3851"/>
          <cell r="N3851"/>
          <cell r="O3851"/>
        </row>
        <row r="3852">
          <cell r="A3852"/>
          <cell r="B3852"/>
          <cell r="C3852"/>
          <cell r="D3852"/>
          <cell r="E3852"/>
          <cell r="F3852"/>
          <cell r="G3852"/>
          <cell r="H3852"/>
          <cell r="I3852"/>
          <cell r="J3852"/>
          <cell r="K3852"/>
          <cell r="L3852"/>
          <cell r="M3852"/>
          <cell r="N3852"/>
          <cell r="O3852"/>
        </row>
        <row r="3853">
          <cell r="A3853"/>
          <cell r="B3853"/>
          <cell r="C3853"/>
          <cell r="D3853"/>
          <cell r="E3853"/>
          <cell r="F3853"/>
          <cell r="G3853"/>
          <cell r="H3853"/>
          <cell r="I3853"/>
          <cell r="J3853"/>
          <cell r="K3853"/>
          <cell r="L3853"/>
          <cell r="M3853"/>
          <cell r="N3853"/>
          <cell r="O3853"/>
        </row>
        <row r="3854">
          <cell r="A3854"/>
          <cell r="B3854"/>
          <cell r="C3854"/>
          <cell r="D3854"/>
          <cell r="E3854"/>
          <cell r="F3854"/>
          <cell r="G3854"/>
          <cell r="H3854"/>
          <cell r="I3854"/>
          <cell r="J3854"/>
          <cell r="K3854"/>
          <cell r="L3854"/>
          <cell r="M3854"/>
          <cell r="N3854"/>
          <cell r="O3854"/>
        </row>
        <row r="3855">
          <cell r="A3855"/>
          <cell r="B3855"/>
          <cell r="C3855"/>
          <cell r="D3855"/>
          <cell r="E3855"/>
          <cell r="F3855"/>
          <cell r="G3855"/>
          <cell r="H3855"/>
          <cell r="I3855"/>
          <cell r="J3855"/>
          <cell r="K3855"/>
          <cell r="L3855"/>
          <cell r="M3855"/>
          <cell r="N3855"/>
          <cell r="O3855"/>
        </row>
        <row r="3856">
          <cell r="A3856"/>
          <cell r="B3856"/>
          <cell r="C3856"/>
          <cell r="D3856"/>
          <cell r="E3856"/>
          <cell r="F3856"/>
          <cell r="G3856"/>
          <cell r="H3856"/>
          <cell r="I3856"/>
          <cell r="J3856"/>
          <cell r="K3856"/>
          <cell r="L3856"/>
          <cell r="M3856"/>
          <cell r="N3856"/>
          <cell r="O3856"/>
        </row>
        <row r="3857">
          <cell r="A3857"/>
          <cell r="B3857"/>
          <cell r="C3857"/>
          <cell r="D3857"/>
          <cell r="E3857"/>
          <cell r="F3857"/>
          <cell r="G3857"/>
          <cell r="H3857"/>
          <cell r="I3857"/>
          <cell r="J3857"/>
          <cell r="K3857"/>
          <cell r="L3857"/>
          <cell r="M3857"/>
          <cell r="N3857"/>
          <cell r="O3857"/>
        </row>
        <row r="3858">
          <cell r="A3858"/>
          <cell r="B3858"/>
          <cell r="C3858"/>
          <cell r="D3858"/>
          <cell r="E3858"/>
          <cell r="F3858"/>
          <cell r="G3858"/>
          <cell r="H3858"/>
          <cell r="I3858"/>
          <cell r="J3858"/>
          <cell r="K3858"/>
          <cell r="L3858"/>
          <cell r="M3858"/>
          <cell r="N3858"/>
          <cell r="O3858"/>
        </row>
        <row r="3859">
          <cell r="A3859"/>
          <cell r="B3859"/>
          <cell r="C3859"/>
          <cell r="D3859"/>
          <cell r="E3859"/>
          <cell r="F3859"/>
          <cell r="G3859"/>
          <cell r="H3859"/>
          <cell r="I3859"/>
          <cell r="J3859"/>
          <cell r="K3859"/>
          <cell r="L3859"/>
          <cell r="M3859"/>
          <cell r="N3859"/>
          <cell r="O3859"/>
        </row>
        <row r="3860">
          <cell r="A3860"/>
          <cell r="B3860"/>
          <cell r="C3860"/>
          <cell r="D3860"/>
          <cell r="E3860"/>
          <cell r="F3860"/>
          <cell r="G3860"/>
          <cell r="H3860"/>
          <cell r="I3860"/>
          <cell r="J3860"/>
          <cell r="K3860"/>
          <cell r="L3860"/>
          <cell r="M3860"/>
          <cell r="N3860"/>
          <cell r="O3860"/>
        </row>
        <row r="3861">
          <cell r="A3861"/>
          <cell r="B3861"/>
          <cell r="C3861"/>
          <cell r="D3861"/>
          <cell r="E3861"/>
          <cell r="F3861"/>
          <cell r="G3861"/>
          <cell r="H3861"/>
          <cell r="I3861"/>
          <cell r="J3861"/>
          <cell r="K3861"/>
          <cell r="L3861"/>
          <cell r="M3861"/>
          <cell r="N3861"/>
          <cell r="O3861"/>
        </row>
        <row r="3862">
          <cell r="A3862"/>
          <cell r="B3862"/>
          <cell r="C3862"/>
          <cell r="D3862"/>
          <cell r="E3862"/>
          <cell r="F3862"/>
          <cell r="G3862"/>
          <cell r="H3862"/>
          <cell r="I3862"/>
          <cell r="J3862"/>
          <cell r="K3862"/>
          <cell r="L3862"/>
          <cell r="M3862"/>
          <cell r="N3862"/>
          <cell r="O3862"/>
        </row>
        <row r="3863">
          <cell r="A3863"/>
          <cell r="B3863"/>
          <cell r="C3863"/>
          <cell r="D3863"/>
          <cell r="E3863"/>
          <cell r="F3863"/>
          <cell r="G3863"/>
          <cell r="H3863"/>
          <cell r="I3863"/>
          <cell r="J3863"/>
          <cell r="K3863"/>
          <cell r="L3863"/>
          <cell r="M3863"/>
          <cell r="N3863"/>
          <cell r="O3863"/>
        </row>
        <row r="3864">
          <cell r="A3864"/>
          <cell r="B3864"/>
          <cell r="C3864"/>
          <cell r="D3864"/>
          <cell r="E3864"/>
          <cell r="F3864"/>
          <cell r="G3864"/>
          <cell r="H3864"/>
          <cell r="I3864"/>
          <cell r="J3864"/>
          <cell r="K3864"/>
          <cell r="L3864"/>
          <cell r="M3864"/>
          <cell r="N3864"/>
          <cell r="O3864"/>
        </row>
        <row r="3865">
          <cell r="A3865"/>
          <cell r="B3865"/>
          <cell r="C3865"/>
          <cell r="D3865"/>
          <cell r="E3865"/>
          <cell r="F3865"/>
          <cell r="G3865"/>
          <cell r="H3865"/>
          <cell r="I3865"/>
          <cell r="J3865"/>
          <cell r="K3865"/>
          <cell r="L3865"/>
          <cell r="M3865"/>
          <cell r="N3865"/>
          <cell r="O3865"/>
        </row>
        <row r="3866">
          <cell r="A3866"/>
          <cell r="B3866"/>
          <cell r="C3866"/>
          <cell r="D3866"/>
          <cell r="E3866"/>
          <cell r="F3866"/>
          <cell r="G3866"/>
          <cell r="H3866"/>
          <cell r="I3866"/>
          <cell r="J3866"/>
          <cell r="K3866"/>
          <cell r="L3866"/>
          <cell r="M3866"/>
          <cell r="N3866"/>
          <cell r="O3866"/>
        </row>
        <row r="3867">
          <cell r="A3867"/>
          <cell r="B3867"/>
          <cell r="C3867"/>
          <cell r="D3867"/>
          <cell r="E3867"/>
          <cell r="F3867"/>
          <cell r="G3867"/>
          <cell r="H3867"/>
          <cell r="I3867"/>
          <cell r="J3867"/>
          <cell r="K3867"/>
          <cell r="L3867"/>
          <cell r="M3867"/>
          <cell r="N3867"/>
          <cell r="O3867"/>
        </row>
        <row r="3868">
          <cell r="A3868"/>
          <cell r="B3868"/>
          <cell r="C3868"/>
          <cell r="D3868"/>
          <cell r="E3868"/>
          <cell r="F3868"/>
          <cell r="G3868"/>
          <cell r="H3868"/>
          <cell r="I3868"/>
          <cell r="J3868"/>
          <cell r="K3868"/>
          <cell r="L3868"/>
          <cell r="M3868"/>
          <cell r="N3868"/>
          <cell r="O3868"/>
        </row>
        <row r="3869">
          <cell r="A3869"/>
          <cell r="B3869"/>
          <cell r="C3869"/>
          <cell r="D3869"/>
          <cell r="E3869"/>
          <cell r="F3869"/>
          <cell r="G3869"/>
          <cell r="H3869"/>
          <cell r="I3869"/>
          <cell r="J3869"/>
          <cell r="K3869"/>
          <cell r="L3869"/>
          <cell r="M3869"/>
          <cell r="N3869"/>
          <cell r="O3869"/>
        </row>
        <row r="3870">
          <cell r="A3870"/>
          <cell r="B3870"/>
          <cell r="C3870"/>
          <cell r="D3870"/>
          <cell r="E3870"/>
          <cell r="F3870"/>
          <cell r="G3870"/>
          <cell r="H3870"/>
          <cell r="I3870"/>
          <cell r="J3870"/>
          <cell r="K3870"/>
          <cell r="L3870"/>
          <cell r="M3870"/>
          <cell r="N3870"/>
          <cell r="O3870"/>
        </row>
        <row r="3871">
          <cell r="A3871"/>
          <cell r="B3871"/>
          <cell r="C3871"/>
          <cell r="D3871"/>
          <cell r="E3871"/>
          <cell r="F3871"/>
          <cell r="G3871"/>
          <cell r="H3871"/>
          <cell r="I3871"/>
          <cell r="J3871"/>
          <cell r="K3871"/>
          <cell r="L3871"/>
          <cell r="M3871"/>
          <cell r="N3871"/>
          <cell r="O3871"/>
        </row>
        <row r="3872">
          <cell r="A3872"/>
          <cell r="B3872"/>
          <cell r="C3872"/>
          <cell r="D3872"/>
          <cell r="E3872"/>
          <cell r="F3872"/>
          <cell r="G3872"/>
          <cell r="H3872"/>
          <cell r="I3872"/>
          <cell r="J3872"/>
          <cell r="K3872"/>
          <cell r="L3872"/>
          <cell r="M3872"/>
          <cell r="N3872"/>
          <cell r="O3872"/>
        </row>
        <row r="3873">
          <cell r="A3873"/>
          <cell r="B3873"/>
          <cell r="C3873"/>
          <cell r="D3873"/>
          <cell r="E3873"/>
          <cell r="F3873"/>
          <cell r="G3873"/>
          <cell r="H3873"/>
          <cell r="I3873"/>
          <cell r="J3873"/>
          <cell r="K3873"/>
          <cell r="L3873"/>
          <cell r="M3873"/>
          <cell r="N3873"/>
          <cell r="O3873"/>
        </row>
        <row r="3874">
          <cell r="A3874"/>
          <cell r="B3874"/>
          <cell r="C3874"/>
          <cell r="D3874"/>
          <cell r="E3874"/>
          <cell r="F3874"/>
          <cell r="G3874"/>
          <cell r="H3874"/>
          <cell r="I3874"/>
          <cell r="J3874"/>
          <cell r="K3874"/>
          <cell r="L3874"/>
          <cell r="M3874"/>
          <cell r="N3874"/>
          <cell r="O3874"/>
        </row>
        <row r="3875">
          <cell r="A3875"/>
          <cell r="B3875"/>
          <cell r="C3875"/>
          <cell r="D3875"/>
          <cell r="E3875"/>
          <cell r="F3875"/>
          <cell r="G3875"/>
          <cell r="H3875"/>
          <cell r="I3875"/>
          <cell r="J3875"/>
          <cell r="K3875"/>
          <cell r="L3875"/>
          <cell r="M3875"/>
          <cell r="N3875"/>
          <cell r="O3875"/>
        </row>
        <row r="3876">
          <cell r="A3876"/>
          <cell r="B3876"/>
          <cell r="C3876"/>
          <cell r="D3876"/>
          <cell r="E3876"/>
          <cell r="F3876"/>
          <cell r="G3876"/>
          <cell r="H3876"/>
          <cell r="I3876"/>
          <cell r="J3876"/>
          <cell r="K3876"/>
          <cell r="L3876"/>
          <cell r="M3876"/>
          <cell r="N3876"/>
          <cell r="O3876"/>
        </row>
        <row r="3877">
          <cell r="A3877"/>
          <cell r="B3877"/>
          <cell r="C3877"/>
          <cell r="D3877"/>
          <cell r="E3877"/>
          <cell r="F3877"/>
          <cell r="G3877"/>
          <cell r="H3877"/>
          <cell r="I3877"/>
          <cell r="J3877"/>
          <cell r="K3877"/>
          <cell r="L3877"/>
          <cell r="M3877"/>
          <cell r="N3877"/>
          <cell r="O3877"/>
        </row>
        <row r="3878">
          <cell r="A3878"/>
          <cell r="B3878"/>
          <cell r="C3878"/>
          <cell r="D3878"/>
          <cell r="E3878"/>
          <cell r="F3878"/>
          <cell r="G3878"/>
          <cell r="H3878"/>
          <cell r="I3878"/>
          <cell r="J3878"/>
          <cell r="K3878"/>
          <cell r="L3878"/>
          <cell r="M3878"/>
          <cell r="N3878"/>
          <cell r="O3878"/>
        </row>
        <row r="3879">
          <cell r="A3879"/>
          <cell r="B3879"/>
          <cell r="C3879"/>
          <cell r="D3879"/>
          <cell r="E3879"/>
          <cell r="F3879"/>
          <cell r="G3879"/>
          <cell r="H3879"/>
          <cell r="I3879"/>
          <cell r="J3879"/>
          <cell r="K3879"/>
          <cell r="L3879"/>
          <cell r="M3879"/>
          <cell r="N3879"/>
          <cell r="O3879"/>
        </row>
        <row r="3880">
          <cell r="A3880"/>
          <cell r="B3880"/>
          <cell r="C3880"/>
          <cell r="D3880"/>
          <cell r="E3880"/>
          <cell r="F3880"/>
          <cell r="G3880"/>
          <cell r="H3880"/>
          <cell r="I3880"/>
          <cell r="J3880"/>
          <cell r="K3880"/>
          <cell r="L3880"/>
          <cell r="M3880"/>
          <cell r="N3880"/>
          <cell r="O3880"/>
        </row>
        <row r="3881">
          <cell r="A3881"/>
          <cell r="B3881"/>
          <cell r="C3881"/>
          <cell r="D3881"/>
          <cell r="E3881"/>
          <cell r="F3881"/>
          <cell r="G3881"/>
          <cell r="H3881"/>
          <cell r="I3881"/>
          <cell r="J3881"/>
          <cell r="K3881"/>
          <cell r="L3881"/>
          <cell r="M3881"/>
          <cell r="N3881"/>
          <cell r="O3881"/>
        </row>
        <row r="3882">
          <cell r="A3882"/>
          <cell r="B3882"/>
          <cell r="C3882"/>
          <cell r="D3882"/>
          <cell r="E3882"/>
          <cell r="F3882"/>
          <cell r="G3882"/>
          <cell r="H3882"/>
          <cell r="I3882"/>
          <cell r="J3882"/>
          <cell r="K3882"/>
          <cell r="L3882"/>
          <cell r="M3882"/>
          <cell r="N3882"/>
          <cell r="O3882"/>
        </row>
        <row r="3883">
          <cell r="A3883"/>
          <cell r="B3883"/>
          <cell r="C3883"/>
          <cell r="D3883"/>
          <cell r="E3883"/>
          <cell r="F3883"/>
          <cell r="G3883"/>
          <cell r="H3883"/>
          <cell r="I3883"/>
          <cell r="J3883"/>
          <cell r="K3883"/>
          <cell r="L3883"/>
          <cell r="M3883"/>
          <cell r="N3883"/>
          <cell r="O3883"/>
        </row>
        <row r="3884">
          <cell r="A3884"/>
          <cell r="B3884"/>
          <cell r="C3884"/>
          <cell r="D3884"/>
          <cell r="E3884"/>
          <cell r="F3884"/>
          <cell r="G3884"/>
          <cell r="H3884"/>
          <cell r="I3884"/>
          <cell r="J3884"/>
          <cell r="K3884"/>
          <cell r="L3884"/>
          <cell r="M3884"/>
          <cell r="N3884"/>
          <cell r="O3884"/>
        </row>
        <row r="3885">
          <cell r="A3885"/>
          <cell r="B3885"/>
          <cell r="C3885"/>
          <cell r="D3885"/>
          <cell r="E3885"/>
          <cell r="F3885"/>
          <cell r="G3885"/>
          <cell r="H3885"/>
          <cell r="I3885"/>
          <cell r="J3885"/>
          <cell r="K3885"/>
          <cell r="L3885"/>
          <cell r="M3885"/>
          <cell r="N3885"/>
          <cell r="O3885"/>
        </row>
        <row r="3886">
          <cell r="A3886"/>
          <cell r="B3886"/>
          <cell r="C3886"/>
          <cell r="D3886"/>
          <cell r="E3886"/>
          <cell r="F3886"/>
          <cell r="G3886"/>
          <cell r="H3886"/>
          <cell r="I3886"/>
          <cell r="J3886"/>
          <cell r="K3886"/>
          <cell r="L3886"/>
          <cell r="M3886"/>
          <cell r="N3886"/>
          <cell r="O3886"/>
        </row>
        <row r="3887">
          <cell r="A3887"/>
          <cell r="B3887"/>
          <cell r="C3887"/>
          <cell r="D3887"/>
          <cell r="E3887"/>
          <cell r="F3887"/>
          <cell r="G3887"/>
          <cell r="H3887"/>
          <cell r="I3887"/>
          <cell r="J3887"/>
          <cell r="K3887"/>
          <cell r="L3887"/>
          <cell r="M3887"/>
          <cell r="N3887"/>
          <cell r="O3887"/>
        </row>
        <row r="3888">
          <cell r="A3888"/>
          <cell r="B3888"/>
          <cell r="C3888"/>
          <cell r="D3888"/>
          <cell r="E3888"/>
          <cell r="F3888"/>
          <cell r="G3888"/>
          <cell r="H3888"/>
          <cell r="I3888"/>
          <cell r="J3888"/>
          <cell r="K3888"/>
          <cell r="L3888"/>
          <cell r="M3888"/>
          <cell r="N3888"/>
          <cell r="O3888"/>
        </row>
        <row r="3889">
          <cell r="A3889"/>
          <cell r="B3889"/>
          <cell r="C3889"/>
          <cell r="D3889"/>
          <cell r="E3889"/>
          <cell r="F3889"/>
          <cell r="G3889"/>
          <cell r="H3889"/>
          <cell r="I3889"/>
          <cell r="J3889"/>
          <cell r="K3889"/>
          <cell r="L3889"/>
          <cell r="M3889"/>
          <cell r="N3889"/>
          <cell r="O3889"/>
        </row>
        <row r="3890">
          <cell r="A3890"/>
          <cell r="B3890"/>
          <cell r="C3890"/>
          <cell r="D3890"/>
          <cell r="E3890"/>
          <cell r="F3890"/>
          <cell r="G3890"/>
          <cell r="H3890"/>
          <cell r="I3890"/>
          <cell r="J3890"/>
          <cell r="K3890"/>
          <cell r="L3890"/>
          <cell r="M3890"/>
          <cell r="N3890"/>
          <cell r="O3890"/>
        </row>
        <row r="3891">
          <cell r="A3891"/>
          <cell r="B3891"/>
          <cell r="C3891"/>
          <cell r="D3891"/>
          <cell r="E3891"/>
          <cell r="F3891"/>
          <cell r="G3891"/>
          <cell r="H3891"/>
          <cell r="I3891"/>
          <cell r="J3891"/>
          <cell r="K3891"/>
          <cell r="L3891"/>
          <cell r="M3891"/>
          <cell r="N3891"/>
          <cell r="O3891"/>
        </row>
        <row r="3892">
          <cell r="A3892"/>
          <cell r="B3892"/>
          <cell r="C3892"/>
          <cell r="D3892"/>
          <cell r="E3892"/>
          <cell r="F3892"/>
          <cell r="G3892"/>
          <cell r="H3892"/>
          <cell r="I3892"/>
          <cell r="J3892"/>
          <cell r="K3892"/>
          <cell r="L3892"/>
          <cell r="M3892"/>
          <cell r="N3892"/>
          <cell r="O3892"/>
        </row>
        <row r="3893">
          <cell r="A3893"/>
          <cell r="B3893"/>
          <cell r="C3893"/>
          <cell r="D3893"/>
          <cell r="E3893"/>
          <cell r="F3893"/>
          <cell r="G3893"/>
          <cell r="H3893"/>
          <cell r="I3893"/>
          <cell r="J3893"/>
          <cell r="K3893"/>
          <cell r="L3893"/>
          <cell r="M3893"/>
          <cell r="N3893"/>
          <cell r="O3893"/>
        </row>
        <row r="3894">
          <cell r="A3894"/>
          <cell r="B3894"/>
          <cell r="C3894"/>
          <cell r="D3894"/>
          <cell r="E3894"/>
          <cell r="F3894"/>
          <cell r="G3894"/>
          <cell r="H3894"/>
          <cell r="I3894"/>
          <cell r="J3894"/>
          <cell r="K3894"/>
          <cell r="L3894"/>
          <cell r="M3894"/>
          <cell r="N3894"/>
          <cell r="O3894"/>
        </row>
        <row r="3895">
          <cell r="A3895"/>
          <cell r="B3895"/>
          <cell r="C3895"/>
          <cell r="D3895"/>
          <cell r="E3895"/>
          <cell r="F3895"/>
          <cell r="G3895"/>
          <cell r="H3895"/>
          <cell r="I3895"/>
          <cell r="J3895"/>
          <cell r="K3895"/>
          <cell r="L3895"/>
          <cell r="M3895"/>
          <cell r="N3895"/>
          <cell r="O3895"/>
        </row>
        <row r="3896">
          <cell r="A3896"/>
          <cell r="B3896"/>
          <cell r="C3896"/>
          <cell r="D3896"/>
          <cell r="E3896"/>
          <cell r="F3896"/>
          <cell r="G3896"/>
          <cell r="H3896"/>
          <cell r="I3896"/>
          <cell r="J3896"/>
          <cell r="K3896"/>
          <cell r="L3896"/>
          <cell r="M3896"/>
          <cell r="N3896"/>
          <cell r="O3896"/>
        </row>
        <row r="3897">
          <cell r="A3897"/>
          <cell r="B3897"/>
          <cell r="C3897"/>
          <cell r="D3897"/>
          <cell r="E3897"/>
          <cell r="F3897"/>
          <cell r="G3897"/>
          <cell r="H3897"/>
          <cell r="I3897"/>
          <cell r="J3897"/>
          <cell r="K3897"/>
          <cell r="L3897"/>
          <cell r="M3897"/>
          <cell r="N3897"/>
          <cell r="O3897"/>
        </row>
        <row r="3898">
          <cell r="A3898"/>
          <cell r="B3898"/>
          <cell r="C3898"/>
          <cell r="D3898"/>
          <cell r="E3898"/>
          <cell r="F3898"/>
          <cell r="G3898"/>
          <cell r="H3898"/>
          <cell r="I3898"/>
          <cell r="J3898"/>
          <cell r="K3898"/>
          <cell r="L3898"/>
          <cell r="M3898"/>
          <cell r="N3898"/>
          <cell r="O3898"/>
        </row>
        <row r="3899">
          <cell r="A3899"/>
          <cell r="B3899"/>
          <cell r="C3899"/>
          <cell r="D3899"/>
          <cell r="E3899"/>
          <cell r="F3899"/>
          <cell r="G3899"/>
          <cell r="H3899"/>
          <cell r="I3899"/>
          <cell r="J3899"/>
          <cell r="K3899"/>
          <cell r="L3899"/>
          <cell r="M3899"/>
          <cell r="N3899"/>
          <cell r="O3899"/>
        </row>
        <row r="3900">
          <cell r="A3900"/>
          <cell r="B3900"/>
          <cell r="C3900"/>
          <cell r="D3900"/>
          <cell r="E3900"/>
          <cell r="F3900"/>
          <cell r="G3900"/>
          <cell r="H3900"/>
          <cell r="I3900"/>
          <cell r="J3900"/>
          <cell r="K3900"/>
          <cell r="L3900"/>
          <cell r="M3900"/>
          <cell r="N3900"/>
          <cell r="O3900"/>
        </row>
        <row r="3901">
          <cell r="A3901"/>
          <cell r="B3901"/>
          <cell r="C3901"/>
          <cell r="D3901"/>
          <cell r="E3901"/>
          <cell r="F3901"/>
          <cell r="G3901"/>
          <cell r="H3901"/>
          <cell r="I3901"/>
          <cell r="J3901"/>
          <cell r="K3901"/>
          <cell r="L3901"/>
          <cell r="M3901"/>
          <cell r="N3901"/>
          <cell r="O3901"/>
        </row>
        <row r="3902">
          <cell r="A3902"/>
          <cell r="B3902"/>
          <cell r="C3902"/>
          <cell r="D3902"/>
          <cell r="E3902"/>
          <cell r="F3902"/>
          <cell r="G3902"/>
          <cell r="H3902"/>
          <cell r="I3902"/>
          <cell r="J3902"/>
          <cell r="K3902"/>
          <cell r="L3902"/>
          <cell r="M3902"/>
          <cell r="N3902"/>
          <cell r="O3902"/>
        </row>
        <row r="3903">
          <cell r="A3903"/>
          <cell r="B3903"/>
          <cell r="C3903"/>
          <cell r="D3903"/>
          <cell r="E3903"/>
          <cell r="F3903"/>
          <cell r="G3903"/>
          <cell r="H3903"/>
          <cell r="I3903"/>
          <cell r="J3903"/>
          <cell r="K3903"/>
          <cell r="L3903"/>
          <cell r="M3903"/>
          <cell r="N3903"/>
          <cell r="O3903"/>
        </row>
        <row r="3904">
          <cell r="A3904"/>
          <cell r="B3904"/>
          <cell r="C3904"/>
          <cell r="D3904"/>
          <cell r="E3904"/>
          <cell r="F3904"/>
          <cell r="G3904"/>
          <cell r="H3904"/>
          <cell r="I3904"/>
          <cell r="J3904"/>
          <cell r="K3904"/>
          <cell r="L3904"/>
          <cell r="M3904"/>
          <cell r="N3904"/>
          <cell r="O3904"/>
        </row>
        <row r="3905">
          <cell r="A3905"/>
          <cell r="B3905"/>
          <cell r="C3905"/>
          <cell r="D3905"/>
          <cell r="E3905"/>
          <cell r="F3905"/>
          <cell r="G3905"/>
          <cell r="H3905"/>
          <cell r="I3905"/>
          <cell r="J3905"/>
          <cell r="K3905"/>
          <cell r="L3905"/>
          <cell r="M3905"/>
          <cell r="N3905"/>
          <cell r="O3905"/>
        </row>
        <row r="3906">
          <cell r="A3906"/>
          <cell r="B3906"/>
          <cell r="C3906"/>
          <cell r="D3906"/>
          <cell r="E3906"/>
          <cell r="F3906"/>
          <cell r="G3906"/>
          <cell r="H3906"/>
          <cell r="I3906"/>
          <cell r="J3906"/>
          <cell r="K3906"/>
          <cell r="L3906"/>
          <cell r="M3906"/>
          <cell r="N3906"/>
          <cell r="O3906"/>
        </row>
        <row r="3907">
          <cell r="A3907"/>
          <cell r="B3907"/>
          <cell r="C3907"/>
          <cell r="D3907"/>
          <cell r="E3907"/>
          <cell r="F3907"/>
          <cell r="G3907"/>
          <cell r="H3907"/>
          <cell r="I3907"/>
          <cell r="J3907"/>
          <cell r="K3907"/>
          <cell r="L3907"/>
          <cell r="M3907"/>
          <cell r="N3907"/>
          <cell r="O3907"/>
        </row>
        <row r="3908">
          <cell r="A3908"/>
          <cell r="B3908"/>
          <cell r="C3908"/>
          <cell r="D3908"/>
          <cell r="E3908"/>
          <cell r="F3908"/>
          <cell r="G3908"/>
          <cell r="H3908"/>
          <cell r="I3908"/>
          <cell r="J3908"/>
          <cell r="K3908"/>
          <cell r="L3908"/>
          <cell r="M3908"/>
          <cell r="N3908"/>
          <cell r="O3908"/>
        </row>
        <row r="3909">
          <cell r="A3909"/>
          <cell r="B3909"/>
          <cell r="C3909"/>
          <cell r="D3909"/>
          <cell r="E3909"/>
          <cell r="F3909"/>
          <cell r="G3909"/>
          <cell r="H3909"/>
          <cell r="I3909"/>
          <cell r="J3909"/>
          <cell r="K3909"/>
          <cell r="L3909"/>
          <cell r="M3909"/>
          <cell r="N3909"/>
          <cell r="O3909"/>
        </row>
        <row r="3910">
          <cell r="A3910"/>
          <cell r="B3910"/>
          <cell r="C3910"/>
          <cell r="D3910"/>
          <cell r="E3910"/>
          <cell r="F3910"/>
          <cell r="G3910"/>
          <cell r="H3910"/>
          <cell r="I3910"/>
          <cell r="J3910"/>
          <cell r="K3910"/>
          <cell r="L3910"/>
          <cell r="M3910"/>
          <cell r="N3910"/>
          <cell r="O3910"/>
        </row>
        <row r="3911">
          <cell r="A3911"/>
          <cell r="B3911"/>
          <cell r="C3911"/>
          <cell r="D3911"/>
          <cell r="E3911"/>
          <cell r="F3911"/>
          <cell r="G3911"/>
          <cell r="H3911"/>
          <cell r="I3911"/>
          <cell r="J3911"/>
          <cell r="K3911"/>
          <cell r="L3911"/>
          <cell r="M3911"/>
          <cell r="N3911"/>
          <cell r="O3911"/>
        </row>
        <row r="3912">
          <cell r="A3912"/>
          <cell r="B3912"/>
          <cell r="C3912"/>
          <cell r="D3912"/>
          <cell r="E3912"/>
          <cell r="F3912"/>
          <cell r="G3912"/>
          <cell r="H3912"/>
          <cell r="I3912"/>
          <cell r="J3912"/>
          <cell r="K3912"/>
          <cell r="L3912"/>
          <cell r="M3912"/>
          <cell r="N3912"/>
          <cell r="O3912"/>
        </row>
        <row r="3913">
          <cell r="A3913"/>
          <cell r="B3913"/>
          <cell r="C3913"/>
          <cell r="D3913"/>
          <cell r="E3913"/>
          <cell r="F3913"/>
          <cell r="G3913"/>
          <cell r="H3913"/>
          <cell r="I3913"/>
          <cell r="J3913"/>
          <cell r="K3913"/>
          <cell r="L3913"/>
          <cell r="M3913"/>
          <cell r="N3913"/>
          <cell r="O3913"/>
        </row>
        <row r="3914">
          <cell r="A3914"/>
          <cell r="B3914"/>
          <cell r="C3914"/>
          <cell r="D3914"/>
          <cell r="E3914"/>
          <cell r="F3914"/>
          <cell r="G3914"/>
          <cell r="H3914"/>
          <cell r="I3914"/>
          <cell r="J3914"/>
          <cell r="K3914"/>
          <cell r="L3914"/>
          <cell r="M3914"/>
          <cell r="N3914"/>
          <cell r="O3914"/>
        </row>
        <row r="3915">
          <cell r="A3915"/>
          <cell r="B3915"/>
          <cell r="C3915"/>
          <cell r="D3915"/>
          <cell r="E3915"/>
          <cell r="F3915"/>
          <cell r="G3915"/>
          <cell r="H3915"/>
          <cell r="I3915"/>
          <cell r="J3915"/>
          <cell r="K3915"/>
          <cell r="L3915"/>
          <cell r="M3915"/>
          <cell r="N3915"/>
          <cell r="O3915"/>
        </row>
        <row r="3916">
          <cell r="A3916"/>
          <cell r="B3916"/>
          <cell r="C3916"/>
          <cell r="D3916"/>
          <cell r="E3916"/>
          <cell r="F3916"/>
          <cell r="G3916"/>
          <cell r="H3916"/>
          <cell r="I3916"/>
          <cell r="J3916"/>
          <cell r="K3916"/>
          <cell r="L3916"/>
          <cell r="M3916"/>
          <cell r="N3916"/>
          <cell r="O3916"/>
        </row>
        <row r="3917">
          <cell r="A3917"/>
          <cell r="B3917"/>
          <cell r="C3917"/>
          <cell r="D3917"/>
          <cell r="E3917"/>
          <cell r="F3917"/>
          <cell r="G3917"/>
          <cell r="H3917"/>
          <cell r="I3917"/>
          <cell r="J3917"/>
          <cell r="K3917"/>
          <cell r="L3917"/>
          <cell r="M3917"/>
          <cell r="N3917"/>
          <cell r="O3917"/>
        </row>
        <row r="3918">
          <cell r="A3918"/>
          <cell r="B3918"/>
          <cell r="C3918"/>
          <cell r="D3918"/>
          <cell r="E3918"/>
          <cell r="F3918"/>
          <cell r="G3918"/>
          <cell r="H3918"/>
          <cell r="I3918"/>
          <cell r="J3918"/>
          <cell r="K3918"/>
          <cell r="L3918"/>
          <cell r="M3918"/>
          <cell r="N3918"/>
          <cell r="O3918"/>
        </row>
        <row r="3919">
          <cell r="A3919"/>
          <cell r="B3919"/>
          <cell r="C3919"/>
          <cell r="D3919"/>
          <cell r="E3919"/>
          <cell r="F3919"/>
          <cell r="G3919"/>
          <cell r="H3919"/>
          <cell r="I3919"/>
          <cell r="J3919"/>
          <cell r="K3919"/>
          <cell r="L3919"/>
          <cell r="M3919"/>
          <cell r="N3919"/>
          <cell r="O3919"/>
        </row>
        <row r="3920">
          <cell r="A3920"/>
          <cell r="B3920"/>
          <cell r="C3920"/>
          <cell r="D3920"/>
          <cell r="E3920"/>
          <cell r="F3920"/>
          <cell r="G3920"/>
          <cell r="H3920"/>
          <cell r="I3920"/>
          <cell r="J3920"/>
          <cell r="K3920"/>
          <cell r="L3920"/>
          <cell r="M3920"/>
          <cell r="N3920"/>
          <cell r="O3920"/>
        </row>
        <row r="3921">
          <cell r="A3921"/>
          <cell r="B3921"/>
          <cell r="C3921"/>
          <cell r="D3921"/>
          <cell r="E3921"/>
          <cell r="F3921"/>
          <cell r="G3921"/>
          <cell r="H3921"/>
          <cell r="I3921"/>
          <cell r="J3921"/>
          <cell r="K3921"/>
          <cell r="L3921"/>
          <cell r="M3921"/>
          <cell r="N3921"/>
          <cell r="O3921"/>
        </row>
        <row r="3922">
          <cell r="A3922"/>
          <cell r="B3922"/>
          <cell r="C3922"/>
          <cell r="D3922"/>
          <cell r="E3922"/>
          <cell r="F3922"/>
          <cell r="G3922"/>
          <cell r="H3922"/>
          <cell r="I3922"/>
          <cell r="J3922"/>
          <cell r="K3922"/>
          <cell r="L3922"/>
          <cell r="M3922"/>
          <cell r="N3922"/>
          <cell r="O3922"/>
        </row>
        <row r="3923">
          <cell r="A3923"/>
          <cell r="B3923"/>
          <cell r="C3923"/>
          <cell r="D3923"/>
          <cell r="E3923"/>
          <cell r="F3923"/>
          <cell r="G3923"/>
          <cell r="H3923"/>
          <cell r="I3923"/>
          <cell r="J3923"/>
          <cell r="K3923"/>
          <cell r="L3923"/>
          <cell r="M3923"/>
          <cell r="N3923"/>
          <cell r="O3923"/>
        </row>
        <row r="3924">
          <cell r="A3924"/>
          <cell r="B3924"/>
          <cell r="C3924"/>
          <cell r="D3924"/>
          <cell r="E3924"/>
          <cell r="F3924"/>
          <cell r="G3924"/>
          <cell r="H3924"/>
          <cell r="I3924"/>
          <cell r="J3924"/>
          <cell r="K3924"/>
          <cell r="L3924"/>
          <cell r="M3924"/>
          <cell r="N3924"/>
          <cell r="O3924"/>
        </row>
        <row r="3925">
          <cell r="A3925"/>
          <cell r="B3925"/>
          <cell r="C3925"/>
          <cell r="D3925"/>
          <cell r="E3925"/>
          <cell r="F3925"/>
          <cell r="G3925"/>
          <cell r="H3925"/>
          <cell r="I3925"/>
          <cell r="J3925"/>
          <cell r="K3925"/>
          <cell r="L3925"/>
          <cell r="M3925"/>
          <cell r="N3925"/>
          <cell r="O3925"/>
        </row>
        <row r="3926">
          <cell r="A3926"/>
          <cell r="B3926"/>
          <cell r="C3926"/>
          <cell r="D3926"/>
          <cell r="E3926"/>
          <cell r="F3926"/>
          <cell r="G3926"/>
          <cell r="H3926"/>
          <cell r="I3926"/>
          <cell r="J3926"/>
          <cell r="K3926"/>
          <cell r="L3926"/>
          <cell r="M3926"/>
          <cell r="N3926"/>
          <cell r="O3926"/>
        </row>
        <row r="3927">
          <cell r="A3927"/>
          <cell r="B3927"/>
          <cell r="C3927"/>
          <cell r="D3927"/>
          <cell r="E3927"/>
          <cell r="F3927"/>
          <cell r="G3927"/>
          <cell r="H3927"/>
          <cell r="I3927"/>
          <cell r="J3927"/>
          <cell r="K3927"/>
          <cell r="L3927"/>
          <cell r="M3927"/>
          <cell r="N3927"/>
          <cell r="O3927"/>
        </row>
        <row r="3928">
          <cell r="A3928"/>
          <cell r="B3928"/>
          <cell r="C3928"/>
          <cell r="D3928"/>
          <cell r="E3928"/>
          <cell r="F3928"/>
          <cell r="G3928"/>
          <cell r="H3928"/>
          <cell r="I3928"/>
          <cell r="J3928"/>
          <cell r="K3928"/>
          <cell r="L3928"/>
          <cell r="M3928"/>
          <cell r="N3928"/>
          <cell r="O3928"/>
        </row>
        <row r="3929">
          <cell r="A3929"/>
          <cell r="B3929"/>
          <cell r="C3929"/>
          <cell r="D3929"/>
          <cell r="E3929"/>
          <cell r="F3929"/>
          <cell r="G3929"/>
          <cell r="H3929"/>
          <cell r="I3929"/>
          <cell r="J3929"/>
          <cell r="K3929"/>
          <cell r="L3929"/>
          <cell r="M3929"/>
          <cell r="N3929"/>
          <cell r="O3929"/>
        </row>
        <row r="3930">
          <cell r="A3930"/>
          <cell r="B3930"/>
          <cell r="C3930"/>
          <cell r="D3930"/>
          <cell r="E3930"/>
          <cell r="F3930"/>
          <cell r="G3930"/>
          <cell r="H3930"/>
          <cell r="I3930"/>
          <cell r="J3930"/>
          <cell r="K3930"/>
          <cell r="L3930"/>
          <cell r="M3930"/>
          <cell r="N3930"/>
          <cell r="O3930"/>
        </row>
        <row r="3931">
          <cell r="A3931"/>
          <cell r="B3931"/>
          <cell r="C3931"/>
          <cell r="D3931"/>
          <cell r="E3931"/>
          <cell r="F3931"/>
          <cell r="G3931"/>
          <cell r="H3931"/>
          <cell r="I3931"/>
          <cell r="J3931"/>
          <cell r="K3931"/>
          <cell r="L3931"/>
          <cell r="M3931"/>
          <cell r="N3931"/>
          <cell r="O3931"/>
        </row>
        <row r="3932">
          <cell r="A3932"/>
          <cell r="B3932"/>
          <cell r="C3932"/>
          <cell r="D3932"/>
          <cell r="E3932"/>
          <cell r="F3932"/>
          <cell r="G3932"/>
          <cell r="H3932"/>
          <cell r="I3932"/>
          <cell r="J3932"/>
          <cell r="K3932"/>
          <cell r="L3932"/>
          <cell r="M3932"/>
          <cell r="N3932"/>
          <cell r="O3932"/>
        </row>
        <row r="3933">
          <cell r="A3933"/>
          <cell r="B3933"/>
          <cell r="C3933"/>
          <cell r="D3933"/>
          <cell r="E3933"/>
          <cell r="F3933"/>
          <cell r="G3933"/>
          <cell r="H3933"/>
          <cell r="I3933"/>
          <cell r="J3933"/>
          <cell r="K3933"/>
          <cell r="L3933"/>
          <cell r="M3933"/>
          <cell r="N3933"/>
          <cell r="O3933"/>
        </row>
        <row r="3934">
          <cell r="A3934"/>
          <cell r="B3934"/>
          <cell r="C3934"/>
          <cell r="D3934"/>
          <cell r="E3934"/>
          <cell r="F3934"/>
          <cell r="G3934"/>
          <cell r="H3934"/>
          <cell r="I3934"/>
          <cell r="J3934"/>
          <cell r="K3934"/>
          <cell r="L3934"/>
          <cell r="M3934"/>
          <cell r="N3934"/>
          <cell r="O3934"/>
        </row>
        <row r="3935">
          <cell r="A3935"/>
          <cell r="B3935"/>
          <cell r="C3935"/>
          <cell r="D3935"/>
          <cell r="E3935"/>
          <cell r="F3935"/>
          <cell r="G3935"/>
          <cell r="H3935"/>
          <cell r="I3935"/>
          <cell r="J3935"/>
          <cell r="K3935"/>
          <cell r="L3935"/>
          <cell r="M3935"/>
          <cell r="N3935"/>
          <cell r="O3935"/>
        </row>
        <row r="3936">
          <cell r="A3936"/>
          <cell r="B3936"/>
          <cell r="C3936"/>
          <cell r="D3936"/>
          <cell r="E3936"/>
          <cell r="F3936"/>
          <cell r="G3936"/>
          <cell r="H3936"/>
          <cell r="I3936"/>
          <cell r="J3936"/>
          <cell r="K3936"/>
          <cell r="L3936"/>
          <cell r="M3936"/>
          <cell r="N3936"/>
          <cell r="O3936"/>
        </row>
        <row r="3937">
          <cell r="A3937"/>
          <cell r="B3937"/>
          <cell r="C3937"/>
          <cell r="D3937"/>
          <cell r="E3937"/>
          <cell r="F3937"/>
          <cell r="G3937"/>
          <cell r="H3937"/>
          <cell r="I3937"/>
          <cell r="J3937"/>
          <cell r="K3937"/>
          <cell r="L3937"/>
          <cell r="M3937"/>
          <cell r="N3937"/>
          <cell r="O3937"/>
        </row>
        <row r="3938">
          <cell r="A3938"/>
          <cell r="B3938"/>
          <cell r="C3938"/>
          <cell r="D3938"/>
          <cell r="E3938"/>
          <cell r="F3938"/>
          <cell r="G3938"/>
          <cell r="H3938"/>
          <cell r="I3938"/>
          <cell r="J3938"/>
          <cell r="K3938"/>
          <cell r="L3938"/>
          <cell r="M3938"/>
          <cell r="N3938"/>
          <cell r="O3938"/>
        </row>
        <row r="3939">
          <cell r="A3939"/>
          <cell r="B3939"/>
          <cell r="C3939"/>
          <cell r="D3939"/>
          <cell r="E3939"/>
          <cell r="F3939"/>
          <cell r="G3939"/>
          <cell r="H3939"/>
          <cell r="I3939"/>
          <cell r="J3939"/>
          <cell r="K3939"/>
          <cell r="L3939"/>
          <cell r="M3939"/>
          <cell r="N3939"/>
          <cell r="O3939"/>
        </row>
        <row r="3940">
          <cell r="A3940"/>
          <cell r="B3940"/>
          <cell r="C3940"/>
          <cell r="D3940"/>
          <cell r="E3940"/>
          <cell r="F3940"/>
          <cell r="G3940"/>
          <cell r="H3940"/>
          <cell r="I3940"/>
          <cell r="J3940"/>
          <cell r="K3940"/>
          <cell r="L3940"/>
          <cell r="M3940"/>
          <cell r="N3940"/>
          <cell r="O3940"/>
        </row>
        <row r="3941">
          <cell r="A3941"/>
          <cell r="B3941"/>
          <cell r="C3941"/>
          <cell r="D3941"/>
          <cell r="E3941"/>
          <cell r="F3941"/>
          <cell r="G3941"/>
          <cell r="H3941"/>
          <cell r="I3941"/>
          <cell r="J3941"/>
          <cell r="K3941"/>
          <cell r="L3941"/>
          <cell r="M3941"/>
          <cell r="N3941"/>
          <cell r="O3941"/>
        </row>
        <row r="3942">
          <cell r="A3942"/>
          <cell r="B3942"/>
          <cell r="C3942"/>
          <cell r="D3942"/>
          <cell r="E3942"/>
          <cell r="F3942"/>
          <cell r="G3942"/>
          <cell r="H3942"/>
          <cell r="I3942"/>
          <cell r="J3942"/>
          <cell r="K3942"/>
          <cell r="L3942"/>
          <cell r="M3942"/>
          <cell r="N3942"/>
          <cell r="O3942"/>
        </row>
        <row r="3943">
          <cell r="A3943"/>
          <cell r="B3943"/>
          <cell r="C3943"/>
          <cell r="D3943"/>
          <cell r="E3943"/>
          <cell r="F3943"/>
          <cell r="G3943"/>
          <cell r="H3943"/>
          <cell r="I3943"/>
          <cell r="J3943"/>
          <cell r="K3943"/>
          <cell r="L3943"/>
          <cell r="M3943"/>
          <cell r="N3943"/>
          <cell r="O3943"/>
        </row>
        <row r="3944">
          <cell r="A3944"/>
          <cell r="B3944"/>
          <cell r="C3944"/>
          <cell r="D3944"/>
          <cell r="E3944"/>
          <cell r="F3944"/>
          <cell r="G3944"/>
          <cell r="H3944"/>
          <cell r="I3944"/>
          <cell r="J3944"/>
          <cell r="K3944"/>
          <cell r="L3944"/>
          <cell r="M3944"/>
          <cell r="N3944"/>
          <cell r="O3944"/>
        </row>
        <row r="3945">
          <cell r="A3945"/>
          <cell r="B3945"/>
          <cell r="C3945"/>
          <cell r="D3945"/>
          <cell r="E3945"/>
          <cell r="F3945"/>
          <cell r="G3945"/>
          <cell r="H3945"/>
          <cell r="I3945"/>
          <cell r="J3945"/>
          <cell r="K3945"/>
          <cell r="L3945"/>
          <cell r="M3945"/>
          <cell r="N3945"/>
          <cell r="O3945"/>
        </row>
        <row r="3946">
          <cell r="A3946"/>
          <cell r="B3946"/>
          <cell r="C3946"/>
          <cell r="D3946"/>
          <cell r="E3946"/>
          <cell r="F3946"/>
          <cell r="G3946"/>
          <cell r="H3946"/>
          <cell r="I3946"/>
          <cell r="J3946"/>
          <cell r="K3946"/>
          <cell r="L3946"/>
          <cell r="M3946"/>
          <cell r="N3946"/>
          <cell r="O3946"/>
        </row>
        <row r="3947">
          <cell r="A3947"/>
          <cell r="B3947"/>
          <cell r="C3947"/>
          <cell r="D3947"/>
          <cell r="E3947"/>
          <cell r="F3947"/>
          <cell r="G3947"/>
          <cell r="H3947"/>
          <cell r="I3947"/>
          <cell r="J3947"/>
          <cell r="K3947"/>
          <cell r="L3947"/>
          <cell r="M3947"/>
          <cell r="N3947"/>
          <cell r="O3947"/>
        </row>
        <row r="3948">
          <cell r="A3948"/>
          <cell r="B3948"/>
          <cell r="C3948"/>
          <cell r="D3948"/>
          <cell r="E3948"/>
          <cell r="F3948"/>
          <cell r="G3948"/>
          <cell r="H3948"/>
          <cell r="I3948"/>
          <cell r="J3948"/>
          <cell r="K3948"/>
          <cell r="L3948"/>
          <cell r="M3948"/>
          <cell r="N3948"/>
          <cell r="O3948"/>
        </row>
        <row r="3949">
          <cell r="A3949"/>
          <cell r="B3949"/>
          <cell r="C3949"/>
          <cell r="D3949"/>
          <cell r="E3949"/>
          <cell r="F3949"/>
          <cell r="G3949"/>
          <cell r="H3949"/>
          <cell r="I3949"/>
          <cell r="J3949"/>
          <cell r="K3949"/>
          <cell r="L3949"/>
          <cell r="M3949"/>
          <cell r="N3949"/>
          <cell r="O3949"/>
        </row>
        <row r="3950">
          <cell r="A3950"/>
          <cell r="B3950"/>
          <cell r="C3950"/>
          <cell r="D3950"/>
          <cell r="E3950"/>
          <cell r="F3950"/>
          <cell r="G3950"/>
          <cell r="H3950"/>
          <cell r="I3950"/>
          <cell r="J3950"/>
          <cell r="K3950"/>
          <cell r="L3950"/>
          <cell r="M3950"/>
          <cell r="N3950"/>
          <cell r="O3950"/>
        </row>
        <row r="3951">
          <cell r="A3951"/>
          <cell r="B3951"/>
          <cell r="C3951"/>
          <cell r="D3951"/>
          <cell r="E3951"/>
          <cell r="F3951"/>
          <cell r="G3951"/>
          <cell r="H3951"/>
          <cell r="I3951"/>
          <cell r="J3951"/>
          <cell r="K3951"/>
          <cell r="L3951"/>
          <cell r="M3951"/>
          <cell r="N3951"/>
          <cell r="O3951"/>
        </row>
        <row r="3952">
          <cell r="A3952"/>
          <cell r="B3952"/>
          <cell r="C3952"/>
          <cell r="D3952"/>
          <cell r="E3952"/>
          <cell r="F3952"/>
          <cell r="G3952"/>
          <cell r="H3952"/>
          <cell r="I3952"/>
          <cell r="J3952"/>
          <cell r="K3952"/>
          <cell r="L3952"/>
          <cell r="M3952"/>
          <cell r="N3952"/>
          <cell r="O3952"/>
        </row>
        <row r="3953">
          <cell r="A3953"/>
          <cell r="B3953"/>
          <cell r="C3953"/>
          <cell r="D3953"/>
          <cell r="E3953"/>
          <cell r="F3953"/>
          <cell r="G3953"/>
          <cell r="H3953"/>
          <cell r="I3953"/>
          <cell r="J3953"/>
          <cell r="K3953"/>
          <cell r="L3953"/>
          <cell r="M3953"/>
          <cell r="N3953"/>
          <cell r="O3953"/>
        </row>
        <row r="3954">
          <cell r="A3954"/>
          <cell r="B3954"/>
          <cell r="C3954"/>
          <cell r="D3954"/>
          <cell r="E3954"/>
          <cell r="F3954"/>
          <cell r="G3954"/>
          <cell r="H3954"/>
          <cell r="I3954"/>
          <cell r="J3954"/>
          <cell r="K3954"/>
          <cell r="L3954"/>
          <cell r="M3954"/>
          <cell r="N3954"/>
          <cell r="O3954"/>
        </row>
        <row r="3955">
          <cell r="A3955"/>
          <cell r="B3955"/>
          <cell r="C3955"/>
          <cell r="D3955"/>
          <cell r="E3955"/>
          <cell r="F3955"/>
          <cell r="G3955"/>
          <cell r="H3955"/>
          <cell r="I3955"/>
          <cell r="J3955"/>
          <cell r="K3955"/>
          <cell r="L3955"/>
          <cell r="M3955"/>
          <cell r="N3955"/>
          <cell r="O3955"/>
        </row>
        <row r="3956">
          <cell r="A3956"/>
          <cell r="B3956"/>
          <cell r="C3956"/>
          <cell r="D3956"/>
          <cell r="E3956"/>
          <cell r="F3956"/>
          <cell r="G3956"/>
          <cell r="H3956"/>
          <cell r="I3956"/>
          <cell r="J3956"/>
          <cell r="K3956"/>
          <cell r="L3956"/>
          <cell r="M3956"/>
          <cell r="N3956"/>
          <cell r="O3956"/>
        </row>
        <row r="3957">
          <cell r="A3957"/>
          <cell r="B3957"/>
          <cell r="C3957"/>
          <cell r="D3957"/>
          <cell r="E3957"/>
          <cell r="F3957"/>
          <cell r="G3957"/>
          <cell r="H3957"/>
          <cell r="I3957"/>
          <cell r="J3957"/>
          <cell r="K3957"/>
          <cell r="L3957"/>
          <cell r="M3957"/>
          <cell r="N3957"/>
          <cell r="O3957"/>
        </row>
        <row r="3958">
          <cell r="A3958"/>
          <cell r="B3958"/>
          <cell r="C3958"/>
          <cell r="D3958"/>
          <cell r="E3958"/>
          <cell r="F3958"/>
          <cell r="G3958"/>
          <cell r="H3958"/>
          <cell r="I3958"/>
          <cell r="J3958"/>
          <cell r="K3958"/>
          <cell r="L3958"/>
          <cell r="M3958"/>
          <cell r="N3958"/>
          <cell r="O3958"/>
        </row>
        <row r="3959">
          <cell r="A3959"/>
          <cell r="B3959"/>
          <cell r="C3959"/>
          <cell r="D3959"/>
          <cell r="E3959"/>
          <cell r="F3959"/>
          <cell r="G3959"/>
          <cell r="H3959"/>
          <cell r="I3959"/>
          <cell r="J3959"/>
          <cell r="K3959"/>
          <cell r="L3959"/>
          <cell r="M3959"/>
          <cell r="N3959"/>
          <cell r="O3959"/>
        </row>
        <row r="3960">
          <cell r="A3960"/>
          <cell r="B3960"/>
          <cell r="C3960"/>
          <cell r="D3960"/>
          <cell r="E3960"/>
          <cell r="F3960"/>
          <cell r="G3960"/>
          <cell r="H3960"/>
          <cell r="I3960"/>
          <cell r="J3960"/>
          <cell r="K3960"/>
          <cell r="L3960"/>
          <cell r="M3960"/>
          <cell r="N3960"/>
          <cell r="O3960"/>
        </row>
        <row r="3961">
          <cell r="A3961"/>
          <cell r="B3961"/>
          <cell r="C3961"/>
          <cell r="D3961"/>
          <cell r="E3961"/>
          <cell r="F3961"/>
          <cell r="G3961"/>
          <cell r="H3961"/>
          <cell r="I3961"/>
          <cell r="J3961"/>
          <cell r="K3961"/>
          <cell r="L3961"/>
          <cell r="M3961"/>
          <cell r="N3961"/>
          <cell r="O3961"/>
        </row>
        <row r="3962">
          <cell r="A3962"/>
          <cell r="B3962"/>
          <cell r="C3962"/>
          <cell r="D3962"/>
          <cell r="E3962"/>
          <cell r="F3962"/>
          <cell r="G3962"/>
          <cell r="H3962"/>
          <cell r="I3962"/>
          <cell r="J3962"/>
          <cell r="K3962"/>
          <cell r="L3962"/>
          <cell r="M3962"/>
          <cell r="N3962"/>
          <cell r="O3962"/>
        </row>
        <row r="3963">
          <cell r="A3963"/>
          <cell r="B3963"/>
          <cell r="C3963"/>
          <cell r="D3963"/>
          <cell r="E3963"/>
          <cell r="F3963"/>
          <cell r="G3963"/>
          <cell r="H3963"/>
          <cell r="I3963"/>
          <cell r="J3963"/>
          <cell r="K3963"/>
          <cell r="L3963"/>
          <cell r="M3963"/>
          <cell r="N3963"/>
          <cell r="O3963"/>
        </row>
        <row r="3964">
          <cell r="A3964"/>
          <cell r="B3964"/>
          <cell r="C3964"/>
          <cell r="D3964"/>
          <cell r="E3964"/>
          <cell r="F3964"/>
          <cell r="G3964"/>
          <cell r="H3964"/>
          <cell r="I3964"/>
          <cell r="J3964"/>
          <cell r="K3964"/>
          <cell r="L3964"/>
          <cell r="M3964"/>
          <cell r="N3964"/>
          <cell r="O3964"/>
        </row>
        <row r="3965">
          <cell r="A3965"/>
          <cell r="B3965"/>
          <cell r="C3965"/>
          <cell r="D3965"/>
          <cell r="E3965"/>
          <cell r="F3965"/>
          <cell r="G3965"/>
          <cell r="H3965"/>
          <cell r="I3965"/>
          <cell r="J3965"/>
          <cell r="K3965"/>
          <cell r="L3965"/>
          <cell r="M3965"/>
          <cell r="N3965"/>
          <cell r="O3965"/>
        </row>
        <row r="3966">
          <cell r="A3966"/>
          <cell r="B3966"/>
          <cell r="C3966"/>
          <cell r="D3966"/>
          <cell r="E3966"/>
          <cell r="F3966"/>
          <cell r="G3966"/>
          <cell r="H3966"/>
          <cell r="I3966"/>
          <cell r="J3966"/>
          <cell r="K3966"/>
          <cell r="L3966"/>
          <cell r="M3966"/>
          <cell r="N3966"/>
          <cell r="O3966"/>
        </row>
        <row r="3967">
          <cell r="A3967"/>
          <cell r="B3967"/>
          <cell r="C3967"/>
          <cell r="D3967"/>
          <cell r="E3967"/>
          <cell r="F3967"/>
          <cell r="G3967"/>
          <cell r="H3967"/>
          <cell r="I3967"/>
          <cell r="J3967"/>
          <cell r="K3967"/>
          <cell r="L3967"/>
          <cell r="M3967"/>
          <cell r="N3967"/>
          <cell r="O3967"/>
        </row>
        <row r="3968">
          <cell r="A3968"/>
          <cell r="B3968"/>
          <cell r="C3968"/>
          <cell r="D3968"/>
          <cell r="E3968"/>
          <cell r="F3968"/>
          <cell r="G3968"/>
          <cell r="H3968"/>
          <cell r="I3968"/>
          <cell r="J3968"/>
          <cell r="K3968"/>
          <cell r="L3968"/>
          <cell r="M3968"/>
          <cell r="N3968"/>
          <cell r="O3968"/>
        </row>
        <row r="3969">
          <cell r="A3969"/>
          <cell r="B3969"/>
          <cell r="C3969"/>
          <cell r="D3969"/>
          <cell r="E3969"/>
          <cell r="F3969"/>
          <cell r="G3969"/>
          <cell r="H3969"/>
          <cell r="I3969"/>
          <cell r="J3969"/>
          <cell r="K3969"/>
          <cell r="L3969"/>
          <cell r="M3969"/>
          <cell r="N3969"/>
          <cell r="O3969"/>
        </row>
        <row r="3970">
          <cell r="A3970"/>
          <cell r="B3970"/>
          <cell r="C3970"/>
          <cell r="D3970"/>
          <cell r="E3970"/>
          <cell r="F3970"/>
          <cell r="G3970"/>
          <cell r="H3970"/>
          <cell r="I3970"/>
          <cell r="J3970"/>
          <cell r="K3970"/>
          <cell r="L3970"/>
          <cell r="M3970"/>
          <cell r="N3970"/>
          <cell r="O3970"/>
        </row>
        <row r="3971">
          <cell r="A3971"/>
          <cell r="B3971"/>
          <cell r="C3971"/>
          <cell r="D3971"/>
          <cell r="E3971"/>
          <cell r="F3971"/>
          <cell r="G3971"/>
          <cell r="H3971"/>
          <cell r="I3971"/>
          <cell r="J3971"/>
          <cell r="K3971"/>
          <cell r="L3971"/>
          <cell r="M3971"/>
          <cell r="N3971"/>
          <cell r="O3971"/>
        </row>
        <row r="3972">
          <cell r="A3972"/>
          <cell r="B3972"/>
          <cell r="C3972"/>
          <cell r="D3972"/>
          <cell r="E3972"/>
          <cell r="F3972"/>
          <cell r="G3972"/>
          <cell r="H3972"/>
          <cell r="I3972"/>
          <cell r="J3972"/>
          <cell r="K3972"/>
          <cell r="L3972"/>
          <cell r="M3972"/>
          <cell r="N3972"/>
          <cell r="O3972"/>
        </row>
        <row r="3973">
          <cell r="A3973"/>
          <cell r="B3973"/>
          <cell r="C3973"/>
          <cell r="D3973"/>
          <cell r="E3973"/>
          <cell r="F3973"/>
          <cell r="G3973"/>
          <cell r="H3973"/>
          <cell r="I3973"/>
          <cell r="J3973"/>
          <cell r="K3973"/>
          <cell r="L3973"/>
          <cell r="M3973"/>
          <cell r="N3973"/>
          <cell r="O3973"/>
        </row>
        <row r="3974">
          <cell r="A3974"/>
          <cell r="B3974"/>
          <cell r="C3974"/>
          <cell r="D3974"/>
          <cell r="E3974"/>
          <cell r="F3974"/>
          <cell r="G3974"/>
          <cell r="H3974"/>
          <cell r="I3974"/>
          <cell r="J3974"/>
          <cell r="K3974"/>
          <cell r="L3974"/>
          <cell r="M3974"/>
          <cell r="N3974"/>
          <cell r="O3974"/>
        </row>
        <row r="3975">
          <cell r="A3975"/>
          <cell r="B3975"/>
          <cell r="C3975"/>
          <cell r="D3975"/>
          <cell r="E3975"/>
          <cell r="F3975"/>
          <cell r="G3975"/>
          <cell r="H3975"/>
          <cell r="I3975"/>
          <cell r="J3975"/>
          <cell r="K3975"/>
          <cell r="L3975"/>
          <cell r="M3975"/>
          <cell r="N3975"/>
          <cell r="O3975"/>
        </row>
        <row r="3976">
          <cell r="A3976"/>
          <cell r="B3976"/>
          <cell r="C3976"/>
          <cell r="D3976"/>
          <cell r="E3976"/>
          <cell r="F3976"/>
          <cell r="G3976"/>
          <cell r="H3976"/>
          <cell r="I3976"/>
          <cell r="J3976"/>
          <cell r="K3976"/>
          <cell r="L3976"/>
          <cell r="M3976"/>
          <cell r="N3976"/>
          <cell r="O3976"/>
        </row>
        <row r="3977">
          <cell r="A3977"/>
          <cell r="B3977"/>
          <cell r="C3977"/>
          <cell r="D3977"/>
          <cell r="E3977"/>
          <cell r="F3977"/>
          <cell r="G3977"/>
          <cell r="H3977"/>
          <cell r="I3977"/>
          <cell r="J3977"/>
          <cell r="K3977"/>
          <cell r="L3977"/>
          <cell r="M3977"/>
          <cell r="N3977"/>
          <cell r="O3977"/>
        </row>
        <row r="3978">
          <cell r="A3978"/>
          <cell r="B3978"/>
          <cell r="C3978"/>
          <cell r="D3978"/>
          <cell r="E3978"/>
          <cell r="F3978"/>
          <cell r="G3978"/>
          <cell r="H3978"/>
          <cell r="I3978"/>
          <cell r="J3978"/>
          <cell r="K3978"/>
          <cell r="L3978"/>
          <cell r="M3978"/>
          <cell r="N3978"/>
          <cell r="O3978"/>
        </row>
        <row r="3979">
          <cell r="A3979"/>
          <cell r="B3979"/>
          <cell r="C3979"/>
          <cell r="D3979"/>
          <cell r="E3979"/>
          <cell r="F3979"/>
          <cell r="G3979"/>
          <cell r="H3979"/>
          <cell r="I3979"/>
          <cell r="J3979"/>
          <cell r="K3979"/>
          <cell r="L3979"/>
          <cell r="M3979"/>
          <cell r="N3979"/>
          <cell r="O3979"/>
        </row>
        <row r="3980">
          <cell r="A3980"/>
          <cell r="B3980"/>
          <cell r="C3980"/>
          <cell r="D3980"/>
          <cell r="E3980"/>
          <cell r="F3980"/>
          <cell r="G3980"/>
          <cell r="H3980"/>
          <cell r="I3980"/>
          <cell r="J3980"/>
          <cell r="K3980"/>
          <cell r="L3980"/>
          <cell r="M3980"/>
          <cell r="N3980"/>
          <cell r="O3980"/>
        </row>
        <row r="3981">
          <cell r="A3981"/>
          <cell r="B3981"/>
          <cell r="C3981"/>
          <cell r="D3981"/>
          <cell r="E3981"/>
          <cell r="F3981"/>
          <cell r="G3981"/>
          <cell r="H3981"/>
          <cell r="I3981"/>
          <cell r="J3981"/>
          <cell r="K3981"/>
          <cell r="L3981"/>
          <cell r="M3981"/>
          <cell r="N3981"/>
          <cell r="O3981"/>
        </row>
        <row r="3982">
          <cell r="A3982"/>
          <cell r="B3982"/>
          <cell r="C3982"/>
          <cell r="D3982"/>
          <cell r="E3982"/>
          <cell r="F3982"/>
          <cell r="G3982"/>
          <cell r="H3982"/>
          <cell r="I3982"/>
          <cell r="J3982"/>
          <cell r="K3982"/>
          <cell r="L3982"/>
          <cell r="M3982"/>
          <cell r="N3982"/>
          <cell r="O3982"/>
        </row>
        <row r="3983">
          <cell r="A3983"/>
          <cell r="B3983"/>
          <cell r="C3983"/>
          <cell r="D3983"/>
          <cell r="E3983"/>
          <cell r="F3983"/>
          <cell r="G3983"/>
          <cell r="H3983"/>
          <cell r="I3983"/>
          <cell r="J3983"/>
          <cell r="K3983"/>
          <cell r="L3983"/>
          <cell r="M3983"/>
          <cell r="N3983"/>
          <cell r="O3983"/>
        </row>
        <row r="3984">
          <cell r="A3984"/>
          <cell r="B3984"/>
          <cell r="C3984"/>
          <cell r="D3984"/>
          <cell r="E3984"/>
          <cell r="F3984"/>
          <cell r="G3984"/>
          <cell r="H3984"/>
          <cell r="I3984"/>
          <cell r="J3984"/>
          <cell r="K3984"/>
          <cell r="L3984"/>
          <cell r="M3984"/>
          <cell r="N3984"/>
          <cell r="O3984"/>
        </row>
        <row r="3985">
          <cell r="A3985"/>
          <cell r="B3985"/>
          <cell r="C3985"/>
          <cell r="D3985"/>
          <cell r="E3985"/>
          <cell r="F3985"/>
          <cell r="G3985"/>
          <cell r="H3985"/>
          <cell r="I3985"/>
          <cell r="J3985"/>
          <cell r="K3985"/>
          <cell r="L3985"/>
          <cell r="M3985"/>
          <cell r="N3985"/>
          <cell r="O3985"/>
        </row>
        <row r="3986">
          <cell r="A3986"/>
          <cell r="B3986"/>
          <cell r="C3986"/>
          <cell r="D3986"/>
          <cell r="E3986"/>
          <cell r="F3986"/>
          <cell r="G3986"/>
          <cell r="H3986"/>
          <cell r="I3986"/>
          <cell r="J3986"/>
          <cell r="K3986"/>
          <cell r="L3986"/>
          <cell r="M3986"/>
          <cell r="N3986"/>
          <cell r="O3986"/>
        </row>
        <row r="3987">
          <cell r="A3987"/>
          <cell r="B3987"/>
          <cell r="C3987"/>
          <cell r="D3987"/>
          <cell r="E3987"/>
          <cell r="F3987"/>
          <cell r="G3987"/>
          <cell r="H3987"/>
          <cell r="I3987"/>
          <cell r="J3987"/>
          <cell r="K3987"/>
          <cell r="L3987"/>
          <cell r="M3987"/>
          <cell r="N3987"/>
          <cell r="O3987"/>
        </row>
        <row r="3988">
          <cell r="A3988"/>
          <cell r="B3988"/>
          <cell r="C3988"/>
          <cell r="D3988"/>
          <cell r="E3988"/>
          <cell r="F3988"/>
          <cell r="G3988"/>
          <cell r="H3988"/>
          <cell r="I3988"/>
          <cell r="J3988"/>
          <cell r="K3988"/>
          <cell r="L3988"/>
          <cell r="M3988"/>
          <cell r="N3988"/>
          <cell r="O3988"/>
        </row>
        <row r="3989">
          <cell r="A3989"/>
          <cell r="B3989"/>
          <cell r="C3989"/>
          <cell r="D3989"/>
          <cell r="E3989"/>
          <cell r="F3989"/>
          <cell r="G3989"/>
          <cell r="H3989"/>
          <cell r="I3989"/>
          <cell r="J3989"/>
          <cell r="K3989"/>
          <cell r="L3989"/>
          <cell r="M3989"/>
          <cell r="N3989"/>
          <cell r="O3989"/>
        </row>
        <row r="3990">
          <cell r="A3990"/>
          <cell r="B3990"/>
          <cell r="C3990"/>
          <cell r="D3990"/>
          <cell r="E3990"/>
          <cell r="F3990"/>
          <cell r="G3990"/>
          <cell r="H3990"/>
          <cell r="I3990"/>
          <cell r="J3990"/>
          <cell r="K3990"/>
          <cell r="L3990"/>
          <cell r="M3990"/>
          <cell r="N3990"/>
          <cell r="O3990"/>
        </row>
        <row r="3991">
          <cell r="A3991"/>
          <cell r="B3991"/>
          <cell r="C3991"/>
          <cell r="D3991"/>
          <cell r="E3991"/>
          <cell r="F3991"/>
          <cell r="G3991"/>
          <cell r="H3991"/>
          <cell r="I3991"/>
          <cell r="J3991"/>
          <cell r="K3991"/>
          <cell r="L3991"/>
          <cell r="M3991"/>
          <cell r="N3991"/>
          <cell r="O3991"/>
        </row>
        <row r="3992">
          <cell r="A3992"/>
          <cell r="B3992"/>
          <cell r="C3992"/>
          <cell r="D3992"/>
          <cell r="E3992"/>
          <cell r="F3992"/>
          <cell r="G3992"/>
          <cell r="H3992"/>
          <cell r="I3992"/>
          <cell r="J3992"/>
          <cell r="K3992"/>
          <cell r="L3992"/>
          <cell r="M3992"/>
          <cell r="N3992"/>
          <cell r="O3992"/>
        </row>
        <row r="3993">
          <cell r="A3993"/>
          <cell r="B3993"/>
          <cell r="C3993"/>
          <cell r="D3993"/>
          <cell r="E3993"/>
          <cell r="F3993"/>
          <cell r="G3993"/>
          <cell r="H3993"/>
          <cell r="I3993"/>
          <cell r="J3993"/>
          <cell r="K3993"/>
          <cell r="L3993"/>
          <cell r="M3993"/>
          <cell r="N3993"/>
          <cell r="O3993"/>
        </row>
        <row r="3994">
          <cell r="A3994"/>
          <cell r="B3994"/>
          <cell r="C3994"/>
          <cell r="D3994"/>
          <cell r="E3994"/>
          <cell r="F3994"/>
          <cell r="G3994"/>
          <cell r="H3994"/>
          <cell r="I3994"/>
          <cell r="J3994"/>
          <cell r="K3994"/>
          <cell r="L3994"/>
          <cell r="M3994"/>
          <cell r="N3994"/>
          <cell r="O3994"/>
        </row>
        <row r="3995">
          <cell r="A3995"/>
          <cell r="B3995"/>
          <cell r="C3995"/>
          <cell r="D3995"/>
          <cell r="E3995"/>
          <cell r="F3995"/>
          <cell r="G3995"/>
          <cell r="H3995"/>
          <cell r="I3995"/>
          <cell r="J3995"/>
          <cell r="K3995"/>
          <cell r="L3995"/>
          <cell r="M3995"/>
          <cell r="N3995"/>
          <cell r="O3995"/>
        </row>
        <row r="3996">
          <cell r="A3996"/>
          <cell r="B3996"/>
          <cell r="C3996"/>
          <cell r="D3996"/>
          <cell r="E3996"/>
          <cell r="F3996"/>
          <cell r="G3996"/>
          <cell r="H3996"/>
          <cell r="I3996"/>
          <cell r="J3996"/>
          <cell r="K3996"/>
          <cell r="L3996"/>
          <cell r="M3996"/>
          <cell r="N3996"/>
          <cell r="O3996"/>
        </row>
        <row r="3997">
          <cell r="A3997"/>
          <cell r="B3997"/>
          <cell r="C3997"/>
          <cell r="D3997"/>
          <cell r="E3997"/>
          <cell r="F3997"/>
          <cell r="G3997"/>
          <cell r="H3997"/>
          <cell r="I3997"/>
          <cell r="J3997"/>
          <cell r="K3997"/>
          <cell r="L3997"/>
          <cell r="M3997"/>
          <cell r="N3997"/>
          <cell r="O3997"/>
        </row>
        <row r="3998">
          <cell r="A3998"/>
          <cell r="B3998"/>
          <cell r="C3998"/>
          <cell r="D3998"/>
          <cell r="E3998"/>
          <cell r="F3998"/>
          <cell r="G3998"/>
          <cell r="H3998"/>
          <cell r="I3998"/>
          <cell r="J3998"/>
          <cell r="K3998"/>
          <cell r="L3998"/>
          <cell r="M3998"/>
          <cell r="N3998"/>
          <cell r="O3998"/>
        </row>
        <row r="3999">
          <cell r="A3999"/>
          <cell r="B3999"/>
          <cell r="C3999"/>
          <cell r="D3999"/>
          <cell r="E3999"/>
          <cell r="F3999"/>
          <cell r="G3999"/>
          <cell r="H3999"/>
          <cell r="I3999"/>
          <cell r="J3999"/>
          <cell r="K3999"/>
          <cell r="L3999"/>
          <cell r="M3999"/>
          <cell r="N3999"/>
          <cell r="O3999"/>
        </row>
        <row r="4000">
          <cell r="A4000"/>
          <cell r="B4000"/>
          <cell r="C4000"/>
          <cell r="D4000"/>
          <cell r="E4000"/>
          <cell r="F4000"/>
          <cell r="G4000"/>
          <cell r="H4000"/>
          <cell r="I4000"/>
          <cell r="J4000"/>
          <cell r="K4000"/>
          <cell r="L4000"/>
          <cell r="M4000"/>
          <cell r="N4000"/>
          <cell r="O4000"/>
        </row>
        <row r="4001">
          <cell r="A4001"/>
          <cell r="B4001"/>
          <cell r="C4001"/>
          <cell r="D4001"/>
          <cell r="E4001"/>
          <cell r="F4001"/>
          <cell r="G4001"/>
          <cell r="H4001"/>
          <cell r="I4001"/>
          <cell r="J4001"/>
          <cell r="K4001"/>
          <cell r="L4001"/>
          <cell r="M4001"/>
          <cell r="N4001"/>
          <cell r="O4001"/>
        </row>
        <row r="4002">
          <cell r="A4002"/>
          <cell r="B4002"/>
          <cell r="C4002"/>
          <cell r="D4002"/>
          <cell r="E4002"/>
          <cell r="F4002"/>
          <cell r="G4002"/>
          <cell r="H4002"/>
          <cell r="I4002"/>
          <cell r="J4002"/>
          <cell r="K4002"/>
          <cell r="L4002"/>
          <cell r="M4002"/>
          <cell r="N4002"/>
          <cell r="O4002"/>
        </row>
        <row r="4003">
          <cell r="A4003"/>
          <cell r="B4003"/>
          <cell r="C4003"/>
          <cell r="D4003"/>
          <cell r="E4003"/>
          <cell r="F4003"/>
          <cell r="G4003"/>
          <cell r="H4003"/>
          <cell r="I4003"/>
          <cell r="J4003"/>
          <cell r="K4003"/>
          <cell r="L4003"/>
          <cell r="M4003"/>
          <cell r="N4003"/>
          <cell r="O4003"/>
        </row>
        <row r="4004">
          <cell r="A4004"/>
          <cell r="B4004"/>
          <cell r="C4004"/>
          <cell r="D4004"/>
          <cell r="E4004"/>
          <cell r="F4004"/>
          <cell r="G4004"/>
          <cell r="H4004"/>
          <cell r="I4004"/>
          <cell r="J4004"/>
          <cell r="K4004"/>
          <cell r="L4004"/>
          <cell r="M4004"/>
          <cell r="N4004"/>
          <cell r="O4004"/>
        </row>
        <row r="4005">
          <cell r="A4005"/>
          <cell r="B4005"/>
          <cell r="C4005"/>
          <cell r="D4005"/>
          <cell r="E4005"/>
          <cell r="F4005"/>
          <cell r="G4005"/>
          <cell r="H4005"/>
          <cell r="I4005"/>
          <cell r="J4005"/>
          <cell r="K4005"/>
          <cell r="L4005"/>
          <cell r="M4005"/>
          <cell r="N4005"/>
          <cell r="O4005"/>
        </row>
        <row r="4006">
          <cell r="A4006"/>
          <cell r="B4006"/>
          <cell r="C4006"/>
          <cell r="D4006"/>
          <cell r="E4006"/>
          <cell r="F4006"/>
          <cell r="G4006"/>
          <cell r="H4006"/>
          <cell r="I4006"/>
          <cell r="J4006"/>
          <cell r="K4006"/>
          <cell r="L4006"/>
          <cell r="M4006"/>
          <cell r="N4006"/>
          <cell r="O4006"/>
        </row>
        <row r="4007">
          <cell r="A4007"/>
          <cell r="B4007"/>
          <cell r="C4007"/>
          <cell r="D4007"/>
          <cell r="E4007"/>
          <cell r="F4007"/>
          <cell r="G4007"/>
          <cell r="H4007"/>
          <cell r="I4007"/>
          <cell r="J4007"/>
          <cell r="K4007"/>
          <cell r="L4007"/>
          <cell r="M4007"/>
          <cell r="N4007"/>
          <cell r="O4007"/>
        </row>
        <row r="4008">
          <cell r="A4008"/>
          <cell r="B4008"/>
          <cell r="C4008"/>
          <cell r="D4008"/>
          <cell r="E4008"/>
          <cell r="F4008"/>
          <cell r="G4008"/>
          <cell r="H4008"/>
          <cell r="I4008"/>
          <cell r="J4008"/>
          <cell r="K4008"/>
          <cell r="L4008"/>
          <cell r="M4008"/>
          <cell r="N4008"/>
          <cell r="O4008"/>
        </row>
        <row r="4009">
          <cell r="A4009"/>
          <cell r="B4009"/>
          <cell r="C4009"/>
          <cell r="D4009"/>
          <cell r="E4009"/>
          <cell r="F4009"/>
          <cell r="G4009"/>
          <cell r="H4009"/>
          <cell r="I4009"/>
          <cell r="J4009"/>
          <cell r="K4009"/>
          <cell r="L4009"/>
          <cell r="M4009"/>
          <cell r="N4009"/>
          <cell r="O4009"/>
        </row>
        <row r="4010">
          <cell r="A4010"/>
          <cell r="B4010"/>
          <cell r="C4010"/>
          <cell r="D4010"/>
          <cell r="E4010"/>
          <cell r="F4010"/>
          <cell r="G4010"/>
          <cell r="H4010"/>
          <cell r="I4010"/>
          <cell r="J4010"/>
          <cell r="K4010"/>
          <cell r="L4010"/>
          <cell r="M4010"/>
          <cell r="N4010"/>
          <cell r="O4010"/>
        </row>
        <row r="4011">
          <cell r="A4011"/>
          <cell r="B4011"/>
          <cell r="C4011"/>
          <cell r="D4011"/>
          <cell r="E4011"/>
          <cell r="F4011"/>
          <cell r="G4011"/>
          <cell r="H4011"/>
          <cell r="I4011"/>
          <cell r="J4011"/>
          <cell r="K4011"/>
          <cell r="L4011"/>
          <cell r="M4011"/>
          <cell r="N4011"/>
          <cell r="O4011"/>
        </row>
        <row r="4012">
          <cell r="A4012"/>
          <cell r="B4012"/>
          <cell r="C4012"/>
          <cell r="D4012"/>
          <cell r="E4012"/>
          <cell r="F4012"/>
          <cell r="G4012"/>
          <cell r="H4012"/>
          <cell r="I4012"/>
          <cell r="J4012"/>
          <cell r="K4012"/>
          <cell r="L4012"/>
          <cell r="M4012"/>
          <cell r="N4012"/>
          <cell r="O4012"/>
        </row>
        <row r="4013">
          <cell r="A4013"/>
          <cell r="B4013"/>
          <cell r="C4013"/>
          <cell r="D4013"/>
          <cell r="E4013"/>
          <cell r="F4013"/>
          <cell r="G4013"/>
          <cell r="H4013"/>
          <cell r="I4013"/>
          <cell r="J4013"/>
          <cell r="K4013"/>
          <cell r="L4013"/>
          <cell r="M4013"/>
          <cell r="N4013"/>
          <cell r="O4013"/>
        </row>
        <row r="4014">
          <cell r="A4014"/>
          <cell r="B4014"/>
          <cell r="C4014"/>
          <cell r="D4014"/>
          <cell r="E4014"/>
          <cell r="F4014"/>
          <cell r="G4014"/>
          <cell r="H4014"/>
          <cell r="I4014"/>
          <cell r="J4014"/>
          <cell r="K4014"/>
          <cell r="L4014"/>
          <cell r="M4014"/>
          <cell r="N4014"/>
          <cell r="O4014"/>
        </row>
        <row r="4015">
          <cell r="A4015"/>
          <cell r="B4015"/>
          <cell r="C4015"/>
          <cell r="D4015"/>
          <cell r="E4015"/>
          <cell r="F4015"/>
          <cell r="G4015"/>
          <cell r="H4015"/>
          <cell r="I4015"/>
          <cell r="J4015"/>
          <cell r="K4015"/>
          <cell r="L4015"/>
          <cell r="M4015"/>
          <cell r="N4015"/>
          <cell r="O4015"/>
        </row>
        <row r="4016">
          <cell r="A4016"/>
          <cell r="B4016"/>
          <cell r="C4016"/>
          <cell r="D4016"/>
          <cell r="E4016"/>
          <cell r="F4016"/>
          <cell r="G4016"/>
          <cell r="H4016"/>
          <cell r="I4016"/>
          <cell r="J4016"/>
          <cell r="K4016"/>
          <cell r="L4016"/>
          <cell r="M4016"/>
          <cell r="N4016"/>
          <cell r="O4016"/>
        </row>
        <row r="4017">
          <cell r="A4017"/>
          <cell r="B4017"/>
          <cell r="C4017"/>
          <cell r="D4017"/>
          <cell r="E4017"/>
          <cell r="F4017"/>
          <cell r="G4017"/>
          <cell r="H4017"/>
          <cell r="I4017"/>
          <cell r="J4017"/>
          <cell r="K4017"/>
          <cell r="L4017"/>
          <cell r="M4017"/>
          <cell r="N4017"/>
          <cell r="O4017"/>
        </row>
        <row r="4018">
          <cell r="A4018"/>
          <cell r="B4018"/>
          <cell r="C4018"/>
          <cell r="D4018"/>
          <cell r="E4018"/>
          <cell r="F4018"/>
          <cell r="G4018"/>
          <cell r="H4018"/>
          <cell r="I4018"/>
          <cell r="J4018"/>
          <cell r="K4018"/>
          <cell r="L4018"/>
          <cell r="M4018"/>
          <cell r="N4018"/>
          <cell r="O4018"/>
        </row>
        <row r="4019">
          <cell r="A4019"/>
          <cell r="B4019"/>
          <cell r="C4019"/>
          <cell r="D4019"/>
          <cell r="E4019"/>
          <cell r="F4019"/>
          <cell r="G4019"/>
          <cell r="H4019"/>
          <cell r="I4019"/>
          <cell r="J4019"/>
          <cell r="K4019"/>
          <cell r="L4019"/>
          <cell r="M4019"/>
          <cell r="N4019"/>
          <cell r="O4019"/>
        </row>
        <row r="4020">
          <cell r="A4020"/>
          <cell r="B4020"/>
          <cell r="C4020"/>
          <cell r="D4020"/>
          <cell r="E4020"/>
          <cell r="F4020"/>
          <cell r="G4020"/>
          <cell r="H4020"/>
          <cell r="I4020"/>
          <cell r="J4020"/>
          <cell r="K4020"/>
          <cell r="L4020"/>
          <cell r="M4020"/>
          <cell r="N4020"/>
          <cell r="O4020"/>
        </row>
        <row r="4021">
          <cell r="A4021"/>
          <cell r="B4021"/>
          <cell r="C4021"/>
          <cell r="D4021"/>
          <cell r="E4021"/>
          <cell r="F4021"/>
          <cell r="G4021"/>
          <cell r="H4021"/>
          <cell r="I4021"/>
          <cell r="J4021"/>
          <cell r="K4021"/>
          <cell r="L4021"/>
          <cell r="M4021"/>
          <cell r="N4021"/>
          <cell r="O4021"/>
        </row>
        <row r="4022">
          <cell r="A4022"/>
          <cell r="B4022"/>
          <cell r="C4022"/>
          <cell r="D4022"/>
          <cell r="E4022"/>
          <cell r="F4022"/>
          <cell r="G4022"/>
          <cell r="H4022"/>
          <cell r="I4022"/>
          <cell r="J4022"/>
          <cell r="K4022"/>
          <cell r="L4022"/>
          <cell r="M4022"/>
          <cell r="N4022"/>
          <cell r="O4022"/>
        </row>
        <row r="4023">
          <cell r="A4023"/>
          <cell r="B4023"/>
          <cell r="C4023"/>
          <cell r="D4023"/>
          <cell r="E4023"/>
          <cell r="F4023"/>
          <cell r="G4023"/>
          <cell r="H4023"/>
          <cell r="I4023"/>
          <cell r="J4023"/>
          <cell r="K4023"/>
          <cell r="L4023"/>
          <cell r="M4023"/>
          <cell r="N4023"/>
          <cell r="O4023"/>
        </row>
        <row r="4024">
          <cell r="A4024"/>
          <cell r="B4024"/>
          <cell r="C4024"/>
          <cell r="D4024"/>
          <cell r="E4024"/>
          <cell r="F4024"/>
          <cell r="G4024"/>
          <cell r="H4024"/>
          <cell r="I4024"/>
          <cell r="J4024"/>
          <cell r="K4024"/>
          <cell r="L4024"/>
          <cell r="M4024"/>
          <cell r="N4024"/>
          <cell r="O4024"/>
        </row>
        <row r="4025">
          <cell r="A4025"/>
          <cell r="B4025"/>
          <cell r="C4025"/>
          <cell r="D4025"/>
          <cell r="E4025"/>
          <cell r="F4025"/>
          <cell r="G4025"/>
          <cell r="H4025"/>
          <cell r="I4025"/>
          <cell r="J4025"/>
          <cell r="K4025"/>
          <cell r="L4025"/>
          <cell r="M4025"/>
          <cell r="N4025"/>
          <cell r="O4025"/>
        </row>
        <row r="4026">
          <cell r="A4026"/>
          <cell r="B4026"/>
          <cell r="C4026"/>
          <cell r="D4026"/>
          <cell r="E4026"/>
          <cell r="F4026"/>
          <cell r="G4026"/>
          <cell r="H4026"/>
          <cell r="I4026"/>
          <cell r="J4026"/>
          <cell r="K4026"/>
          <cell r="L4026"/>
          <cell r="M4026"/>
          <cell r="N4026"/>
          <cell r="O4026"/>
        </row>
        <row r="4027">
          <cell r="A4027"/>
          <cell r="B4027"/>
          <cell r="C4027"/>
          <cell r="D4027"/>
          <cell r="E4027"/>
          <cell r="F4027"/>
          <cell r="G4027"/>
          <cell r="H4027"/>
          <cell r="I4027"/>
          <cell r="J4027"/>
          <cell r="K4027"/>
          <cell r="L4027"/>
          <cell r="M4027"/>
          <cell r="N4027"/>
          <cell r="O4027"/>
        </row>
        <row r="4028">
          <cell r="A4028"/>
          <cell r="B4028"/>
          <cell r="C4028"/>
          <cell r="D4028"/>
          <cell r="E4028"/>
          <cell r="F4028"/>
          <cell r="G4028"/>
          <cell r="H4028"/>
          <cell r="I4028"/>
          <cell r="J4028"/>
          <cell r="K4028"/>
          <cell r="L4028"/>
          <cell r="M4028"/>
          <cell r="N4028"/>
          <cell r="O4028"/>
        </row>
        <row r="4029">
          <cell r="A4029"/>
          <cell r="B4029"/>
          <cell r="C4029"/>
          <cell r="D4029"/>
          <cell r="E4029"/>
          <cell r="F4029"/>
          <cell r="G4029"/>
          <cell r="H4029"/>
          <cell r="I4029"/>
          <cell r="J4029"/>
          <cell r="K4029"/>
          <cell r="L4029"/>
          <cell r="M4029"/>
          <cell r="N4029"/>
          <cell r="O4029"/>
        </row>
        <row r="4030">
          <cell r="A4030"/>
          <cell r="B4030"/>
          <cell r="C4030"/>
          <cell r="D4030"/>
          <cell r="E4030"/>
          <cell r="F4030"/>
          <cell r="G4030"/>
          <cell r="H4030"/>
          <cell r="I4030"/>
          <cell r="J4030"/>
          <cell r="K4030"/>
          <cell r="L4030"/>
          <cell r="M4030"/>
          <cell r="N4030"/>
          <cell r="O4030"/>
        </row>
        <row r="4031">
          <cell r="A4031"/>
          <cell r="B4031"/>
          <cell r="C4031"/>
          <cell r="D4031"/>
          <cell r="E4031"/>
          <cell r="F4031"/>
          <cell r="G4031"/>
          <cell r="H4031"/>
          <cell r="I4031"/>
          <cell r="J4031"/>
          <cell r="K4031"/>
          <cell r="L4031"/>
          <cell r="M4031"/>
          <cell r="N4031"/>
          <cell r="O4031"/>
        </row>
        <row r="4032">
          <cell r="A4032"/>
          <cell r="B4032"/>
          <cell r="C4032"/>
          <cell r="D4032"/>
          <cell r="E4032"/>
          <cell r="F4032"/>
          <cell r="G4032"/>
          <cell r="H4032"/>
          <cell r="I4032"/>
          <cell r="J4032"/>
          <cell r="K4032"/>
          <cell r="L4032"/>
          <cell r="M4032"/>
          <cell r="N4032"/>
          <cell r="O4032"/>
        </row>
        <row r="4033">
          <cell r="A4033"/>
          <cell r="B4033"/>
          <cell r="C4033"/>
          <cell r="D4033"/>
          <cell r="E4033"/>
          <cell r="F4033"/>
          <cell r="G4033"/>
          <cell r="H4033"/>
          <cell r="I4033"/>
          <cell r="J4033"/>
          <cell r="K4033"/>
          <cell r="L4033"/>
          <cell r="M4033"/>
          <cell r="N4033"/>
          <cell r="O4033"/>
        </row>
        <row r="4034">
          <cell r="A4034"/>
          <cell r="B4034"/>
          <cell r="C4034"/>
          <cell r="D4034"/>
          <cell r="E4034"/>
          <cell r="F4034"/>
          <cell r="G4034"/>
          <cell r="H4034"/>
          <cell r="I4034"/>
          <cell r="J4034"/>
          <cell r="K4034"/>
          <cell r="L4034"/>
          <cell r="M4034"/>
          <cell r="N4034"/>
          <cell r="O4034"/>
        </row>
        <row r="4035">
          <cell r="A4035"/>
          <cell r="B4035"/>
          <cell r="C4035"/>
          <cell r="D4035"/>
          <cell r="E4035"/>
          <cell r="F4035"/>
          <cell r="G4035"/>
          <cell r="H4035"/>
          <cell r="I4035"/>
          <cell r="J4035"/>
          <cell r="K4035"/>
          <cell r="L4035"/>
          <cell r="M4035"/>
          <cell r="N4035"/>
          <cell r="O4035"/>
        </row>
        <row r="4036">
          <cell r="A4036"/>
          <cell r="B4036"/>
          <cell r="C4036"/>
          <cell r="D4036"/>
          <cell r="E4036"/>
          <cell r="F4036"/>
          <cell r="G4036"/>
          <cell r="H4036"/>
          <cell r="I4036"/>
          <cell r="J4036"/>
          <cell r="K4036"/>
          <cell r="L4036"/>
          <cell r="M4036"/>
          <cell r="N4036"/>
          <cell r="O4036"/>
        </row>
        <row r="4037">
          <cell r="A4037"/>
          <cell r="B4037"/>
          <cell r="C4037"/>
          <cell r="D4037"/>
          <cell r="E4037"/>
          <cell r="F4037"/>
          <cell r="G4037"/>
          <cell r="H4037"/>
          <cell r="I4037"/>
          <cell r="J4037"/>
          <cell r="K4037"/>
          <cell r="L4037"/>
          <cell r="M4037"/>
          <cell r="N4037"/>
          <cell r="O4037"/>
        </row>
        <row r="4038">
          <cell r="A4038"/>
          <cell r="B4038"/>
          <cell r="C4038"/>
          <cell r="D4038"/>
          <cell r="E4038"/>
          <cell r="F4038"/>
          <cell r="G4038"/>
          <cell r="H4038"/>
          <cell r="I4038"/>
          <cell r="J4038"/>
          <cell r="K4038"/>
          <cell r="L4038"/>
          <cell r="M4038"/>
          <cell r="N4038"/>
          <cell r="O4038"/>
        </row>
        <row r="4039">
          <cell r="A4039"/>
          <cell r="B4039"/>
          <cell r="C4039"/>
          <cell r="D4039"/>
          <cell r="E4039"/>
          <cell r="F4039"/>
          <cell r="G4039"/>
          <cell r="H4039"/>
          <cell r="I4039"/>
          <cell r="J4039"/>
          <cell r="K4039"/>
          <cell r="L4039"/>
          <cell r="M4039"/>
          <cell r="N4039"/>
          <cell r="O4039"/>
        </row>
        <row r="4040">
          <cell r="A4040"/>
          <cell r="B4040"/>
          <cell r="C4040"/>
          <cell r="D4040"/>
          <cell r="E4040"/>
          <cell r="F4040"/>
          <cell r="G4040"/>
          <cell r="H4040"/>
          <cell r="I4040"/>
          <cell r="J4040"/>
          <cell r="K4040"/>
          <cell r="L4040"/>
          <cell r="M4040"/>
          <cell r="N4040"/>
          <cell r="O4040"/>
        </row>
        <row r="4041">
          <cell r="A4041"/>
          <cell r="B4041"/>
          <cell r="C4041"/>
          <cell r="D4041"/>
          <cell r="E4041"/>
          <cell r="F4041"/>
          <cell r="G4041"/>
          <cell r="H4041"/>
          <cell r="I4041"/>
          <cell r="J4041"/>
          <cell r="K4041"/>
          <cell r="L4041"/>
          <cell r="M4041"/>
          <cell r="N4041"/>
          <cell r="O4041"/>
        </row>
        <row r="4042">
          <cell r="A4042"/>
          <cell r="B4042"/>
          <cell r="C4042"/>
          <cell r="D4042"/>
          <cell r="E4042"/>
          <cell r="F4042"/>
          <cell r="G4042"/>
          <cell r="H4042"/>
          <cell r="I4042"/>
          <cell r="J4042"/>
          <cell r="K4042"/>
          <cell r="L4042"/>
          <cell r="M4042"/>
          <cell r="N4042"/>
          <cell r="O4042"/>
        </row>
        <row r="4043">
          <cell r="A4043"/>
          <cell r="B4043"/>
          <cell r="C4043"/>
          <cell r="D4043"/>
          <cell r="E4043"/>
          <cell r="F4043"/>
          <cell r="G4043"/>
          <cell r="H4043"/>
          <cell r="I4043"/>
          <cell r="J4043"/>
          <cell r="K4043"/>
          <cell r="L4043"/>
          <cell r="M4043"/>
          <cell r="N4043"/>
          <cell r="O4043"/>
        </row>
        <row r="4044">
          <cell r="A4044"/>
          <cell r="B4044"/>
          <cell r="C4044"/>
          <cell r="D4044"/>
          <cell r="E4044"/>
          <cell r="F4044"/>
          <cell r="G4044"/>
          <cell r="H4044"/>
          <cell r="I4044"/>
          <cell r="J4044"/>
          <cell r="K4044"/>
          <cell r="L4044"/>
          <cell r="M4044"/>
          <cell r="N4044"/>
          <cell r="O4044"/>
        </row>
        <row r="4045">
          <cell r="A4045"/>
          <cell r="B4045"/>
          <cell r="C4045"/>
          <cell r="D4045"/>
          <cell r="E4045"/>
          <cell r="F4045"/>
          <cell r="G4045"/>
          <cell r="H4045"/>
          <cell r="I4045"/>
          <cell r="J4045"/>
          <cell r="K4045"/>
          <cell r="L4045"/>
          <cell r="M4045"/>
          <cell r="N4045"/>
          <cell r="O4045"/>
        </row>
        <row r="4046">
          <cell r="A4046"/>
          <cell r="B4046"/>
          <cell r="C4046"/>
          <cell r="D4046"/>
          <cell r="E4046"/>
          <cell r="F4046"/>
          <cell r="G4046"/>
          <cell r="H4046"/>
          <cell r="I4046"/>
          <cell r="J4046"/>
          <cell r="K4046"/>
          <cell r="L4046"/>
          <cell r="M4046"/>
          <cell r="N4046"/>
          <cell r="O4046"/>
        </row>
        <row r="4047">
          <cell r="A4047"/>
          <cell r="B4047"/>
          <cell r="C4047"/>
          <cell r="D4047"/>
          <cell r="E4047"/>
          <cell r="F4047"/>
          <cell r="G4047"/>
          <cell r="H4047"/>
          <cell r="I4047"/>
          <cell r="J4047"/>
          <cell r="K4047"/>
          <cell r="L4047"/>
          <cell r="M4047"/>
          <cell r="N4047"/>
          <cell r="O4047"/>
        </row>
        <row r="4048">
          <cell r="A4048"/>
          <cell r="B4048"/>
          <cell r="C4048"/>
          <cell r="D4048"/>
          <cell r="E4048"/>
          <cell r="F4048"/>
          <cell r="G4048"/>
          <cell r="H4048"/>
          <cell r="I4048"/>
          <cell r="J4048"/>
          <cell r="K4048"/>
          <cell r="L4048"/>
          <cell r="M4048"/>
          <cell r="N4048"/>
          <cell r="O4048"/>
        </row>
        <row r="4049">
          <cell r="A4049"/>
          <cell r="B4049"/>
          <cell r="C4049"/>
          <cell r="D4049"/>
          <cell r="E4049"/>
          <cell r="F4049"/>
          <cell r="G4049"/>
          <cell r="H4049"/>
          <cell r="I4049"/>
          <cell r="J4049"/>
          <cell r="K4049"/>
          <cell r="L4049"/>
          <cell r="M4049"/>
          <cell r="N4049"/>
          <cell r="O4049"/>
        </row>
        <row r="4050">
          <cell r="A4050"/>
          <cell r="B4050"/>
          <cell r="C4050"/>
          <cell r="D4050"/>
          <cell r="E4050"/>
          <cell r="F4050"/>
          <cell r="G4050"/>
          <cell r="H4050"/>
          <cell r="I4050"/>
          <cell r="J4050"/>
          <cell r="K4050"/>
          <cell r="L4050"/>
          <cell r="M4050"/>
          <cell r="N4050"/>
          <cell r="O4050"/>
        </row>
        <row r="4051">
          <cell r="A4051"/>
          <cell r="B4051"/>
          <cell r="C4051"/>
          <cell r="D4051"/>
          <cell r="E4051"/>
          <cell r="F4051"/>
          <cell r="G4051"/>
          <cell r="H4051"/>
          <cell r="I4051"/>
          <cell r="J4051"/>
          <cell r="K4051"/>
          <cell r="L4051"/>
          <cell r="M4051"/>
          <cell r="N4051"/>
          <cell r="O4051"/>
        </row>
        <row r="4052">
          <cell r="A4052"/>
          <cell r="B4052"/>
          <cell r="C4052"/>
          <cell r="D4052"/>
          <cell r="E4052"/>
          <cell r="F4052"/>
          <cell r="G4052"/>
          <cell r="H4052"/>
          <cell r="I4052"/>
          <cell r="J4052"/>
          <cell r="K4052"/>
          <cell r="L4052"/>
          <cell r="M4052"/>
          <cell r="N4052"/>
          <cell r="O4052"/>
        </row>
        <row r="4053">
          <cell r="A4053"/>
          <cell r="B4053"/>
          <cell r="C4053"/>
          <cell r="D4053"/>
          <cell r="E4053"/>
          <cell r="F4053"/>
          <cell r="G4053"/>
          <cell r="H4053"/>
          <cell r="I4053"/>
          <cell r="J4053"/>
          <cell r="K4053"/>
          <cell r="L4053"/>
          <cell r="M4053"/>
          <cell r="N4053"/>
          <cell r="O4053"/>
        </row>
        <row r="4054">
          <cell r="A4054"/>
          <cell r="B4054"/>
          <cell r="C4054"/>
          <cell r="D4054"/>
          <cell r="E4054"/>
          <cell r="F4054"/>
          <cell r="G4054"/>
          <cell r="H4054"/>
          <cell r="I4054"/>
          <cell r="J4054"/>
          <cell r="K4054"/>
          <cell r="L4054"/>
          <cell r="M4054"/>
          <cell r="N4054"/>
          <cell r="O4054"/>
        </row>
        <row r="4055">
          <cell r="A4055"/>
          <cell r="B4055"/>
          <cell r="C4055"/>
          <cell r="D4055"/>
          <cell r="E4055"/>
          <cell r="F4055"/>
          <cell r="G4055"/>
          <cell r="H4055"/>
          <cell r="I4055"/>
          <cell r="J4055"/>
          <cell r="K4055"/>
          <cell r="L4055"/>
          <cell r="M4055"/>
          <cell r="N4055"/>
          <cell r="O4055"/>
        </row>
        <row r="4056">
          <cell r="A4056"/>
          <cell r="B4056"/>
          <cell r="C4056"/>
          <cell r="D4056"/>
          <cell r="E4056"/>
          <cell r="F4056"/>
          <cell r="G4056"/>
          <cell r="H4056"/>
          <cell r="I4056"/>
          <cell r="J4056"/>
          <cell r="K4056"/>
          <cell r="L4056"/>
          <cell r="M4056"/>
          <cell r="N4056"/>
          <cell r="O4056"/>
        </row>
        <row r="4057">
          <cell r="A4057"/>
          <cell r="B4057"/>
          <cell r="C4057"/>
          <cell r="D4057"/>
          <cell r="E4057"/>
          <cell r="F4057"/>
          <cell r="G4057"/>
          <cell r="H4057"/>
          <cell r="I4057"/>
          <cell r="J4057"/>
          <cell r="K4057"/>
          <cell r="L4057"/>
          <cell r="M4057"/>
          <cell r="N4057"/>
          <cell r="O4057"/>
        </row>
        <row r="4058">
          <cell r="A4058"/>
          <cell r="B4058"/>
          <cell r="C4058"/>
          <cell r="D4058"/>
          <cell r="E4058"/>
          <cell r="F4058"/>
          <cell r="G4058"/>
          <cell r="H4058"/>
          <cell r="I4058"/>
          <cell r="J4058"/>
          <cell r="K4058"/>
          <cell r="L4058"/>
          <cell r="M4058"/>
          <cell r="N4058"/>
          <cell r="O4058"/>
        </row>
        <row r="4059">
          <cell r="A4059"/>
          <cell r="B4059"/>
          <cell r="C4059"/>
          <cell r="D4059"/>
          <cell r="E4059"/>
          <cell r="F4059"/>
          <cell r="G4059"/>
          <cell r="H4059"/>
          <cell r="I4059"/>
          <cell r="J4059"/>
          <cell r="K4059"/>
          <cell r="L4059"/>
          <cell r="M4059"/>
          <cell r="N4059"/>
          <cell r="O4059"/>
        </row>
        <row r="4060">
          <cell r="A4060"/>
          <cell r="B4060"/>
          <cell r="C4060"/>
          <cell r="D4060"/>
          <cell r="E4060"/>
          <cell r="F4060"/>
          <cell r="G4060"/>
          <cell r="H4060"/>
          <cell r="I4060"/>
          <cell r="J4060"/>
          <cell r="K4060"/>
          <cell r="L4060"/>
          <cell r="M4060"/>
          <cell r="N4060"/>
          <cell r="O4060"/>
        </row>
        <row r="4061">
          <cell r="A4061"/>
          <cell r="B4061"/>
          <cell r="C4061"/>
          <cell r="D4061"/>
          <cell r="E4061"/>
          <cell r="F4061"/>
          <cell r="G4061"/>
          <cell r="H4061"/>
          <cell r="I4061"/>
          <cell r="J4061"/>
          <cell r="K4061"/>
          <cell r="L4061"/>
          <cell r="M4061"/>
          <cell r="N4061"/>
          <cell r="O4061"/>
        </row>
        <row r="4062">
          <cell r="A4062"/>
          <cell r="B4062"/>
          <cell r="C4062"/>
          <cell r="D4062"/>
          <cell r="E4062"/>
          <cell r="F4062"/>
          <cell r="G4062"/>
          <cell r="H4062"/>
          <cell r="I4062"/>
          <cell r="J4062"/>
          <cell r="K4062"/>
          <cell r="L4062"/>
          <cell r="M4062"/>
          <cell r="N4062"/>
          <cell r="O4062"/>
        </row>
        <row r="4063">
          <cell r="A4063"/>
          <cell r="B4063"/>
          <cell r="C4063"/>
          <cell r="D4063"/>
          <cell r="E4063"/>
          <cell r="F4063"/>
          <cell r="G4063"/>
          <cell r="H4063"/>
          <cell r="I4063"/>
          <cell r="J4063"/>
          <cell r="K4063"/>
          <cell r="L4063"/>
          <cell r="M4063"/>
          <cell r="N4063"/>
          <cell r="O4063"/>
        </row>
        <row r="4064">
          <cell r="A4064"/>
          <cell r="B4064"/>
          <cell r="C4064"/>
          <cell r="D4064"/>
          <cell r="E4064"/>
          <cell r="F4064"/>
          <cell r="G4064"/>
          <cell r="H4064"/>
          <cell r="I4064"/>
          <cell r="J4064"/>
          <cell r="K4064"/>
          <cell r="L4064"/>
          <cell r="M4064"/>
          <cell r="N4064"/>
          <cell r="O4064"/>
        </row>
        <row r="4065">
          <cell r="A4065"/>
          <cell r="B4065"/>
          <cell r="C4065"/>
          <cell r="D4065"/>
          <cell r="E4065"/>
          <cell r="F4065"/>
          <cell r="G4065"/>
          <cell r="H4065"/>
          <cell r="I4065"/>
          <cell r="J4065"/>
          <cell r="K4065"/>
          <cell r="L4065"/>
          <cell r="M4065"/>
          <cell r="N4065"/>
          <cell r="O4065"/>
        </row>
        <row r="4066">
          <cell r="A4066"/>
          <cell r="B4066"/>
          <cell r="C4066"/>
          <cell r="D4066"/>
          <cell r="E4066"/>
          <cell r="F4066"/>
          <cell r="G4066"/>
          <cell r="H4066"/>
          <cell r="I4066"/>
          <cell r="J4066"/>
          <cell r="K4066"/>
          <cell r="L4066"/>
          <cell r="M4066"/>
          <cell r="N4066"/>
          <cell r="O4066"/>
        </row>
        <row r="4067">
          <cell r="A4067"/>
          <cell r="B4067"/>
          <cell r="C4067"/>
          <cell r="D4067"/>
          <cell r="E4067"/>
          <cell r="F4067"/>
          <cell r="G4067"/>
          <cell r="H4067"/>
          <cell r="I4067"/>
          <cell r="J4067"/>
          <cell r="K4067"/>
          <cell r="L4067"/>
          <cell r="M4067"/>
          <cell r="N4067"/>
          <cell r="O4067"/>
        </row>
        <row r="4068">
          <cell r="A4068"/>
          <cell r="B4068"/>
          <cell r="C4068"/>
          <cell r="D4068"/>
          <cell r="E4068"/>
          <cell r="F4068"/>
          <cell r="G4068"/>
          <cell r="H4068"/>
          <cell r="I4068"/>
          <cell r="J4068"/>
          <cell r="K4068"/>
          <cell r="L4068"/>
          <cell r="M4068"/>
          <cell r="N4068"/>
          <cell r="O4068"/>
        </row>
        <row r="4069">
          <cell r="A4069"/>
          <cell r="B4069"/>
          <cell r="C4069"/>
          <cell r="D4069"/>
          <cell r="E4069"/>
          <cell r="F4069"/>
          <cell r="G4069"/>
          <cell r="H4069"/>
          <cell r="I4069"/>
          <cell r="J4069"/>
          <cell r="K4069"/>
          <cell r="L4069"/>
          <cell r="M4069"/>
          <cell r="N4069"/>
          <cell r="O4069"/>
        </row>
        <row r="4070">
          <cell r="A4070"/>
          <cell r="B4070"/>
          <cell r="C4070"/>
          <cell r="D4070"/>
          <cell r="E4070"/>
          <cell r="F4070"/>
          <cell r="G4070"/>
          <cell r="H4070"/>
          <cell r="I4070"/>
          <cell r="J4070"/>
          <cell r="K4070"/>
          <cell r="L4070"/>
          <cell r="M4070"/>
          <cell r="N4070"/>
          <cell r="O4070"/>
        </row>
        <row r="4071">
          <cell r="A4071"/>
          <cell r="B4071"/>
          <cell r="C4071"/>
          <cell r="D4071"/>
          <cell r="E4071"/>
          <cell r="F4071"/>
          <cell r="G4071"/>
          <cell r="H4071"/>
          <cell r="I4071"/>
          <cell r="J4071"/>
          <cell r="K4071"/>
          <cell r="L4071"/>
          <cell r="M4071"/>
          <cell r="N4071"/>
          <cell r="O4071"/>
        </row>
        <row r="4072">
          <cell r="A4072"/>
          <cell r="B4072"/>
          <cell r="C4072"/>
          <cell r="D4072"/>
          <cell r="E4072"/>
          <cell r="F4072"/>
          <cell r="G4072"/>
          <cell r="H4072"/>
          <cell r="I4072"/>
          <cell r="J4072"/>
          <cell r="K4072"/>
          <cell r="L4072"/>
          <cell r="M4072"/>
          <cell r="N4072"/>
          <cell r="O4072"/>
        </row>
        <row r="4073">
          <cell r="A4073"/>
          <cell r="B4073"/>
          <cell r="C4073"/>
          <cell r="D4073"/>
          <cell r="E4073"/>
          <cell r="F4073"/>
          <cell r="G4073"/>
          <cell r="H4073"/>
          <cell r="I4073"/>
          <cell r="J4073"/>
          <cell r="K4073"/>
          <cell r="L4073"/>
          <cell r="M4073"/>
          <cell r="N4073"/>
          <cell r="O4073"/>
        </row>
        <row r="4074">
          <cell r="A4074"/>
          <cell r="B4074"/>
          <cell r="C4074"/>
          <cell r="D4074"/>
          <cell r="E4074"/>
          <cell r="F4074"/>
          <cell r="G4074"/>
          <cell r="H4074"/>
          <cell r="I4074"/>
          <cell r="J4074"/>
          <cell r="K4074"/>
          <cell r="L4074"/>
          <cell r="M4074"/>
          <cell r="N4074"/>
          <cell r="O4074"/>
        </row>
        <row r="4075">
          <cell r="A4075"/>
          <cell r="B4075"/>
          <cell r="C4075"/>
          <cell r="D4075"/>
          <cell r="E4075"/>
          <cell r="F4075"/>
          <cell r="G4075"/>
          <cell r="H4075"/>
          <cell r="I4075"/>
          <cell r="J4075"/>
          <cell r="K4075"/>
          <cell r="L4075"/>
          <cell r="M4075"/>
          <cell r="N4075"/>
          <cell r="O4075"/>
        </row>
        <row r="4076">
          <cell r="A4076"/>
          <cell r="B4076"/>
          <cell r="C4076"/>
          <cell r="D4076"/>
          <cell r="E4076"/>
          <cell r="F4076"/>
          <cell r="G4076"/>
          <cell r="H4076"/>
          <cell r="I4076"/>
          <cell r="J4076"/>
          <cell r="K4076"/>
          <cell r="L4076"/>
          <cell r="M4076"/>
          <cell r="N4076"/>
          <cell r="O4076"/>
        </row>
        <row r="4077">
          <cell r="A4077"/>
          <cell r="B4077"/>
          <cell r="C4077"/>
          <cell r="D4077"/>
          <cell r="E4077"/>
          <cell r="F4077"/>
          <cell r="G4077"/>
          <cell r="H4077"/>
          <cell r="I4077"/>
          <cell r="J4077"/>
          <cell r="K4077"/>
          <cell r="L4077"/>
          <cell r="M4077"/>
          <cell r="N4077"/>
          <cell r="O4077"/>
        </row>
        <row r="4078">
          <cell r="A4078"/>
          <cell r="B4078"/>
          <cell r="C4078"/>
          <cell r="D4078"/>
          <cell r="E4078"/>
          <cell r="F4078"/>
          <cell r="G4078"/>
          <cell r="H4078"/>
          <cell r="I4078"/>
          <cell r="J4078"/>
          <cell r="K4078"/>
          <cell r="L4078"/>
          <cell r="M4078"/>
          <cell r="N4078"/>
          <cell r="O4078"/>
        </row>
        <row r="4079">
          <cell r="A4079"/>
          <cell r="B4079"/>
          <cell r="C4079"/>
          <cell r="D4079"/>
          <cell r="E4079"/>
          <cell r="F4079"/>
          <cell r="G4079"/>
          <cell r="H4079"/>
          <cell r="I4079"/>
          <cell r="J4079"/>
          <cell r="K4079"/>
          <cell r="L4079"/>
          <cell r="M4079"/>
          <cell r="N4079"/>
          <cell r="O4079"/>
        </row>
        <row r="4080">
          <cell r="A4080"/>
          <cell r="B4080"/>
          <cell r="C4080"/>
          <cell r="D4080"/>
          <cell r="E4080"/>
          <cell r="F4080"/>
          <cell r="G4080"/>
          <cell r="H4080"/>
          <cell r="I4080"/>
          <cell r="J4080"/>
          <cell r="K4080"/>
          <cell r="L4080"/>
          <cell r="M4080"/>
          <cell r="N4080"/>
          <cell r="O4080"/>
        </row>
        <row r="4081">
          <cell r="A4081"/>
          <cell r="B4081"/>
          <cell r="C4081"/>
          <cell r="D4081"/>
          <cell r="E4081"/>
          <cell r="F4081"/>
          <cell r="G4081"/>
          <cell r="H4081"/>
          <cell r="I4081"/>
          <cell r="J4081"/>
          <cell r="K4081"/>
          <cell r="L4081"/>
          <cell r="M4081"/>
          <cell r="N4081"/>
          <cell r="O4081"/>
        </row>
        <row r="4082">
          <cell r="A4082"/>
          <cell r="B4082"/>
          <cell r="C4082"/>
          <cell r="D4082"/>
          <cell r="E4082"/>
          <cell r="F4082"/>
          <cell r="G4082"/>
          <cell r="H4082"/>
          <cell r="I4082"/>
          <cell r="J4082"/>
          <cell r="K4082"/>
          <cell r="L4082"/>
          <cell r="M4082"/>
          <cell r="N4082"/>
          <cell r="O4082"/>
        </row>
        <row r="4083">
          <cell r="A4083"/>
          <cell r="B4083"/>
          <cell r="C4083"/>
          <cell r="D4083"/>
          <cell r="E4083"/>
          <cell r="F4083"/>
          <cell r="G4083"/>
          <cell r="H4083"/>
          <cell r="I4083"/>
          <cell r="J4083"/>
          <cell r="K4083"/>
          <cell r="L4083"/>
          <cell r="M4083"/>
          <cell r="N4083"/>
          <cell r="O4083"/>
        </row>
        <row r="4084">
          <cell r="A4084"/>
          <cell r="B4084"/>
          <cell r="C4084"/>
          <cell r="D4084"/>
          <cell r="E4084"/>
          <cell r="F4084"/>
          <cell r="G4084"/>
          <cell r="H4084"/>
          <cell r="I4084"/>
          <cell r="J4084"/>
          <cell r="K4084"/>
          <cell r="L4084"/>
          <cell r="M4084"/>
          <cell r="N4084"/>
          <cell r="O4084"/>
        </row>
        <row r="4085">
          <cell r="A4085"/>
          <cell r="B4085"/>
          <cell r="C4085"/>
          <cell r="D4085"/>
          <cell r="E4085"/>
          <cell r="F4085"/>
          <cell r="G4085"/>
          <cell r="H4085"/>
          <cell r="I4085"/>
          <cell r="J4085"/>
          <cell r="K4085"/>
          <cell r="L4085"/>
          <cell r="M4085"/>
          <cell r="N4085"/>
          <cell r="O4085"/>
        </row>
        <row r="4086">
          <cell r="A4086"/>
          <cell r="B4086"/>
          <cell r="C4086"/>
          <cell r="D4086"/>
          <cell r="E4086"/>
          <cell r="F4086"/>
          <cell r="G4086"/>
          <cell r="H4086"/>
          <cell r="I4086"/>
          <cell r="J4086"/>
          <cell r="K4086"/>
          <cell r="L4086"/>
          <cell r="M4086"/>
          <cell r="N4086"/>
          <cell r="O4086"/>
        </row>
        <row r="4087">
          <cell r="A4087"/>
          <cell r="B4087"/>
          <cell r="C4087"/>
          <cell r="D4087"/>
          <cell r="E4087"/>
          <cell r="F4087"/>
          <cell r="G4087"/>
          <cell r="H4087"/>
          <cell r="I4087"/>
          <cell r="J4087"/>
          <cell r="K4087"/>
          <cell r="L4087"/>
          <cell r="M4087"/>
          <cell r="N4087"/>
          <cell r="O4087"/>
        </row>
        <row r="4088">
          <cell r="A4088"/>
          <cell r="B4088"/>
          <cell r="C4088"/>
          <cell r="D4088"/>
          <cell r="E4088"/>
          <cell r="F4088"/>
          <cell r="G4088"/>
          <cell r="H4088"/>
          <cell r="I4088"/>
          <cell r="J4088"/>
          <cell r="K4088"/>
          <cell r="L4088"/>
          <cell r="M4088"/>
          <cell r="N4088"/>
          <cell r="O4088"/>
        </row>
        <row r="4089">
          <cell r="A4089"/>
          <cell r="B4089"/>
          <cell r="C4089"/>
          <cell r="D4089"/>
          <cell r="E4089"/>
          <cell r="F4089"/>
          <cell r="G4089"/>
          <cell r="H4089"/>
          <cell r="I4089"/>
          <cell r="J4089"/>
          <cell r="K4089"/>
          <cell r="L4089"/>
          <cell r="M4089"/>
          <cell r="N4089"/>
          <cell r="O4089"/>
        </row>
        <row r="4090">
          <cell r="A4090"/>
          <cell r="B4090"/>
          <cell r="C4090"/>
          <cell r="D4090"/>
          <cell r="E4090"/>
          <cell r="F4090"/>
          <cell r="G4090"/>
          <cell r="H4090"/>
          <cell r="I4090"/>
          <cell r="J4090"/>
          <cell r="K4090"/>
          <cell r="L4090"/>
          <cell r="M4090"/>
          <cell r="N4090"/>
          <cell r="O4090"/>
        </row>
        <row r="4091">
          <cell r="A4091"/>
          <cell r="B4091"/>
          <cell r="C4091"/>
          <cell r="D4091"/>
          <cell r="E4091"/>
          <cell r="F4091"/>
          <cell r="G4091"/>
          <cell r="H4091"/>
          <cell r="I4091"/>
          <cell r="J4091"/>
          <cell r="K4091"/>
          <cell r="L4091"/>
          <cell r="M4091"/>
          <cell r="N4091"/>
          <cell r="O4091"/>
        </row>
        <row r="4092">
          <cell r="A4092"/>
          <cell r="B4092"/>
          <cell r="C4092"/>
          <cell r="D4092"/>
          <cell r="E4092"/>
          <cell r="F4092"/>
          <cell r="G4092"/>
          <cell r="H4092"/>
          <cell r="I4092"/>
          <cell r="J4092"/>
          <cell r="K4092"/>
          <cell r="L4092"/>
          <cell r="M4092"/>
          <cell r="N4092"/>
          <cell r="O4092"/>
        </row>
        <row r="4093">
          <cell r="A4093"/>
          <cell r="B4093"/>
          <cell r="C4093"/>
          <cell r="D4093"/>
          <cell r="E4093"/>
          <cell r="F4093"/>
          <cell r="G4093"/>
          <cell r="H4093"/>
          <cell r="I4093"/>
          <cell r="J4093"/>
          <cell r="K4093"/>
          <cell r="L4093"/>
          <cell r="M4093"/>
          <cell r="N4093"/>
          <cell r="O4093"/>
        </row>
        <row r="4094">
          <cell r="A4094"/>
          <cell r="B4094"/>
          <cell r="C4094"/>
          <cell r="D4094"/>
          <cell r="E4094"/>
          <cell r="F4094"/>
          <cell r="G4094"/>
          <cell r="H4094"/>
          <cell r="I4094"/>
          <cell r="J4094"/>
          <cell r="K4094"/>
          <cell r="L4094"/>
          <cell r="M4094"/>
          <cell r="N4094"/>
          <cell r="O4094"/>
        </row>
        <row r="4095">
          <cell r="A4095"/>
          <cell r="B4095"/>
          <cell r="C4095"/>
          <cell r="D4095"/>
          <cell r="E4095"/>
          <cell r="F4095"/>
          <cell r="G4095"/>
          <cell r="H4095"/>
          <cell r="I4095"/>
          <cell r="J4095"/>
          <cell r="K4095"/>
          <cell r="L4095"/>
          <cell r="M4095"/>
          <cell r="N4095"/>
          <cell r="O4095"/>
        </row>
        <row r="4096">
          <cell r="A4096"/>
          <cell r="B4096"/>
          <cell r="C4096"/>
          <cell r="D4096"/>
          <cell r="E4096"/>
          <cell r="F4096"/>
          <cell r="G4096"/>
          <cell r="H4096"/>
          <cell r="I4096"/>
          <cell r="J4096"/>
          <cell r="K4096"/>
          <cell r="L4096"/>
          <cell r="M4096"/>
          <cell r="N4096"/>
          <cell r="O4096"/>
        </row>
        <row r="4097">
          <cell r="A4097"/>
          <cell r="B4097"/>
          <cell r="C4097"/>
          <cell r="D4097"/>
          <cell r="E4097"/>
          <cell r="F4097"/>
          <cell r="G4097"/>
          <cell r="H4097"/>
          <cell r="I4097"/>
          <cell r="J4097"/>
          <cell r="K4097"/>
          <cell r="L4097"/>
          <cell r="M4097"/>
          <cell r="N4097"/>
          <cell r="O4097"/>
        </row>
        <row r="4098">
          <cell r="A4098"/>
          <cell r="B4098"/>
          <cell r="C4098"/>
          <cell r="D4098"/>
          <cell r="E4098"/>
          <cell r="F4098"/>
          <cell r="G4098"/>
          <cell r="H4098"/>
          <cell r="I4098"/>
          <cell r="J4098"/>
          <cell r="K4098"/>
          <cell r="L4098"/>
          <cell r="M4098"/>
          <cell r="N4098"/>
          <cell r="O4098"/>
        </row>
        <row r="4099">
          <cell r="A4099"/>
          <cell r="B4099"/>
          <cell r="C4099"/>
          <cell r="D4099"/>
          <cell r="E4099"/>
          <cell r="F4099"/>
          <cell r="G4099"/>
          <cell r="H4099"/>
          <cell r="I4099"/>
          <cell r="J4099"/>
          <cell r="K4099"/>
          <cell r="L4099"/>
          <cell r="M4099"/>
          <cell r="N4099"/>
          <cell r="O4099"/>
        </row>
        <row r="4100">
          <cell r="A4100"/>
          <cell r="B4100"/>
          <cell r="C4100"/>
          <cell r="D4100"/>
          <cell r="E4100"/>
          <cell r="F4100"/>
          <cell r="G4100"/>
          <cell r="H4100"/>
          <cell r="I4100"/>
          <cell r="J4100"/>
          <cell r="K4100"/>
          <cell r="L4100"/>
          <cell r="M4100"/>
          <cell r="N4100"/>
          <cell r="O4100"/>
        </row>
        <row r="4101">
          <cell r="A4101"/>
          <cell r="B4101"/>
          <cell r="C4101"/>
          <cell r="D4101"/>
          <cell r="E4101"/>
          <cell r="F4101"/>
          <cell r="G4101"/>
          <cell r="H4101"/>
          <cell r="I4101"/>
          <cell r="J4101"/>
          <cell r="K4101"/>
          <cell r="L4101"/>
          <cell r="M4101"/>
          <cell r="N4101"/>
          <cell r="O4101"/>
        </row>
        <row r="4102">
          <cell r="A4102"/>
          <cell r="B4102"/>
          <cell r="C4102"/>
          <cell r="D4102"/>
          <cell r="E4102"/>
          <cell r="F4102"/>
          <cell r="G4102"/>
          <cell r="H4102"/>
          <cell r="I4102"/>
          <cell r="J4102"/>
          <cell r="K4102"/>
          <cell r="L4102"/>
          <cell r="M4102"/>
          <cell r="N4102"/>
          <cell r="O4102"/>
        </row>
        <row r="4103">
          <cell r="A4103"/>
          <cell r="B4103"/>
          <cell r="C4103"/>
          <cell r="D4103"/>
          <cell r="E4103"/>
          <cell r="F4103"/>
          <cell r="G4103"/>
          <cell r="H4103"/>
          <cell r="I4103"/>
          <cell r="J4103"/>
          <cell r="K4103"/>
          <cell r="L4103"/>
          <cell r="M4103"/>
          <cell r="N4103"/>
          <cell r="O4103"/>
        </row>
        <row r="4104">
          <cell r="A4104"/>
          <cell r="B4104"/>
          <cell r="C4104"/>
          <cell r="D4104"/>
          <cell r="E4104"/>
          <cell r="F4104"/>
          <cell r="G4104"/>
          <cell r="H4104"/>
          <cell r="I4104"/>
          <cell r="J4104"/>
          <cell r="K4104"/>
          <cell r="L4104"/>
          <cell r="M4104"/>
          <cell r="N4104"/>
          <cell r="O4104"/>
        </row>
        <row r="4105">
          <cell r="A4105"/>
          <cell r="B4105"/>
          <cell r="C4105"/>
          <cell r="D4105"/>
          <cell r="E4105"/>
          <cell r="F4105"/>
          <cell r="G4105"/>
          <cell r="H4105"/>
          <cell r="I4105"/>
          <cell r="J4105"/>
          <cell r="K4105"/>
          <cell r="L4105"/>
          <cell r="M4105"/>
          <cell r="N4105"/>
          <cell r="O4105"/>
        </row>
        <row r="4106">
          <cell r="A4106"/>
          <cell r="B4106"/>
          <cell r="C4106"/>
          <cell r="D4106"/>
          <cell r="E4106"/>
          <cell r="F4106"/>
          <cell r="G4106"/>
          <cell r="H4106"/>
          <cell r="I4106"/>
          <cell r="J4106"/>
          <cell r="K4106"/>
          <cell r="L4106"/>
          <cell r="M4106"/>
          <cell r="N4106"/>
          <cell r="O4106"/>
        </row>
        <row r="4107">
          <cell r="A4107"/>
          <cell r="B4107"/>
          <cell r="C4107"/>
          <cell r="D4107"/>
          <cell r="E4107"/>
          <cell r="F4107"/>
          <cell r="G4107"/>
          <cell r="H4107"/>
          <cell r="I4107"/>
          <cell r="J4107"/>
          <cell r="K4107"/>
          <cell r="L4107"/>
          <cell r="M4107"/>
          <cell r="N4107"/>
          <cell r="O4107"/>
        </row>
        <row r="4108">
          <cell r="A4108"/>
          <cell r="B4108"/>
          <cell r="C4108"/>
          <cell r="D4108"/>
          <cell r="E4108"/>
          <cell r="F4108"/>
          <cell r="G4108"/>
          <cell r="H4108"/>
          <cell r="I4108"/>
          <cell r="J4108"/>
          <cell r="K4108"/>
          <cell r="L4108"/>
          <cell r="M4108"/>
          <cell r="N4108"/>
          <cell r="O4108"/>
        </row>
        <row r="4109">
          <cell r="A4109"/>
          <cell r="B4109"/>
          <cell r="C4109"/>
          <cell r="D4109"/>
          <cell r="E4109"/>
          <cell r="F4109"/>
          <cell r="G4109"/>
          <cell r="H4109"/>
          <cell r="I4109"/>
          <cell r="J4109"/>
          <cell r="K4109"/>
          <cell r="L4109"/>
          <cell r="M4109"/>
          <cell r="N4109"/>
          <cell r="O4109"/>
        </row>
        <row r="4110">
          <cell r="A4110"/>
          <cell r="B4110"/>
          <cell r="C4110"/>
          <cell r="D4110"/>
          <cell r="E4110"/>
          <cell r="F4110"/>
          <cell r="G4110"/>
          <cell r="H4110"/>
          <cell r="I4110"/>
          <cell r="J4110"/>
          <cell r="K4110"/>
          <cell r="L4110"/>
          <cell r="M4110"/>
          <cell r="N4110"/>
          <cell r="O4110"/>
        </row>
        <row r="4111">
          <cell r="A4111"/>
          <cell r="B4111"/>
          <cell r="C4111"/>
          <cell r="D4111"/>
          <cell r="E4111"/>
          <cell r="F4111"/>
          <cell r="G4111"/>
          <cell r="H4111"/>
          <cell r="I4111"/>
          <cell r="J4111"/>
          <cell r="K4111"/>
          <cell r="L4111"/>
          <cell r="M4111"/>
          <cell r="N4111"/>
          <cell r="O4111"/>
        </row>
        <row r="4112">
          <cell r="A4112"/>
          <cell r="B4112"/>
          <cell r="C4112"/>
          <cell r="D4112"/>
          <cell r="E4112"/>
          <cell r="F4112"/>
          <cell r="G4112"/>
          <cell r="H4112"/>
          <cell r="I4112"/>
          <cell r="J4112"/>
          <cell r="K4112"/>
          <cell r="L4112"/>
          <cell r="M4112"/>
          <cell r="N4112"/>
          <cell r="O4112"/>
        </row>
        <row r="4113">
          <cell r="A4113"/>
          <cell r="B4113"/>
          <cell r="C4113"/>
          <cell r="D4113"/>
          <cell r="E4113"/>
          <cell r="F4113"/>
          <cell r="G4113"/>
          <cell r="H4113"/>
          <cell r="I4113"/>
          <cell r="J4113"/>
          <cell r="K4113"/>
          <cell r="L4113"/>
          <cell r="M4113"/>
          <cell r="N4113"/>
          <cell r="O4113"/>
        </row>
        <row r="4114">
          <cell r="A4114"/>
          <cell r="B4114"/>
          <cell r="C4114"/>
          <cell r="D4114"/>
          <cell r="E4114"/>
          <cell r="F4114"/>
          <cell r="G4114"/>
          <cell r="H4114"/>
          <cell r="I4114"/>
          <cell r="J4114"/>
          <cell r="K4114"/>
          <cell r="L4114"/>
          <cell r="M4114"/>
          <cell r="N4114"/>
          <cell r="O4114"/>
        </row>
        <row r="4115">
          <cell r="A4115"/>
          <cell r="B4115"/>
          <cell r="C4115"/>
          <cell r="D4115"/>
          <cell r="E4115"/>
          <cell r="F4115"/>
          <cell r="G4115"/>
          <cell r="H4115"/>
          <cell r="I4115"/>
          <cell r="J4115"/>
          <cell r="K4115"/>
          <cell r="L4115"/>
          <cell r="M4115"/>
          <cell r="N4115"/>
          <cell r="O4115"/>
        </row>
        <row r="4116">
          <cell r="A4116"/>
          <cell r="B4116"/>
          <cell r="C4116"/>
          <cell r="D4116"/>
          <cell r="E4116"/>
          <cell r="F4116"/>
          <cell r="G4116"/>
          <cell r="H4116"/>
          <cell r="I4116"/>
          <cell r="J4116"/>
          <cell r="K4116"/>
          <cell r="L4116"/>
          <cell r="M4116"/>
          <cell r="N4116"/>
          <cell r="O4116"/>
        </row>
        <row r="4117">
          <cell r="A4117"/>
          <cell r="B4117"/>
          <cell r="C4117"/>
          <cell r="D4117"/>
          <cell r="E4117"/>
          <cell r="F4117"/>
          <cell r="G4117"/>
          <cell r="H4117"/>
          <cell r="I4117"/>
          <cell r="J4117"/>
          <cell r="K4117"/>
          <cell r="L4117"/>
          <cell r="M4117"/>
          <cell r="N4117"/>
          <cell r="O4117"/>
        </row>
        <row r="4118">
          <cell r="A4118"/>
          <cell r="B4118"/>
          <cell r="C4118"/>
          <cell r="D4118"/>
          <cell r="E4118"/>
          <cell r="F4118"/>
          <cell r="G4118"/>
          <cell r="H4118"/>
          <cell r="I4118"/>
          <cell r="J4118"/>
          <cell r="K4118"/>
          <cell r="L4118"/>
          <cell r="M4118"/>
          <cell r="N4118"/>
          <cell r="O4118"/>
        </row>
        <row r="4119">
          <cell r="A4119"/>
          <cell r="B4119"/>
          <cell r="C4119"/>
          <cell r="D4119"/>
          <cell r="E4119"/>
          <cell r="F4119"/>
          <cell r="G4119"/>
          <cell r="H4119"/>
          <cell r="I4119"/>
          <cell r="J4119"/>
          <cell r="K4119"/>
          <cell r="L4119"/>
          <cell r="M4119"/>
          <cell r="N4119"/>
          <cell r="O4119"/>
        </row>
        <row r="4120">
          <cell r="A4120"/>
          <cell r="B4120"/>
          <cell r="C4120"/>
          <cell r="D4120"/>
          <cell r="E4120"/>
          <cell r="F4120"/>
          <cell r="G4120"/>
          <cell r="H4120"/>
          <cell r="I4120"/>
          <cell r="J4120"/>
          <cell r="K4120"/>
          <cell r="L4120"/>
          <cell r="M4120"/>
          <cell r="N4120"/>
          <cell r="O4120"/>
        </row>
        <row r="4121">
          <cell r="A4121"/>
          <cell r="B4121"/>
          <cell r="C4121"/>
          <cell r="D4121"/>
          <cell r="E4121"/>
          <cell r="F4121"/>
          <cell r="G4121"/>
          <cell r="H4121"/>
          <cell r="I4121"/>
          <cell r="J4121"/>
          <cell r="K4121"/>
          <cell r="L4121"/>
          <cell r="M4121"/>
          <cell r="N4121"/>
          <cell r="O4121"/>
        </row>
        <row r="4122">
          <cell r="A4122"/>
          <cell r="B4122"/>
          <cell r="C4122"/>
          <cell r="D4122"/>
          <cell r="E4122"/>
          <cell r="F4122"/>
          <cell r="G4122"/>
          <cell r="H4122"/>
          <cell r="I4122"/>
          <cell r="J4122"/>
          <cell r="K4122"/>
          <cell r="L4122"/>
          <cell r="M4122"/>
          <cell r="N4122"/>
          <cell r="O4122"/>
        </row>
        <row r="4123">
          <cell r="A4123"/>
          <cell r="B4123"/>
          <cell r="C4123"/>
          <cell r="D4123"/>
          <cell r="E4123"/>
          <cell r="F4123"/>
          <cell r="G4123"/>
          <cell r="H4123"/>
          <cell r="I4123"/>
          <cell r="J4123"/>
          <cell r="K4123"/>
          <cell r="L4123"/>
          <cell r="M4123"/>
          <cell r="N4123"/>
          <cell r="O4123"/>
        </row>
        <row r="4124">
          <cell r="A4124"/>
          <cell r="B4124"/>
          <cell r="C4124"/>
          <cell r="D4124"/>
          <cell r="E4124"/>
          <cell r="F4124"/>
          <cell r="G4124"/>
          <cell r="H4124"/>
          <cell r="I4124"/>
          <cell r="J4124"/>
          <cell r="K4124"/>
          <cell r="L4124"/>
          <cell r="M4124"/>
          <cell r="N4124"/>
          <cell r="O4124"/>
        </row>
        <row r="4125">
          <cell r="A4125"/>
          <cell r="B4125"/>
          <cell r="C4125"/>
          <cell r="D4125"/>
          <cell r="E4125"/>
          <cell r="F4125"/>
          <cell r="G4125"/>
          <cell r="H4125"/>
          <cell r="I4125"/>
          <cell r="J4125"/>
          <cell r="K4125"/>
          <cell r="L4125"/>
          <cell r="M4125"/>
          <cell r="N4125"/>
          <cell r="O4125"/>
        </row>
        <row r="4126">
          <cell r="A4126"/>
          <cell r="B4126"/>
          <cell r="C4126"/>
          <cell r="D4126"/>
          <cell r="E4126"/>
          <cell r="F4126"/>
          <cell r="G4126"/>
          <cell r="H4126"/>
          <cell r="I4126"/>
          <cell r="J4126"/>
          <cell r="K4126"/>
          <cell r="L4126"/>
          <cell r="M4126"/>
          <cell r="N4126"/>
          <cell r="O4126"/>
        </row>
        <row r="4127">
          <cell r="A4127"/>
          <cell r="B4127"/>
          <cell r="C4127"/>
          <cell r="D4127"/>
          <cell r="E4127"/>
          <cell r="F4127"/>
          <cell r="G4127"/>
          <cell r="H4127"/>
          <cell r="I4127"/>
          <cell r="J4127"/>
          <cell r="K4127"/>
          <cell r="L4127"/>
          <cell r="M4127"/>
          <cell r="N4127"/>
          <cell r="O4127"/>
        </row>
        <row r="4128">
          <cell r="A4128"/>
          <cell r="B4128"/>
          <cell r="C4128"/>
          <cell r="D4128"/>
          <cell r="E4128"/>
          <cell r="F4128"/>
          <cell r="G4128"/>
          <cell r="H4128"/>
          <cell r="I4128"/>
          <cell r="J4128"/>
          <cell r="K4128"/>
          <cell r="L4128"/>
          <cell r="M4128"/>
          <cell r="N4128"/>
          <cell r="O4128"/>
        </row>
        <row r="4129">
          <cell r="A4129"/>
          <cell r="B4129"/>
          <cell r="C4129"/>
          <cell r="D4129"/>
          <cell r="E4129"/>
          <cell r="F4129"/>
          <cell r="G4129"/>
          <cell r="H4129"/>
          <cell r="I4129"/>
          <cell r="J4129"/>
          <cell r="K4129"/>
          <cell r="L4129"/>
          <cell r="M4129"/>
          <cell r="N4129"/>
          <cell r="O4129"/>
        </row>
        <row r="4130">
          <cell r="A4130"/>
          <cell r="B4130"/>
          <cell r="C4130"/>
          <cell r="D4130"/>
          <cell r="E4130"/>
          <cell r="F4130"/>
          <cell r="G4130"/>
          <cell r="H4130"/>
          <cell r="I4130"/>
          <cell r="J4130"/>
          <cell r="K4130"/>
          <cell r="L4130"/>
          <cell r="M4130"/>
          <cell r="N4130"/>
          <cell r="O4130"/>
        </row>
        <row r="4131">
          <cell r="A4131"/>
          <cell r="B4131"/>
          <cell r="C4131"/>
          <cell r="D4131"/>
          <cell r="E4131"/>
          <cell r="F4131"/>
          <cell r="G4131"/>
          <cell r="H4131"/>
          <cell r="I4131"/>
          <cell r="J4131"/>
          <cell r="K4131"/>
          <cell r="L4131"/>
          <cell r="M4131"/>
          <cell r="N4131"/>
          <cell r="O4131"/>
        </row>
        <row r="4132">
          <cell r="A4132"/>
          <cell r="B4132"/>
          <cell r="C4132"/>
          <cell r="D4132"/>
          <cell r="E4132"/>
          <cell r="F4132"/>
          <cell r="G4132"/>
          <cell r="H4132"/>
          <cell r="I4132"/>
          <cell r="J4132"/>
          <cell r="K4132"/>
          <cell r="L4132"/>
          <cell r="M4132"/>
          <cell r="N4132"/>
          <cell r="O4132"/>
        </row>
        <row r="4133">
          <cell r="A4133"/>
          <cell r="B4133"/>
          <cell r="C4133"/>
          <cell r="D4133"/>
          <cell r="E4133"/>
          <cell r="F4133"/>
          <cell r="G4133"/>
          <cell r="H4133"/>
          <cell r="I4133"/>
          <cell r="J4133"/>
          <cell r="K4133"/>
          <cell r="L4133"/>
          <cell r="M4133"/>
          <cell r="N4133"/>
          <cell r="O4133"/>
        </row>
        <row r="4134">
          <cell r="A4134"/>
          <cell r="B4134"/>
          <cell r="C4134"/>
          <cell r="D4134"/>
          <cell r="E4134"/>
          <cell r="F4134"/>
          <cell r="G4134"/>
          <cell r="H4134"/>
          <cell r="I4134"/>
          <cell r="J4134"/>
          <cell r="K4134"/>
          <cell r="L4134"/>
          <cell r="M4134"/>
          <cell r="N4134"/>
          <cell r="O4134"/>
        </row>
        <row r="4135">
          <cell r="A4135"/>
          <cell r="B4135"/>
          <cell r="C4135"/>
          <cell r="D4135"/>
          <cell r="E4135"/>
          <cell r="F4135"/>
          <cell r="G4135"/>
          <cell r="H4135"/>
          <cell r="I4135"/>
          <cell r="J4135"/>
          <cell r="K4135"/>
          <cell r="L4135"/>
          <cell r="M4135"/>
          <cell r="N4135"/>
          <cell r="O4135"/>
        </row>
        <row r="4136">
          <cell r="A4136"/>
          <cell r="B4136"/>
          <cell r="C4136"/>
          <cell r="D4136"/>
          <cell r="E4136"/>
          <cell r="F4136"/>
          <cell r="G4136"/>
          <cell r="H4136"/>
          <cell r="I4136"/>
          <cell r="J4136"/>
          <cell r="K4136"/>
          <cell r="L4136"/>
          <cell r="M4136"/>
          <cell r="N4136"/>
          <cell r="O4136"/>
        </row>
        <row r="4137">
          <cell r="A4137"/>
          <cell r="B4137"/>
          <cell r="C4137"/>
          <cell r="D4137"/>
          <cell r="E4137"/>
          <cell r="F4137"/>
          <cell r="G4137"/>
          <cell r="H4137"/>
          <cell r="I4137"/>
          <cell r="J4137"/>
          <cell r="K4137"/>
          <cell r="L4137"/>
          <cell r="M4137"/>
          <cell r="N4137"/>
          <cell r="O4137"/>
        </row>
        <row r="4138">
          <cell r="A4138"/>
          <cell r="B4138"/>
          <cell r="C4138"/>
          <cell r="D4138"/>
          <cell r="E4138"/>
          <cell r="F4138"/>
          <cell r="G4138"/>
          <cell r="H4138"/>
          <cell r="I4138"/>
          <cell r="J4138"/>
          <cell r="K4138"/>
          <cell r="L4138"/>
          <cell r="M4138"/>
          <cell r="N4138"/>
          <cell r="O4138"/>
        </row>
        <row r="4139">
          <cell r="A4139"/>
          <cell r="B4139"/>
          <cell r="C4139"/>
          <cell r="D4139"/>
          <cell r="E4139"/>
          <cell r="F4139"/>
          <cell r="G4139"/>
          <cell r="H4139"/>
          <cell r="I4139"/>
          <cell r="J4139"/>
          <cell r="K4139"/>
          <cell r="L4139"/>
          <cell r="M4139"/>
          <cell r="N4139"/>
          <cell r="O4139"/>
        </row>
        <row r="4140">
          <cell r="A4140"/>
          <cell r="B4140"/>
          <cell r="C4140"/>
          <cell r="D4140"/>
          <cell r="E4140"/>
          <cell r="F4140"/>
          <cell r="G4140"/>
          <cell r="H4140"/>
          <cell r="I4140"/>
          <cell r="J4140"/>
          <cell r="K4140"/>
          <cell r="L4140"/>
          <cell r="M4140"/>
          <cell r="N4140"/>
          <cell r="O4140"/>
        </row>
        <row r="4141">
          <cell r="A4141"/>
          <cell r="B4141"/>
          <cell r="C4141"/>
          <cell r="D4141"/>
          <cell r="E4141"/>
          <cell r="F4141"/>
          <cell r="G4141"/>
          <cell r="H4141"/>
          <cell r="I4141"/>
          <cell r="J4141"/>
          <cell r="K4141"/>
          <cell r="L4141"/>
          <cell r="M4141"/>
          <cell r="N4141"/>
          <cell r="O4141"/>
        </row>
        <row r="4142">
          <cell r="A4142"/>
          <cell r="B4142"/>
          <cell r="C4142"/>
          <cell r="D4142"/>
          <cell r="E4142"/>
          <cell r="F4142"/>
          <cell r="G4142"/>
          <cell r="H4142"/>
          <cell r="I4142"/>
          <cell r="J4142"/>
          <cell r="K4142"/>
          <cell r="L4142"/>
          <cell r="M4142"/>
          <cell r="N4142"/>
          <cell r="O4142"/>
        </row>
        <row r="4143">
          <cell r="A4143"/>
          <cell r="B4143"/>
          <cell r="C4143"/>
          <cell r="D4143"/>
          <cell r="E4143"/>
          <cell r="F4143"/>
          <cell r="G4143"/>
          <cell r="H4143"/>
          <cell r="I4143"/>
          <cell r="J4143"/>
          <cell r="K4143"/>
          <cell r="L4143"/>
          <cell r="M4143"/>
          <cell r="N4143"/>
          <cell r="O4143"/>
        </row>
        <row r="4144">
          <cell r="A4144"/>
          <cell r="B4144"/>
          <cell r="C4144"/>
          <cell r="D4144"/>
          <cell r="E4144"/>
          <cell r="F4144"/>
          <cell r="G4144"/>
          <cell r="H4144"/>
          <cell r="I4144"/>
          <cell r="J4144"/>
          <cell r="K4144"/>
          <cell r="L4144"/>
          <cell r="M4144"/>
          <cell r="N4144"/>
          <cell r="O4144"/>
        </row>
        <row r="4145">
          <cell r="A4145"/>
          <cell r="B4145"/>
          <cell r="C4145"/>
          <cell r="D4145"/>
          <cell r="E4145"/>
          <cell r="F4145"/>
          <cell r="G4145"/>
          <cell r="H4145"/>
          <cell r="I4145"/>
          <cell r="J4145"/>
          <cell r="K4145"/>
          <cell r="L4145"/>
          <cell r="M4145"/>
          <cell r="N4145"/>
          <cell r="O4145"/>
        </row>
        <row r="4146">
          <cell r="A4146"/>
          <cell r="B4146"/>
          <cell r="C4146"/>
          <cell r="D4146"/>
          <cell r="E4146"/>
          <cell r="F4146"/>
          <cell r="G4146"/>
          <cell r="H4146"/>
          <cell r="I4146"/>
          <cell r="J4146"/>
          <cell r="K4146"/>
          <cell r="L4146"/>
          <cell r="M4146"/>
          <cell r="N4146"/>
          <cell r="O4146"/>
        </row>
        <row r="4147">
          <cell r="A4147"/>
          <cell r="B4147"/>
          <cell r="C4147"/>
          <cell r="D4147"/>
          <cell r="E4147"/>
          <cell r="F4147"/>
          <cell r="G4147"/>
          <cell r="H4147"/>
          <cell r="I4147"/>
          <cell r="J4147"/>
          <cell r="K4147"/>
          <cell r="L4147"/>
          <cell r="M4147"/>
          <cell r="N4147"/>
          <cell r="O4147"/>
        </row>
        <row r="4148">
          <cell r="A4148"/>
          <cell r="B4148"/>
          <cell r="C4148"/>
          <cell r="D4148"/>
          <cell r="E4148"/>
          <cell r="F4148"/>
          <cell r="G4148"/>
          <cell r="H4148"/>
          <cell r="I4148"/>
          <cell r="J4148"/>
          <cell r="K4148"/>
          <cell r="L4148"/>
          <cell r="M4148"/>
          <cell r="N4148"/>
          <cell r="O4148"/>
        </row>
        <row r="4149">
          <cell r="A4149"/>
          <cell r="B4149"/>
          <cell r="C4149"/>
          <cell r="D4149"/>
          <cell r="E4149"/>
          <cell r="F4149"/>
          <cell r="G4149"/>
          <cell r="H4149"/>
          <cell r="I4149"/>
          <cell r="J4149"/>
          <cell r="K4149"/>
          <cell r="L4149"/>
          <cell r="M4149"/>
          <cell r="N4149"/>
          <cell r="O4149"/>
        </row>
        <row r="4150">
          <cell r="A4150"/>
          <cell r="B4150"/>
          <cell r="C4150"/>
          <cell r="D4150"/>
          <cell r="E4150"/>
          <cell r="F4150"/>
          <cell r="G4150"/>
          <cell r="H4150"/>
          <cell r="I4150"/>
          <cell r="J4150"/>
          <cell r="K4150"/>
          <cell r="L4150"/>
          <cell r="M4150"/>
          <cell r="N4150"/>
          <cell r="O4150"/>
        </row>
        <row r="4151">
          <cell r="A4151"/>
          <cell r="B4151"/>
          <cell r="C4151"/>
          <cell r="D4151"/>
          <cell r="E4151"/>
          <cell r="F4151"/>
          <cell r="G4151"/>
          <cell r="H4151"/>
          <cell r="I4151"/>
          <cell r="J4151"/>
          <cell r="K4151"/>
          <cell r="L4151"/>
          <cell r="M4151"/>
          <cell r="N4151"/>
          <cell r="O4151"/>
        </row>
        <row r="4152">
          <cell r="A4152"/>
          <cell r="B4152"/>
          <cell r="C4152"/>
          <cell r="D4152"/>
          <cell r="E4152"/>
          <cell r="F4152"/>
          <cell r="G4152"/>
          <cell r="H4152"/>
          <cell r="I4152"/>
          <cell r="J4152"/>
          <cell r="K4152"/>
          <cell r="L4152"/>
          <cell r="M4152"/>
          <cell r="N4152"/>
          <cell r="O4152"/>
        </row>
        <row r="4153">
          <cell r="A4153"/>
          <cell r="B4153"/>
          <cell r="C4153"/>
          <cell r="D4153"/>
          <cell r="E4153"/>
          <cell r="F4153"/>
          <cell r="G4153"/>
          <cell r="H4153"/>
          <cell r="I4153"/>
          <cell r="J4153"/>
          <cell r="K4153"/>
          <cell r="L4153"/>
          <cell r="M4153"/>
          <cell r="N4153"/>
          <cell r="O4153"/>
        </row>
        <row r="4154">
          <cell r="A4154"/>
          <cell r="B4154"/>
          <cell r="C4154"/>
          <cell r="D4154"/>
          <cell r="E4154"/>
          <cell r="F4154"/>
          <cell r="G4154"/>
          <cell r="H4154"/>
          <cell r="I4154"/>
          <cell r="J4154"/>
          <cell r="K4154"/>
          <cell r="L4154"/>
          <cell r="M4154"/>
          <cell r="N4154"/>
          <cell r="O4154"/>
        </row>
        <row r="4155">
          <cell r="A4155"/>
          <cell r="B4155"/>
          <cell r="C4155"/>
          <cell r="D4155"/>
          <cell r="E4155"/>
          <cell r="F4155"/>
          <cell r="G4155"/>
          <cell r="H4155"/>
          <cell r="I4155"/>
          <cell r="J4155"/>
          <cell r="K4155"/>
          <cell r="L4155"/>
          <cell r="M4155"/>
          <cell r="N4155"/>
          <cell r="O4155"/>
        </row>
        <row r="4156">
          <cell r="A4156"/>
          <cell r="B4156"/>
          <cell r="C4156"/>
          <cell r="D4156"/>
          <cell r="E4156"/>
          <cell r="F4156"/>
          <cell r="G4156"/>
          <cell r="H4156"/>
          <cell r="I4156"/>
          <cell r="J4156"/>
          <cell r="K4156"/>
          <cell r="L4156"/>
          <cell r="M4156"/>
          <cell r="N4156"/>
          <cell r="O4156"/>
        </row>
        <row r="4157">
          <cell r="A4157"/>
          <cell r="B4157"/>
          <cell r="C4157"/>
          <cell r="D4157"/>
          <cell r="E4157"/>
          <cell r="F4157"/>
          <cell r="G4157"/>
          <cell r="H4157"/>
          <cell r="I4157"/>
          <cell r="J4157"/>
          <cell r="K4157"/>
          <cell r="L4157"/>
          <cell r="M4157"/>
          <cell r="N4157"/>
          <cell r="O4157"/>
        </row>
        <row r="4158">
          <cell r="A4158"/>
          <cell r="B4158"/>
          <cell r="C4158"/>
          <cell r="D4158"/>
          <cell r="E4158"/>
          <cell r="F4158"/>
          <cell r="G4158"/>
          <cell r="H4158"/>
          <cell r="I4158"/>
          <cell r="J4158"/>
          <cell r="K4158"/>
          <cell r="L4158"/>
          <cell r="M4158"/>
          <cell r="N4158"/>
          <cell r="O4158"/>
        </row>
        <row r="4159">
          <cell r="A4159"/>
          <cell r="B4159"/>
          <cell r="C4159"/>
          <cell r="D4159"/>
          <cell r="E4159"/>
          <cell r="F4159"/>
          <cell r="G4159"/>
          <cell r="H4159"/>
          <cell r="I4159"/>
          <cell r="J4159"/>
          <cell r="K4159"/>
          <cell r="L4159"/>
          <cell r="M4159"/>
          <cell r="N4159"/>
          <cell r="O4159"/>
        </row>
        <row r="4160">
          <cell r="A4160"/>
          <cell r="B4160"/>
          <cell r="C4160"/>
          <cell r="D4160"/>
          <cell r="E4160"/>
          <cell r="F4160"/>
          <cell r="G4160"/>
          <cell r="H4160"/>
          <cell r="I4160"/>
          <cell r="J4160"/>
          <cell r="K4160"/>
          <cell r="L4160"/>
          <cell r="M4160"/>
          <cell r="N4160"/>
          <cell r="O4160"/>
        </row>
        <row r="4161">
          <cell r="A4161"/>
          <cell r="B4161"/>
          <cell r="C4161"/>
          <cell r="D4161"/>
          <cell r="E4161"/>
          <cell r="F4161"/>
          <cell r="G4161"/>
          <cell r="H4161"/>
          <cell r="I4161"/>
          <cell r="J4161"/>
          <cell r="K4161"/>
          <cell r="L4161"/>
          <cell r="M4161"/>
          <cell r="N4161"/>
          <cell r="O4161"/>
        </row>
        <row r="4162">
          <cell r="A4162"/>
          <cell r="B4162"/>
          <cell r="C4162"/>
          <cell r="D4162"/>
          <cell r="E4162"/>
          <cell r="F4162"/>
          <cell r="G4162"/>
          <cell r="H4162"/>
          <cell r="I4162"/>
          <cell r="J4162"/>
          <cell r="K4162"/>
          <cell r="L4162"/>
          <cell r="M4162"/>
          <cell r="N4162"/>
          <cell r="O4162"/>
        </row>
        <row r="4163">
          <cell r="A4163"/>
          <cell r="B4163"/>
          <cell r="C4163"/>
          <cell r="D4163"/>
          <cell r="E4163"/>
          <cell r="F4163"/>
          <cell r="G4163"/>
          <cell r="H4163"/>
          <cell r="I4163"/>
          <cell r="J4163"/>
          <cell r="K4163"/>
          <cell r="L4163"/>
          <cell r="M4163"/>
          <cell r="N4163"/>
          <cell r="O4163"/>
        </row>
        <row r="4164">
          <cell r="A4164"/>
          <cell r="B4164"/>
          <cell r="C4164"/>
          <cell r="D4164"/>
          <cell r="E4164"/>
          <cell r="F4164"/>
          <cell r="G4164"/>
          <cell r="H4164"/>
          <cell r="I4164"/>
          <cell r="J4164"/>
          <cell r="K4164"/>
          <cell r="L4164"/>
          <cell r="M4164"/>
          <cell r="N4164"/>
          <cell r="O4164"/>
        </row>
        <row r="4165">
          <cell r="A4165"/>
          <cell r="B4165"/>
          <cell r="C4165"/>
          <cell r="D4165"/>
          <cell r="E4165"/>
          <cell r="F4165"/>
          <cell r="G4165"/>
          <cell r="H4165"/>
          <cell r="I4165"/>
          <cell r="J4165"/>
          <cell r="K4165"/>
          <cell r="L4165"/>
          <cell r="M4165"/>
          <cell r="N4165"/>
          <cell r="O4165"/>
        </row>
        <row r="4166">
          <cell r="A4166"/>
          <cell r="B4166"/>
          <cell r="C4166"/>
          <cell r="D4166"/>
          <cell r="E4166"/>
          <cell r="F4166"/>
          <cell r="G4166"/>
          <cell r="H4166"/>
          <cell r="I4166"/>
          <cell r="J4166"/>
          <cell r="K4166"/>
          <cell r="L4166"/>
          <cell r="M4166"/>
          <cell r="N4166"/>
          <cell r="O4166"/>
        </row>
        <row r="4167">
          <cell r="A4167"/>
          <cell r="B4167"/>
          <cell r="C4167"/>
          <cell r="D4167"/>
          <cell r="E4167"/>
          <cell r="F4167"/>
          <cell r="G4167"/>
          <cell r="H4167"/>
          <cell r="I4167"/>
          <cell r="J4167"/>
          <cell r="K4167"/>
          <cell r="L4167"/>
          <cell r="M4167"/>
          <cell r="N4167"/>
          <cell r="O4167"/>
        </row>
        <row r="4168">
          <cell r="A4168"/>
          <cell r="B4168"/>
          <cell r="C4168"/>
          <cell r="D4168"/>
          <cell r="E4168"/>
          <cell r="F4168"/>
          <cell r="G4168"/>
          <cell r="H4168"/>
          <cell r="I4168"/>
          <cell r="J4168"/>
          <cell r="K4168"/>
          <cell r="L4168"/>
          <cell r="M4168"/>
          <cell r="N4168"/>
          <cell r="O4168"/>
        </row>
        <row r="4169">
          <cell r="A4169"/>
          <cell r="B4169"/>
          <cell r="C4169"/>
          <cell r="D4169"/>
          <cell r="E4169"/>
          <cell r="F4169"/>
          <cell r="G4169"/>
          <cell r="H4169"/>
          <cell r="I4169"/>
          <cell r="J4169"/>
          <cell r="K4169"/>
          <cell r="L4169"/>
          <cell r="M4169"/>
          <cell r="N4169"/>
          <cell r="O4169"/>
        </row>
        <row r="4170">
          <cell r="A4170"/>
          <cell r="B4170"/>
          <cell r="C4170"/>
          <cell r="D4170"/>
          <cell r="E4170"/>
          <cell r="F4170"/>
          <cell r="G4170"/>
          <cell r="H4170"/>
          <cell r="I4170"/>
          <cell r="J4170"/>
          <cell r="K4170"/>
          <cell r="L4170"/>
          <cell r="M4170"/>
          <cell r="N4170"/>
          <cell r="O4170"/>
        </row>
        <row r="4171">
          <cell r="A4171"/>
          <cell r="B4171"/>
          <cell r="C4171"/>
          <cell r="D4171"/>
          <cell r="E4171"/>
          <cell r="F4171"/>
          <cell r="G4171"/>
          <cell r="H4171"/>
          <cell r="I4171"/>
          <cell r="J4171"/>
          <cell r="K4171"/>
          <cell r="L4171"/>
          <cell r="M4171"/>
          <cell r="N4171"/>
          <cell r="O4171"/>
        </row>
        <row r="4172">
          <cell r="A4172"/>
          <cell r="B4172"/>
          <cell r="C4172"/>
          <cell r="D4172"/>
          <cell r="E4172"/>
          <cell r="F4172"/>
          <cell r="G4172"/>
          <cell r="H4172"/>
          <cell r="I4172"/>
          <cell r="J4172"/>
          <cell r="K4172"/>
          <cell r="L4172"/>
          <cell r="M4172"/>
          <cell r="N4172"/>
          <cell r="O4172"/>
        </row>
        <row r="4173">
          <cell r="A4173"/>
          <cell r="B4173"/>
          <cell r="C4173"/>
          <cell r="D4173"/>
          <cell r="E4173"/>
          <cell r="F4173"/>
          <cell r="G4173"/>
          <cell r="H4173"/>
          <cell r="I4173"/>
          <cell r="J4173"/>
          <cell r="K4173"/>
          <cell r="L4173"/>
          <cell r="M4173"/>
          <cell r="N4173"/>
          <cell r="O4173"/>
        </row>
        <row r="4174">
          <cell r="A4174"/>
          <cell r="B4174"/>
          <cell r="C4174"/>
          <cell r="D4174"/>
          <cell r="E4174"/>
          <cell r="F4174"/>
          <cell r="G4174"/>
          <cell r="H4174"/>
          <cell r="I4174"/>
          <cell r="J4174"/>
          <cell r="K4174"/>
          <cell r="L4174"/>
          <cell r="M4174"/>
          <cell r="N4174"/>
          <cell r="O4174"/>
        </row>
        <row r="4175">
          <cell r="A4175"/>
          <cell r="B4175"/>
          <cell r="C4175"/>
          <cell r="D4175"/>
          <cell r="E4175"/>
          <cell r="F4175"/>
          <cell r="G4175"/>
          <cell r="H4175"/>
          <cell r="I4175"/>
          <cell r="J4175"/>
          <cell r="K4175"/>
          <cell r="L4175"/>
          <cell r="M4175"/>
          <cell r="N4175"/>
          <cell r="O4175"/>
        </row>
        <row r="4176">
          <cell r="A4176"/>
          <cell r="B4176"/>
          <cell r="C4176"/>
          <cell r="D4176"/>
          <cell r="E4176"/>
          <cell r="F4176"/>
          <cell r="G4176"/>
          <cell r="H4176"/>
          <cell r="I4176"/>
          <cell r="J4176"/>
          <cell r="K4176"/>
          <cell r="L4176"/>
          <cell r="M4176"/>
          <cell r="N4176"/>
          <cell r="O4176"/>
        </row>
        <row r="4177">
          <cell r="A4177"/>
          <cell r="B4177"/>
          <cell r="C4177"/>
          <cell r="D4177"/>
          <cell r="E4177"/>
          <cell r="F4177"/>
          <cell r="G4177"/>
          <cell r="H4177"/>
          <cell r="I4177"/>
          <cell r="J4177"/>
          <cell r="K4177"/>
          <cell r="L4177"/>
          <cell r="M4177"/>
          <cell r="N4177"/>
          <cell r="O4177"/>
        </row>
        <row r="4178">
          <cell r="A4178"/>
          <cell r="B4178"/>
          <cell r="C4178"/>
          <cell r="D4178"/>
          <cell r="E4178"/>
          <cell r="F4178"/>
          <cell r="G4178"/>
          <cell r="H4178"/>
          <cell r="I4178"/>
          <cell r="J4178"/>
          <cell r="K4178"/>
          <cell r="L4178"/>
          <cell r="M4178"/>
          <cell r="N4178"/>
          <cell r="O4178"/>
        </row>
        <row r="4179">
          <cell r="A4179"/>
          <cell r="B4179"/>
          <cell r="C4179"/>
          <cell r="D4179"/>
          <cell r="E4179"/>
          <cell r="F4179"/>
          <cell r="G4179"/>
          <cell r="H4179"/>
          <cell r="I4179"/>
          <cell r="J4179"/>
          <cell r="K4179"/>
          <cell r="L4179"/>
          <cell r="M4179"/>
          <cell r="N4179"/>
          <cell r="O4179"/>
        </row>
        <row r="4180">
          <cell r="A4180"/>
          <cell r="B4180"/>
          <cell r="C4180"/>
          <cell r="D4180"/>
          <cell r="E4180"/>
          <cell r="F4180"/>
          <cell r="G4180"/>
          <cell r="H4180"/>
          <cell r="I4180"/>
          <cell r="J4180"/>
          <cell r="K4180"/>
          <cell r="L4180"/>
          <cell r="M4180"/>
          <cell r="N4180"/>
          <cell r="O4180"/>
        </row>
        <row r="4181">
          <cell r="A4181"/>
          <cell r="B4181"/>
          <cell r="C4181"/>
          <cell r="D4181"/>
          <cell r="E4181"/>
          <cell r="F4181"/>
          <cell r="G4181"/>
          <cell r="H4181"/>
          <cell r="I4181"/>
          <cell r="J4181"/>
          <cell r="K4181"/>
          <cell r="L4181"/>
          <cell r="M4181"/>
          <cell r="N4181"/>
          <cell r="O4181"/>
        </row>
        <row r="4182">
          <cell r="A4182"/>
          <cell r="B4182"/>
          <cell r="C4182"/>
          <cell r="D4182"/>
          <cell r="E4182"/>
          <cell r="F4182"/>
          <cell r="G4182"/>
          <cell r="H4182"/>
          <cell r="I4182"/>
          <cell r="J4182"/>
          <cell r="K4182"/>
          <cell r="L4182"/>
          <cell r="M4182"/>
          <cell r="N4182"/>
          <cell r="O4182"/>
        </row>
        <row r="4183">
          <cell r="A4183"/>
          <cell r="B4183"/>
          <cell r="C4183"/>
          <cell r="D4183"/>
          <cell r="E4183"/>
          <cell r="F4183"/>
          <cell r="G4183"/>
          <cell r="H4183"/>
          <cell r="I4183"/>
          <cell r="J4183"/>
          <cell r="K4183"/>
          <cell r="L4183"/>
          <cell r="M4183"/>
          <cell r="N4183"/>
          <cell r="O4183"/>
        </row>
        <row r="4184">
          <cell r="A4184"/>
          <cell r="B4184"/>
          <cell r="C4184"/>
          <cell r="D4184"/>
          <cell r="E4184"/>
          <cell r="F4184"/>
          <cell r="G4184"/>
          <cell r="H4184"/>
          <cell r="I4184"/>
          <cell r="J4184"/>
          <cell r="K4184"/>
          <cell r="L4184"/>
          <cell r="M4184"/>
          <cell r="N4184"/>
          <cell r="O4184"/>
        </row>
        <row r="4185">
          <cell r="A4185"/>
          <cell r="B4185"/>
          <cell r="C4185"/>
          <cell r="D4185"/>
          <cell r="E4185"/>
          <cell r="F4185"/>
          <cell r="G4185"/>
          <cell r="H4185"/>
          <cell r="I4185"/>
          <cell r="J4185"/>
          <cell r="K4185"/>
          <cell r="L4185"/>
          <cell r="M4185"/>
          <cell r="N4185"/>
          <cell r="O4185"/>
        </row>
        <row r="4186">
          <cell r="A4186"/>
          <cell r="B4186"/>
          <cell r="C4186"/>
          <cell r="D4186"/>
          <cell r="E4186"/>
          <cell r="F4186"/>
          <cell r="G4186"/>
          <cell r="H4186"/>
          <cell r="I4186"/>
          <cell r="J4186"/>
          <cell r="K4186"/>
          <cell r="L4186"/>
          <cell r="M4186"/>
          <cell r="N4186"/>
          <cell r="O4186"/>
        </row>
        <row r="4187">
          <cell r="A4187"/>
          <cell r="B4187"/>
          <cell r="C4187"/>
          <cell r="D4187"/>
          <cell r="E4187"/>
          <cell r="F4187"/>
          <cell r="G4187"/>
          <cell r="H4187"/>
          <cell r="I4187"/>
          <cell r="J4187"/>
          <cell r="K4187"/>
          <cell r="L4187"/>
          <cell r="M4187"/>
          <cell r="N4187"/>
          <cell r="O4187"/>
        </row>
        <row r="4188">
          <cell r="A4188"/>
          <cell r="B4188"/>
          <cell r="C4188"/>
          <cell r="D4188"/>
          <cell r="E4188"/>
          <cell r="F4188"/>
          <cell r="G4188"/>
          <cell r="H4188"/>
          <cell r="I4188"/>
          <cell r="J4188"/>
          <cell r="K4188"/>
          <cell r="L4188"/>
          <cell r="M4188"/>
          <cell r="N4188"/>
          <cell r="O4188"/>
        </row>
        <row r="4189">
          <cell r="A4189"/>
          <cell r="B4189"/>
          <cell r="C4189"/>
          <cell r="D4189"/>
          <cell r="E4189"/>
          <cell r="F4189"/>
          <cell r="G4189"/>
          <cell r="H4189"/>
          <cell r="I4189"/>
          <cell r="J4189"/>
          <cell r="K4189"/>
          <cell r="L4189"/>
          <cell r="M4189"/>
          <cell r="N4189"/>
          <cell r="O4189"/>
        </row>
        <row r="4190">
          <cell r="A4190"/>
          <cell r="B4190"/>
          <cell r="C4190"/>
          <cell r="D4190"/>
          <cell r="E4190"/>
          <cell r="F4190"/>
          <cell r="G4190"/>
          <cell r="H4190"/>
          <cell r="I4190"/>
          <cell r="J4190"/>
          <cell r="K4190"/>
          <cell r="L4190"/>
          <cell r="M4190"/>
          <cell r="N4190"/>
          <cell r="O4190"/>
        </row>
        <row r="4191">
          <cell r="A4191"/>
          <cell r="B4191"/>
          <cell r="C4191"/>
          <cell r="D4191"/>
          <cell r="E4191"/>
          <cell r="F4191"/>
          <cell r="G4191"/>
          <cell r="H4191"/>
          <cell r="I4191"/>
          <cell r="J4191"/>
          <cell r="K4191"/>
          <cell r="L4191"/>
          <cell r="M4191"/>
          <cell r="N4191"/>
          <cell r="O4191"/>
        </row>
        <row r="4192">
          <cell r="A4192"/>
          <cell r="B4192"/>
          <cell r="C4192"/>
          <cell r="D4192"/>
          <cell r="E4192"/>
          <cell r="F4192"/>
          <cell r="G4192"/>
          <cell r="H4192"/>
          <cell r="I4192"/>
          <cell r="J4192"/>
          <cell r="K4192"/>
          <cell r="L4192"/>
          <cell r="M4192"/>
          <cell r="N4192"/>
          <cell r="O4192"/>
        </row>
        <row r="4193">
          <cell r="A4193"/>
          <cell r="B4193"/>
          <cell r="C4193"/>
          <cell r="D4193"/>
          <cell r="E4193"/>
          <cell r="F4193"/>
          <cell r="G4193"/>
          <cell r="H4193"/>
          <cell r="I4193"/>
          <cell r="J4193"/>
          <cell r="K4193"/>
          <cell r="L4193"/>
          <cell r="M4193"/>
          <cell r="N4193"/>
          <cell r="O4193"/>
        </row>
        <row r="4194">
          <cell r="A4194"/>
          <cell r="B4194"/>
          <cell r="C4194"/>
          <cell r="D4194"/>
          <cell r="E4194"/>
          <cell r="F4194"/>
          <cell r="G4194"/>
          <cell r="H4194"/>
          <cell r="I4194"/>
          <cell r="J4194"/>
          <cell r="K4194"/>
          <cell r="L4194"/>
          <cell r="M4194"/>
          <cell r="N4194"/>
          <cell r="O4194"/>
        </row>
        <row r="4195">
          <cell r="A4195"/>
          <cell r="B4195"/>
          <cell r="C4195"/>
          <cell r="D4195"/>
          <cell r="E4195"/>
          <cell r="F4195"/>
          <cell r="G4195"/>
          <cell r="H4195"/>
          <cell r="I4195"/>
          <cell r="J4195"/>
          <cell r="K4195"/>
          <cell r="L4195"/>
          <cell r="M4195"/>
          <cell r="N4195"/>
          <cell r="O4195"/>
        </row>
        <row r="4196">
          <cell r="A4196"/>
          <cell r="B4196"/>
          <cell r="C4196"/>
          <cell r="D4196"/>
          <cell r="E4196"/>
          <cell r="F4196"/>
          <cell r="G4196"/>
          <cell r="H4196"/>
          <cell r="I4196"/>
          <cell r="J4196"/>
          <cell r="K4196"/>
          <cell r="L4196"/>
          <cell r="M4196"/>
          <cell r="N4196"/>
          <cell r="O4196"/>
        </row>
        <row r="4197">
          <cell r="A4197"/>
          <cell r="B4197"/>
          <cell r="C4197"/>
          <cell r="D4197"/>
          <cell r="E4197"/>
          <cell r="F4197"/>
          <cell r="G4197"/>
          <cell r="H4197"/>
          <cell r="I4197"/>
          <cell r="J4197"/>
          <cell r="K4197"/>
          <cell r="L4197"/>
          <cell r="M4197"/>
          <cell r="N4197"/>
          <cell r="O4197"/>
        </row>
        <row r="4198">
          <cell r="A4198"/>
          <cell r="B4198"/>
          <cell r="C4198"/>
          <cell r="D4198"/>
          <cell r="E4198"/>
          <cell r="F4198"/>
          <cell r="G4198"/>
          <cell r="H4198"/>
          <cell r="I4198"/>
          <cell r="J4198"/>
          <cell r="K4198"/>
          <cell r="L4198"/>
          <cell r="M4198"/>
          <cell r="N4198"/>
          <cell r="O4198"/>
        </row>
        <row r="4199">
          <cell r="A4199"/>
          <cell r="B4199"/>
          <cell r="C4199"/>
          <cell r="D4199"/>
          <cell r="E4199"/>
          <cell r="F4199"/>
          <cell r="G4199"/>
          <cell r="H4199"/>
          <cell r="I4199"/>
          <cell r="J4199"/>
          <cell r="K4199"/>
          <cell r="L4199"/>
          <cell r="M4199"/>
          <cell r="N4199"/>
          <cell r="O4199"/>
        </row>
        <row r="4200">
          <cell r="A4200"/>
          <cell r="B4200"/>
          <cell r="C4200"/>
          <cell r="D4200"/>
          <cell r="E4200"/>
          <cell r="F4200"/>
          <cell r="G4200"/>
          <cell r="H4200"/>
          <cell r="I4200"/>
          <cell r="J4200"/>
          <cell r="K4200"/>
          <cell r="L4200"/>
          <cell r="M4200"/>
          <cell r="N4200"/>
          <cell r="O4200"/>
        </row>
        <row r="4201">
          <cell r="A4201"/>
          <cell r="B4201"/>
          <cell r="C4201"/>
          <cell r="D4201"/>
          <cell r="E4201"/>
          <cell r="F4201"/>
          <cell r="G4201"/>
          <cell r="H4201"/>
          <cell r="I4201"/>
          <cell r="J4201"/>
          <cell r="K4201"/>
          <cell r="L4201"/>
          <cell r="M4201"/>
          <cell r="N4201"/>
          <cell r="O4201"/>
        </row>
        <row r="4202">
          <cell r="A4202"/>
          <cell r="B4202"/>
          <cell r="C4202"/>
          <cell r="D4202"/>
          <cell r="E4202"/>
          <cell r="F4202"/>
          <cell r="G4202"/>
          <cell r="H4202"/>
          <cell r="I4202"/>
          <cell r="J4202"/>
          <cell r="K4202"/>
          <cell r="L4202"/>
          <cell r="M4202"/>
          <cell r="N4202"/>
          <cell r="O4202"/>
        </row>
        <row r="4203">
          <cell r="A4203"/>
          <cell r="B4203"/>
          <cell r="C4203"/>
          <cell r="D4203"/>
          <cell r="E4203"/>
          <cell r="F4203"/>
          <cell r="G4203"/>
          <cell r="H4203"/>
          <cell r="I4203"/>
          <cell r="J4203"/>
          <cell r="K4203"/>
          <cell r="L4203"/>
          <cell r="M4203"/>
          <cell r="N4203"/>
          <cell r="O4203"/>
        </row>
        <row r="4204">
          <cell r="A4204"/>
          <cell r="B4204"/>
          <cell r="C4204"/>
          <cell r="D4204"/>
          <cell r="E4204"/>
          <cell r="F4204"/>
          <cell r="G4204"/>
          <cell r="H4204"/>
          <cell r="I4204"/>
          <cell r="J4204"/>
          <cell r="K4204"/>
          <cell r="L4204"/>
          <cell r="M4204"/>
          <cell r="N4204"/>
          <cell r="O4204"/>
        </row>
        <row r="4205">
          <cell r="A4205"/>
          <cell r="B4205"/>
          <cell r="C4205"/>
          <cell r="D4205"/>
          <cell r="E4205"/>
          <cell r="F4205"/>
          <cell r="G4205"/>
          <cell r="H4205"/>
          <cell r="I4205"/>
          <cell r="J4205"/>
          <cell r="K4205"/>
          <cell r="L4205"/>
          <cell r="M4205"/>
          <cell r="N4205"/>
          <cell r="O4205"/>
        </row>
        <row r="4206">
          <cell r="A4206"/>
          <cell r="B4206"/>
          <cell r="C4206"/>
          <cell r="D4206"/>
          <cell r="E4206"/>
          <cell r="F4206"/>
          <cell r="G4206"/>
          <cell r="H4206"/>
          <cell r="I4206"/>
          <cell r="J4206"/>
          <cell r="K4206"/>
          <cell r="L4206"/>
          <cell r="M4206"/>
          <cell r="N4206"/>
          <cell r="O4206"/>
        </row>
        <row r="4207">
          <cell r="A4207"/>
          <cell r="B4207"/>
          <cell r="C4207"/>
          <cell r="D4207"/>
          <cell r="E4207"/>
          <cell r="F4207"/>
          <cell r="G4207"/>
          <cell r="H4207"/>
          <cell r="I4207"/>
          <cell r="J4207"/>
          <cell r="K4207"/>
          <cell r="L4207"/>
          <cell r="M4207"/>
          <cell r="N4207"/>
          <cell r="O4207"/>
        </row>
        <row r="4208">
          <cell r="A4208"/>
          <cell r="B4208"/>
          <cell r="C4208"/>
          <cell r="D4208"/>
          <cell r="E4208"/>
          <cell r="F4208"/>
          <cell r="G4208"/>
          <cell r="H4208"/>
          <cell r="I4208"/>
          <cell r="J4208"/>
          <cell r="K4208"/>
          <cell r="L4208"/>
          <cell r="M4208"/>
          <cell r="N4208"/>
          <cell r="O4208"/>
        </row>
        <row r="4209">
          <cell r="A4209"/>
          <cell r="B4209"/>
          <cell r="C4209"/>
          <cell r="D4209"/>
          <cell r="E4209"/>
          <cell r="F4209"/>
          <cell r="G4209"/>
          <cell r="H4209"/>
          <cell r="I4209"/>
          <cell r="J4209"/>
          <cell r="K4209"/>
          <cell r="L4209"/>
          <cell r="M4209"/>
          <cell r="N4209"/>
          <cell r="O4209"/>
        </row>
        <row r="4210">
          <cell r="A4210"/>
          <cell r="B4210"/>
          <cell r="C4210"/>
          <cell r="D4210"/>
          <cell r="E4210"/>
          <cell r="F4210"/>
          <cell r="G4210"/>
          <cell r="H4210"/>
          <cell r="I4210"/>
          <cell r="J4210"/>
          <cell r="K4210"/>
          <cell r="L4210"/>
          <cell r="M4210"/>
          <cell r="N4210"/>
          <cell r="O4210"/>
        </row>
        <row r="4211">
          <cell r="A4211"/>
          <cell r="B4211"/>
          <cell r="C4211"/>
          <cell r="D4211"/>
          <cell r="E4211"/>
          <cell r="F4211"/>
          <cell r="G4211"/>
          <cell r="H4211"/>
          <cell r="I4211"/>
          <cell r="J4211"/>
          <cell r="K4211"/>
          <cell r="L4211"/>
          <cell r="M4211"/>
          <cell r="N4211"/>
          <cell r="O4211"/>
        </row>
        <row r="4212">
          <cell r="A4212"/>
          <cell r="B4212"/>
          <cell r="C4212"/>
          <cell r="D4212"/>
          <cell r="E4212"/>
          <cell r="F4212"/>
          <cell r="G4212"/>
          <cell r="H4212"/>
          <cell r="I4212"/>
          <cell r="J4212"/>
          <cell r="K4212"/>
          <cell r="L4212"/>
          <cell r="M4212"/>
          <cell r="N4212"/>
          <cell r="O4212"/>
        </row>
        <row r="4213">
          <cell r="A4213"/>
          <cell r="B4213"/>
          <cell r="C4213"/>
          <cell r="D4213"/>
          <cell r="E4213"/>
          <cell r="F4213"/>
          <cell r="G4213"/>
          <cell r="H4213"/>
          <cell r="I4213"/>
          <cell r="J4213"/>
          <cell r="K4213"/>
          <cell r="L4213"/>
          <cell r="M4213"/>
          <cell r="N4213"/>
          <cell r="O4213"/>
        </row>
        <row r="4214">
          <cell r="A4214"/>
          <cell r="B4214"/>
          <cell r="C4214"/>
          <cell r="D4214"/>
          <cell r="E4214"/>
          <cell r="F4214"/>
          <cell r="G4214"/>
          <cell r="H4214"/>
          <cell r="I4214"/>
          <cell r="J4214"/>
          <cell r="K4214"/>
          <cell r="L4214"/>
          <cell r="M4214"/>
          <cell r="N4214"/>
          <cell r="O4214"/>
        </row>
        <row r="4215">
          <cell r="A4215"/>
          <cell r="B4215"/>
          <cell r="C4215"/>
          <cell r="D4215"/>
          <cell r="E4215"/>
          <cell r="F4215"/>
          <cell r="G4215"/>
          <cell r="H4215"/>
          <cell r="I4215"/>
          <cell r="J4215"/>
          <cell r="K4215"/>
          <cell r="L4215"/>
          <cell r="M4215"/>
          <cell r="N4215"/>
          <cell r="O4215"/>
        </row>
        <row r="4216">
          <cell r="A4216"/>
          <cell r="B4216"/>
          <cell r="C4216"/>
          <cell r="D4216"/>
          <cell r="E4216"/>
          <cell r="F4216"/>
          <cell r="G4216"/>
          <cell r="H4216"/>
          <cell r="I4216"/>
          <cell r="J4216"/>
          <cell r="K4216"/>
          <cell r="L4216"/>
          <cell r="M4216"/>
          <cell r="N4216"/>
          <cell r="O4216"/>
        </row>
        <row r="4217">
          <cell r="A4217"/>
          <cell r="B4217"/>
          <cell r="C4217"/>
          <cell r="D4217"/>
          <cell r="E4217"/>
          <cell r="F4217"/>
          <cell r="G4217"/>
          <cell r="H4217"/>
          <cell r="I4217"/>
          <cell r="J4217"/>
          <cell r="K4217"/>
          <cell r="L4217"/>
          <cell r="M4217"/>
          <cell r="N4217"/>
          <cell r="O4217"/>
        </row>
        <row r="4218">
          <cell r="A4218"/>
          <cell r="B4218"/>
          <cell r="C4218"/>
          <cell r="D4218"/>
          <cell r="E4218"/>
          <cell r="F4218"/>
          <cell r="G4218"/>
          <cell r="H4218"/>
          <cell r="I4218"/>
          <cell r="J4218"/>
          <cell r="K4218"/>
          <cell r="L4218"/>
          <cell r="M4218"/>
          <cell r="N4218"/>
          <cell r="O4218"/>
        </row>
        <row r="4219">
          <cell r="A4219"/>
          <cell r="B4219"/>
          <cell r="C4219"/>
          <cell r="D4219"/>
          <cell r="E4219"/>
          <cell r="F4219"/>
          <cell r="G4219"/>
          <cell r="H4219"/>
          <cell r="I4219"/>
          <cell r="J4219"/>
          <cell r="K4219"/>
          <cell r="L4219"/>
          <cell r="M4219"/>
          <cell r="N4219"/>
          <cell r="O4219"/>
        </row>
        <row r="4220">
          <cell r="A4220"/>
          <cell r="B4220"/>
          <cell r="C4220"/>
          <cell r="D4220"/>
          <cell r="E4220"/>
          <cell r="F4220"/>
          <cell r="G4220"/>
          <cell r="H4220"/>
          <cell r="I4220"/>
          <cell r="J4220"/>
          <cell r="K4220"/>
          <cell r="L4220"/>
          <cell r="M4220"/>
          <cell r="N4220"/>
          <cell r="O4220"/>
        </row>
        <row r="4221">
          <cell r="A4221"/>
          <cell r="B4221"/>
          <cell r="C4221"/>
          <cell r="D4221"/>
          <cell r="E4221"/>
          <cell r="F4221"/>
          <cell r="G4221"/>
          <cell r="H4221"/>
          <cell r="I4221"/>
          <cell r="J4221"/>
          <cell r="K4221"/>
          <cell r="L4221"/>
          <cell r="M4221"/>
          <cell r="N4221"/>
          <cell r="O4221"/>
        </row>
        <row r="4222">
          <cell r="A4222"/>
          <cell r="B4222"/>
          <cell r="C4222"/>
          <cell r="D4222"/>
          <cell r="E4222"/>
          <cell r="F4222"/>
          <cell r="G4222"/>
          <cell r="H4222"/>
          <cell r="I4222"/>
          <cell r="J4222"/>
          <cell r="K4222"/>
          <cell r="L4222"/>
          <cell r="M4222"/>
          <cell r="N4222"/>
          <cell r="O4222"/>
        </row>
        <row r="4223">
          <cell r="A4223"/>
          <cell r="B4223"/>
          <cell r="C4223"/>
          <cell r="D4223"/>
          <cell r="E4223"/>
          <cell r="F4223"/>
          <cell r="G4223"/>
          <cell r="H4223"/>
          <cell r="I4223"/>
          <cell r="J4223"/>
          <cell r="K4223"/>
          <cell r="L4223"/>
          <cell r="M4223"/>
          <cell r="N4223"/>
          <cell r="O4223"/>
        </row>
        <row r="4224">
          <cell r="A4224"/>
          <cell r="B4224"/>
          <cell r="C4224"/>
          <cell r="D4224"/>
          <cell r="E4224"/>
          <cell r="F4224"/>
          <cell r="G4224"/>
          <cell r="H4224"/>
          <cell r="I4224"/>
          <cell r="J4224"/>
          <cell r="K4224"/>
          <cell r="L4224"/>
          <cell r="M4224"/>
          <cell r="N4224"/>
          <cell r="O4224"/>
        </row>
        <row r="4225">
          <cell r="A4225"/>
          <cell r="B4225"/>
          <cell r="C4225"/>
          <cell r="D4225"/>
          <cell r="E4225"/>
          <cell r="F4225"/>
          <cell r="G4225"/>
          <cell r="H4225"/>
          <cell r="I4225"/>
          <cell r="J4225"/>
          <cell r="K4225"/>
          <cell r="L4225"/>
          <cell r="M4225"/>
          <cell r="N4225"/>
          <cell r="O4225"/>
        </row>
        <row r="4226">
          <cell r="A4226"/>
          <cell r="B4226"/>
          <cell r="C4226"/>
          <cell r="D4226"/>
          <cell r="E4226"/>
          <cell r="F4226"/>
          <cell r="G4226"/>
          <cell r="H4226"/>
          <cell r="I4226"/>
          <cell r="J4226"/>
          <cell r="K4226"/>
          <cell r="L4226"/>
          <cell r="M4226"/>
          <cell r="N4226"/>
          <cell r="O4226"/>
        </row>
        <row r="4227">
          <cell r="A4227"/>
          <cell r="B4227"/>
          <cell r="C4227"/>
          <cell r="D4227"/>
          <cell r="E4227"/>
          <cell r="F4227"/>
          <cell r="G4227"/>
          <cell r="H4227"/>
          <cell r="I4227"/>
          <cell r="J4227"/>
          <cell r="K4227"/>
          <cell r="L4227"/>
          <cell r="M4227"/>
          <cell r="N4227"/>
          <cell r="O4227"/>
        </row>
        <row r="4228">
          <cell r="A4228"/>
          <cell r="B4228"/>
          <cell r="C4228"/>
          <cell r="D4228"/>
          <cell r="E4228"/>
          <cell r="F4228"/>
          <cell r="G4228"/>
          <cell r="H4228"/>
          <cell r="I4228"/>
          <cell r="J4228"/>
          <cell r="K4228"/>
          <cell r="L4228"/>
          <cell r="M4228"/>
          <cell r="N4228"/>
          <cell r="O4228"/>
        </row>
        <row r="4229">
          <cell r="A4229"/>
          <cell r="B4229"/>
          <cell r="C4229"/>
          <cell r="D4229"/>
          <cell r="E4229"/>
          <cell r="F4229"/>
          <cell r="G4229"/>
          <cell r="H4229"/>
          <cell r="I4229"/>
          <cell r="J4229"/>
          <cell r="K4229"/>
          <cell r="L4229"/>
          <cell r="M4229"/>
          <cell r="N4229"/>
          <cell r="O4229"/>
        </row>
        <row r="4230">
          <cell r="A4230"/>
          <cell r="B4230"/>
          <cell r="C4230"/>
          <cell r="D4230"/>
          <cell r="E4230"/>
          <cell r="F4230"/>
          <cell r="G4230"/>
          <cell r="H4230"/>
          <cell r="I4230"/>
          <cell r="J4230"/>
          <cell r="K4230"/>
          <cell r="L4230"/>
          <cell r="M4230"/>
          <cell r="N4230"/>
          <cell r="O4230"/>
        </row>
        <row r="4231">
          <cell r="A4231"/>
          <cell r="B4231"/>
          <cell r="C4231"/>
          <cell r="D4231"/>
          <cell r="E4231"/>
          <cell r="F4231"/>
          <cell r="G4231"/>
          <cell r="H4231"/>
          <cell r="I4231"/>
          <cell r="J4231"/>
          <cell r="K4231"/>
          <cell r="L4231"/>
          <cell r="M4231"/>
          <cell r="N4231"/>
          <cell r="O4231"/>
        </row>
        <row r="4232">
          <cell r="A4232"/>
          <cell r="B4232"/>
          <cell r="C4232"/>
          <cell r="D4232"/>
          <cell r="E4232"/>
          <cell r="F4232"/>
          <cell r="G4232"/>
          <cell r="H4232"/>
          <cell r="I4232"/>
          <cell r="J4232"/>
          <cell r="K4232"/>
          <cell r="L4232"/>
          <cell r="M4232"/>
          <cell r="N4232"/>
          <cell r="O4232"/>
        </row>
        <row r="4233">
          <cell r="A4233"/>
          <cell r="B4233"/>
          <cell r="C4233"/>
          <cell r="D4233"/>
          <cell r="E4233"/>
          <cell r="F4233"/>
          <cell r="G4233"/>
          <cell r="H4233"/>
          <cell r="I4233"/>
          <cell r="J4233"/>
          <cell r="K4233"/>
          <cell r="L4233"/>
          <cell r="M4233"/>
          <cell r="N4233"/>
          <cell r="O4233"/>
        </row>
        <row r="4234">
          <cell r="A4234"/>
          <cell r="B4234"/>
          <cell r="C4234"/>
          <cell r="D4234"/>
          <cell r="E4234"/>
          <cell r="F4234"/>
          <cell r="G4234"/>
          <cell r="H4234"/>
          <cell r="I4234"/>
          <cell r="J4234"/>
          <cell r="K4234"/>
          <cell r="L4234"/>
          <cell r="M4234"/>
          <cell r="N4234"/>
          <cell r="O4234"/>
        </row>
        <row r="4235">
          <cell r="A4235"/>
          <cell r="B4235"/>
          <cell r="C4235"/>
          <cell r="D4235"/>
          <cell r="E4235"/>
          <cell r="F4235"/>
          <cell r="G4235"/>
          <cell r="H4235"/>
          <cell r="I4235"/>
          <cell r="J4235"/>
          <cell r="K4235"/>
          <cell r="L4235"/>
          <cell r="M4235"/>
          <cell r="N4235"/>
          <cell r="O4235"/>
        </row>
        <row r="4236">
          <cell r="A4236"/>
          <cell r="B4236"/>
          <cell r="C4236"/>
          <cell r="D4236"/>
          <cell r="E4236"/>
          <cell r="F4236"/>
          <cell r="G4236"/>
          <cell r="H4236"/>
          <cell r="I4236"/>
          <cell r="J4236"/>
          <cell r="K4236"/>
          <cell r="L4236"/>
          <cell r="M4236"/>
          <cell r="N4236"/>
          <cell r="O4236"/>
        </row>
        <row r="4237">
          <cell r="A4237"/>
          <cell r="B4237"/>
          <cell r="C4237"/>
          <cell r="D4237"/>
          <cell r="E4237"/>
          <cell r="F4237"/>
          <cell r="G4237"/>
          <cell r="H4237"/>
          <cell r="I4237"/>
          <cell r="J4237"/>
          <cell r="K4237"/>
          <cell r="L4237"/>
          <cell r="M4237"/>
          <cell r="N4237"/>
          <cell r="O4237"/>
        </row>
        <row r="4238">
          <cell r="A4238"/>
          <cell r="B4238"/>
          <cell r="C4238"/>
          <cell r="D4238"/>
          <cell r="E4238"/>
          <cell r="F4238"/>
          <cell r="G4238"/>
          <cell r="H4238"/>
          <cell r="I4238"/>
          <cell r="J4238"/>
          <cell r="K4238"/>
          <cell r="L4238"/>
          <cell r="M4238"/>
          <cell r="N4238"/>
          <cell r="O4238"/>
        </row>
        <row r="4239">
          <cell r="A4239"/>
          <cell r="B4239"/>
          <cell r="C4239"/>
          <cell r="D4239"/>
          <cell r="E4239"/>
          <cell r="F4239"/>
          <cell r="G4239"/>
          <cell r="H4239"/>
          <cell r="I4239"/>
          <cell r="J4239"/>
          <cell r="K4239"/>
          <cell r="L4239"/>
          <cell r="M4239"/>
          <cell r="N4239"/>
          <cell r="O4239"/>
        </row>
        <row r="4240">
          <cell r="A4240"/>
          <cell r="B4240"/>
          <cell r="C4240"/>
          <cell r="D4240"/>
          <cell r="E4240"/>
          <cell r="F4240"/>
          <cell r="G4240"/>
          <cell r="H4240"/>
          <cell r="I4240"/>
          <cell r="J4240"/>
          <cell r="K4240"/>
          <cell r="L4240"/>
          <cell r="M4240"/>
          <cell r="N4240"/>
          <cell r="O4240"/>
        </row>
        <row r="4241">
          <cell r="A4241"/>
          <cell r="B4241"/>
          <cell r="C4241"/>
          <cell r="D4241"/>
          <cell r="E4241"/>
          <cell r="F4241"/>
          <cell r="G4241"/>
          <cell r="H4241"/>
          <cell r="I4241"/>
          <cell r="J4241"/>
          <cell r="K4241"/>
          <cell r="L4241"/>
          <cell r="M4241"/>
          <cell r="N4241"/>
          <cell r="O4241"/>
        </row>
        <row r="4242">
          <cell r="A4242"/>
          <cell r="B4242"/>
          <cell r="C4242"/>
          <cell r="D4242"/>
          <cell r="E4242"/>
          <cell r="F4242"/>
          <cell r="G4242"/>
          <cell r="H4242"/>
          <cell r="I4242"/>
          <cell r="J4242"/>
          <cell r="K4242"/>
          <cell r="L4242"/>
          <cell r="M4242"/>
          <cell r="N4242"/>
          <cell r="O4242"/>
        </row>
        <row r="4243">
          <cell r="A4243"/>
          <cell r="B4243"/>
          <cell r="C4243"/>
          <cell r="D4243"/>
          <cell r="E4243"/>
          <cell r="F4243"/>
          <cell r="G4243"/>
          <cell r="H4243"/>
          <cell r="I4243"/>
          <cell r="J4243"/>
          <cell r="K4243"/>
          <cell r="L4243"/>
          <cell r="M4243"/>
          <cell r="N4243"/>
          <cell r="O4243"/>
        </row>
        <row r="4244">
          <cell r="A4244"/>
          <cell r="B4244"/>
          <cell r="C4244"/>
          <cell r="D4244"/>
          <cell r="E4244"/>
          <cell r="F4244"/>
          <cell r="G4244"/>
          <cell r="H4244"/>
          <cell r="I4244"/>
          <cell r="J4244"/>
          <cell r="K4244"/>
          <cell r="L4244"/>
          <cell r="M4244"/>
          <cell r="N4244"/>
          <cell r="O4244"/>
        </row>
        <row r="4245">
          <cell r="A4245"/>
          <cell r="B4245"/>
          <cell r="C4245"/>
          <cell r="D4245"/>
          <cell r="E4245"/>
          <cell r="F4245"/>
          <cell r="G4245"/>
          <cell r="H4245"/>
          <cell r="I4245"/>
          <cell r="J4245"/>
          <cell r="K4245"/>
          <cell r="L4245"/>
          <cell r="M4245"/>
          <cell r="N4245"/>
          <cell r="O4245"/>
        </row>
        <row r="4246">
          <cell r="A4246"/>
          <cell r="B4246"/>
          <cell r="C4246"/>
          <cell r="D4246"/>
          <cell r="E4246"/>
          <cell r="F4246"/>
          <cell r="G4246"/>
          <cell r="H4246"/>
          <cell r="I4246"/>
          <cell r="J4246"/>
          <cell r="K4246"/>
          <cell r="L4246"/>
          <cell r="M4246"/>
          <cell r="N4246"/>
          <cell r="O4246"/>
        </row>
        <row r="4247">
          <cell r="A4247"/>
          <cell r="B4247"/>
          <cell r="C4247"/>
          <cell r="D4247"/>
          <cell r="E4247"/>
          <cell r="F4247"/>
          <cell r="G4247"/>
          <cell r="H4247"/>
          <cell r="I4247"/>
          <cell r="J4247"/>
          <cell r="K4247"/>
          <cell r="L4247"/>
          <cell r="M4247"/>
          <cell r="N4247"/>
          <cell r="O4247"/>
        </row>
        <row r="4248">
          <cell r="A4248"/>
          <cell r="B4248"/>
          <cell r="C4248"/>
          <cell r="D4248"/>
          <cell r="E4248"/>
          <cell r="F4248"/>
          <cell r="G4248"/>
          <cell r="H4248"/>
          <cell r="I4248"/>
          <cell r="J4248"/>
          <cell r="K4248"/>
          <cell r="L4248"/>
          <cell r="M4248"/>
          <cell r="N4248"/>
          <cell r="O4248"/>
        </row>
        <row r="4249">
          <cell r="A4249"/>
          <cell r="B4249"/>
          <cell r="C4249"/>
          <cell r="D4249"/>
          <cell r="E4249"/>
          <cell r="F4249"/>
          <cell r="G4249"/>
          <cell r="H4249"/>
          <cell r="I4249"/>
          <cell r="J4249"/>
          <cell r="K4249"/>
          <cell r="L4249"/>
          <cell r="M4249"/>
          <cell r="N4249"/>
          <cell r="O4249"/>
        </row>
        <row r="4250">
          <cell r="A4250"/>
          <cell r="B4250"/>
          <cell r="C4250"/>
          <cell r="D4250"/>
          <cell r="E4250"/>
          <cell r="F4250"/>
          <cell r="G4250"/>
          <cell r="H4250"/>
          <cell r="I4250"/>
          <cell r="J4250"/>
          <cell r="K4250"/>
          <cell r="L4250"/>
          <cell r="M4250"/>
          <cell r="N4250"/>
          <cell r="O4250"/>
        </row>
        <row r="4251">
          <cell r="A4251"/>
          <cell r="B4251"/>
          <cell r="C4251"/>
          <cell r="D4251"/>
          <cell r="E4251"/>
          <cell r="F4251"/>
          <cell r="G4251"/>
          <cell r="H4251"/>
          <cell r="I4251"/>
          <cell r="J4251"/>
          <cell r="K4251"/>
          <cell r="L4251"/>
          <cell r="M4251"/>
          <cell r="N4251"/>
          <cell r="O4251"/>
        </row>
        <row r="4252">
          <cell r="A4252"/>
          <cell r="B4252"/>
          <cell r="C4252"/>
          <cell r="D4252"/>
          <cell r="E4252"/>
          <cell r="F4252"/>
          <cell r="G4252"/>
          <cell r="H4252"/>
          <cell r="I4252"/>
          <cell r="J4252"/>
          <cell r="K4252"/>
          <cell r="L4252"/>
          <cell r="M4252"/>
          <cell r="N4252"/>
          <cell r="O4252"/>
        </row>
        <row r="4253">
          <cell r="A4253"/>
          <cell r="B4253"/>
          <cell r="C4253"/>
          <cell r="D4253"/>
          <cell r="E4253"/>
          <cell r="F4253"/>
          <cell r="G4253"/>
          <cell r="H4253"/>
          <cell r="I4253"/>
          <cell r="J4253"/>
          <cell r="K4253"/>
          <cell r="L4253"/>
          <cell r="M4253"/>
          <cell r="N4253"/>
          <cell r="O4253"/>
        </row>
        <row r="4254">
          <cell r="A4254"/>
          <cell r="B4254"/>
          <cell r="C4254"/>
          <cell r="D4254"/>
          <cell r="E4254"/>
          <cell r="F4254"/>
          <cell r="G4254"/>
          <cell r="H4254"/>
          <cell r="I4254"/>
          <cell r="J4254"/>
          <cell r="K4254"/>
          <cell r="L4254"/>
          <cell r="M4254"/>
          <cell r="N4254"/>
          <cell r="O4254"/>
        </row>
        <row r="4255">
          <cell r="A4255"/>
          <cell r="B4255"/>
          <cell r="C4255"/>
          <cell r="D4255"/>
          <cell r="E4255"/>
          <cell r="F4255"/>
          <cell r="G4255"/>
          <cell r="H4255"/>
          <cell r="I4255"/>
          <cell r="J4255"/>
          <cell r="K4255"/>
          <cell r="L4255"/>
          <cell r="M4255"/>
          <cell r="N4255"/>
          <cell r="O4255"/>
        </row>
        <row r="4256">
          <cell r="A4256"/>
          <cell r="B4256"/>
          <cell r="C4256"/>
          <cell r="D4256"/>
          <cell r="E4256"/>
          <cell r="F4256"/>
          <cell r="G4256"/>
          <cell r="H4256"/>
          <cell r="I4256"/>
          <cell r="J4256"/>
          <cell r="K4256"/>
          <cell r="L4256"/>
          <cell r="M4256"/>
          <cell r="N4256"/>
          <cell r="O4256"/>
        </row>
        <row r="4257">
          <cell r="A4257"/>
          <cell r="B4257"/>
          <cell r="C4257"/>
          <cell r="D4257"/>
          <cell r="E4257"/>
          <cell r="F4257"/>
          <cell r="G4257"/>
          <cell r="H4257"/>
          <cell r="I4257"/>
          <cell r="J4257"/>
          <cell r="K4257"/>
          <cell r="L4257"/>
          <cell r="M4257"/>
          <cell r="N4257"/>
          <cell r="O4257"/>
        </row>
        <row r="4258">
          <cell r="A4258"/>
          <cell r="B4258"/>
          <cell r="C4258"/>
          <cell r="D4258"/>
          <cell r="E4258"/>
          <cell r="F4258"/>
          <cell r="G4258"/>
          <cell r="H4258"/>
          <cell r="I4258"/>
          <cell r="J4258"/>
          <cell r="K4258"/>
          <cell r="L4258"/>
          <cell r="M4258"/>
          <cell r="N4258"/>
          <cell r="O4258"/>
        </row>
        <row r="4259">
          <cell r="A4259"/>
          <cell r="B4259"/>
          <cell r="C4259"/>
          <cell r="D4259"/>
          <cell r="E4259"/>
          <cell r="F4259"/>
          <cell r="G4259"/>
          <cell r="H4259"/>
          <cell r="I4259"/>
          <cell r="J4259"/>
          <cell r="K4259"/>
          <cell r="L4259"/>
          <cell r="M4259"/>
          <cell r="N4259"/>
          <cell r="O4259"/>
        </row>
        <row r="4260">
          <cell r="A4260"/>
          <cell r="B4260"/>
          <cell r="C4260"/>
          <cell r="D4260"/>
          <cell r="E4260"/>
          <cell r="F4260"/>
          <cell r="G4260"/>
          <cell r="H4260"/>
          <cell r="I4260"/>
          <cell r="J4260"/>
          <cell r="K4260"/>
          <cell r="L4260"/>
          <cell r="M4260"/>
          <cell r="N4260"/>
          <cell r="O4260"/>
        </row>
        <row r="4261">
          <cell r="A4261"/>
          <cell r="B4261"/>
          <cell r="C4261"/>
          <cell r="D4261"/>
          <cell r="E4261"/>
          <cell r="F4261"/>
          <cell r="G4261"/>
          <cell r="H4261"/>
          <cell r="I4261"/>
          <cell r="J4261"/>
          <cell r="K4261"/>
          <cell r="L4261"/>
          <cell r="M4261"/>
          <cell r="N4261"/>
          <cell r="O4261"/>
        </row>
        <row r="4262">
          <cell r="A4262"/>
          <cell r="B4262"/>
          <cell r="C4262"/>
          <cell r="D4262"/>
          <cell r="E4262"/>
          <cell r="F4262"/>
          <cell r="G4262"/>
          <cell r="H4262"/>
          <cell r="I4262"/>
          <cell r="J4262"/>
          <cell r="K4262"/>
          <cell r="L4262"/>
          <cell r="M4262"/>
          <cell r="N4262"/>
          <cell r="O4262"/>
        </row>
        <row r="4263">
          <cell r="A4263"/>
          <cell r="B4263"/>
          <cell r="C4263"/>
          <cell r="D4263"/>
          <cell r="E4263"/>
          <cell r="F4263"/>
          <cell r="G4263"/>
          <cell r="H4263"/>
          <cell r="I4263"/>
          <cell r="J4263"/>
          <cell r="K4263"/>
          <cell r="L4263"/>
          <cell r="M4263"/>
          <cell r="N4263"/>
          <cell r="O4263"/>
        </row>
        <row r="4264">
          <cell r="A4264"/>
          <cell r="B4264"/>
          <cell r="C4264"/>
          <cell r="D4264"/>
          <cell r="E4264"/>
          <cell r="F4264"/>
          <cell r="G4264"/>
          <cell r="H4264"/>
          <cell r="I4264"/>
          <cell r="J4264"/>
          <cell r="K4264"/>
          <cell r="L4264"/>
          <cell r="M4264"/>
          <cell r="N4264"/>
          <cell r="O4264"/>
        </row>
        <row r="4265">
          <cell r="A4265"/>
          <cell r="B4265"/>
          <cell r="C4265"/>
          <cell r="D4265"/>
          <cell r="E4265"/>
          <cell r="F4265"/>
          <cell r="G4265"/>
          <cell r="H4265"/>
          <cell r="I4265"/>
          <cell r="J4265"/>
          <cell r="K4265"/>
          <cell r="L4265"/>
          <cell r="M4265"/>
          <cell r="N4265"/>
          <cell r="O4265"/>
        </row>
        <row r="4266">
          <cell r="A4266"/>
          <cell r="B4266"/>
          <cell r="C4266"/>
          <cell r="D4266"/>
          <cell r="E4266"/>
          <cell r="F4266"/>
          <cell r="G4266"/>
          <cell r="H4266"/>
          <cell r="I4266"/>
          <cell r="J4266"/>
          <cell r="K4266"/>
          <cell r="L4266"/>
          <cell r="M4266"/>
          <cell r="N4266"/>
          <cell r="O4266"/>
        </row>
        <row r="4267">
          <cell r="A4267"/>
          <cell r="B4267"/>
          <cell r="C4267"/>
          <cell r="D4267"/>
          <cell r="E4267"/>
          <cell r="F4267"/>
          <cell r="G4267"/>
          <cell r="H4267"/>
          <cell r="I4267"/>
          <cell r="J4267"/>
          <cell r="K4267"/>
          <cell r="L4267"/>
          <cell r="M4267"/>
          <cell r="N4267"/>
          <cell r="O4267"/>
        </row>
        <row r="4268">
          <cell r="A4268"/>
          <cell r="B4268"/>
          <cell r="C4268"/>
          <cell r="D4268"/>
          <cell r="E4268"/>
          <cell r="F4268"/>
          <cell r="G4268"/>
          <cell r="H4268"/>
          <cell r="I4268"/>
          <cell r="J4268"/>
          <cell r="K4268"/>
          <cell r="L4268"/>
          <cell r="M4268"/>
          <cell r="N4268"/>
          <cell r="O4268"/>
        </row>
        <row r="4269">
          <cell r="A4269"/>
          <cell r="B4269"/>
          <cell r="C4269"/>
          <cell r="D4269"/>
          <cell r="E4269"/>
          <cell r="F4269"/>
          <cell r="G4269"/>
          <cell r="H4269"/>
          <cell r="I4269"/>
          <cell r="J4269"/>
          <cell r="K4269"/>
          <cell r="L4269"/>
          <cell r="M4269"/>
          <cell r="N4269"/>
          <cell r="O4269"/>
        </row>
        <row r="4270">
          <cell r="A4270"/>
          <cell r="B4270"/>
          <cell r="C4270"/>
          <cell r="D4270"/>
          <cell r="E4270"/>
          <cell r="F4270"/>
          <cell r="G4270"/>
          <cell r="H4270"/>
          <cell r="I4270"/>
          <cell r="J4270"/>
          <cell r="K4270"/>
          <cell r="L4270"/>
          <cell r="M4270"/>
          <cell r="N4270"/>
          <cell r="O4270"/>
        </row>
        <row r="4271">
          <cell r="A4271"/>
          <cell r="B4271"/>
          <cell r="C4271"/>
          <cell r="D4271"/>
          <cell r="E4271"/>
          <cell r="F4271"/>
          <cell r="G4271"/>
          <cell r="H4271"/>
          <cell r="I4271"/>
          <cell r="J4271"/>
          <cell r="K4271"/>
          <cell r="L4271"/>
          <cell r="M4271"/>
          <cell r="N4271"/>
          <cell r="O4271"/>
        </row>
        <row r="4272">
          <cell r="A4272"/>
          <cell r="B4272"/>
          <cell r="C4272"/>
          <cell r="D4272"/>
          <cell r="E4272"/>
          <cell r="F4272"/>
          <cell r="G4272"/>
          <cell r="H4272"/>
          <cell r="I4272"/>
          <cell r="J4272"/>
          <cell r="K4272"/>
          <cell r="L4272"/>
          <cell r="M4272"/>
          <cell r="N4272"/>
          <cell r="O4272"/>
        </row>
        <row r="4273">
          <cell r="A4273"/>
          <cell r="B4273"/>
          <cell r="C4273"/>
          <cell r="D4273"/>
          <cell r="E4273"/>
          <cell r="F4273"/>
          <cell r="G4273"/>
          <cell r="H4273"/>
          <cell r="I4273"/>
          <cell r="J4273"/>
          <cell r="K4273"/>
          <cell r="L4273"/>
          <cell r="M4273"/>
          <cell r="N4273"/>
          <cell r="O4273"/>
        </row>
        <row r="4274">
          <cell r="A4274"/>
          <cell r="B4274"/>
          <cell r="C4274"/>
          <cell r="D4274"/>
          <cell r="E4274"/>
          <cell r="F4274"/>
          <cell r="G4274"/>
          <cell r="H4274"/>
          <cell r="I4274"/>
          <cell r="J4274"/>
          <cell r="K4274"/>
          <cell r="L4274"/>
          <cell r="M4274"/>
          <cell r="N4274"/>
          <cell r="O4274"/>
        </row>
        <row r="4275">
          <cell r="A4275"/>
          <cell r="B4275"/>
          <cell r="C4275"/>
          <cell r="D4275"/>
          <cell r="E4275"/>
          <cell r="F4275"/>
          <cell r="G4275"/>
          <cell r="H4275"/>
          <cell r="I4275"/>
          <cell r="J4275"/>
          <cell r="K4275"/>
          <cell r="L4275"/>
          <cell r="M4275"/>
          <cell r="N4275"/>
          <cell r="O4275"/>
        </row>
        <row r="4276">
          <cell r="A4276"/>
          <cell r="B4276"/>
          <cell r="C4276"/>
          <cell r="D4276"/>
          <cell r="E4276"/>
          <cell r="F4276"/>
          <cell r="G4276"/>
          <cell r="H4276"/>
          <cell r="I4276"/>
          <cell r="J4276"/>
          <cell r="K4276"/>
          <cell r="L4276"/>
          <cell r="M4276"/>
          <cell r="N4276"/>
          <cell r="O4276"/>
        </row>
        <row r="4277">
          <cell r="A4277"/>
          <cell r="B4277"/>
          <cell r="C4277"/>
          <cell r="D4277"/>
          <cell r="E4277"/>
          <cell r="F4277"/>
          <cell r="G4277"/>
          <cell r="H4277"/>
          <cell r="I4277"/>
          <cell r="J4277"/>
          <cell r="K4277"/>
          <cell r="L4277"/>
          <cell r="M4277"/>
          <cell r="N4277"/>
          <cell r="O4277"/>
        </row>
        <row r="4278">
          <cell r="A4278"/>
          <cell r="B4278"/>
          <cell r="C4278"/>
          <cell r="D4278"/>
          <cell r="E4278"/>
          <cell r="F4278"/>
          <cell r="G4278"/>
          <cell r="H4278"/>
          <cell r="I4278"/>
          <cell r="J4278"/>
          <cell r="K4278"/>
          <cell r="L4278"/>
          <cell r="M4278"/>
          <cell r="N4278"/>
          <cell r="O4278"/>
        </row>
        <row r="4279">
          <cell r="A4279"/>
          <cell r="B4279"/>
          <cell r="C4279"/>
          <cell r="D4279"/>
          <cell r="E4279"/>
          <cell r="F4279"/>
          <cell r="G4279"/>
          <cell r="H4279"/>
          <cell r="I4279"/>
          <cell r="J4279"/>
          <cell r="K4279"/>
          <cell r="L4279"/>
          <cell r="M4279"/>
          <cell r="N4279"/>
          <cell r="O4279"/>
        </row>
        <row r="4280">
          <cell r="A4280"/>
          <cell r="B4280"/>
          <cell r="C4280"/>
          <cell r="D4280"/>
          <cell r="E4280"/>
          <cell r="F4280"/>
          <cell r="G4280"/>
          <cell r="H4280"/>
          <cell r="I4280"/>
          <cell r="J4280"/>
          <cell r="K4280"/>
          <cell r="L4280"/>
          <cell r="M4280"/>
          <cell r="N4280"/>
          <cell r="O4280"/>
        </row>
        <row r="4281">
          <cell r="A4281"/>
          <cell r="B4281"/>
          <cell r="C4281"/>
          <cell r="D4281"/>
          <cell r="E4281"/>
          <cell r="F4281"/>
          <cell r="G4281"/>
          <cell r="H4281"/>
          <cell r="I4281"/>
          <cell r="J4281"/>
          <cell r="K4281"/>
          <cell r="L4281"/>
          <cell r="M4281"/>
          <cell r="N4281"/>
          <cell r="O4281"/>
        </row>
        <row r="4282">
          <cell r="A4282"/>
          <cell r="B4282"/>
          <cell r="C4282"/>
          <cell r="D4282"/>
          <cell r="E4282"/>
          <cell r="F4282"/>
          <cell r="G4282"/>
          <cell r="H4282"/>
          <cell r="I4282"/>
          <cell r="J4282"/>
          <cell r="K4282"/>
          <cell r="L4282"/>
          <cell r="M4282"/>
          <cell r="N4282"/>
          <cell r="O4282"/>
        </row>
        <row r="4283">
          <cell r="A4283"/>
          <cell r="B4283"/>
          <cell r="C4283"/>
          <cell r="D4283"/>
          <cell r="E4283"/>
          <cell r="F4283"/>
          <cell r="G4283"/>
          <cell r="H4283"/>
          <cell r="I4283"/>
          <cell r="J4283"/>
          <cell r="K4283"/>
          <cell r="L4283"/>
          <cell r="M4283"/>
          <cell r="N4283"/>
          <cell r="O4283"/>
        </row>
        <row r="4284">
          <cell r="A4284"/>
          <cell r="B4284"/>
          <cell r="C4284"/>
          <cell r="D4284"/>
          <cell r="E4284"/>
          <cell r="F4284"/>
          <cell r="G4284"/>
          <cell r="H4284"/>
          <cell r="I4284"/>
          <cell r="J4284"/>
          <cell r="K4284"/>
          <cell r="L4284"/>
          <cell r="M4284"/>
          <cell r="N4284"/>
          <cell r="O4284"/>
        </row>
        <row r="4285">
          <cell r="A4285"/>
          <cell r="B4285"/>
          <cell r="C4285"/>
          <cell r="D4285"/>
          <cell r="E4285"/>
          <cell r="F4285"/>
          <cell r="G4285"/>
          <cell r="H4285"/>
          <cell r="I4285"/>
          <cell r="J4285"/>
          <cell r="K4285"/>
          <cell r="L4285"/>
          <cell r="M4285"/>
          <cell r="N4285"/>
          <cell r="O4285"/>
        </row>
        <row r="4286">
          <cell r="A4286"/>
          <cell r="B4286"/>
          <cell r="C4286"/>
          <cell r="D4286"/>
          <cell r="E4286"/>
          <cell r="F4286"/>
          <cell r="G4286"/>
          <cell r="H4286"/>
          <cell r="I4286"/>
          <cell r="J4286"/>
          <cell r="K4286"/>
          <cell r="L4286"/>
          <cell r="M4286"/>
          <cell r="N4286"/>
          <cell r="O4286"/>
        </row>
        <row r="4287">
          <cell r="A4287"/>
          <cell r="B4287"/>
          <cell r="C4287"/>
          <cell r="D4287"/>
          <cell r="E4287"/>
          <cell r="F4287"/>
          <cell r="G4287"/>
          <cell r="H4287"/>
          <cell r="I4287"/>
          <cell r="J4287"/>
          <cell r="K4287"/>
          <cell r="L4287"/>
          <cell r="M4287"/>
          <cell r="N4287"/>
          <cell r="O4287"/>
        </row>
        <row r="4288">
          <cell r="A4288"/>
          <cell r="B4288"/>
          <cell r="C4288"/>
          <cell r="D4288"/>
          <cell r="E4288"/>
          <cell r="F4288"/>
          <cell r="G4288"/>
          <cell r="H4288"/>
          <cell r="I4288"/>
          <cell r="J4288"/>
          <cell r="K4288"/>
          <cell r="L4288"/>
          <cell r="M4288"/>
          <cell r="N4288"/>
          <cell r="O4288"/>
        </row>
        <row r="4289">
          <cell r="A4289"/>
          <cell r="B4289"/>
          <cell r="C4289"/>
          <cell r="D4289"/>
          <cell r="E4289"/>
          <cell r="F4289"/>
          <cell r="G4289"/>
          <cell r="H4289"/>
          <cell r="I4289"/>
          <cell r="J4289"/>
          <cell r="K4289"/>
          <cell r="L4289"/>
          <cell r="M4289"/>
          <cell r="N4289"/>
          <cell r="O4289"/>
        </row>
        <row r="4290">
          <cell r="A4290"/>
          <cell r="B4290"/>
          <cell r="C4290"/>
          <cell r="D4290"/>
          <cell r="E4290"/>
          <cell r="F4290"/>
          <cell r="G4290"/>
          <cell r="H4290"/>
          <cell r="I4290"/>
          <cell r="J4290"/>
          <cell r="K4290"/>
          <cell r="L4290"/>
          <cell r="M4290"/>
          <cell r="N4290"/>
          <cell r="O4290"/>
        </row>
        <row r="4291">
          <cell r="A4291"/>
          <cell r="B4291"/>
          <cell r="C4291"/>
          <cell r="D4291"/>
          <cell r="E4291"/>
          <cell r="F4291"/>
          <cell r="G4291"/>
          <cell r="H4291"/>
          <cell r="I4291"/>
          <cell r="J4291"/>
          <cell r="K4291"/>
          <cell r="L4291"/>
          <cell r="M4291"/>
          <cell r="N4291"/>
          <cell r="O4291"/>
        </row>
        <row r="4292">
          <cell r="A4292"/>
          <cell r="B4292"/>
          <cell r="C4292"/>
          <cell r="D4292"/>
          <cell r="E4292"/>
          <cell r="F4292"/>
          <cell r="G4292"/>
          <cell r="H4292"/>
          <cell r="I4292"/>
          <cell r="J4292"/>
          <cell r="K4292"/>
          <cell r="L4292"/>
          <cell r="M4292"/>
          <cell r="N4292"/>
          <cell r="O4292"/>
        </row>
        <row r="4293">
          <cell r="A4293"/>
          <cell r="B4293"/>
          <cell r="C4293"/>
          <cell r="D4293"/>
          <cell r="E4293"/>
          <cell r="F4293"/>
          <cell r="G4293"/>
          <cell r="H4293"/>
          <cell r="I4293"/>
          <cell r="J4293"/>
          <cell r="K4293"/>
          <cell r="L4293"/>
          <cell r="M4293"/>
          <cell r="N4293"/>
          <cell r="O4293"/>
        </row>
        <row r="4294">
          <cell r="A4294"/>
          <cell r="B4294"/>
          <cell r="C4294"/>
          <cell r="D4294"/>
          <cell r="E4294"/>
          <cell r="F4294"/>
          <cell r="G4294"/>
          <cell r="H4294"/>
          <cell r="I4294"/>
          <cell r="J4294"/>
          <cell r="K4294"/>
          <cell r="L4294"/>
          <cell r="M4294"/>
          <cell r="N4294"/>
          <cell r="O4294"/>
        </row>
        <row r="4295">
          <cell r="A4295"/>
          <cell r="B4295"/>
          <cell r="C4295"/>
          <cell r="D4295"/>
          <cell r="E4295"/>
          <cell r="F4295"/>
          <cell r="G4295"/>
          <cell r="H4295"/>
          <cell r="I4295"/>
          <cell r="J4295"/>
          <cell r="K4295"/>
          <cell r="L4295"/>
          <cell r="M4295"/>
          <cell r="N4295"/>
          <cell r="O4295"/>
        </row>
        <row r="4296">
          <cell r="A4296"/>
          <cell r="B4296"/>
          <cell r="C4296"/>
          <cell r="D4296"/>
          <cell r="E4296"/>
          <cell r="F4296"/>
          <cell r="G4296"/>
          <cell r="H4296"/>
          <cell r="I4296"/>
          <cell r="J4296"/>
          <cell r="K4296"/>
          <cell r="L4296"/>
          <cell r="M4296"/>
          <cell r="N4296"/>
          <cell r="O4296"/>
        </row>
        <row r="4297">
          <cell r="A4297"/>
          <cell r="B4297"/>
          <cell r="C4297"/>
          <cell r="D4297"/>
          <cell r="E4297"/>
          <cell r="F4297"/>
          <cell r="G4297"/>
          <cell r="H4297"/>
          <cell r="I4297"/>
          <cell r="J4297"/>
          <cell r="K4297"/>
          <cell r="L4297"/>
          <cell r="M4297"/>
          <cell r="N4297"/>
          <cell r="O4297"/>
        </row>
        <row r="4298">
          <cell r="A4298"/>
          <cell r="B4298"/>
          <cell r="C4298"/>
          <cell r="D4298"/>
          <cell r="E4298"/>
          <cell r="F4298"/>
          <cell r="G4298"/>
          <cell r="H4298"/>
          <cell r="I4298"/>
          <cell r="J4298"/>
          <cell r="K4298"/>
          <cell r="L4298"/>
          <cell r="M4298"/>
          <cell r="N4298"/>
          <cell r="O4298"/>
        </row>
        <row r="4299">
          <cell r="A4299"/>
          <cell r="B4299"/>
          <cell r="C4299"/>
          <cell r="D4299"/>
          <cell r="E4299"/>
          <cell r="F4299"/>
          <cell r="G4299"/>
          <cell r="H4299"/>
          <cell r="I4299"/>
          <cell r="J4299"/>
          <cell r="K4299"/>
          <cell r="L4299"/>
          <cell r="M4299"/>
          <cell r="N4299"/>
          <cell r="O4299"/>
        </row>
        <row r="4300">
          <cell r="A4300"/>
          <cell r="B4300"/>
          <cell r="C4300"/>
          <cell r="D4300"/>
          <cell r="E4300"/>
          <cell r="F4300"/>
          <cell r="G4300"/>
          <cell r="H4300"/>
          <cell r="I4300"/>
          <cell r="J4300"/>
          <cell r="K4300"/>
          <cell r="L4300"/>
          <cell r="M4300"/>
          <cell r="N4300"/>
          <cell r="O4300"/>
        </row>
        <row r="4301">
          <cell r="A4301"/>
          <cell r="B4301"/>
          <cell r="C4301"/>
          <cell r="D4301"/>
          <cell r="E4301"/>
          <cell r="F4301"/>
          <cell r="G4301"/>
          <cell r="H4301"/>
          <cell r="I4301"/>
          <cell r="J4301"/>
          <cell r="K4301"/>
          <cell r="L4301"/>
          <cell r="M4301"/>
          <cell r="N4301"/>
          <cell r="O4301"/>
        </row>
        <row r="4302">
          <cell r="A4302"/>
          <cell r="B4302"/>
          <cell r="C4302"/>
          <cell r="D4302"/>
          <cell r="E4302"/>
          <cell r="F4302"/>
          <cell r="G4302"/>
          <cell r="H4302"/>
          <cell r="I4302"/>
          <cell r="J4302"/>
          <cell r="K4302"/>
          <cell r="L4302"/>
          <cell r="M4302"/>
          <cell r="N4302"/>
          <cell r="O4302"/>
        </row>
        <row r="4303">
          <cell r="A4303"/>
          <cell r="B4303"/>
          <cell r="C4303"/>
          <cell r="D4303"/>
          <cell r="E4303"/>
          <cell r="F4303"/>
          <cell r="G4303"/>
          <cell r="H4303"/>
          <cell r="I4303"/>
          <cell r="J4303"/>
          <cell r="K4303"/>
          <cell r="L4303"/>
          <cell r="M4303"/>
          <cell r="N4303"/>
          <cell r="O4303"/>
        </row>
        <row r="4304">
          <cell r="A4304"/>
          <cell r="B4304"/>
          <cell r="C4304"/>
          <cell r="D4304"/>
          <cell r="E4304"/>
          <cell r="F4304"/>
          <cell r="G4304"/>
          <cell r="H4304"/>
          <cell r="I4304"/>
          <cell r="J4304"/>
          <cell r="K4304"/>
          <cell r="L4304"/>
          <cell r="M4304"/>
          <cell r="N4304"/>
          <cell r="O4304"/>
        </row>
        <row r="4305">
          <cell r="A4305"/>
          <cell r="B4305"/>
          <cell r="C4305"/>
          <cell r="D4305"/>
          <cell r="E4305"/>
          <cell r="F4305"/>
          <cell r="G4305"/>
          <cell r="H4305"/>
          <cell r="I4305"/>
          <cell r="J4305"/>
          <cell r="K4305"/>
          <cell r="L4305"/>
          <cell r="M4305"/>
          <cell r="N4305"/>
          <cell r="O4305"/>
        </row>
        <row r="4306">
          <cell r="A4306"/>
          <cell r="B4306"/>
          <cell r="C4306"/>
          <cell r="D4306"/>
          <cell r="E4306"/>
          <cell r="F4306"/>
          <cell r="G4306"/>
          <cell r="H4306"/>
          <cell r="I4306"/>
          <cell r="J4306"/>
          <cell r="K4306"/>
          <cell r="L4306"/>
          <cell r="M4306"/>
          <cell r="N4306"/>
          <cell r="O4306"/>
        </row>
        <row r="4307">
          <cell r="A4307"/>
          <cell r="B4307"/>
          <cell r="C4307"/>
          <cell r="D4307"/>
          <cell r="E4307"/>
          <cell r="F4307"/>
          <cell r="G4307"/>
          <cell r="H4307"/>
          <cell r="I4307"/>
          <cell r="J4307"/>
          <cell r="K4307"/>
          <cell r="L4307"/>
          <cell r="M4307"/>
          <cell r="N4307"/>
          <cell r="O4307"/>
        </row>
        <row r="4308">
          <cell r="A4308"/>
          <cell r="B4308"/>
          <cell r="C4308"/>
          <cell r="D4308"/>
          <cell r="E4308"/>
          <cell r="F4308"/>
          <cell r="G4308"/>
          <cell r="H4308"/>
          <cell r="I4308"/>
          <cell r="J4308"/>
          <cell r="K4308"/>
          <cell r="L4308"/>
          <cell r="M4308"/>
          <cell r="N4308"/>
          <cell r="O4308"/>
        </row>
        <row r="4309">
          <cell r="A4309"/>
          <cell r="B4309"/>
          <cell r="C4309"/>
          <cell r="D4309"/>
          <cell r="E4309"/>
          <cell r="F4309"/>
          <cell r="G4309"/>
          <cell r="H4309"/>
          <cell r="I4309"/>
          <cell r="J4309"/>
          <cell r="K4309"/>
          <cell r="L4309"/>
          <cell r="M4309"/>
          <cell r="N4309"/>
          <cell r="O4309"/>
        </row>
        <row r="4310">
          <cell r="A4310"/>
          <cell r="B4310"/>
          <cell r="C4310"/>
          <cell r="D4310"/>
          <cell r="E4310"/>
          <cell r="F4310"/>
          <cell r="G4310"/>
          <cell r="H4310"/>
          <cell r="I4310"/>
          <cell r="J4310"/>
          <cell r="K4310"/>
          <cell r="L4310"/>
          <cell r="M4310"/>
          <cell r="N4310"/>
          <cell r="O4310"/>
        </row>
        <row r="4311">
          <cell r="A4311"/>
          <cell r="B4311"/>
          <cell r="C4311"/>
          <cell r="D4311"/>
          <cell r="E4311"/>
          <cell r="F4311"/>
          <cell r="G4311"/>
          <cell r="H4311"/>
          <cell r="I4311"/>
          <cell r="J4311"/>
          <cell r="K4311"/>
          <cell r="L4311"/>
          <cell r="M4311"/>
          <cell r="N4311"/>
          <cell r="O4311"/>
        </row>
        <row r="4312">
          <cell r="A4312"/>
          <cell r="B4312"/>
          <cell r="C4312"/>
          <cell r="D4312"/>
          <cell r="E4312"/>
          <cell r="F4312"/>
          <cell r="G4312"/>
          <cell r="H4312"/>
          <cell r="I4312"/>
          <cell r="J4312"/>
          <cell r="K4312"/>
          <cell r="L4312"/>
          <cell r="M4312"/>
          <cell r="N4312"/>
          <cell r="O4312"/>
        </row>
        <row r="4313">
          <cell r="A4313"/>
          <cell r="B4313"/>
          <cell r="C4313"/>
          <cell r="D4313"/>
          <cell r="E4313"/>
          <cell r="F4313"/>
          <cell r="G4313"/>
          <cell r="H4313"/>
          <cell r="I4313"/>
          <cell r="J4313"/>
          <cell r="K4313"/>
          <cell r="L4313"/>
          <cell r="M4313"/>
          <cell r="N4313"/>
          <cell r="O4313"/>
        </row>
        <row r="4314">
          <cell r="A4314"/>
          <cell r="B4314"/>
          <cell r="C4314"/>
          <cell r="D4314"/>
          <cell r="E4314"/>
          <cell r="F4314"/>
          <cell r="G4314"/>
          <cell r="H4314"/>
          <cell r="I4314"/>
          <cell r="J4314"/>
          <cell r="K4314"/>
          <cell r="L4314"/>
          <cell r="M4314"/>
          <cell r="N4314"/>
          <cell r="O4314"/>
        </row>
        <row r="4315">
          <cell r="A4315"/>
          <cell r="B4315"/>
          <cell r="C4315"/>
          <cell r="D4315"/>
          <cell r="E4315"/>
          <cell r="F4315"/>
          <cell r="G4315"/>
          <cell r="H4315"/>
          <cell r="I4315"/>
          <cell r="J4315"/>
          <cell r="K4315"/>
          <cell r="L4315"/>
          <cell r="M4315"/>
          <cell r="N4315"/>
          <cell r="O4315"/>
        </row>
        <row r="4316">
          <cell r="A4316"/>
          <cell r="B4316"/>
          <cell r="C4316"/>
          <cell r="D4316"/>
          <cell r="E4316"/>
          <cell r="F4316"/>
          <cell r="G4316"/>
          <cell r="H4316"/>
          <cell r="I4316"/>
          <cell r="J4316"/>
          <cell r="K4316"/>
          <cell r="L4316"/>
          <cell r="M4316"/>
          <cell r="N4316"/>
          <cell r="O4316"/>
        </row>
        <row r="4317">
          <cell r="A4317"/>
          <cell r="B4317"/>
          <cell r="C4317"/>
          <cell r="D4317"/>
          <cell r="E4317"/>
          <cell r="F4317"/>
          <cell r="G4317"/>
          <cell r="H4317"/>
          <cell r="I4317"/>
          <cell r="J4317"/>
          <cell r="K4317"/>
          <cell r="L4317"/>
          <cell r="M4317"/>
          <cell r="N4317"/>
          <cell r="O4317"/>
        </row>
        <row r="4318">
          <cell r="A4318"/>
          <cell r="B4318"/>
          <cell r="C4318"/>
          <cell r="D4318"/>
          <cell r="E4318"/>
          <cell r="F4318"/>
          <cell r="G4318"/>
          <cell r="H4318"/>
          <cell r="I4318"/>
          <cell r="J4318"/>
          <cell r="K4318"/>
          <cell r="L4318"/>
          <cell r="M4318"/>
          <cell r="N4318"/>
          <cell r="O4318"/>
        </row>
        <row r="4319">
          <cell r="A4319"/>
          <cell r="B4319"/>
          <cell r="C4319"/>
          <cell r="D4319"/>
          <cell r="E4319"/>
          <cell r="F4319"/>
          <cell r="G4319"/>
          <cell r="H4319"/>
          <cell r="I4319"/>
          <cell r="J4319"/>
          <cell r="K4319"/>
          <cell r="L4319"/>
          <cell r="M4319"/>
          <cell r="N4319"/>
          <cell r="O4319"/>
        </row>
        <row r="4320">
          <cell r="A4320"/>
          <cell r="B4320"/>
          <cell r="C4320"/>
          <cell r="D4320"/>
          <cell r="E4320"/>
          <cell r="F4320"/>
          <cell r="G4320"/>
          <cell r="H4320"/>
          <cell r="I4320"/>
          <cell r="J4320"/>
          <cell r="K4320"/>
          <cell r="L4320"/>
          <cell r="M4320"/>
          <cell r="N4320"/>
          <cell r="O4320"/>
        </row>
        <row r="4321">
          <cell r="A4321"/>
          <cell r="B4321"/>
          <cell r="C4321"/>
          <cell r="D4321"/>
          <cell r="E4321"/>
          <cell r="F4321"/>
          <cell r="G4321"/>
          <cell r="H4321"/>
          <cell r="I4321"/>
          <cell r="J4321"/>
          <cell r="K4321"/>
          <cell r="L4321"/>
          <cell r="M4321"/>
          <cell r="N4321"/>
          <cell r="O4321"/>
        </row>
        <row r="4322">
          <cell r="A4322"/>
          <cell r="B4322"/>
          <cell r="C4322"/>
          <cell r="D4322"/>
          <cell r="E4322"/>
          <cell r="F4322"/>
          <cell r="G4322"/>
          <cell r="H4322"/>
          <cell r="I4322"/>
          <cell r="J4322"/>
          <cell r="K4322"/>
          <cell r="L4322"/>
          <cell r="M4322"/>
          <cell r="N4322"/>
          <cell r="O4322"/>
        </row>
        <row r="4323">
          <cell r="A4323"/>
          <cell r="B4323"/>
          <cell r="C4323"/>
          <cell r="D4323"/>
          <cell r="E4323"/>
          <cell r="F4323"/>
          <cell r="G4323"/>
          <cell r="H4323"/>
          <cell r="I4323"/>
          <cell r="J4323"/>
          <cell r="K4323"/>
          <cell r="L4323"/>
          <cell r="M4323"/>
          <cell r="N4323"/>
          <cell r="O4323"/>
        </row>
        <row r="4324">
          <cell r="A4324"/>
          <cell r="B4324"/>
          <cell r="C4324"/>
          <cell r="D4324"/>
          <cell r="E4324"/>
          <cell r="F4324"/>
          <cell r="G4324"/>
          <cell r="H4324"/>
          <cell r="I4324"/>
          <cell r="J4324"/>
          <cell r="K4324"/>
          <cell r="L4324"/>
          <cell r="M4324"/>
          <cell r="N4324"/>
          <cell r="O4324"/>
        </row>
        <row r="4325">
          <cell r="A4325"/>
          <cell r="B4325"/>
          <cell r="C4325"/>
          <cell r="D4325"/>
          <cell r="E4325"/>
          <cell r="F4325"/>
          <cell r="G4325"/>
          <cell r="H4325"/>
          <cell r="I4325"/>
          <cell r="J4325"/>
          <cell r="K4325"/>
          <cell r="L4325"/>
          <cell r="M4325"/>
          <cell r="N4325"/>
          <cell r="O4325"/>
        </row>
        <row r="4326">
          <cell r="A4326"/>
          <cell r="B4326"/>
          <cell r="C4326"/>
          <cell r="D4326"/>
          <cell r="E4326"/>
          <cell r="F4326"/>
          <cell r="G4326"/>
          <cell r="H4326"/>
          <cell r="I4326"/>
          <cell r="J4326"/>
          <cell r="K4326"/>
          <cell r="L4326"/>
          <cell r="M4326"/>
          <cell r="N4326"/>
          <cell r="O4326"/>
        </row>
        <row r="4327">
          <cell r="A4327"/>
          <cell r="B4327"/>
          <cell r="C4327"/>
          <cell r="D4327"/>
          <cell r="E4327"/>
          <cell r="F4327"/>
          <cell r="G4327"/>
          <cell r="H4327"/>
          <cell r="I4327"/>
          <cell r="J4327"/>
          <cell r="K4327"/>
          <cell r="L4327"/>
          <cell r="M4327"/>
          <cell r="N4327"/>
          <cell r="O4327"/>
        </row>
        <row r="4328">
          <cell r="A4328"/>
          <cell r="B4328"/>
          <cell r="C4328"/>
          <cell r="D4328"/>
          <cell r="E4328"/>
          <cell r="F4328"/>
          <cell r="G4328"/>
          <cell r="H4328"/>
          <cell r="I4328"/>
          <cell r="J4328"/>
          <cell r="K4328"/>
          <cell r="L4328"/>
          <cell r="M4328"/>
          <cell r="N4328"/>
          <cell r="O4328"/>
        </row>
        <row r="4329">
          <cell r="A4329"/>
          <cell r="B4329"/>
          <cell r="C4329"/>
          <cell r="D4329"/>
          <cell r="E4329"/>
          <cell r="F4329"/>
          <cell r="G4329"/>
          <cell r="H4329"/>
          <cell r="I4329"/>
          <cell r="J4329"/>
          <cell r="K4329"/>
          <cell r="L4329"/>
          <cell r="M4329"/>
          <cell r="N4329"/>
          <cell r="O4329"/>
        </row>
        <row r="4330">
          <cell r="A4330"/>
          <cell r="B4330"/>
          <cell r="C4330"/>
          <cell r="D4330"/>
          <cell r="E4330"/>
          <cell r="F4330"/>
          <cell r="G4330"/>
          <cell r="H4330"/>
          <cell r="I4330"/>
          <cell r="J4330"/>
          <cell r="K4330"/>
          <cell r="L4330"/>
          <cell r="M4330"/>
          <cell r="N4330"/>
          <cell r="O4330"/>
        </row>
        <row r="4331">
          <cell r="A4331"/>
          <cell r="B4331"/>
          <cell r="C4331"/>
          <cell r="D4331"/>
          <cell r="E4331"/>
          <cell r="F4331"/>
          <cell r="G4331"/>
          <cell r="H4331"/>
          <cell r="I4331"/>
          <cell r="J4331"/>
          <cell r="K4331"/>
          <cell r="L4331"/>
          <cell r="M4331"/>
          <cell r="N4331"/>
          <cell r="O4331"/>
        </row>
        <row r="4332">
          <cell r="A4332"/>
          <cell r="B4332"/>
          <cell r="C4332"/>
          <cell r="D4332"/>
          <cell r="E4332"/>
          <cell r="F4332"/>
          <cell r="G4332"/>
          <cell r="H4332"/>
          <cell r="I4332"/>
          <cell r="J4332"/>
          <cell r="K4332"/>
          <cell r="L4332"/>
          <cell r="M4332"/>
          <cell r="N4332"/>
          <cell r="O4332"/>
        </row>
        <row r="4333">
          <cell r="A4333"/>
          <cell r="B4333"/>
          <cell r="C4333"/>
          <cell r="D4333"/>
          <cell r="E4333"/>
          <cell r="F4333"/>
          <cell r="G4333"/>
          <cell r="H4333"/>
          <cell r="I4333"/>
          <cell r="J4333"/>
          <cell r="K4333"/>
          <cell r="L4333"/>
          <cell r="M4333"/>
          <cell r="N4333"/>
          <cell r="O4333"/>
        </row>
        <row r="4334">
          <cell r="A4334"/>
          <cell r="B4334"/>
          <cell r="C4334"/>
          <cell r="D4334"/>
          <cell r="E4334"/>
          <cell r="F4334"/>
          <cell r="G4334"/>
          <cell r="H4334"/>
          <cell r="I4334"/>
          <cell r="J4334"/>
          <cell r="K4334"/>
          <cell r="L4334"/>
          <cell r="M4334"/>
          <cell r="N4334"/>
          <cell r="O4334"/>
        </row>
        <row r="4335">
          <cell r="A4335"/>
          <cell r="B4335"/>
          <cell r="C4335"/>
          <cell r="D4335"/>
          <cell r="E4335"/>
          <cell r="F4335"/>
          <cell r="G4335"/>
          <cell r="H4335"/>
          <cell r="I4335"/>
          <cell r="J4335"/>
          <cell r="K4335"/>
          <cell r="L4335"/>
          <cell r="M4335"/>
          <cell r="N4335"/>
          <cell r="O4335"/>
        </row>
        <row r="4336">
          <cell r="A4336"/>
          <cell r="B4336"/>
          <cell r="C4336"/>
          <cell r="D4336"/>
          <cell r="E4336"/>
          <cell r="F4336"/>
          <cell r="G4336"/>
          <cell r="H4336"/>
          <cell r="I4336"/>
          <cell r="J4336"/>
          <cell r="K4336"/>
          <cell r="L4336"/>
          <cell r="M4336"/>
          <cell r="N4336"/>
          <cell r="O4336"/>
        </row>
        <row r="4337">
          <cell r="A4337"/>
          <cell r="B4337"/>
          <cell r="C4337"/>
          <cell r="D4337"/>
          <cell r="E4337"/>
          <cell r="F4337"/>
          <cell r="G4337"/>
          <cell r="H4337"/>
          <cell r="I4337"/>
          <cell r="J4337"/>
          <cell r="K4337"/>
          <cell r="L4337"/>
          <cell r="M4337"/>
          <cell r="N4337"/>
          <cell r="O4337"/>
        </row>
        <row r="4338">
          <cell r="A4338"/>
          <cell r="B4338"/>
          <cell r="C4338"/>
          <cell r="D4338"/>
          <cell r="E4338"/>
          <cell r="F4338"/>
          <cell r="G4338"/>
          <cell r="H4338"/>
          <cell r="I4338"/>
          <cell r="J4338"/>
          <cell r="K4338"/>
          <cell r="L4338"/>
          <cell r="M4338"/>
          <cell r="N4338"/>
          <cell r="O4338"/>
        </row>
        <row r="4339">
          <cell r="A4339"/>
          <cell r="B4339"/>
          <cell r="C4339"/>
          <cell r="D4339"/>
          <cell r="E4339"/>
          <cell r="F4339"/>
          <cell r="G4339"/>
          <cell r="H4339"/>
          <cell r="I4339"/>
          <cell r="J4339"/>
          <cell r="K4339"/>
          <cell r="L4339"/>
          <cell r="M4339"/>
          <cell r="N4339"/>
          <cell r="O4339"/>
        </row>
        <row r="4340">
          <cell r="A4340"/>
          <cell r="B4340"/>
          <cell r="C4340"/>
          <cell r="D4340"/>
          <cell r="E4340"/>
          <cell r="F4340"/>
          <cell r="G4340"/>
          <cell r="H4340"/>
          <cell r="I4340"/>
          <cell r="J4340"/>
          <cell r="K4340"/>
          <cell r="L4340"/>
          <cell r="M4340"/>
          <cell r="N4340"/>
          <cell r="O4340"/>
        </row>
        <row r="4341">
          <cell r="A4341"/>
          <cell r="B4341"/>
          <cell r="C4341"/>
          <cell r="D4341"/>
          <cell r="E4341"/>
          <cell r="F4341"/>
          <cell r="G4341"/>
          <cell r="H4341"/>
          <cell r="I4341"/>
          <cell r="J4341"/>
          <cell r="K4341"/>
          <cell r="L4341"/>
          <cell r="M4341"/>
          <cell r="N4341"/>
          <cell r="O4341"/>
        </row>
        <row r="4342">
          <cell r="A4342"/>
          <cell r="B4342"/>
          <cell r="C4342"/>
          <cell r="D4342"/>
          <cell r="E4342"/>
          <cell r="F4342"/>
          <cell r="G4342"/>
          <cell r="H4342"/>
          <cell r="I4342"/>
          <cell r="J4342"/>
          <cell r="K4342"/>
          <cell r="L4342"/>
          <cell r="M4342"/>
          <cell r="N4342"/>
          <cell r="O4342"/>
        </row>
        <row r="4343">
          <cell r="A4343"/>
          <cell r="B4343"/>
          <cell r="C4343"/>
          <cell r="D4343"/>
          <cell r="E4343"/>
          <cell r="F4343"/>
          <cell r="G4343"/>
          <cell r="H4343"/>
          <cell r="I4343"/>
          <cell r="J4343"/>
          <cell r="K4343"/>
          <cell r="L4343"/>
          <cell r="M4343"/>
          <cell r="N4343"/>
          <cell r="O4343"/>
        </row>
        <row r="4344">
          <cell r="A4344"/>
          <cell r="B4344"/>
          <cell r="C4344"/>
          <cell r="D4344"/>
          <cell r="E4344"/>
          <cell r="F4344"/>
          <cell r="G4344"/>
          <cell r="H4344"/>
          <cell r="I4344"/>
          <cell r="J4344"/>
          <cell r="K4344"/>
          <cell r="L4344"/>
          <cell r="M4344"/>
          <cell r="N4344"/>
          <cell r="O4344"/>
        </row>
        <row r="4345">
          <cell r="A4345"/>
          <cell r="B4345"/>
          <cell r="C4345"/>
          <cell r="D4345"/>
          <cell r="E4345"/>
          <cell r="F4345"/>
          <cell r="G4345"/>
          <cell r="H4345"/>
          <cell r="I4345"/>
          <cell r="J4345"/>
          <cell r="K4345"/>
          <cell r="L4345"/>
          <cell r="M4345"/>
          <cell r="N4345"/>
          <cell r="O4345"/>
        </row>
        <row r="4346">
          <cell r="A4346"/>
          <cell r="B4346"/>
          <cell r="C4346"/>
          <cell r="D4346"/>
          <cell r="E4346"/>
          <cell r="F4346"/>
          <cell r="G4346"/>
          <cell r="H4346"/>
          <cell r="I4346"/>
          <cell r="J4346"/>
          <cell r="K4346"/>
          <cell r="L4346"/>
          <cell r="M4346"/>
          <cell r="N4346"/>
          <cell r="O4346"/>
        </row>
        <row r="4347">
          <cell r="A4347"/>
          <cell r="B4347"/>
          <cell r="C4347"/>
          <cell r="D4347"/>
          <cell r="E4347"/>
          <cell r="F4347"/>
          <cell r="G4347"/>
          <cell r="H4347"/>
          <cell r="I4347"/>
          <cell r="J4347"/>
          <cell r="K4347"/>
          <cell r="L4347"/>
          <cell r="M4347"/>
          <cell r="N4347"/>
          <cell r="O4347"/>
        </row>
        <row r="4348">
          <cell r="A4348"/>
          <cell r="B4348"/>
          <cell r="C4348"/>
          <cell r="D4348"/>
          <cell r="E4348"/>
          <cell r="F4348"/>
          <cell r="G4348"/>
          <cell r="H4348"/>
          <cell r="I4348"/>
          <cell r="J4348"/>
          <cell r="K4348"/>
          <cell r="L4348"/>
          <cell r="M4348"/>
          <cell r="N4348"/>
          <cell r="O4348"/>
        </row>
        <row r="4349">
          <cell r="A4349"/>
          <cell r="B4349"/>
          <cell r="C4349"/>
          <cell r="D4349"/>
          <cell r="E4349"/>
          <cell r="F4349"/>
          <cell r="G4349"/>
          <cell r="H4349"/>
          <cell r="I4349"/>
          <cell r="J4349"/>
          <cell r="K4349"/>
          <cell r="L4349"/>
          <cell r="M4349"/>
          <cell r="N4349"/>
          <cell r="O4349"/>
        </row>
        <row r="4350">
          <cell r="A4350"/>
          <cell r="B4350"/>
          <cell r="C4350"/>
          <cell r="D4350"/>
          <cell r="E4350"/>
          <cell r="F4350"/>
          <cell r="G4350"/>
          <cell r="H4350"/>
          <cell r="I4350"/>
          <cell r="J4350"/>
          <cell r="K4350"/>
          <cell r="L4350"/>
          <cell r="M4350"/>
          <cell r="N4350"/>
          <cell r="O4350"/>
        </row>
        <row r="4351">
          <cell r="A4351"/>
          <cell r="B4351"/>
          <cell r="C4351"/>
          <cell r="D4351"/>
          <cell r="E4351"/>
          <cell r="F4351"/>
          <cell r="G4351"/>
          <cell r="H4351"/>
          <cell r="I4351"/>
          <cell r="J4351"/>
          <cell r="K4351"/>
          <cell r="L4351"/>
          <cell r="M4351"/>
          <cell r="N4351"/>
          <cell r="O4351"/>
        </row>
        <row r="4352">
          <cell r="A4352"/>
          <cell r="B4352"/>
          <cell r="C4352"/>
          <cell r="D4352"/>
          <cell r="E4352"/>
          <cell r="F4352"/>
          <cell r="G4352"/>
          <cell r="H4352"/>
          <cell r="I4352"/>
          <cell r="J4352"/>
          <cell r="K4352"/>
          <cell r="L4352"/>
          <cell r="M4352"/>
          <cell r="N4352"/>
          <cell r="O4352"/>
        </row>
        <row r="4353">
          <cell r="A4353"/>
          <cell r="B4353"/>
          <cell r="C4353"/>
          <cell r="D4353"/>
          <cell r="E4353"/>
          <cell r="F4353"/>
          <cell r="G4353"/>
          <cell r="H4353"/>
          <cell r="I4353"/>
          <cell r="J4353"/>
          <cell r="K4353"/>
          <cell r="L4353"/>
          <cell r="M4353"/>
          <cell r="N4353"/>
          <cell r="O4353"/>
        </row>
        <row r="4354">
          <cell r="A4354"/>
          <cell r="B4354"/>
          <cell r="C4354"/>
          <cell r="D4354"/>
          <cell r="E4354"/>
          <cell r="F4354"/>
          <cell r="G4354"/>
          <cell r="H4354"/>
          <cell r="I4354"/>
          <cell r="J4354"/>
          <cell r="K4354"/>
          <cell r="L4354"/>
          <cell r="M4354"/>
          <cell r="N4354"/>
          <cell r="O4354"/>
        </row>
        <row r="4355">
          <cell r="A4355"/>
          <cell r="B4355"/>
          <cell r="C4355"/>
          <cell r="D4355"/>
          <cell r="E4355"/>
          <cell r="F4355"/>
          <cell r="G4355"/>
          <cell r="H4355"/>
          <cell r="I4355"/>
          <cell r="J4355"/>
          <cell r="K4355"/>
          <cell r="L4355"/>
          <cell r="M4355"/>
          <cell r="N4355"/>
          <cell r="O4355"/>
        </row>
        <row r="4356">
          <cell r="A4356"/>
          <cell r="B4356"/>
          <cell r="C4356"/>
          <cell r="D4356"/>
          <cell r="E4356"/>
          <cell r="F4356"/>
          <cell r="G4356"/>
          <cell r="H4356"/>
          <cell r="I4356"/>
          <cell r="J4356"/>
          <cell r="K4356"/>
          <cell r="L4356"/>
          <cell r="M4356"/>
          <cell r="N4356"/>
          <cell r="O4356"/>
        </row>
        <row r="4357">
          <cell r="A4357"/>
          <cell r="B4357"/>
          <cell r="C4357"/>
          <cell r="D4357"/>
          <cell r="E4357"/>
          <cell r="F4357"/>
          <cell r="G4357"/>
          <cell r="H4357"/>
          <cell r="I4357"/>
          <cell r="J4357"/>
          <cell r="K4357"/>
          <cell r="L4357"/>
          <cell r="M4357"/>
          <cell r="N4357"/>
          <cell r="O4357"/>
        </row>
        <row r="4358">
          <cell r="A4358"/>
          <cell r="B4358"/>
          <cell r="C4358"/>
          <cell r="D4358"/>
          <cell r="E4358"/>
          <cell r="F4358"/>
          <cell r="G4358"/>
          <cell r="H4358"/>
          <cell r="I4358"/>
          <cell r="J4358"/>
          <cell r="K4358"/>
          <cell r="L4358"/>
          <cell r="M4358"/>
          <cell r="N4358"/>
          <cell r="O4358"/>
        </row>
        <row r="4359">
          <cell r="A4359"/>
          <cell r="B4359"/>
          <cell r="C4359"/>
          <cell r="D4359"/>
          <cell r="E4359"/>
          <cell r="F4359"/>
          <cell r="G4359"/>
          <cell r="H4359"/>
          <cell r="I4359"/>
          <cell r="J4359"/>
          <cell r="K4359"/>
          <cell r="L4359"/>
          <cell r="M4359"/>
          <cell r="N4359"/>
          <cell r="O4359"/>
        </row>
        <row r="4360">
          <cell r="A4360"/>
          <cell r="B4360"/>
          <cell r="C4360"/>
          <cell r="D4360"/>
          <cell r="E4360"/>
          <cell r="F4360"/>
          <cell r="G4360"/>
          <cell r="H4360"/>
          <cell r="I4360"/>
          <cell r="J4360"/>
          <cell r="K4360"/>
          <cell r="L4360"/>
          <cell r="M4360"/>
          <cell r="N4360"/>
          <cell r="O4360"/>
        </row>
        <row r="4361">
          <cell r="A4361"/>
          <cell r="B4361"/>
          <cell r="C4361"/>
          <cell r="D4361"/>
          <cell r="E4361"/>
          <cell r="F4361"/>
          <cell r="G4361"/>
          <cell r="H4361"/>
          <cell r="I4361"/>
          <cell r="J4361"/>
          <cell r="K4361"/>
          <cell r="L4361"/>
          <cell r="M4361"/>
          <cell r="N4361"/>
          <cell r="O4361"/>
        </row>
        <row r="4362">
          <cell r="A4362"/>
          <cell r="B4362"/>
          <cell r="C4362"/>
          <cell r="D4362"/>
          <cell r="E4362"/>
          <cell r="F4362"/>
          <cell r="G4362"/>
          <cell r="H4362"/>
          <cell r="I4362"/>
          <cell r="J4362"/>
          <cell r="K4362"/>
          <cell r="L4362"/>
          <cell r="M4362"/>
          <cell r="N4362"/>
          <cell r="O4362"/>
        </row>
        <row r="4363">
          <cell r="A4363"/>
          <cell r="B4363"/>
          <cell r="C4363"/>
          <cell r="D4363"/>
          <cell r="E4363"/>
          <cell r="F4363"/>
          <cell r="G4363"/>
          <cell r="H4363"/>
          <cell r="I4363"/>
          <cell r="J4363"/>
          <cell r="K4363"/>
          <cell r="L4363"/>
          <cell r="M4363"/>
          <cell r="N4363"/>
          <cell r="O4363"/>
        </row>
        <row r="4364">
          <cell r="A4364"/>
          <cell r="B4364"/>
          <cell r="C4364"/>
          <cell r="D4364"/>
          <cell r="E4364"/>
          <cell r="F4364"/>
          <cell r="G4364"/>
          <cell r="H4364"/>
          <cell r="I4364"/>
          <cell r="J4364"/>
          <cell r="K4364"/>
          <cell r="L4364"/>
          <cell r="M4364"/>
          <cell r="N4364"/>
          <cell r="O4364"/>
        </row>
        <row r="4365">
          <cell r="A4365"/>
          <cell r="B4365"/>
          <cell r="C4365"/>
          <cell r="D4365"/>
          <cell r="E4365"/>
          <cell r="F4365"/>
          <cell r="G4365"/>
          <cell r="H4365"/>
          <cell r="I4365"/>
          <cell r="J4365"/>
          <cell r="K4365"/>
          <cell r="L4365"/>
          <cell r="M4365"/>
          <cell r="N4365"/>
          <cell r="O4365"/>
        </row>
        <row r="4366">
          <cell r="A4366"/>
          <cell r="B4366"/>
          <cell r="C4366"/>
          <cell r="D4366"/>
          <cell r="E4366"/>
          <cell r="F4366"/>
          <cell r="G4366"/>
          <cell r="H4366"/>
          <cell r="I4366"/>
          <cell r="J4366"/>
          <cell r="K4366"/>
          <cell r="L4366"/>
          <cell r="M4366"/>
          <cell r="N4366"/>
          <cell r="O4366"/>
        </row>
        <row r="4367">
          <cell r="A4367"/>
          <cell r="B4367"/>
          <cell r="C4367"/>
          <cell r="D4367"/>
          <cell r="E4367"/>
          <cell r="F4367"/>
          <cell r="G4367"/>
          <cell r="H4367"/>
          <cell r="I4367"/>
          <cell r="J4367"/>
          <cell r="K4367"/>
          <cell r="L4367"/>
          <cell r="M4367"/>
          <cell r="N4367"/>
          <cell r="O4367"/>
        </row>
        <row r="4368">
          <cell r="A4368"/>
          <cell r="B4368"/>
          <cell r="C4368"/>
          <cell r="D4368"/>
          <cell r="E4368"/>
          <cell r="F4368"/>
          <cell r="G4368"/>
          <cell r="H4368"/>
          <cell r="I4368"/>
          <cell r="J4368"/>
          <cell r="K4368"/>
          <cell r="L4368"/>
          <cell r="M4368"/>
          <cell r="N4368"/>
          <cell r="O4368"/>
        </row>
        <row r="4369">
          <cell r="A4369"/>
          <cell r="B4369"/>
          <cell r="C4369"/>
          <cell r="D4369"/>
          <cell r="E4369"/>
          <cell r="F4369"/>
          <cell r="G4369"/>
          <cell r="H4369"/>
          <cell r="I4369"/>
          <cell r="J4369"/>
          <cell r="K4369"/>
          <cell r="L4369"/>
          <cell r="M4369"/>
          <cell r="N4369"/>
          <cell r="O4369"/>
        </row>
        <row r="4370">
          <cell r="A4370"/>
          <cell r="B4370"/>
          <cell r="C4370"/>
          <cell r="D4370"/>
          <cell r="E4370"/>
          <cell r="F4370"/>
          <cell r="G4370"/>
          <cell r="H4370"/>
          <cell r="I4370"/>
          <cell r="J4370"/>
          <cell r="K4370"/>
          <cell r="L4370"/>
          <cell r="M4370"/>
          <cell r="N4370"/>
          <cell r="O4370"/>
        </row>
        <row r="4371">
          <cell r="A4371"/>
          <cell r="B4371"/>
          <cell r="C4371"/>
          <cell r="D4371"/>
          <cell r="E4371"/>
          <cell r="F4371"/>
          <cell r="G4371"/>
          <cell r="H4371"/>
          <cell r="I4371"/>
          <cell r="J4371"/>
          <cell r="K4371"/>
          <cell r="L4371"/>
          <cell r="M4371"/>
          <cell r="N4371"/>
          <cell r="O4371"/>
        </row>
        <row r="4372">
          <cell r="A4372"/>
          <cell r="B4372"/>
          <cell r="C4372"/>
          <cell r="D4372"/>
          <cell r="E4372"/>
          <cell r="F4372"/>
          <cell r="G4372"/>
          <cell r="H4372"/>
          <cell r="I4372"/>
          <cell r="J4372"/>
          <cell r="K4372"/>
          <cell r="L4372"/>
          <cell r="M4372"/>
          <cell r="N4372"/>
          <cell r="O4372"/>
        </row>
        <row r="4373">
          <cell r="A4373"/>
          <cell r="B4373"/>
          <cell r="C4373"/>
          <cell r="D4373"/>
          <cell r="E4373"/>
          <cell r="F4373"/>
          <cell r="G4373"/>
          <cell r="H4373"/>
          <cell r="I4373"/>
          <cell r="J4373"/>
          <cell r="K4373"/>
          <cell r="L4373"/>
          <cell r="M4373"/>
          <cell r="N4373"/>
          <cell r="O4373"/>
        </row>
        <row r="4374">
          <cell r="A4374"/>
          <cell r="B4374"/>
          <cell r="C4374"/>
          <cell r="D4374"/>
          <cell r="E4374"/>
          <cell r="F4374"/>
          <cell r="G4374"/>
          <cell r="H4374"/>
          <cell r="I4374"/>
          <cell r="J4374"/>
          <cell r="K4374"/>
          <cell r="L4374"/>
          <cell r="M4374"/>
          <cell r="N4374"/>
          <cell r="O4374"/>
        </row>
        <row r="4375">
          <cell r="A4375"/>
          <cell r="B4375"/>
          <cell r="C4375"/>
          <cell r="D4375"/>
          <cell r="E4375"/>
          <cell r="F4375"/>
          <cell r="G4375"/>
          <cell r="H4375"/>
          <cell r="I4375"/>
          <cell r="J4375"/>
          <cell r="K4375"/>
          <cell r="L4375"/>
          <cell r="M4375"/>
          <cell r="N4375"/>
          <cell r="O4375"/>
        </row>
        <row r="4376">
          <cell r="A4376"/>
          <cell r="B4376"/>
          <cell r="C4376"/>
          <cell r="D4376"/>
          <cell r="E4376"/>
          <cell r="F4376"/>
          <cell r="G4376"/>
          <cell r="H4376"/>
          <cell r="I4376"/>
          <cell r="J4376"/>
          <cell r="K4376"/>
          <cell r="L4376"/>
          <cell r="M4376"/>
          <cell r="N4376"/>
          <cell r="O4376"/>
        </row>
        <row r="4377">
          <cell r="A4377"/>
          <cell r="B4377"/>
          <cell r="C4377"/>
          <cell r="D4377"/>
          <cell r="E4377"/>
          <cell r="F4377"/>
          <cell r="G4377"/>
          <cell r="H4377"/>
          <cell r="I4377"/>
          <cell r="J4377"/>
          <cell r="K4377"/>
          <cell r="L4377"/>
          <cell r="M4377"/>
          <cell r="N4377"/>
          <cell r="O4377"/>
        </row>
        <row r="4378">
          <cell r="A4378"/>
          <cell r="B4378"/>
          <cell r="C4378"/>
          <cell r="D4378"/>
          <cell r="E4378"/>
          <cell r="F4378"/>
          <cell r="G4378"/>
          <cell r="H4378"/>
          <cell r="I4378"/>
          <cell r="J4378"/>
          <cell r="K4378"/>
          <cell r="L4378"/>
          <cell r="M4378"/>
          <cell r="N4378"/>
          <cell r="O4378"/>
        </row>
        <row r="4379">
          <cell r="A4379"/>
          <cell r="B4379"/>
          <cell r="C4379"/>
          <cell r="D4379"/>
          <cell r="E4379"/>
          <cell r="F4379"/>
          <cell r="G4379"/>
          <cell r="H4379"/>
          <cell r="I4379"/>
          <cell r="J4379"/>
          <cell r="K4379"/>
          <cell r="L4379"/>
          <cell r="M4379"/>
          <cell r="N4379"/>
          <cell r="O4379"/>
        </row>
        <row r="4380">
          <cell r="A4380"/>
          <cell r="B4380"/>
          <cell r="C4380"/>
          <cell r="D4380"/>
          <cell r="E4380"/>
          <cell r="F4380"/>
          <cell r="G4380"/>
          <cell r="H4380"/>
          <cell r="I4380"/>
          <cell r="J4380"/>
          <cell r="K4380"/>
          <cell r="L4380"/>
          <cell r="M4380"/>
          <cell r="N4380"/>
          <cell r="O4380"/>
        </row>
        <row r="4381">
          <cell r="A4381"/>
          <cell r="B4381"/>
          <cell r="C4381"/>
          <cell r="D4381"/>
          <cell r="E4381"/>
          <cell r="F4381"/>
          <cell r="G4381"/>
          <cell r="H4381"/>
          <cell r="I4381"/>
          <cell r="J4381"/>
          <cell r="K4381"/>
          <cell r="L4381"/>
          <cell r="M4381"/>
          <cell r="N4381"/>
          <cell r="O4381"/>
        </row>
        <row r="4382">
          <cell r="A4382"/>
          <cell r="B4382"/>
          <cell r="C4382"/>
          <cell r="D4382"/>
          <cell r="E4382"/>
          <cell r="F4382"/>
          <cell r="G4382"/>
          <cell r="H4382"/>
          <cell r="I4382"/>
          <cell r="J4382"/>
          <cell r="K4382"/>
          <cell r="L4382"/>
          <cell r="M4382"/>
          <cell r="N4382"/>
          <cell r="O4382"/>
        </row>
        <row r="4383">
          <cell r="A4383"/>
          <cell r="B4383"/>
          <cell r="C4383"/>
          <cell r="D4383"/>
          <cell r="E4383"/>
          <cell r="F4383"/>
          <cell r="G4383"/>
          <cell r="H4383"/>
          <cell r="I4383"/>
          <cell r="J4383"/>
          <cell r="K4383"/>
          <cell r="L4383"/>
          <cell r="M4383"/>
          <cell r="N4383"/>
          <cell r="O4383"/>
        </row>
        <row r="4384">
          <cell r="A4384"/>
          <cell r="B4384"/>
          <cell r="C4384"/>
          <cell r="D4384"/>
          <cell r="E4384"/>
          <cell r="F4384"/>
          <cell r="G4384"/>
          <cell r="H4384"/>
          <cell r="I4384"/>
          <cell r="J4384"/>
          <cell r="K4384"/>
          <cell r="L4384"/>
          <cell r="M4384"/>
          <cell r="N4384"/>
          <cell r="O4384"/>
        </row>
        <row r="4385">
          <cell r="A4385"/>
          <cell r="B4385"/>
          <cell r="C4385"/>
          <cell r="D4385"/>
          <cell r="E4385"/>
          <cell r="F4385"/>
          <cell r="G4385"/>
          <cell r="H4385"/>
          <cell r="I4385"/>
          <cell r="J4385"/>
          <cell r="K4385"/>
          <cell r="L4385"/>
          <cell r="M4385"/>
          <cell r="N4385"/>
          <cell r="O4385"/>
        </row>
        <row r="4386">
          <cell r="A4386"/>
          <cell r="B4386"/>
          <cell r="C4386"/>
          <cell r="D4386"/>
          <cell r="E4386"/>
          <cell r="F4386"/>
          <cell r="G4386"/>
          <cell r="H4386"/>
          <cell r="I4386"/>
          <cell r="J4386"/>
          <cell r="K4386"/>
          <cell r="L4386"/>
          <cell r="M4386"/>
          <cell r="N4386"/>
          <cell r="O4386"/>
        </row>
        <row r="4387">
          <cell r="A4387"/>
          <cell r="B4387"/>
          <cell r="C4387"/>
          <cell r="D4387"/>
          <cell r="E4387"/>
          <cell r="F4387"/>
          <cell r="G4387"/>
          <cell r="H4387"/>
          <cell r="I4387"/>
          <cell r="J4387"/>
          <cell r="K4387"/>
          <cell r="L4387"/>
          <cell r="M4387"/>
          <cell r="N4387"/>
          <cell r="O4387"/>
        </row>
        <row r="4388">
          <cell r="A4388"/>
          <cell r="B4388"/>
          <cell r="C4388"/>
          <cell r="D4388"/>
          <cell r="E4388"/>
          <cell r="F4388"/>
          <cell r="G4388"/>
          <cell r="H4388"/>
          <cell r="I4388"/>
          <cell r="J4388"/>
          <cell r="K4388"/>
          <cell r="L4388"/>
          <cell r="M4388"/>
          <cell r="N4388"/>
          <cell r="O4388"/>
        </row>
        <row r="4389">
          <cell r="A4389"/>
          <cell r="B4389"/>
          <cell r="C4389"/>
          <cell r="D4389"/>
          <cell r="E4389"/>
          <cell r="F4389"/>
          <cell r="G4389"/>
          <cell r="H4389"/>
          <cell r="I4389"/>
          <cell r="J4389"/>
          <cell r="K4389"/>
          <cell r="L4389"/>
          <cell r="M4389"/>
          <cell r="N4389"/>
          <cell r="O4389"/>
        </row>
        <row r="4390">
          <cell r="A4390"/>
          <cell r="B4390"/>
          <cell r="C4390"/>
          <cell r="D4390"/>
          <cell r="E4390"/>
          <cell r="F4390"/>
          <cell r="G4390"/>
          <cell r="H4390"/>
          <cell r="I4390"/>
          <cell r="J4390"/>
          <cell r="K4390"/>
          <cell r="L4390"/>
          <cell r="M4390"/>
          <cell r="N4390"/>
          <cell r="O4390"/>
        </row>
        <row r="4391">
          <cell r="A4391"/>
          <cell r="B4391"/>
          <cell r="C4391"/>
          <cell r="D4391"/>
          <cell r="E4391"/>
          <cell r="F4391"/>
          <cell r="G4391"/>
          <cell r="H4391"/>
          <cell r="I4391"/>
          <cell r="J4391"/>
          <cell r="K4391"/>
          <cell r="L4391"/>
          <cell r="M4391"/>
          <cell r="N4391"/>
          <cell r="O4391"/>
        </row>
        <row r="4392">
          <cell r="A4392"/>
          <cell r="B4392"/>
          <cell r="C4392"/>
          <cell r="D4392"/>
          <cell r="E4392"/>
          <cell r="F4392"/>
          <cell r="G4392"/>
          <cell r="H4392"/>
          <cell r="I4392"/>
          <cell r="J4392"/>
          <cell r="K4392"/>
          <cell r="L4392"/>
          <cell r="M4392"/>
          <cell r="N4392"/>
          <cell r="O4392"/>
        </row>
        <row r="4393">
          <cell r="A4393"/>
          <cell r="B4393"/>
          <cell r="C4393"/>
          <cell r="D4393"/>
          <cell r="E4393"/>
          <cell r="F4393"/>
          <cell r="G4393"/>
          <cell r="H4393"/>
          <cell r="I4393"/>
          <cell r="J4393"/>
          <cell r="K4393"/>
          <cell r="L4393"/>
          <cell r="M4393"/>
          <cell r="N4393"/>
          <cell r="O4393"/>
        </row>
        <row r="4394">
          <cell r="A4394"/>
          <cell r="B4394"/>
          <cell r="C4394"/>
          <cell r="D4394"/>
          <cell r="E4394"/>
          <cell r="F4394"/>
          <cell r="G4394"/>
          <cell r="H4394"/>
          <cell r="I4394"/>
          <cell r="J4394"/>
          <cell r="K4394"/>
          <cell r="L4394"/>
          <cell r="M4394"/>
          <cell r="N4394"/>
          <cell r="O4394"/>
        </row>
        <row r="4395">
          <cell r="A4395"/>
          <cell r="B4395"/>
          <cell r="C4395"/>
          <cell r="D4395"/>
          <cell r="E4395"/>
          <cell r="F4395"/>
          <cell r="G4395"/>
          <cell r="H4395"/>
          <cell r="I4395"/>
          <cell r="J4395"/>
          <cell r="K4395"/>
          <cell r="L4395"/>
          <cell r="M4395"/>
          <cell r="N4395"/>
          <cell r="O4395"/>
        </row>
        <row r="4396">
          <cell r="A4396"/>
          <cell r="B4396"/>
          <cell r="C4396"/>
          <cell r="D4396"/>
          <cell r="E4396"/>
          <cell r="F4396"/>
          <cell r="G4396"/>
          <cell r="H4396"/>
          <cell r="I4396"/>
          <cell r="J4396"/>
          <cell r="K4396"/>
          <cell r="L4396"/>
          <cell r="M4396"/>
          <cell r="N4396"/>
          <cell r="O4396"/>
        </row>
        <row r="4397">
          <cell r="A4397"/>
          <cell r="B4397"/>
          <cell r="C4397"/>
          <cell r="D4397"/>
          <cell r="E4397"/>
          <cell r="F4397"/>
          <cell r="G4397"/>
          <cell r="H4397"/>
          <cell r="I4397"/>
          <cell r="J4397"/>
          <cell r="K4397"/>
          <cell r="L4397"/>
          <cell r="M4397"/>
          <cell r="N4397"/>
          <cell r="O4397"/>
        </row>
        <row r="4398">
          <cell r="A4398"/>
          <cell r="B4398"/>
          <cell r="C4398"/>
          <cell r="D4398"/>
          <cell r="E4398"/>
          <cell r="F4398"/>
          <cell r="G4398"/>
          <cell r="H4398"/>
          <cell r="I4398"/>
          <cell r="J4398"/>
          <cell r="K4398"/>
          <cell r="L4398"/>
          <cell r="M4398"/>
          <cell r="N4398"/>
          <cell r="O4398"/>
        </row>
        <row r="4399">
          <cell r="A4399"/>
          <cell r="B4399"/>
          <cell r="C4399"/>
          <cell r="D4399"/>
          <cell r="E4399"/>
          <cell r="F4399"/>
          <cell r="G4399"/>
          <cell r="H4399"/>
          <cell r="I4399"/>
          <cell r="J4399"/>
          <cell r="K4399"/>
          <cell r="L4399"/>
          <cell r="M4399"/>
          <cell r="N4399"/>
          <cell r="O4399"/>
        </row>
        <row r="4400">
          <cell r="A4400"/>
          <cell r="B4400"/>
          <cell r="C4400"/>
          <cell r="D4400"/>
          <cell r="E4400"/>
          <cell r="F4400"/>
          <cell r="G4400"/>
          <cell r="H4400"/>
          <cell r="I4400"/>
          <cell r="J4400"/>
          <cell r="K4400"/>
          <cell r="L4400"/>
          <cell r="M4400"/>
          <cell r="N4400"/>
          <cell r="O4400"/>
        </row>
        <row r="4401">
          <cell r="A4401"/>
          <cell r="B4401"/>
          <cell r="C4401"/>
          <cell r="D4401"/>
          <cell r="E4401"/>
          <cell r="F4401"/>
          <cell r="G4401"/>
          <cell r="H4401"/>
          <cell r="I4401"/>
          <cell r="J4401"/>
          <cell r="K4401"/>
          <cell r="L4401"/>
          <cell r="M4401"/>
          <cell r="N4401"/>
          <cell r="O4401"/>
        </row>
        <row r="4402">
          <cell r="A4402"/>
          <cell r="B4402"/>
          <cell r="C4402"/>
          <cell r="D4402"/>
          <cell r="E4402"/>
          <cell r="F4402"/>
          <cell r="G4402"/>
          <cell r="H4402"/>
          <cell r="I4402"/>
          <cell r="J4402"/>
          <cell r="K4402"/>
          <cell r="L4402"/>
          <cell r="M4402"/>
          <cell r="N4402"/>
          <cell r="O4402"/>
        </row>
        <row r="4403">
          <cell r="A4403"/>
          <cell r="B4403"/>
          <cell r="C4403"/>
          <cell r="D4403"/>
          <cell r="E4403"/>
          <cell r="F4403"/>
          <cell r="G4403"/>
          <cell r="H4403"/>
          <cell r="I4403"/>
          <cell r="J4403"/>
          <cell r="K4403"/>
          <cell r="L4403"/>
          <cell r="M4403"/>
          <cell r="N4403"/>
          <cell r="O4403"/>
        </row>
        <row r="4404">
          <cell r="A4404"/>
          <cell r="B4404"/>
          <cell r="C4404"/>
          <cell r="D4404"/>
          <cell r="E4404"/>
          <cell r="F4404"/>
          <cell r="G4404"/>
          <cell r="H4404"/>
          <cell r="I4404"/>
          <cell r="J4404"/>
          <cell r="K4404"/>
          <cell r="L4404"/>
          <cell r="M4404"/>
          <cell r="N4404"/>
          <cell r="O4404"/>
        </row>
        <row r="4405">
          <cell r="A4405"/>
          <cell r="B4405"/>
          <cell r="C4405"/>
          <cell r="D4405"/>
          <cell r="E4405"/>
          <cell r="F4405"/>
          <cell r="G4405"/>
          <cell r="H4405"/>
          <cell r="I4405"/>
          <cell r="J4405"/>
          <cell r="K4405"/>
          <cell r="L4405"/>
          <cell r="M4405"/>
          <cell r="N4405"/>
          <cell r="O4405"/>
        </row>
        <row r="4406">
          <cell r="A4406"/>
          <cell r="B4406"/>
          <cell r="C4406"/>
          <cell r="D4406"/>
          <cell r="E4406"/>
          <cell r="F4406"/>
          <cell r="G4406"/>
          <cell r="H4406"/>
          <cell r="I4406"/>
          <cell r="J4406"/>
          <cell r="K4406"/>
          <cell r="L4406"/>
          <cell r="M4406"/>
          <cell r="N4406"/>
          <cell r="O4406"/>
        </row>
        <row r="4407">
          <cell r="A4407"/>
          <cell r="B4407"/>
          <cell r="C4407"/>
          <cell r="D4407"/>
          <cell r="E4407"/>
          <cell r="F4407"/>
          <cell r="G4407"/>
          <cell r="H4407"/>
          <cell r="I4407"/>
          <cell r="J4407"/>
          <cell r="K4407"/>
          <cell r="L4407"/>
          <cell r="M4407"/>
          <cell r="N4407"/>
          <cell r="O4407"/>
        </row>
        <row r="4408">
          <cell r="A4408"/>
          <cell r="B4408"/>
          <cell r="C4408"/>
          <cell r="D4408"/>
          <cell r="E4408"/>
          <cell r="F4408"/>
          <cell r="G4408"/>
          <cell r="H4408"/>
          <cell r="I4408"/>
          <cell r="J4408"/>
          <cell r="K4408"/>
          <cell r="L4408"/>
          <cell r="M4408"/>
          <cell r="N4408"/>
          <cell r="O4408"/>
        </row>
        <row r="4409">
          <cell r="A4409"/>
          <cell r="B4409"/>
          <cell r="C4409"/>
          <cell r="D4409"/>
          <cell r="E4409"/>
          <cell r="F4409"/>
          <cell r="G4409"/>
          <cell r="H4409"/>
          <cell r="I4409"/>
          <cell r="J4409"/>
          <cell r="K4409"/>
          <cell r="L4409"/>
          <cell r="M4409"/>
          <cell r="N4409"/>
          <cell r="O4409"/>
        </row>
        <row r="4410">
          <cell r="A4410"/>
          <cell r="B4410"/>
          <cell r="C4410"/>
          <cell r="D4410"/>
          <cell r="E4410"/>
          <cell r="F4410"/>
          <cell r="G4410"/>
          <cell r="H4410"/>
          <cell r="I4410"/>
          <cell r="J4410"/>
          <cell r="K4410"/>
          <cell r="L4410"/>
          <cell r="M4410"/>
          <cell r="N4410"/>
          <cell r="O4410"/>
        </row>
        <row r="4411">
          <cell r="A4411"/>
          <cell r="B4411"/>
          <cell r="C4411"/>
          <cell r="D4411"/>
          <cell r="E4411"/>
          <cell r="F4411"/>
          <cell r="G4411"/>
          <cell r="H4411"/>
          <cell r="I4411"/>
          <cell r="J4411"/>
          <cell r="K4411"/>
          <cell r="L4411"/>
          <cell r="M4411"/>
          <cell r="N4411"/>
          <cell r="O4411"/>
        </row>
        <row r="4412">
          <cell r="A4412"/>
          <cell r="B4412"/>
          <cell r="C4412"/>
          <cell r="D4412"/>
          <cell r="E4412"/>
          <cell r="F4412"/>
          <cell r="G4412"/>
          <cell r="H4412"/>
          <cell r="I4412"/>
          <cell r="J4412"/>
          <cell r="K4412"/>
          <cell r="L4412"/>
          <cell r="M4412"/>
          <cell r="N4412"/>
          <cell r="O4412"/>
        </row>
        <row r="4413">
          <cell r="A4413"/>
          <cell r="B4413"/>
          <cell r="C4413"/>
          <cell r="D4413"/>
          <cell r="E4413"/>
          <cell r="F4413"/>
          <cell r="G4413"/>
          <cell r="H4413"/>
          <cell r="I4413"/>
          <cell r="J4413"/>
          <cell r="K4413"/>
          <cell r="L4413"/>
          <cell r="M4413"/>
          <cell r="N4413"/>
          <cell r="O4413"/>
        </row>
        <row r="4414">
          <cell r="A4414"/>
          <cell r="B4414"/>
          <cell r="C4414"/>
          <cell r="D4414"/>
          <cell r="E4414"/>
          <cell r="F4414"/>
          <cell r="G4414"/>
          <cell r="H4414"/>
          <cell r="I4414"/>
          <cell r="J4414"/>
          <cell r="K4414"/>
          <cell r="L4414"/>
          <cell r="M4414"/>
          <cell r="N4414"/>
          <cell r="O4414"/>
        </row>
        <row r="4415">
          <cell r="A4415"/>
          <cell r="B4415"/>
          <cell r="C4415"/>
          <cell r="D4415"/>
          <cell r="E4415"/>
          <cell r="F4415"/>
          <cell r="G4415"/>
          <cell r="H4415"/>
          <cell r="I4415"/>
          <cell r="J4415"/>
          <cell r="K4415"/>
          <cell r="L4415"/>
          <cell r="M4415"/>
          <cell r="N4415"/>
          <cell r="O4415"/>
        </row>
        <row r="4416">
          <cell r="A4416"/>
          <cell r="B4416"/>
          <cell r="C4416"/>
          <cell r="D4416"/>
          <cell r="E4416"/>
          <cell r="F4416"/>
          <cell r="G4416"/>
          <cell r="H4416"/>
          <cell r="I4416"/>
          <cell r="J4416"/>
          <cell r="K4416"/>
          <cell r="L4416"/>
          <cell r="M4416"/>
          <cell r="N4416"/>
          <cell r="O4416"/>
        </row>
        <row r="4417">
          <cell r="A4417"/>
          <cell r="B4417"/>
          <cell r="C4417"/>
          <cell r="D4417"/>
          <cell r="E4417"/>
          <cell r="F4417"/>
          <cell r="G4417"/>
          <cell r="H4417"/>
          <cell r="I4417"/>
          <cell r="J4417"/>
          <cell r="K4417"/>
          <cell r="L4417"/>
          <cell r="M4417"/>
          <cell r="N4417"/>
          <cell r="O4417"/>
        </row>
        <row r="4418">
          <cell r="A4418"/>
          <cell r="B4418"/>
          <cell r="C4418"/>
          <cell r="D4418"/>
          <cell r="E4418"/>
          <cell r="F4418"/>
          <cell r="G4418"/>
          <cell r="H4418"/>
          <cell r="I4418"/>
          <cell r="J4418"/>
          <cell r="K4418"/>
          <cell r="L4418"/>
          <cell r="M4418"/>
          <cell r="N4418"/>
          <cell r="O4418"/>
        </row>
        <row r="4419">
          <cell r="A4419"/>
          <cell r="B4419"/>
          <cell r="C4419"/>
          <cell r="D4419"/>
          <cell r="E4419"/>
          <cell r="F4419"/>
          <cell r="G4419"/>
          <cell r="H4419"/>
          <cell r="I4419"/>
          <cell r="J4419"/>
          <cell r="K4419"/>
          <cell r="L4419"/>
          <cell r="M4419"/>
          <cell r="N4419"/>
          <cell r="O4419"/>
        </row>
        <row r="4420">
          <cell r="A4420"/>
          <cell r="B4420"/>
          <cell r="C4420"/>
          <cell r="D4420"/>
          <cell r="E4420"/>
          <cell r="F4420"/>
          <cell r="G4420"/>
          <cell r="H4420"/>
          <cell r="I4420"/>
          <cell r="J4420"/>
          <cell r="K4420"/>
          <cell r="L4420"/>
          <cell r="M4420"/>
          <cell r="N4420"/>
          <cell r="O4420"/>
        </row>
        <row r="4421">
          <cell r="A4421"/>
          <cell r="B4421"/>
          <cell r="C4421"/>
          <cell r="D4421"/>
          <cell r="E4421"/>
          <cell r="F4421"/>
          <cell r="G4421"/>
          <cell r="H4421"/>
          <cell r="I4421"/>
          <cell r="J4421"/>
          <cell r="K4421"/>
          <cell r="L4421"/>
          <cell r="M4421"/>
          <cell r="N4421"/>
          <cell r="O4421"/>
        </row>
        <row r="4422">
          <cell r="A4422"/>
          <cell r="B4422"/>
          <cell r="C4422"/>
          <cell r="D4422"/>
          <cell r="E4422"/>
          <cell r="F4422"/>
          <cell r="G4422"/>
          <cell r="H4422"/>
          <cell r="I4422"/>
          <cell r="J4422"/>
          <cell r="K4422"/>
          <cell r="L4422"/>
          <cell r="M4422"/>
          <cell r="N4422"/>
          <cell r="O4422"/>
        </row>
        <row r="4423">
          <cell r="A4423"/>
          <cell r="B4423"/>
          <cell r="C4423"/>
          <cell r="D4423"/>
          <cell r="E4423"/>
          <cell r="F4423"/>
          <cell r="G4423"/>
          <cell r="H4423"/>
          <cell r="I4423"/>
          <cell r="J4423"/>
          <cell r="K4423"/>
          <cell r="L4423"/>
          <cell r="M4423"/>
          <cell r="N4423"/>
          <cell r="O4423"/>
        </row>
        <row r="4424">
          <cell r="A4424"/>
          <cell r="B4424"/>
          <cell r="C4424"/>
          <cell r="D4424"/>
          <cell r="E4424"/>
          <cell r="F4424"/>
          <cell r="G4424"/>
          <cell r="H4424"/>
          <cell r="I4424"/>
          <cell r="J4424"/>
          <cell r="K4424"/>
          <cell r="L4424"/>
          <cell r="M4424"/>
          <cell r="N4424"/>
          <cell r="O4424"/>
        </row>
        <row r="4425">
          <cell r="A4425"/>
          <cell r="B4425"/>
          <cell r="C4425"/>
          <cell r="D4425"/>
          <cell r="E4425"/>
          <cell r="F4425"/>
          <cell r="G4425"/>
          <cell r="H4425"/>
          <cell r="I4425"/>
          <cell r="J4425"/>
          <cell r="K4425"/>
          <cell r="L4425"/>
          <cell r="M4425"/>
          <cell r="N4425"/>
          <cell r="O4425"/>
        </row>
        <row r="4426">
          <cell r="A4426"/>
          <cell r="B4426"/>
          <cell r="C4426"/>
          <cell r="D4426"/>
          <cell r="E4426"/>
          <cell r="F4426"/>
          <cell r="G4426"/>
          <cell r="H4426"/>
          <cell r="I4426"/>
          <cell r="J4426"/>
          <cell r="K4426"/>
          <cell r="L4426"/>
          <cell r="M4426"/>
          <cell r="N4426"/>
          <cell r="O4426"/>
        </row>
        <row r="4427">
          <cell r="A4427"/>
          <cell r="B4427"/>
          <cell r="C4427"/>
          <cell r="D4427"/>
          <cell r="E4427"/>
          <cell r="F4427"/>
          <cell r="G4427"/>
          <cell r="H4427"/>
          <cell r="I4427"/>
          <cell r="J4427"/>
          <cell r="K4427"/>
          <cell r="L4427"/>
          <cell r="M4427"/>
          <cell r="N4427"/>
          <cell r="O4427"/>
        </row>
        <row r="4428">
          <cell r="A4428"/>
          <cell r="B4428"/>
          <cell r="C4428"/>
          <cell r="D4428"/>
          <cell r="E4428"/>
          <cell r="F4428"/>
          <cell r="G4428"/>
          <cell r="H4428"/>
          <cell r="I4428"/>
          <cell r="J4428"/>
          <cell r="K4428"/>
          <cell r="L4428"/>
          <cell r="M4428"/>
          <cell r="N4428"/>
          <cell r="O4428"/>
        </row>
        <row r="4429">
          <cell r="A4429"/>
          <cell r="B4429"/>
          <cell r="C4429"/>
          <cell r="D4429"/>
          <cell r="E4429"/>
          <cell r="F4429"/>
          <cell r="G4429"/>
          <cell r="H4429"/>
          <cell r="I4429"/>
          <cell r="J4429"/>
          <cell r="K4429"/>
          <cell r="L4429"/>
          <cell r="M4429"/>
          <cell r="N4429"/>
          <cell r="O4429"/>
        </row>
        <row r="4430">
          <cell r="A4430"/>
          <cell r="B4430"/>
          <cell r="C4430"/>
          <cell r="D4430"/>
          <cell r="E4430"/>
          <cell r="F4430"/>
          <cell r="G4430"/>
          <cell r="H4430"/>
          <cell r="I4430"/>
          <cell r="J4430"/>
          <cell r="K4430"/>
          <cell r="L4430"/>
          <cell r="M4430"/>
          <cell r="N4430"/>
          <cell r="O4430"/>
        </row>
        <row r="4431">
          <cell r="A4431"/>
          <cell r="B4431"/>
          <cell r="C4431"/>
          <cell r="D4431"/>
          <cell r="E4431"/>
          <cell r="F4431"/>
          <cell r="G4431"/>
          <cell r="H4431"/>
          <cell r="I4431"/>
          <cell r="J4431"/>
          <cell r="K4431"/>
          <cell r="L4431"/>
          <cell r="M4431"/>
          <cell r="N4431"/>
          <cell r="O4431"/>
        </row>
        <row r="4432">
          <cell r="A4432"/>
          <cell r="B4432"/>
          <cell r="C4432"/>
          <cell r="D4432"/>
          <cell r="E4432"/>
          <cell r="F4432"/>
          <cell r="G4432"/>
          <cell r="H4432"/>
          <cell r="I4432"/>
          <cell r="J4432"/>
          <cell r="K4432"/>
          <cell r="L4432"/>
          <cell r="M4432"/>
          <cell r="N4432"/>
          <cell r="O4432"/>
        </row>
        <row r="4433">
          <cell r="A4433"/>
          <cell r="B4433"/>
          <cell r="C4433"/>
          <cell r="D4433"/>
          <cell r="E4433"/>
          <cell r="F4433"/>
          <cell r="G4433"/>
          <cell r="H4433"/>
          <cell r="I4433"/>
          <cell r="J4433"/>
          <cell r="K4433"/>
          <cell r="L4433"/>
          <cell r="M4433"/>
          <cell r="N4433"/>
          <cell r="O4433"/>
        </row>
        <row r="4434">
          <cell r="A4434"/>
          <cell r="B4434"/>
          <cell r="C4434"/>
          <cell r="D4434"/>
          <cell r="E4434"/>
          <cell r="F4434"/>
          <cell r="G4434"/>
          <cell r="H4434"/>
          <cell r="I4434"/>
          <cell r="J4434"/>
          <cell r="K4434"/>
          <cell r="L4434"/>
          <cell r="M4434"/>
          <cell r="N4434"/>
          <cell r="O4434"/>
        </row>
        <row r="4435">
          <cell r="A4435"/>
          <cell r="B4435"/>
          <cell r="C4435"/>
          <cell r="D4435"/>
          <cell r="E4435"/>
          <cell r="F4435"/>
          <cell r="G4435"/>
          <cell r="H4435"/>
          <cell r="I4435"/>
          <cell r="J4435"/>
          <cell r="K4435"/>
          <cell r="L4435"/>
          <cell r="M4435"/>
          <cell r="N4435"/>
          <cell r="O4435"/>
        </row>
        <row r="4436">
          <cell r="A4436"/>
          <cell r="B4436"/>
          <cell r="C4436"/>
          <cell r="D4436"/>
          <cell r="E4436"/>
          <cell r="F4436"/>
          <cell r="G4436"/>
          <cell r="H4436"/>
          <cell r="I4436"/>
          <cell r="J4436"/>
          <cell r="K4436"/>
          <cell r="L4436"/>
          <cell r="M4436"/>
          <cell r="N4436"/>
          <cell r="O4436"/>
        </row>
        <row r="4437">
          <cell r="A4437"/>
          <cell r="B4437"/>
          <cell r="C4437"/>
          <cell r="D4437"/>
          <cell r="E4437"/>
          <cell r="F4437"/>
          <cell r="G4437"/>
          <cell r="H4437"/>
          <cell r="I4437"/>
          <cell r="J4437"/>
          <cell r="K4437"/>
          <cell r="L4437"/>
          <cell r="M4437"/>
          <cell r="N4437"/>
          <cell r="O4437"/>
        </row>
        <row r="4438">
          <cell r="A4438"/>
          <cell r="B4438"/>
          <cell r="C4438"/>
          <cell r="D4438"/>
          <cell r="E4438"/>
          <cell r="F4438"/>
          <cell r="G4438"/>
          <cell r="H4438"/>
          <cell r="I4438"/>
          <cell r="J4438"/>
          <cell r="K4438"/>
          <cell r="L4438"/>
          <cell r="M4438"/>
          <cell r="N4438"/>
          <cell r="O4438"/>
        </row>
        <row r="4439">
          <cell r="A4439"/>
          <cell r="B4439"/>
          <cell r="C4439"/>
          <cell r="D4439"/>
          <cell r="E4439"/>
          <cell r="F4439"/>
          <cell r="G4439"/>
          <cell r="H4439"/>
          <cell r="I4439"/>
          <cell r="J4439"/>
          <cell r="K4439"/>
          <cell r="L4439"/>
          <cell r="M4439"/>
          <cell r="N4439"/>
          <cell r="O4439"/>
        </row>
        <row r="4440">
          <cell r="A4440"/>
          <cell r="B4440"/>
          <cell r="C4440"/>
          <cell r="D4440"/>
          <cell r="E4440"/>
          <cell r="F4440"/>
          <cell r="G4440"/>
          <cell r="H4440"/>
          <cell r="I4440"/>
          <cell r="J4440"/>
          <cell r="K4440"/>
          <cell r="L4440"/>
          <cell r="M4440"/>
          <cell r="N4440"/>
          <cell r="O4440"/>
        </row>
        <row r="4441">
          <cell r="A4441"/>
          <cell r="B4441"/>
          <cell r="C4441"/>
          <cell r="D4441"/>
          <cell r="E4441"/>
          <cell r="F4441"/>
          <cell r="G4441"/>
          <cell r="H4441"/>
          <cell r="I4441"/>
          <cell r="J4441"/>
          <cell r="K4441"/>
          <cell r="L4441"/>
          <cell r="M4441"/>
          <cell r="N4441"/>
          <cell r="O4441"/>
        </row>
        <row r="4442">
          <cell r="A4442"/>
          <cell r="B4442"/>
          <cell r="C4442"/>
          <cell r="D4442"/>
          <cell r="E4442"/>
          <cell r="F4442"/>
          <cell r="G4442"/>
          <cell r="H4442"/>
          <cell r="I4442"/>
          <cell r="J4442"/>
          <cell r="K4442"/>
          <cell r="L4442"/>
          <cell r="M4442"/>
          <cell r="N4442"/>
          <cell r="O4442"/>
        </row>
        <row r="4443">
          <cell r="A4443"/>
          <cell r="B4443"/>
          <cell r="C4443"/>
          <cell r="D4443"/>
          <cell r="E4443"/>
          <cell r="F4443"/>
          <cell r="G4443"/>
          <cell r="H4443"/>
          <cell r="I4443"/>
          <cell r="J4443"/>
          <cell r="K4443"/>
          <cell r="L4443"/>
          <cell r="M4443"/>
          <cell r="N4443"/>
          <cell r="O4443"/>
        </row>
        <row r="4444">
          <cell r="A4444"/>
          <cell r="B4444"/>
          <cell r="C4444"/>
          <cell r="D4444"/>
          <cell r="E4444"/>
          <cell r="F4444"/>
          <cell r="G4444"/>
          <cell r="H4444"/>
          <cell r="I4444"/>
          <cell r="J4444"/>
          <cell r="K4444"/>
          <cell r="L4444"/>
          <cell r="M4444"/>
          <cell r="N4444"/>
          <cell r="O4444"/>
        </row>
        <row r="4445">
          <cell r="A4445"/>
          <cell r="B4445"/>
          <cell r="C4445"/>
          <cell r="D4445"/>
          <cell r="E4445"/>
          <cell r="F4445"/>
          <cell r="G4445"/>
          <cell r="H4445"/>
          <cell r="I4445"/>
          <cell r="J4445"/>
          <cell r="K4445"/>
          <cell r="L4445"/>
          <cell r="M4445"/>
          <cell r="N4445"/>
          <cell r="O4445"/>
        </row>
        <row r="4446">
          <cell r="A4446"/>
          <cell r="B4446"/>
          <cell r="C4446"/>
          <cell r="D4446"/>
          <cell r="E4446"/>
          <cell r="F4446"/>
          <cell r="G4446"/>
          <cell r="H4446"/>
          <cell r="I4446"/>
          <cell r="J4446"/>
          <cell r="K4446"/>
          <cell r="L4446"/>
          <cell r="M4446"/>
          <cell r="N4446"/>
          <cell r="O4446"/>
        </row>
        <row r="4447">
          <cell r="A4447"/>
          <cell r="B4447"/>
          <cell r="C4447"/>
          <cell r="D4447"/>
          <cell r="E4447"/>
          <cell r="F4447"/>
          <cell r="G4447"/>
          <cell r="H4447"/>
          <cell r="I4447"/>
          <cell r="J4447"/>
          <cell r="K4447"/>
          <cell r="L4447"/>
          <cell r="M4447"/>
          <cell r="N4447"/>
          <cell r="O4447"/>
        </row>
        <row r="4448">
          <cell r="A4448"/>
          <cell r="B4448"/>
          <cell r="C4448"/>
          <cell r="D4448"/>
          <cell r="E4448"/>
          <cell r="F4448"/>
          <cell r="G4448"/>
          <cell r="H4448"/>
          <cell r="I4448"/>
          <cell r="J4448"/>
          <cell r="K4448"/>
          <cell r="L4448"/>
          <cell r="M4448"/>
          <cell r="N4448"/>
          <cell r="O4448"/>
        </row>
        <row r="4449">
          <cell r="A4449"/>
          <cell r="B4449"/>
          <cell r="C4449"/>
          <cell r="D4449"/>
          <cell r="E4449"/>
          <cell r="F4449"/>
          <cell r="G4449"/>
          <cell r="H4449"/>
          <cell r="I4449"/>
          <cell r="J4449"/>
          <cell r="K4449"/>
          <cell r="L4449"/>
          <cell r="M4449"/>
          <cell r="N4449"/>
          <cell r="O4449"/>
        </row>
        <row r="4450">
          <cell r="A4450"/>
          <cell r="B4450"/>
          <cell r="C4450"/>
          <cell r="D4450"/>
          <cell r="E4450"/>
          <cell r="F4450"/>
          <cell r="G4450"/>
          <cell r="H4450"/>
          <cell r="I4450"/>
          <cell r="J4450"/>
          <cell r="K4450"/>
          <cell r="L4450"/>
          <cell r="M4450"/>
          <cell r="N4450"/>
          <cell r="O4450"/>
        </row>
        <row r="4451">
          <cell r="A4451"/>
          <cell r="B4451"/>
          <cell r="C4451"/>
          <cell r="D4451"/>
          <cell r="E4451"/>
          <cell r="F4451"/>
          <cell r="G4451"/>
          <cell r="H4451"/>
          <cell r="I4451"/>
          <cell r="J4451"/>
          <cell r="K4451"/>
          <cell r="L4451"/>
          <cell r="M4451"/>
          <cell r="N4451"/>
          <cell r="O4451"/>
        </row>
        <row r="4452">
          <cell r="A4452"/>
          <cell r="B4452"/>
          <cell r="C4452"/>
          <cell r="D4452"/>
          <cell r="E4452"/>
          <cell r="F4452"/>
          <cell r="G4452"/>
          <cell r="H4452"/>
          <cell r="I4452"/>
          <cell r="J4452"/>
          <cell r="K4452"/>
          <cell r="L4452"/>
          <cell r="M4452"/>
          <cell r="N4452"/>
          <cell r="O4452"/>
        </row>
        <row r="4453">
          <cell r="A4453"/>
          <cell r="B4453"/>
          <cell r="C4453"/>
          <cell r="D4453"/>
          <cell r="E4453"/>
          <cell r="F4453"/>
          <cell r="G4453"/>
          <cell r="H4453"/>
          <cell r="I4453"/>
          <cell r="J4453"/>
          <cell r="K4453"/>
          <cell r="L4453"/>
          <cell r="M4453"/>
          <cell r="N4453"/>
          <cell r="O4453"/>
        </row>
        <row r="4454">
          <cell r="A4454"/>
          <cell r="B4454"/>
          <cell r="C4454"/>
          <cell r="D4454"/>
          <cell r="E4454"/>
          <cell r="F4454"/>
          <cell r="G4454"/>
          <cell r="H4454"/>
          <cell r="I4454"/>
          <cell r="J4454"/>
          <cell r="K4454"/>
          <cell r="L4454"/>
          <cell r="M4454"/>
          <cell r="N4454"/>
          <cell r="O4454"/>
        </row>
        <row r="4455">
          <cell r="A4455"/>
          <cell r="B4455"/>
          <cell r="C4455"/>
          <cell r="D4455"/>
          <cell r="E4455"/>
          <cell r="F4455"/>
          <cell r="G4455"/>
          <cell r="H4455"/>
          <cell r="I4455"/>
          <cell r="J4455"/>
          <cell r="K4455"/>
          <cell r="L4455"/>
          <cell r="M4455"/>
          <cell r="N4455"/>
          <cell r="O4455"/>
        </row>
        <row r="4456">
          <cell r="A4456"/>
          <cell r="B4456"/>
          <cell r="C4456"/>
          <cell r="D4456"/>
          <cell r="E4456"/>
          <cell r="F4456"/>
          <cell r="G4456"/>
          <cell r="H4456"/>
          <cell r="I4456"/>
          <cell r="J4456"/>
          <cell r="K4456"/>
          <cell r="L4456"/>
          <cell r="M4456"/>
          <cell r="N4456"/>
          <cell r="O4456"/>
        </row>
        <row r="4457">
          <cell r="A4457"/>
          <cell r="B4457"/>
          <cell r="C4457"/>
          <cell r="D4457"/>
          <cell r="E4457"/>
          <cell r="F4457"/>
          <cell r="G4457"/>
          <cell r="H4457"/>
          <cell r="I4457"/>
          <cell r="J4457"/>
          <cell r="K4457"/>
          <cell r="L4457"/>
          <cell r="M4457"/>
          <cell r="N4457"/>
          <cell r="O4457"/>
        </row>
        <row r="4458">
          <cell r="A4458"/>
          <cell r="B4458"/>
          <cell r="C4458"/>
          <cell r="D4458"/>
          <cell r="E4458"/>
          <cell r="F4458"/>
          <cell r="G4458"/>
          <cell r="H4458"/>
          <cell r="I4458"/>
          <cell r="J4458"/>
          <cell r="K4458"/>
          <cell r="L4458"/>
          <cell r="M4458"/>
          <cell r="N4458"/>
          <cell r="O4458"/>
        </row>
        <row r="4459">
          <cell r="A4459"/>
          <cell r="B4459"/>
          <cell r="C4459"/>
          <cell r="D4459"/>
          <cell r="E4459"/>
          <cell r="F4459"/>
          <cell r="G4459"/>
          <cell r="H4459"/>
          <cell r="I4459"/>
          <cell r="J4459"/>
          <cell r="K4459"/>
          <cell r="L4459"/>
          <cell r="M4459"/>
          <cell r="N4459"/>
          <cell r="O4459"/>
        </row>
        <row r="4460">
          <cell r="A4460"/>
          <cell r="B4460"/>
          <cell r="C4460"/>
          <cell r="D4460"/>
          <cell r="E4460"/>
          <cell r="F4460"/>
          <cell r="G4460"/>
          <cell r="H4460"/>
          <cell r="I4460"/>
          <cell r="J4460"/>
          <cell r="K4460"/>
          <cell r="L4460"/>
          <cell r="M4460"/>
          <cell r="N4460"/>
          <cell r="O4460"/>
        </row>
        <row r="4461">
          <cell r="A4461"/>
          <cell r="B4461"/>
          <cell r="C4461"/>
          <cell r="D4461"/>
          <cell r="E4461"/>
          <cell r="F4461"/>
          <cell r="G4461"/>
          <cell r="H4461"/>
          <cell r="I4461"/>
          <cell r="J4461"/>
          <cell r="K4461"/>
          <cell r="L4461"/>
          <cell r="M4461"/>
          <cell r="N4461"/>
          <cell r="O4461"/>
        </row>
        <row r="4462">
          <cell r="A4462"/>
          <cell r="B4462"/>
          <cell r="C4462"/>
          <cell r="D4462"/>
          <cell r="E4462"/>
          <cell r="F4462"/>
          <cell r="G4462"/>
          <cell r="H4462"/>
          <cell r="I4462"/>
          <cell r="J4462"/>
          <cell r="K4462"/>
          <cell r="L4462"/>
          <cell r="M4462"/>
          <cell r="N4462"/>
          <cell r="O4462"/>
        </row>
        <row r="4463">
          <cell r="A4463"/>
          <cell r="B4463"/>
          <cell r="C4463"/>
          <cell r="D4463"/>
          <cell r="E4463"/>
          <cell r="F4463"/>
          <cell r="G4463"/>
          <cell r="H4463"/>
          <cell r="I4463"/>
          <cell r="J4463"/>
          <cell r="K4463"/>
          <cell r="L4463"/>
          <cell r="M4463"/>
          <cell r="N4463"/>
          <cell r="O4463"/>
        </row>
        <row r="4464">
          <cell r="A4464"/>
          <cell r="B4464"/>
          <cell r="C4464"/>
          <cell r="D4464"/>
          <cell r="E4464"/>
          <cell r="F4464"/>
          <cell r="G4464"/>
          <cell r="H4464"/>
          <cell r="I4464"/>
          <cell r="J4464"/>
          <cell r="K4464"/>
          <cell r="L4464"/>
          <cell r="M4464"/>
          <cell r="N4464"/>
          <cell r="O4464"/>
        </row>
        <row r="4465">
          <cell r="A4465"/>
          <cell r="B4465"/>
          <cell r="C4465"/>
          <cell r="D4465"/>
          <cell r="E4465"/>
          <cell r="F4465"/>
          <cell r="G4465"/>
          <cell r="H4465"/>
          <cell r="I4465"/>
          <cell r="J4465"/>
          <cell r="K4465"/>
          <cell r="L4465"/>
          <cell r="M4465"/>
          <cell r="N4465"/>
          <cell r="O4465"/>
        </row>
        <row r="4466">
          <cell r="A4466"/>
          <cell r="B4466"/>
          <cell r="C4466"/>
          <cell r="D4466"/>
          <cell r="E4466"/>
          <cell r="F4466"/>
          <cell r="G4466"/>
          <cell r="H4466"/>
          <cell r="I4466"/>
          <cell r="J4466"/>
          <cell r="K4466"/>
          <cell r="L4466"/>
          <cell r="M4466"/>
          <cell r="N4466"/>
          <cell r="O4466"/>
        </row>
        <row r="4467">
          <cell r="A4467"/>
          <cell r="B4467"/>
          <cell r="C4467"/>
          <cell r="D4467"/>
          <cell r="E4467"/>
          <cell r="F4467"/>
          <cell r="G4467"/>
          <cell r="H4467"/>
          <cell r="I4467"/>
          <cell r="J4467"/>
          <cell r="K4467"/>
          <cell r="L4467"/>
          <cell r="M4467"/>
          <cell r="N4467"/>
          <cell r="O4467"/>
        </row>
        <row r="4468">
          <cell r="A4468"/>
          <cell r="B4468"/>
          <cell r="C4468"/>
          <cell r="D4468"/>
          <cell r="E4468"/>
          <cell r="F4468"/>
          <cell r="G4468"/>
          <cell r="H4468"/>
          <cell r="I4468"/>
          <cell r="J4468"/>
          <cell r="K4468"/>
          <cell r="L4468"/>
          <cell r="M4468"/>
          <cell r="N4468"/>
          <cell r="O4468"/>
        </row>
        <row r="4469">
          <cell r="A4469"/>
          <cell r="B4469"/>
          <cell r="C4469"/>
          <cell r="D4469"/>
          <cell r="E4469"/>
          <cell r="F4469"/>
          <cell r="G4469"/>
          <cell r="H4469"/>
          <cell r="I4469"/>
          <cell r="J4469"/>
          <cell r="K4469"/>
          <cell r="L4469"/>
          <cell r="M4469"/>
          <cell r="N4469"/>
          <cell r="O4469"/>
        </row>
        <row r="4470">
          <cell r="A4470"/>
          <cell r="B4470"/>
          <cell r="C4470"/>
          <cell r="D4470"/>
          <cell r="E4470"/>
          <cell r="F4470"/>
          <cell r="G4470"/>
          <cell r="H4470"/>
          <cell r="I4470"/>
          <cell r="J4470"/>
          <cell r="K4470"/>
          <cell r="L4470"/>
          <cell r="M4470"/>
          <cell r="N4470"/>
          <cell r="O4470"/>
        </row>
        <row r="4471">
          <cell r="A4471"/>
          <cell r="B4471"/>
          <cell r="C4471"/>
          <cell r="D4471"/>
          <cell r="E4471"/>
          <cell r="F4471"/>
          <cell r="G4471"/>
          <cell r="H4471"/>
          <cell r="I4471"/>
          <cell r="J4471"/>
          <cell r="K4471"/>
          <cell r="L4471"/>
          <cell r="M4471"/>
          <cell r="N4471"/>
          <cell r="O4471"/>
        </row>
        <row r="4472">
          <cell r="A4472"/>
          <cell r="B4472"/>
          <cell r="C4472"/>
          <cell r="D4472"/>
          <cell r="E4472"/>
          <cell r="F4472"/>
          <cell r="G4472"/>
          <cell r="H4472"/>
          <cell r="I4472"/>
          <cell r="J4472"/>
          <cell r="K4472"/>
          <cell r="L4472"/>
          <cell r="M4472"/>
          <cell r="N4472"/>
          <cell r="O4472"/>
        </row>
        <row r="4473">
          <cell r="A4473"/>
          <cell r="B4473"/>
          <cell r="C4473"/>
          <cell r="D4473"/>
          <cell r="E4473"/>
          <cell r="F4473"/>
          <cell r="G4473"/>
          <cell r="H4473"/>
          <cell r="I4473"/>
          <cell r="J4473"/>
          <cell r="K4473"/>
          <cell r="L4473"/>
          <cell r="M4473"/>
          <cell r="N4473"/>
          <cell r="O4473"/>
        </row>
        <row r="4474">
          <cell r="A4474"/>
          <cell r="B4474"/>
          <cell r="C4474"/>
          <cell r="D4474"/>
          <cell r="E4474"/>
          <cell r="F4474"/>
          <cell r="G4474"/>
          <cell r="H4474"/>
          <cell r="I4474"/>
          <cell r="J4474"/>
          <cell r="K4474"/>
          <cell r="L4474"/>
          <cell r="M4474"/>
          <cell r="N4474"/>
          <cell r="O4474"/>
        </row>
        <row r="4475">
          <cell r="A4475"/>
          <cell r="B4475"/>
          <cell r="C4475"/>
          <cell r="D4475"/>
          <cell r="E4475"/>
          <cell r="F4475"/>
          <cell r="G4475"/>
          <cell r="H4475"/>
          <cell r="I4475"/>
          <cell r="J4475"/>
          <cell r="K4475"/>
          <cell r="L4475"/>
          <cell r="M4475"/>
          <cell r="N4475"/>
          <cell r="O4475"/>
        </row>
        <row r="4476">
          <cell r="A4476"/>
          <cell r="B4476"/>
          <cell r="C4476"/>
          <cell r="D4476"/>
          <cell r="E4476"/>
          <cell r="F4476"/>
          <cell r="G4476"/>
          <cell r="H4476"/>
          <cell r="I4476"/>
          <cell r="J4476"/>
          <cell r="K4476"/>
          <cell r="L4476"/>
          <cell r="M4476"/>
          <cell r="N4476"/>
          <cell r="O4476"/>
        </row>
        <row r="4477">
          <cell r="A4477"/>
          <cell r="B4477"/>
          <cell r="C4477"/>
          <cell r="D4477"/>
          <cell r="E4477"/>
          <cell r="F4477"/>
          <cell r="G4477"/>
          <cell r="H4477"/>
          <cell r="I4477"/>
          <cell r="J4477"/>
          <cell r="K4477"/>
          <cell r="L4477"/>
          <cell r="M4477"/>
          <cell r="N4477"/>
          <cell r="O4477"/>
        </row>
        <row r="4478">
          <cell r="A4478"/>
          <cell r="B4478"/>
          <cell r="C4478"/>
          <cell r="D4478"/>
          <cell r="E4478"/>
          <cell r="F4478"/>
          <cell r="G4478"/>
          <cell r="H4478"/>
          <cell r="I4478"/>
          <cell r="J4478"/>
          <cell r="K4478"/>
          <cell r="L4478"/>
          <cell r="M4478"/>
          <cell r="N4478"/>
          <cell r="O4478"/>
        </row>
        <row r="4479">
          <cell r="A4479"/>
          <cell r="B4479"/>
          <cell r="C4479"/>
          <cell r="D4479"/>
          <cell r="E4479"/>
          <cell r="F4479"/>
          <cell r="G4479"/>
          <cell r="H4479"/>
          <cell r="I4479"/>
          <cell r="J4479"/>
          <cell r="K4479"/>
          <cell r="L4479"/>
          <cell r="M4479"/>
          <cell r="N4479"/>
          <cell r="O4479"/>
        </row>
        <row r="4480">
          <cell r="A4480"/>
          <cell r="B4480"/>
          <cell r="C4480"/>
          <cell r="D4480"/>
          <cell r="E4480"/>
          <cell r="F4480"/>
          <cell r="G4480"/>
          <cell r="H4480"/>
          <cell r="I4480"/>
          <cell r="J4480"/>
          <cell r="K4480"/>
          <cell r="L4480"/>
          <cell r="M4480"/>
          <cell r="N4480"/>
          <cell r="O4480"/>
        </row>
        <row r="4481">
          <cell r="A4481"/>
          <cell r="B4481"/>
          <cell r="C4481"/>
          <cell r="D4481"/>
          <cell r="E4481"/>
          <cell r="F4481"/>
          <cell r="G4481"/>
          <cell r="H4481"/>
          <cell r="I4481"/>
          <cell r="J4481"/>
          <cell r="K4481"/>
          <cell r="L4481"/>
          <cell r="M4481"/>
          <cell r="N4481"/>
          <cell r="O4481"/>
        </row>
        <row r="4482">
          <cell r="A4482"/>
          <cell r="B4482"/>
          <cell r="C4482"/>
          <cell r="D4482"/>
          <cell r="E4482"/>
          <cell r="F4482"/>
          <cell r="G4482"/>
          <cell r="H4482"/>
          <cell r="I4482"/>
          <cell r="J4482"/>
          <cell r="K4482"/>
          <cell r="L4482"/>
          <cell r="M4482"/>
          <cell r="N4482"/>
          <cell r="O4482"/>
        </row>
        <row r="4483">
          <cell r="A4483"/>
          <cell r="B4483"/>
          <cell r="C4483"/>
          <cell r="D4483"/>
          <cell r="E4483"/>
          <cell r="F4483"/>
          <cell r="G4483"/>
          <cell r="H4483"/>
          <cell r="I4483"/>
          <cell r="J4483"/>
          <cell r="K4483"/>
          <cell r="L4483"/>
          <cell r="M4483"/>
          <cell r="N4483"/>
          <cell r="O4483"/>
        </row>
        <row r="4484">
          <cell r="A4484"/>
          <cell r="B4484"/>
          <cell r="C4484"/>
          <cell r="D4484"/>
          <cell r="E4484"/>
          <cell r="F4484"/>
          <cell r="G4484"/>
          <cell r="H4484"/>
          <cell r="I4484"/>
          <cell r="J4484"/>
          <cell r="K4484"/>
          <cell r="L4484"/>
          <cell r="M4484"/>
          <cell r="N4484"/>
          <cell r="O4484"/>
        </row>
        <row r="4485">
          <cell r="A4485"/>
          <cell r="B4485"/>
          <cell r="C4485"/>
          <cell r="D4485"/>
          <cell r="E4485"/>
          <cell r="F4485"/>
          <cell r="G4485"/>
          <cell r="H4485"/>
          <cell r="I4485"/>
          <cell r="J4485"/>
          <cell r="K4485"/>
          <cell r="L4485"/>
          <cell r="M4485"/>
          <cell r="N4485"/>
          <cell r="O4485"/>
        </row>
        <row r="4486">
          <cell r="A4486"/>
          <cell r="B4486"/>
          <cell r="C4486"/>
          <cell r="D4486"/>
          <cell r="E4486"/>
          <cell r="F4486"/>
          <cell r="G4486"/>
          <cell r="H4486"/>
          <cell r="I4486"/>
          <cell r="J4486"/>
          <cell r="K4486"/>
          <cell r="L4486"/>
          <cell r="M4486"/>
          <cell r="N4486"/>
          <cell r="O4486"/>
        </row>
        <row r="4487">
          <cell r="A4487"/>
          <cell r="B4487"/>
          <cell r="C4487"/>
          <cell r="D4487"/>
          <cell r="E4487"/>
          <cell r="F4487"/>
          <cell r="G4487"/>
          <cell r="H4487"/>
          <cell r="I4487"/>
          <cell r="J4487"/>
          <cell r="K4487"/>
          <cell r="L4487"/>
          <cell r="M4487"/>
          <cell r="N4487"/>
          <cell r="O4487"/>
        </row>
        <row r="4488">
          <cell r="A4488"/>
          <cell r="B4488"/>
          <cell r="C4488"/>
          <cell r="D4488"/>
          <cell r="E4488"/>
          <cell r="F4488"/>
          <cell r="G4488"/>
          <cell r="H4488"/>
          <cell r="I4488"/>
          <cell r="J4488"/>
          <cell r="K4488"/>
          <cell r="L4488"/>
          <cell r="M4488"/>
          <cell r="N4488"/>
          <cell r="O4488"/>
        </row>
        <row r="4489">
          <cell r="A4489"/>
          <cell r="B4489"/>
          <cell r="C4489"/>
          <cell r="D4489"/>
          <cell r="E4489"/>
          <cell r="F4489"/>
          <cell r="G4489"/>
          <cell r="H4489"/>
          <cell r="I4489"/>
          <cell r="J4489"/>
          <cell r="K4489"/>
          <cell r="L4489"/>
          <cell r="M4489"/>
          <cell r="N4489"/>
          <cell r="O4489"/>
        </row>
        <row r="4490">
          <cell r="A4490"/>
          <cell r="B4490"/>
          <cell r="C4490"/>
          <cell r="D4490"/>
          <cell r="E4490"/>
          <cell r="F4490"/>
          <cell r="G4490"/>
          <cell r="H4490"/>
          <cell r="I4490"/>
          <cell r="J4490"/>
          <cell r="K4490"/>
          <cell r="L4490"/>
          <cell r="M4490"/>
          <cell r="N4490"/>
          <cell r="O4490"/>
        </row>
        <row r="4491">
          <cell r="A4491"/>
          <cell r="B4491"/>
          <cell r="C4491"/>
          <cell r="D4491"/>
          <cell r="E4491"/>
          <cell r="F4491"/>
          <cell r="G4491"/>
          <cell r="H4491"/>
          <cell r="I4491"/>
          <cell r="J4491"/>
          <cell r="K4491"/>
          <cell r="L4491"/>
          <cell r="M4491"/>
          <cell r="N4491"/>
          <cell r="O4491"/>
        </row>
        <row r="4492">
          <cell r="A4492"/>
          <cell r="B4492"/>
          <cell r="C4492"/>
          <cell r="D4492"/>
          <cell r="E4492"/>
          <cell r="F4492"/>
          <cell r="G4492"/>
          <cell r="H4492"/>
          <cell r="I4492"/>
          <cell r="J4492"/>
          <cell r="K4492"/>
          <cell r="L4492"/>
          <cell r="M4492"/>
          <cell r="N4492"/>
          <cell r="O4492"/>
        </row>
        <row r="4493">
          <cell r="A4493"/>
          <cell r="B4493"/>
          <cell r="C4493"/>
          <cell r="D4493"/>
          <cell r="E4493"/>
          <cell r="F4493"/>
          <cell r="G4493"/>
          <cell r="H4493"/>
          <cell r="I4493"/>
          <cell r="J4493"/>
          <cell r="K4493"/>
          <cell r="L4493"/>
          <cell r="M4493"/>
          <cell r="N4493"/>
          <cell r="O4493"/>
        </row>
        <row r="4494">
          <cell r="A4494"/>
          <cell r="B4494"/>
          <cell r="C4494"/>
          <cell r="D4494"/>
          <cell r="E4494"/>
          <cell r="F4494"/>
          <cell r="G4494"/>
          <cell r="H4494"/>
          <cell r="I4494"/>
          <cell r="J4494"/>
          <cell r="K4494"/>
          <cell r="L4494"/>
          <cell r="M4494"/>
          <cell r="N4494"/>
          <cell r="O4494"/>
        </row>
        <row r="4495">
          <cell r="A4495"/>
          <cell r="B4495"/>
          <cell r="C4495"/>
          <cell r="D4495"/>
          <cell r="E4495"/>
          <cell r="F4495"/>
          <cell r="G4495"/>
          <cell r="H4495"/>
          <cell r="I4495"/>
          <cell r="J4495"/>
          <cell r="K4495"/>
          <cell r="L4495"/>
          <cell r="M4495"/>
          <cell r="N4495"/>
          <cell r="O4495"/>
        </row>
        <row r="4496">
          <cell r="A4496"/>
          <cell r="B4496"/>
          <cell r="C4496"/>
          <cell r="D4496"/>
          <cell r="E4496"/>
          <cell r="F4496"/>
          <cell r="G4496"/>
          <cell r="H4496"/>
          <cell r="I4496"/>
          <cell r="J4496"/>
          <cell r="K4496"/>
          <cell r="L4496"/>
          <cell r="M4496"/>
          <cell r="N4496"/>
          <cell r="O4496"/>
        </row>
        <row r="4497">
          <cell r="A4497"/>
          <cell r="B4497"/>
          <cell r="C4497"/>
          <cell r="D4497"/>
          <cell r="E4497"/>
          <cell r="F4497"/>
          <cell r="G4497"/>
          <cell r="H4497"/>
          <cell r="I4497"/>
          <cell r="J4497"/>
          <cell r="K4497"/>
          <cell r="L4497"/>
          <cell r="M4497"/>
          <cell r="N4497"/>
          <cell r="O4497"/>
        </row>
        <row r="4498">
          <cell r="A4498"/>
          <cell r="B4498"/>
          <cell r="C4498"/>
          <cell r="D4498"/>
          <cell r="E4498"/>
          <cell r="F4498"/>
          <cell r="G4498"/>
          <cell r="H4498"/>
          <cell r="I4498"/>
          <cell r="J4498"/>
          <cell r="K4498"/>
          <cell r="L4498"/>
          <cell r="M4498"/>
          <cell r="N4498"/>
          <cell r="O4498"/>
        </row>
        <row r="4499">
          <cell r="A4499"/>
          <cell r="B4499"/>
          <cell r="C4499"/>
          <cell r="D4499"/>
          <cell r="E4499"/>
          <cell r="F4499"/>
          <cell r="G4499"/>
          <cell r="H4499"/>
          <cell r="I4499"/>
          <cell r="J4499"/>
          <cell r="K4499"/>
          <cell r="L4499"/>
          <cell r="M4499"/>
          <cell r="N4499"/>
          <cell r="O4499"/>
        </row>
        <row r="4500">
          <cell r="A4500"/>
          <cell r="B4500"/>
          <cell r="C4500"/>
          <cell r="D4500"/>
          <cell r="E4500"/>
          <cell r="F4500"/>
          <cell r="G4500"/>
          <cell r="H4500"/>
          <cell r="I4500"/>
          <cell r="J4500"/>
          <cell r="K4500"/>
          <cell r="L4500"/>
          <cell r="M4500"/>
          <cell r="N4500"/>
          <cell r="O4500"/>
        </row>
        <row r="4501">
          <cell r="A4501"/>
          <cell r="B4501"/>
          <cell r="C4501"/>
          <cell r="D4501"/>
          <cell r="E4501"/>
          <cell r="F4501"/>
          <cell r="G4501"/>
          <cell r="H4501"/>
          <cell r="I4501"/>
          <cell r="J4501"/>
          <cell r="K4501"/>
          <cell r="L4501"/>
          <cell r="M4501"/>
          <cell r="N4501"/>
          <cell r="O4501"/>
        </row>
        <row r="4502">
          <cell r="A4502"/>
          <cell r="B4502"/>
          <cell r="C4502"/>
          <cell r="D4502"/>
          <cell r="E4502"/>
          <cell r="F4502"/>
          <cell r="G4502"/>
          <cell r="H4502"/>
          <cell r="I4502"/>
          <cell r="J4502"/>
          <cell r="K4502"/>
          <cell r="L4502"/>
          <cell r="M4502"/>
          <cell r="N4502"/>
          <cell r="O4502"/>
        </row>
        <row r="4503">
          <cell r="A4503"/>
          <cell r="B4503"/>
          <cell r="C4503"/>
          <cell r="D4503"/>
          <cell r="E4503"/>
          <cell r="F4503"/>
          <cell r="G4503"/>
          <cell r="H4503"/>
          <cell r="I4503"/>
          <cell r="J4503"/>
          <cell r="K4503"/>
          <cell r="L4503"/>
          <cell r="M4503"/>
          <cell r="N4503"/>
          <cell r="O4503"/>
        </row>
        <row r="4504">
          <cell r="A4504"/>
          <cell r="B4504"/>
          <cell r="C4504"/>
          <cell r="D4504"/>
          <cell r="E4504"/>
          <cell r="F4504"/>
          <cell r="G4504"/>
          <cell r="H4504"/>
          <cell r="I4504"/>
          <cell r="J4504"/>
          <cell r="K4504"/>
          <cell r="L4504"/>
          <cell r="M4504"/>
          <cell r="N4504"/>
          <cell r="O4504"/>
        </row>
        <row r="4505">
          <cell r="A4505"/>
          <cell r="B4505"/>
          <cell r="C4505"/>
          <cell r="D4505"/>
          <cell r="E4505"/>
          <cell r="F4505"/>
          <cell r="G4505"/>
          <cell r="H4505"/>
          <cell r="I4505"/>
          <cell r="J4505"/>
          <cell r="K4505"/>
          <cell r="L4505"/>
          <cell r="M4505"/>
          <cell r="N4505"/>
          <cell r="O4505"/>
        </row>
        <row r="4506">
          <cell r="A4506"/>
          <cell r="B4506"/>
          <cell r="C4506"/>
          <cell r="D4506"/>
          <cell r="E4506"/>
          <cell r="F4506"/>
          <cell r="G4506"/>
          <cell r="H4506"/>
          <cell r="I4506"/>
          <cell r="J4506"/>
          <cell r="K4506"/>
          <cell r="L4506"/>
          <cell r="M4506"/>
          <cell r="N4506"/>
          <cell r="O4506"/>
        </row>
        <row r="4507">
          <cell r="A4507"/>
          <cell r="B4507"/>
          <cell r="C4507"/>
          <cell r="D4507"/>
          <cell r="E4507"/>
          <cell r="F4507"/>
          <cell r="G4507"/>
          <cell r="H4507"/>
          <cell r="I4507"/>
          <cell r="J4507"/>
          <cell r="K4507"/>
          <cell r="L4507"/>
          <cell r="M4507"/>
          <cell r="N4507"/>
          <cell r="O4507"/>
        </row>
        <row r="4508">
          <cell r="A4508"/>
          <cell r="B4508"/>
          <cell r="C4508"/>
          <cell r="D4508"/>
          <cell r="E4508"/>
          <cell r="F4508"/>
          <cell r="G4508"/>
          <cell r="H4508"/>
          <cell r="I4508"/>
          <cell r="J4508"/>
          <cell r="K4508"/>
          <cell r="L4508"/>
          <cell r="M4508"/>
          <cell r="N4508"/>
          <cell r="O4508"/>
        </row>
        <row r="4509">
          <cell r="A4509"/>
          <cell r="B4509"/>
          <cell r="C4509"/>
          <cell r="D4509"/>
          <cell r="E4509"/>
          <cell r="F4509"/>
          <cell r="G4509"/>
          <cell r="H4509"/>
          <cell r="I4509"/>
          <cell r="J4509"/>
          <cell r="K4509"/>
          <cell r="L4509"/>
          <cell r="M4509"/>
          <cell r="N4509"/>
          <cell r="O4509"/>
        </row>
        <row r="4510">
          <cell r="A4510"/>
          <cell r="B4510"/>
          <cell r="C4510"/>
          <cell r="D4510"/>
          <cell r="E4510"/>
          <cell r="F4510"/>
          <cell r="G4510"/>
          <cell r="H4510"/>
          <cell r="I4510"/>
          <cell r="J4510"/>
          <cell r="K4510"/>
          <cell r="L4510"/>
          <cell r="M4510"/>
          <cell r="N4510"/>
          <cell r="O4510"/>
        </row>
        <row r="4511">
          <cell r="A4511"/>
          <cell r="B4511"/>
          <cell r="C4511"/>
          <cell r="D4511"/>
          <cell r="E4511"/>
          <cell r="F4511"/>
          <cell r="G4511"/>
          <cell r="H4511"/>
          <cell r="I4511"/>
          <cell r="J4511"/>
          <cell r="K4511"/>
          <cell r="L4511"/>
          <cell r="M4511"/>
          <cell r="N4511"/>
          <cell r="O4511"/>
        </row>
        <row r="4512">
          <cell r="A4512"/>
          <cell r="B4512"/>
          <cell r="C4512"/>
          <cell r="D4512"/>
          <cell r="E4512"/>
          <cell r="F4512"/>
          <cell r="G4512"/>
          <cell r="H4512"/>
          <cell r="I4512"/>
          <cell r="J4512"/>
          <cell r="K4512"/>
          <cell r="L4512"/>
          <cell r="M4512"/>
          <cell r="N4512"/>
          <cell r="O4512"/>
        </row>
        <row r="4513">
          <cell r="A4513"/>
          <cell r="B4513"/>
          <cell r="C4513"/>
          <cell r="D4513"/>
          <cell r="E4513"/>
          <cell r="F4513"/>
          <cell r="G4513"/>
          <cell r="H4513"/>
          <cell r="I4513"/>
          <cell r="J4513"/>
          <cell r="K4513"/>
          <cell r="L4513"/>
          <cell r="M4513"/>
          <cell r="N4513"/>
          <cell r="O4513"/>
        </row>
        <row r="4514">
          <cell r="A4514"/>
          <cell r="B4514"/>
          <cell r="C4514"/>
          <cell r="D4514"/>
          <cell r="E4514"/>
          <cell r="F4514"/>
          <cell r="G4514"/>
          <cell r="H4514"/>
          <cell r="I4514"/>
          <cell r="J4514"/>
          <cell r="K4514"/>
          <cell r="L4514"/>
          <cell r="M4514"/>
          <cell r="N4514"/>
          <cell r="O4514"/>
        </row>
        <row r="4515">
          <cell r="A4515"/>
          <cell r="B4515"/>
          <cell r="C4515"/>
          <cell r="D4515"/>
          <cell r="E4515"/>
          <cell r="F4515"/>
          <cell r="G4515"/>
          <cell r="H4515"/>
          <cell r="I4515"/>
          <cell r="J4515"/>
          <cell r="K4515"/>
          <cell r="L4515"/>
          <cell r="M4515"/>
          <cell r="N4515"/>
          <cell r="O4515"/>
        </row>
        <row r="4516">
          <cell r="A4516"/>
          <cell r="B4516"/>
          <cell r="C4516"/>
          <cell r="D4516"/>
          <cell r="E4516"/>
          <cell r="F4516"/>
          <cell r="G4516"/>
          <cell r="H4516"/>
          <cell r="I4516"/>
          <cell r="J4516"/>
          <cell r="K4516"/>
          <cell r="L4516"/>
          <cell r="M4516"/>
          <cell r="N4516"/>
          <cell r="O4516"/>
        </row>
        <row r="4517">
          <cell r="A4517"/>
          <cell r="B4517"/>
          <cell r="C4517"/>
          <cell r="D4517"/>
          <cell r="E4517"/>
          <cell r="F4517"/>
          <cell r="G4517"/>
          <cell r="H4517"/>
          <cell r="I4517"/>
          <cell r="J4517"/>
          <cell r="K4517"/>
          <cell r="L4517"/>
          <cell r="M4517"/>
          <cell r="N4517"/>
          <cell r="O4517"/>
        </row>
        <row r="4518">
          <cell r="A4518"/>
          <cell r="B4518"/>
          <cell r="C4518"/>
          <cell r="D4518"/>
          <cell r="E4518"/>
          <cell r="F4518"/>
          <cell r="G4518"/>
          <cell r="H4518"/>
          <cell r="I4518"/>
          <cell r="J4518"/>
          <cell r="K4518"/>
          <cell r="L4518"/>
          <cell r="M4518"/>
          <cell r="N4518"/>
          <cell r="O4518"/>
        </row>
        <row r="4519">
          <cell r="A4519"/>
          <cell r="B4519"/>
          <cell r="C4519"/>
          <cell r="D4519"/>
          <cell r="E4519"/>
          <cell r="F4519"/>
          <cell r="G4519"/>
          <cell r="H4519"/>
          <cell r="I4519"/>
          <cell r="J4519"/>
          <cell r="K4519"/>
          <cell r="L4519"/>
          <cell r="M4519"/>
          <cell r="N4519"/>
          <cell r="O4519"/>
        </row>
        <row r="4520">
          <cell r="A4520"/>
          <cell r="B4520"/>
          <cell r="C4520"/>
          <cell r="D4520"/>
          <cell r="E4520"/>
          <cell r="F4520"/>
          <cell r="G4520"/>
          <cell r="H4520"/>
          <cell r="I4520"/>
          <cell r="J4520"/>
          <cell r="K4520"/>
          <cell r="L4520"/>
          <cell r="M4520"/>
          <cell r="N4520"/>
          <cell r="O4520"/>
        </row>
        <row r="4521">
          <cell r="A4521"/>
          <cell r="B4521"/>
          <cell r="C4521"/>
          <cell r="D4521"/>
          <cell r="E4521"/>
          <cell r="F4521"/>
          <cell r="G4521"/>
          <cell r="H4521"/>
          <cell r="I4521"/>
          <cell r="J4521"/>
          <cell r="K4521"/>
          <cell r="L4521"/>
          <cell r="M4521"/>
          <cell r="N4521"/>
          <cell r="O4521"/>
        </row>
        <row r="4522">
          <cell r="A4522"/>
          <cell r="B4522"/>
          <cell r="C4522"/>
          <cell r="D4522"/>
          <cell r="E4522"/>
          <cell r="F4522"/>
          <cell r="G4522"/>
          <cell r="H4522"/>
          <cell r="I4522"/>
          <cell r="J4522"/>
          <cell r="K4522"/>
          <cell r="L4522"/>
          <cell r="M4522"/>
          <cell r="N4522"/>
          <cell r="O4522"/>
        </row>
        <row r="4523">
          <cell r="A4523"/>
          <cell r="B4523"/>
          <cell r="C4523"/>
          <cell r="D4523"/>
          <cell r="E4523"/>
          <cell r="F4523"/>
          <cell r="G4523"/>
          <cell r="H4523"/>
          <cell r="I4523"/>
          <cell r="J4523"/>
          <cell r="K4523"/>
          <cell r="L4523"/>
          <cell r="M4523"/>
          <cell r="N4523"/>
          <cell r="O4523"/>
        </row>
        <row r="4524">
          <cell r="A4524"/>
          <cell r="B4524"/>
          <cell r="C4524"/>
          <cell r="D4524"/>
          <cell r="E4524"/>
          <cell r="F4524"/>
          <cell r="G4524"/>
          <cell r="H4524"/>
          <cell r="I4524"/>
          <cell r="J4524"/>
          <cell r="K4524"/>
          <cell r="L4524"/>
          <cell r="M4524"/>
          <cell r="N4524"/>
          <cell r="O4524"/>
        </row>
        <row r="4525">
          <cell r="A4525"/>
          <cell r="B4525"/>
          <cell r="C4525"/>
          <cell r="D4525"/>
          <cell r="E4525"/>
          <cell r="F4525"/>
          <cell r="G4525"/>
          <cell r="H4525"/>
          <cell r="I4525"/>
          <cell r="J4525"/>
          <cell r="K4525"/>
          <cell r="L4525"/>
          <cell r="M4525"/>
          <cell r="N4525"/>
          <cell r="O4525"/>
        </row>
        <row r="4526">
          <cell r="A4526"/>
          <cell r="B4526"/>
          <cell r="C4526"/>
          <cell r="D4526"/>
          <cell r="E4526"/>
          <cell r="F4526"/>
          <cell r="G4526"/>
          <cell r="H4526"/>
          <cell r="I4526"/>
          <cell r="J4526"/>
          <cell r="K4526"/>
          <cell r="L4526"/>
          <cell r="M4526"/>
          <cell r="N4526"/>
          <cell r="O4526"/>
        </row>
        <row r="4527">
          <cell r="A4527"/>
          <cell r="B4527"/>
          <cell r="C4527"/>
          <cell r="D4527"/>
          <cell r="E4527"/>
          <cell r="F4527"/>
          <cell r="G4527"/>
          <cell r="H4527"/>
          <cell r="I4527"/>
          <cell r="J4527"/>
          <cell r="K4527"/>
          <cell r="L4527"/>
          <cell r="M4527"/>
          <cell r="N4527"/>
          <cell r="O4527"/>
        </row>
        <row r="4528">
          <cell r="A4528"/>
          <cell r="B4528"/>
          <cell r="C4528"/>
          <cell r="D4528"/>
          <cell r="E4528"/>
          <cell r="F4528"/>
          <cell r="G4528"/>
          <cell r="H4528"/>
          <cell r="I4528"/>
          <cell r="J4528"/>
          <cell r="K4528"/>
          <cell r="L4528"/>
          <cell r="M4528"/>
          <cell r="N4528"/>
          <cell r="O4528"/>
        </row>
        <row r="4529">
          <cell r="A4529"/>
          <cell r="B4529"/>
          <cell r="C4529"/>
          <cell r="D4529"/>
          <cell r="E4529"/>
          <cell r="F4529"/>
          <cell r="G4529"/>
          <cell r="H4529"/>
          <cell r="I4529"/>
          <cell r="J4529"/>
          <cell r="K4529"/>
          <cell r="L4529"/>
          <cell r="M4529"/>
          <cell r="N4529"/>
          <cell r="O4529"/>
        </row>
        <row r="4530">
          <cell r="A4530"/>
          <cell r="B4530"/>
          <cell r="C4530"/>
          <cell r="D4530"/>
          <cell r="E4530"/>
          <cell r="F4530"/>
          <cell r="G4530"/>
          <cell r="H4530"/>
          <cell r="I4530"/>
          <cell r="J4530"/>
          <cell r="K4530"/>
          <cell r="L4530"/>
          <cell r="M4530"/>
          <cell r="N4530"/>
          <cell r="O4530"/>
        </row>
        <row r="4531">
          <cell r="A4531"/>
          <cell r="B4531"/>
          <cell r="C4531"/>
          <cell r="D4531"/>
          <cell r="E4531"/>
          <cell r="F4531"/>
          <cell r="G4531"/>
          <cell r="H4531"/>
          <cell r="I4531"/>
          <cell r="J4531"/>
          <cell r="K4531"/>
          <cell r="L4531"/>
          <cell r="M4531"/>
          <cell r="N4531"/>
          <cell r="O4531"/>
        </row>
        <row r="4532">
          <cell r="A4532"/>
          <cell r="B4532"/>
          <cell r="C4532"/>
          <cell r="D4532"/>
          <cell r="E4532"/>
          <cell r="F4532"/>
          <cell r="G4532"/>
          <cell r="H4532"/>
          <cell r="I4532"/>
          <cell r="J4532"/>
          <cell r="K4532"/>
          <cell r="L4532"/>
          <cell r="M4532"/>
          <cell r="N4532"/>
          <cell r="O4532"/>
        </row>
        <row r="4533">
          <cell r="A4533"/>
          <cell r="B4533"/>
          <cell r="C4533"/>
          <cell r="D4533"/>
          <cell r="E4533"/>
          <cell r="F4533"/>
          <cell r="G4533"/>
          <cell r="H4533"/>
          <cell r="I4533"/>
          <cell r="J4533"/>
          <cell r="K4533"/>
          <cell r="L4533"/>
          <cell r="M4533"/>
          <cell r="N4533"/>
          <cell r="O4533"/>
        </row>
        <row r="4534">
          <cell r="A4534"/>
          <cell r="B4534"/>
          <cell r="C4534"/>
          <cell r="D4534"/>
          <cell r="E4534"/>
          <cell r="F4534"/>
          <cell r="G4534"/>
          <cell r="H4534"/>
          <cell r="I4534"/>
          <cell r="J4534"/>
          <cell r="K4534"/>
          <cell r="L4534"/>
          <cell r="M4534"/>
          <cell r="N4534"/>
          <cell r="O4534"/>
        </row>
        <row r="4535">
          <cell r="A4535"/>
          <cell r="B4535"/>
          <cell r="C4535"/>
          <cell r="D4535"/>
          <cell r="E4535"/>
          <cell r="F4535"/>
          <cell r="G4535"/>
          <cell r="H4535"/>
          <cell r="I4535"/>
          <cell r="J4535"/>
          <cell r="K4535"/>
          <cell r="L4535"/>
          <cell r="M4535"/>
          <cell r="N4535"/>
          <cell r="O4535"/>
        </row>
        <row r="4536">
          <cell r="A4536"/>
          <cell r="B4536"/>
          <cell r="C4536"/>
          <cell r="D4536"/>
          <cell r="E4536"/>
          <cell r="F4536"/>
          <cell r="G4536"/>
          <cell r="H4536"/>
          <cell r="I4536"/>
          <cell r="J4536"/>
          <cell r="K4536"/>
          <cell r="L4536"/>
          <cell r="M4536"/>
          <cell r="N4536"/>
          <cell r="O4536"/>
        </row>
        <row r="4537">
          <cell r="A4537"/>
          <cell r="B4537"/>
          <cell r="C4537"/>
          <cell r="D4537"/>
          <cell r="E4537"/>
          <cell r="F4537"/>
          <cell r="G4537"/>
          <cell r="H4537"/>
          <cell r="I4537"/>
          <cell r="J4537"/>
          <cell r="K4537"/>
          <cell r="L4537"/>
          <cell r="M4537"/>
          <cell r="N4537"/>
          <cell r="O4537"/>
        </row>
        <row r="4538">
          <cell r="A4538"/>
          <cell r="B4538"/>
          <cell r="C4538"/>
          <cell r="D4538"/>
          <cell r="E4538"/>
          <cell r="F4538"/>
          <cell r="G4538"/>
          <cell r="H4538"/>
          <cell r="I4538"/>
          <cell r="J4538"/>
          <cell r="K4538"/>
          <cell r="L4538"/>
          <cell r="M4538"/>
          <cell r="N4538"/>
          <cell r="O4538"/>
        </row>
        <row r="4539">
          <cell r="A4539"/>
          <cell r="B4539"/>
          <cell r="C4539"/>
          <cell r="D4539"/>
          <cell r="E4539"/>
          <cell r="F4539"/>
          <cell r="G4539"/>
          <cell r="H4539"/>
          <cell r="I4539"/>
          <cell r="J4539"/>
          <cell r="K4539"/>
          <cell r="L4539"/>
          <cell r="M4539"/>
          <cell r="N4539"/>
          <cell r="O4539"/>
        </row>
        <row r="4540">
          <cell r="A4540"/>
          <cell r="B4540"/>
          <cell r="C4540"/>
          <cell r="D4540"/>
          <cell r="E4540"/>
          <cell r="F4540"/>
          <cell r="G4540"/>
          <cell r="H4540"/>
          <cell r="I4540"/>
          <cell r="J4540"/>
          <cell r="K4540"/>
          <cell r="L4540"/>
          <cell r="M4540"/>
          <cell r="N4540"/>
          <cell r="O4540"/>
        </row>
        <row r="4541">
          <cell r="A4541"/>
          <cell r="B4541"/>
          <cell r="C4541"/>
          <cell r="D4541"/>
          <cell r="E4541"/>
          <cell r="F4541"/>
          <cell r="G4541"/>
          <cell r="H4541"/>
          <cell r="I4541"/>
          <cell r="J4541"/>
          <cell r="K4541"/>
          <cell r="L4541"/>
          <cell r="M4541"/>
          <cell r="N4541"/>
          <cell r="O4541"/>
        </row>
        <row r="4542">
          <cell r="A4542"/>
          <cell r="B4542"/>
          <cell r="C4542"/>
          <cell r="D4542"/>
          <cell r="E4542"/>
          <cell r="F4542"/>
          <cell r="G4542"/>
          <cell r="H4542"/>
          <cell r="I4542"/>
          <cell r="J4542"/>
          <cell r="K4542"/>
          <cell r="L4542"/>
          <cell r="M4542"/>
          <cell r="N4542"/>
          <cell r="O4542"/>
        </row>
        <row r="4543">
          <cell r="A4543"/>
          <cell r="B4543"/>
          <cell r="C4543"/>
          <cell r="D4543"/>
          <cell r="E4543"/>
          <cell r="F4543"/>
          <cell r="G4543"/>
          <cell r="H4543"/>
          <cell r="I4543"/>
          <cell r="J4543"/>
          <cell r="K4543"/>
          <cell r="L4543"/>
          <cell r="M4543"/>
          <cell r="N4543"/>
          <cell r="O4543"/>
        </row>
        <row r="4544">
          <cell r="A4544"/>
          <cell r="B4544"/>
          <cell r="C4544"/>
          <cell r="D4544"/>
          <cell r="E4544"/>
          <cell r="F4544"/>
          <cell r="G4544"/>
          <cell r="H4544"/>
          <cell r="I4544"/>
          <cell r="J4544"/>
          <cell r="K4544"/>
          <cell r="L4544"/>
          <cell r="M4544"/>
          <cell r="N4544"/>
          <cell r="O4544"/>
        </row>
        <row r="4545">
          <cell r="A4545"/>
          <cell r="B4545"/>
          <cell r="C4545"/>
          <cell r="D4545"/>
          <cell r="E4545"/>
          <cell r="F4545"/>
          <cell r="G4545"/>
          <cell r="H4545"/>
          <cell r="I4545"/>
          <cell r="J4545"/>
          <cell r="K4545"/>
          <cell r="L4545"/>
          <cell r="M4545"/>
          <cell r="N4545"/>
          <cell r="O4545"/>
        </row>
        <row r="4546">
          <cell r="A4546"/>
          <cell r="B4546"/>
          <cell r="C4546"/>
          <cell r="D4546"/>
          <cell r="E4546"/>
          <cell r="F4546"/>
          <cell r="G4546"/>
          <cell r="H4546"/>
          <cell r="I4546"/>
          <cell r="J4546"/>
          <cell r="K4546"/>
          <cell r="L4546"/>
          <cell r="M4546"/>
          <cell r="N4546"/>
          <cell r="O4546"/>
        </row>
        <row r="4547">
          <cell r="A4547"/>
          <cell r="B4547"/>
          <cell r="C4547"/>
          <cell r="D4547"/>
          <cell r="E4547"/>
          <cell r="F4547"/>
          <cell r="G4547"/>
          <cell r="H4547"/>
          <cell r="I4547"/>
          <cell r="J4547"/>
          <cell r="K4547"/>
          <cell r="L4547"/>
          <cell r="M4547"/>
          <cell r="N4547"/>
          <cell r="O4547"/>
        </row>
        <row r="4548">
          <cell r="A4548"/>
          <cell r="B4548"/>
          <cell r="C4548"/>
          <cell r="D4548"/>
          <cell r="E4548"/>
          <cell r="F4548"/>
          <cell r="G4548"/>
          <cell r="H4548"/>
          <cell r="I4548"/>
          <cell r="J4548"/>
          <cell r="K4548"/>
          <cell r="L4548"/>
          <cell r="M4548"/>
          <cell r="N4548"/>
          <cell r="O4548"/>
        </row>
        <row r="4549">
          <cell r="A4549"/>
          <cell r="B4549"/>
          <cell r="C4549"/>
          <cell r="D4549"/>
          <cell r="E4549"/>
          <cell r="F4549"/>
          <cell r="G4549"/>
          <cell r="H4549"/>
          <cell r="I4549"/>
          <cell r="J4549"/>
          <cell r="K4549"/>
          <cell r="L4549"/>
          <cell r="M4549"/>
          <cell r="N4549"/>
          <cell r="O4549"/>
        </row>
        <row r="4550">
          <cell r="A4550"/>
          <cell r="B4550"/>
          <cell r="C4550"/>
          <cell r="D4550"/>
          <cell r="E4550"/>
          <cell r="F4550"/>
          <cell r="G4550"/>
          <cell r="H4550"/>
          <cell r="I4550"/>
          <cell r="J4550"/>
          <cell r="K4550"/>
          <cell r="L4550"/>
          <cell r="M4550"/>
          <cell r="N4550"/>
          <cell r="O4550"/>
        </row>
        <row r="4551">
          <cell r="A4551"/>
          <cell r="B4551"/>
          <cell r="C4551"/>
          <cell r="D4551"/>
          <cell r="E4551"/>
          <cell r="F4551"/>
          <cell r="G4551"/>
          <cell r="H4551"/>
          <cell r="I4551"/>
          <cell r="J4551"/>
          <cell r="K4551"/>
          <cell r="L4551"/>
          <cell r="M4551"/>
          <cell r="N4551"/>
          <cell r="O4551"/>
        </row>
        <row r="4552">
          <cell r="A4552"/>
          <cell r="B4552"/>
          <cell r="C4552"/>
          <cell r="D4552"/>
          <cell r="E4552"/>
          <cell r="F4552"/>
          <cell r="G4552"/>
          <cell r="H4552"/>
          <cell r="I4552"/>
          <cell r="J4552"/>
          <cell r="K4552"/>
          <cell r="L4552"/>
          <cell r="M4552"/>
          <cell r="N4552"/>
          <cell r="O4552"/>
        </row>
        <row r="4553">
          <cell r="A4553"/>
          <cell r="B4553"/>
          <cell r="C4553"/>
          <cell r="D4553"/>
          <cell r="E4553"/>
          <cell r="F4553"/>
          <cell r="G4553"/>
          <cell r="H4553"/>
          <cell r="I4553"/>
          <cell r="J4553"/>
          <cell r="K4553"/>
          <cell r="L4553"/>
          <cell r="M4553"/>
          <cell r="N4553"/>
          <cell r="O4553"/>
        </row>
        <row r="4554">
          <cell r="A4554"/>
          <cell r="B4554"/>
          <cell r="C4554"/>
          <cell r="D4554"/>
          <cell r="E4554"/>
          <cell r="F4554"/>
          <cell r="G4554"/>
          <cell r="H4554"/>
          <cell r="I4554"/>
          <cell r="J4554"/>
          <cell r="K4554"/>
          <cell r="L4554"/>
          <cell r="M4554"/>
          <cell r="N4554"/>
          <cell r="O4554"/>
        </row>
        <row r="4555">
          <cell r="A4555"/>
          <cell r="B4555"/>
          <cell r="C4555"/>
          <cell r="D4555"/>
          <cell r="E4555"/>
          <cell r="F4555"/>
          <cell r="G4555"/>
          <cell r="H4555"/>
          <cell r="I4555"/>
          <cell r="J4555"/>
          <cell r="K4555"/>
          <cell r="L4555"/>
          <cell r="M4555"/>
          <cell r="N4555"/>
          <cell r="O4555"/>
        </row>
        <row r="4556">
          <cell r="A4556"/>
          <cell r="B4556"/>
          <cell r="C4556"/>
          <cell r="D4556"/>
          <cell r="E4556"/>
          <cell r="F4556"/>
          <cell r="G4556"/>
          <cell r="H4556"/>
          <cell r="I4556"/>
          <cell r="J4556"/>
          <cell r="K4556"/>
          <cell r="L4556"/>
          <cell r="M4556"/>
          <cell r="N4556"/>
          <cell r="O4556"/>
        </row>
        <row r="4557">
          <cell r="A4557"/>
          <cell r="B4557"/>
          <cell r="C4557"/>
          <cell r="D4557"/>
          <cell r="E4557"/>
          <cell r="F4557"/>
          <cell r="G4557"/>
          <cell r="H4557"/>
          <cell r="I4557"/>
          <cell r="J4557"/>
          <cell r="K4557"/>
          <cell r="L4557"/>
          <cell r="M4557"/>
          <cell r="N4557"/>
          <cell r="O4557"/>
        </row>
        <row r="4558">
          <cell r="A4558"/>
          <cell r="B4558"/>
          <cell r="C4558"/>
          <cell r="D4558"/>
          <cell r="E4558"/>
          <cell r="F4558"/>
          <cell r="G4558"/>
          <cell r="H4558"/>
          <cell r="I4558"/>
          <cell r="J4558"/>
          <cell r="K4558"/>
          <cell r="L4558"/>
          <cell r="M4558"/>
          <cell r="N4558"/>
          <cell r="O4558"/>
        </row>
        <row r="4559">
          <cell r="A4559"/>
          <cell r="B4559"/>
          <cell r="C4559"/>
          <cell r="D4559"/>
          <cell r="E4559"/>
          <cell r="F4559"/>
          <cell r="G4559"/>
          <cell r="H4559"/>
          <cell r="I4559"/>
          <cell r="J4559"/>
          <cell r="K4559"/>
          <cell r="L4559"/>
          <cell r="M4559"/>
          <cell r="N4559"/>
          <cell r="O4559"/>
        </row>
        <row r="4560">
          <cell r="A4560"/>
          <cell r="B4560"/>
          <cell r="C4560"/>
          <cell r="D4560"/>
          <cell r="E4560"/>
          <cell r="F4560"/>
          <cell r="G4560"/>
          <cell r="H4560"/>
          <cell r="I4560"/>
          <cell r="J4560"/>
          <cell r="K4560"/>
          <cell r="L4560"/>
          <cell r="M4560"/>
          <cell r="N4560"/>
          <cell r="O4560"/>
        </row>
        <row r="4561">
          <cell r="A4561"/>
          <cell r="B4561"/>
          <cell r="C4561"/>
          <cell r="D4561"/>
          <cell r="E4561"/>
          <cell r="F4561"/>
          <cell r="G4561"/>
          <cell r="H4561"/>
          <cell r="I4561"/>
          <cell r="J4561"/>
          <cell r="K4561"/>
          <cell r="L4561"/>
          <cell r="M4561"/>
          <cell r="N4561"/>
          <cell r="O4561"/>
        </row>
        <row r="4562">
          <cell r="A4562"/>
          <cell r="B4562"/>
          <cell r="C4562"/>
          <cell r="D4562"/>
          <cell r="E4562"/>
          <cell r="F4562"/>
          <cell r="G4562"/>
          <cell r="H4562"/>
          <cell r="I4562"/>
          <cell r="J4562"/>
          <cell r="K4562"/>
          <cell r="L4562"/>
          <cell r="M4562"/>
          <cell r="N4562"/>
          <cell r="O4562"/>
        </row>
        <row r="4563">
          <cell r="A4563"/>
          <cell r="B4563"/>
          <cell r="C4563"/>
          <cell r="D4563"/>
          <cell r="E4563"/>
          <cell r="F4563"/>
          <cell r="G4563"/>
          <cell r="H4563"/>
          <cell r="I4563"/>
          <cell r="J4563"/>
          <cell r="K4563"/>
          <cell r="L4563"/>
          <cell r="M4563"/>
          <cell r="N4563"/>
          <cell r="O4563"/>
        </row>
        <row r="4564">
          <cell r="A4564"/>
          <cell r="B4564"/>
          <cell r="C4564"/>
          <cell r="D4564"/>
          <cell r="E4564"/>
          <cell r="F4564"/>
          <cell r="G4564"/>
          <cell r="H4564"/>
          <cell r="I4564"/>
          <cell r="J4564"/>
          <cell r="K4564"/>
          <cell r="L4564"/>
          <cell r="M4564"/>
          <cell r="N4564"/>
          <cell r="O4564"/>
        </row>
        <row r="4565">
          <cell r="A4565"/>
          <cell r="B4565"/>
          <cell r="C4565"/>
          <cell r="D4565"/>
          <cell r="E4565"/>
          <cell r="F4565"/>
          <cell r="G4565"/>
          <cell r="H4565"/>
          <cell r="I4565"/>
          <cell r="J4565"/>
          <cell r="K4565"/>
          <cell r="L4565"/>
          <cell r="M4565"/>
          <cell r="N4565"/>
          <cell r="O4565"/>
        </row>
        <row r="4566">
          <cell r="A4566"/>
          <cell r="B4566"/>
          <cell r="C4566"/>
          <cell r="D4566"/>
          <cell r="E4566"/>
          <cell r="F4566"/>
          <cell r="G4566"/>
          <cell r="H4566"/>
          <cell r="I4566"/>
          <cell r="J4566"/>
          <cell r="K4566"/>
          <cell r="L4566"/>
          <cell r="M4566"/>
          <cell r="N4566"/>
          <cell r="O4566"/>
        </row>
        <row r="4567">
          <cell r="A4567"/>
          <cell r="B4567"/>
          <cell r="C4567"/>
          <cell r="D4567"/>
          <cell r="E4567"/>
          <cell r="F4567"/>
          <cell r="G4567"/>
          <cell r="H4567"/>
          <cell r="I4567"/>
          <cell r="J4567"/>
          <cell r="K4567"/>
          <cell r="L4567"/>
          <cell r="M4567"/>
          <cell r="N4567"/>
          <cell r="O4567"/>
        </row>
        <row r="4568">
          <cell r="A4568"/>
          <cell r="B4568"/>
          <cell r="C4568"/>
          <cell r="D4568"/>
          <cell r="E4568"/>
          <cell r="F4568"/>
          <cell r="G4568"/>
          <cell r="H4568"/>
          <cell r="I4568"/>
          <cell r="J4568"/>
          <cell r="K4568"/>
          <cell r="L4568"/>
          <cell r="M4568"/>
          <cell r="N4568"/>
          <cell r="O4568"/>
        </row>
        <row r="4569">
          <cell r="A4569"/>
          <cell r="B4569"/>
          <cell r="C4569"/>
          <cell r="D4569"/>
          <cell r="E4569"/>
          <cell r="F4569"/>
          <cell r="G4569"/>
          <cell r="H4569"/>
          <cell r="I4569"/>
          <cell r="J4569"/>
          <cell r="K4569"/>
          <cell r="L4569"/>
          <cell r="M4569"/>
          <cell r="N4569"/>
          <cell r="O4569"/>
        </row>
        <row r="4570">
          <cell r="A4570"/>
          <cell r="B4570"/>
          <cell r="C4570"/>
          <cell r="D4570"/>
          <cell r="E4570"/>
          <cell r="F4570"/>
          <cell r="G4570"/>
          <cell r="H4570"/>
          <cell r="I4570"/>
          <cell r="J4570"/>
          <cell r="K4570"/>
          <cell r="L4570"/>
          <cell r="M4570"/>
          <cell r="N4570"/>
          <cell r="O4570"/>
        </row>
        <row r="4571">
          <cell r="A4571"/>
          <cell r="B4571"/>
          <cell r="C4571"/>
          <cell r="D4571"/>
          <cell r="E4571"/>
          <cell r="F4571"/>
          <cell r="G4571"/>
          <cell r="H4571"/>
          <cell r="I4571"/>
          <cell r="J4571"/>
          <cell r="K4571"/>
          <cell r="L4571"/>
          <cell r="M4571"/>
          <cell r="N4571"/>
          <cell r="O4571"/>
        </row>
        <row r="4572">
          <cell r="A4572"/>
          <cell r="B4572"/>
          <cell r="C4572"/>
          <cell r="D4572"/>
          <cell r="E4572"/>
          <cell r="F4572"/>
          <cell r="G4572"/>
          <cell r="H4572"/>
          <cell r="I4572"/>
          <cell r="J4572"/>
          <cell r="K4572"/>
          <cell r="L4572"/>
          <cell r="M4572"/>
          <cell r="N4572"/>
          <cell r="O4572"/>
        </row>
        <row r="4573">
          <cell r="A4573"/>
          <cell r="B4573"/>
          <cell r="C4573"/>
          <cell r="D4573"/>
          <cell r="E4573"/>
          <cell r="F4573"/>
          <cell r="G4573"/>
          <cell r="H4573"/>
          <cell r="I4573"/>
          <cell r="J4573"/>
          <cell r="K4573"/>
          <cell r="L4573"/>
          <cell r="M4573"/>
          <cell r="N4573"/>
          <cell r="O4573"/>
        </row>
        <row r="4574">
          <cell r="A4574"/>
          <cell r="B4574"/>
          <cell r="C4574"/>
          <cell r="D4574"/>
          <cell r="E4574"/>
          <cell r="F4574"/>
          <cell r="G4574"/>
          <cell r="H4574"/>
          <cell r="I4574"/>
          <cell r="J4574"/>
          <cell r="K4574"/>
          <cell r="L4574"/>
          <cell r="M4574"/>
          <cell r="N4574"/>
          <cell r="O4574"/>
        </row>
        <row r="4575">
          <cell r="A4575"/>
          <cell r="B4575"/>
          <cell r="C4575"/>
          <cell r="D4575"/>
          <cell r="E4575"/>
          <cell r="F4575"/>
          <cell r="G4575"/>
          <cell r="H4575"/>
          <cell r="I4575"/>
          <cell r="J4575"/>
          <cell r="K4575"/>
          <cell r="L4575"/>
          <cell r="M4575"/>
          <cell r="N4575"/>
          <cell r="O4575"/>
        </row>
        <row r="4576">
          <cell r="A4576"/>
          <cell r="B4576"/>
          <cell r="C4576"/>
          <cell r="D4576"/>
          <cell r="E4576"/>
          <cell r="F4576"/>
          <cell r="G4576"/>
          <cell r="H4576"/>
          <cell r="I4576"/>
          <cell r="J4576"/>
          <cell r="K4576"/>
          <cell r="L4576"/>
          <cell r="M4576"/>
          <cell r="N4576"/>
          <cell r="O4576"/>
        </row>
        <row r="4577">
          <cell r="A4577"/>
          <cell r="B4577"/>
          <cell r="C4577"/>
          <cell r="D4577"/>
          <cell r="E4577"/>
          <cell r="F4577"/>
          <cell r="G4577"/>
          <cell r="H4577"/>
          <cell r="I4577"/>
          <cell r="J4577"/>
          <cell r="K4577"/>
          <cell r="L4577"/>
          <cell r="M4577"/>
          <cell r="N4577"/>
          <cell r="O4577"/>
        </row>
        <row r="4578">
          <cell r="A4578"/>
          <cell r="B4578"/>
          <cell r="C4578"/>
          <cell r="D4578"/>
          <cell r="E4578"/>
          <cell r="F4578"/>
          <cell r="G4578"/>
          <cell r="H4578"/>
          <cell r="I4578"/>
          <cell r="J4578"/>
          <cell r="K4578"/>
          <cell r="L4578"/>
          <cell r="M4578"/>
          <cell r="N4578"/>
          <cell r="O4578"/>
        </row>
        <row r="4579">
          <cell r="A4579"/>
          <cell r="B4579"/>
          <cell r="C4579"/>
          <cell r="D4579"/>
          <cell r="E4579"/>
          <cell r="F4579"/>
          <cell r="G4579"/>
          <cell r="H4579"/>
          <cell r="I4579"/>
          <cell r="J4579"/>
          <cell r="K4579"/>
          <cell r="L4579"/>
          <cell r="M4579"/>
          <cell r="N4579"/>
          <cell r="O4579"/>
        </row>
        <row r="4580">
          <cell r="A4580"/>
          <cell r="B4580"/>
          <cell r="C4580"/>
          <cell r="D4580"/>
          <cell r="E4580"/>
          <cell r="F4580"/>
          <cell r="G4580"/>
          <cell r="H4580"/>
          <cell r="I4580"/>
          <cell r="J4580"/>
          <cell r="K4580"/>
          <cell r="L4580"/>
          <cell r="M4580"/>
          <cell r="N4580"/>
          <cell r="O4580"/>
        </row>
        <row r="4581">
          <cell r="A4581"/>
          <cell r="B4581"/>
          <cell r="C4581"/>
          <cell r="D4581"/>
          <cell r="E4581"/>
          <cell r="F4581"/>
          <cell r="G4581"/>
          <cell r="H4581"/>
          <cell r="I4581"/>
          <cell r="J4581"/>
          <cell r="K4581"/>
          <cell r="L4581"/>
          <cell r="M4581"/>
          <cell r="N4581"/>
          <cell r="O4581"/>
        </row>
        <row r="4582">
          <cell r="A4582"/>
          <cell r="B4582"/>
          <cell r="C4582"/>
          <cell r="D4582"/>
          <cell r="E4582"/>
          <cell r="F4582"/>
          <cell r="G4582"/>
          <cell r="H4582"/>
          <cell r="I4582"/>
          <cell r="J4582"/>
          <cell r="K4582"/>
          <cell r="L4582"/>
          <cell r="M4582"/>
          <cell r="N4582"/>
          <cell r="O4582"/>
        </row>
        <row r="4583">
          <cell r="A4583"/>
          <cell r="B4583"/>
          <cell r="C4583"/>
          <cell r="D4583"/>
          <cell r="E4583"/>
          <cell r="F4583"/>
          <cell r="G4583"/>
          <cell r="H4583"/>
          <cell r="I4583"/>
          <cell r="J4583"/>
          <cell r="K4583"/>
          <cell r="L4583"/>
          <cell r="M4583"/>
          <cell r="N4583"/>
          <cell r="O4583"/>
        </row>
        <row r="4584">
          <cell r="A4584"/>
          <cell r="B4584"/>
          <cell r="C4584"/>
          <cell r="D4584"/>
          <cell r="E4584"/>
          <cell r="F4584"/>
          <cell r="G4584"/>
          <cell r="H4584"/>
          <cell r="I4584"/>
          <cell r="J4584"/>
          <cell r="K4584"/>
          <cell r="L4584"/>
          <cell r="M4584"/>
          <cell r="N4584"/>
          <cell r="O4584"/>
        </row>
        <row r="4585">
          <cell r="A4585"/>
          <cell r="B4585"/>
          <cell r="C4585"/>
          <cell r="D4585"/>
          <cell r="E4585"/>
          <cell r="F4585"/>
          <cell r="G4585"/>
          <cell r="H4585"/>
          <cell r="I4585"/>
          <cell r="J4585"/>
          <cell r="K4585"/>
          <cell r="L4585"/>
          <cell r="M4585"/>
          <cell r="N4585"/>
          <cell r="O4585"/>
        </row>
        <row r="4586">
          <cell r="A4586"/>
          <cell r="B4586"/>
          <cell r="C4586"/>
          <cell r="D4586"/>
          <cell r="E4586"/>
          <cell r="F4586"/>
          <cell r="G4586"/>
          <cell r="H4586"/>
          <cell r="I4586"/>
          <cell r="J4586"/>
          <cell r="K4586"/>
          <cell r="L4586"/>
          <cell r="M4586"/>
          <cell r="N4586"/>
          <cell r="O4586"/>
        </row>
        <row r="4587">
          <cell r="A4587"/>
          <cell r="B4587"/>
          <cell r="C4587"/>
          <cell r="D4587"/>
          <cell r="E4587"/>
          <cell r="F4587"/>
          <cell r="G4587"/>
          <cell r="H4587"/>
          <cell r="I4587"/>
          <cell r="J4587"/>
          <cell r="K4587"/>
          <cell r="L4587"/>
          <cell r="M4587"/>
          <cell r="N4587"/>
          <cell r="O4587"/>
        </row>
        <row r="4588">
          <cell r="A4588"/>
          <cell r="B4588"/>
          <cell r="C4588"/>
          <cell r="D4588"/>
          <cell r="E4588"/>
          <cell r="F4588"/>
          <cell r="G4588"/>
          <cell r="H4588"/>
          <cell r="I4588"/>
          <cell r="J4588"/>
          <cell r="K4588"/>
          <cell r="L4588"/>
          <cell r="M4588"/>
          <cell r="N4588"/>
          <cell r="O4588"/>
        </row>
        <row r="4589">
          <cell r="A4589"/>
          <cell r="B4589"/>
          <cell r="C4589"/>
          <cell r="D4589"/>
          <cell r="E4589"/>
          <cell r="F4589"/>
          <cell r="G4589"/>
          <cell r="H4589"/>
          <cell r="I4589"/>
          <cell r="J4589"/>
          <cell r="K4589"/>
          <cell r="L4589"/>
          <cell r="M4589"/>
          <cell r="N4589"/>
          <cell r="O4589"/>
        </row>
        <row r="4590">
          <cell r="A4590"/>
          <cell r="B4590"/>
          <cell r="C4590"/>
          <cell r="D4590"/>
          <cell r="E4590"/>
          <cell r="F4590"/>
          <cell r="G4590"/>
          <cell r="H4590"/>
          <cell r="I4590"/>
          <cell r="J4590"/>
          <cell r="K4590"/>
          <cell r="L4590"/>
          <cell r="M4590"/>
          <cell r="N4590"/>
          <cell r="O4590"/>
        </row>
        <row r="4591">
          <cell r="A4591"/>
          <cell r="B4591"/>
          <cell r="C4591"/>
          <cell r="D4591"/>
          <cell r="E4591"/>
          <cell r="F4591"/>
          <cell r="G4591"/>
          <cell r="H4591"/>
          <cell r="I4591"/>
          <cell r="J4591"/>
          <cell r="K4591"/>
          <cell r="L4591"/>
          <cell r="M4591"/>
          <cell r="N4591"/>
          <cell r="O4591"/>
        </row>
        <row r="4592">
          <cell r="A4592"/>
          <cell r="B4592"/>
          <cell r="C4592"/>
          <cell r="D4592"/>
          <cell r="E4592"/>
          <cell r="F4592"/>
          <cell r="G4592"/>
          <cell r="H4592"/>
          <cell r="I4592"/>
          <cell r="J4592"/>
          <cell r="K4592"/>
          <cell r="L4592"/>
          <cell r="M4592"/>
          <cell r="N4592"/>
          <cell r="O4592"/>
        </row>
        <row r="4593">
          <cell r="A4593"/>
          <cell r="B4593"/>
          <cell r="C4593"/>
          <cell r="D4593"/>
          <cell r="E4593"/>
          <cell r="F4593"/>
          <cell r="G4593"/>
          <cell r="H4593"/>
          <cell r="I4593"/>
          <cell r="J4593"/>
          <cell r="K4593"/>
          <cell r="L4593"/>
          <cell r="M4593"/>
          <cell r="N4593"/>
          <cell r="O4593"/>
        </row>
        <row r="4594">
          <cell r="A4594"/>
          <cell r="B4594"/>
          <cell r="C4594"/>
          <cell r="D4594"/>
          <cell r="E4594"/>
          <cell r="F4594"/>
          <cell r="G4594"/>
          <cell r="H4594"/>
          <cell r="I4594"/>
          <cell r="J4594"/>
          <cell r="K4594"/>
          <cell r="L4594"/>
          <cell r="M4594"/>
          <cell r="N4594"/>
          <cell r="O4594"/>
        </row>
        <row r="4595">
          <cell r="A4595"/>
          <cell r="B4595"/>
          <cell r="C4595"/>
          <cell r="D4595"/>
          <cell r="E4595"/>
          <cell r="F4595"/>
          <cell r="G4595"/>
          <cell r="H4595"/>
          <cell r="I4595"/>
          <cell r="J4595"/>
          <cell r="K4595"/>
          <cell r="L4595"/>
          <cell r="M4595"/>
          <cell r="N4595"/>
          <cell r="O4595"/>
        </row>
        <row r="4596">
          <cell r="A4596"/>
          <cell r="B4596"/>
          <cell r="C4596"/>
          <cell r="D4596"/>
          <cell r="E4596"/>
          <cell r="F4596"/>
          <cell r="G4596"/>
          <cell r="H4596"/>
          <cell r="I4596"/>
          <cell r="J4596"/>
          <cell r="K4596"/>
          <cell r="L4596"/>
          <cell r="M4596"/>
          <cell r="N4596"/>
          <cell r="O4596"/>
        </row>
      </sheetData>
      <sheetData sheetId="9"/>
      <sheetData sheetId="10">
        <row r="1">
          <cell r="A1" t="str">
            <v>OB excepción</v>
          </cell>
          <cell r="J1"/>
          <cell r="M1" t="str">
            <v>CENTRO</v>
          </cell>
          <cell r="N1" t="str">
            <v>ESTE</v>
          </cell>
          <cell r="O1" t="str">
            <v>OESTE</v>
          </cell>
          <cell r="P1" t="str">
            <v>DARIEN</v>
          </cell>
          <cell r="Q1" t="str">
            <v>San Miguelito</v>
          </cell>
          <cell r="R1" t="str">
            <v>COLON</v>
          </cell>
          <cell r="S1" t="str">
            <v>NORTE</v>
          </cell>
          <cell r="T1" t="str">
            <v>CHIRIQUI</v>
          </cell>
          <cell r="U1" t="str">
            <v>COCLE</v>
          </cell>
          <cell r="V1" t="str">
            <v>HERRERA</v>
          </cell>
          <cell r="W1" t="str">
            <v>VERAGUAS</v>
          </cell>
          <cell r="X1" t="str">
            <v>Bocas</v>
          </cell>
          <cell r="Y1" t="str">
            <v>Los Santos</v>
          </cell>
          <cell r="Z1" t="str">
            <v>Comarca Ngabe Bugle</v>
          </cell>
        </row>
        <row r="2">
          <cell r="A2" t="str">
            <v>Mes</v>
          </cell>
          <cell r="J2" t="str">
            <v>OB excepción</v>
          </cell>
        </row>
        <row r="3">
          <cell r="A3" t="str">
            <v>Action Name</v>
          </cell>
          <cell r="J3" t="str">
            <v>Mes</v>
          </cell>
        </row>
        <row r="4">
          <cell r="A4" t="str">
            <v>Tipo GFN</v>
          </cell>
          <cell r="J4" t="str">
            <v>Action Name</v>
          </cell>
        </row>
        <row r="5">
          <cell r="A5" t="str">
            <v>Código de Transacción SF</v>
          </cell>
          <cell r="J5" t="str">
            <v>Tipo GFN</v>
          </cell>
        </row>
        <row r="6">
          <cell r="J6" t="str">
            <v>Código de Transacción SF</v>
          </cell>
          <cell r="M6">
            <v>135014</v>
          </cell>
          <cell r="N6">
            <v>135715.11428571428</v>
          </cell>
          <cell r="O6">
            <v>108075</v>
          </cell>
          <cell r="P6">
            <v>6129</v>
          </cell>
          <cell r="Q6">
            <v>108735</v>
          </cell>
          <cell r="R6">
            <v>10237</v>
          </cell>
          <cell r="S6">
            <v>34835</v>
          </cell>
          <cell r="T6">
            <v>22773</v>
          </cell>
          <cell r="U6">
            <v>13602</v>
          </cell>
          <cell r="V6">
            <v>3695</v>
          </cell>
          <cell r="W6">
            <v>9576</v>
          </cell>
          <cell r="X6">
            <v>0</v>
          </cell>
          <cell r="Y6">
            <v>600</v>
          </cell>
        </row>
        <row r="7">
          <cell r="A7" t="str">
            <v>DONANTE</v>
          </cell>
          <cell r="C7" t="str">
            <v># Sin Edad</v>
          </cell>
          <cell r="D7" t="str">
            <v># de Niños 0-5</v>
          </cell>
          <cell r="E7" t="str">
            <v># de Niños 6-10</v>
          </cell>
          <cell r="F7" t="str">
            <v># de Niños 11-18</v>
          </cell>
          <cell r="G7" t="str">
            <v># de Benefeciarios en Total</v>
          </cell>
          <cell r="J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</row>
        <row r="8">
          <cell r="A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J8" t="str">
            <v>Promedio de # de Benefeciarios en Total</v>
          </cell>
          <cell r="Y8"/>
        </row>
        <row r="9">
          <cell r="A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325</v>
          </cell>
          <cell r="J9" t="str">
            <v>DONANTE</v>
          </cell>
          <cell r="M9" t="str">
            <v>Panama Centro</v>
          </cell>
          <cell r="N9" t="str">
            <v>Panama Este</v>
          </cell>
          <cell r="O9" t="str">
            <v>Provincia de Panama Oeste</v>
          </cell>
          <cell r="P9" t="str">
            <v>Provincia de Darién</v>
          </cell>
          <cell r="Q9" t="str">
            <v>San Miguelito</v>
          </cell>
          <cell r="R9" t="str">
            <v>Provincia de Colon</v>
          </cell>
          <cell r="S9" t="str">
            <v>Panama Norte</v>
          </cell>
          <cell r="T9" t="str">
            <v>Provincia de Chiriquí</v>
          </cell>
          <cell r="U9" t="str">
            <v>Provincia de Coclé</v>
          </cell>
          <cell r="V9" t="str">
            <v>Provincia de Herrera</v>
          </cell>
          <cell r="W9" t="str">
            <v>Provincia de Veraguas</v>
          </cell>
          <cell r="X9" t="str">
            <v>Provincia de Bocas del Toro</v>
          </cell>
          <cell r="Y9" t="str">
            <v>Provincia de Los Santos</v>
          </cell>
        </row>
        <row r="10">
          <cell r="A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212</v>
          </cell>
          <cell r="J10">
            <v>0</v>
          </cell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</row>
        <row r="11">
          <cell r="A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30</v>
          </cell>
          <cell r="J11">
            <v>0</v>
          </cell>
          <cell r="M11">
            <v>325</v>
          </cell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</row>
        <row r="12">
          <cell r="A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102</v>
          </cell>
          <cell r="J12">
            <v>0</v>
          </cell>
          <cell r="M12"/>
          <cell r="N12">
            <v>212</v>
          </cell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</row>
        <row r="13">
          <cell r="A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J13">
            <v>0</v>
          </cell>
          <cell r="M13"/>
          <cell r="N13"/>
          <cell r="O13">
            <v>30</v>
          </cell>
          <cell r="P13"/>
          <cell r="Q13"/>
          <cell r="R13"/>
          <cell r="S13"/>
          <cell r="T13"/>
          <cell r="U13"/>
          <cell r="V13"/>
          <cell r="W13"/>
          <cell r="X13"/>
          <cell r="Y13"/>
        </row>
        <row r="14">
          <cell r="A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180</v>
          </cell>
          <cell r="J14">
            <v>0</v>
          </cell>
          <cell r="M14"/>
          <cell r="N14"/>
          <cell r="O14"/>
          <cell r="P14">
            <v>102</v>
          </cell>
          <cell r="Q14"/>
          <cell r="R14"/>
          <cell r="S14"/>
          <cell r="T14"/>
          <cell r="U14"/>
          <cell r="V14"/>
          <cell r="W14"/>
          <cell r="X14"/>
          <cell r="Y14"/>
        </row>
        <row r="15">
          <cell r="A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70</v>
          </cell>
          <cell r="J15">
            <v>0</v>
          </cell>
          <cell r="M15"/>
          <cell r="N15">
            <v>100</v>
          </cell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</row>
        <row r="16">
          <cell r="A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1060</v>
          </cell>
          <cell r="J16">
            <v>0</v>
          </cell>
          <cell r="M16"/>
          <cell r="N16"/>
          <cell r="O16">
            <v>180</v>
          </cell>
          <cell r="P16"/>
          <cell r="Q16"/>
          <cell r="R16"/>
          <cell r="S16"/>
          <cell r="T16"/>
          <cell r="U16"/>
          <cell r="V16"/>
          <cell r="W16"/>
          <cell r="X16"/>
          <cell r="Y16"/>
        </row>
        <row r="17">
          <cell r="A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J17">
            <v>0</v>
          </cell>
          <cell r="M17"/>
          <cell r="N17">
            <v>70</v>
          </cell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</row>
        <row r="18">
          <cell r="A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250</v>
          </cell>
          <cell r="J18">
            <v>0</v>
          </cell>
          <cell r="M18"/>
          <cell r="N18"/>
          <cell r="O18"/>
          <cell r="P18"/>
          <cell r="Q18">
            <v>1060</v>
          </cell>
          <cell r="R18"/>
          <cell r="S18"/>
          <cell r="T18"/>
          <cell r="U18"/>
          <cell r="V18"/>
          <cell r="W18"/>
          <cell r="X18"/>
          <cell r="Y18"/>
        </row>
        <row r="19">
          <cell r="A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180</v>
          </cell>
          <cell r="J19">
            <v>0</v>
          </cell>
          <cell r="M19"/>
          <cell r="N19">
            <v>100</v>
          </cell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</row>
        <row r="20">
          <cell r="A20">
            <v>0</v>
          </cell>
          <cell r="C20">
            <v>40</v>
          </cell>
          <cell r="D20">
            <v>0</v>
          </cell>
          <cell r="E20">
            <v>0</v>
          </cell>
          <cell r="F20">
            <v>0</v>
          </cell>
          <cell r="G20">
            <v>40</v>
          </cell>
          <cell r="J20">
            <v>0</v>
          </cell>
          <cell r="M20"/>
          <cell r="N20">
            <v>250</v>
          </cell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</row>
        <row r="21">
          <cell r="A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73</v>
          </cell>
          <cell r="J21">
            <v>0</v>
          </cell>
          <cell r="M21"/>
          <cell r="N21"/>
          <cell r="O21"/>
          <cell r="P21"/>
          <cell r="Q21"/>
          <cell r="R21">
            <v>180</v>
          </cell>
          <cell r="S21"/>
          <cell r="T21"/>
          <cell r="U21"/>
          <cell r="V21"/>
          <cell r="W21"/>
          <cell r="X21"/>
          <cell r="Y21"/>
        </row>
        <row r="22">
          <cell r="A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65</v>
          </cell>
          <cell r="J22">
            <v>0</v>
          </cell>
          <cell r="M22"/>
          <cell r="N22"/>
          <cell r="O22"/>
          <cell r="P22"/>
          <cell r="Q22"/>
          <cell r="R22">
            <v>40</v>
          </cell>
          <cell r="S22"/>
          <cell r="T22"/>
          <cell r="U22"/>
          <cell r="V22"/>
          <cell r="W22"/>
          <cell r="X22"/>
          <cell r="Y22"/>
        </row>
        <row r="23">
          <cell r="A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70</v>
          </cell>
          <cell r="J23">
            <v>0</v>
          </cell>
          <cell r="M23"/>
          <cell r="N23"/>
          <cell r="O23"/>
          <cell r="P23"/>
          <cell r="Q23"/>
          <cell r="R23"/>
          <cell r="S23">
            <v>73</v>
          </cell>
          <cell r="T23"/>
          <cell r="U23"/>
          <cell r="V23"/>
          <cell r="W23"/>
          <cell r="X23"/>
          <cell r="Y23"/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1090</v>
          </cell>
          <cell r="J24">
            <v>0</v>
          </cell>
          <cell r="M24"/>
          <cell r="N24"/>
          <cell r="O24">
            <v>65</v>
          </cell>
          <cell r="P24"/>
          <cell r="Q24"/>
          <cell r="R24"/>
          <cell r="S24"/>
          <cell r="T24"/>
          <cell r="U24"/>
          <cell r="V24"/>
          <cell r="W24"/>
          <cell r="X24"/>
          <cell r="Y24"/>
        </row>
        <row r="25">
          <cell r="A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J25">
            <v>0</v>
          </cell>
          <cell r="M25"/>
          <cell r="N25">
            <v>70</v>
          </cell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</row>
        <row r="26">
          <cell r="A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282</v>
          </cell>
          <cell r="J26">
            <v>0</v>
          </cell>
          <cell r="M26"/>
          <cell r="N26"/>
          <cell r="O26">
            <v>1090</v>
          </cell>
          <cell r="P26"/>
          <cell r="Q26"/>
          <cell r="R26"/>
          <cell r="S26"/>
          <cell r="T26"/>
          <cell r="U26"/>
          <cell r="V26"/>
          <cell r="W26"/>
          <cell r="X26"/>
          <cell r="Y26"/>
        </row>
        <row r="27">
          <cell r="A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467</v>
          </cell>
          <cell r="J27">
            <v>0</v>
          </cell>
          <cell r="M27">
            <v>0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</row>
        <row r="28">
          <cell r="A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82</v>
          </cell>
          <cell r="J28">
            <v>0</v>
          </cell>
          <cell r="M28"/>
          <cell r="N28">
            <v>282</v>
          </cell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</row>
        <row r="29">
          <cell r="A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881</v>
          </cell>
          <cell r="J29">
            <v>0</v>
          </cell>
          <cell r="M29"/>
          <cell r="N29">
            <v>467</v>
          </cell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</row>
        <row r="30">
          <cell r="A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38</v>
          </cell>
          <cell r="J30">
            <v>0</v>
          </cell>
          <cell r="M30"/>
          <cell r="N30"/>
          <cell r="O30"/>
          <cell r="P30"/>
          <cell r="Q30"/>
          <cell r="R30"/>
          <cell r="S30"/>
          <cell r="T30">
            <v>82</v>
          </cell>
          <cell r="U30"/>
          <cell r="V30"/>
          <cell r="W30"/>
          <cell r="X30"/>
          <cell r="Y30"/>
        </row>
        <row r="31">
          <cell r="A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70</v>
          </cell>
          <cell r="J31">
            <v>0</v>
          </cell>
          <cell r="M31"/>
          <cell r="N31">
            <v>881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</row>
        <row r="32">
          <cell r="A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60</v>
          </cell>
          <cell r="J32">
            <v>0</v>
          </cell>
          <cell r="M32"/>
          <cell r="N32">
            <v>38</v>
          </cell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</row>
        <row r="33">
          <cell r="A33">
            <v>0</v>
          </cell>
          <cell r="C33">
            <v>0</v>
          </cell>
          <cell r="D33">
            <v>13</v>
          </cell>
          <cell r="E33">
            <v>37</v>
          </cell>
          <cell r="F33">
            <v>28</v>
          </cell>
          <cell r="G33">
            <v>243</v>
          </cell>
          <cell r="J33">
            <v>0</v>
          </cell>
          <cell r="M33"/>
          <cell r="N33">
            <v>70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130</v>
          </cell>
          <cell r="J34">
            <v>0</v>
          </cell>
          <cell r="M34"/>
          <cell r="N34">
            <v>60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62</v>
          </cell>
          <cell r="J35">
            <v>0</v>
          </cell>
          <cell r="M35"/>
          <cell r="N35">
            <v>243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116</v>
          </cell>
          <cell r="J36">
            <v>0</v>
          </cell>
          <cell r="M36"/>
          <cell r="N36">
            <v>130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542</v>
          </cell>
          <cell r="J37">
            <v>0</v>
          </cell>
          <cell r="M37"/>
          <cell r="N37">
            <v>62</v>
          </cell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211</v>
          </cell>
          <cell r="J38">
            <v>0</v>
          </cell>
          <cell r="M38"/>
          <cell r="N38"/>
          <cell r="O38">
            <v>116</v>
          </cell>
          <cell r="P38"/>
          <cell r="Q38"/>
          <cell r="R38"/>
          <cell r="S38"/>
          <cell r="T38"/>
          <cell r="U38"/>
          <cell r="V38"/>
          <cell r="W38"/>
          <cell r="X38"/>
          <cell r="Y38"/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138</v>
          </cell>
          <cell r="J39">
            <v>0</v>
          </cell>
          <cell r="M39"/>
          <cell r="N39">
            <v>542</v>
          </cell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147</v>
          </cell>
          <cell r="J40">
            <v>0</v>
          </cell>
          <cell r="M40"/>
          <cell r="N40"/>
          <cell r="O40"/>
          <cell r="P40"/>
          <cell r="Q40"/>
          <cell r="R40"/>
          <cell r="S40">
            <v>211</v>
          </cell>
          <cell r="T40"/>
          <cell r="U40"/>
          <cell r="V40"/>
          <cell r="W40"/>
          <cell r="X40"/>
          <cell r="Y40"/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52</v>
          </cell>
          <cell r="J41">
            <v>0</v>
          </cell>
          <cell r="M41"/>
          <cell r="N41"/>
          <cell r="O41">
            <v>138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/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500</v>
          </cell>
          <cell r="J42">
            <v>0</v>
          </cell>
          <cell r="M42"/>
          <cell r="N42">
            <v>147</v>
          </cell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62</v>
          </cell>
          <cell r="J43">
            <v>0</v>
          </cell>
          <cell r="M43"/>
          <cell r="N43"/>
          <cell r="O43"/>
          <cell r="P43"/>
          <cell r="Q43"/>
          <cell r="R43"/>
          <cell r="S43">
            <v>52</v>
          </cell>
          <cell r="T43"/>
          <cell r="U43"/>
          <cell r="V43"/>
          <cell r="W43"/>
          <cell r="X43"/>
          <cell r="Y43"/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215</v>
          </cell>
          <cell r="J44">
            <v>0</v>
          </cell>
          <cell r="M44">
            <v>500</v>
          </cell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155</v>
          </cell>
          <cell r="J45">
            <v>0</v>
          </cell>
          <cell r="M45"/>
          <cell r="N45">
            <v>62</v>
          </cell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</row>
        <row r="46">
          <cell r="A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84</v>
          </cell>
          <cell r="J46">
            <v>0</v>
          </cell>
          <cell r="M46">
            <v>215</v>
          </cell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</row>
        <row r="47">
          <cell r="A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105</v>
          </cell>
          <cell r="J47">
            <v>0</v>
          </cell>
          <cell r="M47">
            <v>155</v>
          </cell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</row>
        <row r="48">
          <cell r="A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100</v>
          </cell>
          <cell r="J48">
            <v>0</v>
          </cell>
          <cell r="M48"/>
          <cell r="N48"/>
          <cell r="O48"/>
          <cell r="P48"/>
          <cell r="Q48"/>
          <cell r="R48"/>
          <cell r="S48"/>
          <cell r="T48">
            <v>84</v>
          </cell>
          <cell r="U48"/>
          <cell r="V48"/>
          <cell r="W48"/>
          <cell r="X48"/>
          <cell r="Y48"/>
        </row>
        <row r="49">
          <cell r="A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264</v>
          </cell>
          <cell r="J49">
            <v>0</v>
          </cell>
          <cell r="M49"/>
          <cell r="N49">
            <v>105</v>
          </cell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</row>
        <row r="50">
          <cell r="A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55</v>
          </cell>
          <cell r="J50">
            <v>0</v>
          </cell>
          <cell r="M50">
            <v>100</v>
          </cell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</row>
        <row r="51">
          <cell r="A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57</v>
          </cell>
          <cell r="J51">
            <v>0</v>
          </cell>
          <cell r="M51"/>
          <cell r="N51">
            <v>264</v>
          </cell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</row>
        <row r="52">
          <cell r="A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60</v>
          </cell>
          <cell r="J52">
            <v>0</v>
          </cell>
          <cell r="M52"/>
          <cell r="N52"/>
          <cell r="O52"/>
          <cell r="P52"/>
          <cell r="Q52"/>
          <cell r="R52"/>
          <cell r="S52">
            <v>55</v>
          </cell>
          <cell r="T52"/>
          <cell r="U52"/>
          <cell r="V52"/>
          <cell r="W52"/>
          <cell r="X52"/>
          <cell r="Y52"/>
        </row>
        <row r="53">
          <cell r="A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115</v>
          </cell>
          <cell r="J53">
            <v>0</v>
          </cell>
          <cell r="M53"/>
          <cell r="N53"/>
          <cell r="O53"/>
          <cell r="P53"/>
          <cell r="Q53">
            <v>57</v>
          </cell>
          <cell r="R53"/>
          <cell r="S53"/>
          <cell r="T53"/>
          <cell r="U53"/>
          <cell r="V53"/>
          <cell r="W53"/>
          <cell r="X53"/>
          <cell r="Y53"/>
        </row>
        <row r="54">
          <cell r="A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179</v>
          </cell>
          <cell r="J54">
            <v>0</v>
          </cell>
          <cell r="M54"/>
          <cell r="N54"/>
          <cell r="O54">
            <v>60</v>
          </cell>
          <cell r="P54"/>
          <cell r="Q54"/>
          <cell r="R54"/>
          <cell r="S54"/>
          <cell r="T54"/>
          <cell r="U54"/>
          <cell r="V54"/>
          <cell r="W54"/>
          <cell r="X54"/>
          <cell r="Y54"/>
        </row>
        <row r="55">
          <cell r="A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50</v>
          </cell>
          <cell r="J55">
            <v>0</v>
          </cell>
          <cell r="M55"/>
          <cell r="N55"/>
          <cell r="O55"/>
          <cell r="P55"/>
          <cell r="Q55"/>
          <cell r="R55"/>
          <cell r="S55"/>
          <cell r="T55">
            <v>115</v>
          </cell>
          <cell r="U55"/>
          <cell r="V55"/>
          <cell r="W55"/>
          <cell r="X55"/>
          <cell r="Y55"/>
        </row>
        <row r="56">
          <cell r="A56">
            <v>0</v>
          </cell>
          <cell r="C56">
            <v>162</v>
          </cell>
          <cell r="D56">
            <v>0</v>
          </cell>
          <cell r="E56">
            <v>0</v>
          </cell>
          <cell r="F56">
            <v>0</v>
          </cell>
          <cell r="G56">
            <v>162</v>
          </cell>
          <cell r="J56">
            <v>0</v>
          </cell>
          <cell r="M56"/>
          <cell r="N56"/>
          <cell r="O56"/>
          <cell r="P56"/>
          <cell r="Q56"/>
          <cell r="R56"/>
          <cell r="S56">
            <v>179</v>
          </cell>
          <cell r="T56"/>
          <cell r="U56"/>
          <cell r="V56"/>
          <cell r="W56"/>
          <cell r="X56"/>
          <cell r="Y56"/>
        </row>
        <row r="57">
          <cell r="A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86</v>
          </cell>
          <cell r="J57">
            <v>0</v>
          </cell>
          <cell r="M57"/>
          <cell r="N57">
            <v>50</v>
          </cell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</row>
        <row r="58">
          <cell r="A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201</v>
          </cell>
          <cell r="J58">
            <v>0</v>
          </cell>
          <cell r="M58"/>
          <cell r="N58">
            <v>162</v>
          </cell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</row>
        <row r="59">
          <cell r="A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73</v>
          </cell>
          <cell r="J59">
            <v>0</v>
          </cell>
          <cell r="M59"/>
          <cell r="N59">
            <v>86</v>
          </cell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</row>
        <row r="60">
          <cell r="A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181</v>
          </cell>
          <cell r="J60">
            <v>0</v>
          </cell>
          <cell r="M60">
            <v>201</v>
          </cell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</row>
        <row r="61">
          <cell r="A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635</v>
          </cell>
          <cell r="J61">
            <v>0</v>
          </cell>
          <cell r="M61"/>
          <cell r="N61"/>
          <cell r="O61"/>
          <cell r="P61"/>
          <cell r="Q61"/>
          <cell r="R61"/>
          <cell r="S61"/>
          <cell r="T61">
            <v>73</v>
          </cell>
          <cell r="U61"/>
          <cell r="V61"/>
          <cell r="W61"/>
          <cell r="X61"/>
          <cell r="Y61"/>
        </row>
        <row r="62">
          <cell r="A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201</v>
          </cell>
          <cell r="J62">
            <v>0</v>
          </cell>
          <cell r="M62"/>
          <cell r="N62"/>
          <cell r="O62"/>
          <cell r="P62"/>
          <cell r="Q62"/>
          <cell r="R62">
            <v>181</v>
          </cell>
          <cell r="S62"/>
          <cell r="T62"/>
          <cell r="U62"/>
          <cell r="V62"/>
          <cell r="W62"/>
          <cell r="X62"/>
          <cell r="Y62"/>
        </row>
        <row r="63">
          <cell r="A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J63">
            <v>0</v>
          </cell>
          <cell r="M63"/>
          <cell r="N63"/>
          <cell r="O63"/>
          <cell r="P63"/>
          <cell r="Q63"/>
          <cell r="R63"/>
          <cell r="S63"/>
          <cell r="T63">
            <v>635</v>
          </cell>
          <cell r="U63"/>
          <cell r="V63"/>
          <cell r="W63"/>
          <cell r="X63"/>
          <cell r="Y63"/>
        </row>
        <row r="64">
          <cell r="A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284</v>
          </cell>
          <cell r="J64">
            <v>0</v>
          </cell>
          <cell r="M64"/>
          <cell r="N64">
            <v>201</v>
          </cell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</row>
        <row r="65">
          <cell r="A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150</v>
          </cell>
          <cell r="J65">
            <v>0</v>
          </cell>
          <cell r="M65"/>
          <cell r="N65">
            <v>0</v>
          </cell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</row>
        <row r="66">
          <cell r="A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250</v>
          </cell>
          <cell r="J66">
            <v>0</v>
          </cell>
          <cell r="M66"/>
          <cell r="N66">
            <v>284</v>
          </cell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</row>
        <row r="67">
          <cell r="A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1200</v>
          </cell>
          <cell r="J67">
            <v>0</v>
          </cell>
          <cell r="M67">
            <v>150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</row>
        <row r="68">
          <cell r="A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20</v>
          </cell>
          <cell r="J68">
            <v>0</v>
          </cell>
          <cell r="M68"/>
          <cell r="N68">
            <v>250</v>
          </cell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</row>
        <row r="69">
          <cell r="A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110</v>
          </cell>
          <cell r="J69">
            <v>0</v>
          </cell>
          <cell r="M69"/>
          <cell r="N69"/>
          <cell r="O69">
            <v>1200</v>
          </cell>
          <cell r="P69"/>
          <cell r="Q69"/>
          <cell r="R69"/>
          <cell r="S69"/>
          <cell r="T69"/>
          <cell r="U69"/>
          <cell r="V69"/>
          <cell r="W69"/>
          <cell r="X69"/>
          <cell r="Y69"/>
        </row>
        <row r="70">
          <cell r="A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390</v>
          </cell>
          <cell r="J70">
            <v>0</v>
          </cell>
          <cell r="M70"/>
          <cell r="N70">
            <v>20</v>
          </cell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</row>
        <row r="71">
          <cell r="A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410</v>
          </cell>
          <cell r="J71">
            <v>0</v>
          </cell>
          <cell r="M71"/>
          <cell r="N71"/>
          <cell r="O71"/>
          <cell r="P71"/>
          <cell r="Q71"/>
          <cell r="R71"/>
          <cell r="S71">
            <v>110</v>
          </cell>
          <cell r="T71"/>
          <cell r="U71"/>
          <cell r="V71"/>
          <cell r="W71"/>
          <cell r="X71"/>
          <cell r="Y71"/>
        </row>
        <row r="72">
          <cell r="A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140</v>
          </cell>
          <cell r="J72">
            <v>0</v>
          </cell>
          <cell r="M72">
            <v>390</v>
          </cell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</row>
        <row r="73">
          <cell r="A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250</v>
          </cell>
          <cell r="J73">
            <v>0</v>
          </cell>
          <cell r="M73"/>
          <cell r="N73"/>
          <cell r="O73">
            <v>410</v>
          </cell>
          <cell r="P73"/>
          <cell r="Q73"/>
          <cell r="R73"/>
          <cell r="S73"/>
          <cell r="T73"/>
          <cell r="U73"/>
          <cell r="V73"/>
          <cell r="W73"/>
          <cell r="X73"/>
          <cell r="Y73"/>
        </row>
        <row r="74">
          <cell r="A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120</v>
          </cell>
          <cell r="J74">
            <v>0</v>
          </cell>
          <cell r="M74"/>
          <cell r="N74"/>
          <cell r="O74">
            <v>140</v>
          </cell>
          <cell r="P74"/>
          <cell r="Q74"/>
          <cell r="R74"/>
          <cell r="S74"/>
          <cell r="T74"/>
          <cell r="U74"/>
          <cell r="V74"/>
          <cell r="W74"/>
          <cell r="X74"/>
          <cell r="Y74"/>
        </row>
        <row r="75">
          <cell r="A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356</v>
          </cell>
          <cell r="J75">
            <v>0</v>
          </cell>
          <cell r="M75"/>
          <cell r="N75">
            <v>250</v>
          </cell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</row>
        <row r="76">
          <cell r="A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90</v>
          </cell>
          <cell r="J76">
            <v>0</v>
          </cell>
          <cell r="M76"/>
          <cell r="N76">
            <v>120</v>
          </cell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</row>
        <row r="77">
          <cell r="A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84</v>
          </cell>
          <cell r="J77">
            <v>0</v>
          </cell>
          <cell r="M77"/>
          <cell r="N77">
            <v>356</v>
          </cell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</row>
        <row r="78">
          <cell r="A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22</v>
          </cell>
          <cell r="J78">
            <v>0</v>
          </cell>
          <cell r="M78"/>
          <cell r="N78">
            <v>90</v>
          </cell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</row>
        <row r="79">
          <cell r="A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230</v>
          </cell>
          <cell r="J79">
            <v>0</v>
          </cell>
          <cell r="M79"/>
          <cell r="N79">
            <v>84</v>
          </cell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</row>
        <row r="80">
          <cell r="A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103</v>
          </cell>
          <cell r="J80">
            <v>0</v>
          </cell>
          <cell r="M80"/>
          <cell r="N80">
            <v>22</v>
          </cell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</row>
        <row r="81">
          <cell r="A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J81">
            <v>0</v>
          </cell>
          <cell r="M81"/>
          <cell r="N81">
            <v>230</v>
          </cell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</row>
        <row r="82">
          <cell r="A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165</v>
          </cell>
          <cell r="J82">
            <v>0</v>
          </cell>
          <cell r="M82"/>
          <cell r="N82">
            <v>103</v>
          </cell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</row>
        <row r="83">
          <cell r="A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456</v>
          </cell>
          <cell r="J83">
            <v>0</v>
          </cell>
          <cell r="M83"/>
          <cell r="N83">
            <v>0</v>
          </cell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</row>
        <row r="84">
          <cell r="A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251</v>
          </cell>
          <cell r="J84">
            <v>0</v>
          </cell>
          <cell r="M84"/>
          <cell r="N84">
            <v>165</v>
          </cell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</row>
        <row r="85">
          <cell r="A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60</v>
          </cell>
          <cell r="J85">
            <v>0</v>
          </cell>
          <cell r="M85"/>
          <cell r="N85">
            <v>456</v>
          </cell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</row>
        <row r="86">
          <cell r="A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75</v>
          </cell>
          <cell r="J86">
            <v>0</v>
          </cell>
          <cell r="M86"/>
          <cell r="N86">
            <v>251</v>
          </cell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</row>
        <row r="87">
          <cell r="A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1017</v>
          </cell>
          <cell r="J87">
            <v>0</v>
          </cell>
          <cell r="M87"/>
          <cell r="N87">
            <v>60</v>
          </cell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</row>
        <row r="88">
          <cell r="A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50</v>
          </cell>
          <cell r="J88">
            <v>0</v>
          </cell>
          <cell r="M88"/>
          <cell r="N88">
            <v>75</v>
          </cell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</row>
        <row r="89">
          <cell r="A89">
            <v>0</v>
          </cell>
          <cell r="C89">
            <v>0</v>
          </cell>
          <cell r="D89">
            <v>16</v>
          </cell>
          <cell r="E89">
            <v>19</v>
          </cell>
          <cell r="F89">
            <v>19</v>
          </cell>
          <cell r="G89">
            <v>219</v>
          </cell>
          <cell r="J89">
            <v>0</v>
          </cell>
          <cell r="M89"/>
          <cell r="N89"/>
          <cell r="O89">
            <v>1017</v>
          </cell>
          <cell r="P89"/>
          <cell r="Q89"/>
          <cell r="R89"/>
          <cell r="S89"/>
          <cell r="T89"/>
          <cell r="U89"/>
          <cell r="V89"/>
          <cell r="W89"/>
          <cell r="X89"/>
          <cell r="Y89"/>
        </row>
        <row r="90">
          <cell r="A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83</v>
          </cell>
          <cell r="J90">
            <v>0</v>
          </cell>
          <cell r="M90"/>
          <cell r="N90">
            <v>50</v>
          </cell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</row>
        <row r="91">
          <cell r="A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265</v>
          </cell>
          <cell r="J91">
            <v>0</v>
          </cell>
          <cell r="M91"/>
          <cell r="N91"/>
          <cell r="O91">
            <v>219</v>
          </cell>
          <cell r="P91"/>
          <cell r="Q91"/>
          <cell r="R91"/>
          <cell r="S91"/>
          <cell r="T91"/>
          <cell r="U91"/>
          <cell r="V91"/>
          <cell r="W91"/>
          <cell r="X91"/>
          <cell r="Y91"/>
        </row>
        <row r="92">
          <cell r="A92">
            <v>0</v>
          </cell>
          <cell r="C92">
            <v>100</v>
          </cell>
          <cell r="D92">
            <v>0</v>
          </cell>
          <cell r="E92">
            <v>0</v>
          </cell>
          <cell r="F92">
            <v>0</v>
          </cell>
          <cell r="G92">
            <v>305</v>
          </cell>
          <cell r="J92">
            <v>0</v>
          </cell>
          <cell r="M92"/>
          <cell r="N92"/>
          <cell r="O92"/>
          <cell r="P92"/>
          <cell r="Q92">
            <v>83</v>
          </cell>
          <cell r="R92"/>
          <cell r="S92"/>
          <cell r="T92"/>
          <cell r="U92"/>
          <cell r="V92"/>
          <cell r="W92"/>
          <cell r="X92"/>
          <cell r="Y92"/>
        </row>
        <row r="93">
          <cell r="A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152</v>
          </cell>
          <cell r="J93">
            <v>0</v>
          </cell>
          <cell r="M93">
            <v>265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</row>
        <row r="94">
          <cell r="A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37</v>
          </cell>
          <cell r="J94">
            <v>0</v>
          </cell>
          <cell r="M94"/>
          <cell r="N94"/>
          <cell r="O94"/>
          <cell r="P94"/>
          <cell r="Q94"/>
          <cell r="R94"/>
          <cell r="S94">
            <v>305</v>
          </cell>
          <cell r="T94"/>
          <cell r="U94"/>
          <cell r="V94"/>
          <cell r="W94"/>
          <cell r="X94"/>
          <cell r="Y94"/>
        </row>
        <row r="95">
          <cell r="A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J95">
            <v>0</v>
          </cell>
          <cell r="M95"/>
          <cell r="N95"/>
          <cell r="O95"/>
          <cell r="P95"/>
          <cell r="Q95"/>
          <cell r="R95"/>
          <cell r="S95">
            <v>152</v>
          </cell>
          <cell r="T95"/>
          <cell r="U95"/>
          <cell r="V95"/>
          <cell r="W95"/>
          <cell r="X95"/>
          <cell r="Y95"/>
        </row>
        <row r="96">
          <cell r="A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60</v>
          </cell>
          <cell r="J96">
            <v>0</v>
          </cell>
          <cell r="M96"/>
          <cell r="N96"/>
          <cell r="O96"/>
          <cell r="P96"/>
          <cell r="Q96"/>
          <cell r="R96"/>
          <cell r="S96"/>
          <cell r="T96">
            <v>37</v>
          </cell>
          <cell r="U96"/>
          <cell r="V96"/>
          <cell r="W96"/>
          <cell r="X96"/>
          <cell r="Y96"/>
        </row>
        <row r="97">
          <cell r="A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J97">
            <v>0</v>
          </cell>
          <cell r="M97"/>
          <cell r="N97"/>
          <cell r="O97"/>
          <cell r="P97"/>
          <cell r="Q97"/>
          <cell r="R97"/>
          <cell r="S97"/>
          <cell r="T97"/>
          <cell r="U97">
            <v>0</v>
          </cell>
          <cell r="V97"/>
          <cell r="W97"/>
          <cell r="X97"/>
          <cell r="Y97"/>
        </row>
        <row r="98">
          <cell r="A98">
            <v>0</v>
          </cell>
          <cell r="C98">
            <v>10</v>
          </cell>
          <cell r="D98">
            <v>0</v>
          </cell>
          <cell r="E98">
            <v>0</v>
          </cell>
          <cell r="F98">
            <v>0</v>
          </cell>
          <cell r="G98">
            <v>10</v>
          </cell>
          <cell r="J98">
            <v>0</v>
          </cell>
          <cell r="M98"/>
          <cell r="N98"/>
          <cell r="O98"/>
          <cell r="P98"/>
          <cell r="Q98">
            <v>60</v>
          </cell>
          <cell r="R98"/>
          <cell r="S98"/>
          <cell r="T98"/>
          <cell r="U98"/>
          <cell r="V98"/>
          <cell r="W98"/>
          <cell r="X98"/>
          <cell r="Y98"/>
        </row>
        <row r="99">
          <cell r="A99">
            <v>0</v>
          </cell>
          <cell r="C99">
            <v>10</v>
          </cell>
          <cell r="D99">
            <v>0</v>
          </cell>
          <cell r="E99">
            <v>0</v>
          </cell>
          <cell r="F99">
            <v>0</v>
          </cell>
          <cell r="G99">
            <v>10</v>
          </cell>
          <cell r="J99">
            <v>0</v>
          </cell>
          <cell r="M99">
            <v>0</v>
          </cell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</row>
        <row r="100">
          <cell r="A100">
            <v>0</v>
          </cell>
          <cell r="C100">
            <v>50</v>
          </cell>
          <cell r="D100">
            <v>0</v>
          </cell>
          <cell r="E100">
            <v>0</v>
          </cell>
          <cell r="F100">
            <v>0</v>
          </cell>
          <cell r="G100">
            <v>50</v>
          </cell>
          <cell r="J100">
            <v>0</v>
          </cell>
          <cell r="M100">
            <v>10</v>
          </cell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</row>
        <row r="101">
          <cell r="A101">
            <v>0</v>
          </cell>
          <cell r="C101">
            <v>8</v>
          </cell>
          <cell r="D101">
            <v>0</v>
          </cell>
          <cell r="E101">
            <v>0</v>
          </cell>
          <cell r="F101">
            <v>0</v>
          </cell>
          <cell r="G101">
            <v>8</v>
          </cell>
          <cell r="J101">
            <v>0</v>
          </cell>
          <cell r="M101">
            <v>10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</row>
        <row r="102">
          <cell r="A102">
            <v>0</v>
          </cell>
          <cell r="C102">
            <v>5</v>
          </cell>
          <cell r="D102">
            <v>0</v>
          </cell>
          <cell r="E102">
            <v>0</v>
          </cell>
          <cell r="F102">
            <v>0</v>
          </cell>
          <cell r="G102">
            <v>5</v>
          </cell>
          <cell r="J102">
            <v>0</v>
          </cell>
          <cell r="M102"/>
          <cell r="N102"/>
          <cell r="O102">
            <v>50</v>
          </cell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</row>
        <row r="103">
          <cell r="A103">
            <v>0</v>
          </cell>
          <cell r="C103">
            <v>5</v>
          </cell>
          <cell r="D103">
            <v>0</v>
          </cell>
          <cell r="E103">
            <v>0</v>
          </cell>
          <cell r="F103">
            <v>0</v>
          </cell>
          <cell r="G103">
            <v>5</v>
          </cell>
          <cell r="J103">
            <v>0</v>
          </cell>
          <cell r="M103">
            <v>8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</row>
        <row r="104">
          <cell r="A104">
            <v>0</v>
          </cell>
          <cell r="C104">
            <v>169</v>
          </cell>
          <cell r="D104">
            <v>0</v>
          </cell>
          <cell r="E104">
            <v>0</v>
          </cell>
          <cell r="F104">
            <v>0</v>
          </cell>
          <cell r="G104">
            <v>169</v>
          </cell>
          <cell r="J104">
            <v>0</v>
          </cell>
          <cell r="M104"/>
          <cell r="N104"/>
          <cell r="O104">
            <v>5</v>
          </cell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</row>
        <row r="105">
          <cell r="A105">
            <v>0</v>
          </cell>
          <cell r="C105">
            <v>45</v>
          </cell>
          <cell r="D105">
            <v>0</v>
          </cell>
          <cell r="E105">
            <v>0</v>
          </cell>
          <cell r="F105">
            <v>0</v>
          </cell>
          <cell r="G105">
            <v>45</v>
          </cell>
          <cell r="J105">
            <v>0</v>
          </cell>
          <cell r="M105"/>
          <cell r="N105"/>
          <cell r="O105">
            <v>5</v>
          </cell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</row>
        <row r="106">
          <cell r="A106">
            <v>0</v>
          </cell>
          <cell r="C106">
            <v>80</v>
          </cell>
          <cell r="D106">
            <v>0</v>
          </cell>
          <cell r="E106">
            <v>0</v>
          </cell>
          <cell r="F106">
            <v>0</v>
          </cell>
          <cell r="G106">
            <v>80</v>
          </cell>
          <cell r="J106">
            <v>0</v>
          </cell>
          <cell r="M106"/>
          <cell r="N106"/>
          <cell r="O106">
            <v>169</v>
          </cell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</row>
        <row r="107">
          <cell r="A107">
            <v>0</v>
          </cell>
          <cell r="C107">
            <v>45</v>
          </cell>
          <cell r="D107">
            <v>0</v>
          </cell>
          <cell r="E107">
            <v>0</v>
          </cell>
          <cell r="F107">
            <v>0</v>
          </cell>
          <cell r="G107">
            <v>45</v>
          </cell>
          <cell r="J107">
            <v>0</v>
          </cell>
          <cell r="M107"/>
          <cell r="N107"/>
          <cell r="O107">
            <v>45</v>
          </cell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</row>
        <row r="108">
          <cell r="A108">
            <v>0</v>
          </cell>
          <cell r="C108">
            <v>10</v>
          </cell>
          <cell r="D108">
            <v>0</v>
          </cell>
          <cell r="E108">
            <v>0</v>
          </cell>
          <cell r="F108">
            <v>0</v>
          </cell>
          <cell r="G108">
            <v>10</v>
          </cell>
          <cell r="J108">
            <v>0</v>
          </cell>
          <cell r="M108"/>
          <cell r="N108"/>
          <cell r="O108"/>
          <cell r="P108"/>
          <cell r="Q108"/>
          <cell r="R108"/>
          <cell r="S108">
            <v>80</v>
          </cell>
          <cell r="T108"/>
          <cell r="U108"/>
          <cell r="V108"/>
          <cell r="W108"/>
          <cell r="X108"/>
          <cell r="Y108"/>
        </row>
        <row r="109">
          <cell r="A109">
            <v>0</v>
          </cell>
          <cell r="C109">
            <v>20</v>
          </cell>
          <cell r="D109">
            <v>0</v>
          </cell>
          <cell r="E109">
            <v>0</v>
          </cell>
          <cell r="F109">
            <v>0</v>
          </cell>
          <cell r="G109">
            <v>20</v>
          </cell>
          <cell r="J109">
            <v>0</v>
          </cell>
          <cell r="M109"/>
          <cell r="N109"/>
          <cell r="O109">
            <v>45</v>
          </cell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</row>
        <row r="110">
          <cell r="A110">
            <v>0</v>
          </cell>
          <cell r="C110">
            <v>50</v>
          </cell>
          <cell r="D110">
            <v>0</v>
          </cell>
          <cell r="E110">
            <v>0</v>
          </cell>
          <cell r="F110">
            <v>0</v>
          </cell>
          <cell r="G110">
            <v>50</v>
          </cell>
          <cell r="J110">
            <v>0</v>
          </cell>
          <cell r="M110"/>
          <cell r="N110"/>
          <cell r="O110"/>
          <cell r="P110"/>
          <cell r="Q110"/>
          <cell r="R110"/>
          <cell r="S110">
            <v>10</v>
          </cell>
          <cell r="T110"/>
          <cell r="U110"/>
          <cell r="V110"/>
          <cell r="W110"/>
          <cell r="X110"/>
          <cell r="Y110"/>
        </row>
        <row r="111">
          <cell r="A111">
            <v>0</v>
          </cell>
          <cell r="C111">
            <v>100</v>
          </cell>
          <cell r="D111">
            <v>0</v>
          </cell>
          <cell r="E111">
            <v>0</v>
          </cell>
          <cell r="F111">
            <v>0</v>
          </cell>
          <cell r="G111">
            <v>100</v>
          </cell>
          <cell r="J111">
            <v>0</v>
          </cell>
          <cell r="M111">
            <v>20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</row>
        <row r="112">
          <cell r="A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J112">
            <v>0</v>
          </cell>
          <cell r="M112">
            <v>50</v>
          </cell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</row>
        <row r="113">
          <cell r="A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J113">
            <v>0</v>
          </cell>
          <cell r="M113"/>
          <cell r="N113"/>
          <cell r="O113"/>
          <cell r="P113"/>
          <cell r="Q113"/>
          <cell r="R113"/>
          <cell r="S113">
            <v>100</v>
          </cell>
          <cell r="T113"/>
          <cell r="U113"/>
          <cell r="V113"/>
          <cell r="W113"/>
          <cell r="X113"/>
          <cell r="Y113"/>
        </row>
        <row r="114">
          <cell r="A114">
            <v>0</v>
          </cell>
          <cell r="C114">
            <v>225</v>
          </cell>
          <cell r="D114">
            <v>0</v>
          </cell>
          <cell r="E114">
            <v>0</v>
          </cell>
          <cell r="F114">
            <v>0</v>
          </cell>
          <cell r="G114">
            <v>225</v>
          </cell>
          <cell r="J114">
            <v>0</v>
          </cell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</row>
        <row r="115">
          <cell r="A115">
            <v>0</v>
          </cell>
          <cell r="C115">
            <v>10</v>
          </cell>
          <cell r="D115">
            <v>0</v>
          </cell>
          <cell r="E115">
            <v>0</v>
          </cell>
          <cell r="F115">
            <v>0</v>
          </cell>
          <cell r="G115">
            <v>10</v>
          </cell>
          <cell r="J115">
            <v>0</v>
          </cell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</row>
        <row r="116">
          <cell r="A116">
            <v>0</v>
          </cell>
          <cell r="C116">
            <v>10</v>
          </cell>
          <cell r="D116">
            <v>0</v>
          </cell>
          <cell r="E116">
            <v>0</v>
          </cell>
          <cell r="F116">
            <v>0</v>
          </cell>
          <cell r="G116">
            <v>10</v>
          </cell>
          <cell r="J116">
            <v>0</v>
          </cell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>
            <v>225</v>
          </cell>
          <cell r="X116"/>
          <cell r="Y116"/>
        </row>
        <row r="117">
          <cell r="A117">
            <v>0</v>
          </cell>
          <cell r="C117">
            <v>150</v>
          </cell>
          <cell r="D117">
            <v>0</v>
          </cell>
          <cell r="E117">
            <v>0</v>
          </cell>
          <cell r="F117">
            <v>0</v>
          </cell>
          <cell r="G117">
            <v>150</v>
          </cell>
          <cell r="J117">
            <v>0</v>
          </cell>
          <cell r="M117">
            <v>10</v>
          </cell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</row>
        <row r="118">
          <cell r="A118">
            <v>0</v>
          </cell>
          <cell r="C118">
            <v>5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J118">
            <v>0</v>
          </cell>
          <cell r="M118"/>
          <cell r="N118">
            <v>10</v>
          </cell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</row>
        <row r="119">
          <cell r="A119">
            <v>0</v>
          </cell>
          <cell r="C119">
            <v>20</v>
          </cell>
          <cell r="D119">
            <v>0</v>
          </cell>
          <cell r="E119">
            <v>0</v>
          </cell>
          <cell r="F119">
            <v>0</v>
          </cell>
          <cell r="G119">
            <v>20</v>
          </cell>
          <cell r="J119">
            <v>0</v>
          </cell>
          <cell r="M119"/>
          <cell r="N119">
            <v>150</v>
          </cell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</row>
        <row r="120">
          <cell r="A120">
            <v>0</v>
          </cell>
          <cell r="C120">
            <v>25</v>
          </cell>
          <cell r="D120">
            <v>0</v>
          </cell>
          <cell r="E120">
            <v>0</v>
          </cell>
          <cell r="F120">
            <v>0</v>
          </cell>
          <cell r="G120">
            <v>25</v>
          </cell>
          <cell r="J120">
            <v>0</v>
          </cell>
          <cell r="M120"/>
          <cell r="N120">
            <v>5</v>
          </cell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</row>
        <row r="121">
          <cell r="A121">
            <v>0</v>
          </cell>
          <cell r="C121">
            <v>50</v>
          </cell>
          <cell r="D121">
            <v>0</v>
          </cell>
          <cell r="E121">
            <v>0</v>
          </cell>
          <cell r="F121">
            <v>0</v>
          </cell>
          <cell r="G121">
            <v>50</v>
          </cell>
          <cell r="J121">
            <v>0</v>
          </cell>
          <cell r="M121"/>
          <cell r="N121"/>
          <cell r="O121"/>
          <cell r="P121">
            <v>20</v>
          </cell>
          <cell r="Q121"/>
          <cell r="R121"/>
          <cell r="S121"/>
          <cell r="T121"/>
          <cell r="U121"/>
          <cell r="V121"/>
          <cell r="W121"/>
          <cell r="X121"/>
          <cell r="Y121"/>
        </row>
        <row r="122">
          <cell r="A122">
            <v>0</v>
          </cell>
          <cell r="C122">
            <v>65</v>
          </cell>
          <cell r="D122">
            <v>0</v>
          </cell>
          <cell r="E122">
            <v>0</v>
          </cell>
          <cell r="F122">
            <v>0</v>
          </cell>
          <cell r="G122">
            <v>65</v>
          </cell>
          <cell r="J122">
            <v>0</v>
          </cell>
          <cell r="M122"/>
          <cell r="N122">
            <v>25</v>
          </cell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</row>
        <row r="123">
          <cell r="A123">
            <v>0</v>
          </cell>
          <cell r="C123">
            <v>20</v>
          </cell>
          <cell r="D123">
            <v>0</v>
          </cell>
          <cell r="E123">
            <v>0</v>
          </cell>
          <cell r="F123">
            <v>0</v>
          </cell>
          <cell r="G123">
            <v>20</v>
          </cell>
          <cell r="J123">
            <v>0</v>
          </cell>
          <cell r="M123"/>
          <cell r="N123"/>
          <cell r="O123">
            <v>50</v>
          </cell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</row>
        <row r="124">
          <cell r="A124">
            <v>0</v>
          </cell>
          <cell r="C124">
            <v>50</v>
          </cell>
          <cell r="D124">
            <v>0</v>
          </cell>
          <cell r="E124">
            <v>0</v>
          </cell>
          <cell r="F124">
            <v>0</v>
          </cell>
          <cell r="G124">
            <v>50</v>
          </cell>
          <cell r="J124">
            <v>0</v>
          </cell>
          <cell r="M124"/>
          <cell r="N124">
            <v>65</v>
          </cell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</row>
        <row r="125">
          <cell r="A125">
            <v>0</v>
          </cell>
          <cell r="C125">
            <v>10</v>
          </cell>
          <cell r="D125">
            <v>0</v>
          </cell>
          <cell r="E125">
            <v>0</v>
          </cell>
          <cell r="F125">
            <v>0</v>
          </cell>
          <cell r="G125">
            <v>10</v>
          </cell>
          <cell r="J125">
            <v>0</v>
          </cell>
          <cell r="M125"/>
          <cell r="N125"/>
          <cell r="O125"/>
          <cell r="P125"/>
          <cell r="Q125"/>
          <cell r="R125"/>
          <cell r="S125"/>
          <cell r="T125"/>
          <cell r="U125">
            <v>20</v>
          </cell>
          <cell r="V125"/>
          <cell r="W125"/>
          <cell r="X125"/>
          <cell r="Y125"/>
        </row>
        <row r="126">
          <cell r="A126">
            <v>0</v>
          </cell>
          <cell r="C126">
            <v>5</v>
          </cell>
          <cell r="D126">
            <v>0</v>
          </cell>
          <cell r="E126">
            <v>0</v>
          </cell>
          <cell r="F126">
            <v>0</v>
          </cell>
          <cell r="G126">
            <v>5</v>
          </cell>
          <cell r="J126">
            <v>0</v>
          </cell>
          <cell r="M126"/>
          <cell r="N126"/>
          <cell r="O126"/>
          <cell r="P126"/>
          <cell r="Q126"/>
          <cell r="R126"/>
          <cell r="S126"/>
          <cell r="T126">
            <v>50</v>
          </cell>
          <cell r="U126"/>
          <cell r="V126"/>
          <cell r="W126"/>
          <cell r="X126"/>
          <cell r="Y126"/>
        </row>
        <row r="127">
          <cell r="A127">
            <v>0</v>
          </cell>
          <cell r="C127">
            <v>30</v>
          </cell>
          <cell r="D127">
            <v>0</v>
          </cell>
          <cell r="E127">
            <v>0</v>
          </cell>
          <cell r="F127">
            <v>0</v>
          </cell>
          <cell r="G127">
            <v>30</v>
          </cell>
          <cell r="J127">
            <v>0</v>
          </cell>
          <cell r="M127"/>
          <cell r="N127"/>
          <cell r="O127"/>
          <cell r="P127"/>
          <cell r="Q127">
            <v>10</v>
          </cell>
          <cell r="R127"/>
          <cell r="S127"/>
          <cell r="T127"/>
          <cell r="U127"/>
          <cell r="V127"/>
          <cell r="W127"/>
          <cell r="X127"/>
          <cell r="Y127"/>
        </row>
        <row r="128">
          <cell r="A128">
            <v>0</v>
          </cell>
          <cell r="C128">
            <v>50</v>
          </cell>
          <cell r="D128">
            <v>0</v>
          </cell>
          <cell r="E128">
            <v>0</v>
          </cell>
          <cell r="F128">
            <v>0</v>
          </cell>
          <cell r="G128">
            <v>50</v>
          </cell>
          <cell r="J128">
            <v>0</v>
          </cell>
          <cell r="M128"/>
          <cell r="N128"/>
          <cell r="O128"/>
          <cell r="P128"/>
          <cell r="Q128"/>
          <cell r="R128"/>
          <cell r="S128"/>
          <cell r="T128">
            <v>5</v>
          </cell>
          <cell r="U128"/>
          <cell r="V128"/>
          <cell r="W128"/>
          <cell r="X128"/>
          <cell r="Y128"/>
        </row>
        <row r="129">
          <cell r="A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J129">
            <v>0</v>
          </cell>
          <cell r="M129">
            <v>30</v>
          </cell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</row>
        <row r="130">
          <cell r="A130">
            <v>0</v>
          </cell>
          <cell r="C130">
            <v>15</v>
          </cell>
          <cell r="D130">
            <v>0</v>
          </cell>
          <cell r="E130">
            <v>0</v>
          </cell>
          <cell r="F130">
            <v>0</v>
          </cell>
          <cell r="G130">
            <v>15</v>
          </cell>
          <cell r="J130">
            <v>0</v>
          </cell>
          <cell r="M130"/>
          <cell r="N130"/>
          <cell r="O130"/>
          <cell r="P130"/>
          <cell r="Q130"/>
          <cell r="R130"/>
          <cell r="S130">
            <v>50</v>
          </cell>
          <cell r="T130"/>
          <cell r="U130"/>
          <cell r="V130"/>
          <cell r="W130"/>
          <cell r="X130"/>
          <cell r="Y130"/>
        </row>
        <row r="131">
          <cell r="A131">
            <v>0</v>
          </cell>
          <cell r="C131">
            <v>70</v>
          </cell>
          <cell r="D131">
            <v>0</v>
          </cell>
          <cell r="E131">
            <v>0</v>
          </cell>
          <cell r="F131">
            <v>0</v>
          </cell>
          <cell r="G131">
            <v>70</v>
          </cell>
          <cell r="J131">
            <v>0</v>
          </cell>
          <cell r="M131"/>
          <cell r="N131"/>
          <cell r="O131"/>
          <cell r="P131"/>
          <cell r="Q131"/>
          <cell r="R131">
            <v>0</v>
          </cell>
          <cell r="S131"/>
          <cell r="T131"/>
          <cell r="U131"/>
          <cell r="V131"/>
          <cell r="W131"/>
          <cell r="X131"/>
          <cell r="Y131"/>
        </row>
        <row r="132">
          <cell r="A132">
            <v>0</v>
          </cell>
          <cell r="C132">
            <v>70</v>
          </cell>
          <cell r="D132">
            <v>0</v>
          </cell>
          <cell r="E132">
            <v>0</v>
          </cell>
          <cell r="F132">
            <v>0</v>
          </cell>
          <cell r="G132">
            <v>70</v>
          </cell>
          <cell r="J132">
            <v>0</v>
          </cell>
          <cell r="M132"/>
          <cell r="N132"/>
          <cell r="O132"/>
          <cell r="P132"/>
          <cell r="Q132"/>
          <cell r="R132">
            <v>15</v>
          </cell>
          <cell r="S132"/>
          <cell r="T132"/>
          <cell r="U132"/>
          <cell r="V132"/>
          <cell r="W132"/>
          <cell r="X132"/>
          <cell r="Y132"/>
        </row>
        <row r="133">
          <cell r="A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J133">
            <v>0</v>
          </cell>
          <cell r="M133"/>
          <cell r="N133"/>
          <cell r="O133"/>
          <cell r="P133"/>
          <cell r="Q133"/>
          <cell r="R133">
            <v>70</v>
          </cell>
          <cell r="S133"/>
          <cell r="T133"/>
          <cell r="U133"/>
          <cell r="V133"/>
          <cell r="W133"/>
          <cell r="X133"/>
          <cell r="Y133"/>
        </row>
        <row r="134">
          <cell r="A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J134">
            <v>0</v>
          </cell>
          <cell r="M134"/>
          <cell r="N134"/>
          <cell r="O134"/>
          <cell r="P134"/>
          <cell r="Q134"/>
          <cell r="R134">
            <v>70</v>
          </cell>
          <cell r="S134"/>
          <cell r="T134"/>
          <cell r="U134"/>
          <cell r="V134"/>
          <cell r="W134"/>
          <cell r="X134"/>
          <cell r="Y134"/>
        </row>
        <row r="135">
          <cell r="A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910</v>
          </cell>
          <cell r="J135">
            <v>0</v>
          </cell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</row>
        <row r="136">
          <cell r="A136">
            <v>0</v>
          </cell>
          <cell r="C136">
            <v>0</v>
          </cell>
          <cell r="D136">
            <v>40</v>
          </cell>
          <cell r="E136">
            <v>60</v>
          </cell>
          <cell r="F136">
            <v>40</v>
          </cell>
          <cell r="G136">
            <v>305</v>
          </cell>
          <cell r="J136">
            <v>0</v>
          </cell>
          <cell r="M136"/>
          <cell r="N136"/>
          <cell r="O136"/>
          <cell r="P136"/>
          <cell r="Q136"/>
          <cell r="R136"/>
          <cell r="S136"/>
          <cell r="T136"/>
          <cell r="U136"/>
          <cell r="V136">
            <v>0</v>
          </cell>
          <cell r="W136"/>
          <cell r="X136"/>
          <cell r="Y136"/>
        </row>
        <row r="137">
          <cell r="A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400</v>
          </cell>
          <cell r="J137">
            <v>0</v>
          </cell>
          <cell r="M137">
            <v>910</v>
          </cell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</row>
        <row r="138">
          <cell r="A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68</v>
          </cell>
          <cell r="J138">
            <v>0</v>
          </cell>
          <cell r="M138"/>
          <cell r="N138"/>
          <cell r="O138"/>
          <cell r="P138"/>
          <cell r="Q138"/>
          <cell r="R138"/>
          <cell r="S138"/>
          <cell r="T138"/>
          <cell r="U138">
            <v>305</v>
          </cell>
          <cell r="V138"/>
          <cell r="W138"/>
          <cell r="X138"/>
          <cell r="Y138"/>
        </row>
        <row r="139">
          <cell r="A139">
            <v>0</v>
          </cell>
          <cell r="C139">
            <v>0</v>
          </cell>
          <cell r="D139">
            <v>10</v>
          </cell>
          <cell r="E139">
            <v>20</v>
          </cell>
          <cell r="F139">
            <v>25</v>
          </cell>
          <cell r="G139">
            <v>175</v>
          </cell>
          <cell r="J139">
            <v>0</v>
          </cell>
          <cell r="M139">
            <v>400</v>
          </cell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</row>
        <row r="140">
          <cell r="A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256</v>
          </cell>
          <cell r="J140">
            <v>0</v>
          </cell>
          <cell r="M140"/>
          <cell r="N140"/>
          <cell r="O140">
            <v>68</v>
          </cell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</row>
        <row r="141">
          <cell r="A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31</v>
          </cell>
          <cell r="J141">
            <v>0</v>
          </cell>
          <cell r="M141">
            <v>175</v>
          </cell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</row>
        <row r="142">
          <cell r="A142">
            <v>0</v>
          </cell>
          <cell r="C142">
            <v>73</v>
          </cell>
          <cell r="D142">
            <v>0</v>
          </cell>
          <cell r="E142">
            <v>0</v>
          </cell>
          <cell r="F142">
            <v>0</v>
          </cell>
          <cell r="G142">
            <v>496</v>
          </cell>
          <cell r="J142">
            <v>0</v>
          </cell>
          <cell r="M142"/>
          <cell r="N142"/>
          <cell r="O142">
            <v>256</v>
          </cell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</row>
        <row r="143">
          <cell r="A143">
            <v>0</v>
          </cell>
          <cell r="C143">
            <v>4</v>
          </cell>
          <cell r="D143">
            <v>0</v>
          </cell>
          <cell r="E143">
            <v>0</v>
          </cell>
          <cell r="F143">
            <v>0</v>
          </cell>
          <cell r="G143">
            <v>4</v>
          </cell>
          <cell r="J143">
            <v>0</v>
          </cell>
          <cell r="M143"/>
          <cell r="N143"/>
          <cell r="O143"/>
          <cell r="P143"/>
          <cell r="Q143"/>
          <cell r="R143">
            <v>31</v>
          </cell>
          <cell r="S143"/>
          <cell r="T143"/>
          <cell r="U143"/>
          <cell r="V143"/>
          <cell r="W143"/>
          <cell r="X143"/>
          <cell r="Y143"/>
        </row>
        <row r="144">
          <cell r="A144">
            <v>0</v>
          </cell>
          <cell r="C144">
            <v>40</v>
          </cell>
          <cell r="D144">
            <v>0</v>
          </cell>
          <cell r="E144">
            <v>0</v>
          </cell>
          <cell r="F144">
            <v>0</v>
          </cell>
          <cell r="G144">
            <v>40</v>
          </cell>
          <cell r="J144">
            <v>0</v>
          </cell>
          <cell r="M144"/>
          <cell r="N144"/>
          <cell r="O144"/>
          <cell r="P144"/>
          <cell r="Q144">
            <v>496</v>
          </cell>
          <cell r="R144"/>
          <cell r="S144"/>
          <cell r="T144"/>
          <cell r="U144"/>
          <cell r="V144"/>
          <cell r="W144"/>
          <cell r="X144"/>
          <cell r="Y144"/>
        </row>
        <row r="145">
          <cell r="A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30</v>
          </cell>
          <cell r="J145">
            <v>0</v>
          </cell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</row>
        <row r="146">
          <cell r="A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J146">
            <v>0</v>
          </cell>
          <cell r="M146">
            <v>40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</row>
        <row r="147">
          <cell r="A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J147">
            <v>0</v>
          </cell>
          <cell r="M147"/>
          <cell r="N147"/>
          <cell r="O147"/>
          <cell r="P147"/>
          <cell r="Q147"/>
          <cell r="R147"/>
          <cell r="S147"/>
          <cell r="T147">
            <v>30</v>
          </cell>
          <cell r="U147"/>
          <cell r="V147"/>
          <cell r="W147"/>
          <cell r="X147"/>
          <cell r="Y147"/>
        </row>
        <row r="148">
          <cell r="A148">
            <v>0</v>
          </cell>
          <cell r="C148">
            <v>5</v>
          </cell>
          <cell r="D148">
            <v>0</v>
          </cell>
          <cell r="E148">
            <v>0</v>
          </cell>
          <cell r="F148">
            <v>0</v>
          </cell>
          <cell r="G148">
            <v>5</v>
          </cell>
          <cell r="J148">
            <v>0</v>
          </cell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>
            <v>0</v>
          </cell>
          <cell r="Y148"/>
        </row>
        <row r="149">
          <cell r="A149">
            <v>0</v>
          </cell>
          <cell r="C149">
            <v>8</v>
          </cell>
          <cell r="D149">
            <v>0</v>
          </cell>
          <cell r="E149">
            <v>0</v>
          </cell>
          <cell r="F149">
            <v>0</v>
          </cell>
          <cell r="G149">
            <v>8</v>
          </cell>
          <cell r="J149">
            <v>0</v>
          </cell>
          <cell r="M149"/>
          <cell r="N149">
            <v>0</v>
          </cell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</row>
        <row r="150">
          <cell r="A150">
            <v>0</v>
          </cell>
          <cell r="C150">
            <v>0</v>
          </cell>
          <cell r="D150">
            <v>680</v>
          </cell>
          <cell r="E150">
            <v>450</v>
          </cell>
          <cell r="F150">
            <v>450</v>
          </cell>
          <cell r="G150">
            <v>4560</v>
          </cell>
          <cell r="J150">
            <v>0</v>
          </cell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</row>
        <row r="151">
          <cell r="A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J151">
            <v>0</v>
          </cell>
          <cell r="M151">
            <v>8</v>
          </cell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</row>
        <row r="152">
          <cell r="A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400</v>
          </cell>
          <cell r="J152">
            <v>0</v>
          </cell>
          <cell r="M152"/>
          <cell r="N152"/>
          <cell r="O152"/>
          <cell r="P152"/>
          <cell r="Q152">
            <v>4560</v>
          </cell>
          <cell r="R152"/>
          <cell r="S152"/>
          <cell r="T152"/>
          <cell r="U152"/>
          <cell r="V152"/>
          <cell r="W152"/>
          <cell r="X152"/>
          <cell r="Y152"/>
        </row>
        <row r="153">
          <cell r="A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34</v>
          </cell>
          <cell r="J153">
            <v>0</v>
          </cell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>
            <v>0</v>
          </cell>
          <cell r="X153"/>
          <cell r="Y153"/>
        </row>
        <row r="154">
          <cell r="A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100</v>
          </cell>
          <cell r="J154">
            <v>0</v>
          </cell>
          <cell r="M154">
            <v>400</v>
          </cell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</row>
        <row r="155">
          <cell r="A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96</v>
          </cell>
          <cell r="J155">
            <v>0</v>
          </cell>
          <cell r="M155"/>
          <cell r="N155"/>
          <cell r="O155">
            <v>34</v>
          </cell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</row>
        <row r="156">
          <cell r="A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98</v>
          </cell>
          <cell r="J156">
            <v>0</v>
          </cell>
          <cell r="M156">
            <v>100</v>
          </cell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</row>
        <row r="157">
          <cell r="A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230</v>
          </cell>
          <cell r="J157">
            <v>0</v>
          </cell>
          <cell r="M157"/>
          <cell r="N157"/>
          <cell r="O157"/>
          <cell r="P157"/>
          <cell r="Q157"/>
          <cell r="R157"/>
          <cell r="S157">
            <v>96</v>
          </cell>
          <cell r="T157"/>
          <cell r="U157"/>
          <cell r="V157"/>
          <cell r="W157"/>
          <cell r="X157"/>
          <cell r="Y157"/>
        </row>
        <row r="158">
          <cell r="A158">
            <v>0</v>
          </cell>
          <cell r="C158">
            <v>200</v>
          </cell>
          <cell r="D158">
            <v>0</v>
          </cell>
          <cell r="E158">
            <v>0</v>
          </cell>
          <cell r="F158">
            <v>0</v>
          </cell>
          <cell r="G158">
            <v>200</v>
          </cell>
          <cell r="J158">
            <v>0</v>
          </cell>
          <cell r="M158"/>
          <cell r="N158">
            <v>223.4</v>
          </cell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</row>
        <row r="159">
          <cell r="A159">
            <v>0</v>
          </cell>
          <cell r="C159">
            <v>200</v>
          </cell>
          <cell r="D159">
            <v>25</v>
          </cell>
          <cell r="E159">
            <v>100</v>
          </cell>
          <cell r="F159">
            <v>25</v>
          </cell>
          <cell r="G159">
            <v>350</v>
          </cell>
          <cell r="J159">
            <v>0</v>
          </cell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</row>
        <row r="160">
          <cell r="A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J160">
            <v>0</v>
          </cell>
          <cell r="M160">
            <v>350</v>
          </cell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</row>
        <row r="161">
          <cell r="A161">
            <v>0</v>
          </cell>
          <cell r="C161">
            <v>225</v>
          </cell>
          <cell r="D161">
            <v>0</v>
          </cell>
          <cell r="E161">
            <v>0</v>
          </cell>
          <cell r="F161">
            <v>0</v>
          </cell>
          <cell r="G161">
            <v>352</v>
          </cell>
          <cell r="J161">
            <v>0</v>
          </cell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</row>
        <row r="162">
          <cell r="A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628</v>
          </cell>
          <cell r="J162">
            <v>0</v>
          </cell>
          <cell r="M162">
            <v>352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</row>
        <row r="163">
          <cell r="A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50</v>
          </cell>
          <cell r="J163">
            <v>0</v>
          </cell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>
            <v>628</v>
          </cell>
          <cell r="X163"/>
          <cell r="Y163"/>
        </row>
        <row r="164">
          <cell r="A164">
            <v>0</v>
          </cell>
          <cell r="C164">
            <v>85</v>
          </cell>
          <cell r="D164">
            <v>22</v>
          </cell>
          <cell r="E164">
            <v>25</v>
          </cell>
          <cell r="F164">
            <v>29</v>
          </cell>
          <cell r="G164">
            <v>192</v>
          </cell>
          <cell r="J164">
            <v>0</v>
          </cell>
          <cell r="M164"/>
          <cell r="N164"/>
          <cell r="O164"/>
          <cell r="P164"/>
          <cell r="Q164"/>
          <cell r="R164"/>
          <cell r="S164"/>
          <cell r="T164">
            <v>50</v>
          </cell>
          <cell r="U164"/>
          <cell r="V164"/>
          <cell r="W164"/>
          <cell r="X164"/>
          <cell r="Y164"/>
        </row>
        <row r="165">
          <cell r="A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J165">
            <v>0</v>
          </cell>
          <cell r="M165"/>
          <cell r="N165"/>
          <cell r="O165"/>
          <cell r="P165"/>
          <cell r="Q165"/>
          <cell r="R165"/>
          <cell r="S165"/>
          <cell r="T165">
            <v>192</v>
          </cell>
          <cell r="U165"/>
          <cell r="V165"/>
          <cell r="W165"/>
          <cell r="X165"/>
          <cell r="Y165"/>
        </row>
        <row r="166">
          <cell r="A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510</v>
          </cell>
          <cell r="J166">
            <v>0</v>
          </cell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</row>
        <row r="167">
          <cell r="A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97</v>
          </cell>
          <cell r="J167">
            <v>0</v>
          </cell>
          <cell r="M167"/>
          <cell r="N167">
            <v>510</v>
          </cell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</row>
        <row r="168">
          <cell r="A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40</v>
          </cell>
          <cell r="J168">
            <v>0</v>
          </cell>
          <cell r="M168"/>
          <cell r="N168">
            <v>97</v>
          </cell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</row>
        <row r="169">
          <cell r="A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1350</v>
          </cell>
          <cell r="J169">
            <v>0</v>
          </cell>
          <cell r="M169">
            <v>40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</row>
        <row r="170">
          <cell r="A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77</v>
          </cell>
          <cell r="J170">
            <v>0</v>
          </cell>
          <cell r="M170">
            <v>1350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</row>
        <row r="171">
          <cell r="A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130</v>
          </cell>
          <cell r="J171">
            <v>0</v>
          </cell>
          <cell r="M171">
            <v>77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</row>
        <row r="172">
          <cell r="A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J172">
            <v>0</v>
          </cell>
          <cell r="M172"/>
          <cell r="N172">
            <v>130</v>
          </cell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</row>
        <row r="173">
          <cell r="A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J173">
            <v>0</v>
          </cell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>
            <v>0</v>
          </cell>
          <cell r="X173"/>
          <cell r="Y173"/>
        </row>
        <row r="174">
          <cell r="A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251</v>
          </cell>
          <cell r="J174">
            <v>0</v>
          </cell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>
            <v>0</v>
          </cell>
          <cell r="X174"/>
          <cell r="Y174"/>
        </row>
        <row r="175">
          <cell r="A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J175">
            <v>0</v>
          </cell>
          <cell r="M175"/>
          <cell r="N175"/>
          <cell r="O175"/>
          <cell r="P175"/>
          <cell r="Q175"/>
          <cell r="R175"/>
          <cell r="S175"/>
          <cell r="T175"/>
          <cell r="U175">
            <v>251</v>
          </cell>
          <cell r="V175"/>
          <cell r="W175"/>
          <cell r="X175"/>
          <cell r="Y175"/>
        </row>
        <row r="176">
          <cell r="A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40</v>
          </cell>
          <cell r="J176">
            <v>0</v>
          </cell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</row>
        <row r="177">
          <cell r="A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120</v>
          </cell>
          <cell r="J177">
            <v>0</v>
          </cell>
          <cell r="M177"/>
          <cell r="N177"/>
          <cell r="O177"/>
          <cell r="P177"/>
          <cell r="Q177"/>
          <cell r="R177"/>
          <cell r="S177">
            <v>40</v>
          </cell>
          <cell r="T177"/>
          <cell r="U177"/>
          <cell r="V177"/>
          <cell r="W177"/>
          <cell r="X177"/>
          <cell r="Y177"/>
        </row>
        <row r="178">
          <cell r="A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125</v>
          </cell>
          <cell r="J178">
            <v>0</v>
          </cell>
          <cell r="M178"/>
          <cell r="N178">
            <v>120</v>
          </cell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</row>
        <row r="179">
          <cell r="A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J179">
            <v>0</v>
          </cell>
          <cell r="M179">
            <v>125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</row>
        <row r="180">
          <cell r="A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50</v>
          </cell>
          <cell r="J180">
            <v>0</v>
          </cell>
          <cell r="M180"/>
          <cell r="N180"/>
          <cell r="O180"/>
          <cell r="P180"/>
          <cell r="Q180"/>
          <cell r="R180"/>
          <cell r="S180"/>
          <cell r="T180"/>
          <cell r="U180"/>
          <cell r="V180">
            <v>0</v>
          </cell>
          <cell r="W180"/>
          <cell r="X180"/>
          <cell r="Y180"/>
        </row>
        <row r="181">
          <cell r="A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25</v>
          </cell>
          <cell r="J181">
            <v>0</v>
          </cell>
          <cell r="M181"/>
          <cell r="N181"/>
          <cell r="O181"/>
          <cell r="P181"/>
          <cell r="Q181"/>
          <cell r="R181"/>
          <cell r="S181">
            <v>50</v>
          </cell>
          <cell r="T181"/>
          <cell r="U181"/>
          <cell r="V181"/>
          <cell r="W181"/>
          <cell r="X181"/>
          <cell r="Y181"/>
        </row>
        <row r="182">
          <cell r="A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J182">
            <v>0</v>
          </cell>
          <cell r="M182">
            <v>25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</row>
        <row r="183">
          <cell r="A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J183">
            <v>0</v>
          </cell>
          <cell r="M183"/>
          <cell r="N183"/>
          <cell r="O183"/>
          <cell r="P183"/>
          <cell r="Q183"/>
          <cell r="R183"/>
          <cell r="S183"/>
          <cell r="T183"/>
          <cell r="U183"/>
          <cell r="V183">
            <v>0</v>
          </cell>
          <cell r="W183"/>
          <cell r="X183"/>
          <cell r="Y183"/>
        </row>
        <row r="184">
          <cell r="A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J184">
            <v>0</v>
          </cell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>
            <v>0</v>
          </cell>
        </row>
        <row r="185">
          <cell r="A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J185">
            <v>0</v>
          </cell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>
            <v>0</v>
          </cell>
          <cell r="X185"/>
          <cell r="Y185"/>
        </row>
        <row r="186">
          <cell r="A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209</v>
          </cell>
          <cell r="J186">
            <v>0</v>
          </cell>
          <cell r="M186"/>
          <cell r="N186"/>
          <cell r="O186">
            <v>0</v>
          </cell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</row>
        <row r="187">
          <cell r="A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J187">
            <v>0</v>
          </cell>
          <cell r="M187">
            <v>209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</row>
        <row r="188">
          <cell r="A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J188">
            <v>0</v>
          </cell>
          <cell r="M188">
            <v>0</v>
          </cell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</row>
        <row r="189">
          <cell r="A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150</v>
          </cell>
          <cell r="J189">
            <v>0</v>
          </cell>
          <cell r="M189"/>
          <cell r="N189">
            <v>0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</row>
        <row r="190">
          <cell r="A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6</v>
          </cell>
          <cell r="J190">
            <v>0</v>
          </cell>
          <cell r="M190"/>
          <cell r="N190"/>
          <cell r="O190"/>
          <cell r="P190"/>
          <cell r="Q190"/>
          <cell r="R190"/>
          <cell r="S190">
            <v>150</v>
          </cell>
          <cell r="T190"/>
          <cell r="U190"/>
          <cell r="V190"/>
          <cell r="W190"/>
          <cell r="X190"/>
          <cell r="Y190"/>
        </row>
        <row r="191">
          <cell r="A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100</v>
          </cell>
          <cell r="J191">
            <v>0</v>
          </cell>
          <cell r="M191"/>
          <cell r="N191">
            <v>6</v>
          </cell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</row>
        <row r="192">
          <cell r="A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200</v>
          </cell>
          <cell r="J192">
            <v>0</v>
          </cell>
          <cell r="M192"/>
          <cell r="N192"/>
          <cell r="O192">
            <v>100</v>
          </cell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</row>
        <row r="193">
          <cell r="A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240</v>
          </cell>
          <cell r="J193">
            <v>0</v>
          </cell>
          <cell r="M193">
            <v>200</v>
          </cell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</row>
        <row r="194">
          <cell r="A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J194">
            <v>0</v>
          </cell>
          <cell r="M194"/>
          <cell r="N194"/>
          <cell r="O194">
            <v>240</v>
          </cell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</row>
        <row r="195">
          <cell r="A195">
            <v>0</v>
          </cell>
          <cell r="C195">
            <v>1190</v>
          </cell>
          <cell r="D195">
            <v>0</v>
          </cell>
          <cell r="E195">
            <v>0</v>
          </cell>
          <cell r="F195">
            <v>0</v>
          </cell>
          <cell r="G195">
            <v>1190</v>
          </cell>
          <cell r="J195">
            <v>0</v>
          </cell>
          <cell r="M195"/>
          <cell r="N195"/>
          <cell r="O195"/>
          <cell r="P195"/>
          <cell r="Q195"/>
          <cell r="R195">
            <v>0</v>
          </cell>
          <cell r="S195"/>
          <cell r="T195"/>
          <cell r="U195"/>
          <cell r="V195"/>
          <cell r="W195"/>
          <cell r="X195"/>
          <cell r="Y195"/>
        </row>
        <row r="196">
          <cell r="A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200</v>
          </cell>
          <cell r="J196">
            <v>0</v>
          </cell>
          <cell r="M196"/>
          <cell r="N196"/>
          <cell r="O196"/>
          <cell r="P196"/>
          <cell r="Q196"/>
          <cell r="R196"/>
          <cell r="S196">
            <v>1190</v>
          </cell>
          <cell r="T196"/>
          <cell r="U196"/>
          <cell r="V196"/>
          <cell r="W196"/>
          <cell r="X196"/>
          <cell r="Y196"/>
        </row>
        <row r="197">
          <cell r="A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173</v>
          </cell>
          <cell r="J197">
            <v>0</v>
          </cell>
          <cell r="M197"/>
          <cell r="N197"/>
          <cell r="O197"/>
          <cell r="P197"/>
          <cell r="Q197"/>
          <cell r="R197"/>
          <cell r="S197">
            <v>200</v>
          </cell>
          <cell r="T197"/>
          <cell r="U197"/>
          <cell r="V197"/>
          <cell r="W197"/>
          <cell r="X197"/>
          <cell r="Y197"/>
        </row>
        <row r="198">
          <cell r="A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J198">
            <v>0</v>
          </cell>
          <cell r="M198"/>
          <cell r="N198"/>
          <cell r="O198"/>
          <cell r="P198">
            <v>173</v>
          </cell>
          <cell r="Q198"/>
          <cell r="R198"/>
          <cell r="S198"/>
          <cell r="T198"/>
          <cell r="U198"/>
          <cell r="V198"/>
          <cell r="W198"/>
          <cell r="X198"/>
          <cell r="Y198"/>
        </row>
        <row r="199">
          <cell r="A199">
            <v>0</v>
          </cell>
          <cell r="C199">
            <v>200</v>
          </cell>
          <cell r="D199">
            <v>0</v>
          </cell>
          <cell r="E199">
            <v>0</v>
          </cell>
          <cell r="F199">
            <v>0</v>
          </cell>
          <cell r="G199">
            <v>200</v>
          </cell>
          <cell r="J199">
            <v>0</v>
          </cell>
          <cell r="M199"/>
          <cell r="N199"/>
          <cell r="O199"/>
          <cell r="P199"/>
          <cell r="Q199"/>
          <cell r="R199"/>
          <cell r="S199"/>
          <cell r="T199"/>
          <cell r="U199"/>
          <cell r="V199">
            <v>0</v>
          </cell>
          <cell r="W199"/>
          <cell r="X199"/>
          <cell r="Y199"/>
        </row>
        <row r="200">
          <cell r="A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696</v>
          </cell>
          <cell r="J200">
            <v>0</v>
          </cell>
          <cell r="M200"/>
          <cell r="N200"/>
          <cell r="O200"/>
          <cell r="P200"/>
          <cell r="Q200"/>
          <cell r="R200"/>
          <cell r="S200"/>
          <cell r="T200"/>
          <cell r="U200"/>
          <cell r="V200">
            <v>200</v>
          </cell>
          <cell r="W200"/>
          <cell r="X200"/>
          <cell r="Y200"/>
        </row>
        <row r="201">
          <cell r="A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J201">
            <v>0</v>
          </cell>
          <cell r="M201"/>
          <cell r="N201"/>
          <cell r="O201"/>
          <cell r="P201"/>
          <cell r="Q201"/>
          <cell r="R201"/>
          <cell r="S201"/>
          <cell r="T201"/>
          <cell r="U201">
            <v>696</v>
          </cell>
          <cell r="V201"/>
          <cell r="W201"/>
          <cell r="X201"/>
          <cell r="Y201"/>
        </row>
        <row r="202">
          <cell r="A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265</v>
          </cell>
          <cell r="J202">
            <v>0</v>
          </cell>
          <cell r="M202"/>
          <cell r="N202"/>
          <cell r="O202"/>
          <cell r="P202"/>
          <cell r="Q202">
            <v>0</v>
          </cell>
          <cell r="R202"/>
          <cell r="S202"/>
          <cell r="T202"/>
          <cell r="U202"/>
          <cell r="V202"/>
          <cell r="W202"/>
          <cell r="X202"/>
          <cell r="Y202"/>
        </row>
        <row r="203">
          <cell r="A203">
            <v>0</v>
          </cell>
          <cell r="C203">
            <v>0</v>
          </cell>
          <cell r="D203">
            <v>35</v>
          </cell>
          <cell r="E203">
            <v>0</v>
          </cell>
          <cell r="F203">
            <v>0</v>
          </cell>
          <cell r="G203">
            <v>110</v>
          </cell>
          <cell r="J203">
            <v>0</v>
          </cell>
          <cell r="M203">
            <v>265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</row>
        <row r="204">
          <cell r="A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130</v>
          </cell>
          <cell r="J204">
            <v>0</v>
          </cell>
          <cell r="M204"/>
          <cell r="N204">
            <v>110</v>
          </cell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</row>
        <row r="205">
          <cell r="A205">
            <v>0</v>
          </cell>
          <cell r="C205">
            <v>100</v>
          </cell>
          <cell r="D205">
            <v>0</v>
          </cell>
          <cell r="E205">
            <v>0</v>
          </cell>
          <cell r="F205">
            <v>0</v>
          </cell>
          <cell r="G205">
            <v>1300</v>
          </cell>
          <cell r="J205">
            <v>0</v>
          </cell>
          <cell r="M205"/>
          <cell r="N205">
            <v>130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</row>
        <row r="206">
          <cell r="A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52</v>
          </cell>
          <cell r="J206">
            <v>0</v>
          </cell>
          <cell r="M206">
            <v>1300</v>
          </cell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</row>
        <row r="207">
          <cell r="A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360</v>
          </cell>
          <cell r="J207">
            <v>0</v>
          </cell>
          <cell r="M207">
            <v>52</v>
          </cell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</row>
        <row r="208">
          <cell r="A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150</v>
          </cell>
          <cell r="J208">
            <v>0</v>
          </cell>
          <cell r="M208">
            <v>360</v>
          </cell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</row>
        <row r="209">
          <cell r="A209">
            <v>0</v>
          </cell>
          <cell r="C209">
            <v>0</v>
          </cell>
          <cell r="D209">
            <v>120</v>
          </cell>
          <cell r="E209">
            <v>180</v>
          </cell>
          <cell r="F209">
            <v>60</v>
          </cell>
          <cell r="G209">
            <v>630</v>
          </cell>
          <cell r="J209">
            <v>0</v>
          </cell>
          <cell r="M209"/>
          <cell r="N209"/>
          <cell r="O209"/>
          <cell r="P209">
            <v>150</v>
          </cell>
          <cell r="Q209"/>
          <cell r="R209"/>
          <cell r="S209"/>
          <cell r="T209"/>
          <cell r="U209"/>
          <cell r="V209"/>
          <cell r="W209"/>
          <cell r="X209"/>
          <cell r="Y209"/>
        </row>
        <row r="210">
          <cell r="A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50</v>
          </cell>
          <cell r="J210">
            <v>0</v>
          </cell>
          <cell r="M210">
            <v>630</v>
          </cell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</row>
        <row r="211">
          <cell r="A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600</v>
          </cell>
          <cell r="J211">
            <v>0</v>
          </cell>
          <cell r="M211">
            <v>50</v>
          </cell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</row>
        <row r="212">
          <cell r="A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105</v>
          </cell>
          <cell r="J212">
            <v>0</v>
          </cell>
          <cell r="M212">
            <v>600</v>
          </cell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</row>
        <row r="213">
          <cell r="A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490</v>
          </cell>
          <cell r="J213">
            <v>0</v>
          </cell>
          <cell r="M213"/>
          <cell r="N213"/>
          <cell r="O213">
            <v>105</v>
          </cell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</row>
        <row r="214">
          <cell r="A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480</v>
          </cell>
          <cell r="J214">
            <v>0</v>
          </cell>
          <cell r="M214"/>
          <cell r="N214">
            <v>490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</row>
        <row r="215">
          <cell r="A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740</v>
          </cell>
          <cell r="J215">
            <v>0</v>
          </cell>
          <cell r="M215"/>
          <cell r="N215"/>
          <cell r="O215">
            <v>480</v>
          </cell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</row>
        <row r="216">
          <cell r="A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J216">
            <v>0</v>
          </cell>
          <cell r="M216">
            <v>740</v>
          </cell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</row>
        <row r="217">
          <cell r="A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50</v>
          </cell>
          <cell r="J217">
            <v>0</v>
          </cell>
          <cell r="M217"/>
          <cell r="N217"/>
          <cell r="O217"/>
          <cell r="P217"/>
          <cell r="Q217"/>
          <cell r="R217"/>
          <cell r="S217"/>
          <cell r="T217">
            <v>0</v>
          </cell>
          <cell r="U217"/>
          <cell r="V217"/>
          <cell r="W217"/>
          <cell r="X217"/>
          <cell r="Y217"/>
        </row>
        <row r="218">
          <cell r="A218">
            <v>0</v>
          </cell>
          <cell r="C218">
            <v>1200</v>
          </cell>
          <cell r="D218">
            <v>0</v>
          </cell>
          <cell r="E218">
            <v>0</v>
          </cell>
          <cell r="F218">
            <v>0</v>
          </cell>
          <cell r="G218">
            <v>1800</v>
          </cell>
          <cell r="J218">
            <v>0</v>
          </cell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>
            <v>50</v>
          </cell>
        </row>
        <row r="219">
          <cell r="A219">
            <v>0</v>
          </cell>
          <cell r="C219">
            <v>160</v>
          </cell>
          <cell r="D219">
            <v>0</v>
          </cell>
          <cell r="E219">
            <v>0</v>
          </cell>
          <cell r="F219">
            <v>0</v>
          </cell>
          <cell r="G219">
            <v>430</v>
          </cell>
          <cell r="J219">
            <v>0</v>
          </cell>
          <cell r="M219"/>
          <cell r="N219"/>
          <cell r="O219"/>
          <cell r="P219"/>
          <cell r="Q219"/>
          <cell r="R219"/>
          <cell r="S219"/>
          <cell r="T219">
            <v>1800</v>
          </cell>
          <cell r="U219"/>
          <cell r="V219"/>
          <cell r="W219"/>
          <cell r="X219"/>
          <cell r="Y219"/>
        </row>
        <row r="220">
          <cell r="A220">
            <v>0</v>
          </cell>
          <cell r="C220">
            <v>300</v>
          </cell>
          <cell r="D220">
            <v>0</v>
          </cell>
          <cell r="E220">
            <v>0</v>
          </cell>
          <cell r="F220">
            <v>0</v>
          </cell>
          <cell r="G220">
            <v>300</v>
          </cell>
          <cell r="J220">
            <v>0</v>
          </cell>
          <cell r="M220"/>
          <cell r="N220"/>
          <cell r="O220"/>
          <cell r="P220"/>
          <cell r="Q220"/>
          <cell r="R220"/>
          <cell r="S220"/>
          <cell r="T220"/>
          <cell r="U220"/>
          <cell r="V220">
            <v>430</v>
          </cell>
          <cell r="W220"/>
          <cell r="X220"/>
          <cell r="Y220"/>
        </row>
        <row r="221">
          <cell r="A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80</v>
          </cell>
          <cell r="J221">
            <v>0</v>
          </cell>
          <cell r="M221"/>
          <cell r="N221"/>
          <cell r="O221"/>
          <cell r="P221"/>
          <cell r="Q221"/>
          <cell r="R221"/>
          <cell r="S221"/>
          <cell r="T221"/>
          <cell r="U221">
            <v>300</v>
          </cell>
          <cell r="V221"/>
          <cell r="W221"/>
          <cell r="X221"/>
          <cell r="Y221"/>
        </row>
        <row r="222">
          <cell r="A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J222">
            <v>0</v>
          </cell>
          <cell r="M222"/>
          <cell r="N222"/>
          <cell r="O222"/>
          <cell r="P222"/>
          <cell r="Q222"/>
          <cell r="R222"/>
          <cell r="S222"/>
          <cell r="T222"/>
          <cell r="U222">
            <v>80</v>
          </cell>
          <cell r="V222"/>
          <cell r="W222"/>
          <cell r="X222"/>
          <cell r="Y222"/>
        </row>
        <row r="223">
          <cell r="A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200</v>
          </cell>
          <cell r="J223">
            <v>0</v>
          </cell>
          <cell r="M223"/>
          <cell r="N223"/>
          <cell r="O223"/>
          <cell r="P223"/>
          <cell r="Q223"/>
          <cell r="R223"/>
          <cell r="S223"/>
          <cell r="T223"/>
          <cell r="U223">
            <v>0</v>
          </cell>
          <cell r="V223"/>
          <cell r="W223"/>
          <cell r="X223"/>
          <cell r="Y223"/>
        </row>
        <row r="224">
          <cell r="A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39</v>
          </cell>
          <cell r="J224">
            <v>0</v>
          </cell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>
            <v>200</v>
          </cell>
          <cell r="X224"/>
          <cell r="Y224"/>
        </row>
        <row r="225">
          <cell r="A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30</v>
          </cell>
          <cell r="J225">
            <v>0</v>
          </cell>
          <cell r="M225"/>
          <cell r="N225"/>
          <cell r="O225"/>
          <cell r="P225"/>
          <cell r="Q225"/>
          <cell r="R225"/>
          <cell r="S225"/>
          <cell r="T225"/>
          <cell r="U225"/>
          <cell r="V225">
            <v>39</v>
          </cell>
          <cell r="W225"/>
          <cell r="X225"/>
          <cell r="Y225"/>
        </row>
        <row r="226">
          <cell r="A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J226">
            <v>0</v>
          </cell>
          <cell r="M226"/>
          <cell r="N226"/>
          <cell r="O226"/>
          <cell r="P226"/>
          <cell r="Q226"/>
          <cell r="R226"/>
          <cell r="S226"/>
          <cell r="T226"/>
          <cell r="U226"/>
          <cell r="V226">
            <v>30</v>
          </cell>
          <cell r="W226"/>
          <cell r="X226"/>
          <cell r="Y226"/>
        </row>
        <row r="227">
          <cell r="A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346</v>
          </cell>
          <cell r="J227">
            <v>0</v>
          </cell>
          <cell r="M227"/>
          <cell r="N227">
            <v>0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</row>
        <row r="228">
          <cell r="A228">
            <v>0</v>
          </cell>
          <cell r="C228">
            <v>195</v>
          </cell>
          <cell r="D228">
            <v>0</v>
          </cell>
          <cell r="E228">
            <v>0</v>
          </cell>
          <cell r="F228">
            <v>0</v>
          </cell>
          <cell r="G228">
            <v>195</v>
          </cell>
          <cell r="J228">
            <v>0</v>
          </cell>
          <cell r="M228"/>
          <cell r="N228"/>
          <cell r="O228">
            <v>346</v>
          </cell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</row>
        <row r="229">
          <cell r="A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J229">
            <v>0</v>
          </cell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>
            <v>195</v>
          </cell>
          <cell r="X229"/>
          <cell r="Y229"/>
        </row>
        <row r="230">
          <cell r="A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J230">
            <v>0</v>
          </cell>
          <cell r="M230"/>
          <cell r="N230"/>
          <cell r="O230">
            <v>0</v>
          </cell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</row>
        <row r="231">
          <cell r="A231" t="str">
            <v>GRUPO REY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325</v>
          </cell>
          <cell r="J231">
            <v>0</v>
          </cell>
          <cell r="M231"/>
          <cell r="N231"/>
          <cell r="O231">
            <v>0</v>
          </cell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</row>
        <row r="232">
          <cell r="A232" t="str">
            <v>GRUPO REY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212</v>
          </cell>
          <cell r="J232" t="str">
            <v>GRUPO REY</v>
          </cell>
          <cell r="M232">
            <v>325</v>
          </cell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</row>
        <row r="233">
          <cell r="A233" t="str">
            <v>GRUPO REY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30</v>
          </cell>
          <cell r="J233" t="str">
            <v>GRUPO REY</v>
          </cell>
          <cell r="M233"/>
          <cell r="N233">
            <v>212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</row>
        <row r="234">
          <cell r="A234" t="str">
            <v>GRUPO REY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102</v>
          </cell>
          <cell r="J234" t="str">
            <v>GRUPO REY</v>
          </cell>
          <cell r="M234"/>
          <cell r="N234"/>
          <cell r="O234">
            <v>30</v>
          </cell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</row>
        <row r="235">
          <cell r="A235" t="str">
            <v>GRUPO REY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100</v>
          </cell>
          <cell r="J235" t="str">
            <v>GRUPO REY</v>
          </cell>
          <cell r="M235"/>
          <cell r="N235"/>
          <cell r="O235"/>
          <cell r="P235">
            <v>102</v>
          </cell>
          <cell r="Q235"/>
          <cell r="R235"/>
          <cell r="S235"/>
          <cell r="T235"/>
          <cell r="U235"/>
          <cell r="V235"/>
          <cell r="W235"/>
          <cell r="X235"/>
          <cell r="Y235"/>
        </row>
        <row r="236">
          <cell r="A236" t="str">
            <v>GRUPO REY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180</v>
          </cell>
          <cell r="J236" t="str">
            <v>GRUPO REY</v>
          </cell>
          <cell r="M236"/>
          <cell r="N236">
            <v>100</v>
          </cell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</row>
        <row r="237">
          <cell r="A237" t="str">
            <v>GRUPO REY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70</v>
          </cell>
          <cell r="J237" t="str">
            <v>GRUPO REY</v>
          </cell>
          <cell r="M237"/>
          <cell r="N237"/>
          <cell r="O237">
            <v>180</v>
          </cell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</row>
        <row r="238">
          <cell r="A238" t="str">
            <v>GRUPO REY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1060</v>
          </cell>
          <cell r="J238" t="str">
            <v>GRUPO REY</v>
          </cell>
          <cell r="M238"/>
          <cell r="N238">
            <v>70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</row>
        <row r="239">
          <cell r="A239" t="str">
            <v>GRUPO REY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100</v>
          </cell>
          <cell r="J239" t="str">
            <v>GRUPO REY</v>
          </cell>
          <cell r="M239"/>
          <cell r="N239"/>
          <cell r="O239"/>
          <cell r="P239"/>
          <cell r="Q239">
            <v>1060</v>
          </cell>
          <cell r="R239"/>
          <cell r="S239"/>
          <cell r="T239"/>
          <cell r="U239"/>
          <cell r="V239"/>
          <cell r="W239"/>
          <cell r="X239"/>
          <cell r="Y239"/>
        </row>
        <row r="240">
          <cell r="A240" t="str">
            <v>GRUPO REY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250</v>
          </cell>
          <cell r="J240" t="str">
            <v>GRUPO REY</v>
          </cell>
          <cell r="M240"/>
          <cell r="N240">
            <v>100</v>
          </cell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</row>
        <row r="241">
          <cell r="A241" t="str">
            <v>GRUPO REY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180</v>
          </cell>
          <cell r="J241" t="str">
            <v>GRUPO REY</v>
          </cell>
          <cell r="M241"/>
          <cell r="N241">
            <v>250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</row>
        <row r="242">
          <cell r="A242" t="str">
            <v>GRUPO REY</v>
          </cell>
          <cell r="C242">
            <v>40</v>
          </cell>
          <cell r="D242">
            <v>0</v>
          </cell>
          <cell r="E242">
            <v>0</v>
          </cell>
          <cell r="F242">
            <v>0</v>
          </cell>
          <cell r="G242">
            <v>40</v>
          </cell>
          <cell r="J242" t="str">
            <v>GRUPO REY</v>
          </cell>
          <cell r="M242"/>
          <cell r="N242"/>
          <cell r="O242"/>
          <cell r="P242"/>
          <cell r="Q242"/>
          <cell r="R242">
            <v>180</v>
          </cell>
          <cell r="S242"/>
          <cell r="T242"/>
          <cell r="U242"/>
          <cell r="V242"/>
          <cell r="W242"/>
          <cell r="X242"/>
          <cell r="Y242"/>
        </row>
        <row r="243">
          <cell r="A243" t="str">
            <v>GRUPO REY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73</v>
          </cell>
          <cell r="J243" t="str">
            <v>GRUPO REY</v>
          </cell>
          <cell r="M243"/>
          <cell r="N243"/>
          <cell r="O243"/>
          <cell r="P243"/>
          <cell r="Q243"/>
          <cell r="R243">
            <v>40</v>
          </cell>
          <cell r="S243"/>
          <cell r="T243"/>
          <cell r="U243"/>
          <cell r="V243"/>
          <cell r="W243"/>
          <cell r="X243"/>
          <cell r="Y243"/>
        </row>
        <row r="244">
          <cell r="A244" t="str">
            <v>GRUPO REY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65</v>
          </cell>
          <cell r="J244" t="str">
            <v>GRUPO REY</v>
          </cell>
          <cell r="M244"/>
          <cell r="N244"/>
          <cell r="O244"/>
          <cell r="P244"/>
          <cell r="Q244"/>
          <cell r="R244"/>
          <cell r="S244">
            <v>73</v>
          </cell>
          <cell r="T244"/>
          <cell r="U244"/>
          <cell r="V244"/>
          <cell r="W244"/>
          <cell r="X244"/>
          <cell r="Y244"/>
        </row>
        <row r="245">
          <cell r="A245" t="str">
            <v>GRUPO REY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70</v>
          </cell>
          <cell r="J245" t="str">
            <v>GRUPO REY</v>
          </cell>
          <cell r="M245"/>
          <cell r="N245"/>
          <cell r="O245">
            <v>65</v>
          </cell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</row>
        <row r="246">
          <cell r="A246" t="str">
            <v>GRUPO REY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1090</v>
          </cell>
          <cell r="J246" t="str">
            <v>GRUPO REY</v>
          </cell>
          <cell r="M246"/>
          <cell r="N246">
            <v>70</v>
          </cell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</row>
        <row r="247">
          <cell r="A247" t="str">
            <v>GRUPO REY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J247" t="str">
            <v>GRUPO REY</v>
          </cell>
          <cell r="M247"/>
          <cell r="N247"/>
          <cell r="O247">
            <v>1090</v>
          </cell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</row>
        <row r="248">
          <cell r="A248" t="str">
            <v>GRUPO REY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282</v>
          </cell>
          <cell r="J248" t="str">
            <v>GRUPO REY</v>
          </cell>
          <cell r="M248">
            <v>0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</row>
        <row r="249">
          <cell r="A249" t="str">
            <v>GRUPO REY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467</v>
          </cell>
          <cell r="J249" t="str">
            <v>GRUPO REY</v>
          </cell>
          <cell r="M249"/>
          <cell r="N249">
            <v>282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</row>
        <row r="250">
          <cell r="A250" t="str">
            <v>GRUPO REY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38</v>
          </cell>
          <cell r="J250" t="str">
            <v>GRUPO REY</v>
          </cell>
          <cell r="M250"/>
          <cell r="N250">
            <v>467</v>
          </cell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</row>
        <row r="251">
          <cell r="A251" t="str">
            <v>GRUPO REY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70</v>
          </cell>
          <cell r="J251" t="str">
            <v>GRUPO REY</v>
          </cell>
          <cell r="M251"/>
          <cell r="N251">
            <v>38</v>
          </cell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</row>
        <row r="252">
          <cell r="A252" t="str">
            <v>GRUPO REY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60</v>
          </cell>
          <cell r="J252" t="str">
            <v>GRUPO REY</v>
          </cell>
          <cell r="M252"/>
          <cell r="N252">
            <v>70</v>
          </cell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</row>
        <row r="253">
          <cell r="A253" t="str">
            <v>GRUPO REY</v>
          </cell>
          <cell r="C253">
            <v>0</v>
          </cell>
          <cell r="D253">
            <v>13</v>
          </cell>
          <cell r="E253">
            <v>37</v>
          </cell>
          <cell r="F253">
            <v>28</v>
          </cell>
          <cell r="G253">
            <v>243</v>
          </cell>
          <cell r="J253" t="str">
            <v>GRUPO REY</v>
          </cell>
          <cell r="M253"/>
          <cell r="N253">
            <v>60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</row>
        <row r="254">
          <cell r="A254" t="str">
            <v>GRUPO REY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62</v>
          </cell>
          <cell r="J254" t="str">
            <v>GRUPO REY</v>
          </cell>
          <cell r="M254"/>
          <cell r="N254">
            <v>243</v>
          </cell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</row>
        <row r="255">
          <cell r="A255" t="str">
            <v>GRUPO REY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116</v>
          </cell>
          <cell r="J255" t="str">
            <v>GRUPO REY</v>
          </cell>
          <cell r="M255"/>
          <cell r="N255">
            <v>62</v>
          </cell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</row>
        <row r="256">
          <cell r="A256" t="str">
            <v>GRUPO REY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542</v>
          </cell>
          <cell r="J256" t="str">
            <v>GRUPO REY</v>
          </cell>
          <cell r="M256"/>
          <cell r="N256"/>
          <cell r="O256">
            <v>116</v>
          </cell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</row>
        <row r="257">
          <cell r="A257" t="str">
            <v>GRUPO REY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211</v>
          </cell>
          <cell r="J257" t="str">
            <v>GRUPO REY</v>
          </cell>
          <cell r="M257"/>
          <cell r="N257">
            <v>542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</row>
        <row r="258">
          <cell r="A258" t="str">
            <v>GRUPO REY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138</v>
          </cell>
          <cell r="J258" t="str">
            <v>GRUPO REY</v>
          </cell>
          <cell r="M258"/>
          <cell r="N258"/>
          <cell r="O258"/>
          <cell r="P258"/>
          <cell r="Q258"/>
          <cell r="R258"/>
          <cell r="S258">
            <v>211</v>
          </cell>
          <cell r="T258"/>
          <cell r="U258"/>
          <cell r="V258"/>
          <cell r="W258"/>
          <cell r="X258"/>
          <cell r="Y258"/>
        </row>
        <row r="259">
          <cell r="A259" t="str">
            <v>GRUPO REY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147</v>
          </cell>
          <cell r="J259" t="str">
            <v>GRUPO REY</v>
          </cell>
          <cell r="M259"/>
          <cell r="N259"/>
          <cell r="O259">
            <v>138</v>
          </cell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</row>
        <row r="260">
          <cell r="A260" t="str">
            <v>GRUPO REY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52</v>
          </cell>
          <cell r="J260" t="str">
            <v>GRUPO REY</v>
          </cell>
          <cell r="M260"/>
          <cell r="N260">
            <v>147</v>
          </cell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</row>
        <row r="261">
          <cell r="A261" t="str">
            <v>GRUPO REY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62</v>
          </cell>
          <cell r="J261" t="str">
            <v>GRUPO REY</v>
          </cell>
          <cell r="M261"/>
          <cell r="N261"/>
          <cell r="O261"/>
          <cell r="P261"/>
          <cell r="Q261"/>
          <cell r="R261"/>
          <cell r="S261">
            <v>52</v>
          </cell>
          <cell r="T261"/>
          <cell r="U261"/>
          <cell r="V261"/>
          <cell r="W261"/>
          <cell r="X261"/>
          <cell r="Y261"/>
        </row>
        <row r="262">
          <cell r="A262" t="str">
            <v>GRUPO REY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215</v>
          </cell>
          <cell r="J262" t="str">
            <v>GRUPO REY</v>
          </cell>
          <cell r="M262"/>
          <cell r="N262">
            <v>62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</row>
        <row r="263">
          <cell r="A263" t="str">
            <v>GRUPO REY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155</v>
          </cell>
          <cell r="J263" t="str">
            <v>GRUPO REY</v>
          </cell>
          <cell r="M263">
            <v>215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</row>
        <row r="264">
          <cell r="A264" t="str">
            <v>GRUPO REY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105</v>
          </cell>
          <cell r="J264" t="str">
            <v>GRUPO REY</v>
          </cell>
          <cell r="M264">
            <v>155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</row>
        <row r="265">
          <cell r="A265" t="str">
            <v>GRUPO REY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100</v>
          </cell>
          <cell r="J265" t="str">
            <v>GRUPO REY</v>
          </cell>
          <cell r="M265"/>
          <cell r="N265">
            <v>105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</row>
        <row r="266">
          <cell r="A266" t="str">
            <v>GRUPO REY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264</v>
          </cell>
          <cell r="J266" t="str">
            <v>GRUPO REY</v>
          </cell>
          <cell r="M266">
            <v>100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</row>
        <row r="267">
          <cell r="A267" t="str">
            <v>GRUPO REY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55</v>
          </cell>
          <cell r="J267" t="str">
            <v>GRUPO REY</v>
          </cell>
          <cell r="M267"/>
          <cell r="N267">
            <v>264</v>
          </cell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</row>
        <row r="268">
          <cell r="A268" t="str">
            <v>GRUPO REY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57</v>
          </cell>
          <cell r="J268" t="str">
            <v>GRUPO REY</v>
          </cell>
          <cell r="M268"/>
          <cell r="N268"/>
          <cell r="O268"/>
          <cell r="P268"/>
          <cell r="Q268"/>
          <cell r="R268"/>
          <cell r="S268">
            <v>55</v>
          </cell>
          <cell r="T268"/>
          <cell r="U268"/>
          <cell r="V268"/>
          <cell r="W268"/>
          <cell r="X268"/>
          <cell r="Y268"/>
        </row>
        <row r="269">
          <cell r="A269" t="str">
            <v>GRUPO REY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60</v>
          </cell>
          <cell r="J269" t="str">
            <v>GRUPO REY</v>
          </cell>
          <cell r="M269"/>
          <cell r="N269"/>
          <cell r="O269"/>
          <cell r="P269"/>
          <cell r="Q269">
            <v>57</v>
          </cell>
          <cell r="R269"/>
          <cell r="S269"/>
          <cell r="T269"/>
          <cell r="U269"/>
          <cell r="V269"/>
          <cell r="W269"/>
          <cell r="X269"/>
          <cell r="Y269"/>
        </row>
        <row r="270">
          <cell r="A270" t="str">
            <v>GRUPO REY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179</v>
          </cell>
          <cell r="J270" t="str">
            <v>GRUPO REY</v>
          </cell>
          <cell r="M270"/>
          <cell r="N270"/>
          <cell r="O270">
            <v>60</v>
          </cell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</row>
        <row r="271">
          <cell r="A271" t="str">
            <v>GRUPO REY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50</v>
          </cell>
          <cell r="J271" t="str">
            <v>GRUPO REY</v>
          </cell>
          <cell r="M271"/>
          <cell r="N271"/>
          <cell r="O271"/>
          <cell r="P271"/>
          <cell r="Q271"/>
          <cell r="R271"/>
          <cell r="S271">
            <v>179</v>
          </cell>
          <cell r="T271"/>
          <cell r="U271"/>
          <cell r="V271"/>
          <cell r="W271"/>
          <cell r="X271"/>
          <cell r="Y271"/>
        </row>
        <row r="272">
          <cell r="A272" t="str">
            <v>GRUPO REY</v>
          </cell>
          <cell r="C272">
            <v>162</v>
          </cell>
          <cell r="D272">
            <v>0</v>
          </cell>
          <cell r="E272">
            <v>0</v>
          </cell>
          <cell r="F272">
            <v>0</v>
          </cell>
          <cell r="G272">
            <v>162</v>
          </cell>
          <cell r="J272" t="str">
            <v>GRUPO REY</v>
          </cell>
          <cell r="M272"/>
          <cell r="N272">
            <v>50</v>
          </cell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</row>
        <row r="273">
          <cell r="A273" t="str">
            <v>GRUPO REY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86</v>
          </cell>
          <cell r="J273" t="str">
            <v>GRUPO REY</v>
          </cell>
          <cell r="M273"/>
          <cell r="N273">
            <v>162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</row>
        <row r="274">
          <cell r="A274" t="str">
            <v>GRUPO REY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201</v>
          </cell>
          <cell r="J274" t="str">
            <v>GRUPO REY</v>
          </cell>
          <cell r="M274"/>
          <cell r="N274">
            <v>86</v>
          </cell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</row>
        <row r="275">
          <cell r="A275" t="str">
            <v>GRUPO REY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181</v>
          </cell>
          <cell r="J275" t="str">
            <v>GRUPO REY</v>
          </cell>
          <cell r="M275">
            <v>201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</row>
        <row r="276">
          <cell r="A276" t="str">
            <v>GRUPO REY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201</v>
          </cell>
          <cell r="J276" t="str">
            <v>GRUPO REY</v>
          </cell>
          <cell r="M276"/>
          <cell r="N276"/>
          <cell r="O276"/>
          <cell r="P276"/>
          <cell r="Q276"/>
          <cell r="R276">
            <v>181</v>
          </cell>
          <cell r="S276"/>
          <cell r="T276"/>
          <cell r="U276"/>
          <cell r="V276"/>
          <cell r="W276"/>
          <cell r="X276"/>
          <cell r="Y276"/>
        </row>
        <row r="277">
          <cell r="A277" t="str">
            <v>GRUPO REY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J277" t="str">
            <v>GRUPO REY</v>
          </cell>
          <cell r="M277"/>
          <cell r="N277">
            <v>201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</row>
        <row r="278">
          <cell r="A278" t="str">
            <v>GRUPO REY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284</v>
          </cell>
          <cell r="J278" t="str">
            <v>GRUPO REY</v>
          </cell>
          <cell r="M278"/>
          <cell r="N278">
            <v>0</v>
          </cell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</row>
        <row r="279">
          <cell r="A279" t="str">
            <v>GRUPO REY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150</v>
          </cell>
          <cell r="J279" t="str">
            <v>GRUPO REY</v>
          </cell>
          <cell r="M279"/>
          <cell r="N279">
            <v>284</v>
          </cell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</row>
        <row r="280">
          <cell r="A280" t="str">
            <v>GRUPO REY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250</v>
          </cell>
          <cell r="J280" t="str">
            <v>GRUPO REY</v>
          </cell>
          <cell r="M280">
            <v>150</v>
          </cell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</row>
        <row r="281">
          <cell r="A281" t="str">
            <v>GRUPO REY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1200</v>
          </cell>
          <cell r="J281" t="str">
            <v>GRUPO REY</v>
          </cell>
          <cell r="M281"/>
          <cell r="N281">
            <v>250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</row>
        <row r="282">
          <cell r="A282" t="str">
            <v>GRUPO REY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20</v>
          </cell>
          <cell r="J282" t="str">
            <v>GRUPO REY</v>
          </cell>
          <cell r="M282"/>
          <cell r="N282"/>
          <cell r="O282">
            <v>1200</v>
          </cell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</row>
        <row r="283">
          <cell r="A283" t="str">
            <v>GRUPO REY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110</v>
          </cell>
          <cell r="J283" t="str">
            <v>GRUPO REY</v>
          </cell>
          <cell r="M283"/>
          <cell r="N283">
            <v>20</v>
          </cell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</row>
        <row r="284">
          <cell r="A284" t="str">
            <v>GRUPO REY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390</v>
          </cell>
          <cell r="J284" t="str">
            <v>GRUPO REY</v>
          </cell>
          <cell r="M284"/>
          <cell r="N284"/>
          <cell r="O284"/>
          <cell r="P284"/>
          <cell r="Q284"/>
          <cell r="R284"/>
          <cell r="S284">
            <v>110</v>
          </cell>
          <cell r="T284"/>
          <cell r="U284"/>
          <cell r="V284"/>
          <cell r="W284"/>
          <cell r="X284"/>
          <cell r="Y284"/>
        </row>
        <row r="285">
          <cell r="A285" t="str">
            <v>GRUPO REY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140</v>
          </cell>
          <cell r="J285" t="str">
            <v>GRUPO REY</v>
          </cell>
          <cell r="M285">
            <v>390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</row>
        <row r="286">
          <cell r="A286" t="str">
            <v>GRUPO REY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250</v>
          </cell>
          <cell r="J286" t="str">
            <v>GRUPO REY</v>
          </cell>
          <cell r="M286"/>
          <cell r="N286"/>
          <cell r="O286">
            <v>140</v>
          </cell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</row>
        <row r="287">
          <cell r="A287" t="str">
            <v>GRUPO REY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120</v>
          </cell>
          <cell r="J287" t="str">
            <v>GRUPO REY</v>
          </cell>
          <cell r="M287"/>
          <cell r="N287">
            <v>250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</row>
        <row r="288">
          <cell r="A288" t="str">
            <v>GRUPO REY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356</v>
          </cell>
          <cell r="J288" t="str">
            <v>GRUPO REY</v>
          </cell>
          <cell r="M288"/>
          <cell r="N288">
            <v>120</v>
          </cell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</row>
        <row r="289">
          <cell r="A289" t="str">
            <v>GRUPO REY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90</v>
          </cell>
          <cell r="J289" t="str">
            <v>GRUPO REY</v>
          </cell>
          <cell r="M289"/>
          <cell r="N289">
            <v>356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</row>
        <row r="290">
          <cell r="A290" t="str">
            <v>GRUPO REY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67</v>
          </cell>
          <cell r="J290" t="str">
            <v>GRUPO REY</v>
          </cell>
          <cell r="M290"/>
          <cell r="N290">
            <v>90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</row>
        <row r="291">
          <cell r="A291" t="str">
            <v>GRUPO REY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84</v>
          </cell>
          <cell r="J291" t="str">
            <v>GRUPO REY</v>
          </cell>
          <cell r="M291"/>
          <cell r="N291">
            <v>67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</row>
        <row r="292">
          <cell r="A292" t="str">
            <v>GRUPO REY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22</v>
          </cell>
          <cell r="J292" t="str">
            <v>GRUPO REY</v>
          </cell>
          <cell r="M292"/>
          <cell r="N292">
            <v>84</v>
          </cell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</row>
        <row r="293">
          <cell r="A293" t="str">
            <v>GRUPO REY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230</v>
          </cell>
          <cell r="J293" t="str">
            <v>GRUPO REY</v>
          </cell>
          <cell r="M293"/>
          <cell r="N293">
            <v>22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</row>
        <row r="294">
          <cell r="A294" t="str">
            <v>GRUPO REY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103</v>
          </cell>
          <cell r="J294" t="str">
            <v>GRUPO REY</v>
          </cell>
          <cell r="M294"/>
          <cell r="N294">
            <v>230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</row>
        <row r="295">
          <cell r="A295" t="str">
            <v>GRUPO REY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J295" t="str">
            <v>GRUPO REY</v>
          </cell>
          <cell r="M295"/>
          <cell r="N295">
            <v>103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</row>
        <row r="296">
          <cell r="A296" t="str">
            <v>GRUPO REY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165</v>
          </cell>
          <cell r="J296" t="str">
            <v>GRUPO REY</v>
          </cell>
          <cell r="M296"/>
          <cell r="N296">
            <v>0</v>
          </cell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</row>
        <row r="297">
          <cell r="A297" t="str">
            <v>GRUPO REY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456</v>
          </cell>
          <cell r="J297" t="str">
            <v>GRUPO REY</v>
          </cell>
          <cell r="M297"/>
          <cell r="N297">
            <v>165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</row>
        <row r="298">
          <cell r="A298" t="str">
            <v>GRUPO REY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251</v>
          </cell>
          <cell r="J298" t="str">
            <v>GRUPO REY</v>
          </cell>
          <cell r="M298"/>
          <cell r="N298">
            <v>456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</row>
        <row r="299">
          <cell r="A299" t="str">
            <v>GRUPO REY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60</v>
          </cell>
          <cell r="J299" t="str">
            <v>GRUPO REY</v>
          </cell>
          <cell r="M299"/>
          <cell r="N299">
            <v>251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</row>
        <row r="300">
          <cell r="A300" t="str">
            <v>GRUPO REY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75</v>
          </cell>
          <cell r="J300" t="str">
            <v>GRUPO REY</v>
          </cell>
          <cell r="M300"/>
          <cell r="N300">
            <v>60</v>
          </cell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</row>
        <row r="301">
          <cell r="A301" t="str">
            <v>GRUPO REY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1017</v>
          </cell>
          <cell r="J301" t="str">
            <v>GRUPO REY</v>
          </cell>
          <cell r="M301"/>
          <cell r="N301">
            <v>75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</row>
        <row r="302">
          <cell r="A302" t="str">
            <v>GRUPO REY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107</v>
          </cell>
          <cell r="J302" t="str">
            <v>GRUPO REY</v>
          </cell>
          <cell r="M302"/>
          <cell r="N302"/>
          <cell r="O302">
            <v>1017</v>
          </cell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</row>
        <row r="303">
          <cell r="A303" t="str">
            <v>GRUPO REY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50</v>
          </cell>
          <cell r="J303" t="str">
            <v>GRUPO REY</v>
          </cell>
          <cell r="M303"/>
          <cell r="N303">
            <v>107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</row>
        <row r="304">
          <cell r="A304" t="str">
            <v>GRUPO REY</v>
          </cell>
          <cell r="C304">
            <v>0</v>
          </cell>
          <cell r="D304">
            <v>16</v>
          </cell>
          <cell r="E304">
            <v>19</v>
          </cell>
          <cell r="F304">
            <v>19</v>
          </cell>
          <cell r="G304">
            <v>219</v>
          </cell>
          <cell r="J304" t="str">
            <v>GRUPO REY</v>
          </cell>
          <cell r="M304"/>
          <cell r="N304">
            <v>50</v>
          </cell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</row>
        <row r="305">
          <cell r="A305" t="str">
            <v>GRUPO REY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83</v>
          </cell>
          <cell r="J305" t="str">
            <v>GRUPO REY</v>
          </cell>
          <cell r="M305"/>
          <cell r="N305"/>
          <cell r="O305">
            <v>219</v>
          </cell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</row>
        <row r="306">
          <cell r="A306" t="str">
            <v>GRUPO REY</v>
          </cell>
          <cell r="C306">
            <v>100</v>
          </cell>
          <cell r="D306">
            <v>0</v>
          </cell>
          <cell r="E306">
            <v>0</v>
          </cell>
          <cell r="F306">
            <v>0</v>
          </cell>
          <cell r="G306">
            <v>305</v>
          </cell>
          <cell r="J306" t="str">
            <v>GRUPO REY</v>
          </cell>
          <cell r="M306"/>
          <cell r="N306"/>
          <cell r="O306"/>
          <cell r="P306"/>
          <cell r="Q306">
            <v>83</v>
          </cell>
          <cell r="R306"/>
          <cell r="S306"/>
          <cell r="T306"/>
          <cell r="U306"/>
          <cell r="V306"/>
          <cell r="W306"/>
          <cell r="X306"/>
          <cell r="Y306"/>
        </row>
        <row r="307">
          <cell r="A307" t="str">
            <v>GRUPO REY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152</v>
          </cell>
          <cell r="J307" t="str">
            <v>GRUPO REY</v>
          </cell>
          <cell r="M307"/>
          <cell r="N307"/>
          <cell r="O307"/>
          <cell r="P307"/>
          <cell r="Q307"/>
          <cell r="R307"/>
          <cell r="S307">
            <v>305</v>
          </cell>
          <cell r="T307"/>
          <cell r="U307"/>
          <cell r="V307"/>
          <cell r="W307"/>
          <cell r="X307"/>
          <cell r="Y307"/>
        </row>
        <row r="308">
          <cell r="A308" t="str">
            <v>GRUPO REY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J308" t="str">
            <v>GRUPO REY</v>
          </cell>
          <cell r="M308"/>
          <cell r="N308"/>
          <cell r="O308"/>
          <cell r="P308"/>
          <cell r="Q308"/>
          <cell r="R308"/>
          <cell r="S308">
            <v>152</v>
          </cell>
          <cell r="T308"/>
          <cell r="U308"/>
          <cell r="V308"/>
          <cell r="W308"/>
          <cell r="X308"/>
          <cell r="Y308"/>
        </row>
        <row r="309">
          <cell r="A309" t="str">
            <v>GRUPO REY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60</v>
          </cell>
          <cell r="J309" t="str">
            <v>GRUPO REY</v>
          </cell>
          <cell r="M309"/>
          <cell r="N309"/>
          <cell r="O309"/>
          <cell r="P309"/>
          <cell r="Q309"/>
          <cell r="R309"/>
          <cell r="S309"/>
          <cell r="T309"/>
          <cell r="U309">
            <v>0</v>
          </cell>
          <cell r="V309"/>
          <cell r="W309"/>
          <cell r="X309"/>
          <cell r="Y309"/>
        </row>
        <row r="310">
          <cell r="A310" t="str">
            <v>GRUPO REY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J310" t="str">
            <v>GRUPO REY</v>
          </cell>
          <cell r="M310"/>
          <cell r="N310"/>
          <cell r="O310"/>
          <cell r="P310"/>
          <cell r="Q310">
            <v>60</v>
          </cell>
          <cell r="R310"/>
          <cell r="S310"/>
          <cell r="T310"/>
          <cell r="U310"/>
          <cell r="V310"/>
          <cell r="W310"/>
          <cell r="X310"/>
          <cell r="Y310"/>
        </row>
        <row r="311">
          <cell r="A311" t="str">
            <v>GRUPO REY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J311" t="str">
            <v>GRUPO REY</v>
          </cell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</row>
        <row r="312">
          <cell r="A312" t="str">
            <v>GRUPO REY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910</v>
          </cell>
          <cell r="J312" t="str">
            <v>GRUPO REY</v>
          </cell>
          <cell r="M312"/>
          <cell r="N312"/>
          <cell r="O312"/>
          <cell r="P312"/>
          <cell r="Q312"/>
          <cell r="R312"/>
          <cell r="S312"/>
          <cell r="T312"/>
          <cell r="U312"/>
          <cell r="V312">
            <v>0</v>
          </cell>
          <cell r="W312"/>
          <cell r="X312"/>
          <cell r="Y312"/>
        </row>
        <row r="313">
          <cell r="A313" t="str">
            <v>GRUPO REY</v>
          </cell>
          <cell r="C313">
            <v>0</v>
          </cell>
          <cell r="D313">
            <v>10</v>
          </cell>
          <cell r="E313">
            <v>20</v>
          </cell>
          <cell r="F313">
            <v>25</v>
          </cell>
          <cell r="G313">
            <v>175</v>
          </cell>
          <cell r="J313" t="str">
            <v>GRUPO REY</v>
          </cell>
          <cell r="M313">
            <v>910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</row>
        <row r="314">
          <cell r="A314" t="str">
            <v>GRUPO REY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256</v>
          </cell>
          <cell r="J314" t="str">
            <v>GRUPO REY</v>
          </cell>
          <cell r="M314">
            <v>175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</row>
        <row r="315">
          <cell r="A315" t="str">
            <v>GRUPO REY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31</v>
          </cell>
          <cell r="J315" t="str">
            <v>GRUPO REY</v>
          </cell>
          <cell r="M315"/>
          <cell r="N315"/>
          <cell r="O315">
            <v>256</v>
          </cell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</row>
        <row r="316">
          <cell r="A316" t="str">
            <v>GRUPO REY</v>
          </cell>
          <cell r="C316">
            <v>73</v>
          </cell>
          <cell r="D316">
            <v>0</v>
          </cell>
          <cell r="E316">
            <v>0</v>
          </cell>
          <cell r="F316">
            <v>0</v>
          </cell>
          <cell r="G316">
            <v>496</v>
          </cell>
          <cell r="J316" t="str">
            <v>GRUPO REY</v>
          </cell>
          <cell r="M316"/>
          <cell r="N316"/>
          <cell r="O316"/>
          <cell r="P316"/>
          <cell r="Q316"/>
          <cell r="R316">
            <v>31</v>
          </cell>
          <cell r="S316"/>
          <cell r="T316"/>
          <cell r="U316"/>
          <cell r="V316"/>
          <cell r="W316"/>
          <cell r="X316"/>
          <cell r="Y316"/>
        </row>
        <row r="317">
          <cell r="A317" t="str">
            <v>GRUPO REY</v>
          </cell>
          <cell r="C317">
            <v>0</v>
          </cell>
          <cell r="D317">
            <v>680</v>
          </cell>
          <cell r="E317">
            <v>450</v>
          </cell>
          <cell r="F317">
            <v>450</v>
          </cell>
          <cell r="G317">
            <v>4560</v>
          </cell>
          <cell r="J317" t="str">
            <v>GRUPO REY</v>
          </cell>
          <cell r="M317"/>
          <cell r="N317"/>
          <cell r="O317"/>
          <cell r="P317"/>
          <cell r="Q317">
            <v>496</v>
          </cell>
          <cell r="R317"/>
          <cell r="S317"/>
          <cell r="T317"/>
          <cell r="U317"/>
          <cell r="V317"/>
          <cell r="W317"/>
          <cell r="X317"/>
          <cell r="Y317"/>
        </row>
        <row r="318">
          <cell r="A318" t="str">
            <v>GRUPO REY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J318" t="str">
            <v>GRUPO REY</v>
          </cell>
          <cell r="M318"/>
          <cell r="N318"/>
          <cell r="O318"/>
          <cell r="P318"/>
          <cell r="Q318">
            <v>4560</v>
          </cell>
          <cell r="R318"/>
          <cell r="S318"/>
          <cell r="T318"/>
          <cell r="U318"/>
          <cell r="V318"/>
          <cell r="W318"/>
          <cell r="X318"/>
          <cell r="Y318"/>
        </row>
        <row r="319">
          <cell r="A319" t="str">
            <v>GRUPO REY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400</v>
          </cell>
          <cell r="J319" t="str">
            <v>GRUPO REY</v>
          </cell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>
            <v>0</v>
          </cell>
          <cell r="X319"/>
          <cell r="Y319"/>
        </row>
        <row r="320">
          <cell r="A320" t="str">
            <v>GRUPO REY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34</v>
          </cell>
          <cell r="J320" t="str">
            <v>GRUPO REY</v>
          </cell>
          <cell r="M320">
            <v>400</v>
          </cell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</row>
        <row r="321">
          <cell r="A321" t="str">
            <v>GRUPO REY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100</v>
          </cell>
          <cell r="J321" t="str">
            <v>GRUPO REY</v>
          </cell>
          <cell r="M321"/>
          <cell r="N321"/>
          <cell r="O321">
            <v>34</v>
          </cell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</row>
        <row r="322">
          <cell r="A322" t="str">
            <v>GRUPO REY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96</v>
          </cell>
          <cell r="J322" t="str">
            <v>GRUPO REY</v>
          </cell>
          <cell r="M322">
            <v>100</v>
          </cell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</row>
        <row r="323">
          <cell r="A323" t="str">
            <v>GRUPO REY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98</v>
          </cell>
          <cell r="J323" t="str">
            <v>GRUPO REY</v>
          </cell>
          <cell r="M323"/>
          <cell r="N323"/>
          <cell r="O323"/>
          <cell r="P323"/>
          <cell r="Q323"/>
          <cell r="R323"/>
          <cell r="S323">
            <v>96</v>
          </cell>
          <cell r="T323"/>
          <cell r="U323"/>
          <cell r="V323"/>
          <cell r="W323"/>
          <cell r="X323"/>
          <cell r="Y323"/>
        </row>
        <row r="324">
          <cell r="A324" t="str">
            <v>GRUPO REY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230</v>
          </cell>
          <cell r="J324" t="str">
            <v>GRUPO REY</v>
          </cell>
          <cell r="M324"/>
          <cell r="N324">
            <v>223.71428571428572</v>
          </cell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</row>
        <row r="325">
          <cell r="A325" t="str">
            <v>GRUPO REY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850</v>
          </cell>
          <cell r="J325" t="str">
            <v>GRUPO REY</v>
          </cell>
          <cell r="M325">
            <v>850</v>
          </cell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</row>
        <row r="326">
          <cell r="A326" t="str">
            <v>GRUPO REY</v>
          </cell>
          <cell r="C326">
            <v>200</v>
          </cell>
          <cell r="D326">
            <v>25</v>
          </cell>
          <cell r="E326">
            <v>100</v>
          </cell>
          <cell r="F326">
            <v>25</v>
          </cell>
          <cell r="G326">
            <v>350</v>
          </cell>
          <cell r="J326" t="str">
            <v>GRUPO REY</v>
          </cell>
          <cell r="M326">
            <v>350</v>
          </cell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</row>
        <row r="327">
          <cell r="A327" t="str">
            <v>GRUPO REY</v>
          </cell>
          <cell r="C327">
            <v>225</v>
          </cell>
          <cell r="D327">
            <v>0</v>
          </cell>
          <cell r="E327">
            <v>0</v>
          </cell>
          <cell r="F327">
            <v>0</v>
          </cell>
          <cell r="G327">
            <v>352</v>
          </cell>
          <cell r="J327" t="str">
            <v>GRUPO REY</v>
          </cell>
          <cell r="M327">
            <v>352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</row>
        <row r="328">
          <cell r="A328" t="str">
            <v>GRUPO REY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628</v>
          </cell>
          <cell r="J328" t="str">
            <v>GRUPO REY</v>
          </cell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>
            <v>628</v>
          </cell>
          <cell r="X328"/>
          <cell r="Y328"/>
        </row>
        <row r="329">
          <cell r="A329" t="str">
            <v>GRUPO REY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510</v>
          </cell>
          <cell r="J329" t="str">
            <v>GRUPO REY</v>
          </cell>
          <cell r="M329"/>
          <cell r="N329">
            <v>510</v>
          </cell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</row>
        <row r="330">
          <cell r="A330" t="str">
            <v>GRUPO REY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97</v>
          </cell>
          <cell r="J330" t="str">
            <v>GRUPO REY</v>
          </cell>
          <cell r="M330"/>
          <cell r="N330">
            <v>97</v>
          </cell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</row>
        <row r="331">
          <cell r="A331" t="str">
            <v>GRUPO REY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40</v>
          </cell>
          <cell r="J331" t="str">
            <v>GRUPO REY</v>
          </cell>
          <cell r="M331">
            <v>40</v>
          </cell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</row>
        <row r="332">
          <cell r="A332" t="str">
            <v>GRUPO REY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1350</v>
          </cell>
          <cell r="J332" t="str">
            <v>GRUPO REY</v>
          </cell>
          <cell r="M332">
            <v>1350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</row>
        <row r="333">
          <cell r="A333" t="str">
            <v>GRUPO REY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77</v>
          </cell>
          <cell r="J333" t="str">
            <v>GRUPO REY</v>
          </cell>
          <cell r="M333">
            <v>77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</row>
        <row r="334">
          <cell r="A334" t="str">
            <v>GRUPO REY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130</v>
          </cell>
          <cell r="J334" t="str">
            <v>GRUPO REY</v>
          </cell>
          <cell r="M334"/>
          <cell r="N334">
            <v>130</v>
          </cell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</row>
        <row r="335">
          <cell r="A335" t="str">
            <v>GRUPO REY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J335" t="str">
            <v>GRUPO REY</v>
          </cell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>
            <v>0</v>
          </cell>
          <cell r="X335"/>
          <cell r="Y335"/>
        </row>
        <row r="336">
          <cell r="A336" t="str">
            <v>GRUPO REY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J336" t="str">
            <v>GRUPO REY</v>
          </cell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>
            <v>0</v>
          </cell>
          <cell r="X336"/>
          <cell r="Y336"/>
        </row>
        <row r="337">
          <cell r="A337" t="str">
            <v>GRUPO REY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251</v>
          </cell>
          <cell r="J337" t="str">
            <v>GRUPO REY</v>
          </cell>
          <cell r="M337"/>
          <cell r="N337"/>
          <cell r="O337"/>
          <cell r="P337"/>
          <cell r="Q337"/>
          <cell r="R337"/>
          <cell r="S337"/>
          <cell r="T337"/>
          <cell r="U337">
            <v>251</v>
          </cell>
          <cell r="V337"/>
          <cell r="W337"/>
          <cell r="X337"/>
          <cell r="Y337"/>
        </row>
        <row r="338">
          <cell r="A338" t="str">
            <v>GRUPO REY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40</v>
          </cell>
          <cell r="J338" t="str">
            <v>GRUPO REY</v>
          </cell>
          <cell r="M338"/>
          <cell r="N338"/>
          <cell r="O338"/>
          <cell r="P338"/>
          <cell r="Q338"/>
          <cell r="R338"/>
          <cell r="S338">
            <v>40</v>
          </cell>
          <cell r="T338"/>
          <cell r="U338"/>
          <cell r="V338"/>
          <cell r="W338"/>
          <cell r="X338"/>
          <cell r="Y338"/>
        </row>
        <row r="339">
          <cell r="A339" t="str">
            <v>GRUPO REY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130</v>
          </cell>
          <cell r="J339" t="str">
            <v>GRUPO REY</v>
          </cell>
          <cell r="M339"/>
          <cell r="N339"/>
          <cell r="O339"/>
          <cell r="P339"/>
          <cell r="Q339"/>
          <cell r="R339">
            <v>130</v>
          </cell>
          <cell r="S339"/>
          <cell r="T339"/>
          <cell r="U339"/>
          <cell r="V339"/>
          <cell r="W339"/>
          <cell r="X339"/>
          <cell r="Y339"/>
        </row>
        <row r="340">
          <cell r="A340" t="str">
            <v>GRUPO REY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125</v>
          </cell>
          <cell r="J340" t="str">
            <v>GRUPO REY</v>
          </cell>
          <cell r="M340">
            <v>125</v>
          </cell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</row>
        <row r="341">
          <cell r="A341" t="str">
            <v>GRUPO REY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J341" t="str">
            <v>GRUPO REY</v>
          </cell>
          <cell r="M341"/>
          <cell r="N341"/>
          <cell r="O341"/>
          <cell r="P341"/>
          <cell r="Q341"/>
          <cell r="R341"/>
          <cell r="S341"/>
          <cell r="T341"/>
          <cell r="U341"/>
          <cell r="V341">
            <v>0</v>
          </cell>
          <cell r="W341"/>
          <cell r="X341"/>
          <cell r="Y341"/>
        </row>
        <row r="342">
          <cell r="A342" t="str">
            <v>GRUPO REY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25</v>
          </cell>
          <cell r="J342" t="str">
            <v>GRUPO REY</v>
          </cell>
          <cell r="M342">
            <v>25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</row>
        <row r="343">
          <cell r="A343" t="str">
            <v>GRUPO REY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J343" t="str">
            <v>GRUPO REY</v>
          </cell>
          <cell r="M343"/>
          <cell r="N343"/>
          <cell r="O343"/>
          <cell r="P343"/>
          <cell r="Q343"/>
          <cell r="R343"/>
          <cell r="S343"/>
          <cell r="T343"/>
          <cell r="U343"/>
          <cell r="V343">
            <v>0</v>
          </cell>
          <cell r="W343"/>
          <cell r="X343"/>
          <cell r="Y343"/>
        </row>
        <row r="344">
          <cell r="A344" t="str">
            <v>GRUPO REY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J344" t="str">
            <v>GRUPO REY</v>
          </cell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>
            <v>0</v>
          </cell>
        </row>
        <row r="345">
          <cell r="A345" t="str">
            <v>GRUPO REY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J345" t="str">
            <v>GRUPO REY</v>
          </cell>
          <cell r="M345"/>
          <cell r="N345"/>
          <cell r="O345">
            <v>0</v>
          </cell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</row>
        <row r="346">
          <cell r="A346" t="str">
            <v>GRUPO REY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209</v>
          </cell>
          <cell r="J346" t="str">
            <v>GRUPO REY</v>
          </cell>
          <cell r="M346">
            <v>209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</row>
        <row r="347">
          <cell r="A347" t="str">
            <v>GRUPO REY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J347" t="str">
            <v>GRUPO REY</v>
          </cell>
          <cell r="M347">
            <v>0</v>
          </cell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</row>
        <row r="348">
          <cell r="A348" t="str">
            <v>GRUPO REY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J348" t="str">
            <v>GRUPO REY</v>
          </cell>
          <cell r="M348"/>
          <cell r="N348">
            <v>0</v>
          </cell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</row>
        <row r="349">
          <cell r="A349" t="str">
            <v>GRUPO REY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150</v>
          </cell>
          <cell r="J349" t="str">
            <v>GRUPO REY</v>
          </cell>
          <cell r="M349"/>
          <cell r="N349"/>
          <cell r="O349"/>
          <cell r="P349"/>
          <cell r="Q349"/>
          <cell r="R349"/>
          <cell r="S349">
            <v>150</v>
          </cell>
          <cell r="T349"/>
          <cell r="U349"/>
          <cell r="V349"/>
          <cell r="W349"/>
          <cell r="X349"/>
          <cell r="Y349"/>
        </row>
        <row r="350">
          <cell r="A350" t="str">
            <v>GRUPO REY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6</v>
          </cell>
          <cell r="J350" t="str">
            <v>GRUPO REY</v>
          </cell>
          <cell r="M350"/>
          <cell r="N350">
            <v>6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</row>
        <row r="351">
          <cell r="A351" t="str">
            <v>GRUPO REY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J351" t="str">
            <v>GRUPO REY</v>
          </cell>
          <cell r="M351"/>
          <cell r="N351"/>
          <cell r="O351"/>
          <cell r="P351"/>
          <cell r="Q351"/>
          <cell r="R351">
            <v>0</v>
          </cell>
          <cell r="S351"/>
          <cell r="T351"/>
          <cell r="U351"/>
          <cell r="V351"/>
          <cell r="W351"/>
          <cell r="X351"/>
          <cell r="Y351"/>
        </row>
        <row r="352">
          <cell r="A352" t="str">
            <v>GRUPO REY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421</v>
          </cell>
          <cell r="J352" t="str">
            <v>GRUPO REY</v>
          </cell>
          <cell r="M352"/>
          <cell r="N352"/>
          <cell r="O352">
            <v>421</v>
          </cell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</row>
        <row r="353">
          <cell r="A353" t="str">
            <v>GRUPO REY</v>
          </cell>
          <cell r="C353">
            <v>1190</v>
          </cell>
          <cell r="D353">
            <v>0</v>
          </cell>
          <cell r="E353">
            <v>0</v>
          </cell>
          <cell r="F353">
            <v>0</v>
          </cell>
          <cell r="G353">
            <v>1190</v>
          </cell>
          <cell r="J353" t="str">
            <v>GRUPO REY</v>
          </cell>
          <cell r="M353"/>
          <cell r="N353"/>
          <cell r="O353"/>
          <cell r="P353"/>
          <cell r="Q353"/>
          <cell r="R353"/>
          <cell r="S353">
            <v>1190</v>
          </cell>
          <cell r="T353"/>
          <cell r="U353"/>
          <cell r="V353"/>
          <cell r="W353"/>
          <cell r="X353"/>
          <cell r="Y353"/>
        </row>
        <row r="354">
          <cell r="A354" t="str">
            <v>GRUPO REY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100</v>
          </cell>
          <cell r="J354" t="str">
            <v>GRUPO REY</v>
          </cell>
          <cell r="M354"/>
          <cell r="N354"/>
          <cell r="O354"/>
          <cell r="P354"/>
          <cell r="Q354"/>
          <cell r="R354"/>
          <cell r="S354">
            <v>100</v>
          </cell>
          <cell r="T354"/>
          <cell r="U354"/>
          <cell r="V354"/>
          <cell r="W354"/>
          <cell r="X354"/>
          <cell r="Y354"/>
        </row>
        <row r="355">
          <cell r="A355" t="str">
            <v>GRUPO REY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173</v>
          </cell>
          <cell r="J355" t="str">
            <v>GRUPO REY</v>
          </cell>
          <cell r="M355"/>
          <cell r="N355"/>
          <cell r="O355"/>
          <cell r="P355">
            <v>173</v>
          </cell>
          <cell r="Q355"/>
          <cell r="R355"/>
          <cell r="S355"/>
          <cell r="T355"/>
          <cell r="U355"/>
          <cell r="V355"/>
          <cell r="W355"/>
          <cell r="X355"/>
          <cell r="Y355"/>
        </row>
        <row r="356">
          <cell r="A356" t="str">
            <v>GRUPO REY</v>
          </cell>
          <cell r="C356">
            <v>200</v>
          </cell>
          <cell r="D356">
            <v>0</v>
          </cell>
          <cell r="E356">
            <v>0</v>
          </cell>
          <cell r="F356">
            <v>0</v>
          </cell>
          <cell r="G356">
            <v>200</v>
          </cell>
          <cell r="J356" t="str">
            <v>GRUPO REY</v>
          </cell>
          <cell r="M356"/>
          <cell r="N356"/>
          <cell r="O356"/>
          <cell r="P356"/>
          <cell r="Q356"/>
          <cell r="R356"/>
          <cell r="S356"/>
          <cell r="T356"/>
          <cell r="U356"/>
          <cell r="V356">
            <v>200</v>
          </cell>
          <cell r="W356"/>
          <cell r="X356"/>
          <cell r="Y356"/>
        </row>
        <row r="357">
          <cell r="A357" t="str">
            <v>GRUPO REY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265</v>
          </cell>
          <cell r="J357" t="str">
            <v>GRUPO REY</v>
          </cell>
          <cell r="M357">
            <v>265</v>
          </cell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</row>
        <row r="358">
          <cell r="A358" t="str">
            <v>GRUPO REY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130</v>
          </cell>
          <cell r="J358" t="str">
            <v>GRUPO REY</v>
          </cell>
          <cell r="M358"/>
          <cell r="N358">
            <v>130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</row>
        <row r="359">
          <cell r="A359" t="str">
            <v>GRUPO REY</v>
          </cell>
          <cell r="C359">
            <v>100</v>
          </cell>
          <cell r="D359">
            <v>0</v>
          </cell>
          <cell r="E359">
            <v>0</v>
          </cell>
          <cell r="F359">
            <v>0</v>
          </cell>
          <cell r="G359">
            <v>1300</v>
          </cell>
          <cell r="J359" t="str">
            <v>GRUPO REY</v>
          </cell>
          <cell r="M359">
            <v>1300</v>
          </cell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</row>
        <row r="360">
          <cell r="A360" t="str">
            <v>GRUPO REY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52</v>
          </cell>
          <cell r="J360" t="str">
            <v>GRUPO REY</v>
          </cell>
          <cell r="M360">
            <v>52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</row>
        <row r="361">
          <cell r="A361" t="str">
            <v>GRUPO REY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150</v>
          </cell>
          <cell r="J361" t="str">
            <v>GRUPO REY</v>
          </cell>
          <cell r="M361"/>
          <cell r="N361"/>
          <cell r="O361"/>
          <cell r="P361">
            <v>150</v>
          </cell>
          <cell r="Q361"/>
          <cell r="R361"/>
          <cell r="S361"/>
          <cell r="T361"/>
          <cell r="U361"/>
          <cell r="V361"/>
          <cell r="W361"/>
          <cell r="X361"/>
          <cell r="Y361"/>
        </row>
        <row r="362">
          <cell r="A362" t="str">
            <v>GRUPO REY</v>
          </cell>
          <cell r="C362">
            <v>0</v>
          </cell>
          <cell r="D362">
            <v>120</v>
          </cell>
          <cell r="E362">
            <v>180</v>
          </cell>
          <cell r="F362">
            <v>60</v>
          </cell>
          <cell r="G362">
            <v>630</v>
          </cell>
          <cell r="J362" t="str">
            <v>GRUPO REY</v>
          </cell>
          <cell r="M362">
            <v>630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</row>
        <row r="363">
          <cell r="A363" t="str">
            <v>GRUPO REY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50</v>
          </cell>
          <cell r="J363" t="str">
            <v>GRUPO REY</v>
          </cell>
          <cell r="M363">
            <v>50</v>
          </cell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</row>
        <row r="364">
          <cell r="A364" t="str">
            <v>GRUPO REY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600</v>
          </cell>
          <cell r="J364" t="str">
            <v>GRUPO REY</v>
          </cell>
          <cell r="M364">
            <v>600</v>
          </cell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</row>
        <row r="365">
          <cell r="A365" t="str">
            <v>GRUPO REY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40</v>
          </cell>
          <cell r="J365" t="str">
            <v>GRUPO REY</v>
          </cell>
          <cell r="M365"/>
          <cell r="N365"/>
          <cell r="O365"/>
          <cell r="P365"/>
          <cell r="Q365"/>
          <cell r="R365"/>
          <cell r="S365">
            <v>40</v>
          </cell>
          <cell r="T365"/>
          <cell r="U365"/>
          <cell r="V365"/>
          <cell r="W365"/>
          <cell r="X365"/>
          <cell r="Y365"/>
        </row>
        <row r="366">
          <cell r="A366" t="str">
            <v>GRUPO REY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105</v>
          </cell>
          <cell r="J366" t="str">
            <v>GRUPO REY</v>
          </cell>
          <cell r="M366"/>
          <cell r="N366"/>
          <cell r="O366">
            <v>105</v>
          </cell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</row>
        <row r="367">
          <cell r="A367" t="str">
            <v>GRUPO REY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490</v>
          </cell>
          <cell r="J367" t="str">
            <v>GRUPO REY</v>
          </cell>
          <cell r="M367"/>
          <cell r="N367">
            <v>490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</row>
        <row r="368">
          <cell r="A368" t="str">
            <v>GRUPO REY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480</v>
          </cell>
          <cell r="J368" t="str">
            <v>GRUPO REY</v>
          </cell>
          <cell r="M368"/>
          <cell r="N368"/>
          <cell r="O368">
            <v>480</v>
          </cell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</row>
        <row r="369">
          <cell r="A369" t="str">
            <v>GRUPO REY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50</v>
          </cell>
          <cell r="J369" t="str">
            <v>GRUPO REY</v>
          </cell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>
            <v>50</v>
          </cell>
        </row>
        <row r="370">
          <cell r="A370" t="str">
            <v>GRUPO REY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30</v>
          </cell>
          <cell r="J370" t="str">
            <v>GRUPO REY</v>
          </cell>
          <cell r="M370"/>
          <cell r="N370"/>
          <cell r="O370"/>
          <cell r="P370"/>
          <cell r="Q370"/>
          <cell r="R370"/>
          <cell r="S370"/>
          <cell r="T370"/>
          <cell r="U370"/>
          <cell r="V370">
            <v>30</v>
          </cell>
          <cell r="W370"/>
          <cell r="X370"/>
          <cell r="Y370"/>
        </row>
        <row r="371">
          <cell r="A371" t="str">
            <v>GRUPO REY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J371" t="str">
            <v>GRUPO REY</v>
          </cell>
          <cell r="M371"/>
          <cell r="N371">
            <v>0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</row>
        <row r="372">
          <cell r="A372" t="str">
            <v>GRUPO REY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346</v>
          </cell>
          <cell r="J372" t="str">
            <v>GRUPO REY</v>
          </cell>
          <cell r="M372"/>
          <cell r="N372"/>
          <cell r="O372">
            <v>346</v>
          </cell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</row>
        <row r="373">
          <cell r="A373" t="str">
            <v>Empresa Panameña de Alimentos, S. A.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325</v>
          </cell>
          <cell r="J373" t="str">
            <v>Empresa Panameña de Alimentos, S. A.</v>
          </cell>
          <cell r="M373">
            <v>325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</row>
        <row r="374">
          <cell r="A374" t="str">
            <v>Empresa Panameña de Alimentos, S. A.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30</v>
          </cell>
          <cell r="J374" t="str">
            <v>Empresa Panameña de Alimentos, S. A.</v>
          </cell>
          <cell r="M374"/>
          <cell r="N374"/>
          <cell r="O374">
            <v>30</v>
          </cell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</row>
        <row r="375">
          <cell r="A375" t="str">
            <v>Empresa Panameña de Alimentos, S. 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102</v>
          </cell>
          <cell r="J375" t="str">
            <v>Empresa Panameña de Alimentos, S. A.</v>
          </cell>
          <cell r="M375"/>
          <cell r="N375"/>
          <cell r="O375"/>
          <cell r="P375">
            <v>102</v>
          </cell>
          <cell r="Q375"/>
          <cell r="R375"/>
          <cell r="S375"/>
          <cell r="T375"/>
          <cell r="U375"/>
          <cell r="V375"/>
          <cell r="W375"/>
          <cell r="X375"/>
          <cell r="Y375"/>
        </row>
        <row r="376">
          <cell r="A376" t="str">
            <v>Empresa Panameña de Alimentos, S. A.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100</v>
          </cell>
          <cell r="J376" t="str">
            <v>Empresa Panameña de Alimentos, S. A.</v>
          </cell>
          <cell r="M376"/>
          <cell r="N376">
            <v>100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</row>
        <row r="377">
          <cell r="A377" t="str">
            <v>Empresa Panameña de Alimentos, S. 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180</v>
          </cell>
          <cell r="J377" t="str">
            <v>Empresa Panameña de Alimentos, S. A.</v>
          </cell>
          <cell r="M377"/>
          <cell r="N377"/>
          <cell r="O377">
            <v>180</v>
          </cell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</row>
        <row r="378">
          <cell r="A378" t="str">
            <v>Empresa Panameña de Alimentos, S. 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70</v>
          </cell>
          <cell r="J378" t="str">
            <v>Empresa Panameña de Alimentos, S. A.</v>
          </cell>
          <cell r="M378"/>
          <cell r="N378">
            <v>70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</row>
        <row r="379">
          <cell r="A379" t="str">
            <v>Empresa Panameña de Alimentos, S. 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1060</v>
          </cell>
          <cell r="J379" t="str">
            <v>Empresa Panameña de Alimentos, S. A.</v>
          </cell>
          <cell r="M379"/>
          <cell r="N379"/>
          <cell r="O379"/>
          <cell r="P379"/>
          <cell r="Q379">
            <v>1060</v>
          </cell>
          <cell r="R379"/>
          <cell r="S379"/>
          <cell r="T379"/>
          <cell r="U379"/>
          <cell r="V379"/>
          <cell r="W379"/>
          <cell r="X379"/>
          <cell r="Y379"/>
        </row>
        <row r="380">
          <cell r="A380" t="str">
            <v>Empresa Panameña de Alimentos, S. 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100</v>
          </cell>
          <cell r="J380" t="str">
            <v>Empresa Panameña de Alimentos, S. A.</v>
          </cell>
          <cell r="M380"/>
          <cell r="N380">
            <v>100</v>
          </cell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</row>
        <row r="381">
          <cell r="A381" t="str">
            <v>Empresa Panameña de Alimentos, S. 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250</v>
          </cell>
          <cell r="J381" t="str">
            <v>Empresa Panameña de Alimentos, S. A.</v>
          </cell>
          <cell r="M381"/>
          <cell r="N381">
            <v>250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</row>
        <row r="382">
          <cell r="A382" t="str">
            <v>Empresa Panameña de Alimentos, S. 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180</v>
          </cell>
          <cell r="J382" t="str">
            <v>Empresa Panameña de Alimentos, S. A.</v>
          </cell>
          <cell r="M382"/>
          <cell r="N382"/>
          <cell r="O382"/>
          <cell r="P382"/>
          <cell r="Q382"/>
          <cell r="R382">
            <v>180</v>
          </cell>
          <cell r="S382"/>
          <cell r="T382"/>
          <cell r="U382"/>
          <cell r="V382"/>
          <cell r="W382"/>
          <cell r="X382"/>
          <cell r="Y382"/>
        </row>
        <row r="383">
          <cell r="A383" t="str">
            <v>Empresa Panameña de Alimentos, S. A.</v>
          </cell>
          <cell r="C383">
            <v>40</v>
          </cell>
          <cell r="D383">
            <v>0</v>
          </cell>
          <cell r="E383">
            <v>0</v>
          </cell>
          <cell r="F383">
            <v>0</v>
          </cell>
          <cell r="G383">
            <v>40</v>
          </cell>
          <cell r="J383" t="str">
            <v>Empresa Panameña de Alimentos, S. A.</v>
          </cell>
          <cell r="M383"/>
          <cell r="N383"/>
          <cell r="O383"/>
          <cell r="P383"/>
          <cell r="Q383"/>
          <cell r="R383">
            <v>40</v>
          </cell>
          <cell r="S383"/>
          <cell r="T383"/>
          <cell r="U383"/>
          <cell r="V383"/>
          <cell r="W383"/>
          <cell r="X383"/>
          <cell r="Y383"/>
        </row>
        <row r="384">
          <cell r="A384" t="str">
            <v>Empresa Panameña de Alimentos, S. A.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73</v>
          </cell>
          <cell r="J384" t="str">
            <v>Empresa Panameña de Alimentos, S. A.</v>
          </cell>
          <cell r="M384"/>
          <cell r="N384"/>
          <cell r="O384"/>
          <cell r="P384"/>
          <cell r="Q384"/>
          <cell r="R384"/>
          <cell r="S384">
            <v>73</v>
          </cell>
          <cell r="T384"/>
          <cell r="U384"/>
          <cell r="V384"/>
          <cell r="W384"/>
          <cell r="X384"/>
          <cell r="Y384"/>
        </row>
        <row r="385">
          <cell r="A385" t="str">
            <v>Empresa Panameña de Alimentos, S. A.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325</v>
          </cell>
          <cell r="J385" t="str">
            <v>Empresa Panameña de Alimentos, S. A.</v>
          </cell>
          <cell r="M385"/>
          <cell r="N385"/>
          <cell r="O385">
            <v>325</v>
          </cell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</row>
        <row r="386">
          <cell r="A386" t="str">
            <v>Empresa Panameña de Alimentos, S. A.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65</v>
          </cell>
          <cell r="J386" t="str">
            <v>Empresa Panameña de Alimentos, S. A.</v>
          </cell>
          <cell r="M386"/>
          <cell r="N386"/>
          <cell r="O386">
            <v>65</v>
          </cell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</row>
        <row r="387">
          <cell r="A387" t="str">
            <v>Empresa Panameña de Alimentos, S. A.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70</v>
          </cell>
          <cell r="J387" t="str">
            <v>Empresa Panameña de Alimentos, S. A.</v>
          </cell>
          <cell r="M387"/>
          <cell r="N387">
            <v>70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</row>
        <row r="388">
          <cell r="A388" t="str">
            <v>Empresa Panameña de Alimentos, S. A.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1090</v>
          </cell>
          <cell r="J388" t="str">
            <v>Empresa Panameña de Alimentos, S. A.</v>
          </cell>
          <cell r="M388"/>
          <cell r="N388"/>
          <cell r="O388">
            <v>1090</v>
          </cell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</row>
        <row r="389">
          <cell r="A389" t="str">
            <v>Empresa Panameña de Alimentos, S. 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J389" t="str">
            <v>Empresa Panameña de Alimentos, S. A.</v>
          </cell>
          <cell r="M389">
            <v>0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</row>
        <row r="390">
          <cell r="A390" t="str">
            <v>Empresa Panameña de Alimentos, S. A.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282</v>
          </cell>
          <cell r="J390" t="str">
            <v>Empresa Panameña de Alimentos, S. A.</v>
          </cell>
          <cell r="M390"/>
          <cell r="N390">
            <v>282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</row>
        <row r="391">
          <cell r="A391" t="str">
            <v>Empresa Panameña de Alimentos, S. A.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467</v>
          </cell>
          <cell r="J391" t="str">
            <v>Empresa Panameña de Alimentos, S. A.</v>
          </cell>
          <cell r="M391"/>
          <cell r="N391">
            <v>467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</row>
        <row r="392">
          <cell r="A392" t="str">
            <v>Empresa Panameña de Alimentos, S. A.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82</v>
          </cell>
          <cell r="J392" t="str">
            <v>Empresa Panameña de Alimentos, S. A.</v>
          </cell>
          <cell r="M392"/>
          <cell r="N392"/>
          <cell r="O392"/>
          <cell r="P392"/>
          <cell r="Q392"/>
          <cell r="R392"/>
          <cell r="S392"/>
          <cell r="T392">
            <v>82</v>
          </cell>
          <cell r="U392"/>
          <cell r="V392"/>
          <cell r="W392"/>
          <cell r="X392"/>
          <cell r="Y392"/>
        </row>
        <row r="393">
          <cell r="A393" t="str">
            <v>Empresa Panameña de Alimentos, S. A.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881</v>
          </cell>
          <cell r="J393" t="str">
            <v>Empresa Panameña de Alimentos, S. A.</v>
          </cell>
          <cell r="M393"/>
          <cell r="N393">
            <v>881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</row>
        <row r="394">
          <cell r="A394" t="str">
            <v>Empresa Panameña de Alimentos, S. A.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38</v>
          </cell>
          <cell r="J394" t="str">
            <v>Empresa Panameña de Alimentos, S. A.</v>
          </cell>
          <cell r="M394"/>
          <cell r="N394">
            <v>38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</row>
        <row r="395">
          <cell r="A395" t="str">
            <v>Empresa Panameña de Alimentos, S. A.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70</v>
          </cell>
          <cell r="J395" t="str">
            <v>Empresa Panameña de Alimentos, S. A.</v>
          </cell>
          <cell r="M395"/>
          <cell r="N395">
            <v>70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</row>
        <row r="396">
          <cell r="A396" t="str">
            <v>Empresa Panameña de Alimentos, S. A.</v>
          </cell>
          <cell r="C396">
            <v>0</v>
          </cell>
          <cell r="D396">
            <v>13</v>
          </cell>
          <cell r="E396">
            <v>37</v>
          </cell>
          <cell r="F396">
            <v>28</v>
          </cell>
          <cell r="G396">
            <v>243</v>
          </cell>
          <cell r="J396" t="str">
            <v>Empresa Panameña de Alimentos, S. A.</v>
          </cell>
          <cell r="M396"/>
          <cell r="N396">
            <v>243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</row>
        <row r="397">
          <cell r="A397" t="str">
            <v>Empresa Panameña de Alimentos, S. 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62</v>
          </cell>
          <cell r="J397" t="str">
            <v>Empresa Panameña de Alimentos, S. A.</v>
          </cell>
          <cell r="M397"/>
          <cell r="N397">
            <v>62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</row>
        <row r="398">
          <cell r="A398" t="str">
            <v>Empresa Panameña de Alimentos, S. 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116</v>
          </cell>
          <cell r="J398" t="str">
            <v>Empresa Panameña de Alimentos, S. A.</v>
          </cell>
          <cell r="M398"/>
          <cell r="N398"/>
          <cell r="O398">
            <v>116</v>
          </cell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</row>
        <row r="399">
          <cell r="A399" t="str">
            <v>Empresa Panameña de Alimentos, S. A.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542</v>
          </cell>
          <cell r="J399" t="str">
            <v>Empresa Panameña de Alimentos, S. A.</v>
          </cell>
          <cell r="M399"/>
          <cell r="N399">
            <v>542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</row>
        <row r="400">
          <cell r="A400" t="str">
            <v>Empresa Panameña de Alimentos, S. A.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211</v>
          </cell>
          <cell r="J400" t="str">
            <v>Empresa Panameña de Alimentos, S. A.</v>
          </cell>
          <cell r="M400"/>
          <cell r="N400"/>
          <cell r="O400"/>
          <cell r="P400"/>
          <cell r="Q400"/>
          <cell r="R400"/>
          <cell r="S400">
            <v>211</v>
          </cell>
          <cell r="T400"/>
          <cell r="U400"/>
          <cell r="V400"/>
          <cell r="W400"/>
          <cell r="X400"/>
          <cell r="Y400"/>
        </row>
        <row r="401">
          <cell r="A401" t="str">
            <v>Empresa Panameña de Alimentos, S. A.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138</v>
          </cell>
          <cell r="J401" t="str">
            <v>Empresa Panameña de Alimentos, S. A.</v>
          </cell>
          <cell r="M401"/>
          <cell r="N401"/>
          <cell r="O401">
            <v>138</v>
          </cell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</row>
        <row r="402">
          <cell r="A402" t="str">
            <v>Empresa Panameña de Alimentos, S. 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147</v>
          </cell>
          <cell r="J402" t="str">
            <v>Empresa Panameña de Alimentos, S. A.</v>
          </cell>
          <cell r="M402"/>
          <cell r="N402">
            <v>147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</row>
        <row r="403">
          <cell r="A403" t="str">
            <v>Empresa Panameña de Alimentos, S. 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52</v>
          </cell>
          <cell r="J403" t="str">
            <v>Empresa Panameña de Alimentos, S. A.</v>
          </cell>
          <cell r="M403"/>
          <cell r="N403"/>
          <cell r="O403"/>
          <cell r="P403"/>
          <cell r="Q403"/>
          <cell r="R403"/>
          <cell r="S403">
            <v>52</v>
          </cell>
          <cell r="T403"/>
          <cell r="U403"/>
          <cell r="V403"/>
          <cell r="W403"/>
          <cell r="X403"/>
          <cell r="Y403"/>
        </row>
        <row r="404">
          <cell r="A404" t="str">
            <v>Empresa Panameña de Alimentos, S. 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500</v>
          </cell>
          <cell r="J404" t="str">
            <v>Empresa Panameña de Alimentos, S. A.</v>
          </cell>
          <cell r="M404">
            <v>500</v>
          </cell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</row>
        <row r="405">
          <cell r="A405" t="str">
            <v>Empresa Panameña de Alimentos, S. 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62</v>
          </cell>
          <cell r="J405" t="str">
            <v>Empresa Panameña de Alimentos, S. A.</v>
          </cell>
          <cell r="M405"/>
          <cell r="N405">
            <v>62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</row>
        <row r="406">
          <cell r="A406" t="str">
            <v>Empresa Panameña de Alimentos, S. 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215</v>
          </cell>
          <cell r="J406" t="str">
            <v>Empresa Panameña de Alimentos, S. A.</v>
          </cell>
          <cell r="M406">
            <v>215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</row>
        <row r="407">
          <cell r="A407" t="str">
            <v>Empresa Panameña de Alimentos, S. 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155</v>
          </cell>
          <cell r="J407" t="str">
            <v>Empresa Panameña de Alimentos, S. A.</v>
          </cell>
          <cell r="M407">
            <v>155</v>
          </cell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</row>
        <row r="408">
          <cell r="A408" t="str">
            <v>Empresa Panameña de Alimentos, S. 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100</v>
          </cell>
          <cell r="J408" t="str">
            <v>Empresa Panameña de Alimentos, S. A.</v>
          </cell>
          <cell r="M408">
            <v>100</v>
          </cell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</row>
        <row r="409">
          <cell r="A409" t="str">
            <v>Empresa Panameña de Alimentos, S. 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264</v>
          </cell>
          <cell r="J409" t="str">
            <v>Empresa Panameña de Alimentos, S. A.</v>
          </cell>
          <cell r="M409"/>
          <cell r="N409">
            <v>264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</row>
        <row r="410">
          <cell r="A410" t="str">
            <v>Empresa Panameña de Alimentos, S. A.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60</v>
          </cell>
          <cell r="J410" t="str">
            <v>Empresa Panameña de Alimentos, S. A.</v>
          </cell>
          <cell r="M410"/>
          <cell r="N410"/>
          <cell r="O410">
            <v>60</v>
          </cell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</row>
        <row r="411">
          <cell r="A411" t="str">
            <v>Empresa Panameña de Alimentos, S. A.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115</v>
          </cell>
          <cell r="J411" t="str">
            <v>Empresa Panameña de Alimentos, S. A.</v>
          </cell>
          <cell r="M411"/>
          <cell r="N411"/>
          <cell r="O411"/>
          <cell r="P411"/>
          <cell r="Q411"/>
          <cell r="R411"/>
          <cell r="S411"/>
          <cell r="T411">
            <v>115</v>
          </cell>
          <cell r="U411"/>
          <cell r="V411"/>
          <cell r="W411"/>
          <cell r="X411"/>
          <cell r="Y411"/>
        </row>
        <row r="412">
          <cell r="A412" t="str">
            <v>Empresa Panameña de Alimentos, S. A.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179</v>
          </cell>
          <cell r="J412" t="str">
            <v>Empresa Panameña de Alimentos, S. A.</v>
          </cell>
          <cell r="M412"/>
          <cell r="N412"/>
          <cell r="O412"/>
          <cell r="P412"/>
          <cell r="Q412"/>
          <cell r="R412"/>
          <cell r="S412">
            <v>179</v>
          </cell>
          <cell r="T412"/>
          <cell r="U412"/>
          <cell r="V412"/>
          <cell r="W412"/>
          <cell r="X412"/>
          <cell r="Y412"/>
        </row>
        <row r="413">
          <cell r="A413" t="str">
            <v>Empresa Panameña de Alimentos, S. A.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50</v>
          </cell>
          <cell r="J413" t="str">
            <v>Empresa Panameña de Alimentos, S. A.</v>
          </cell>
          <cell r="M413"/>
          <cell r="N413">
            <v>50</v>
          </cell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</row>
        <row r="414">
          <cell r="A414" t="str">
            <v>Empresa Panameña de Alimentos, S. A.</v>
          </cell>
          <cell r="C414">
            <v>162</v>
          </cell>
          <cell r="D414">
            <v>0</v>
          </cell>
          <cell r="E414">
            <v>0</v>
          </cell>
          <cell r="F414">
            <v>0</v>
          </cell>
          <cell r="G414">
            <v>162</v>
          </cell>
          <cell r="J414" t="str">
            <v>Empresa Panameña de Alimentos, S. A.</v>
          </cell>
          <cell r="M414"/>
          <cell r="N414">
            <v>162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</row>
        <row r="415">
          <cell r="A415" t="str">
            <v>Empresa Panameña de Alimentos, S. A.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86</v>
          </cell>
          <cell r="J415" t="str">
            <v>Empresa Panameña de Alimentos, S. A.</v>
          </cell>
          <cell r="M415"/>
          <cell r="N415">
            <v>86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</row>
        <row r="416">
          <cell r="A416" t="str">
            <v>Empresa Panameña de Alimentos, S. A.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201</v>
          </cell>
          <cell r="J416" t="str">
            <v>Empresa Panameña de Alimentos, S. A.</v>
          </cell>
          <cell r="M416">
            <v>201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</row>
        <row r="417">
          <cell r="A417" t="str">
            <v>Empresa Panameña de Alimentos, S. A.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73</v>
          </cell>
          <cell r="J417" t="str">
            <v>Empresa Panameña de Alimentos, S. A.</v>
          </cell>
          <cell r="M417"/>
          <cell r="N417"/>
          <cell r="O417"/>
          <cell r="P417"/>
          <cell r="Q417"/>
          <cell r="R417"/>
          <cell r="S417"/>
          <cell r="T417">
            <v>73</v>
          </cell>
          <cell r="U417"/>
          <cell r="V417"/>
          <cell r="W417"/>
          <cell r="X417"/>
          <cell r="Y417"/>
        </row>
        <row r="418">
          <cell r="A418" t="str">
            <v>Empresa Panameña de Alimentos, S. A.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181</v>
          </cell>
          <cell r="J418" t="str">
            <v>Empresa Panameña de Alimentos, S. A.</v>
          </cell>
          <cell r="M418"/>
          <cell r="N418"/>
          <cell r="O418"/>
          <cell r="P418"/>
          <cell r="Q418"/>
          <cell r="R418">
            <v>181</v>
          </cell>
          <cell r="S418"/>
          <cell r="T418"/>
          <cell r="U418"/>
          <cell r="V418"/>
          <cell r="W418"/>
          <cell r="X418"/>
          <cell r="Y418"/>
        </row>
        <row r="419">
          <cell r="A419" t="str">
            <v>Empresa Panameña de Alimentos, S. A.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201</v>
          </cell>
          <cell r="J419" t="str">
            <v>Empresa Panameña de Alimentos, S. A.</v>
          </cell>
          <cell r="M419"/>
          <cell r="N419">
            <v>201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</row>
        <row r="420">
          <cell r="A420" t="str">
            <v>Empresa Panameña de Alimentos, S. A.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J420" t="str">
            <v>Empresa Panameña de Alimentos, S. A.</v>
          </cell>
          <cell r="M420"/>
          <cell r="N420">
            <v>0</v>
          </cell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</row>
        <row r="421">
          <cell r="A421" t="str">
            <v>Empresa Panameña de Alimentos, S. 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284</v>
          </cell>
          <cell r="J421" t="str">
            <v>Empresa Panameña de Alimentos, S. A.</v>
          </cell>
          <cell r="M421"/>
          <cell r="N421">
            <v>284</v>
          </cell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</row>
        <row r="422">
          <cell r="A422" t="str">
            <v>Empresa Panameña de Alimentos, S. 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150</v>
          </cell>
          <cell r="J422" t="str">
            <v>Empresa Panameña de Alimentos, S. A.</v>
          </cell>
          <cell r="M422">
            <v>150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</row>
        <row r="423">
          <cell r="A423" t="str">
            <v>Empresa Panameña de Alimentos, S. 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1200</v>
          </cell>
          <cell r="J423" t="str">
            <v>Empresa Panameña de Alimentos, S. A.</v>
          </cell>
          <cell r="M423"/>
          <cell r="N423"/>
          <cell r="O423">
            <v>1200</v>
          </cell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</row>
        <row r="424">
          <cell r="A424" t="str">
            <v>Empresa Panameña de Alimentos, S. A.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20</v>
          </cell>
          <cell r="J424" t="str">
            <v>Empresa Panameña de Alimentos, S. A.</v>
          </cell>
          <cell r="M424"/>
          <cell r="N424">
            <v>20</v>
          </cell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</row>
        <row r="425">
          <cell r="A425" t="str">
            <v>Empresa Panameña de Alimentos, S. A.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390</v>
          </cell>
          <cell r="J425" t="str">
            <v>Empresa Panameña de Alimentos, S. A.</v>
          </cell>
          <cell r="M425">
            <v>390</v>
          </cell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</row>
        <row r="426">
          <cell r="A426" t="str">
            <v>Empresa Panameña de Alimentos, S. A.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250</v>
          </cell>
          <cell r="J426" t="str">
            <v>Empresa Panameña de Alimentos, S. A.</v>
          </cell>
          <cell r="M426"/>
          <cell r="N426">
            <v>250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</row>
        <row r="427">
          <cell r="A427" t="str">
            <v>Empresa Panameña de Alimentos, S. A.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120</v>
          </cell>
          <cell r="J427" t="str">
            <v>Empresa Panameña de Alimentos, S. A.</v>
          </cell>
          <cell r="M427"/>
          <cell r="N427">
            <v>120</v>
          </cell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</row>
        <row r="428">
          <cell r="A428" t="str">
            <v>Empresa Panameña de Alimentos, S. A.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356</v>
          </cell>
          <cell r="J428" t="str">
            <v>Empresa Panameña de Alimentos, S. A.</v>
          </cell>
          <cell r="M428"/>
          <cell r="N428">
            <v>356</v>
          </cell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</row>
        <row r="429">
          <cell r="A429" t="str">
            <v>Empresa Panameña de Alimentos, S. A.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90</v>
          </cell>
          <cell r="J429" t="str">
            <v>Empresa Panameña de Alimentos, S. A.</v>
          </cell>
          <cell r="M429"/>
          <cell r="N429">
            <v>90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</row>
        <row r="430">
          <cell r="A430" t="str">
            <v>Empresa Panameña de Alimentos, S. A.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67</v>
          </cell>
          <cell r="J430" t="str">
            <v>Empresa Panameña de Alimentos, S. A.</v>
          </cell>
          <cell r="M430"/>
          <cell r="N430">
            <v>67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</row>
        <row r="431">
          <cell r="A431" t="str">
            <v>Empresa Panameña de Alimentos, S. A.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84</v>
          </cell>
          <cell r="J431" t="str">
            <v>Empresa Panameña de Alimentos, S. A.</v>
          </cell>
          <cell r="M431"/>
          <cell r="N431">
            <v>84</v>
          </cell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</row>
        <row r="432">
          <cell r="A432" t="str">
            <v>Empresa Panameña de Alimentos, S. A.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22</v>
          </cell>
          <cell r="J432" t="str">
            <v>Empresa Panameña de Alimentos, S. A.</v>
          </cell>
          <cell r="M432"/>
          <cell r="N432">
            <v>22</v>
          </cell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</row>
        <row r="433">
          <cell r="A433" t="str">
            <v>Empresa Panameña de Alimentos, S. A.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230</v>
          </cell>
          <cell r="J433" t="str">
            <v>Empresa Panameña de Alimentos, S. A.</v>
          </cell>
          <cell r="M433"/>
          <cell r="N433">
            <v>230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</row>
        <row r="434">
          <cell r="A434" t="str">
            <v>Empresa Panameña de Alimentos, S. A.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205</v>
          </cell>
          <cell r="J434" t="str">
            <v>Empresa Panameña de Alimentos, S. A.</v>
          </cell>
          <cell r="M434"/>
          <cell r="N434">
            <v>205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</row>
        <row r="435">
          <cell r="A435" t="str">
            <v>Empresa Panameña de Alimentos, S. A.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J435" t="str">
            <v>Empresa Panameña de Alimentos, S. A.</v>
          </cell>
          <cell r="M435"/>
          <cell r="N435">
            <v>0</v>
          </cell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</row>
        <row r="436">
          <cell r="A436" t="str">
            <v>Empresa Panameña de Alimentos, S. A.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165</v>
          </cell>
          <cell r="J436" t="str">
            <v>Empresa Panameña de Alimentos, S. A.</v>
          </cell>
          <cell r="M436"/>
          <cell r="N436">
            <v>165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</row>
        <row r="437">
          <cell r="A437" t="str">
            <v>Empresa Panameña de Alimentos, S. A.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456</v>
          </cell>
          <cell r="J437" t="str">
            <v>Empresa Panameña de Alimentos, S. A.</v>
          </cell>
          <cell r="M437"/>
          <cell r="N437">
            <v>456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</row>
        <row r="438">
          <cell r="A438" t="str">
            <v>Empresa Panameña de Alimentos, S. A.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251</v>
          </cell>
          <cell r="J438" t="str">
            <v>Empresa Panameña de Alimentos, S. A.</v>
          </cell>
          <cell r="M438"/>
          <cell r="N438">
            <v>251</v>
          </cell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</row>
        <row r="439">
          <cell r="A439" t="str">
            <v>Empresa Panameña de Alimentos, S. A.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60</v>
          </cell>
          <cell r="J439" t="str">
            <v>Empresa Panameña de Alimentos, S. A.</v>
          </cell>
          <cell r="M439"/>
          <cell r="N439">
            <v>60</v>
          </cell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</row>
        <row r="440">
          <cell r="A440" t="str">
            <v>Empresa Panameña de Alimentos, S. A.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75</v>
          </cell>
          <cell r="J440" t="str">
            <v>Empresa Panameña de Alimentos, S. A.</v>
          </cell>
          <cell r="M440"/>
          <cell r="N440">
            <v>75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</row>
        <row r="441">
          <cell r="A441" t="str">
            <v>Empresa Panameña de Alimentos, S. A.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1017</v>
          </cell>
          <cell r="J441" t="str">
            <v>Empresa Panameña de Alimentos, S. A.</v>
          </cell>
          <cell r="M441"/>
          <cell r="N441"/>
          <cell r="O441">
            <v>1017</v>
          </cell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</row>
        <row r="442">
          <cell r="A442" t="str">
            <v>Empresa Panameña de Alimentos, S. A.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50</v>
          </cell>
          <cell r="J442" t="str">
            <v>Empresa Panameña de Alimentos, S. A.</v>
          </cell>
          <cell r="M442"/>
          <cell r="N442">
            <v>50</v>
          </cell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</row>
        <row r="443">
          <cell r="A443" t="str">
            <v>Empresa Panameña de Alimentos, S. A.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83</v>
          </cell>
          <cell r="J443" t="str">
            <v>Empresa Panameña de Alimentos, S. A.</v>
          </cell>
          <cell r="M443"/>
          <cell r="N443"/>
          <cell r="O443"/>
          <cell r="P443"/>
          <cell r="Q443">
            <v>83</v>
          </cell>
          <cell r="R443"/>
          <cell r="S443"/>
          <cell r="T443"/>
          <cell r="U443"/>
          <cell r="V443"/>
          <cell r="W443"/>
          <cell r="X443"/>
          <cell r="Y443"/>
        </row>
        <row r="444">
          <cell r="A444" t="str">
            <v>Empresa Panameña de Alimentos, S. 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152</v>
          </cell>
          <cell r="J444" t="str">
            <v>Empresa Panameña de Alimentos, S. A.</v>
          </cell>
          <cell r="M444"/>
          <cell r="N444"/>
          <cell r="O444"/>
          <cell r="P444"/>
          <cell r="Q444"/>
          <cell r="R444"/>
          <cell r="S444">
            <v>152</v>
          </cell>
          <cell r="T444"/>
          <cell r="U444"/>
          <cell r="V444"/>
          <cell r="W444"/>
          <cell r="X444"/>
          <cell r="Y444"/>
        </row>
        <row r="445">
          <cell r="A445" t="str">
            <v>Empresa Panameña de Alimentos, S. 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60</v>
          </cell>
          <cell r="J445" t="str">
            <v>Empresa Panameña de Alimentos, S. A.</v>
          </cell>
          <cell r="M445"/>
          <cell r="N445"/>
          <cell r="O445"/>
          <cell r="P445"/>
          <cell r="Q445">
            <v>60</v>
          </cell>
          <cell r="R445"/>
          <cell r="S445"/>
          <cell r="T445"/>
          <cell r="U445"/>
          <cell r="V445"/>
          <cell r="W445"/>
          <cell r="X445"/>
          <cell r="Y445"/>
        </row>
        <row r="446">
          <cell r="A446" t="str">
            <v>Empresa Panameña de Alimentos, S. 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J446" t="str">
            <v>Empresa Panameña de Alimentos, S. A.</v>
          </cell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</row>
        <row r="447">
          <cell r="A447" t="str">
            <v>Empresa Panameña de Alimentos, S. 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910</v>
          </cell>
          <cell r="J447" t="str">
            <v>Empresa Panameña de Alimentos, S. A.</v>
          </cell>
          <cell r="M447">
            <v>910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</row>
        <row r="448">
          <cell r="A448" t="str">
            <v>Empresa Panameña de Alimentos, S. A.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400</v>
          </cell>
          <cell r="J448" t="str">
            <v>Empresa Panameña de Alimentos, S. A.</v>
          </cell>
          <cell r="M448">
            <v>400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</row>
        <row r="449">
          <cell r="A449" t="str">
            <v>Empresa Panameña de Alimentos, S. A.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256</v>
          </cell>
          <cell r="J449" t="str">
            <v>Empresa Panameña de Alimentos, S. A.</v>
          </cell>
          <cell r="M449"/>
          <cell r="N449"/>
          <cell r="O449">
            <v>256</v>
          </cell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</row>
        <row r="450">
          <cell r="A450" t="str">
            <v>Empresa Panameña de Alimentos, S. A.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31</v>
          </cell>
          <cell r="J450" t="str">
            <v>Empresa Panameña de Alimentos, S. A.</v>
          </cell>
          <cell r="M450"/>
          <cell r="N450"/>
          <cell r="O450"/>
          <cell r="P450"/>
          <cell r="Q450"/>
          <cell r="R450">
            <v>31</v>
          </cell>
          <cell r="S450"/>
          <cell r="T450"/>
          <cell r="U450"/>
          <cell r="V450"/>
          <cell r="W450"/>
          <cell r="X450"/>
          <cell r="Y450"/>
        </row>
        <row r="451">
          <cell r="A451" t="str">
            <v>Empresa Panameña de Alimentos, S. A.</v>
          </cell>
          <cell r="C451">
            <v>73</v>
          </cell>
          <cell r="D451">
            <v>0</v>
          </cell>
          <cell r="E451">
            <v>0</v>
          </cell>
          <cell r="F451">
            <v>0</v>
          </cell>
          <cell r="G451">
            <v>496</v>
          </cell>
          <cell r="J451" t="str">
            <v>Empresa Panameña de Alimentos, S. A.</v>
          </cell>
          <cell r="M451"/>
          <cell r="N451"/>
          <cell r="O451"/>
          <cell r="P451"/>
          <cell r="Q451">
            <v>496</v>
          </cell>
          <cell r="R451"/>
          <cell r="S451"/>
          <cell r="T451"/>
          <cell r="U451"/>
          <cell r="V451"/>
          <cell r="W451"/>
          <cell r="X451"/>
          <cell r="Y451"/>
        </row>
        <row r="452">
          <cell r="A452" t="str">
            <v>Empresa Panameña de Alimentos, S. A.</v>
          </cell>
          <cell r="C452">
            <v>0</v>
          </cell>
          <cell r="D452">
            <v>680</v>
          </cell>
          <cell r="E452">
            <v>450</v>
          </cell>
          <cell r="F452">
            <v>450</v>
          </cell>
          <cell r="G452">
            <v>4560</v>
          </cell>
          <cell r="J452" t="str">
            <v>Empresa Panameña de Alimentos, S. A.</v>
          </cell>
          <cell r="M452"/>
          <cell r="N452"/>
          <cell r="O452"/>
          <cell r="P452"/>
          <cell r="Q452">
            <v>4560</v>
          </cell>
          <cell r="R452"/>
          <cell r="S452"/>
          <cell r="T452"/>
          <cell r="U452"/>
          <cell r="V452"/>
          <cell r="W452"/>
          <cell r="X452"/>
          <cell r="Y452"/>
        </row>
        <row r="453">
          <cell r="A453" t="str">
            <v>Empresa Panameña de Alimentos, S. A.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J453" t="str">
            <v>Empresa Panameña de Alimentos, S. A.</v>
          </cell>
          <cell r="M453"/>
          <cell r="N453">
            <v>0</v>
          </cell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</row>
        <row r="454">
          <cell r="A454" t="str">
            <v>Empresa Panameña de Alimentos, S. A.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400</v>
          </cell>
          <cell r="J454" t="str">
            <v>Empresa Panameña de Alimentos, S. A.</v>
          </cell>
          <cell r="M454">
            <v>400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</row>
        <row r="455">
          <cell r="A455" t="str">
            <v>Empresa Panameña de Alimentos, S. A.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34</v>
          </cell>
          <cell r="J455" t="str">
            <v>Empresa Panameña de Alimentos, S. A.</v>
          </cell>
          <cell r="M455"/>
          <cell r="N455"/>
          <cell r="O455">
            <v>34</v>
          </cell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</row>
        <row r="456">
          <cell r="A456" t="str">
            <v>Empresa Panameña de Alimentos, S. A.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96</v>
          </cell>
          <cell r="J456" t="str">
            <v>Empresa Panameña de Alimentos, S. A.</v>
          </cell>
          <cell r="M456"/>
          <cell r="N456"/>
          <cell r="O456"/>
          <cell r="P456"/>
          <cell r="Q456"/>
          <cell r="R456"/>
          <cell r="S456">
            <v>96</v>
          </cell>
          <cell r="T456"/>
          <cell r="U456"/>
          <cell r="V456"/>
          <cell r="W456"/>
          <cell r="X456"/>
          <cell r="Y456"/>
        </row>
        <row r="457">
          <cell r="A457" t="str">
            <v>Empresa Panameña de Alimentos, S. A.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230</v>
          </cell>
          <cell r="J457" t="str">
            <v>Empresa Panameña de Alimentos, S. A.</v>
          </cell>
          <cell r="M457"/>
          <cell r="N457">
            <v>230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</row>
        <row r="458">
          <cell r="A458" t="str">
            <v>Empresa Panameña de Alimentos, S. A.</v>
          </cell>
          <cell r="C458">
            <v>225</v>
          </cell>
          <cell r="D458">
            <v>0</v>
          </cell>
          <cell r="E458">
            <v>0</v>
          </cell>
          <cell r="F458">
            <v>0</v>
          </cell>
          <cell r="G458">
            <v>352</v>
          </cell>
          <cell r="J458" t="str">
            <v>Empresa Panameña de Alimentos, S. A.</v>
          </cell>
          <cell r="M458">
            <v>352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</row>
        <row r="459">
          <cell r="A459" t="str">
            <v>Empresa Panameña de Alimentos, S. A.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628</v>
          </cell>
          <cell r="J459" t="str">
            <v>Empresa Panameña de Alimentos, S. A.</v>
          </cell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>
            <v>628</v>
          </cell>
          <cell r="X459"/>
          <cell r="Y459"/>
        </row>
        <row r="460">
          <cell r="A460" t="str">
            <v>Empresa Panameña de Alimentos, S. A.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510</v>
          </cell>
          <cell r="J460" t="str">
            <v>Empresa Panameña de Alimentos, S. A.</v>
          </cell>
          <cell r="M460"/>
          <cell r="N460">
            <v>510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</row>
        <row r="461">
          <cell r="A461" t="str">
            <v>Empresa Panameña de Alimentos, S. A.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97</v>
          </cell>
          <cell r="J461" t="str">
            <v>Empresa Panameña de Alimentos, S. A.</v>
          </cell>
          <cell r="M461"/>
          <cell r="N461">
            <v>97</v>
          </cell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</row>
        <row r="462">
          <cell r="A462" t="str">
            <v>Empresa Panameña de Alimentos, S. A.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77</v>
          </cell>
          <cell r="J462" t="str">
            <v>Empresa Panameña de Alimentos, S. A.</v>
          </cell>
          <cell r="M462">
            <v>77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</row>
        <row r="463">
          <cell r="A463" t="str">
            <v>Empresa Panameña de Alimentos, S. A.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130</v>
          </cell>
          <cell r="J463" t="str">
            <v>Empresa Panameña de Alimentos, S. A.</v>
          </cell>
          <cell r="M463"/>
          <cell r="N463">
            <v>130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</row>
        <row r="464">
          <cell r="A464" t="str">
            <v>Empresa Panameña de Alimentos, S. A.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251</v>
          </cell>
          <cell r="J464" t="str">
            <v>Empresa Panameña de Alimentos, S. A.</v>
          </cell>
          <cell r="M464"/>
          <cell r="N464"/>
          <cell r="O464"/>
          <cell r="P464"/>
          <cell r="Q464"/>
          <cell r="R464"/>
          <cell r="S464"/>
          <cell r="T464"/>
          <cell r="U464">
            <v>251</v>
          </cell>
          <cell r="V464"/>
          <cell r="W464"/>
          <cell r="X464"/>
          <cell r="Y464"/>
        </row>
        <row r="465">
          <cell r="A465" t="str">
            <v>Empresa Panameña de Alimentos, S. A.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40</v>
          </cell>
          <cell r="J465" t="str">
            <v>Empresa Panameña de Alimentos, S. A.</v>
          </cell>
          <cell r="M465"/>
          <cell r="N465"/>
          <cell r="O465"/>
          <cell r="P465"/>
          <cell r="Q465"/>
          <cell r="R465"/>
          <cell r="S465">
            <v>40</v>
          </cell>
          <cell r="T465"/>
          <cell r="U465"/>
          <cell r="V465"/>
          <cell r="W465"/>
          <cell r="X465"/>
          <cell r="Y465"/>
        </row>
        <row r="466">
          <cell r="A466" t="str">
            <v>Empresa Panameña de Alimentos, S. A.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130</v>
          </cell>
          <cell r="J466" t="str">
            <v>Empresa Panameña de Alimentos, S. A.</v>
          </cell>
          <cell r="M466"/>
          <cell r="N466"/>
          <cell r="O466"/>
          <cell r="P466"/>
          <cell r="Q466"/>
          <cell r="R466">
            <v>130</v>
          </cell>
          <cell r="S466"/>
          <cell r="T466"/>
          <cell r="U466"/>
          <cell r="V466"/>
          <cell r="W466"/>
          <cell r="X466"/>
          <cell r="Y466"/>
        </row>
        <row r="467">
          <cell r="A467" t="str">
            <v>Empresa Panameña de Alimentos, S. A.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125</v>
          </cell>
          <cell r="J467" t="str">
            <v>Empresa Panameña de Alimentos, S. A.</v>
          </cell>
          <cell r="M467">
            <v>125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</row>
        <row r="468">
          <cell r="A468" t="str">
            <v>Empresa Panameña de Alimentos, S. A.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50</v>
          </cell>
          <cell r="J468" t="str">
            <v>Empresa Panameña de Alimentos, S. A.</v>
          </cell>
          <cell r="M468"/>
          <cell r="N468"/>
          <cell r="O468"/>
          <cell r="P468"/>
          <cell r="Q468"/>
          <cell r="R468"/>
          <cell r="S468">
            <v>50</v>
          </cell>
          <cell r="T468"/>
          <cell r="U468"/>
          <cell r="V468"/>
          <cell r="W468"/>
          <cell r="X468"/>
          <cell r="Y468"/>
        </row>
        <row r="469">
          <cell r="A469" t="str">
            <v>Empresa Panameña de Alimentos, S. A.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25</v>
          </cell>
          <cell r="J469" t="str">
            <v>Empresa Panameña de Alimentos, S. A.</v>
          </cell>
          <cell r="M469">
            <v>25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</row>
        <row r="470">
          <cell r="A470" t="str">
            <v>Empresa Panameña de Alimentos, S. A.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J470" t="str">
            <v>Empresa Panameña de Alimentos, S. A.</v>
          </cell>
          <cell r="M470"/>
          <cell r="N470"/>
          <cell r="O470"/>
          <cell r="P470"/>
          <cell r="Q470"/>
          <cell r="R470"/>
          <cell r="S470"/>
          <cell r="T470"/>
          <cell r="U470"/>
          <cell r="V470">
            <v>0</v>
          </cell>
          <cell r="W470"/>
          <cell r="X470"/>
          <cell r="Y470"/>
        </row>
        <row r="471">
          <cell r="A471" t="str">
            <v>Empresa Panameña de Alimentos, S. A.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J471" t="str">
            <v>Empresa Panameña de Alimentos, S. A.</v>
          </cell>
          <cell r="M471"/>
          <cell r="N471"/>
          <cell r="O471">
            <v>0</v>
          </cell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</row>
        <row r="472">
          <cell r="A472" t="str">
            <v>Empresa Panameña de Alimentos, S. A.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209</v>
          </cell>
          <cell r="J472" t="str">
            <v>Empresa Panameña de Alimentos, S. A.</v>
          </cell>
          <cell r="M472">
            <v>209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</row>
        <row r="473">
          <cell r="A473" t="str">
            <v>Empresa Panameña de Alimentos, S. A.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J473" t="str">
            <v>Empresa Panameña de Alimentos, S. A.</v>
          </cell>
          <cell r="M473">
            <v>0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</row>
        <row r="474">
          <cell r="A474" t="str">
            <v>Empresa Panameña de Alimentos, S. A.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150</v>
          </cell>
          <cell r="J474" t="str">
            <v>Empresa Panameña de Alimentos, S. A.</v>
          </cell>
          <cell r="M474"/>
          <cell r="N474"/>
          <cell r="O474"/>
          <cell r="P474"/>
          <cell r="Q474"/>
          <cell r="R474"/>
          <cell r="S474">
            <v>150</v>
          </cell>
          <cell r="T474"/>
          <cell r="U474"/>
          <cell r="V474"/>
          <cell r="W474"/>
          <cell r="X474"/>
          <cell r="Y474"/>
        </row>
        <row r="475">
          <cell r="A475" t="str">
            <v>Empresa Panameña de Alimentos, S. A.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6</v>
          </cell>
          <cell r="J475" t="str">
            <v>Empresa Panameña de Alimentos, S. A.</v>
          </cell>
          <cell r="M475"/>
          <cell r="N475">
            <v>6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</row>
        <row r="476">
          <cell r="A476" t="str">
            <v>Empresa Panameña de Alimentos, S. A.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200</v>
          </cell>
          <cell r="J476" t="str">
            <v>Empresa Panameña de Alimentos, S. A.</v>
          </cell>
          <cell r="M476">
            <v>200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</row>
        <row r="477">
          <cell r="A477" t="str">
            <v>Empresa Panameña de Alimentos, S. A.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J477" t="str">
            <v>Empresa Panameña de Alimentos, S. A.</v>
          </cell>
          <cell r="M477"/>
          <cell r="N477"/>
          <cell r="O477"/>
          <cell r="P477"/>
          <cell r="Q477"/>
          <cell r="R477">
            <v>0</v>
          </cell>
          <cell r="S477"/>
          <cell r="T477"/>
          <cell r="U477"/>
          <cell r="V477"/>
          <cell r="W477"/>
          <cell r="X477"/>
          <cell r="Y477"/>
        </row>
        <row r="478">
          <cell r="A478" t="str">
            <v>Empresa Panameña de Alimentos, S. A.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421</v>
          </cell>
          <cell r="J478" t="str">
            <v>Empresa Panameña de Alimentos, S. A.</v>
          </cell>
          <cell r="M478"/>
          <cell r="N478"/>
          <cell r="O478">
            <v>421</v>
          </cell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</row>
        <row r="479">
          <cell r="A479" t="str">
            <v>Empresa Panameña de Alimentos, S. A.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200</v>
          </cell>
          <cell r="J479" t="str">
            <v>Empresa Panameña de Alimentos, S. A.</v>
          </cell>
          <cell r="M479"/>
          <cell r="N479"/>
          <cell r="O479"/>
          <cell r="P479"/>
          <cell r="Q479"/>
          <cell r="R479"/>
          <cell r="S479">
            <v>200</v>
          </cell>
          <cell r="T479"/>
          <cell r="U479"/>
          <cell r="V479"/>
          <cell r="W479"/>
          <cell r="X479"/>
          <cell r="Y479"/>
        </row>
        <row r="480">
          <cell r="A480" t="str">
            <v>Empresa Panameña de Alimentos, S. A.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173</v>
          </cell>
          <cell r="J480" t="str">
            <v>Empresa Panameña de Alimentos, S. A.</v>
          </cell>
          <cell r="M480"/>
          <cell r="N480"/>
          <cell r="O480"/>
          <cell r="P480">
            <v>173</v>
          </cell>
          <cell r="Q480"/>
          <cell r="R480"/>
          <cell r="S480"/>
          <cell r="T480"/>
          <cell r="U480"/>
          <cell r="V480"/>
          <cell r="W480"/>
          <cell r="X480"/>
          <cell r="Y480"/>
        </row>
        <row r="481">
          <cell r="A481" t="str">
            <v>Empresa Panameña de Alimentos, S. A.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265</v>
          </cell>
          <cell r="J481" t="str">
            <v>Empresa Panameña de Alimentos, S. A.</v>
          </cell>
          <cell r="M481">
            <v>265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</row>
        <row r="482">
          <cell r="A482" t="str">
            <v>Empresa Panameña de Alimentos, S. A.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52</v>
          </cell>
          <cell r="J482" t="str">
            <v>Empresa Panameña de Alimentos, S. A.</v>
          </cell>
          <cell r="M482">
            <v>52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</row>
        <row r="483">
          <cell r="A483" t="str">
            <v>Empresa Panameña de Alimentos, S. A.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360</v>
          </cell>
          <cell r="J483" t="str">
            <v>Empresa Panameña de Alimentos, S. A.</v>
          </cell>
          <cell r="M483">
            <v>360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</row>
        <row r="484">
          <cell r="A484" t="str">
            <v>Empresa Panameña de Alimentos, S. A.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150</v>
          </cell>
          <cell r="J484" t="str">
            <v>Empresa Panameña de Alimentos, S. A.</v>
          </cell>
          <cell r="M484"/>
          <cell r="N484"/>
          <cell r="O484"/>
          <cell r="P484">
            <v>150</v>
          </cell>
          <cell r="Q484"/>
          <cell r="R484"/>
          <cell r="S484"/>
          <cell r="T484"/>
          <cell r="U484"/>
          <cell r="V484"/>
          <cell r="W484"/>
          <cell r="X484"/>
          <cell r="Y484"/>
        </row>
        <row r="485">
          <cell r="A485" t="str">
            <v>Empresa Panameña de Alimentos, S. A.</v>
          </cell>
          <cell r="C485">
            <v>0</v>
          </cell>
          <cell r="D485">
            <v>120</v>
          </cell>
          <cell r="E485">
            <v>180</v>
          </cell>
          <cell r="F485">
            <v>60</v>
          </cell>
          <cell r="G485">
            <v>630</v>
          </cell>
          <cell r="J485" t="str">
            <v>Empresa Panameña de Alimentos, S. A.</v>
          </cell>
          <cell r="M485">
            <v>630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</row>
        <row r="486">
          <cell r="A486" t="str">
            <v>Empresa Panameña de Alimentos, S. A.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50</v>
          </cell>
          <cell r="J486" t="str">
            <v>Empresa Panameña de Alimentos, S. A.</v>
          </cell>
          <cell r="M486">
            <v>50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</row>
        <row r="487">
          <cell r="A487" t="str">
            <v>Empresa Panameña de Alimentos, S. A.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600</v>
          </cell>
          <cell r="J487" t="str">
            <v>Empresa Panameña de Alimentos, S. A.</v>
          </cell>
          <cell r="M487">
            <v>600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</row>
        <row r="488">
          <cell r="A488" t="str">
            <v>Empresa Panameña de Alimentos, S. A.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40</v>
          </cell>
          <cell r="J488" t="str">
            <v>Empresa Panameña de Alimentos, S. A.</v>
          </cell>
          <cell r="M488"/>
          <cell r="N488"/>
          <cell r="O488"/>
          <cell r="P488"/>
          <cell r="Q488"/>
          <cell r="R488"/>
          <cell r="S488">
            <v>40</v>
          </cell>
          <cell r="T488"/>
          <cell r="U488"/>
          <cell r="V488"/>
          <cell r="W488"/>
          <cell r="X488"/>
          <cell r="Y488"/>
        </row>
        <row r="489">
          <cell r="A489" t="str">
            <v>Empresa Panameña de Alimentos, S. A.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105</v>
          </cell>
          <cell r="J489" t="str">
            <v>Empresa Panameña de Alimentos, S. A.</v>
          </cell>
          <cell r="M489"/>
          <cell r="N489"/>
          <cell r="O489">
            <v>105</v>
          </cell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</row>
        <row r="490">
          <cell r="A490" t="str">
            <v>Empresa Panameña de Alimentos, S. A.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490</v>
          </cell>
          <cell r="J490" t="str">
            <v>Empresa Panameña de Alimentos, S. A.</v>
          </cell>
          <cell r="M490"/>
          <cell r="N490">
            <v>490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</row>
        <row r="491">
          <cell r="A491" t="str">
            <v>Empresa Panameña de Alimentos, S. A.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480</v>
          </cell>
          <cell r="J491" t="str">
            <v>Empresa Panameña de Alimentos, S. A.</v>
          </cell>
          <cell r="M491"/>
          <cell r="N491"/>
          <cell r="O491">
            <v>480</v>
          </cell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</row>
        <row r="492">
          <cell r="A492" t="str">
            <v>Empresa Panameña de Alimentos, S. A.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740</v>
          </cell>
          <cell r="J492" t="str">
            <v>Empresa Panameña de Alimentos, S. A.</v>
          </cell>
          <cell r="M492">
            <v>740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</row>
        <row r="493">
          <cell r="A493" t="str">
            <v>Empresa Panameña de Alimentos, S. A.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J493" t="str">
            <v>Empresa Panameña de Alimentos, S. A.</v>
          </cell>
          <cell r="M493"/>
          <cell r="N493"/>
          <cell r="O493"/>
          <cell r="P493"/>
          <cell r="Q493"/>
          <cell r="R493"/>
          <cell r="S493"/>
          <cell r="T493">
            <v>0</v>
          </cell>
          <cell r="U493"/>
          <cell r="V493"/>
          <cell r="W493"/>
          <cell r="X493"/>
          <cell r="Y493"/>
        </row>
        <row r="494">
          <cell r="A494" t="str">
            <v>Empresa Panameña de Alimentos, S. A.</v>
          </cell>
          <cell r="C494">
            <v>300</v>
          </cell>
          <cell r="D494">
            <v>0</v>
          </cell>
          <cell r="E494">
            <v>0</v>
          </cell>
          <cell r="F494">
            <v>0</v>
          </cell>
          <cell r="G494">
            <v>300</v>
          </cell>
          <cell r="J494" t="str">
            <v>Empresa Panameña de Alimentos, S. A.</v>
          </cell>
          <cell r="M494"/>
          <cell r="N494"/>
          <cell r="O494"/>
          <cell r="P494"/>
          <cell r="Q494"/>
          <cell r="R494"/>
          <cell r="S494"/>
          <cell r="T494"/>
          <cell r="U494">
            <v>300</v>
          </cell>
          <cell r="V494"/>
          <cell r="W494"/>
          <cell r="X494"/>
          <cell r="Y494"/>
        </row>
        <row r="495">
          <cell r="A495" t="str">
            <v>Empresa Panameña de Alimentos, S. A.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240</v>
          </cell>
          <cell r="J495" t="str">
            <v>Empresa Panameña de Alimentos, S. A.</v>
          </cell>
          <cell r="M495"/>
          <cell r="N495"/>
          <cell r="O495"/>
          <cell r="P495"/>
          <cell r="Q495"/>
          <cell r="R495"/>
          <cell r="S495"/>
          <cell r="T495">
            <v>240</v>
          </cell>
          <cell r="U495"/>
          <cell r="V495"/>
          <cell r="W495"/>
          <cell r="X495"/>
          <cell r="Y495"/>
        </row>
        <row r="496">
          <cell r="A496" t="str">
            <v>Empresa Panameña de Alimentos, S. A.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J496" t="str">
            <v>Empresa Panameña de Alimentos, S. A.</v>
          </cell>
          <cell r="M496"/>
          <cell r="N496">
            <v>0</v>
          </cell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</row>
        <row r="497">
          <cell r="A497" t="str">
            <v>Empresa Panameña de Alimentos, S. A.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346</v>
          </cell>
          <cell r="J497" t="str">
            <v>Empresa Panameña de Alimentos, S. A.</v>
          </cell>
          <cell r="M497"/>
          <cell r="N497"/>
          <cell r="O497">
            <v>346</v>
          </cell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</row>
        <row r="498">
          <cell r="A498" t="str">
            <v>AGENCIAS FEDURO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J498" t="str">
            <v>AGENCIAS FEDURO</v>
          </cell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</row>
        <row r="499">
          <cell r="A499" t="str">
            <v>AGENCIAS FEDURO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325</v>
          </cell>
          <cell r="J499" t="str">
            <v>AGENCIAS FEDURO</v>
          </cell>
          <cell r="M499">
            <v>325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</row>
        <row r="500">
          <cell r="A500" t="str">
            <v>AGENCIAS FEDURO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212</v>
          </cell>
          <cell r="J500" t="str">
            <v>AGENCIAS FEDURO</v>
          </cell>
          <cell r="M500"/>
          <cell r="N500">
            <v>212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</row>
        <row r="501">
          <cell r="A501" t="str">
            <v>AGENCIAS FEDURO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102</v>
          </cell>
          <cell r="J501" t="str">
            <v>AGENCIAS FEDURO</v>
          </cell>
          <cell r="M501"/>
          <cell r="N501"/>
          <cell r="O501"/>
          <cell r="P501">
            <v>102</v>
          </cell>
          <cell r="Q501"/>
          <cell r="R501"/>
          <cell r="S501"/>
          <cell r="T501"/>
          <cell r="U501"/>
          <cell r="V501"/>
          <cell r="W501"/>
          <cell r="X501"/>
          <cell r="Y501"/>
        </row>
        <row r="502">
          <cell r="A502" t="str">
            <v>AGENCIAS FEDURO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180</v>
          </cell>
          <cell r="J502" t="str">
            <v>AGENCIAS FEDURO</v>
          </cell>
          <cell r="M502"/>
          <cell r="N502"/>
          <cell r="O502">
            <v>180</v>
          </cell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</row>
        <row r="503">
          <cell r="A503" t="str">
            <v>AGENCIAS FEDURO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70</v>
          </cell>
          <cell r="J503" t="str">
            <v>AGENCIAS FEDURO</v>
          </cell>
          <cell r="M503"/>
          <cell r="N503">
            <v>70</v>
          </cell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</row>
        <row r="504">
          <cell r="A504" t="str">
            <v>AGENCIAS FEDURO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1060</v>
          </cell>
          <cell r="J504" t="str">
            <v>AGENCIAS FEDURO</v>
          </cell>
          <cell r="M504"/>
          <cell r="N504"/>
          <cell r="O504"/>
          <cell r="P504"/>
          <cell r="Q504">
            <v>1060</v>
          </cell>
          <cell r="R504"/>
          <cell r="S504"/>
          <cell r="T504"/>
          <cell r="U504"/>
          <cell r="V504"/>
          <cell r="W504"/>
          <cell r="X504"/>
          <cell r="Y504"/>
        </row>
        <row r="505">
          <cell r="A505" t="str">
            <v>AGENCIAS FEDURO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100</v>
          </cell>
          <cell r="J505" t="str">
            <v>AGENCIAS FEDURO</v>
          </cell>
          <cell r="M505"/>
          <cell r="N505">
            <v>100</v>
          </cell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</row>
        <row r="506">
          <cell r="A506" t="str">
            <v>AGENCIAS FEDURO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250</v>
          </cell>
          <cell r="J506" t="str">
            <v>AGENCIAS FEDURO</v>
          </cell>
          <cell r="M506"/>
          <cell r="N506">
            <v>250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</row>
        <row r="507">
          <cell r="A507" t="str">
            <v>AGENCIAS FEDURO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180</v>
          </cell>
          <cell r="J507" t="str">
            <v>AGENCIAS FEDURO</v>
          </cell>
          <cell r="M507"/>
          <cell r="N507"/>
          <cell r="O507"/>
          <cell r="P507"/>
          <cell r="Q507"/>
          <cell r="R507">
            <v>180</v>
          </cell>
          <cell r="S507"/>
          <cell r="T507"/>
          <cell r="U507"/>
          <cell r="V507"/>
          <cell r="W507"/>
          <cell r="X507"/>
          <cell r="Y507"/>
        </row>
        <row r="508">
          <cell r="A508" t="str">
            <v>AGENCIAS FEDURO</v>
          </cell>
          <cell r="C508">
            <v>40</v>
          </cell>
          <cell r="D508">
            <v>0</v>
          </cell>
          <cell r="E508">
            <v>0</v>
          </cell>
          <cell r="F508">
            <v>0</v>
          </cell>
          <cell r="G508">
            <v>40</v>
          </cell>
          <cell r="J508" t="str">
            <v>AGENCIAS FEDURO</v>
          </cell>
          <cell r="M508"/>
          <cell r="N508"/>
          <cell r="O508"/>
          <cell r="P508"/>
          <cell r="Q508"/>
          <cell r="R508">
            <v>40</v>
          </cell>
          <cell r="S508"/>
          <cell r="T508"/>
          <cell r="U508"/>
          <cell r="V508"/>
          <cell r="W508"/>
          <cell r="X508"/>
          <cell r="Y508"/>
        </row>
        <row r="509">
          <cell r="A509" t="str">
            <v>AGENCIAS FEDURO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73</v>
          </cell>
          <cell r="J509" t="str">
            <v>AGENCIAS FEDURO</v>
          </cell>
          <cell r="M509"/>
          <cell r="N509"/>
          <cell r="O509"/>
          <cell r="P509"/>
          <cell r="Q509"/>
          <cell r="R509"/>
          <cell r="S509">
            <v>73</v>
          </cell>
          <cell r="T509"/>
          <cell r="U509"/>
          <cell r="V509"/>
          <cell r="W509"/>
          <cell r="X509"/>
          <cell r="Y509"/>
        </row>
        <row r="510">
          <cell r="A510" t="str">
            <v>AGENCIAS FEDURO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65</v>
          </cell>
          <cell r="J510" t="str">
            <v>AGENCIAS FEDURO</v>
          </cell>
          <cell r="M510"/>
          <cell r="N510"/>
          <cell r="O510">
            <v>65</v>
          </cell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</row>
        <row r="511">
          <cell r="A511" t="str">
            <v>AGENCIAS FEDURO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1090</v>
          </cell>
          <cell r="J511" t="str">
            <v>AGENCIAS FEDURO</v>
          </cell>
          <cell r="M511"/>
          <cell r="N511"/>
          <cell r="O511">
            <v>1090</v>
          </cell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</row>
        <row r="512">
          <cell r="A512" t="str">
            <v>AGENCIAS FEDURO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J512" t="str">
            <v>AGENCIAS FEDURO</v>
          </cell>
          <cell r="M512">
            <v>0</v>
          </cell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</row>
        <row r="513">
          <cell r="A513" t="str">
            <v>AGENCIAS FEDURO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282</v>
          </cell>
          <cell r="J513" t="str">
            <v>AGENCIAS FEDURO</v>
          </cell>
          <cell r="M513"/>
          <cell r="N513">
            <v>282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</row>
        <row r="514">
          <cell r="A514" t="str">
            <v>AGENCIAS FEDURO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467</v>
          </cell>
          <cell r="J514" t="str">
            <v>AGENCIAS FEDURO</v>
          </cell>
          <cell r="M514"/>
          <cell r="N514">
            <v>467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</row>
        <row r="515">
          <cell r="A515" t="str">
            <v>AGENCIAS FEDURO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82</v>
          </cell>
          <cell r="J515" t="str">
            <v>AGENCIAS FEDURO</v>
          </cell>
          <cell r="M515"/>
          <cell r="N515"/>
          <cell r="O515"/>
          <cell r="P515"/>
          <cell r="Q515"/>
          <cell r="R515"/>
          <cell r="S515"/>
          <cell r="T515">
            <v>82</v>
          </cell>
          <cell r="U515"/>
          <cell r="V515"/>
          <cell r="W515"/>
          <cell r="X515"/>
          <cell r="Y515"/>
        </row>
        <row r="516">
          <cell r="A516" t="str">
            <v>AGENCIAS FEDURO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38</v>
          </cell>
          <cell r="J516" t="str">
            <v>AGENCIAS FEDURO</v>
          </cell>
          <cell r="M516"/>
          <cell r="N516">
            <v>38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</row>
        <row r="517">
          <cell r="A517" t="str">
            <v>AGENCIAS FEDURO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70</v>
          </cell>
          <cell r="J517" t="str">
            <v>AGENCIAS FEDURO</v>
          </cell>
          <cell r="M517"/>
          <cell r="N517">
            <v>70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</row>
        <row r="518">
          <cell r="A518" t="str">
            <v>AGENCIAS FEDURO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62</v>
          </cell>
          <cell r="J518" t="str">
            <v>AGENCIAS FEDURO</v>
          </cell>
          <cell r="M518"/>
          <cell r="N518">
            <v>62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</row>
        <row r="519">
          <cell r="A519" t="str">
            <v>AGENCIAS FEDURO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116</v>
          </cell>
          <cell r="J519" t="str">
            <v>AGENCIAS FEDURO</v>
          </cell>
          <cell r="M519"/>
          <cell r="N519"/>
          <cell r="O519">
            <v>116</v>
          </cell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</row>
        <row r="520">
          <cell r="A520" t="str">
            <v>AGENCIAS FEDURO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542</v>
          </cell>
          <cell r="J520" t="str">
            <v>AGENCIAS FEDURO</v>
          </cell>
          <cell r="M520"/>
          <cell r="N520">
            <v>542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</row>
        <row r="521">
          <cell r="A521" t="str">
            <v>AGENCIAS FEDURO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138</v>
          </cell>
          <cell r="J521" t="str">
            <v>AGENCIAS FEDURO</v>
          </cell>
          <cell r="M521"/>
          <cell r="N521"/>
          <cell r="O521">
            <v>138</v>
          </cell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</row>
        <row r="522">
          <cell r="A522" t="str">
            <v>AGENCIAS FEDURO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147</v>
          </cell>
          <cell r="J522" t="str">
            <v>AGENCIAS FEDURO</v>
          </cell>
          <cell r="M522"/>
          <cell r="N522">
            <v>147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</row>
        <row r="523">
          <cell r="A523" t="str">
            <v>AGENCIAS FEDURO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62</v>
          </cell>
          <cell r="J523" t="str">
            <v>AGENCIAS FEDURO</v>
          </cell>
          <cell r="M523"/>
          <cell r="N523">
            <v>62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</row>
        <row r="524">
          <cell r="A524" t="str">
            <v>AGENCIAS FEDURO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105</v>
          </cell>
          <cell r="J524" t="str">
            <v>AGENCIAS FEDURO</v>
          </cell>
          <cell r="M524"/>
          <cell r="N524">
            <v>105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</row>
        <row r="525">
          <cell r="A525" t="str">
            <v>AGENCIAS FEDURO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100</v>
          </cell>
          <cell r="J525" t="str">
            <v>AGENCIAS FEDURO</v>
          </cell>
          <cell r="M525">
            <v>100</v>
          </cell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</row>
        <row r="526">
          <cell r="A526" t="str">
            <v>AGENCIAS FEDURO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264</v>
          </cell>
          <cell r="J526" t="str">
            <v>AGENCIAS FEDURO</v>
          </cell>
          <cell r="M526"/>
          <cell r="N526">
            <v>264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</row>
        <row r="527">
          <cell r="A527" t="str">
            <v>AGENCIAS FEDURO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60</v>
          </cell>
          <cell r="J527" t="str">
            <v>AGENCIAS FEDURO</v>
          </cell>
          <cell r="M527"/>
          <cell r="N527"/>
          <cell r="O527">
            <v>60</v>
          </cell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</row>
        <row r="528">
          <cell r="A528" t="str">
            <v>AGENCIAS FEDURO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115</v>
          </cell>
          <cell r="J528" t="str">
            <v>AGENCIAS FEDURO</v>
          </cell>
          <cell r="M528"/>
          <cell r="N528"/>
          <cell r="O528"/>
          <cell r="P528"/>
          <cell r="Q528"/>
          <cell r="R528"/>
          <cell r="S528"/>
          <cell r="T528">
            <v>115</v>
          </cell>
          <cell r="U528"/>
          <cell r="V528"/>
          <cell r="W528"/>
          <cell r="X528"/>
          <cell r="Y528"/>
        </row>
        <row r="529">
          <cell r="A529" t="str">
            <v>AGENCIAS FEDURO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201</v>
          </cell>
          <cell r="J529" t="str">
            <v>AGENCIAS FEDURO</v>
          </cell>
          <cell r="M529">
            <v>201</v>
          </cell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</row>
        <row r="530">
          <cell r="A530" t="str">
            <v>AGENCIAS FEDURO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73</v>
          </cell>
          <cell r="J530" t="str">
            <v>AGENCIAS FEDURO</v>
          </cell>
          <cell r="M530"/>
          <cell r="N530"/>
          <cell r="O530"/>
          <cell r="P530"/>
          <cell r="Q530"/>
          <cell r="R530"/>
          <cell r="S530"/>
          <cell r="T530">
            <v>73</v>
          </cell>
          <cell r="U530"/>
          <cell r="V530"/>
          <cell r="W530"/>
          <cell r="X530"/>
          <cell r="Y530"/>
        </row>
        <row r="531">
          <cell r="A531" t="str">
            <v>AGENCIAS FEDURO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181</v>
          </cell>
          <cell r="J531" t="str">
            <v>AGENCIAS FEDURO</v>
          </cell>
          <cell r="M531"/>
          <cell r="N531"/>
          <cell r="O531"/>
          <cell r="P531"/>
          <cell r="Q531"/>
          <cell r="R531">
            <v>181</v>
          </cell>
          <cell r="S531"/>
          <cell r="T531"/>
          <cell r="U531"/>
          <cell r="V531"/>
          <cell r="W531"/>
          <cell r="X531"/>
          <cell r="Y531"/>
        </row>
        <row r="532">
          <cell r="A532" t="str">
            <v>AGENCIAS FEDURO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635</v>
          </cell>
          <cell r="J532" t="str">
            <v>AGENCIAS FEDURO</v>
          </cell>
          <cell r="M532"/>
          <cell r="N532"/>
          <cell r="O532"/>
          <cell r="P532"/>
          <cell r="Q532"/>
          <cell r="R532"/>
          <cell r="S532"/>
          <cell r="T532">
            <v>635</v>
          </cell>
          <cell r="U532"/>
          <cell r="V532"/>
          <cell r="W532"/>
          <cell r="X532"/>
          <cell r="Y532"/>
        </row>
        <row r="533">
          <cell r="A533" t="str">
            <v>AGENCIAS FEDURO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201</v>
          </cell>
          <cell r="J533" t="str">
            <v>AGENCIAS FEDURO</v>
          </cell>
          <cell r="M533"/>
          <cell r="N533">
            <v>201</v>
          </cell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</row>
        <row r="534">
          <cell r="A534" t="str">
            <v>AGENCIAS FEDURO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J534" t="str">
            <v>AGENCIAS FEDURO</v>
          </cell>
          <cell r="M534"/>
          <cell r="N534">
            <v>0</v>
          </cell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</row>
        <row r="535">
          <cell r="A535" t="str">
            <v>AGENCIAS FEDURO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150</v>
          </cell>
          <cell r="J535" t="str">
            <v>AGENCIAS FEDURO</v>
          </cell>
          <cell r="M535">
            <v>150</v>
          </cell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</row>
        <row r="536">
          <cell r="A536" t="str">
            <v>AGENCIAS FEDURO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250</v>
          </cell>
          <cell r="J536" t="str">
            <v>AGENCIAS FEDURO</v>
          </cell>
          <cell r="M536"/>
          <cell r="N536">
            <v>250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</row>
        <row r="537">
          <cell r="A537" t="str">
            <v>AGENCIAS FEDURO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1200</v>
          </cell>
          <cell r="J537" t="str">
            <v>AGENCIAS FEDURO</v>
          </cell>
          <cell r="M537"/>
          <cell r="N537"/>
          <cell r="O537">
            <v>1200</v>
          </cell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</row>
        <row r="538">
          <cell r="A538" t="str">
            <v>AGENCIAS FEDURO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250</v>
          </cell>
          <cell r="J538" t="str">
            <v>AGENCIAS FEDURO</v>
          </cell>
          <cell r="M538"/>
          <cell r="N538">
            <v>250</v>
          </cell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</row>
        <row r="539">
          <cell r="A539" t="str">
            <v>AGENCIAS FEDURO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356</v>
          </cell>
          <cell r="J539" t="str">
            <v>AGENCIAS FEDURO</v>
          </cell>
          <cell r="M539"/>
          <cell r="N539">
            <v>356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</row>
        <row r="540">
          <cell r="A540" t="str">
            <v>AGENCIAS FEDURO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90</v>
          </cell>
          <cell r="J540" t="str">
            <v>AGENCIAS FEDURO</v>
          </cell>
          <cell r="M540"/>
          <cell r="N540">
            <v>90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</row>
        <row r="541">
          <cell r="A541" t="str">
            <v>AGENCIAS FEDURO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22</v>
          </cell>
          <cell r="J541" t="str">
            <v>AGENCIAS FEDURO</v>
          </cell>
          <cell r="M541"/>
          <cell r="N541">
            <v>22</v>
          </cell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</row>
        <row r="542">
          <cell r="A542" t="str">
            <v>AGENCIAS FEDURO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230</v>
          </cell>
          <cell r="J542" t="str">
            <v>AGENCIAS FEDURO</v>
          </cell>
          <cell r="M542"/>
          <cell r="N542">
            <v>230</v>
          </cell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</row>
        <row r="543">
          <cell r="A543" t="str">
            <v>AGENCIAS FEDURO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J543" t="str">
            <v>AGENCIAS FEDURO</v>
          </cell>
          <cell r="M543"/>
          <cell r="N543">
            <v>0</v>
          </cell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</row>
        <row r="544">
          <cell r="A544" t="str">
            <v>AGENCIAS FEDURO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456</v>
          </cell>
          <cell r="J544" t="str">
            <v>AGENCIAS FEDURO</v>
          </cell>
          <cell r="M544"/>
          <cell r="N544">
            <v>456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</row>
        <row r="545">
          <cell r="A545" t="str">
            <v>AGENCIAS FEDURO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251</v>
          </cell>
          <cell r="J545" t="str">
            <v>AGENCIAS FEDURO</v>
          </cell>
          <cell r="M545"/>
          <cell r="N545">
            <v>251</v>
          </cell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</row>
        <row r="546">
          <cell r="A546" t="str">
            <v>AGENCIAS FEDURO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75</v>
          </cell>
          <cell r="J546" t="str">
            <v>AGENCIAS FEDURO</v>
          </cell>
          <cell r="M546"/>
          <cell r="N546">
            <v>75</v>
          </cell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</row>
        <row r="547">
          <cell r="A547" t="str">
            <v>AGENCIAS FEDURO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107</v>
          </cell>
          <cell r="J547" t="str">
            <v>AGENCIAS FEDURO</v>
          </cell>
          <cell r="M547"/>
          <cell r="N547">
            <v>107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</row>
        <row r="548">
          <cell r="A548" t="str">
            <v>AGENCIAS FEDURO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83</v>
          </cell>
          <cell r="J548" t="str">
            <v>AGENCIAS FEDURO</v>
          </cell>
          <cell r="M548"/>
          <cell r="N548"/>
          <cell r="O548"/>
          <cell r="P548"/>
          <cell r="Q548">
            <v>83</v>
          </cell>
          <cell r="R548"/>
          <cell r="S548"/>
          <cell r="T548"/>
          <cell r="U548"/>
          <cell r="V548"/>
          <cell r="W548"/>
          <cell r="X548"/>
          <cell r="Y548"/>
        </row>
        <row r="549">
          <cell r="A549" t="str">
            <v>AGENCIAS FEDURO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37</v>
          </cell>
          <cell r="J549" t="str">
            <v>AGENCIAS FEDURO</v>
          </cell>
          <cell r="M549"/>
          <cell r="N549"/>
          <cell r="O549"/>
          <cell r="P549"/>
          <cell r="Q549"/>
          <cell r="R549"/>
          <cell r="S549"/>
          <cell r="T549">
            <v>37</v>
          </cell>
          <cell r="U549"/>
          <cell r="V549"/>
          <cell r="W549"/>
          <cell r="X549"/>
          <cell r="Y549"/>
        </row>
        <row r="550">
          <cell r="A550" t="str">
            <v>AGENCIAS FEDURO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J550" t="str">
            <v>AGENCIAS FEDURO</v>
          </cell>
          <cell r="M550"/>
          <cell r="N550"/>
          <cell r="O550"/>
          <cell r="P550"/>
          <cell r="Q550"/>
          <cell r="R550"/>
          <cell r="S550"/>
          <cell r="T550"/>
          <cell r="U550">
            <v>0</v>
          </cell>
          <cell r="V550"/>
          <cell r="W550"/>
          <cell r="X550"/>
          <cell r="Y550"/>
        </row>
        <row r="551">
          <cell r="A551" t="str">
            <v>AGENCIAS FEDURO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60</v>
          </cell>
          <cell r="J551" t="str">
            <v>AGENCIAS FEDURO</v>
          </cell>
          <cell r="M551"/>
          <cell r="N551"/>
          <cell r="O551"/>
          <cell r="P551"/>
          <cell r="Q551">
            <v>60</v>
          </cell>
          <cell r="R551"/>
          <cell r="S551"/>
          <cell r="T551"/>
          <cell r="U551"/>
          <cell r="V551"/>
          <cell r="W551"/>
          <cell r="X551"/>
          <cell r="Y551"/>
        </row>
        <row r="552">
          <cell r="A552" t="str">
            <v>AGENCIAS FEDURO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J552" t="str">
            <v>AGENCIAS FEDURO</v>
          </cell>
          <cell r="M552"/>
          <cell r="N552"/>
          <cell r="O552"/>
          <cell r="P552"/>
          <cell r="Q552"/>
          <cell r="R552"/>
          <cell r="S552"/>
          <cell r="T552"/>
          <cell r="U552"/>
          <cell r="V552">
            <v>0</v>
          </cell>
          <cell r="W552"/>
          <cell r="X552"/>
          <cell r="Y552"/>
        </row>
        <row r="553">
          <cell r="A553" t="str">
            <v>AGENCIAS FEDURO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910</v>
          </cell>
          <cell r="J553" t="str">
            <v>AGENCIAS FEDURO</v>
          </cell>
          <cell r="M553">
            <v>910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</row>
        <row r="554">
          <cell r="A554" t="str">
            <v>AGENCIAS FEDURO</v>
          </cell>
          <cell r="C554">
            <v>0</v>
          </cell>
          <cell r="D554">
            <v>40</v>
          </cell>
          <cell r="E554">
            <v>60</v>
          </cell>
          <cell r="F554">
            <v>40</v>
          </cell>
          <cell r="G554">
            <v>305</v>
          </cell>
          <cell r="J554" t="str">
            <v>AGENCIAS FEDURO</v>
          </cell>
          <cell r="M554"/>
          <cell r="N554"/>
          <cell r="O554"/>
          <cell r="P554"/>
          <cell r="Q554"/>
          <cell r="R554"/>
          <cell r="S554"/>
          <cell r="T554"/>
          <cell r="U554">
            <v>305</v>
          </cell>
          <cell r="V554"/>
          <cell r="W554"/>
          <cell r="X554"/>
          <cell r="Y554"/>
        </row>
        <row r="555">
          <cell r="A555" t="str">
            <v>AGENCIAS FEDURO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68</v>
          </cell>
          <cell r="J555" t="str">
            <v>AGENCIAS FEDURO</v>
          </cell>
          <cell r="M555"/>
          <cell r="N555"/>
          <cell r="O555">
            <v>68</v>
          </cell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</row>
        <row r="556">
          <cell r="A556" t="str">
            <v>AGENCIAS FEDURO</v>
          </cell>
          <cell r="C556">
            <v>0</v>
          </cell>
          <cell r="D556">
            <v>10</v>
          </cell>
          <cell r="E556">
            <v>20</v>
          </cell>
          <cell r="F556">
            <v>25</v>
          </cell>
          <cell r="G556">
            <v>175</v>
          </cell>
          <cell r="J556" t="str">
            <v>AGENCIAS FEDURO</v>
          </cell>
          <cell r="M556">
            <v>175</v>
          </cell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</row>
        <row r="557">
          <cell r="A557" t="str">
            <v>AGENCIAS FEDURO</v>
          </cell>
          <cell r="C557">
            <v>73</v>
          </cell>
          <cell r="D557">
            <v>0</v>
          </cell>
          <cell r="E557">
            <v>0</v>
          </cell>
          <cell r="F557">
            <v>0</v>
          </cell>
          <cell r="G557">
            <v>496</v>
          </cell>
          <cell r="J557" t="str">
            <v>AGENCIAS FEDURO</v>
          </cell>
          <cell r="M557"/>
          <cell r="N557"/>
          <cell r="O557"/>
          <cell r="P557"/>
          <cell r="Q557">
            <v>496</v>
          </cell>
          <cell r="R557"/>
          <cell r="S557"/>
          <cell r="T557"/>
          <cell r="U557"/>
          <cell r="V557"/>
          <cell r="W557"/>
          <cell r="X557"/>
          <cell r="Y557"/>
        </row>
        <row r="558">
          <cell r="A558" t="str">
            <v>AGENCIAS FEDURO</v>
          </cell>
          <cell r="C558">
            <v>0</v>
          </cell>
          <cell r="D558">
            <v>680</v>
          </cell>
          <cell r="E558">
            <v>450</v>
          </cell>
          <cell r="F558">
            <v>450</v>
          </cell>
          <cell r="G558">
            <v>4560</v>
          </cell>
          <cell r="J558" t="str">
            <v>AGENCIAS FEDURO</v>
          </cell>
          <cell r="M558"/>
          <cell r="N558"/>
          <cell r="O558"/>
          <cell r="P558"/>
          <cell r="Q558">
            <v>4560</v>
          </cell>
          <cell r="R558"/>
          <cell r="S558"/>
          <cell r="T558"/>
          <cell r="U558"/>
          <cell r="V558"/>
          <cell r="W558"/>
          <cell r="X558"/>
          <cell r="Y558"/>
        </row>
        <row r="559">
          <cell r="A559" t="str">
            <v>AGENCIAS FEDURO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J559" t="str">
            <v>AGENCIAS FEDURO</v>
          </cell>
          <cell r="M559"/>
          <cell r="N559">
            <v>0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</row>
        <row r="560">
          <cell r="A560" t="str">
            <v>AGENCIAS FEDURO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J560" t="str">
            <v>AGENCIAS FEDURO</v>
          </cell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>
            <v>0</v>
          </cell>
          <cell r="X560"/>
          <cell r="Y560"/>
        </row>
        <row r="561">
          <cell r="A561" t="str">
            <v>AGENCIAS FEDURO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400</v>
          </cell>
          <cell r="J561" t="str">
            <v>AGENCIAS FEDURO</v>
          </cell>
          <cell r="M561">
            <v>400</v>
          </cell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</row>
        <row r="562">
          <cell r="A562" t="str">
            <v>AGENCIAS FEDURO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34</v>
          </cell>
          <cell r="J562" t="str">
            <v>AGENCIAS FEDURO</v>
          </cell>
          <cell r="M562"/>
          <cell r="N562"/>
          <cell r="O562">
            <v>34</v>
          </cell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</row>
        <row r="563">
          <cell r="A563" t="str">
            <v>AGENCIAS FEDURO</v>
          </cell>
          <cell r="C563">
            <v>200</v>
          </cell>
          <cell r="D563">
            <v>25</v>
          </cell>
          <cell r="E563">
            <v>100</v>
          </cell>
          <cell r="F563">
            <v>25</v>
          </cell>
          <cell r="G563">
            <v>350</v>
          </cell>
          <cell r="J563" t="str">
            <v>AGENCIAS FEDURO</v>
          </cell>
          <cell r="M563">
            <v>350</v>
          </cell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</row>
        <row r="564">
          <cell r="A564" t="str">
            <v>AGENCIAS FEDURO</v>
          </cell>
          <cell r="C564">
            <v>225</v>
          </cell>
          <cell r="D564">
            <v>0</v>
          </cell>
          <cell r="E564">
            <v>0</v>
          </cell>
          <cell r="F564">
            <v>0</v>
          </cell>
          <cell r="G564">
            <v>352</v>
          </cell>
          <cell r="J564" t="str">
            <v>AGENCIAS FEDURO</v>
          </cell>
          <cell r="M564">
            <v>352</v>
          </cell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</row>
        <row r="565">
          <cell r="A565" t="str">
            <v>AGENCIAS FEDURO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628</v>
          </cell>
          <cell r="J565" t="str">
            <v>AGENCIAS FEDURO</v>
          </cell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>
            <v>628</v>
          </cell>
          <cell r="X565"/>
          <cell r="Y565"/>
        </row>
        <row r="566">
          <cell r="A566" t="str">
            <v>AGENCIAS FEDURO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510</v>
          </cell>
          <cell r="J566" t="str">
            <v>AGENCIAS FEDURO</v>
          </cell>
          <cell r="M566"/>
          <cell r="N566">
            <v>510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</row>
        <row r="567">
          <cell r="A567" t="str">
            <v>AGENCIAS FEDURO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97</v>
          </cell>
          <cell r="J567" t="str">
            <v>AGENCIAS FEDURO</v>
          </cell>
          <cell r="M567"/>
          <cell r="N567">
            <v>97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</row>
        <row r="568">
          <cell r="A568" t="str">
            <v>AGENCIAS FEDURO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130</v>
          </cell>
          <cell r="J568" t="str">
            <v>AGENCIAS FEDURO</v>
          </cell>
          <cell r="M568"/>
          <cell r="N568">
            <v>130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</row>
        <row r="569">
          <cell r="A569" t="str">
            <v>AGENCIAS FEDURO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J569" t="str">
            <v>AGENCIAS FEDURO</v>
          </cell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>
            <v>0</v>
          </cell>
          <cell r="X569"/>
          <cell r="Y569"/>
        </row>
        <row r="570">
          <cell r="A570" t="str">
            <v>AGENCIAS FEDURO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J570" t="str">
            <v>AGENCIAS FEDURO</v>
          </cell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>
            <v>0</v>
          </cell>
          <cell r="X570"/>
          <cell r="Y570"/>
        </row>
        <row r="571">
          <cell r="A571" t="str">
            <v>AGENCIAS FEDURO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251</v>
          </cell>
          <cell r="J571" t="str">
            <v>AGENCIAS FEDURO</v>
          </cell>
          <cell r="M571"/>
          <cell r="N571"/>
          <cell r="O571"/>
          <cell r="P571"/>
          <cell r="Q571"/>
          <cell r="R571"/>
          <cell r="S571"/>
          <cell r="T571"/>
          <cell r="U571">
            <v>251</v>
          </cell>
          <cell r="V571"/>
          <cell r="W571"/>
          <cell r="X571"/>
          <cell r="Y571"/>
        </row>
        <row r="572">
          <cell r="A572" t="str">
            <v>AGENCIAS FEDURO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120</v>
          </cell>
          <cell r="J572" t="str">
            <v>AGENCIAS FEDURO</v>
          </cell>
          <cell r="M572"/>
          <cell r="N572">
            <v>120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</row>
        <row r="573">
          <cell r="A573" t="str">
            <v>AGENCIAS FEDURO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125</v>
          </cell>
          <cell r="J573" t="str">
            <v>AGENCIAS FEDURO</v>
          </cell>
          <cell r="M573">
            <v>125</v>
          </cell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</row>
        <row r="574">
          <cell r="A574" t="str">
            <v>AGENCIAS FEDURO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J574" t="str">
            <v>AGENCIAS FEDURO</v>
          </cell>
          <cell r="M574"/>
          <cell r="N574"/>
          <cell r="O574"/>
          <cell r="P574"/>
          <cell r="Q574"/>
          <cell r="R574"/>
          <cell r="S574"/>
          <cell r="T574"/>
          <cell r="U574"/>
          <cell r="V574">
            <v>0</v>
          </cell>
          <cell r="W574"/>
          <cell r="X574"/>
          <cell r="Y574"/>
        </row>
        <row r="575">
          <cell r="A575" t="str">
            <v>AGENCIAS FEDURO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25</v>
          </cell>
          <cell r="J575" t="str">
            <v>AGENCIAS FEDURO</v>
          </cell>
          <cell r="M575">
            <v>25</v>
          </cell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</row>
        <row r="576">
          <cell r="A576" t="str">
            <v>AGENCIAS FEDURO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J576" t="str">
            <v>AGENCIAS FEDURO</v>
          </cell>
          <cell r="M576"/>
          <cell r="N576"/>
          <cell r="O576"/>
          <cell r="P576"/>
          <cell r="Q576"/>
          <cell r="R576"/>
          <cell r="S576"/>
          <cell r="T576"/>
          <cell r="U576"/>
          <cell r="V576">
            <v>0</v>
          </cell>
          <cell r="W576"/>
          <cell r="X576"/>
          <cell r="Y576"/>
        </row>
        <row r="577">
          <cell r="A577" t="str">
            <v>AGENCIAS FEDURO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J577" t="str">
            <v>AGENCIAS FEDURO</v>
          </cell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>
            <v>0</v>
          </cell>
        </row>
        <row r="578">
          <cell r="A578" t="str">
            <v>AGENCIAS FEDURO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J578" t="str">
            <v>AGENCIAS FEDURO</v>
          </cell>
          <cell r="M578"/>
          <cell r="N578"/>
          <cell r="O578">
            <v>0</v>
          </cell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</row>
        <row r="579">
          <cell r="A579" t="str">
            <v>AGENCIAS FEDURO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150</v>
          </cell>
          <cell r="J579" t="str">
            <v>AGENCIAS FEDURO</v>
          </cell>
          <cell r="M579"/>
          <cell r="N579"/>
          <cell r="O579"/>
          <cell r="P579"/>
          <cell r="Q579"/>
          <cell r="R579"/>
          <cell r="S579">
            <v>150</v>
          </cell>
          <cell r="T579"/>
          <cell r="U579"/>
          <cell r="V579"/>
          <cell r="W579"/>
          <cell r="X579"/>
          <cell r="Y579"/>
        </row>
        <row r="580">
          <cell r="A580" t="str">
            <v>AGENCIAS FEDURO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6</v>
          </cell>
          <cell r="J580" t="str">
            <v>AGENCIAS FEDURO</v>
          </cell>
          <cell r="M580"/>
          <cell r="N580">
            <v>6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</row>
        <row r="581">
          <cell r="A581" t="str">
            <v>AGENCIAS FEDURO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200</v>
          </cell>
          <cell r="J581" t="str">
            <v>AGENCIAS FEDURO</v>
          </cell>
          <cell r="M581">
            <v>200</v>
          </cell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</row>
        <row r="582">
          <cell r="A582" t="str">
            <v>AGENCIAS FEDURO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J582" t="str">
            <v>AGENCIAS FEDURO</v>
          </cell>
          <cell r="M582"/>
          <cell r="N582"/>
          <cell r="O582"/>
          <cell r="P582"/>
          <cell r="Q582"/>
          <cell r="R582">
            <v>0</v>
          </cell>
          <cell r="S582"/>
          <cell r="T582"/>
          <cell r="U582"/>
          <cell r="V582"/>
          <cell r="W582"/>
          <cell r="X582"/>
          <cell r="Y582"/>
        </row>
        <row r="583">
          <cell r="A583" t="str">
            <v>AGENCIAS FEDURO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421</v>
          </cell>
          <cell r="J583" t="str">
            <v>AGENCIAS FEDURO</v>
          </cell>
          <cell r="M583"/>
          <cell r="N583"/>
          <cell r="O583">
            <v>421</v>
          </cell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</row>
        <row r="584">
          <cell r="A584" t="str">
            <v>AGENCIAS FEDURO</v>
          </cell>
          <cell r="C584">
            <v>1190</v>
          </cell>
          <cell r="D584">
            <v>0</v>
          </cell>
          <cell r="E584">
            <v>0</v>
          </cell>
          <cell r="F584">
            <v>0</v>
          </cell>
          <cell r="G584">
            <v>1190</v>
          </cell>
          <cell r="J584" t="str">
            <v>AGENCIAS FEDURO</v>
          </cell>
          <cell r="M584"/>
          <cell r="N584"/>
          <cell r="O584"/>
          <cell r="P584"/>
          <cell r="Q584"/>
          <cell r="R584"/>
          <cell r="S584">
            <v>1190</v>
          </cell>
          <cell r="T584"/>
          <cell r="U584"/>
          <cell r="V584"/>
          <cell r="W584"/>
          <cell r="X584"/>
          <cell r="Y584"/>
        </row>
        <row r="585">
          <cell r="A585" t="str">
            <v>AGENCIAS FEDURO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173</v>
          </cell>
          <cell r="J585" t="str">
            <v>AGENCIAS FEDURO</v>
          </cell>
          <cell r="M585"/>
          <cell r="N585"/>
          <cell r="O585"/>
          <cell r="P585">
            <v>173</v>
          </cell>
          <cell r="Q585"/>
          <cell r="R585"/>
          <cell r="S585"/>
          <cell r="T585"/>
          <cell r="U585"/>
          <cell r="V585"/>
          <cell r="W585"/>
          <cell r="X585"/>
          <cell r="Y585"/>
        </row>
        <row r="586">
          <cell r="A586" t="str">
            <v>AGENCIAS FEDURO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J586" t="str">
            <v>AGENCIAS FEDURO</v>
          </cell>
          <cell r="M586"/>
          <cell r="N586"/>
          <cell r="O586"/>
          <cell r="P586"/>
          <cell r="Q586"/>
          <cell r="R586"/>
          <cell r="S586"/>
          <cell r="T586"/>
          <cell r="U586"/>
          <cell r="V586">
            <v>0</v>
          </cell>
          <cell r="W586"/>
          <cell r="X586"/>
          <cell r="Y586"/>
        </row>
        <row r="587">
          <cell r="A587" t="str">
            <v>AGENCIAS FEDURO</v>
          </cell>
          <cell r="C587">
            <v>0</v>
          </cell>
          <cell r="D587">
            <v>10</v>
          </cell>
          <cell r="E587">
            <v>20</v>
          </cell>
          <cell r="F587">
            <v>32</v>
          </cell>
          <cell r="G587">
            <v>83</v>
          </cell>
          <cell r="J587" t="str">
            <v>AGENCIAS FEDURO</v>
          </cell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</row>
        <row r="588">
          <cell r="A588" t="str">
            <v>AGENCIAS FEDURO</v>
          </cell>
          <cell r="C588">
            <v>200</v>
          </cell>
          <cell r="D588">
            <v>0</v>
          </cell>
          <cell r="E588">
            <v>0</v>
          </cell>
          <cell r="F588">
            <v>0</v>
          </cell>
          <cell r="G588">
            <v>200</v>
          </cell>
          <cell r="J588" t="str">
            <v>AGENCIAS FEDURO</v>
          </cell>
          <cell r="M588"/>
          <cell r="N588"/>
          <cell r="O588"/>
          <cell r="P588"/>
          <cell r="Q588"/>
          <cell r="R588"/>
          <cell r="S588"/>
          <cell r="T588"/>
          <cell r="U588"/>
          <cell r="V588">
            <v>200</v>
          </cell>
          <cell r="W588"/>
          <cell r="X588"/>
          <cell r="Y588"/>
        </row>
        <row r="589">
          <cell r="A589" t="str">
            <v>AGENCIAS FEDURO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265</v>
          </cell>
          <cell r="J589" t="str">
            <v>AGENCIAS FEDURO</v>
          </cell>
          <cell r="M589">
            <v>265</v>
          </cell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</row>
        <row r="590">
          <cell r="A590" t="str">
            <v>AGENCIAS FEDURO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130</v>
          </cell>
          <cell r="J590" t="str">
            <v>AGENCIAS FEDURO</v>
          </cell>
          <cell r="M590"/>
          <cell r="N590">
            <v>130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</row>
        <row r="591">
          <cell r="A591" t="str">
            <v>AGENCIAS FEDURO</v>
          </cell>
          <cell r="C591">
            <v>100</v>
          </cell>
          <cell r="D591">
            <v>0</v>
          </cell>
          <cell r="E591">
            <v>0</v>
          </cell>
          <cell r="F591">
            <v>0</v>
          </cell>
          <cell r="G591">
            <v>1300</v>
          </cell>
          <cell r="J591" t="str">
            <v>AGENCIAS FEDURO</v>
          </cell>
          <cell r="M591">
            <v>1300</v>
          </cell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</row>
        <row r="592">
          <cell r="A592" t="str">
            <v>AGENCIAS FEDURO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52</v>
          </cell>
          <cell r="J592" t="str">
            <v>AGENCIAS FEDURO</v>
          </cell>
          <cell r="M592">
            <v>52</v>
          </cell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</row>
        <row r="593">
          <cell r="A593" t="str">
            <v>AGENCIAS FEDURO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40</v>
          </cell>
          <cell r="J593" t="str">
            <v>AGENCIAS FEDURO</v>
          </cell>
          <cell r="M593"/>
          <cell r="N593"/>
          <cell r="O593"/>
          <cell r="P593"/>
          <cell r="Q593"/>
          <cell r="R593"/>
          <cell r="S593">
            <v>40</v>
          </cell>
          <cell r="T593"/>
          <cell r="U593"/>
          <cell r="V593"/>
          <cell r="W593"/>
          <cell r="X593"/>
          <cell r="Y593"/>
        </row>
        <row r="594">
          <cell r="A594" t="str">
            <v>AGENCIAS FEDURO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105</v>
          </cell>
          <cell r="J594" t="str">
            <v>AGENCIAS FEDURO</v>
          </cell>
          <cell r="M594"/>
          <cell r="N594"/>
          <cell r="O594">
            <v>105</v>
          </cell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</row>
        <row r="595">
          <cell r="A595" t="str">
            <v>AGENCIAS FEDURO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490</v>
          </cell>
          <cell r="J595" t="str">
            <v>AGENCIAS FEDURO</v>
          </cell>
          <cell r="M595"/>
          <cell r="N595">
            <v>490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</row>
        <row r="596">
          <cell r="A596" t="str">
            <v>AGENCIAS FEDURO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J596" t="str">
            <v>AGENCIAS FEDURO</v>
          </cell>
          <cell r="M596"/>
          <cell r="N596"/>
          <cell r="O596"/>
          <cell r="P596"/>
          <cell r="Q596"/>
          <cell r="R596"/>
          <cell r="S596"/>
          <cell r="T596">
            <v>0</v>
          </cell>
          <cell r="U596"/>
          <cell r="V596"/>
          <cell r="W596"/>
          <cell r="X596"/>
          <cell r="Y596"/>
        </row>
        <row r="597">
          <cell r="A597" t="str">
            <v>AGENCIAS FEDURO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50</v>
          </cell>
          <cell r="J597" t="str">
            <v>AGENCIAS FEDURO</v>
          </cell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>
            <v>50</v>
          </cell>
        </row>
        <row r="598">
          <cell r="A598" t="str">
            <v>AGENCIAS FEDURO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240</v>
          </cell>
          <cell r="J598" t="str">
            <v>AGENCIAS FEDURO</v>
          </cell>
          <cell r="M598"/>
          <cell r="N598"/>
          <cell r="O598"/>
          <cell r="P598"/>
          <cell r="Q598"/>
          <cell r="R598"/>
          <cell r="S598"/>
          <cell r="T598">
            <v>240</v>
          </cell>
          <cell r="U598"/>
          <cell r="V598"/>
          <cell r="W598"/>
          <cell r="X598"/>
          <cell r="Y598"/>
        </row>
        <row r="599">
          <cell r="A599" t="str">
            <v>AGENCIAS FEDURO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80</v>
          </cell>
          <cell r="J599" t="str">
            <v>AGENCIAS FEDURO</v>
          </cell>
          <cell r="M599"/>
          <cell r="N599"/>
          <cell r="O599"/>
          <cell r="P599"/>
          <cell r="Q599"/>
          <cell r="R599"/>
          <cell r="S599"/>
          <cell r="T599"/>
          <cell r="U599">
            <v>80</v>
          </cell>
          <cell r="V599"/>
          <cell r="W599"/>
          <cell r="X599"/>
          <cell r="Y599"/>
        </row>
        <row r="600">
          <cell r="A600" t="str">
            <v>AGENCIAS FEDURO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J600" t="str">
            <v>AGENCIAS FEDURO</v>
          </cell>
          <cell r="M600"/>
          <cell r="N600"/>
          <cell r="O600"/>
          <cell r="P600"/>
          <cell r="Q600"/>
          <cell r="R600"/>
          <cell r="S600"/>
          <cell r="T600"/>
          <cell r="U600">
            <v>0</v>
          </cell>
          <cell r="V600"/>
          <cell r="W600"/>
          <cell r="X600"/>
          <cell r="Y600"/>
        </row>
        <row r="601">
          <cell r="A601" t="str">
            <v>AGENCIAS FEDURO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39</v>
          </cell>
          <cell r="J601" t="str">
            <v>AGENCIAS FEDURO</v>
          </cell>
          <cell r="M601"/>
          <cell r="N601"/>
          <cell r="O601"/>
          <cell r="P601"/>
          <cell r="Q601"/>
          <cell r="R601"/>
          <cell r="S601"/>
          <cell r="T601"/>
          <cell r="U601"/>
          <cell r="V601">
            <v>39</v>
          </cell>
          <cell r="W601"/>
          <cell r="X601"/>
          <cell r="Y601"/>
        </row>
        <row r="602">
          <cell r="A602" t="str">
            <v>AGENCIAS FEDURO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30</v>
          </cell>
          <cell r="J602" t="str">
            <v>AGENCIAS FEDURO</v>
          </cell>
          <cell r="M602"/>
          <cell r="N602"/>
          <cell r="O602"/>
          <cell r="P602"/>
          <cell r="Q602"/>
          <cell r="R602"/>
          <cell r="S602"/>
          <cell r="T602"/>
          <cell r="U602"/>
          <cell r="V602">
            <v>30</v>
          </cell>
          <cell r="W602"/>
          <cell r="X602"/>
          <cell r="Y602"/>
        </row>
        <row r="603">
          <cell r="A603" t="str">
            <v>PRODUCTOS LA DOÑA, S.A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J603" t="str">
            <v>PRODUCTOS LA DOÑA, S.A</v>
          </cell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</row>
        <row r="604">
          <cell r="A604" t="str">
            <v>PRODUCTOS LA DOÑA, S.A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325</v>
          </cell>
          <cell r="J604" t="str">
            <v>PRODUCTOS LA DOÑA, S.A</v>
          </cell>
          <cell r="M604">
            <v>325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</row>
        <row r="605">
          <cell r="A605" t="str">
            <v>PRODUCTOS LA DOÑA, S.A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30</v>
          </cell>
          <cell r="J605" t="str">
            <v>PRODUCTOS LA DOÑA, S.A</v>
          </cell>
          <cell r="M605"/>
          <cell r="N605"/>
          <cell r="O605">
            <v>30</v>
          </cell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</row>
        <row r="606">
          <cell r="A606" t="str">
            <v>PRODUCTOS LA DOÑA, S.A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102</v>
          </cell>
          <cell r="J606" t="str">
            <v>PRODUCTOS LA DOÑA, S.A</v>
          </cell>
          <cell r="M606"/>
          <cell r="N606"/>
          <cell r="O606"/>
          <cell r="P606">
            <v>102</v>
          </cell>
          <cell r="Q606"/>
          <cell r="R606"/>
          <cell r="S606"/>
          <cell r="T606"/>
          <cell r="U606"/>
          <cell r="V606"/>
          <cell r="W606"/>
          <cell r="X606"/>
          <cell r="Y606"/>
        </row>
        <row r="607">
          <cell r="A607" t="str">
            <v>PRODUCTOS LA DOÑA, S.A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100</v>
          </cell>
          <cell r="J607" t="str">
            <v>PRODUCTOS LA DOÑA, S.A</v>
          </cell>
          <cell r="M607"/>
          <cell r="N607">
            <v>100</v>
          </cell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</row>
        <row r="608">
          <cell r="A608" t="str">
            <v>PRODUCTOS LA DOÑA, S.A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180</v>
          </cell>
          <cell r="J608" t="str">
            <v>PRODUCTOS LA DOÑA, S.A</v>
          </cell>
          <cell r="M608"/>
          <cell r="N608"/>
          <cell r="O608">
            <v>180</v>
          </cell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</row>
        <row r="609">
          <cell r="A609" t="str">
            <v>PRODUCTOS LA DOÑA, S.A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70</v>
          </cell>
          <cell r="J609" t="str">
            <v>PRODUCTOS LA DOÑA, S.A</v>
          </cell>
          <cell r="M609"/>
          <cell r="N609">
            <v>70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</row>
        <row r="610">
          <cell r="A610" t="str">
            <v>PRODUCTOS LA DOÑA, S.A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1060</v>
          </cell>
          <cell r="J610" t="str">
            <v>PRODUCTOS LA DOÑA, S.A</v>
          </cell>
          <cell r="M610"/>
          <cell r="N610"/>
          <cell r="O610"/>
          <cell r="P610"/>
          <cell r="Q610">
            <v>1060</v>
          </cell>
          <cell r="R610"/>
          <cell r="S610"/>
          <cell r="T610"/>
          <cell r="U610"/>
          <cell r="V610"/>
          <cell r="W610"/>
          <cell r="X610"/>
          <cell r="Y610"/>
        </row>
        <row r="611">
          <cell r="A611" t="str">
            <v>PRODUCTOS LA DOÑA, S.A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100</v>
          </cell>
          <cell r="J611" t="str">
            <v>PRODUCTOS LA DOÑA, S.A</v>
          </cell>
          <cell r="M611"/>
          <cell r="N611">
            <v>100</v>
          </cell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</row>
        <row r="612">
          <cell r="A612" t="str">
            <v>PRODUCTOS LA DOÑA, S.A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250</v>
          </cell>
          <cell r="J612" t="str">
            <v>PRODUCTOS LA DOÑA, S.A</v>
          </cell>
          <cell r="M612"/>
          <cell r="N612">
            <v>250</v>
          </cell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</row>
        <row r="613">
          <cell r="A613" t="str">
            <v>PRODUCTOS LA DOÑA, S.A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180</v>
          </cell>
          <cell r="J613" t="str">
            <v>PRODUCTOS LA DOÑA, S.A</v>
          </cell>
          <cell r="M613"/>
          <cell r="N613"/>
          <cell r="O613"/>
          <cell r="P613"/>
          <cell r="Q613"/>
          <cell r="R613">
            <v>180</v>
          </cell>
          <cell r="S613"/>
          <cell r="T613"/>
          <cell r="U613"/>
          <cell r="V613"/>
          <cell r="W613"/>
          <cell r="X613"/>
          <cell r="Y613"/>
        </row>
        <row r="614">
          <cell r="A614" t="str">
            <v>PRODUCTOS LA DOÑA, S.A</v>
          </cell>
          <cell r="C614">
            <v>40</v>
          </cell>
          <cell r="D614">
            <v>0</v>
          </cell>
          <cell r="E614">
            <v>0</v>
          </cell>
          <cell r="F614">
            <v>0</v>
          </cell>
          <cell r="G614">
            <v>40</v>
          </cell>
          <cell r="J614" t="str">
            <v>PRODUCTOS LA DOÑA, S.A</v>
          </cell>
          <cell r="M614"/>
          <cell r="N614"/>
          <cell r="O614"/>
          <cell r="P614"/>
          <cell r="Q614"/>
          <cell r="R614">
            <v>40</v>
          </cell>
          <cell r="S614"/>
          <cell r="T614"/>
          <cell r="U614"/>
          <cell r="V614"/>
          <cell r="W614"/>
          <cell r="X614"/>
          <cell r="Y614"/>
        </row>
        <row r="615">
          <cell r="A615" t="str">
            <v>PRODUCTOS LA DOÑA, S.A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73</v>
          </cell>
          <cell r="J615" t="str">
            <v>PRODUCTOS LA DOÑA, S.A</v>
          </cell>
          <cell r="M615"/>
          <cell r="N615"/>
          <cell r="O615"/>
          <cell r="P615"/>
          <cell r="Q615"/>
          <cell r="R615"/>
          <cell r="S615">
            <v>73</v>
          </cell>
          <cell r="T615"/>
          <cell r="U615"/>
          <cell r="V615"/>
          <cell r="W615"/>
          <cell r="X615"/>
          <cell r="Y615"/>
        </row>
        <row r="616">
          <cell r="A616" t="str">
            <v>PRODUCTOS LA DOÑA, S.A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325</v>
          </cell>
          <cell r="J616" t="str">
            <v>PRODUCTOS LA DOÑA, S.A</v>
          </cell>
          <cell r="M616"/>
          <cell r="N616"/>
          <cell r="O616">
            <v>325</v>
          </cell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</row>
        <row r="617">
          <cell r="A617" t="str">
            <v>PRODUCTOS LA DOÑA, S.A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65</v>
          </cell>
          <cell r="J617" t="str">
            <v>PRODUCTOS LA DOÑA, S.A</v>
          </cell>
          <cell r="M617"/>
          <cell r="N617"/>
          <cell r="O617">
            <v>65</v>
          </cell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</row>
        <row r="618">
          <cell r="A618" t="str">
            <v>PRODUCTOS LA DOÑA, S.A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70</v>
          </cell>
          <cell r="J618" t="str">
            <v>PRODUCTOS LA DOÑA, S.A</v>
          </cell>
          <cell r="M618"/>
          <cell r="N618">
            <v>70</v>
          </cell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</row>
        <row r="619">
          <cell r="A619" t="str">
            <v>PRODUCTOS LA DOÑA, S.A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1090</v>
          </cell>
          <cell r="J619" t="str">
            <v>PRODUCTOS LA DOÑA, S.A</v>
          </cell>
          <cell r="M619"/>
          <cell r="N619"/>
          <cell r="O619">
            <v>1090</v>
          </cell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</row>
        <row r="620">
          <cell r="A620" t="str">
            <v>PRODUCTOS LA DOÑA, S.A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J620" t="str">
            <v>PRODUCTOS LA DOÑA, S.A</v>
          </cell>
          <cell r="M620">
            <v>0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</row>
        <row r="621">
          <cell r="A621" t="str">
            <v>PRODUCTOS LA DOÑA, S.A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282</v>
          </cell>
          <cell r="J621" t="str">
            <v>PRODUCTOS LA DOÑA, S.A</v>
          </cell>
          <cell r="M621"/>
          <cell r="N621">
            <v>282</v>
          </cell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</row>
        <row r="622">
          <cell r="A622" t="str">
            <v>PRODUCTOS LA DOÑA, S.A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467</v>
          </cell>
          <cell r="J622" t="str">
            <v>PRODUCTOS LA DOÑA, S.A</v>
          </cell>
          <cell r="M622"/>
          <cell r="N622">
            <v>467</v>
          </cell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</row>
        <row r="623">
          <cell r="A623" t="str">
            <v>PRODUCTOS LA DOÑA, S.A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82</v>
          </cell>
          <cell r="J623" t="str">
            <v>PRODUCTOS LA DOÑA, S.A</v>
          </cell>
          <cell r="M623"/>
          <cell r="N623"/>
          <cell r="O623"/>
          <cell r="P623"/>
          <cell r="Q623"/>
          <cell r="R623"/>
          <cell r="S623"/>
          <cell r="T623">
            <v>82</v>
          </cell>
          <cell r="U623"/>
          <cell r="V623"/>
          <cell r="W623"/>
          <cell r="X623"/>
          <cell r="Y623"/>
        </row>
        <row r="624">
          <cell r="A624" t="str">
            <v>PRODUCTOS LA DOÑA, S.A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881</v>
          </cell>
          <cell r="J624" t="str">
            <v>PRODUCTOS LA DOÑA, S.A</v>
          </cell>
          <cell r="M624"/>
          <cell r="N624">
            <v>881</v>
          </cell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</row>
        <row r="625">
          <cell r="A625" t="str">
            <v>PRODUCTOS LA DOÑA, S.A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38</v>
          </cell>
          <cell r="J625" t="str">
            <v>PRODUCTOS LA DOÑA, S.A</v>
          </cell>
          <cell r="M625"/>
          <cell r="N625">
            <v>38</v>
          </cell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</row>
        <row r="626">
          <cell r="A626" t="str">
            <v>PRODUCTOS LA DOÑA, S.A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70</v>
          </cell>
          <cell r="J626" t="str">
            <v>PRODUCTOS LA DOÑA, S.A</v>
          </cell>
          <cell r="M626"/>
          <cell r="N626">
            <v>70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</row>
        <row r="627">
          <cell r="A627" t="str">
            <v>PRODUCTOS LA DOÑA, S.A</v>
          </cell>
          <cell r="C627">
            <v>0</v>
          </cell>
          <cell r="D627">
            <v>13</v>
          </cell>
          <cell r="E627">
            <v>37</v>
          </cell>
          <cell r="F627">
            <v>28</v>
          </cell>
          <cell r="G627">
            <v>243</v>
          </cell>
          <cell r="J627" t="str">
            <v>PRODUCTOS LA DOÑA, S.A</v>
          </cell>
          <cell r="M627"/>
          <cell r="N627">
            <v>243</v>
          </cell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</row>
        <row r="628">
          <cell r="A628" t="str">
            <v>PRODUCTOS LA DOÑA, S.A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62</v>
          </cell>
          <cell r="J628" t="str">
            <v>PRODUCTOS LA DOÑA, S.A</v>
          </cell>
          <cell r="M628"/>
          <cell r="N628">
            <v>62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</row>
        <row r="629">
          <cell r="A629" t="str">
            <v>PRODUCTOS LA DOÑA, S.A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116</v>
          </cell>
          <cell r="J629" t="str">
            <v>PRODUCTOS LA DOÑA, S.A</v>
          </cell>
          <cell r="M629"/>
          <cell r="N629"/>
          <cell r="O629">
            <v>116</v>
          </cell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</row>
        <row r="630">
          <cell r="A630" t="str">
            <v>PRODUCTOS LA DOÑA, S.A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542</v>
          </cell>
          <cell r="J630" t="str">
            <v>PRODUCTOS LA DOÑA, S.A</v>
          </cell>
          <cell r="M630"/>
          <cell r="N630">
            <v>542</v>
          </cell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</row>
        <row r="631">
          <cell r="A631" t="str">
            <v>PRODUCTOS LA DOÑA, S.A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211</v>
          </cell>
          <cell r="J631" t="str">
            <v>PRODUCTOS LA DOÑA, S.A</v>
          </cell>
          <cell r="M631"/>
          <cell r="N631"/>
          <cell r="O631"/>
          <cell r="P631"/>
          <cell r="Q631"/>
          <cell r="R631"/>
          <cell r="S631">
            <v>211</v>
          </cell>
          <cell r="T631"/>
          <cell r="U631"/>
          <cell r="V631"/>
          <cell r="W631"/>
          <cell r="X631"/>
          <cell r="Y631"/>
        </row>
        <row r="632">
          <cell r="A632" t="str">
            <v>PRODUCTOS LA DOÑA, S.A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138</v>
          </cell>
          <cell r="J632" t="str">
            <v>PRODUCTOS LA DOÑA, S.A</v>
          </cell>
          <cell r="M632"/>
          <cell r="N632"/>
          <cell r="O632">
            <v>138</v>
          </cell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</row>
        <row r="633">
          <cell r="A633" t="str">
            <v>PRODUCTOS LA DOÑA, S.A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147</v>
          </cell>
          <cell r="J633" t="str">
            <v>PRODUCTOS LA DOÑA, S.A</v>
          </cell>
          <cell r="M633"/>
          <cell r="N633">
            <v>147</v>
          </cell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</row>
        <row r="634">
          <cell r="A634" t="str">
            <v>PRODUCTOS LA DOÑA, S.A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52</v>
          </cell>
          <cell r="J634" t="str">
            <v>PRODUCTOS LA DOÑA, S.A</v>
          </cell>
          <cell r="M634"/>
          <cell r="N634"/>
          <cell r="O634"/>
          <cell r="P634"/>
          <cell r="Q634"/>
          <cell r="R634"/>
          <cell r="S634">
            <v>52</v>
          </cell>
          <cell r="T634"/>
          <cell r="U634"/>
          <cell r="V634"/>
          <cell r="W634"/>
          <cell r="X634"/>
          <cell r="Y634"/>
        </row>
        <row r="635">
          <cell r="A635" t="str">
            <v>PRODUCTOS LA DOÑA, S.A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62</v>
          </cell>
          <cell r="J635" t="str">
            <v>PRODUCTOS LA DOÑA, S.A</v>
          </cell>
          <cell r="M635"/>
          <cell r="N635">
            <v>62</v>
          </cell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</row>
        <row r="636">
          <cell r="A636" t="str">
            <v>PRODUCTOS LA DOÑA, S.A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215</v>
          </cell>
          <cell r="J636" t="str">
            <v>PRODUCTOS LA DOÑA, S.A</v>
          </cell>
          <cell r="M636">
            <v>215</v>
          </cell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</row>
        <row r="637">
          <cell r="A637" t="str">
            <v>PRODUCTOS LA DOÑA, S.A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155</v>
          </cell>
          <cell r="J637" t="str">
            <v>PRODUCTOS LA DOÑA, S.A</v>
          </cell>
          <cell r="M637">
            <v>155</v>
          </cell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</row>
        <row r="638">
          <cell r="A638" t="str">
            <v>PRODUCTOS LA DOÑA, S.A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84</v>
          </cell>
          <cell r="J638" t="str">
            <v>PRODUCTOS LA DOÑA, S.A</v>
          </cell>
          <cell r="M638"/>
          <cell r="N638"/>
          <cell r="O638"/>
          <cell r="P638"/>
          <cell r="Q638"/>
          <cell r="R638"/>
          <cell r="S638"/>
          <cell r="T638">
            <v>84</v>
          </cell>
          <cell r="U638"/>
          <cell r="V638"/>
          <cell r="W638"/>
          <cell r="X638"/>
          <cell r="Y638"/>
        </row>
        <row r="639">
          <cell r="A639" t="str">
            <v>PRODUCTOS LA DOÑA, S.A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100</v>
          </cell>
          <cell r="J639" t="str">
            <v>PRODUCTOS LA DOÑA, S.A</v>
          </cell>
          <cell r="M639">
            <v>100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</row>
        <row r="640">
          <cell r="A640" t="str">
            <v>PRODUCTOS LA DOÑA, S.A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264</v>
          </cell>
          <cell r="J640" t="str">
            <v>PRODUCTOS LA DOÑA, S.A</v>
          </cell>
          <cell r="M640"/>
          <cell r="N640">
            <v>264</v>
          </cell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</row>
        <row r="641">
          <cell r="A641" t="str">
            <v>PRODUCTOS LA DOÑA, S.A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57</v>
          </cell>
          <cell r="J641" t="str">
            <v>PRODUCTOS LA DOÑA, S.A</v>
          </cell>
          <cell r="M641"/>
          <cell r="N641"/>
          <cell r="O641"/>
          <cell r="P641"/>
          <cell r="Q641">
            <v>57</v>
          </cell>
          <cell r="R641"/>
          <cell r="S641"/>
          <cell r="T641"/>
          <cell r="U641"/>
          <cell r="V641"/>
          <cell r="W641"/>
          <cell r="X641"/>
          <cell r="Y641"/>
        </row>
        <row r="642">
          <cell r="A642" t="str">
            <v>PRODUCTOS LA DOÑA, S.A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60</v>
          </cell>
          <cell r="J642" t="str">
            <v>PRODUCTOS LA DOÑA, S.A</v>
          </cell>
          <cell r="M642"/>
          <cell r="N642"/>
          <cell r="O642">
            <v>60</v>
          </cell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</row>
        <row r="643">
          <cell r="A643" t="str">
            <v>PRODUCTOS LA DOÑA, S.A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179</v>
          </cell>
          <cell r="J643" t="str">
            <v>PRODUCTOS LA DOÑA, S.A</v>
          </cell>
          <cell r="M643"/>
          <cell r="N643"/>
          <cell r="O643"/>
          <cell r="P643"/>
          <cell r="Q643"/>
          <cell r="R643"/>
          <cell r="S643">
            <v>179</v>
          </cell>
          <cell r="T643"/>
          <cell r="U643"/>
          <cell r="V643"/>
          <cell r="W643"/>
          <cell r="X643"/>
          <cell r="Y643"/>
        </row>
        <row r="644">
          <cell r="A644" t="str">
            <v>PRODUCTOS LA DOÑA, S.A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50</v>
          </cell>
          <cell r="J644" t="str">
            <v>PRODUCTOS LA DOÑA, S.A</v>
          </cell>
          <cell r="M644"/>
          <cell r="N644">
            <v>50</v>
          </cell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</row>
        <row r="645">
          <cell r="A645" t="str">
            <v>PRODUCTOS LA DOÑA, S.A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86</v>
          </cell>
          <cell r="J645" t="str">
            <v>PRODUCTOS LA DOÑA, S.A</v>
          </cell>
          <cell r="M645"/>
          <cell r="N645">
            <v>86</v>
          </cell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</row>
        <row r="646">
          <cell r="A646" t="str">
            <v>PRODUCTOS LA DOÑA, S.A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201</v>
          </cell>
          <cell r="J646" t="str">
            <v>PRODUCTOS LA DOÑA, S.A</v>
          </cell>
          <cell r="M646">
            <v>201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</row>
        <row r="647">
          <cell r="A647" t="str">
            <v>PRODUCTOS LA DOÑA, S.A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73</v>
          </cell>
          <cell r="J647" t="str">
            <v>PRODUCTOS LA DOÑA, S.A</v>
          </cell>
          <cell r="M647"/>
          <cell r="N647"/>
          <cell r="O647"/>
          <cell r="P647"/>
          <cell r="Q647"/>
          <cell r="R647"/>
          <cell r="S647"/>
          <cell r="T647">
            <v>73</v>
          </cell>
          <cell r="U647"/>
          <cell r="V647"/>
          <cell r="W647"/>
          <cell r="X647"/>
          <cell r="Y647"/>
        </row>
        <row r="648">
          <cell r="A648" t="str">
            <v>PRODUCTOS LA DOÑA, S.A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181</v>
          </cell>
          <cell r="J648" t="str">
            <v>PRODUCTOS LA DOÑA, S.A</v>
          </cell>
          <cell r="M648"/>
          <cell r="N648"/>
          <cell r="O648"/>
          <cell r="P648"/>
          <cell r="Q648"/>
          <cell r="R648">
            <v>181</v>
          </cell>
          <cell r="S648"/>
          <cell r="T648"/>
          <cell r="U648"/>
          <cell r="V648"/>
          <cell r="W648"/>
          <cell r="X648"/>
          <cell r="Y648"/>
        </row>
        <row r="649">
          <cell r="A649" t="str">
            <v>PRODUCTOS LA DOÑA, S.A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635</v>
          </cell>
          <cell r="J649" t="str">
            <v>PRODUCTOS LA DOÑA, S.A</v>
          </cell>
          <cell r="M649"/>
          <cell r="N649"/>
          <cell r="O649"/>
          <cell r="P649"/>
          <cell r="Q649"/>
          <cell r="R649"/>
          <cell r="S649"/>
          <cell r="T649">
            <v>635</v>
          </cell>
          <cell r="U649"/>
          <cell r="V649"/>
          <cell r="W649"/>
          <cell r="X649"/>
          <cell r="Y649"/>
        </row>
        <row r="650">
          <cell r="A650" t="str">
            <v>PRODUCTOS LA DOÑA, S.A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201</v>
          </cell>
          <cell r="J650" t="str">
            <v>PRODUCTOS LA DOÑA, S.A</v>
          </cell>
          <cell r="M650"/>
          <cell r="N650">
            <v>201</v>
          </cell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</row>
        <row r="651">
          <cell r="A651" t="str">
            <v>PRODUCTOS LA DOÑA, S.A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J651" t="str">
            <v>PRODUCTOS LA DOÑA, S.A</v>
          </cell>
          <cell r="M651"/>
          <cell r="N651">
            <v>0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</row>
        <row r="652">
          <cell r="A652" t="str">
            <v>PRODUCTOS LA DOÑA, S.A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284</v>
          </cell>
          <cell r="J652" t="str">
            <v>PRODUCTOS LA DOÑA, S.A</v>
          </cell>
          <cell r="M652"/>
          <cell r="N652">
            <v>284</v>
          </cell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</row>
        <row r="653">
          <cell r="A653" t="str">
            <v>PRODUCTOS LA DOÑA, S.A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150</v>
          </cell>
          <cell r="J653" t="str">
            <v>PRODUCTOS LA DOÑA, S.A</v>
          </cell>
          <cell r="M653">
            <v>150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</row>
        <row r="654">
          <cell r="A654" t="str">
            <v>PRODUCTOS LA DOÑA, S.A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250</v>
          </cell>
          <cell r="J654" t="str">
            <v>PRODUCTOS LA DOÑA, S.A</v>
          </cell>
          <cell r="M654"/>
          <cell r="N654">
            <v>250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</row>
        <row r="655">
          <cell r="A655" t="str">
            <v>PRODUCTOS LA DOÑA, S.A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1200</v>
          </cell>
          <cell r="J655" t="str">
            <v>PRODUCTOS LA DOÑA, S.A</v>
          </cell>
          <cell r="M655"/>
          <cell r="N655"/>
          <cell r="O655">
            <v>1200</v>
          </cell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</row>
        <row r="656">
          <cell r="A656" t="str">
            <v>PRODUCTOS LA DOÑA, S.A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20</v>
          </cell>
          <cell r="J656" t="str">
            <v>PRODUCTOS LA DOÑA, S.A</v>
          </cell>
          <cell r="M656"/>
          <cell r="N656">
            <v>20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</row>
        <row r="657">
          <cell r="A657" t="str">
            <v>PRODUCTOS LA DOÑA, S.A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390</v>
          </cell>
          <cell r="J657" t="str">
            <v>PRODUCTOS LA DOÑA, S.A</v>
          </cell>
          <cell r="M657">
            <v>390</v>
          </cell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</row>
        <row r="658">
          <cell r="A658" t="str">
            <v>PRODUCTOS LA DOÑA, S.A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410</v>
          </cell>
          <cell r="J658" t="str">
            <v>PRODUCTOS LA DOÑA, S.A</v>
          </cell>
          <cell r="M658"/>
          <cell r="N658"/>
          <cell r="O658">
            <v>410</v>
          </cell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</row>
        <row r="659">
          <cell r="A659" t="str">
            <v>PRODUCTOS LA DOÑA, S.A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140</v>
          </cell>
          <cell r="J659" t="str">
            <v>PRODUCTOS LA DOÑA, S.A</v>
          </cell>
          <cell r="M659"/>
          <cell r="N659"/>
          <cell r="O659">
            <v>140</v>
          </cell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</row>
        <row r="660">
          <cell r="A660" t="str">
            <v>PRODUCTOS LA DOÑA, S.A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120</v>
          </cell>
          <cell r="J660" t="str">
            <v>PRODUCTOS LA DOÑA, S.A</v>
          </cell>
          <cell r="M660"/>
          <cell r="N660">
            <v>120</v>
          </cell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</row>
        <row r="661">
          <cell r="A661" t="str">
            <v>PRODUCTOS LA DOÑA, S.A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356</v>
          </cell>
          <cell r="J661" t="str">
            <v>PRODUCTOS LA DOÑA, S.A</v>
          </cell>
          <cell r="M661"/>
          <cell r="N661">
            <v>356</v>
          </cell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</row>
        <row r="662">
          <cell r="A662" t="str">
            <v>PRODUCTOS LA DOÑA, S.A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90</v>
          </cell>
          <cell r="J662" t="str">
            <v>PRODUCTOS LA DOÑA, S.A</v>
          </cell>
          <cell r="M662"/>
          <cell r="N662">
            <v>90</v>
          </cell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</row>
        <row r="663">
          <cell r="A663" t="str">
            <v>PRODUCTOS LA DOÑA, S.A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84</v>
          </cell>
          <cell r="J663" t="str">
            <v>PRODUCTOS LA DOÑA, S.A</v>
          </cell>
          <cell r="M663"/>
          <cell r="N663">
            <v>84</v>
          </cell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</row>
        <row r="664">
          <cell r="A664" t="str">
            <v>PRODUCTOS LA DOÑA, S.A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J664" t="str">
            <v>PRODUCTOS LA DOÑA, S.A</v>
          </cell>
          <cell r="M664"/>
          <cell r="N664">
            <v>0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</row>
        <row r="665">
          <cell r="A665" t="str">
            <v>PRODUCTOS LA DOÑA, S.A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165</v>
          </cell>
          <cell r="J665" t="str">
            <v>PRODUCTOS LA DOÑA, S.A</v>
          </cell>
          <cell r="M665"/>
          <cell r="N665">
            <v>165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</row>
        <row r="666">
          <cell r="A666" t="str">
            <v>PRODUCTOS LA DOÑA, S.A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456</v>
          </cell>
          <cell r="J666" t="str">
            <v>PRODUCTOS LA DOÑA, S.A</v>
          </cell>
          <cell r="M666"/>
          <cell r="N666">
            <v>456</v>
          </cell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</row>
        <row r="667">
          <cell r="A667" t="str">
            <v>PRODUCTOS LA DOÑA, S.A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251</v>
          </cell>
          <cell r="J667" t="str">
            <v>PRODUCTOS LA DOÑA, S.A</v>
          </cell>
          <cell r="M667"/>
          <cell r="N667">
            <v>251</v>
          </cell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</row>
        <row r="668">
          <cell r="A668" t="str">
            <v>PRODUCTOS LA DOÑA, S.A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60</v>
          </cell>
          <cell r="J668" t="str">
            <v>PRODUCTOS LA DOÑA, S.A</v>
          </cell>
          <cell r="M668"/>
          <cell r="N668">
            <v>60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</row>
        <row r="669">
          <cell r="A669" t="str">
            <v>PRODUCTOS LA DOÑA, S.A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75</v>
          </cell>
          <cell r="J669" t="str">
            <v>PRODUCTOS LA DOÑA, S.A</v>
          </cell>
          <cell r="M669"/>
          <cell r="N669">
            <v>75</v>
          </cell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</row>
        <row r="670">
          <cell r="A670" t="str">
            <v>PRODUCTOS LA DOÑA, S.A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1017</v>
          </cell>
          <cell r="J670" t="str">
            <v>PRODUCTOS LA DOÑA, S.A</v>
          </cell>
          <cell r="M670"/>
          <cell r="N670"/>
          <cell r="O670">
            <v>1017</v>
          </cell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</row>
        <row r="671">
          <cell r="A671" t="str">
            <v>PRODUCTOS LA DOÑA, S.A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50</v>
          </cell>
          <cell r="J671" t="str">
            <v>PRODUCTOS LA DOÑA, S.A</v>
          </cell>
          <cell r="M671"/>
          <cell r="N671">
            <v>50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</row>
        <row r="672">
          <cell r="A672" t="str">
            <v>PRODUCTOS LA DOÑA, S.A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83</v>
          </cell>
          <cell r="J672" t="str">
            <v>PRODUCTOS LA DOÑA, S.A</v>
          </cell>
          <cell r="M672"/>
          <cell r="N672"/>
          <cell r="O672"/>
          <cell r="P672"/>
          <cell r="Q672">
            <v>83</v>
          </cell>
          <cell r="R672"/>
          <cell r="S672"/>
          <cell r="T672"/>
          <cell r="U672"/>
          <cell r="V672"/>
          <cell r="W672"/>
          <cell r="X672"/>
          <cell r="Y672"/>
        </row>
        <row r="673">
          <cell r="A673" t="str">
            <v>PRODUCTOS LA DOÑA, S.A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265</v>
          </cell>
          <cell r="J673" t="str">
            <v>PRODUCTOS LA DOÑA, S.A</v>
          </cell>
          <cell r="M673">
            <v>265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</row>
        <row r="674">
          <cell r="A674" t="str">
            <v>PRODUCTOS LA DOÑA, S.A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152</v>
          </cell>
          <cell r="J674" t="str">
            <v>PRODUCTOS LA DOÑA, S.A</v>
          </cell>
          <cell r="M674"/>
          <cell r="N674"/>
          <cell r="O674"/>
          <cell r="P674"/>
          <cell r="Q674"/>
          <cell r="R674"/>
          <cell r="S674">
            <v>152</v>
          </cell>
          <cell r="T674"/>
          <cell r="U674"/>
          <cell r="V674"/>
          <cell r="W674"/>
          <cell r="X674"/>
          <cell r="Y674"/>
        </row>
        <row r="675">
          <cell r="A675" t="str">
            <v>PRODUCTOS LA DOÑA, S.A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J675" t="str">
            <v>PRODUCTOS LA DOÑA, S.A</v>
          </cell>
          <cell r="M675"/>
          <cell r="N675"/>
          <cell r="O675"/>
          <cell r="P675"/>
          <cell r="Q675"/>
          <cell r="R675"/>
          <cell r="S675"/>
          <cell r="T675"/>
          <cell r="U675">
            <v>0</v>
          </cell>
          <cell r="V675"/>
          <cell r="W675"/>
          <cell r="X675"/>
          <cell r="Y675"/>
        </row>
        <row r="676">
          <cell r="A676" t="str">
            <v>PRODUCTOS LA DOÑA, S.A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60</v>
          </cell>
          <cell r="J676" t="str">
            <v>PRODUCTOS LA DOÑA, S.A</v>
          </cell>
          <cell r="M676"/>
          <cell r="N676"/>
          <cell r="O676"/>
          <cell r="P676"/>
          <cell r="Q676">
            <v>60</v>
          </cell>
          <cell r="R676"/>
          <cell r="S676"/>
          <cell r="T676"/>
          <cell r="U676"/>
          <cell r="V676"/>
          <cell r="W676"/>
          <cell r="X676"/>
          <cell r="Y676"/>
        </row>
        <row r="677">
          <cell r="A677" t="str">
            <v>PRODUCTOS LA DOÑA, S.A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910</v>
          </cell>
          <cell r="J677" t="str">
            <v>PRODUCTOS LA DOÑA, S.A</v>
          </cell>
          <cell r="M677">
            <v>910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</row>
        <row r="678">
          <cell r="A678" t="str">
            <v>PRODUCTOS LA DOÑA, S.A</v>
          </cell>
          <cell r="C678">
            <v>0</v>
          </cell>
          <cell r="D678">
            <v>40</v>
          </cell>
          <cell r="E678">
            <v>60</v>
          </cell>
          <cell r="F678">
            <v>40</v>
          </cell>
          <cell r="G678">
            <v>305</v>
          </cell>
          <cell r="J678" t="str">
            <v>PRODUCTOS LA DOÑA, S.A</v>
          </cell>
          <cell r="M678"/>
          <cell r="N678"/>
          <cell r="O678"/>
          <cell r="P678"/>
          <cell r="Q678"/>
          <cell r="R678"/>
          <cell r="S678"/>
          <cell r="T678"/>
          <cell r="U678">
            <v>305</v>
          </cell>
          <cell r="V678"/>
          <cell r="W678"/>
          <cell r="X678"/>
          <cell r="Y678"/>
        </row>
        <row r="679">
          <cell r="A679" t="str">
            <v>PRODUCTOS LA DOÑA, S.A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400</v>
          </cell>
          <cell r="J679" t="str">
            <v>PRODUCTOS LA DOÑA, S.A</v>
          </cell>
          <cell r="M679">
            <v>400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</row>
        <row r="680">
          <cell r="A680" t="str">
            <v>PRODUCTOS LA DOÑA, S.A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68</v>
          </cell>
          <cell r="J680" t="str">
            <v>PRODUCTOS LA DOÑA, S.A</v>
          </cell>
          <cell r="M680"/>
          <cell r="N680"/>
          <cell r="O680">
            <v>68</v>
          </cell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</row>
        <row r="681">
          <cell r="A681" t="str">
            <v>PRODUCTOS LA DOÑA, S.A</v>
          </cell>
          <cell r="C681">
            <v>0</v>
          </cell>
          <cell r="D681">
            <v>10</v>
          </cell>
          <cell r="E681">
            <v>20</v>
          </cell>
          <cell r="F681">
            <v>25</v>
          </cell>
          <cell r="G681">
            <v>175</v>
          </cell>
          <cell r="J681" t="str">
            <v>PRODUCTOS LA DOÑA, S.A</v>
          </cell>
          <cell r="M681">
            <v>175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</row>
        <row r="682">
          <cell r="A682" t="str">
            <v>PRODUCTOS LA DOÑA, S.A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256</v>
          </cell>
          <cell r="J682" t="str">
            <v>PRODUCTOS LA DOÑA, S.A</v>
          </cell>
          <cell r="M682"/>
          <cell r="N682"/>
          <cell r="O682">
            <v>256</v>
          </cell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</row>
        <row r="683">
          <cell r="A683" t="str">
            <v>PRODUCTOS LA DOÑA, S.A</v>
          </cell>
          <cell r="C683">
            <v>73</v>
          </cell>
          <cell r="D683">
            <v>0</v>
          </cell>
          <cell r="E683">
            <v>0</v>
          </cell>
          <cell r="F683">
            <v>0</v>
          </cell>
          <cell r="G683">
            <v>496</v>
          </cell>
          <cell r="J683" t="str">
            <v>PRODUCTOS LA DOÑA, S.A</v>
          </cell>
          <cell r="M683"/>
          <cell r="N683"/>
          <cell r="O683"/>
          <cell r="P683"/>
          <cell r="Q683">
            <v>496</v>
          </cell>
          <cell r="R683"/>
          <cell r="S683"/>
          <cell r="T683"/>
          <cell r="U683"/>
          <cell r="V683"/>
          <cell r="W683"/>
          <cell r="X683"/>
          <cell r="Y683"/>
        </row>
        <row r="684">
          <cell r="A684" t="str">
            <v>PRODUCTOS LA DOÑA, S.A</v>
          </cell>
          <cell r="C684">
            <v>0</v>
          </cell>
          <cell r="D684">
            <v>680</v>
          </cell>
          <cell r="E684">
            <v>450</v>
          </cell>
          <cell r="F684">
            <v>450</v>
          </cell>
          <cell r="G684">
            <v>4560</v>
          </cell>
          <cell r="J684" t="str">
            <v>PRODUCTOS LA DOÑA, S.A</v>
          </cell>
          <cell r="M684"/>
          <cell r="N684"/>
          <cell r="O684"/>
          <cell r="P684"/>
          <cell r="Q684">
            <v>4560</v>
          </cell>
          <cell r="R684"/>
          <cell r="S684"/>
          <cell r="T684"/>
          <cell r="U684"/>
          <cell r="V684"/>
          <cell r="W684"/>
          <cell r="X684"/>
          <cell r="Y684"/>
        </row>
        <row r="685">
          <cell r="A685" t="str">
            <v>PRODUCTOS LA DOÑA, S.A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J685" t="str">
            <v>PRODUCTOS LA DOÑA, S.A</v>
          </cell>
          <cell r="M685"/>
          <cell r="N685">
            <v>0</v>
          </cell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</row>
        <row r="686">
          <cell r="A686" t="str">
            <v>PRODUCTOS LA DOÑA, S.A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400</v>
          </cell>
          <cell r="J686" t="str">
            <v>PRODUCTOS LA DOÑA, S.A</v>
          </cell>
          <cell r="M686">
            <v>400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</row>
        <row r="687">
          <cell r="A687" t="str">
            <v>PRODUCTOS LA DOÑA, S.A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34</v>
          </cell>
          <cell r="J687" t="str">
            <v>PRODUCTOS LA DOÑA, S.A</v>
          </cell>
          <cell r="M687"/>
          <cell r="N687"/>
          <cell r="O687">
            <v>34</v>
          </cell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</row>
        <row r="688">
          <cell r="A688" t="str">
            <v>PRODUCTOS LA DOÑA, S.A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100</v>
          </cell>
          <cell r="J688" t="str">
            <v>PRODUCTOS LA DOÑA, S.A</v>
          </cell>
          <cell r="M688">
            <v>100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</row>
        <row r="689">
          <cell r="A689" t="str">
            <v>PRODUCTOS LA DOÑA, S.A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96</v>
          </cell>
          <cell r="J689" t="str">
            <v>PRODUCTOS LA DOÑA, S.A</v>
          </cell>
          <cell r="M689"/>
          <cell r="N689"/>
          <cell r="O689"/>
          <cell r="P689"/>
          <cell r="Q689"/>
          <cell r="R689"/>
          <cell r="S689">
            <v>96</v>
          </cell>
          <cell r="T689"/>
          <cell r="U689"/>
          <cell r="V689"/>
          <cell r="W689"/>
          <cell r="X689"/>
          <cell r="Y689"/>
        </row>
        <row r="690">
          <cell r="A690" t="str">
            <v>PRODUCTOS LA DOÑA,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98</v>
          </cell>
          <cell r="J690" t="str">
            <v>PRODUCTOS LA DOÑA, S.A</v>
          </cell>
          <cell r="M690"/>
          <cell r="N690">
            <v>197</v>
          </cell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</row>
        <row r="691">
          <cell r="A691" t="str">
            <v>PRODUCTOS LA DOÑA, S.A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230</v>
          </cell>
          <cell r="J691" t="str">
            <v>PRODUCTOS LA DOÑA, S.A</v>
          </cell>
          <cell r="M691">
            <v>350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</row>
        <row r="692">
          <cell r="A692" t="str">
            <v>PRODUCTOS LA DOÑA, S.A</v>
          </cell>
          <cell r="C692">
            <v>200</v>
          </cell>
          <cell r="D692">
            <v>25</v>
          </cell>
          <cell r="E692">
            <v>100</v>
          </cell>
          <cell r="F692">
            <v>25</v>
          </cell>
          <cell r="G692">
            <v>350</v>
          </cell>
          <cell r="J692" t="str">
            <v>PRODUCTOS LA DOÑA, S.A</v>
          </cell>
          <cell r="M692">
            <v>352</v>
          </cell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</row>
        <row r="693">
          <cell r="A693" t="str">
            <v>PRODUCTOS LA DOÑA, S.A</v>
          </cell>
          <cell r="C693">
            <v>225</v>
          </cell>
          <cell r="D693">
            <v>0</v>
          </cell>
          <cell r="E693">
            <v>0</v>
          </cell>
          <cell r="F693">
            <v>0</v>
          </cell>
          <cell r="G693">
            <v>352</v>
          </cell>
          <cell r="J693" t="str">
            <v>PRODUCTOS LA DOÑA, S.A</v>
          </cell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>
            <v>628</v>
          </cell>
          <cell r="X693"/>
          <cell r="Y693"/>
        </row>
        <row r="694">
          <cell r="A694" t="str">
            <v>PRODUCTOS LA DOÑA, S.A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628</v>
          </cell>
          <cell r="J694" t="str">
            <v>PRODUCTOS LA DOÑA, S.A</v>
          </cell>
          <cell r="M694"/>
          <cell r="N694"/>
          <cell r="O694"/>
          <cell r="P694"/>
          <cell r="Q694"/>
          <cell r="R694"/>
          <cell r="S694"/>
          <cell r="T694">
            <v>50</v>
          </cell>
          <cell r="U694"/>
          <cell r="V694"/>
          <cell r="W694"/>
          <cell r="X694"/>
          <cell r="Y694"/>
        </row>
        <row r="695">
          <cell r="A695" t="str">
            <v>PRODUCTOS LA DOÑA, S.A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50</v>
          </cell>
          <cell r="J695" t="str">
            <v>PRODUCTOS LA DOÑA, S.A</v>
          </cell>
          <cell r="M695"/>
          <cell r="N695">
            <v>510</v>
          </cell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</row>
        <row r="696">
          <cell r="A696" t="str">
            <v>PRODUCTOS LA DOÑA, S.A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510</v>
          </cell>
          <cell r="J696" t="str">
            <v>PRODUCTOS LA DOÑA, S.A</v>
          </cell>
          <cell r="M696"/>
          <cell r="N696">
            <v>97</v>
          </cell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</row>
        <row r="697">
          <cell r="A697" t="str">
            <v>PRODUCTOS LA DOÑA, S.A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97</v>
          </cell>
          <cell r="J697" t="str">
            <v>PRODUCTOS LA DOÑA, S.A</v>
          </cell>
          <cell r="M697">
            <v>1350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</row>
        <row r="698">
          <cell r="A698" t="str">
            <v>PRODUCTOS LA DOÑA, S.A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1350</v>
          </cell>
          <cell r="J698" t="str">
            <v>PRODUCTOS LA DOÑA, S.A</v>
          </cell>
          <cell r="M698">
            <v>77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</row>
        <row r="699">
          <cell r="A699" t="str">
            <v>PRODUCTOS LA DOÑA, S.A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77</v>
          </cell>
          <cell r="J699" t="str">
            <v>PRODUCTOS LA DOÑA, S.A</v>
          </cell>
          <cell r="M699"/>
          <cell r="N699">
            <v>130</v>
          </cell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</row>
        <row r="700">
          <cell r="A700" t="str">
            <v>PRODUCTOS LA DOÑA, S.A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130</v>
          </cell>
          <cell r="J700" t="str">
            <v>PRODUCTOS LA DOÑA, S.A</v>
          </cell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>
            <v>0</v>
          </cell>
          <cell r="X700"/>
          <cell r="Y700"/>
        </row>
        <row r="701">
          <cell r="A701" t="str">
            <v>PRODUCTOS LA DOÑA, S.A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J701" t="str">
            <v>PRODUCTOS LA DOÑA, S.A</v>
          </cell>
          <cell r="M701"/>
          <cell r="N701"/>
          <cell r="O701"/>
          <cell r="P701"/>
          <cell r="Q701"/>
          <cell r="R701"/>
          <cell r="S701"/>
          <cell r="T701"/>
          <cell r="U701">
            <v>251</v>
          </cell>
          <cell r="V701"/>
          <cell r="W701"/>
          <cell r="X701"/>
          <cell r="Y701"/>
        </row>
        <row r="702">
          <cell r="A702" t="str">
            <v>PRODUCTOS LA DOÑA, S.A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251</v>
          </cell>
          <cell r="J702" t="str">
            <v>PRODUCTOS LA DOÑA, S.A</v>
          </cell>
          <cell r="M702"/>
          <cell r="N702">
            <v>120</v>
          </cell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</row>
        <row r="703">
          <cell r="A703" t="str">
            <v>PRODUCTOS LA DOÑA, S.A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120</v>
          </cell>
          <cell r="J703" t="str">
            <v>PRODUCTOS LA DOÑA, S.A</v>
          </cell>
          <cell r="M703">
            <v>125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</row>
        <row r="704">
          <cell r="A704" t="str">
            <v>PRODUCTOS LA DOÑA, S.A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125</v>
          </cell>
          <cell r="J704" t="str">
            <v>PRODUCTOS LA DOÑA, S.A</v>
          </cell>
          <cell r="M704"/>
          <cell r="N704"/>
          <cell r="O704"/>
          <cell r="P704"/>
          <cell r="Q704"/>
          <cell r="R704"/>
          <cell r="S704"/>
          <cell r="T704"/>
          <cell r="U704"/>
          <cell r="V704">
            <v>0</v>
          </cell>
          <cell r="W704"/>
          <cell r="X704"/>
          <cell r="Y704"/>
        </row>
        <row r="705">
          <cell r="A705" t="str">
            <v>PRODUCTOS LA DOÑA, S.A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J705" t="str">
            <v>PRODUCTOS LA DOÑA, S.A</v>
          </cell>
          <cell r="M705">
            <v>25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</row>
        <row r="706">
          <cell r="A706" t="str">
            <v>PRODUCTOS LA DOÑA, S.A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25</v>
          </cell>
          <cell r="J706" t="str">
            <v>PRODUCTOS LA DOÑA, S.A</v>
          </cell>
          <cell r="M706"/>
          <cell r="N706"/>
          <cell r="O706"/>
          <cell r="P706"/>
          <cell r="Q706"/>
          <cell r="R706"/>
          <cell r="S706"/>
          <cell r="T706"/>
          <cell r="U706"/>
          <cell r="V706">
            <v>0</v>
          </cell>
          <cell r="W706"/>
          <cell r="X706"/>
          <cell r="Y706"/>
        </row>
        <row r="707">
          <cell r="A707" t="str">
            <v>PRODUCTOS LA DOÑA, S.A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J707" t="str">
            <v>PRODUCTOS LA DOÑA, S.A</v>
          </cell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>
            <v>0</v>
          </cell>
        </row>
        <row r="708">
          <cell r="A708" t="str">
            <v>PRODUCTOS LA DOÑA, S.A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J708" t="str">
            <v>PRODUCTOS LA DOÑA, S.A</v>
          </cell>
          <cell r="M708"/>
          <cell r="N708"/>
          <cell r="O708">
            <v>0</v>
          </cell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</row>
        <row r="709">
          <cell r="A709" t="str">
            <v>PRODUCTOS LA DOÑA, S.A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J709" t="str">
            <v>PRODUCTOS LA DOÑA, S.A</v>
          </cell>
          <cell r="M709">
            <v>209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</row>
        <row r="710">
          <cell r="A710" t="str">
            <v>PRODUCTOS LA DOÑA, S.A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209</v>
          </cell>
          <cell r="J710" t="str">
            <v>PRODUCTOS LA DOÑA, S.A</v>
          </cell>
          <cell r="M710">
            <v>0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</row>
        <row r="711">
          <cell r="A711" t="str">
            <v>PRODUCTOS LA DOÑA, S.A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J711" t="str">
            <v>PRODUCTOS LA DOÑA, S.A</v>
          </cell>
          <cell r="M711"/>
          <cell r="N711"/>
          <cell r="O711"/>
          <cell r="P711"/>
          <cell r="Q711"/>
          <cell r="R711"/>
          <cell r="S711">
            <v>150</v>
          </cell>
          <cell r="T711"/>
          <cell r="U711"/>
          <cell r="V711"/>
          <cell r="W711"/>
          <cell r="X711"/>
          <cell r="Y711"/>
        </row>
        <row r="712">
          <cell r="A712" t="str">
            <v>PRODUCTOS LA DOÑA, S.A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150</v>
          </cell>
          <cell r="J712" t="str">
            <v>PRODUCTOS LA DOÑA, S.A</v>
          </cell>
          <cell r="M712"/>
          <cell r="N712"/>
          <cell r="O712"/>
          <cell r="P712"/>
          <cell r="Q712"/>
          <cell r="R712">
            <v>0</v>
          </cell>
          <cell r="S712"/>
          <cell r="T712"/>
          <cell r="U712"/>
          <cell r="V712"/>
          <cell r="W712"/>
          <cell r="X712"/>
          <cell r="Y712"/>
        </row>
        <row r="713">
          <cell r="A713" t="str">
            <v>PRODUCTOS LA DOÑA, S.A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J713" t="str">
            <v>PRODUCTOS LA DOÑA, S.A</v>
          </cell>
          <cell r="M713"/>
          <cell r="N713"/>
          <cell r="O713"/>
          <cell r="P713"/>
          <cell r="Q713"/>
          <cell r="R713"/>
          <cell r="S713">
            <v>200</v>
          </cell>
          <cell r="T713"/>
          <cell r="U713"/>
          <cell r="V713"/>
          <cell r="W713"/>
          <cell r="X713"/>
          <cell r="Y713"/>
        </row>
        <row r="714">
          <cell r="A714" t="str">
            <v>PRODUCTOS LA DOÑA, S.A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200</v>
          </cell>
          <cell r="J714" t="str">
            <v>PRODUCTOS LA DOÑA, S.A</v>
          </cell>
          <cell r="M714"/>
          <cell r="N714"/>
          <cell r="O714"/>
          <cell r="P714">
            <v>173</v>
          </cell>
          <cell r="Q714"/>
          <cell r="R714"/>
          <cell r="S714"/>
          <cell r="T714"/>
          <cell r="U714"/>
          <cell r="V714"/>
          <cell r="W714"/>
          <cell r="X714"/>
          <cell r="Y714"/>
        </row>
        <row r="715">
          <cell r="A715" t="str">
            <v>PRODUCTOS LA DOÑA, S.A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173</v>
          </cell>
          <cell r="J715" t="str">
            <v>PRODUCTOS LA DOÑA, S.A</v>
          </cell>
          <cell r="M715"/>
          <cell r="N715"/>
          <cell r="O715"/>
          <cell r="P715"/>
          <cell r="Q715"/>
          <cell r="R715"/>
          <cell r="S715"/>
          <cell r="T715"/>
          <cell r="U715"/>
          <cell r="V715">
            <v>0</v>
          </cell>
          <cell r="W715"/>
          <cell r="X715"/>
          <cell r="Y715"/>
        </row>
        <row r="716">
          <cell r="A716" t="str">
            <v>PRODUCTOS LA DOÑA, S.A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J716" t="str">
            <v>PRODUCTOS LA DOÑA, S.A</v>
          </cell>
          <cell r="M716"/>
          <cell r="N716"/>
          <cell r="O716"/>
          <cell r="P716"/>
          <cell r="Q716"/>
          <cell r="R716"/>
          <cell r="S716"/>
          <cell r="T716"/>
          <cell r="U716">
            <v>696</v>
          </cell>
          <cell r="V716"/>
          <cell r="W716"/>
          <cell r="X716"/>
          <cell r="Y716"/>
        </row>
        <row r="717">
          <cell r="A717" t="str">
            <v>PRODUCTOS LA DOÑA, S.A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696</v>
          </cell>
          <cell r="J717" t="str">
            <v>PRODUCTOS LA DOÑA, S.A</v>
          </cell>
          <cell r="M717">
            <v>265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</row>
        <row r="718">
          <cell r="A718" t="str">
            <v>PRODUCTOS LA DOÑA, S.A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265</v>
          </cell>
          <cell r="J718" t="str">
            <v>PRODUCTOS LA DOÑA, S.A</v>
          </cell>
          <cell r="M718"/>
          <cell r="N718">
            <v>110</v>
          </cell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</row>
        <row r="719">
          <cell r="A719" t="str">
            <v>PRODUCTOS LA DOÑA, S.A</v>
          </cell>
          <cell r="C719">
            <v>0</v>
          </cell>
          <cell r="D719">
            <v>35</v>
          </cell>
          <cell r="E719">
            <v>0</v>
          </cell>
          <cell r="F719">
            <v>0</v>
          </cell>
          <cell r="G719">
            <v>110</v>
          </cell>
          <cell r="J719" t="str">
            <v>PRODUCTOS LA DOÑA, S.A</v>
          </cell>
          <cell r="M719"/>
          <cell r="N719">
            <v>130</v>
          </cell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</row>
        <row r="720">
          <cell r="A720" t="str">
            <v>PRODUCTOS LA DOÑA, S.A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130</v>
          </cell>
          <cell r="J720" t="str">
            <v>PRODUCTOS LA DOÑA, S.A</v>
          </cell>
          <cell r="M720">
            <v>52</v>
          </cell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</row>
        <row r="721">
          <cell r="A721" t="str">
            <v>PRODUCTOS LA DOÑA, S.A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52</v>
          </cell>
          <cell r="J721" t="str">
            <v>PRODUCTOS LA DOÑA, S.A</v>
          </cell>
          <cell r="M721"/>
          <cell r="N721"/>
          <cell r="O721"/>
          <cell r="P721">
            <v>150</v>
          </cell>
          <cell r="Q721"/>
          <cell r="R721"/>
          <cell r="S721"/>
          <cell r="T721"/>
          <cell r="U721"/>
          <cell r="V721"/>
          <cell r="W721"/>
          <cell r="X721"/>
          <cell r="Y721"/>
        </row>
        <row r="722">
          <cell r="A722" t="str">
            <v>PRODUCTOS LA DOÑA, S.A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150</v>
          </cell>
          <cell r="J722" t="str">
            <v>PRODUCTOS LA DOÑA, S.A</v>
          </cell>
          <cell r="M722">
            <v>630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</row>
        <row r="723">
          <cell r="A723" t="str">
            <v>PRODUCTOS LA DOÑA, S.A</v>
          </cell>
          <cell r="C723">
            <v>0</v>
          </cell>
          <cell r="D723">
            <v>120</v>
          </cell>
          <cell r="E723">
            <v>180</v>
          </cell>
          <cell r="F723">
            <v>60</v>
          </cell>
          <cell r="G723">
            <v>630</v>
          </cell>
          <cell r="J723" t="str">
            <v>PRODUCTOS LA DOÑA, S.A</v>
          </cell>
          <cell r="M723">
            <v>50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</row>
        <row r="724">
          <cell r="A724" t="str">
            <v>PRODUCTOS LA DOÑA, S.A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50</v>
          </cell>
          <cell r="J724" t="str">
            <v>PRODUCTOS LA DOÑA, S.A</v>
          </cell>
          <cell r="M724">
            <v>600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</row>
        <row r="725">
          <cell r="A725" t="str">
            <v>PRODUCTOS LA DOÑA, S.A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600</v>
          </cell>
          <cell r="J725" t="str">
            <v>PRODUCTOS LA DOÑA, S.A</v>
          </cell>
          <cell r="M725"/>
          <cell r="N725">
            <v>490</v>
          </cell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</row>
        <row r="726">
          <cell r="A726" t="str">
            <v>PRODUCTOS LA DOÑA, S.A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490</v>
          </cell>
          <cell r="J726" t="str">
            <v>PRODUCTOS LA DOÑA, S.A</v>
          </cell>
          <cell r="M726"/>
          <cell r="N726"/>
          <cell r="O726">
            <v>480</v>
          </cell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</row>
        <row r="727">
          <cell r="A727" t="str">
            <v>PRODUCTOS LA DOÑA, S.A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480</v>
          </cell>
          <cell r="J727" t="str">
            <v>PRODUCTOS LA DOÑA, S.A</v>
          </cell>
          <cell r="M727">
            <v>740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</row>
        <row r="728">
          <cell r="A728" t="str">
            <v>PRODUCTOS LA DOÑA, S.A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740</v>
          </cell>
          <cell r="J728" t="str">
            <v>PRODUCTOS LA DOÑA, S.A</v>
          </cell>
          <cell r="M728"/>
          <cell r="N728"/>
          <cell r="O728"/>
          <cell r="P728"/>
          <cell r="Q728"/>
          <cell r="R728"/>
          <cell r="S728"/>
          <cell r="T728">
            <v>0</v>
          </cell>
          <cell r="U728"/>
          <cell r="V728"/>
          <cell r="W728"/>
          <cell r="X728"/>
          <cell r="Y728"/>
        </row>
        <row r="729">
          <cell r="A729" t="str">
            <v>PRODUCTOS LA DOÑA, S.A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J729" t="str">
            <v>PRODUCTOS LA DOÑA, S.A</v>
          </cell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>
            <v>50</v>
          </cell>
        </row>
        <row r="730">
          <cell r="A730" t="str">
            <v>PRODUCTOS LA DOÑA, S.A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50</v>
          </cell>
          <cell r="J730" t="str">
            <v>PRODUCTOS LA DOÑA, S.A</v>
          </cell>
          <cell r="M730"/>
          <cell r="N730"/>
          <cell r="O730"/>
          <cell r="P730"/>
          <cell r="Q730"/>
          <cell r="R730"/>
          <cell r="S730"/>
          <cell r="T730">
            <v>1800</v>
          </cell>
          <cell r="U730"/>
          <cell r="V730"/>
          <cell r="W730"/>
          <cell r="X730"/>
          <cell r="Y730"/>
        </row>
        <row r="731">
          <cell r="A731" t="str">
            <v>PRODUCTOS LA DOÑA, S.A</v>
          </cell>
          <cell r="C731">
            <v>1200</v>
          </cell>
          <cell r="D731">
            <v>0</v>
          </cell>
          <cell r="E731">
            <v>0</v>
          </cell>
          <cell r="F731">
            <v>0</v>
          </cell>
          <cell r="G731">
            <v>1800</v>
          </cell>
          <cell r="J731" t="str">
            <v>PRODUCTOS LA DOÑA, S.A</v>
          </cell>
          <cell r="M731"/>
          <cell r="N731"/>
          <cell r="O731"/>
          <cell r="P731"/>
          <cell r="Q731"/>
          <cell r="R731"/>
          <cell r="S731"/>
          <cell r="T731"/>
          <cell r="U731">
            <v>300</v>
          </cell>
          <cell r="V731"/>
          <cell r="W731"/>
          <cell r="X731"/>
          <cell r="Y731"/>
        </row>
        <row r="732">
          <cell r="A732" t="str">
            <v>PRODUCTOS LA DOÑA, S.A</v>
          </cell>
          <cell r="C732">
            <v>300</v>
          </cell>
          <cell r="D732">
            <v>0</v>
          </cell>
          <cell r="E732">
            <v>0</v>
          </cell>
          <cell r="F732">
            <v>0</v>
          </cell>
          <cell r="G732">
            <v>300</v>
          </cell>
          <cell r="J732" t="str">
            <v>PRODUCTOS LA DOÑA, S.A</v>
          </cell>
          <cell r="M732"/>
          <cell r="N732"/>
          <cell r="O732"/>
          <cell r="P732"/>
          <cell r="Q732"/>
          <cell r="R732"/>
          <cell r="S732"/>
          <cell r="T732"/>
          <cell r="U732">
            <v>80</v>
          </cell>
          <cell r="V732"/>
          <cell r="W732"/>
          <cell r="X732"/>
          <cell r="Y732"/>
        </row>
        <row r="733">
          <cell r="A733" t="str">
            <v>PRODUCTOS LA DOÑA, S.A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80</v>
          </cell>
          <cell r="J733" t="str">
            <v>PRODUCTOS LA DOÑA, S.A</v>
          </cell>
          <cell r="M733"/>
          <cell r="N733"/>
          <cell r="O733">
            <v>346</v>
          </cell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</row>
        <row r="734">
          <cell r="A734" t="str">
            <v>PRODUCTOS LA DOÑA, S.A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346</v>
          </cell>
          <cell r="J734" t="str">
            <v>CORPORACION INTERNACIONAL DE ALIMENTOS, S.A.</v>
          </cell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</row>
        <row r="735">
          <cell r="A735" t="str">
            <v>CORPORACION INTERNACIONAL DE ALIMENTOS, S.A.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J735" t="str">
            <v>CORPORACION INTERNACIONAL DE ALIMENTOS, S.A.</v>
          </cell>
          <cell r="M735">
            <v>325</v>
          </cell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</row>
        <row r="736">
          <cell r="A736" t="str">
            <v>CORPORACION INTERNACIONAL DE ALIMENTOS, S.A.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325</v>
          </cell>
          <cell r="J736" t="str">
            <v>CORPORACION INTERNACIONAL DE ALIMENTOS, S.A.</v>
          </cell>
          <cell r="M736"/>
          <cell r="N736">
            <v>212</v>
          </cell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</row>
        <row r="737">
          <cell r="A737" t="str">
            <v>CORPORACION INTERNACIONAL DE ALIMENTOS, S.A.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212</v>
          </cell>
          <cell r="J737" t="str">
            <v>CORPORACION INTERNACIONAL DE ALIMENTOS, S.A.</v>
          </cell>
          <cell r="M737"/>
          <cell r="N737"/>
          <cell r="O737">
            <v>30</v>
          </cell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</row>
        <row r="738">
          <cell r="A738" t="str">
            <v>CORPORACION INTERNACIONAL DE ALIMENTOS, S.A.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30</v>
          </cell>
          <cell r="J738" t="str">
            <v>CORPORACION INTERNACIONAL DE ALIMENTOS, S.A.</v>
          </cell>
          <cell r="M738"/>
          <cell r="N738"/>
          <cell r="O738"/>
          <cell r="P738">
            <v>102</v>
          </cell>
          <cell r="Q738"/>
          <cell r="R738"/>
          <cell r="S738"/>
          <cell r="T738"/>
          <cell r="U738"/>
          <cell r="V738"/>
          <cell r="W738"/>
          <cell r="X738"/>
          <cell r="Y738"/>
        </row>
        <row r="739">
          <cell r="A739" t="str">
            <v>CORPORACION INTERNACIONAL DE ALIMENTOS, S.A.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102</v>
          </cell>
          <cell r="J739" t="str">
            <v>CORPORACION INTERNACIONAL DE ALIMENTOS, S.A.</v>
          </cell>
          <cell r="M739"/>
          <cell r="N739">
            <v>100</v>
          </cell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</row>
        <row r="740">
          <cell r="A740" t="str">
            <v>CORPORACION INTERNACIONAL DE ALIMENTOS, S.A.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100</v>
          </cell>
          <cell r="J740" t="str">
            <v>CORPORACION INTERNACIONAL DE ALIMENTOS, S.A.</v>
          </cell>
          <cell r="M740"/>
          <cell r="N740"/>
          <cell r="O740">
            <v>180</v>
          </cell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</row>
        <row r="741">
          <cell r="A741" t="str">
            <v>CORPORACION INTERNACIONAL DE ALIMENTOS, S.A.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180</v>
          </cell>
          <cell r="J741" t="str">
            <v>CORPORACION INTERNACIONAL DE ALIMENTOS, S.A.</v>
          </cell>
          <cell r="M741"/>
          <cell r="N741">
            <v>70</v>
          </cell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</row>
        <row r="742">
          <cell r="A742" t="str">
            <v>CORPORACION INTERNACIONAL DE ALIMENTOS, S.A.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70</v>
          </cell>
          <cell r="J742" t="str">
            <v>CORPORACION INTERNACIONAL DE ALIMENTOS, S.A.</v>
          </cell>
          <cell r="M742"/>
          <cell r="N742"/>
          <cell r="O742"/>
          <cell r="P742"/>
          <cell r="Q742">
            <v>1060</v>
          </cell>
          <cell r="R742"/>
          <cell r="S742"/>
          <cell r="T742"/>
          <cell r="U742"/>
          <cell r="V742"/>
          <cell r="W742"/>
          <cell r="X742"/>
          <cell r="Y742"/>
        </row>
        <row r="743">
          <cell r="A743" t="str">
            <v>CORPORACION INTERNACIONAL DE ALIMENTOS, S.A.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1060</v>
          </cell>
          <cell r="J743" t="str">
            <v>CORPORACION INTERNACIONAL DE ALIMENTOS, S.A.</v>
          </cell>
          <cell r="M743"/>
          <cell r="N743">
            <v>100</v>
          </cell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</row>
        <row r="744">
          <cell r="A744" t="str">
            <v>CORPORACION INTERNACIONAL DE ALIMENTOS,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100</v>
          </cell>
          <cell r="J744" t="str">
            <v>CORPORACION INTERNACIONAL DE ALIMENTOS, S.A.</v>
          </cell>
          <cell r="M744"/>
          <cell r="N744">
            <v>250</v>
          </cell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</row>
        <row r="745">
          <cell r="A745" t="str">
            <v>CORPORACION INTERNACIONAL DE ALIMENTOS, S.A.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250</v>
          </cell>
          <cell r="J745" t="str">
            <v>CORPORACION INTERNACIONAL DE ALIMENTOS, S.A.</v>
          </cell>
          <cell r="M745"/>
          <cell r="N745"/>
          <cell r="O745"/>
          <cell r="P745"/>
          <cell r="Q745"/>
          <cell r="R745">
            <v>180</v>
          </cell>
          <cell r="S745"/>
          <cell r="T745"/>
          <cell r="U745"/>
          <cell r="V745"/>
          <cell r="W745"/>
          <cell r="X745"/>
          <cell r="Y745"/>
        </row>
        <row r="746">
          <cell r="A746" t="str">
            <v>CORPORACION INTERNACIONAL DE ALIMENTOS,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180</v>
          </cell>
          <cell r="J746" t="str">
            <v>CORPORACION INTERNACIONAL DE ALIMENTOS, S.A.</v>
          </cell>
          <cell r="M746"/>
          <cell r="N746"/>
          <cell r="O746"/>
          <cell r="P746"/>
          <cell r="Q746"/>
          <cell r="R746">
            <v>40</v>
          </cell>
          <cell r="S746"/>
          <cell r="T746"/>
          <cell r="U746"/>
          <cell r="V746"/>
          <cell r="W746"/>
          <cell r="X746"/>
          <cell r="Y746"/>
        </row>
        <row r="747">
          <cell r="A747" t="str">
            <v>CORPORACION INTERNACIONAL DE ALIMENTOS, S.A.</v>
          </cell>
          <cell r="C747">
            <v>40</v>
          </cell>
          <cell r="D747">
            <v>0</v>
          </cell>
          <cell r="E747">
            <v>0</v>
          </cell>
          <cell r="F747">
            <v>0</v>
          </cell>
          <cell r="G747">
            <v>40</v>
          </cell>
          <cell r="J747" t="str">
            <v>CORPORACION INTERNACIONAL DE ALIMENTOS, S.A.</v>
          </cell>
          <cell r="M747"/>
          <cell r="N747"/>
          <cell r="O747"/>
          <cell r="P747"/>
          <cell r="Q747"/>
          <cell r="R747"/>
          <cell r="S747">
            <v>73</v>
          </cell>
          <cell r="T747"/>
          <cell r="U747"/>
          <cell r="V747"/>
          <cell r="W747"/>
          <cell r="X747"/>
          <cell r="Y747"/>
        </row>
        <row r="748">
          <cell r="A748" t="str">
            <v>CORPORACION INTERNACIONAL DE ALIMENTOS, S.A.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73</v>
          </cell>
          <cell r="J748" t="str">
            <v>CORPORACION INTERNACIONAL DE ALIMENTOS, S.A.</v>
          </cell>
          <cell r="M748"/>
          <cell r="N748"/>
          <cell r="O748">
            <v>325</v>
          </cell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</row>
        <row r="749">
          <cell r="A749" t="str">
            <v>CORPORACION INTERNACIONAL DE ALIMENTOS, S.A.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325</v>
          </cell>
          <cell r="J749" t="str">
            <v>CORPORACION INTERNACIONAL DE ALIMENTOS, S.A.</v>
          </cell>
          <cell r="M749"/>
          <cell r="N749"/>
          <cell r="O749">
            <v>65</v>
          </cell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</row>
        <row r="750">
          <cell r="A750" t="str">
            <v>CORPORACION INTERNACIONAL DE ALIMENTOS, S.A.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65</v>
          </cell>
          <cell r="J750" t="str">
            <v>CORPORACION INTERNACIONAL DE ALIMENTOS, S.A.</v>
          </cell>
          <cell r="M750"/>
          <cell r="N750">
            <v>70</v>
          </cell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</row>
        <row r="751">
          <cell r="A751" t="str">
            <v>CORPORACION INTERNACIONAL DE ALIMENTOS, S.A.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70</v>
          </cell>
          <cell r="J751" t="str">
            <v>CORPORACION INTERNACIONAL DE ALIMENTOS, S.A.</v>
          </cell>
          <cell r="M751"/>
          <cell r="N751"/>
          <cell r="O751">
            <v>1090</v>
          </cell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</row>
        <row r="752">
          <cell r="A752" t="str">
            <v>CORPORACION INTERNACIONAL DE ALIMENTOS, S.A.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1090</v>
          </cell>
          <cell r="J752" t="str">
            <v>CORPORACION INTERNACIONAL DE ALIMENTOS, S.A.</v>
          </cell>
          <cell r="M752">
            <v>0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</row>
        <row r="753">
          <cell r="A753" t="str">
            <v>CORPORACION INTERNACIONAL DE ALIMENTOS, S.A.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J753" t="str">
            <v>CORPORACION INTERNACIONAL DE ALIMENTOS, S.A.</v>
          </cell>
          <cell r="M753"/>
          <cell r="N753">
            <v>282</v>
          </cell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</row>
        <row r="754">
          <cell r="A754" t="str">
            <v>CORPORACION INTERNACIONAL DE ALIMENTOS, S.A.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282</v>
          </cell>
          <cell r="J754" t="str">
            <v>CORPORACION INTERNACIONAL DE ALIMENTOS, S.A.</v>
          </cell>
          <cell r="M754"/>
          <cell r="N754">
            <v>467</v>
          </cell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</row>
        <row r="755">
          <cell r="A755" t="str">
            <v>CORPORACION INTERNACIONAL DE ALIMENTOS, S.A.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467</v>
          </cell>
          <cell r="J755" t="str">
            <v>CORPORACION INTERNACIONAL DE ALIMENTOS, S.A.</v>
          </cell>
          <cell r="M755"/>
          <cell r="N755"/>
          <cell r="O755"/>
          <cell r="P755"/>
          <cell r="Q755"/>
          <cell r="R755"/>
          <cell r="S755"/>
          <cell r="T755">
            <v>82</v>
          </cell>
          <cell r="U755"/>
          <cell r="V755"/>
          <cell r="W755"/>
          <cell r="X755"/>
          <cell r="Y755"/>
        </row>
        <row r="756">
          <cell r="A756" t="str">
            <v>CORPORACION INTERNACIONAL DE ALIMENTOS, S.A.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82</v>
          </cell>
          <cell r="J756" t="str">
            <v>CORPORACION INTERNACIONAL DE ALIMENTOS, S.A.</v>
          </cell>
          <cell r="M756"/>
          <cell r="N756">
            <v>881</v>
          </cell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</row>
        <row r="757">
          <cell r="A757" t="str">
            <v>CORPORACION INTERNACIONAL DE ALIMENTOS, S.A.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881</v>
          </cell>
          <cell r="J757" t="str">
            <v>CORPORACION INTERNACIONAL DE ALIMENTOS, S.A.</v>
          </cell>
          <cell r="M757"/>
          <cell r="N757">
            <v>38</v>
          </cell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</row>
        <row r="758">
          <cell r="A758" t="str">
            <v>CORPORACION INTERNACIONAL DE ALIMENTOS, S.A.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38</v>
          </cell>
          <cell r="J758" t="str">
            <v>CORPORACION INTERNACIONAL DE ALIMENTOS, S.A.</v>
          </cell>
          <cell r="M758"/>
          <cell r="N758">
            <v>70</v>
          </cell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</row>
        <row r="759">
          <cell r="A759" t="str">
            <v>CORPORACION INTERNACIONAL DE ALIMENTOS, S.A.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70</v>
          </cell>
          <cell r="J759" t="str">
            <v>CORPORACION INTERNACIONAL DE ALIMENTOS, S.A.</v>
          </cell>
          <cell r="M759"/>
          <cell r="N759">
            <v>60</v>
          </cell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</row>
        <row r="760">
          <cell r="A760" t="str">
            <v>CORPORACION INTERNACIONAL DE ALIMENTOS, S.A.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60</v>
          </cell>
          <cell r="J760" t="str">
            <v>CORPORACION INTERNACIONAL DE ALIMENTOS, S.A.</v>
          </cell>
          <cell r="M760"/>
          <cell r="N760">
            <v>243</v>
          </cell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</row>
        <row r="761">
          <cell r="A761" t="str">
            <v>CORPORACION INTERNACIONAL DE ALIMENTOS, S.A.</v>
          </cell>
          <cell r="C761">
            <v>0</v>
          </cell>
          <cell r="D761">
            <v>13</v>
          </cell>
          <cell r="E761">
            <v>37</v>
          </cell>
          <cell r="F761">
            <v>28</v>
          </cell>
          <cell r="G761">
            <v>243</v>
          </cell>
          <cell r="J761" t="str">
            <v>CORPORACION INTERNACIONAL DE ALIMENTOS, S.A.</v>
          </cell>
          <cell r="M761"/>
          <cell r="N761">
            <v>130</v>
          </cell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</row>
        <row r="762">
          <cell r="A762" t="str">
            <v>CORPORACION INTERNACIONAL DE ALIMENTOS, S.A.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130</v>
          </cell>
          <cell r="J762" t="str">
            <v>CORPORACION INTERNACIONAL DE ALIMENTOS, S.A.</v>
          </cell>
          <cell r="M762"/>
          <cell r="N762">
            <v>62</v>
          </cell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</row>
        <row r="763">
          <cell r="A763" t="str">
            <v>CORPORACION INTERNACIONAL DE ALIMENTOS, S.A.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62</v>
          </cell>
          <cell r="J763" t="str">
            <v>CORPORACION INTERNACIONAL DE ALIMENTOS, S.A.</v>
          </cell>
          <cell r="M763"/>
          <cell r="N763"/>
          <cell r="O763">
            <v>116</v>
          </cell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</row>
        <row r="764">
          <cell r="A764" t="str">
            <v>CORPORACION INTERNACIONAL DE ALIMENTOS, S.A.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116</v>
          </cell>
          <cell r="J764" t="str">
            <v>CORPORACION INTERNACIONAL DE ALIMENTOS, S.A.</v>
          </cell>
          <cell r="M764"/>
          <cell r="N764">
            <v>542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</row>
        <row r="765">
          <cell r="A765" t="str">
            <v>CORPORACION INTERNACIONAL DE ALIMENTOS, S.A.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542</v>
          </cell>
          <cell r="J765" t="str">
            <v>CORPORACION INTERNACIONAL DE ALIMENTOS, S.A.</v>
          </cell>
          <cell r="M765"/>
          <cell r="N765"/>
          <cell r="O765"/>
          <cell r="P765"/>
          <cell r="Q765"/>
          <cell r="R765"/>
          <cell r="S765">
            <v>211</v>
          </cell>
          <cell r="T765"/>
          <cell r="U765"/>
          <cell r="V765"/>
          <cell r="W765"/>
          <cell r="X765"/>
          <cell r="Y765"/>
        </row>
        <row r="766">
          <cell r="A766" t="str">
            <v>CORPORACION INTERNACIONAL DE ALIMENTOS, S.A.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211</v>
          </cell>
          <cell r="J766" t="str">
            <v>CORPORACION INTERNACIONAL DE ALIMENTOS, S.A.</v>
          </cell>
          <cell r="M766"/>
          <cell r="N766"/>
          <cell r="O766">
            <v>138</v>
          </cell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</row>
        <row r="767">
          <cell r="A767" t="str">
            <v>CORPORACION INTERNACIONAL DE ALIMENTOS, S.A.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138</v>
          </cell>
          <cell r="J767" t="str">
            <v>CORPORACION INTERNACIONAL DE ALIMENTOS, S.A.</v>
          </cell>
          <cell r="M767"/>
          <cell r="N767">
            <v>147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</row>
        <row r="768">
          <cell r="A768" t="str">
            <v>CORPORACION INTERNACIONAL DE ALIMENTOS, S.A.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147</v>
          </cell>
          <cell r="J768" t="str">
            <v>CORPORACION INTERNACIONAL DE ALIMENTOS, S.A.</v>
          </cell>
          <cell r="M768"/>
          <cell r="N768"/>
          <cell r="O768"/>
          <cell r="P768"/>
          <cell r="Q768"/>
          <cell r="R768"/>
          <cell r="S768">
            <v>52</v>
          </cell>
          <cell r="T768"/>
          <cell r="U768"/>
          <cell r="V768"/>
          <cell r="W768"/>
          <cell r="X768"/>
          <cell r="Y768"/>
        </row>
        <row r="769">
          <cell r="A769" t="str">
            <v>CORPORACION INTERNACIONAL DE ALIMENTOS, S.A.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52</v>
          </cell>
          <cell r="J769" t="str">
            <v>CORPORACION INTERNACIONAL DE ALIMENTOS, S.A.</v>
          </cell>
          <cell r="M769">
            <v>500</v>
          </cell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</row>
        <row r="770">
          <cell r="A770" t="str">
            <v>CORPORACION INTERNACIONAL DE ALIMENTOS, S.A.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500</v>
          </cell>
          <cell r="J770" t="str">
            <v>CORPORACION INTERNACIONAL DE ALIMENTOS, S.A.</v>
          </cell>
          <cell r="M770"/>
          <cell r="N770">
            <v>62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</row>
        <row r="771">
          <cell r="A771" t="str">
            <v>CORPORACION INTERNACIONAL DE ALIMENTOS, S.A.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62</v>
          </cell>
          <cell r="J771" t="str">
            <v>CORPORACION INTERNACIONAL DE ALIMENTOS, S.A.</v>
          </cell>
          <cell r="M771">
            <v>215</v>
          </cell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</row>
        <row r="772">
          <cell r="A772" t="str">
            <v>CORPORACION INTERNACIONAL DE ALIMENTOS, S.A.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215</v>
          </cell>
          <cell r="J772" t="str">
            <v>CORPORACION INTERNACIONAL DE ALIMENTOS, S.A.</v>
          </cell>
          <cell r="M772">
            <v>155</v>
          </cell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</row>
        <row r="773">
          <cell r="A773" t="str">
            <v>CORPORACION INTERNACIONAL DE ALIMENTOS, S.A.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155</v>
          </cell>
          <cell r="J773" t="str">
            <v>CORPORACION INTERNACIONAL DE ALIMENTOS, S.A.</v>
          </cell>
          <cell r="M773"/>
          <cell r="N773"/>
          <cell r="O773"/>
          <cell r="P773"/>
          <cell r="Q773"/>
          <cell r="R773"/>
          <cell r="S773"/>
          <cell r="T773">
            <v>84</v>
          </cell>
          <cell r="U773"/>
          <cell r="V773"/>
          <cell r="W773"/>
          <cell r="X773"/>
          <cell r="Y773"/>
        </row>
        <row r="774">
          <cell r="A774" t="str">
            <v>CORPORACION INTERNACIONAL DE ALIMENTOS,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84</v>
          </cell>
          <cell r="J774" t="str">
            <v>CORPORACION INTERNACIONAL DE ALIMENTOS, S.A.</v>
          </cell>
          <cell r="M774"/>
          <cell r="N774">
            <v>105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</row>
        <row r="775">
          <cell r="A775" t="str">
            <v>CORPORACION INTERNACIONAL DE ALIMENTOS, S.A.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105</v>
          </cell>
          <cell r="J775" t="str">
            <v>CORPORACION INTERNACIONAL DE ALIMENTOS, S.A.</v>
          </cell>
          <cell r="M775">
            <v>100</v>
          </cell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</row>
        <row r="776">
          <cell r="A776" t="str">
            <v>CORPORACION INTERNACIONAL DE ALIMENTOS, S.A.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100</v>
          </cell>
          <cell r="J776" t="str">
            <v>CORPORACION INTERNACIONAL DE ALIMENTOS, S.A.</v>
          </cell>
          <cell r="M776"/>
          <cell r="N776">
            <v>264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</row>
        <row r="777">
          <cell r="A777" t="str">
            <v>CORPORACION INTERNACIONAL DE ALIMENTOS, S.A.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264</v>
          </cell>
          <cell r="J777" t="str">
            <v>CORPORACION INTERNACIONAL DE ALIMENTOS, S.A.</v>
          </cell>
          <cell r="M777"/>
          <cell r="N777"/>
          <cell r="O777"/>
          <cell r="P777"/>
          <cell r="Q777"/>
          <cell r="R777"/>
          <cell r="S777">
            <v>55</v>
          </cell>
          <cell r="T777"/>
          <cell r="U777"/>
          <cell r="V777"/>
          <cell r="W777"/>
          <cell r="X777"/>
          <cell r="Y777"/>
        </row>
        <row r="778">
          <cell r="A778" t="str">
            <v>CORPORACION INTERNACIONAL DE ALIMENTOS, S.A.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55</v>
          </cell>
          <cell r="J778" t="str">
            <v>CORPORACION INTERNACIONAL DE ALIMENTOS, S.A.</v>
          </cell>
          <cell r="M778"/>
          <cell r="N778"/>
          <cell r="O778"/>
          <cell r="P778"/>
          <cell r="Q778">
            <v>57</v>
          </cell>
          <cell r="R778"/>
          <cell r="S778"/>
          <cell r="T778"/>
          <cell r="U778"/>
          <cell r="V778"/>
          <cell r="W778"/>
          <cell r="X778"/>
          <cell r="Y778"/>
        </row>
        <row r="779">
          <cell r="A779" t="str">
            <v>CORPORACION INTERNACIONAL DE ALIMENTOS, S.A.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57</v>
          </cell>
          <cell r="J779" t="str">
            <v>CORPORACION INTERNACIONAL DE ALIMENTOS, S.A.</v>
          </cell>
          <cell r="M779"/>
          <cell r="N779"/>
          <cell r="O779">
            <v>60</v>
          </cell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</row>
        <row r="780">
          <cell r="A780" t="str">
            <v>CORPORACION INTERNACIONAL DE ALIMENTOS, S.A.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60</v>
          </cell>
          <cell r="J780" t="str">
            <v>CORPORACION INTERNACIONAL DE ALIMENTOS, S.A.</v>
          </cell>
          <cell r="M780"/>
          <cell r="N780"/>
          <cell r="O780"/>
          <cell r="P780"/>
          <cell r="Q780"/>
          <cell r="R780"/>
          <cell r="S780"/>
          <cell r="T780">
            <v>115</v>
          </cell>
          <cell r="U780"/>
          <cell r="V780"/>
          <cell r="W780"/>
          <cell r="X780"/>
          <cell r="Y780"/>
        </row>
        <row r="781">
          <cell r="A781" t="str">
            <v>CORPORACION INTERNACIONAL DE ALIMENTOS, S.A.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115</v>
          </cell>
          <cell r="J781" t="str">
            <v>CORPORACION INTERNACIONAL DE ALIMENTOS, S.A.</v>
          </cell>
          <cell r="M781"/>
          <cell r="N781"/>
          <cell r="O781"/>
          <cell r="P781"/>
          <cell r="Q781"/>
          <cell r="R781"/>
          <cell r="S781">
            <v>179</v>
          </cell>
          <cell r="T781"/>
          <cell r="U781"/>
          <cell r="V781"/>
          <cell r="W781"/>
          <cell r="X781"/>
          <cell r="Y781"/>
        </row>
        <row r="782">
          <cell r="A782" t="str">
            <v>CORPORACION INTERNACIONAL DE ALIMENTOS, S.A.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179</v>
          </cell>
          <cell r="J782" t="str">
            <v>CORPORACION INTERNACIONAL DE ALIMENTOS, S.A.</v>
          </cell>
          <cell r="M782"/>
          <cell r="N782">
            <v>50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</row>
        <row r="783">
          <cell r="A783" t="str">
            <v>CORPORACION INTERNACIONAL DE ALIMENTOS, S.A.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50</v>
          </cell>
          <cell r="J783" t="str">
            <v>CORPORACION INTERNACIONAL DE ALIMENTOS, S.A.</v>
          </cell>
          <cell r="M783"/>
          <cell r="N783">
            <v>162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</row>
        <row r="784">
          <cell r="A784" t="str">
            <v>CORPORACION INTERNACIONAL DE ALIMENTOS, S.A.</v>
          </cell>
          <cell r="C784">
            <v>162</v>
          </cell>
          <cell r="D784">
            <v>0</v>
          </cell>
          <cell r="E784">
            <v>0</v>
          </cell>
          <cell r="F784">
            <v>0</v>
          </cell>
          <cell r="G784">
            <v>162</v>
          </cell>
          <cell r="J784" t="str">
            <v>CORPORACION INTERNACIONAL DE ALIMENTOS, S.A.</v>
          </cell>
          <cell r="M784"/>
          <cell r="N784">
            <v>86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</row>
        <row r="785">
          <cell r="A785" t="str">
            <v>CORPORACION INTERNACIONAL DE ALIMENTOS,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86</v>
          </cell>
          <cell r="J785" t="str">
            <v>CORPORACION INTERNACIONAL DE ALIMENTOS, S.A.</v>
          </cell>
          <cell r="M785">
            <v>201</v>
          </cell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</row>
        <row r="786">
          <cell r="A786" t="str">
            <v>CORPORACION INTERNACIONAL DE ALIMENTOS,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201</v>
          </cell>
          <cell r="J786" t="str">
            <v>CORPORACION INTERNACIONAL DE ALIMENTOS, S.A.</v>
          </cell>
          <cell r="M786"/>
          <cell r="N786"/>
          <cell r="O786"/>
          <cell r="P786"/>
          <cell r="Q786"/>
          <cell r="R786"/>
          <cell r="S786"/>
          <cell r="T786">
            <v>73</v>
          </cell>
          <cell r="U786"/>
          <cell r="V786"/>
          <cell r="W786"/>
          <cell r="X786"/>
          <cell r="Y786"/>
        </row>
        <row r="787">
          <cell r="A787" t="str">
            <v>CORPORACION INTERNACIONAL DE ALIMENTOS,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73</v>
          </cell>
          <cell r="J787" t="str">
            <v>CORPORACION INTERNACIONAL DE ALIMENTOS, S.A.</v>
          </cell>
          <cell r="M787"/>
          <cell r="N787"/>
          <cell r="O787"/>
          <cell r="P787"/>
          <cell r="Q787"/>
          <cell r="R787">
            <v>181</v>
          </cell>
          <cell r="S787"/>
          <cell r="T787"/>
          <cell r="U787"/>
          <cell r="V787"/>
          <cell r="W787"/>
          <cell r="X787"/>
          <cell r="Y787"/>
        </row>
        <row r="788">
          <cell r="A788" t="str">
            <v>CORPORACION INTERNACIONAL DE ALIMENTOS, S.A.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181</v>
          </cell>
          <cell r="J788" t="str">
            <v>CORPORACION INTERNACIONAL DE ALIMENTOS, S.A.</v>
          </cell>
          <cell r="M788"/>
          <cell r="N788"/>
          <cell r="O788"/>
          <cell r="P788"/>
          <cell r="Q788"/>
          <cell r="R788"/>
          <cell r="S788"/>
          <cell r="T788">
            <v>635</v>
          </cell>
          <cell r="U788"/>
          <cell r="V788"/>
          <cell r="W788"/>
          <cell r="X788"/>
          <cell r="Y788"/>
        </row>
        <row r="789">
          <cell r="A789" t="str">
            <v>CORPORACION INTERNACIONAL DE ALIMENTOS, S.A.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635</v>
          </cell>
          <cell r="J789" t="str">
            <v>CORPORACION INTERNACIONAL DE ALIMENTOS, S.A.</v>
          </cell>
          <cell r="M789"/>
          <cell r="N789">
            <v>201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</row>
        <row r="790">
          <cell r="A790" t="str">
            <v>CORPORACION INTERNACIONAL DE ALIMENTOS, S.A.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201</v>
          </cell>
          <cell r="J790" t="str">
            <v>CORPORACION INTERNACIONAL DE ALIMENTOS, S.A.</v>
          </cell>
          <cell r="M790"/>
          <cell r="N790">
            <v>0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</row>
        <row r="791">
          <cell r="A791" t="str">
            <v>CORPORACION INTERNACIONAL DE ALIMENTOS, S.A.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J791" t="str">
            <v>CORPORACION INTERNACIONAL DE ALIMENTOS, S.A.</v>
          </cell>
          <cell r="M791"/>
          <cell r="N791">
            <v>284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</row>
        <row r="792">
          <cell r="A792" t="str">
            <v>CORPORACION INTERNACIONAL DE ALIMENTOS, S.A.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284</v>
          </cell>
          <cell r="J792" t="str">
            <v>CORPORACION INTERNACIONAL DE ALIMENTOS, S.A.</v>
          </cell>
          <cell r="M792">
            <v>150</v>
          </cell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</row>
        <row r="793">
          <cell r="A793" t="str">
            <v>CORPORACION INTERNACIONAL DE ALIMENTOS, S.A.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150</v>
          </cell>
          <cell r="J793" t="str">
            <v>CORPORACION INTERNACIONAL DE ALIMENTOS, S.A.</v>
          </cell>
          <cell r="M793"/>
          <cell r="N793">
            <v>250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</row>
        <row r="794">
          <cell r="A794" t="str">
            <v>CORPORACION INTERNACIONAL DE ALIMENTOS, S.A.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250</v>
          </cell>
          <cell r="J794" t="str">
            <v>CORPORACION INTERNACIONAL DE ALIMENTOS, S.A.</v>
          </cell>
          <cell r="M794"/>
          <cell r="N794"/>
          <cell r="O794">
            <v>1200</v>
          </cell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</row>
        <row r="795">
          <cell r="A795" t="str">
            <v>CORPORACION INTERNACIONAL DE ALIMENTOS, S.A.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1200</v>
          </cell>
          <cell r="J795" t="str">
            <v>CORPORACION INTERNACIONAL DE ALIMENTOS, S.A.</v>
          </cell>
          <cell r="M795"/>
          <cell r="N795">
            <v>20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</row>
        <row r="796">
          <cell r="A796" t="str">
            <v>CORPORACION INTERNACIONAL DE ALIMENTOS, S.A.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20</v>
          </cell>
          <cell r="J796" t="str">
            <v>CORPORACION INTERNACIONAL DE ALIMENTOS, S.A.</v>
          </cell>
          <cell r="M796"/>
          <cell r="N796"/>
          <cell r="O796"/>
          <cell r="P796"/>
          <cell r="Q796"/>
          <cell r="R796"/>
          <cell r="S796">
            <v>110</v>
          </cell>
          <cell r="T796"/>
          <cell r="U796"/>
          <cell r="V796"/>
          <cell r="W796"/>
          <cell r="X796"/>
          <cell r="Y796"/>
        </row>
        <row r="797">
          <cell r="A797" t="str">
            <v>CORPORACION INTERNACIONAL DE ALIMENTOS, S.A.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110</v>
          </cell>
          <cell r="J797" t="str">
            <v>CORPORACION INTERNACIONAL DE ALIMENTOS, S.A.</v>
          </cell>
          <cell r="M797">
            <v>390</v>
          </cell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</row>
        <row r="798">
          <cell r="A798" t="str">
            <v>CORPORACION INTERNACIONAL DE ALIMENTOS, S.A.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390</v>
          </cell>
          <cell r="J798" t="str">
            <v>CORPORACION INTERNACIONAL DE ALIMENTOS, S.A.</v>
          </cell>
          <cell r="M798"/>
          <cell r="N798"/>
          <cell r="O798">
            <v>410</v>
          </cell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</row>
        <row r="799">
          <cell r="A799" t="str">
            <v>CORPORACION INTERNACIONAL DE ALIMENTOS, S.A.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410</v>
          </cell>
          <cell r="J799" t="str">
            <v>CORPORACION INTERNACIONAL DE ALIMENTOS, S.A.</v>
          </cell>
          <cell r="M799"/>
          <cell r="N799"/>
          <cell r="O799">
            <v>140</v>
          </cell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</row>
        <row r="800">
          <cell r="A800" t="str">
            <v>CORPORACION INTERNACIONAL DE ALIMENTOS, S.A.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140</v>
          </cell>
          <cell r="J800" t="str">
            <v>CORPORACION INTERNACIONAL DE ALIMENTOS, S.A.</v>
          </cell>
          <cell r="M800"/>
          <cell r="N800">
            <v>250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</row>
        <row r="801">
          <cell r="A801" t="str">
            <v>CORPORACION INTERNACIONAL DE ALIMENTOS, S.A.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250</v>
          </cell>
          <cell r="J801" t="str">
            <v>CORPORACION INTERNACIONAL DE ALIMENTOS, S.A.</v>
          </cell>
          <cell r="M801"/>
          <cell r="N801">
            <v>356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</row>
        <row r="802">
          <cell r="A802" t="str">
            <v>CORPORACION INTERNACIONAL DE ALIMENTOS, S.A.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356</v>
          </cell>
          <cell r="J802" t="str">
            <v>CORPORACION INTERNACIONAL DE ALIMENTOS, S.A.</v>
          </cell>
          <cell r="M802"/>
          <cell r="N802">
            <v>90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</row>
        <row r="803">
          <cell r="A803" t="str">
            <v>CORPORACION INTERNACIONAL DE ALIMENTOS, S.A.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90</v>
          </cell>
          <cell r="J803" t="str">
            <v>CORPORACION INTERNACIONAL DE ALIMENTOS, S.A.</v>
          </cell>
          <cell r="M803"/>
          <cell r="N803">
            <v>67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</row>
        <row r="804">
          <cell r="A804" t="str">
            <v>CORPORACION INTERNACIONAL DE ALIMENTOS, S.A.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67</v>
          </cell>
          <cell r="J804" t="str">
            <v>CORPORACION INTERNACIONAL DE ALIMENTOS, S.A.</v>
          </cell>
          <cell r="M804"/>
          <cell r="N804">
            <v>84</v>
          </cell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</row>
        <row r="805">
          <cell r="A805" t="str">
            <v>CORPORACION INTERNACIONAL DE ALIMENTOS, S.A.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84</v>
          </cell>
          <cell r="J805" t="str">
            <v>CORPORACION INTERNACIONAL DE ALIMENTOS, S.A.</v>
          </cell>
          <cell r="M805"/>
          <cell r="N805">
            <v>22</v>
          </cell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</row>
        <row r="806">
          <cell r="A806" t="str">
            <v>CORPORACION INTERNACIONAL DE ALIMENTOS, S.A.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22</v>
          </cell>
          <cell r="J806" t="str">
            <v>CORPORACION INTERNACIONAL DE ALIMENTOS, S.A.</v>
          </cell>
          <cell r="M806"/>
          <cell r="N806">
            <v>230</v>
          </cell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</row>
        <row r="807">
          <cell r="A807" t="str">
            <v>CORPORACION INTERNACIONAL DE ALIMENTOS, S.A.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230</v>
          </cell>
          <cell r="J807" t="str">
            <v>CORPORACION INTERNACIONAL DE ALIMENTOS, S.A.</v>
          </cell>
          <cell r="M807"/>
          <cell r="N807">
            <v>205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</row>
        <row r="808">
          <cell r="A808" t="str">
            <v>CORPORACION INTERNACIONAL DE ALIMENTOS, S.A.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205</v>
          </cell>
          <cell r="J808" t="str">
            <v>CORPORACION INTERNACIONAL DE ALIMENTOS, S.A.</v>
          </cell>
          <cell r="M808"/>
          <cell r="N808">
            <v>103</v>
          </cell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</row>
        <row r="809">
          <cell r="A809" t="str">
            <v>CORPORACION INTERNACIONAL DE ALIMENTOS, S.A.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103</v>
          </cell>
          <cell r="J809" t="str">
            <v>CORPORACION INTERNACIONAL DE ALIMENTOS, S.A.</v>
          </cell>
          <cell r="M809"/>
          <cell r="N809">
            <v>0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</row>
        <row r="810">
          <cell r="A810" t="str">
            <v>CORPORACION INTERNACIONAL DE ALIMENTOS, S.A.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J810" t="str">
            <v>CORPORACION INTERNACIONAL DE ALIMENTOS, S.A.</v>
          </cell>
          <cell r="M810"/>
          <cell r="N810">
            <v>165</v>
          </cell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</row>
        <row r="811">
          <cell r="A811" t="str">
            <v>CORPORACION INTERNACIONAL DE ALIMENTOS, S.A.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165</v>
          </cell>
          <cell r="J811" t="str">
            <v>CORPORACION INTERNACIONAL DE ALIMENTOS, S.A.</v>
          </cell>
          <cell r="M811"/>
          <cell r="N811">
            <v>456</v>
          </cell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</row>
        <row r="812">
          <cell r="A812" t="str">
            <v>CORPORACION INTERNACIONAL DE ALIMENTOS, S.A.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456</v>
          </cell>
          <cell r="J812" t="str">
            <v>CORPORACION INTERNACIONAL DE ALIMENTOS, S.A.</v>
          </cell>
          <cell r="M812"/>
          <cell r="N812">
            <v>251</v>
          </cell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</row>
        <row r="813">
          <cell r="A813" t="str">
            <v>CORPORACION INTERNACIONAL DE ALIMENTOS, S.A.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251</v>
          </cell>
          <cell r="J813" t="str">
            <v>CORPORACION INTERNACIONAL DE ALIMENTOS, S.A.</v>
          </cell>
          <cell r="M813"/>
          <cell r="N813">
            <v>60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</row>
        <row r="814">
          <cell r="A814" t="str">
            <v>CORPORACION INTERNACIONAL DE ALIMENTOS, S.A.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60</v>
          </cell>
          <cell r="J814" t="str">
            <v>CORPORACION INTERNACIONAL DE ALIMENTOS, S.A.</v>
          </cell>
          <cell r="M814"/>
          <cell r="N814">
            <v>75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</row>
        <row r="815">
          <cell r="A815" t="str">
            <v>CORPORACION INTERNACIONAL DE ALIMENTOS, S.A.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75</v>
          </cell>
          <cell r="J815" t="str">
            <v>CORPORACION INTERNACIONAL DE ALIMENTOS, S.A.</v>
          </cell>
          <cell r="M815"/>
          <cell r="N815"/>
          <cell r="O815">
            <v>1017</v>
          </cell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</row>
        <row r="816">
          <cell r="A816" t="str">
            <v>CORPORACION INTERNACIONAL DE ALIMENTOS, S.A.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1017</v>
          </cell>
          <cell r="J816" t="str">
            <v>CORPORACION INTERNACIONAL DE ALIMENTOS, S.A.</v>
          </cell>
          <cell r="M816"/>
          <cell r="N816">
            <v>50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</row>
        <row r="817">
          <cell r="A817" t="str">
            <v>CORPORACION INTERNACIONAL DE ALIMENTOS, S.A.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50</v>
          </cell>
          <cell r="J817" t="str">
            <v>CORPORACION INTERNACIONAL DE ALIMENTOS, S.A.</v>
          </cell>
          <cell r="M817"/>
          <cell r="N817"/>
          <cell r="O817">
            <v>219</v>
          </cell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</row>
        <row r="818">
          <cell r="A818" t="str">
            <v>CORPORACION INTERNACIONAL DE ALIMENTOS, S.A.</v>
          </cell>
          <cell r="C818">
            <v>0</v>
          </cell>
          <cell r="D818">
            <v>16</v>
          </cell>
          <cell r="E818">
            <v>19</v>
          </cell>
          <cell r="F818">
            <v>19</v>
          </cell>
          <cell r="G818">
            <v>219</v>
          </cell>
          <cell r="J818" t="str">
            <v>CORPORACION INTERNACIONAL DE ALIMENTOS, S.A.</v>
          </cell>
          <cell r="M818"/>
          <cell r="N818"/>
          <cell r="O818"/>
          <cell r="P818"/>
          <cell r="Q818">
            <v>83</v>
          </cell>
          <cell r="R818"/>
          <cell r="S818"/>
          <cell r="T818"/>
          <cell r="U818"/>
          <cell r="V818"/>
          <cell r="W818"/>
          <cell r="X818"/>
          <cell r="Y818"/>
        </row>
        <row r="819">
          <cell r="A819" t="str">
            <v>CORPORACION INTERNACIONAL DE ALIMENTOS, S.A.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83</v>
          </cell>
          <cell r="J819" t="str">
            <v>CORPORACION INTERNACIONAL DE ALIMENTOS, S.A.</v>
          </cell>
          <cell r="M819">
            <v>265</v>
          </cell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</row>
        <row r="820">
          <cell r="A820" t="str">
            <v>CORPORACION INTERNACIONAL DE ALIMENTOS, S.A.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265</v>
          </cell>
          <cell r="J820" t="str">
            <v>CORPORACION INTERNACIONAL DE ALIMENTOS, S.A.</v>
          </cell>
          <cell r="M820"/>
          <cell r="N820"/>
          <cell r="O820"/>
          <cell r="P820"/>
          <cell r="Q820"/>
          <cell r="R820"/>
          <cell r="S820">
            <v>152</v>
          </cell>
          <cell r="T820"/>
          <cell r="U820"/>
          <cell r="V820"/>
          <cell r="W820"/>
          <cell r="X820"/>
          <cell r="Y820"/>
        </row>
        <row r="821">
          <cell r="A821" t="str">
            <v>CORPORACION INTERNACIONAL DE ALIMENTOS, S.A.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152</v>
          </cell>
          <cell r="J821" t="str">
            <v>CORPORACION INTERNACIONAL DE ALIMENTOS, S.A.</v>
          </cell>
          <cell r="M821"/>
          <cell r="N821"/>
          <cell r="O821"/>
          <cell r="P821"/>
          <cell r="Q821"/>
          <cell r="R821"/>
          <cell r="S821"/>
          <cell r="T821">
            <v>37</v>
          </cell>
          <cell r="U821"/>
          <cell r="V821"/>
          <cell r="W821"/>
          <cell r="X821"/>
          <cell r="Y821"/>
        </row>
        <row r="822">
          <cell r="A822" t="str">
            <v>CORPORACION INTERNACIONAL DE ALIMENTOS, S.A.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37</v>
          </cell>
          <cell r="J822" t="str">
            <v>CORPORACION INTERNACIONAL DE ALIMENTOS, S.A.</v>
          </cell>
          <cell r="M822"/>
          <cell r="N822"/>
          <cell r="O822"/>
          <cell r="P822"/>
          <cell r="Q822"/>
          <cell r="R822"/>
          <cell r="S822"/>
          <cell r="T822"/>
          <cell r="U822">
            <v>0</v>
          </cell>
          <cell r="V822"/>
          <cell r="W822"/>
          <cell r="X822"/>
          <cell r="Y822"/>
        </row>
        <row r="823">
          <cell r="A823" t="str">
            <v>CORPORACION INTERNACIONAL DE ALIMENTOS, S.A.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J823" t="str">
            <v>CORPORACION INTERNACIONAL DE ALIMENTOS, S.A.</v>
          </cell>
          <cell r="M823"/>
          <cell r="N823"/>
          <cell r="O823"/>
          <cell r="P823"/>
          <cell r="Q823">
            <v>60</v>
          </cell>
          <cell r="R823"/>
          <cell r="S823"/>
          <cell r="T823"/>
          <cell r="U823"/>
          <cell r="V823"/>
          <cell r="W823"/>
          <cell r="X823"/>
          <cell r="Y823"/>
        </row>
        <row r="824">
          <cell r="A824" t="str">
            <v>CORPORACION INTERNACIONAL DE ALIMENTOS, S.A.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60</v>
          </cell>
          <cell r="J824" t="str">
            <v>CORPORACION INTERNACIONAL DE ALIMENTOS, S.A.</v>
          </cell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</row>
        <row r="825">
          <cell r="A825" t="str">
            <v>CORPORACION INTERNACIONAL DE ALIMENTOS, S.A.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J825" t="str">
            <v>CORPORACION INTERNACIONAL DE ALIMENTOS, S.A.</v>
          </cell>
          <cell r="M825"/>
          <cell r="N825"/>
          <cell r="O825"/>
          <cell r="P825"/>
          <cell r="Q825"/>
          <cell r="R825"/>
          <cell r="S825"/>
          <cell r="T825"/>
          <cell r="U825"/>
          <cell r="V825">
            <v>0</v>
          </cell>
          <cell r="W825"/>
          <cell r="X825"/>
          <cell r="Y825"/>
        </row>
        <row r="826">
          <cell r="A826" t="str">
            <v>CORPORACION INTERNACIONAL DE ALIMENTOS, S.A.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J826" t="str">
            <v>CORPORACION INTERNACIONAL DE ALIMENTOS, S.A.</v>
          </cell>
          <cell r="M826">
            <v>910</v>
          </cell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</row>
        <row r="827">
          <cell r="A827" t="str">
            <v>CORPORACION INTERNACIONAL DE ALIMENTOS, S.A.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910</v>
          </cell>
          <cell r="J827" t="str">
            <v>CORPORACION INTERNACIONAL DE ALIMENTOS, S.A.</v>
          </cell>
          <cell r="M827"/>
          <cell r="N827"/>
          <cell r="O827"/>
          <cell r="P827"/>
          <cell r="Q827"/>
          <cell r="R827"/>
          <cell r="S827"/>
          <cell r="T827"/>
          <cell r="U827">
            <v>305</v>
          </cell>
          <cell r="V827"/>
          <cell r="W827"/>
          <cell r="X827"/>
          <cell r="Y827"/>
        </row>
        <row r="828">
          <cell r="A828" t="str">
            <v>CORPORACION INTERNACIONAL DE ALIMENTOS, S.A.</v>
          </cell>
          <cell r="C828">
            <v>0</v>
          </cell>
          <cell r="D828">
            <v>40</v>
          </cell>
          <cell r="E828">
            <v>60</v>
          </cell>
          <cell r="F828">
            <v>40</v>
          </cell>
          <cell r="G828">
            <v>305</v>
          </cell>
          <cell r="J828" t="str">
            <v>CORPORACION INTERNACIONAL DE ALIMENTOS, S.A.</v>
          </cell>
          <cell r="M828">
            <v>400</v>
          </cell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</row>
        <row r="829">
          <cell r="A829" t="str">
            <v>CORPORACION INTERNACIONAL DE ALIMENTOS, S.A.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400</v>
          </cell>
          <cell r="J829" t="str">
            <v>CORPORACION INTERNACIONAL DE ALIMENTOS, S.A.</v>
          </cell>
          <cell r="M829"/>
          <cell r="N829"/>
          <cell r="O829">
            <v>68</v>
          </cell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</row>
        <row r="830">
          <cell r="A830" t="str">
            <v>CORPORACION INTERNACIONAL DE ALIMENTOS, S.A.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68</v>
          </cell>
          <cell r="J830" t="str">
            <v>CORPORACION INTERNACIONAL DE ALIMENTOS, S.A.</v>
          </cell>
          <cell r="M830">
            <v>175</v>
          </cell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</row>
        <row r="831">
          <cell r="A831" t="str">
            <v>CORPORACION INTERNACIONAL DE ALIMENTOS, S.A.</v>
          </cell>
          <cell r="C831">
            <v>0</v>
          </cell>
          <cell r="D831">
            <v>10</v>
          </cell>
          <cell r="E831">
            <v>20</v>
          </cell>
          <cell r="F831">
            <v>25</v>
          </cell>
          <cell r="G831">
            <v>175</v>
          </cell>
          <cell r="J831" t="str">
            <v>CORPORACION INTERNACIONAL DE ALIMENTOS, S.A.</v>
          </cell>
          <cell r="M831"/>
          <cell r="N831"/>
          <cell r="O831">
            <v>256</v>
          </cell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</row>
        <row r="832">
          <cell r="A832" t="str">
            <v>CORPORACION INTERNACIONAL DE ALIMENTOS,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256</v>
          </cell>
          <cell r="J832" t="str">
            <v>CORPORACION INTERNACIONAL DE ALIMENTOS, S.A.</v>
          </cell>
          <cell r="M832"/>
          <cell r="N832"/>
          <cell r="O832"/>
          <cell r="P832"/>
          <cell r="Q832"/>
          <cell r="R832">
            <v>31</v>
          </cell>
          <cell r="S832"/>
          <cell r="T832"/>
          <cell r="U832"/>
          <cell r="V832"/>
          <cell r="W832"/>
          <cell r="X832"/>
          <cell r="Y832"/>
        </row>
        <row r="833">
          <cell r="A833" t="str">
            <v>CORPORACION INTERNACIONAL DE ALIMENTOS,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31</v>
          </cell>
          <cell r="J833" t="str">
            <v>CORPORACION INTERNACIONAL DE ALIMENTOS, S.A.</v>
          </cell>
          <cell r="M833"/>
          <cell r="N833"/>
          <cell r="O833"/>
          <cell r="P833"/>
          <cell r="Q833">
            <v>496</v>
          </cell>
          <cell r="R833"/>
          <cell r="S833"/>
          <cell r="T833"/>
          <cell r="U833"/>
          <cell r="V833"/>
          <cell r="W833"/>
          <cell r="X833"/>
          <cell r="Y833"/>
        </row>
        <row r="834">
          <cell r="A834" t="str">
            <v>CORPORACION INTERNACIONAL DE ALIMENTOS, S.A.</v>
          </cell>
          <cell r="C834">
            <v>73</v>
          </cell>
          <cell r="D834">
            <v>0</v>
          </cell>
          <cell r="E834">
            <v>0</v>
          </cell>
          <cell r="F834">
            <v>0</v>
          </cell>
          <cell r="G834">
            <v>496</v>
          </cell>
          <cell r="J834" t="str">
            <v>CORPORACION INTERNACIONAL DE ALIMENTOS, S.A.</v>
          </cell>
          <cell r="M834"/>
          <cell r="N834"/>
          <cell r="O834"/>
          <cell r="P834"/>
          <cell r="Q834"/>
          <cell r="R834"/>
          <cell r="S834"/>
          <cell r="T834">
            <v>30</v>
          </cell>
          <cell r="U834"/>
          <cell r="V834"/>
          <cell r="W834"/>
          <cell r="X834"/>
          <cell r="Y834"/>
        </row>
        <row r="835">
          <cell r="A835" t="str">
            <v>CORPORACION INTERNACIONAL DE ALIMENTOS,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30</v>
          </cell>
          <cell r="J835" t="str">
            <v>CORPORACION INTERNACIONAL DE ALIMENTOS, S.A.</v>
          </cell>
          <cell r="M835"/>
          <cell r="N835"/>
          <cell r="O835"/>
          <cell r="P835"/>
          <cell r="Q835">
            <v>4560</v>
          </cell>
          <cell r="R835"/>
          <cell r="S835"/>
          <cell r="T835"/>
          <cell r="U835"/>
          <cell r="V835"/>
          <cell r="W835"/>
          <cell r="X835"/>
          <cell r="Y835"/>
        </row>
        <row r="836">
          <cell r="A836" t="str">
            <v>CORPORACION INTERNACIONAL DE ALIMENTOS, S.A.</v>
          </cell>
          <cell r="C836">
            <v>0</v>
          </cell>
          <cell r="D836">
            <v>680</v>
          </cell>
          <cell r="E836">
            <v>450</v>
          </cell>
          <cell r="F836">
            <v>450</v>
          </cell>
          <cell r="G836">
            <v>4560</v>
          </cell>
          <cell r="J836" t="str">
            <v>CORPORACION INTERNACIONAL DE ALIMENTOS, S.A.</v>
          </cell>
          <cell r="M836"/>
          <cell r="N836">
            <v>0</v>
          </cell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</row>
        <row r="837">
          <cell r="A837" t="str">
            <v>CORPORACION INTERNACIONAL DE ALIMENTOS, S.A.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J837" t="str">
            <v>CORPORACION INTERNACIONAL DE ALIMENTOS, S.A.</v>
          </cell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>
            <v>0</v>
          </cell>
          <cell r="X837"/>
          <cell r="Y837"/>
        </row>
        <row r="838">
          <cell r="A838" t="str">
            <v>CORPORACION INTERNACIONAL DE ALIMENTOS, S.A.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J838" t="str">
            <v>CORPORACION INTERNACIONAL DE ALIMENTOS, S.A.</v>
          </cell>
          <cell r="M838">
            <v>400</v>
          </cell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</row>
        <row r="839">
          <cell r="A839" t="str">
            <v>CORPORACION INTERNACIONAL DE ALIMENTOS, S.A.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400</v>
          </cell>
          <cell r="J839" t="str">
            <v>CORPORACION INTERNACIONAL DE ALIMENTOS, S.A.</v>
          </cell>
          <cell r="M839"/>
          <cell r="N839"/>
          <cell r="O839">
            <v>34</v>
          </cell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</row>
        <row r="840">
          <cell r="A840" t="str">
            <v>CORPORACION INTERNACIONAL DE ALIMENTOS, S.A.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34</v>
          </cell>
          <cell r="J840" t="str">
            <v>CORPORACION INTERNACIONAL DE ALIMENTOS, S.A.</v>
          </cell>
          <cell r="M840">
            <v>100</v>
          </cell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</row>
        <row r="841">
          <cell r="A841" t="str">
            <v>CORPORACION INTERNACIONAL DE ALIMENTOS, S.A.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100</v>
          </cell>
          <cell r="J841" t="str">
            <v>CORPORACION INTERNACIONAL DE ALIMENTOS, S.A.</v>
          </cell>
          <cell r="M841"/>
          <cell r="N841"/>
          <cell r="O841"/>
          <cell r="P841"/>
          <cell r="Q841"/>
          <cell r="R841"/>
          <cell r="S841">
            <v>96</v>
          </cell>
          <cell r="T841"/>
          <cell r="U841"/>
          <cell r="V841"/>
          <cell r="W841"/>
          <cell r="X841"/>
          <cell r="Y841"/>
        </row>
        <row r="842">
          <cell r="A842" t="str">
            <v>CORPORACION INTERNACIONAL DE ALIMENTOS, S.A.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96</v>
          </cell>
          <cell r="J842" t="str">
            <v>CORPORACION INTERNACIONAL DE ALIMENTOS, S.A.</v>
          </cell>
          <cell r="M842"/>
          <cell r="N842">
            <v>230</v>
          </cell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</row>
        <row r="843">
          <cell r="A843" t="str">
            <v>CORPORACION INTERNACIONAL DE ALIMENTOS, S.A.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230</v>
          </cell>
          <cell r="J843" t="str">
            <v>CORPORACION INTERNACIONAL DE ALIMENTOS, S.A.</v>
          </cell>
          <cell r="M843">
            <v>850</v>
          </cell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</row>
        <row r="844">
          <cell r="A844" t="str">
            <v>CORPORACION INTERNACIONAL DE ALIMENTOS, S.A.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850</v>
          </cell>
          <cell r="J844" t="str">
            <v>CORPORACION INTERNACIONAL DE ALIMENTOS, S.A.</v>
          </cell>
          <cell r="M844">
            <v>350</v>
          </cell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</row>
        <row r="845">
          <cell r="A845" t="str">
            <v>CORPORACION INTERNACIONAL DE ALIMENTOS, S.A.</v>
          </cell>
          <cell r="C845">
            <v>200</v>
          </cell>
          <cell r="D845">
            <v>25</v>
          </cell>
          <cell r="E845">
            <v>100</v>
          </cell>
          <cell r="F845">
            <v>25</v>
          </cell>
          <cell r="G845">
            <v>350</v>
          </cell>
          <cell r="J845" t="str">
            <v>CORPORACION INTERNACIONAL DE ALIMENTOS, S.A.</v>
          </cell>
          <cell r="M845">
            <v>352</v>
          </cell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</row>
        <row r="846">
          <cell r="A846" t="str">
            <v>CORPORACION INTERNACIONAL DE ALIMENTOS, S.A.</v>
          </cell>
          <cell r="C846">
            <v>225</v>
          </cell>
          <cell r="D846">
            <v>0</v>
          </cell>
          <cell r="E846">
            <v>0</v>
          </cell>
          <cell r="F846">
            <v>0</v>
          </cell>
          <cell r="G846">
            <v>352</v>
          </cell>
          <cell r="J846" t="str">
            <v>CORPORACION INTERNACIONAL DE ALIMENTOS, S.A.</v>
          </cell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>
            <v>628</v>
          </cell>
          <cell r="X846"/>
          <cell r="Y846"/>
        </row>
        <row r="847">
          <cell r="A847" t="str">
            <v>CORPORACION INTERNACIONAL DE ALIMENTOS, S.A.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628</v>
          </cell>
          <cell r="J847" t="str">
            <v>CORPORACION INTERNACIONAL DE ALIMENTOS, S.A.</v>
          </cell>
          <cell r="M847"/>
          <cell r="N847"/>
          <cell r="O847"/>
          <cell r="P847"/>
          <cell r="Q847"/>
          <cell r="R847"/>
          <cell r="S847"/>
          <cell r="T847">
            <v>192</v>
          </cell>
          <cell r="U847"/>
          <cell r="V847"/>
          <cell r="W847"/>
          <cell r="X847"/>
          <cell r="Y847"/>
        </row>
        <row r="848">
          <cell r="A848" t="str">
            <v>CORPORACION INTERNACIONAL DE ALIMENTOS, S.A.</v>
          </cell>
          <cell r="C848">
            <v>85</v>
          </cell>
          <cell r="D848">
            <v>22</v>
          </cell>
          <cell r="E848">
            <v>25</v>
          </cell>
          <cell r="F848">
            <v>29</v>
          </cell>
          <cell r="G848">
            <v>192</v>
          </cell>
          <cell r="J848" t="str">
            <v>CORPORACION INTERNACIONAL DE ALIMENTOS, S.A.</v>
          </cell>
          <cell r="M848"/>
          <cell r="N848">
            <v>510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</row>
        <row r="849">
          <cell r="A849" t="str">
            <v>CORPORACION INTERNACIONAL DE ALIMENTOS,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510</v>
          </cell>
          <cell r="J849" t="str">
            <v>CORPORACION INTERNACIONAL DE ALIMENTOS, S.A.</v>
          </cell>
          <cell r="M849"/>
          <cell r="N849">
            <v>97</v>
          </cell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</row>
        <row r="850">
          <cell r="A850" t="str">
            <v>CORPORACION INTERNACIONAL DE ALIMENTOS,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97</v>
          </cell>
          <cell r="J850" t="str">
            <v>CORPORACION INTERNACIONAL DE ALIMENTOS, S.A.</v>
          </cell>
          <cell r="M850">
            <v>40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</row>
        <row r="851">
          <cell r="A851" t="str">
            <v>CORPORACION INTERNACIONAL DE ALIMENTOS,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40</v>
          </cell>
          <cell r="J851" t="str">
            <v>CORPORACION INTERNACIONAL DE ALIMENTOS, S.A.</v>
          </cell>
          <cell r="M851">
            <v>1350</v>
          </cell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</row>
        <row r="852">
          <cell r="A852" t="str">
            <v>CORPORACION INTERNACIONAL DE ALIMENTOS,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1350</v>
          </cell>
          <cell r="J852" t="str">
            <v>CORPORACION INTERNACIONAL DE ALIMENTOS, S.A.</v>
          </cell>
          <cell r="M852">
            <v>77</v>
          </cell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</row>
        <row r="853">
          <cell r="A853" t="str">
            <v>CORPORACION INTERNACIONAL DE ALIMENTOS,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77</v>
          </cell>
          <cell r="J853" t="str">
            <v>CORPORACION INTERNACIONAL DE ALIMENTOS, S.A.</v>
          </cell>
          <cell r="M853"/>
          <cell r="N853"/>
          <cell r="O853"/>
          <cell r="P853"/>
          <cell r="Q853"/>
          <cell r="R853"/>
          <cell r="S853">
            <v>56</v>
          </cell>
          <cell r="T853"/>
          <cell r="U853"/>
          <cell r="V853"/>
          <cell r="W853"/>
          <cell r="X853"/>
          <cell r="Y853"/>
        </row>
        <row r="854">
          <cell r="A854" t="str">
            <v>CORPORACION INTERNACIONAL DE ALIMENTOS, S.A.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56</v>
          </cell>
          <cell r="J854" t="str">
            <v>CORPORACION INTERNACIONAL DE ALIMENTOS, S.A.</v>
          </cell>
          <cell r="M854"/>
          <cell r="N854">
            <v>130</v>
          </cell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</row>
        <row r="855">
          <cell r="A855" t="str">
            <v>CORPORACION INTERNACIONAL DE ALIMENTOS, S.A.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130</v>
          </cell>
          <cell r="J855" t="str">
            <v>CORPORACION INTERNACIONAL DE ALIMENTOS, S.A.</v>
          </cell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>
            <v>0</v>
          </cell>
          <cell r="X855"/>
          <cell r="Y855"/>
        </row>
        <row r="856">
          <cell r="A856" t="str">
            <v>CORPORACION INTERNACIONAL DE ALIMENTOS, S.A.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J856" t="str">
            <v>CORPORACION INTERNACIONAL DE ALIMENTOS, S.A.</v>
          </cell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>
            <v>0</v>
          </cell>
          <cell r="X856"/>
          <cell r="Y856"/>
        </row>
        <row r="857">
          <cell r="A857" t="str">
            <v>CORPORACION INTERNACIONAL DE ALIMENTOS, S.A.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J857" t="str">
            <v>CORPORACION INTERNACIONAL DE ALIMENTOS, S.A.</v>
          </cell>
          <cell r="M857"/>
          <cell r="N857"/>
          <cell r="O857"/>
          <cell r="P857"/>
          <cell r="Q857"/>
          <cell r="R857"/>
          <cell r="S857"/>
          <cell r="T857"/>
          <cell r="U857">
            <v>251</v>
          </cell>
          <cell r="V857"/>
          <cell r="W857"/>
          <cell r="X857"/>
          <cell r="Y857"/>
        </row>
        <row r="858">
          <cell r="A858" t="str">
            <v>CORPORACION INTERNACIONAL DE ALIMENTOS, S.A.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251</v>
          </cell>
          <cell r="J858" t="str">
            <v>CORPORACION INTERNACIONAL DE ALIMENTOS, S.A.</v>
          </cell>
          <cell r="M858"/>
          <cell r="N858"/>
          <cell r="O858"/>
          <cell r="P858"/>
          <cell r="Q858"/>
          <cell r="R858"/>
          <cell r="S858">
            <v>40</v>
          </cell>
          <cell r="T858"/>
          <cell r="U858"/>
          <cell r="V858"/>
          <cell r="W858"/>
          <cell r="X858"/>
          <cell r="Y858"/>
        </row>
        <row r="859">
          <cell r="A859" t="str">
            <v>CORPORACION INTERNACIONAL DE ALIMENTOS, S.A.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40</v>
          </cell>
          <cell r="J859" t="str">
            <v>CORPORACION INTERNACIONAL DE ALIMENTOS, S.A.</v>
          </cell>
          <cell r="M859"/>
          <cell r="N859"/>
          <cell r="O859"/>
          <cell r="P859"/>
          <cell r="Q859"/>
          <cell r="R859">
            <v>130</v>
          </cell>
          <cell r="S859"/>
          <cell r="T859"/>
          <cell r="U859"/>
          <cell r="V859"/>
          <cell r="W859"/>
          <cell r="X859"/>
          <cell r="Y859"/>
        </row>
        <row r="860">
          <cell r="A860" t="str">
            <v>CORPORACION INTERNACIONAL DE ALIMENTOS, S.A.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130</v>
          </cell>
          <cell r="J860" t="str">
            <v>CORPORACION INTERNACIONAL DE ALIMENTOS, S.A.</v>
          </cell>
          <cell r="M860"/>
          <cell r="N860">
            <v>120</v>
          </cell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</row>
        <row r="861">
          <cell r="A861" t="str">
            <v>CORPORACION INTERNACIONAL DE ALIMENTOS,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120</v>
          </cell>
          <cell r="J861" t="str">
            <v>CORPORACION INTERNACIONAL DE ALIMENTOS, S.A.</v>
          </cell>
          <cell r="M861">
            <v>125</v>
          </cell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</row>
        <row r="862">
          <cell r="A862" t="str">
            <v>CORPORACION INTERNACIONAL DE ALIMENTOS,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125</v>
          </cell>
          <cell r="J862" t="str">
            <v>CORPORACION INTERNACIONAL DE ALIMENTOS, S.A.</v>
          </cell>
          <cell r="M862"/>
          <cell r="N862"/>
          <cell r="O862"/>
          <cell r="P862"/>
          <cell r="Q862"/>
          <cell r="R862"/>
          <cell r="S862"/>
          <cell r="T862"/>
          <cell r="U862"/>
          <cell r="V862">
            <v>0</v>
          </cell>
          <cell r="W862"/>
          <cell r="X862"/>
          <cell r="Y862"/>
        </row>
        <row r="863">
          <cell r="A863" t="str">
            <v>CORPORACION INTERNACIONAL DE ALIMENTOS, S.A.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J863" t="str">
            <v>CORPORACION INTERNACIONAL DE ALIMENTOS, S.A.</v>
          </cell>
          <cell r="M863"/>
          <cell r="N863"/>
          <cell r="O863"/>
          <cell r="P863"/>
          <cell r="Q863"/>
          <cell r="R863"/>
          <cell r="S863">
            <v>50</v>
          </cell>
          <cell r="T863"/>
          <cell r="U863"/>
          <cell r="V863"/>
          <cell r="W863"/>
          <cell r="X863"/>
          <cell r="Y863"/>
        </row>
        <row r="864">
          <cell r="A864" t="str">
            <v>CORPORACION INTERNACIONAL DE ALIMENTOS,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50</v>
          </cell>
          <cell r="J864" t="str">
            <v>CORPORACION INTERNACIONAL DE ALIMENTOS, S.A.</v>
          </cell>
          <cell r="M864">
            <v>25</v>
          </cell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</row>
        <row r="865">
          <cell r="A865" t="str">
            <v>CORPORACION INTERNACIONAL DE ALIMENTOS,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25</v>
          </cell>
          <cell r="J865" t="str">
            <v>CORPORACION INTERNACIONAL DE ALIMENTOS, S.A.</v>
          </cell>
          <cell r="M865"/>
          <cell r="N865"/>
          <cell r="O865"/>
          <cell r="P865"/>
          <cell r="Q865"/>
          <cell r="R865"/>
          <cell r="S865"/>
          <cell r="T865"/>
          <cell r="U865"/>
          <cell r="V865">
            <v>0</v>
          </cell>
          <cell r="W865"/>
          <cell r="X865"/>
          <cell r="Y865"/>
        </row>
        <row r="866">
          <cell r="A866" t="str">
            <v>CORPORACION INTERNACIONAL DE ALIMENTOS,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J866" t="str">
            <v>CORPORACION INTERNACIONAL DE ALIMENTOS, S.A.</v>
          </cell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>
            <v>0</v>
          </cell>
        </row>
        <row r="867">
          <cell r="A867" t="str">
            <v>CORPORACION INTERNACIONAL DE ALIMENTOS,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J867" t="str">
            <v>CORPORACION INTERNACIONAL DE ALIMENTOS, S.A.</v>
          </cell>
          <cell r="M867"/>
          <cell r="N867"/>
          <cell r="O867">
            <v>0</v>
          </cell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</row>
        <row r="868">
          <cell r="A868" t="str">
            <v>CORPORACION INTERNACIONAL DE ALIMENTOS,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J868" t="str">
            <v>CORPORACION INTERNACIONAL DE ALIMENTOS, S.A.</v>
          </cell>
          <cell r="M868">
            <v>209</v>
          </cell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</row>
        <row r="869">
          <cell r="A869" t="str">
            <v>CORPORACION INTERNACIONAL DE ALIMENTOS, S.A.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209</v>
          </cell>
          <cell r="J869" t="str">
            <v>CORPORACION INTERNACIONAL DE ALIMENTOS, S.A.</v>
          </cell>
          <cell r="M869">
            <v>0</v>
          </cell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</row>
        <row r="870">
          <cell r="A870" t="str">
            <v>CORPORACION INTERNACIONAL DE ALIMENTOS, S.A.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J870" t="str">
            <v>CORPORACION INTERNACIONAL DE ALIMENTOS, S.A.</v>
          </cell>
          <cell r="M870"/>
          <cell r="N870">
            <v>0</v>
          </cell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</row>
        <row r="871">
          <cell r="A871" t="str">
            <v>CORPORACION INTERNACIONAL DE ALIMENTOS, S.A.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J871" t="str">
            <v>CORPORACION INTERNACIONAL DE ALIMENTOS, S.A.</v>
          </cell>
          <cell r="M871"/>
          <cell r="N871"/>
          <cell r="O871"/>
          <cell r="P871"/>
          <cell r="Q871"/>
          <cell r="R871"/>
          <cell r="S871">
            <v>150</v>
          </cell>
          <cell r="T871"/>
          <cell r="U871"/>
          <cell r="V871"/>
          <cell r="W871"/>
          <cell r="X871"/>
          <cell r="Y871"/>
        </row>
        <row r="872">
          <cell r="A872" t="str">
            <v>CORPORACION INTERNACIONAL DE ALIMENTOS, S.A.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150</v>
          </cell>
          <cell r="J872" t="str">
            <v>CORPORACION INTERNACIONAL DE ALIMENTOS, S.A.</v>
          </cell>
          <cell r="M872"/>
          <cell r="N872">
            <v>6</v>
          </cell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</row>
        <row r="873">
          <cell r="A873" t="str">
            <v>CORPORACION INTERNACIONAL DE ALIMENTOS, S.A.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6</v>
          </cell>
          <cell r="J873" t="str">
            <v>CORPORACION INTERNACIONAL DE ALIMENTOS, S.A.</v>
          </cell>
          <cell r="M873">
            <v>200</v>
          </cell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</row>
        <row r="874">
          <cell r="A874" t="str">
            <v>CORPORACION INTERNACIONAL DE ALIMENTOS, S.A.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200</v>
          </cell>
          <cell r="J874" t="str">
            <v>CORPORACION INTERNACIONAL DE ALIMENTOS, S.A.</v>
          </cell>
          <cell r="M874"/>
          <cell r="N874"/>
          <cell r="O874">
            <v>240</v>
          </cell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</row>
        <row r="875">
          <cell r="A875" t="str">
            <v>CORPORACION INTERNACIONAL DE ALIMENTOS, S.A.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240</v>
          </cell>
          <cell r="J875" t="str">
            <v>CORPORACION INTERNACIONAL DE ALIMENTOS, S.A.</v>
          </cell>
          <cell r="M875"/>
          <cell r="N875"/>
          <cell r="O875"/>
          <cell r="P875"/>
          <cell r="Q875"/>
          <cell r="R875">
            <v>0</v>
          </cell>
          <cell r="S875"/>
          <cell r="T875"/>
          <cell r="U875"/>
          <cell r="V875"/>
          <cell r="W875"/>
          <cell r="X875"/>
          <cell r="Y875"/>
        </row>
        <row r="876">
          <cell r="A876" t="str">
            <v>CORPORACION INTERNACIONAL DE ALIMENTOS, S.A.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J876" t="str">
            <v>CORPORACION INTERNACIONAL DE ALIMENTOS, S.A.</v>
          </cell>
          <cell r="M876"/>
          <cell r="N876"/>
          <cell r="O876">
            <v>421</v>
          </cell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</row>
        <row r="877">
          <cell r="A877" t="str">
            <v>CORPORACION INTERNACIONAL DE ALIMENTOS, S.A.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421</v>
          </cell>
          <cell r="J877" t="str">
            <v>CORPORACION INTERNACIONAL DE ALIMENTOS, S.A.</v>
          </cell>
          <cell r="M877"/>
          <cell r="N877"/>
          <cell r="O877"/>
          <cell r="P877"/>
          <cell r="Q877"/>
          <cell r="R877"/>
          <cell r="S877">
            <v>1190</v>
          </cell>
          <cell r="T877"/>
          <cell r="U877"/>
          <cell r="V877"/>
          <cell r="W877"/>
          <cell r="X877"/>
          <cell r="Y877"/>
        </row>
        <row r="878">
          <cell r="A878" t="str">
            <v>CORPORACION INTERNACIONAL DE ALIMENTOS, S.A.</v>
          </cell>
          <cell r="C878">
            <v>1190</v>
          </cell>
          <cell r="D878">
            <v>0</v>
          </cell>
          <cell r="E878">
            <v>0</v>
          </cell>
          <cell r="F878">
            <v>0</v>
          </cell>
          <cell r="G878">
            <v>1190</v>
          </cell>
          <cell r="J878" t="str">
            <v>CORPORACION INTERNACIONAL DE ALIMENTOS, S.A.</v>
          </cell>
          <cell r="M878"/>
          <cell r="N878"/>
          <cell r="O878"/>
          <cell r="P878"/>
          <cell r="Q878"/>
          <cell r="R878"/>
          <cell r="S878">
            <v>100</v>
          </cell>
          <cell r="T878"/>
          <cell r="U878"/>
          <cell r="V878"/>
          <cell r="W878"/>
          <cell r="X878"/>
          <cell r="Y878"/>
        </row>
        <row r="879">
          <cell r="A879" t="str">
            <v>CORPORACION INTERNACIONAL DE ALIMENTOS, S.A.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100</v>
          </cell>
          <cell r="J879" t="str">
            <v>CORPORACION INTERNACIONAL DE ALIMENTOS, S.A.</v>
          </cell>
          <cell r="M879"/>
          <cell r="N879"/>
          <cell r="O879"/>
          <cell r="P879"/>
          <cell r="Q879"/>
          <cell r="R879"/>
          <cell r="S879">
            <v>200</v>
          </cell>
          <cell r="T879"/>
          <cell r="U879"/>
          <cell r="V879"/>
          <cell r="W879"/>
          <cell r="X879"/>
          <cell r="Y879"/>
        </row>
        <row r="880">
          <cell r="A880" t="str">
            <v>CORPORACION INTERNACIONAL DE ALIMENTOS, S.A.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200</v>
          </cell>
          <cell r="J880" t="str">
            <v>CORPORACION INTERNACIONAL DE ALIMENTOS, S.A.</v>
          </cell>
          <cell r="M880"/>
          <cell r="N880"/>
          <cell r="O880"/>
          <cell r="P880">
            <v>173</v>
          </cell>
          <cell r="Q880"/>
          <cell r="R880"/>
          <cell r="S880"/>
          <cell r="T880"/>
          <cell r="U880"/>
          <cell r="V880"/>
          <cell r="W880"/>
          <cell r="X880"/>
          <cell r="Y880"/>
        </row>
        <row r="881">
          <cell r="A881" t="str">
            <v>CORPORACION INTERNACIONAL DE ALIMENTOS, S.A.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173</v>
          </cell>
          <cell r="J881" t="str">
            <v>CORPORACION INTERNACIONAL DE ALIMENTOS, S.A.</v>
          </cell>
          <cell r="M881"/>
          <cell r="N881"/>
          <cell r="O881"/>
          <cell r="P881"/>
          <cell r="Q881"/>
          <cell r="R881"/>
          <cell r="S881"/>
          <cell r="T881"/>
          <cell r="U881"/>
          <cell r="V881">
            <v>0</v>
          </cell>
          <cell r="W881"/>
          <cell r="X881"/>
          <cell r="Y881"/>
        </row>
        <row r="882">
          <cell r="A882" t="str">
            <v>CORPORACION INTERNACIONAL DE ALIMENTOS, S.A.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J882" t="str">
            <v>CORPORACION INTERNACIONAL DE ALIMENTOS, S.A.</v>
          </cell>
          <cell r="M882"/>
          <cell r="N882"/>
          <cell r="O882"/>
          <cell r="P882"/>
          <cell r="Q882"/>
          <cell r="R882"/>
          <cell r="S882"/>
          <cell r="T882"/>
          <cell r="U882"/>
          <cell r="V882">
            <v>200</v>
          </cell>
          <cell r="W882"/>
          <cell r="X882"/>
          <cell r="Y882"/>
        </row>
        <row r="883">
          <cell r="A883" t="str">
            <v>CORPORACION INTERNACIONAL DE ALIMENTOS, S.A.</v>
          </cell>
          <cell r="C883">
            <v>200</v>
          </cell>
          <cell r="D883">
            <v>0</v>
          </cell>
          <cell r="E883">
            <v>0</v>
          </cell>
          <cell r="F883">
            <v>0</v>
          </cell>
          <cell r="G883">
            <v>200</v>
          </cell>
          <cell r="J883" t="str">
            <v>CORPORACION INTERNACIONAL DE ALIMENTOS, S.A.</v>
          </cell>
          <cell r="M883"/>
          <cell r="N883"/>
          <cell r="O883"/>
          <cell r="P883"/>
          <cell r="Q883"/>
          <cell r="R883"/>
          <cell r="S883"/>
          <cell r="T883"/>
          <cell r="U883">
            <v>696</v>
          </cell>
          <cell r="V883"/>
          <cell r="W883"/>
          <cell r="X883"/>
          <cell r="Y883"/>
        </row>
        <row r="884">
          <cell r="A884" t="str">
            <v>CORPORACION INTERNACIONAL DE ALIMENTOS, S.A.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696</v>
          </cell>
          <cell r="J884" t="str">
            <v>CORPORACION INTERNACIONAL DE ALIMENTOS, S.A.</v>
          </cell>
          <cell r="M884">
            <v>220</v>
          </cell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</row>
        <row r="885">
          <cell r="A885" t="str">
            <v>CORPORACION INTERNACIONAL DE ALIMENTOS, S.A.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220</v>
          </cell>
          <cell r="J885" t="str">
            <v>CORPORACION INTERNACIONAL DE ALIMENTOS, S.A.</v>
          </cell>
          <cell r="M885">
            <v>265</v>
          </cell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</row>
        <row r="886">
          <cell r="A886" t="str">
            <v>CORPORACION INTERNACIONAL DE ALIMENTOS, S.A.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265</v>
          </cell>
          <cell r="J886" t="str">
            <v>CORPORACION INTERNACIONAL DE ALIMENTOS, S.A.</v>
          </cell>
          <cell r="M886"/>
          <cell r="N886">
            <v>110</v>
          </cell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</row>
        <row r="887">
          <cell r="A887" t="str">
            <v>CORPORACION INTERNACIONAL DE ALIMENTOS, S.A.</v>
          </cell>
          <cell r="C887">
            <v>0</v>
          </cell>
          <cell r="D887">
            <v>35</v>
          </cell>
          <cell r="E887">
            <v>0</v>
          </cell>
          <cell r="F887">
            <v>0</v>
          </cell>
          <cell r="G887">
            <v>110</v>
          </cell>
          <cell r="J887" t="str">
            <v>CORPORACION INTERNACIONAL DE ALIMENTOS, S.A.</v>
          </cell>
          <cell r="M887"/>
          <cell r="N887">
            <v>130</v>
          </cell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</row>
        <row r="888">
          <cell r="A888" t="str">
            <v>CORPORACION INTERNACIONAL DE ALIMENTOS, S.A.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130</v>
          </cell>
          <cell r="J888" t="str">
            <v>CORPORACION INTERNACIONAL DE ALIMENTOS, S.A.</v>
          </cell>
          <cell r="M888">
            <v>1300</v>
          </cell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</row>
        <row r="889">
          <cell r="A889" t="str">
            <v>CORPORACION INTERNACIONAL DE ALIMENTOS, S.A.</v>
          </cell>
          <cell r="C889">
            <v>100</v>
          </cell>
          <cell r="D889">
            <v>0</v>
          </cell>
          <cell r="E889">
            <v>0</v>
          </cell>
          <cell r="F889">
            <v>0</v>
          </cell>
          <cell r="G889">
            <v>1300</v>
          </cell>
          <cell r="J889" t="str">
            <v>CORPORACION INTERNACIONAL DE ALIMENTOS, S.A.</v>
          </cell>
          <cell r="M889">
            <v>52</v>
          </cell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</row>
        <row r="890">
          <cell r="A890" t="str">
            <v>CORPORACION INTERNACIONAL DE ALIMENTOS, S.A.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52</v>
          </cell>
          <cell r="J890" t="str">
            <v>CORPORACION INTERNACIONAL DE ALIMENTOS, S.A.</v>
          </cell>
          <cell r="M890">
            <v>360</v>
          </cell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</row>
        <row r="891">
          <cell r="A891" t="str">
            <v>CORPORACION INTERNACIONAL DE ALIMENTOS, S.A.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360</v>
          </cell>
          <cell r="J891" t="str">
            <v>CORPORACION INTERNACIONAL DE ALIMENTOS, S.A.</v>
          </cell>
          <cell r="M891"/>
          <cell r="N891"/>
          <cell r="O891"/>
          <cell r="P891">
            <v>150</v>
          </cell>
          <cell r="Q891"/>
          <cell r="R891"/>
          <cell r="S891"/>
          <cell r="T891"/>
          <cell r="U891"/>
          <cell r="V891"/>
          <cell r="W891"/>
          <cell r="X891"/>
          <cell r="Y891"/>
        </row>
        <row r="892">
          <cell r="A892" t="str">
            <v>CORPORACION INTERNACIONAL DE ALIMENTOS, S.A.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150</v>
          </cell>
          <cell r="J892" t="str">
            <v>CORPORACION INTERNACIONAL DE ALIMENTOS, S.A.</v>
          </cell>
          <cell r="M892">
            <v>630</v>
          </cell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</row>
        <row r="893">
          <cell r="A893" t="str">
            <v>CORPORACION INTERNACIONAL DE ALIMENTOS, S.A.</v>
          </cell>
          <cell r="C893">
            <v>0</v>
          </cell>
          <cell r="D893">
            <v>120</v>
          </cell>
          <cell r="E893">
            <v>180</v>
          </cell>
          <cell r="F893">
            <v>60</v>
          </cell>
          <cell r="G893">
            <v>630</v>
          </cell>
          <cell r="J893" t="str">
            <v>CORPORACION INTERNACIONAL DE ALIMENTOS, S.A.</v>
          </cell>
          <cell r="M893">
            <v>50</v>
          </cell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</row>
        <row r="894">
          <cell r="A894" t="str">
            <v>CORPORACION INTERNACIONAL DE ALIMENTOS, S.A.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50</v>
          </cell>
          <cell r="J894" t="str">
            <v>CORPORACION INTERNACIONAL DE ALIMENTOS, S.A.</v>
          </cell>
          <cell r="M894">
            <v>600</v>
          </cell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</row>
        <row r="895">
          <cell r="A895" t="str">
            <v>CORPORACION INTERNACIONAL DE ALIMENTOS, S.A.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600</v>
          </cell>
          <cell r="J895" t="str">
            <v>CORPORACION INTERNACIONAL DE ALIMENTOS, S.A.</v>
          </cell>
          <cell r="M895"/>
          <cell r="N895"/>
          <cell r="O895"/>
          <cell r="P895"/>
          <cell r="Q895"/>
          <cell r="R895"/>
          <cell r="S895">
            <v>40</v>
          </cell>
          <cell r="T895"/>
          <cell r="U895"/>
          <cell r="V895"/>
          <cell r="W895"/>
          <cell r="X895"/>
          <cell r="Y895"/>
        </row>
        <row r="896">
          <cell r="A896" t="str">
            <v>CORPORACION INTERNACIONAL DE ALIMENTOS, S.A.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40</v>
          </cell>
          <cell r="J896" t="str">
            <v>CORPORACION INTERNACIONAL DE ALIMENTOS, S.A.</v>
          </cell>
          <cell r="M896"/>
          <cell r="N896"/>
          <cell r="O896">
            <v>105</v>
          </cell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</row>
        <row r="897">
          <cell r="A897" t="str">
            <v>CORPORACION INTERNACIONAL DE ALIMENTOS, S.A.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105</v>
          </cell>
          <cell r="J897" t="str">
            <v>CORPORACION INTERNACIONAL DE ALIMENTOS, S.A.</v>
          </cell>
          <cell r="M897"/>
          <cell r="N897">
            <v>490</v>
          </cell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</row>
        <row r="898">
          <cell r="A898" t="str">
            <v>CORPORACION INTERNACIONAL DE ALIMENTOS, S.A.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490</v>
          </cell>
          <cell r="J898" t="str">
            <v>CORPORACION INTERNACIONAL DE ALIMENTOS, S.A.</v>
          </cell>
          <cell r="M898"/>
          <cell r="N898"/>
          <cell r="O898">
            <v>480</v>
          </cell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</row>
        <row r="899">
          <cell r="A899" t="str">
            <v>CORPORACION INTERNACIONAL DE ALIMENTOS, S.A.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480</v>
          </cell>
          <cell r="J899" t="str">
            <v>CORPORACION INTERNACIONAL DE ALIMENTOS, S.A.</v>
          </cell>
          <cell r="M899">
            <v>740</v>
          </cell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</row>
        <row r="900">
          <cell r="A900" t="str">
            <v>CORPORACION INTERNACIONAL DE ALIMENTOS, S.A.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740</v>
          </cell>
          <cell r="J900" t="str">
            <v>CORPORACION INTERNACIONAL DE ALIMENTOS, S.A.</v>
          </cell>
          <cell r="M900"/>
          <cell r="N900"/>
          <cell r="O900"/>
          <cell r="P900"/>
          <cell r="Q900"/>
          <cell r="R900"/>
          <cell r="S900"/>
          <cell r="T900">
            <v>0</v>
          </cell>
          <cell r="U900"/>
          <cell r="V900"/>
          <cell r="W900"/>
          <cell r="X900"/>
          <cell r="Y900"/>
        </row>
        <row r="901">
          <cell r="A901" t="str">
            <v>CORPORACION INTERNACIONAL DE ALIMENTOS, S.A.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J901" t="str">
            <v>CORPORACION INTERNACIONAL DE ALIMENTOS, S.A.</v>
          </cell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>
            <v>50</v>
          </cell>
        </row>
        <row r="902">
          <cell r="A902" t="str">
            <v>CORPORACION INTERNACIONAL DE ALIMENTOS, S.A.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50</v>
          </cell>
          <cell r="J902" t="str">
            <v>CORPORACION INTERNACIONAL DE ALIMENTOS, S.A.</v>
          </cell>
          <cell r="M902"/>
          <cell r="N902"/>
          <cell r="O902"/>
          <cell r="P902"/>
          <cell r="Q902"/>
          <cell r="R902"/>
          <cell r="S902"/>
          <cell r="T902">
            <v>1800</v>
          </cell>
          <cell r="U902"/>
          <cell r="V902"/>
          <cell r="W902"/>
          <cell r="X902"/>
          <cell r="Y902"/>
        </row>
        <row r="903">
          <cell r="A903" t="str">
            <v>CORPORACION INTERNACIONAL DE ALIMENTOS, S.A.</v>
          </cell>
          <cell r="C903">
            <v>1200</v>
          </cell>
          <cell r="D903">
            <v>0</v>
          </cell>
          <cell r="E903">
            <v>0</v>
          </cell>
          <cell r="F903">
            <v>0</v>
          </cell>
          <cell r="G903">
            <v>1800</v>
          </cell>
          <cell r="J903" t="str">
            <v>CORPORACION INTERNACIONAL DE ALIMENTOS, S.A.</v>
          </cell>
          <cell r="M903"/>
          <cell r="N903"/>
          <cell r="O903"/>
          <cell r="P903"/>
          <cell r="Q903"/>
          <cell r="R903"/>
          <cell r="S903"/>
          <cell r="T903"/>
          <cell r="U903"/>
          <cell r="V903">
            <v>430</v>
          </cell>
          <cell r="W903"/>
          <cell r="X903"/>
          <cell r="Y903"/>
        </row>
        <row r="904">
          <cell r="A904" t="str">
            <v>CORPORACION INTERNACIONAL DE ALIMENTOS, S.A.</v>
          </cell>
          <cell r="C904">
            <v>160</v>
          </cell>
          <cell r="D904">
            <v>0</v>
          </cell>
          <cell r="E904">
            <v>0</v>
          </cell>
          <cell r="F904">
            <v>0</v>
          </cell>
          <cell r="G904">
            <v>430</v>
          </cell>
          <cell r="J904" t="str">
            <v>CORPORACION INTERNACIONAL DE ALIMENTOS, S.A.</v>
          </cell>
          <cell r="M904"/>
          <cell r="N904"/>
          <cell r="O904"/>
          <cell r="P904"/>
          <cell r="Q904"/>
          <cell r="R904"/>
          <cell r="S904"/>
          <cell r="T904"/>
          <cell r="U904">
            <v>300</v>
          </cell>
          <cell r="V904"/>
          <cell r="W904"/>
          <cell r="X904"/>
          <cell r="Y904"/>
        </row>
        <row r="905">
          <cell r="A905" t="str">
            <v>CORPORACION INTERNACIONAL DE ALIMENTOS, S.A.</v>
          </cell>
          <cell r="C905">
            <v>300</v>
          </cell>
          <cell r="D905">
            <v>0</v>
          </cell>
          <cell r="E905">
            <v>0</v>
          </cell>
          <cell r="F905">
            <v>0</v>
          </cell>
          <cell r="G905">
            <v>300</v>
          </cell>
          <cell r="J905" t="str">
            <v>CORPORACION INTERNACIONAL DE ALIMENTOS, S.A.</v>
          </cell>
          <cell r="M905"/>
          <cell r="N905"/>
          <cell r="O905"/>
          <cell r="P905"/>
          <cell r="Q905"/>
          <cell r="R905"/>
          <cell r="S905"/>
          <cell r="T905">
            <v>240</v>
          </cell>
          <cell r="U905"/>
          <cell r="V905"/>
          <cell r="W905"/>
          <cell r="X905"/>
          <cell r="Y905"/>
        </row>
        <row r="906">
          <cell r="A906" t="str">
            <v>CORPORACION INTERNACIONAL DE ALIMENTOS, S.A.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240</v>
          </cell>
          <cell r="J906" t="str">
            <v>CORPORACION INTERNACIONAL DE ALIMENTOS, S.A.</v>
          </cell>
          <cell r="M906"/>
          <cell r="N906"/>
          <cell r="O906"/>
          <cell r="P906"/>
          <cell r="Q906"/>
          <cell r="R906"/>
          <cell r="S906"/>
          <cell r="T906"/>
          <cell r="U906">
            <v>80</v>
          </cell>
          <cell r="V906"/>
          <cell r="W906"/>
          <cell r="X906"/>
          <cell r="Y906"/>
        </row>
        <row r="907">
          <cell r="A907" t="str">
            <v>CORPORACION INTERNACIONAL DE ALIMENTOS, S.A.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80</v>
          </cell>
          <cell r="J907" t="str">
            <v>CORPORACION INTERNACIONAL DE ALIMENTOS, S.A.</v>
          </cell>
          <cell r="M907"/>
          <cell r="N907"/>
          <cell r="O907"/>
          <cell r="P907"/>
          <cell r="Q907"/>
          <cell r="R907"/>
          <cell r="S907"/>
          <cell r="T907"/>
          <cell r="U907">
            <v>0</v>
          </cell>
          <cell r="V907"/>
          <cell r="W907"/>
          <cell r="X907"/>
          <cell r="Y907"/>
        </row>
        <row r="908">
          <cell r="A908" t="str">
            <v>CORPORACION INTERNACIONAL DE ALIMENTOS, S.A.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J908" t="str">
            <v>CORPORACION INTERNACIONAL DE ALIMENTOS, S.A.</v>
          </cell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>
            <v>200</v>
          </cell>
          <cell r="X908"/>
          <cell r="Y908"/>
        </row>
        <row r="909">
          <cell r="A909" t="str">
            <v>CORPORACION INTERNACIONAL DE ALIMENTOS, S.A.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200</v>
          </cell>
          <cell r="J909" t="str">
            <v>CORPORACION INTERNACIONAL DE ALIMENTOS, S.A.</v>
          </cell>
          <cell r="M909"/>
          <cell r="N909"/>
          <cell r="O909"/>
          <cell r="P909"/>
          <cell r="Q909"/>
          <cell r="R909"/>
          <cell r="S909"/>
          <cell r="T909"/>
          <cell r="U909"/>
          <cell r="V909">
            <v>39</v>
          </cell>
          <cell r="W909"/>
          <cell r="X909"/>
          <cell r="Y909"/>
        </row>
        <row r="910">
          <cell r="A910" t="str">
            <v>CORPORACION INTERNACIONAL DE ALIMENTOS, S.A.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39</v>
          </cell>
          <cell r="J910" t="str">
            <v>CORPORACION INTERNACIONAL DE ALIMENTOS, S.A.</v>
          </cell>
          <cell r="M910"/>
          <cell r="N910"/>
          <cell r="O910"/>
          <cell r="P910"/>
          <cell r="Q910"/>
          <cell r="R910"/>
          <cell r="S910"/>
          <cell r="T910"/>
          <cell r="U910"/>
          <cell r="V910">
            <v>30</v>
          </cell>
          <cell r="W910"/>
          <cell r="X910"/>
          <cell r="Y910"/>
        </row>
        <row r="911">
          <cell r="A911" t="str">
            <v>CORPORACION INTERNACIONAL DE ALIMENTOS, S.A.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30</v>
          </cell>
          <cell r="J911" t="str">
            <v>CORPORACION INTERNACIONAL DE ALIMENTOS, S.A.</v>
          </cell>
          <cell r="M911"/>
          <cell r="N911">
            <v>0</v>
          </cell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</row>
        <row r="912">
          <cell r="A912" t="str">
            <v>CORPORACION INTERNACIONAL DE ALIMENTOS, S.A.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J912" t="str">
            <v>FELIPE MOTTA, S.A</v>
          </cell>
          <cell r="M912"/>
          <cell r="N912"/>
          <cell r="O912"/>
          <cell r="P912"/>
          <cell r="Q912">
            <v>1060</v>
          </cell>
          <cell r="R912"/>
          <cell r="S912"/>
          <cell r="T912"/>
          <cell r="U912"/>
          <cell r="V912"/>
          <cell r="W912"/>
          <cell r="X912"/>
          <cell r="Y912"/>
        </row>
        <row r="913">
          <cell r="A913" t="str">
            <v>FELIPE MOTTA, S.A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1060</v>
          </cell>
          <cell r="J913" t="str">
            <v>FELIPE MOTTA, S.A</v>
          </cell>
          <cell r="M913"/>
          <cell r="N913">
            <v>100</v>
          </cell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</row>
        <row r="914">
          <cell r="A914" t="str">
            <v>FELIPE MOTTA, S.A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100</v>
          </cell>
          <cell r="J914" t="str">
            <v>FELIPE MOTTA, S.A</v>
          </cell>
          <cell r="M914"/>
          <cell r="N914"/>
          <cell r="O914"/>
          <cell r="P914"/>
          <cell r="Q914"/>
          <cell r="R914">
            <v>180</v>
          </cell>
          <cell r="S914"/>
          <cell r="T914"/>
          <cell r="U914"/>
          <cell r="V914"/>
          <cell r="W914"/>
          <cell r="X914"/>
          <cell r="Y914"/>
        </row>
        <row r="915">
          <cell r="A915" t="str">
            <v>FELIPE MOTTA, S.A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180</v>
          </cell>
          <cell r="J915" t="str">
            <v>FELIPE MOTTA, S.A</v>
          </cell>
          <cell r="M915"/>
          <cell r="N915"/>
          <cell r="O915"/>
          <cell r="P915"/>
          <cell r="Q915"/>
          <cell r="R915">
            <v>40</v>
          </cell>
          <cell r="S915"/>
          <cell r="T915"/>
          <cell r="U915"/>
          <cell r="V915"/>
          <cell r="W915"/>
          <cell r="X915"/>
          <cell r="Y915"/>
        </row>
        <row r="916">
          <cell r="A916" t="str">
            <v>FELIPE MOTTA, S.A</v>
          </cell>
          <cell r="C916">
            <v>40</v>
          </cell>
          <cell r="D916">
            <v>0</v>
          </cell>
          <cell r="E916">
            <v>0</v>
          </cell>
          <cell r="F916">
            <v>0</v>
          </cell>
          <cell r="G916">
            <v>40</v>
          </cell>
          <cell r="J916" t="str">
            <v>FELIPE MOTTA, S.A</v>
          </cell>
          <cell r="M916"/>
          <cell r="N916"/>
          <cell r="O916"/>
          <cell r="P916"/>
          <cell r="Q916"/>
          <cell r="R916"/>
          <cell r="S916">
            <v>73</v>
          </cell>
          <cell r="T916"/>
          <cell r="U916"/>
          <cell r="V916"/>
          <cell r="W916"/>
          <cell r="X916"/>
          <cell r="Y916"/>
        </row>
        <row r="917">
          <cell r="A917" t="str">
            <v>FELIPE MOTTA, S.A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73</v>
          </cell>
          <cell r="J917" t="str">
            <v>FELIPE MOTTA, S.A</v>
          </cell>
          <cell r="M917"/>
          <cell r="N917"/>
          <cell r="O917">
            <v>65</v>
          </cell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</row>
        <row r="918">
          <cell r="A918" t="str">
            <v>FELIPE MOTTA, S.A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65</v>
          </cell>
          <cell r="J918" t="str">
            <v>FELIPE MOTTA, S.A</v>
          </cell>
          <cell r="M918"/>
          <cell r="N918"/>
          <cell r="O918">
            <v>1090</v>
          </cell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</row>
        <row r="919">
          <cell r="A919" t="str">
            <v>FELIPE MOTTA, S.A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1090</v>
          </cell>
          <cell r="J919" t="str">
            <v>FELIPE MOTTA, S.A</v>
          </cell>
          <cell r="M919">
            <v>0</v>
          </cell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</row>
        <row r="920">
          <cell r="A920" t="str">
            <v>FELIPE MOTTA, S.A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J920" t="str">
            <v>FELIPE MOTTA, S.A</v>
          </cell>
          <cell r="M920"/>
          <cell r="N920">
            <v>282</v>
          </cell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</row>
        <row r="921">
          <cell r="A921" t="str">
            <v>FELIPE MOTTA, S.A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282</v>
          </cell>
          <cell r="J921" t="str">
            <v>FELIPE MOTTA, S.A</v>
          </cell>
          <cell r="M921"/>
          <cell r="N921">
            <v>467</v>
          </cell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</row>
        <row r="922">
          <cell r="A922" t="str">
            <v>FELIPE MOTTA, S.A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467</v>
          </cell>
          <cell r="J922" t="str">
            <v>FELIPE MOTTA, S.A</v>
          </cell>
          <cell r="M922"/>
          <cell r="N922">
            <v>62</v>
          </cell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</row>
        <row r="923">
          <cell r="A923" t="str">
            <v>FELIPE MOTTA, S.A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62</v>
          </cell>
          <cell r="J923" t="str">
            <v>FELIPE MOTTA, S.A</v>
          </cell>
          <cell r="M923"/>
          <cell r="N923"/>
          <cell r="O923">
            <v>116</v>
          </cell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</row>
        <row r="924">
          <cell r="A924" t="str">
            <v>FELIPE MOTTA, S.A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116</v>
          </cell>
          <cell r="J924" t="str">
            <v>FELIPE MOTTA, S.A</v>
          </cell>
          <cell r="M924"/>
          <cell r="N924"/>
          <cell r="O924">
            <v>138</v>
          </cell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</row>
        <row r="925">
          <cell r="A925" t="str">
            <v>FELIPE MOTTA, S.A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138</v>
          </cell>
          <cell r="J925" t="str">
            <v>FELIPE MOTTA, S.A</v>
          </cell>
          <cell r="M925"/>
          <cell r="N925">
            <v>147</v>
          </cell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</row>
        <row r="926">
          <cell r="A926" t="str">
            <v>FELIPE MOTTA, S.A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147</v>
          </cell>
          <cell r="J926" t="str">
            <v>FELIPE MOTTA, S.A</v>
          </cell>
          <cell r="M926"/>
          <cell r="N926">
            <v>62</v>
          </cell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</row>
        <row r="927">
          <cell r="A927" t="str">
            <v>FELIPE MOTTA, S.A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62</v>
          </cell>
          <cell r="J927" t="str">
            <v>FELIPE MOTTA, S.A</v>
          </cell>
          <cell r="M927"/>
          <cell r="N927"/>
          <cell r="O927">
            <v>60</v>
          </cell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</row>
        <row r="928">
          <cell r="A928" t="str">
            <v>FELIPE MOTTA, S.A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60</v>
          </cell>
          <cell r="J928" t="str">
            <v>FELIPE MOTTA, S.A</v>
          </cell>
          <cell r="M928"/>
          <cell r="N928"/>
          <cell r="O928"/>
          <cell r="P928"/>
          <cell r="Q928"/>
          <cell r="R928"/>
          <cell r="S928"/>
          <cell r="T928">
            <v>73</v>
          </cell>
          <cell r="U928"/>
          <cell r="V928"/>
          <cell r="W928"/>
          <cell r="X928"/>
          <cell r="Y928"/>
        </row>
        <row r="929">
          <cell r="A929" t="str">
            <v>FELIPE MOTTA, S.A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73</v>
          </cell>
          <cell r="J929" t="str">
            <v>FELIPE MOTTA, S.A</v>
          </cell>
          <cell r="M929">
            <v>150</v>
          </cell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</row>
        <row r="930">
          <cell r="A930" t="str">
            <v>FELIPE MOTTA, S.A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150</v>
          </cell>
          <cell r="J930" t="str">
            <v>FELIPE MOTTA, S.A</v>
          </cell>
          <cell r="M930"/>
          <cell r="N930">
            <v>165</v>
          </cell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</row>
        <row r="931">
          <cell r="A931" t="str">
            <v>FELIPE MOTTA, S.A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165</v>
          </cell>
          <cell r="J931" t="str">
            <v>FELIPE MOTTA, S.A</v>
          </cell>
          <cell r="M931"/>
          <cell r="N931">
            <v>251</v>
          </cell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</row>
        <row r="932">
          <cell r="A932" t="str">
            <v>FELIPE MOTTA, S.A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251</v>
          </cell>
          <cell r="J932" t="str">
            <v>FELIPE MOTTA, S.A</v>
          </cell>
          <cell r="M932"/>
          <cell r="N932">
            <v>75</v>
          </cell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</row>
        <row r="933">
          <cell r="A933" t="str">
            <v>FELIPE MOTTA, S.A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75</v>
          </cell>
          <cell r="J933" t="str">
            <v>FELIPE MOTTA, S.A</v>
          </cell>
          <cell r="M933"/>
          <cell r="N933"/>
          <cell r="O933"/>
          <cell r="P933"/>
          <cell r="Q933"/>
          <cell r="R933"/>
          <cell r="S933">
            <v>152</v>
          </cell>
          <cell r="T933"/>
          <cell r="U933"/>
          <cell r="V933"/>
          <cell r="W933"/>
          <cell r="X933"/>
          <cell r="Y933"/>
        </row>
        <row r="934">
          <cell r="A934" t="str">
            <v>FELIPE MOTTA, S.A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152</v>
          </cell>
          <cell r="J934" t="str">
            <v>FELIPE MOTTA, S.A</v>
          </cell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</row>
        <row r="935">
          <cell r="A935" t="str">
            <v>FELIPE MOTTA, S.A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J935" t="str">
            <v>FELIPE MOTTA, S.A</v>
          </cell>
          <cell r="M935">
            <v>910</v>
          </cell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</row>
        <row r="936">
          <cell r="A936" t="str">
            <v>FELIPE MOTTA, S.A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910</v>
          </cell>
          <cell r="J936" t="str">
            <v>FELIPE MOTTA, S.A</v>
          </cell>
          <cell r="M936"/>
          <cell r="N936"/>
          <cell r="O936"/>
          <cell r="P936"/>
          <cell r="Q936">
            <v>4560</v>
          </cell>
          <cell r="R936"/>
          <cell r="S936"/>
          <cell r="T936"/>
          <cell r="U936"/>
          <cell r="V936"/>
          <cell r="W936"/>
          <cell r="X936"/>
          <cell r="Y936"/>
        </row>
        <row r="937">
          <cell r="A937" t="str">
            <v>FELIPE MOTTA, S.A</v>
          </cell>
          <cell r="C937">
            <v>0</v>
          </cell>
          <cell r="D937">
            <v>680</v>
          </cell>
          <cell r="E937">
            <v>450</v>
          </cell>
          <cell r="F937">
            <v>450</v>
          </cell>
          <cell r="G937">
            <v>4560</v>
          </cell>
          <cell r="J937" t="str">
            <v>FELIPE MOTTA, S.A</v>
          </cell>
          <cell r="M937">
            <v>400</v>
          </cell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</row>
        <row r="938">
          <cell r="A938" t="str">
            <v>FELIPE MOTTA, S.A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400</v>
          </cell>
          <cell r="J938" t="str">
            <v>FELIPE MOTTA, S.A</v>
          </cell>
          <cell r="M938"/>
          <cell r="N938">
            <v>230</v>
          </cell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</row>
        <row r="939">
          <cell r="A939" t="str">
            <v>FELIPE MOTTA, S.A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230</v>
          </cell>
          <cell r="J939" t="str">
            <v>FELIPE MOTTA, S.A</v>
          </cell>
          <cell r="M939"/>
          <cell r="N939">
            <v>510</v>
          </cell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</row>
        <row r="940">
          <cell r="A940" t="str">
            <v>FELIPE MOTTA, S.A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510</v>
          </cell>
          <cell r="J940" t="str">
            <v>FELIPE MOTTA, S.A</v>
          </cell>
          <cell r="M940">
            <v>125</v>
          </cell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</row>
        <row r="941">
          <cell r="A941" t="str">
            <v>FELIPE MOTTA, S.A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125</v>
          </cell>
          <cell r="J941" t="str">
            <v>FELIPE MOTTA, S.A</v>
          </cell>
          <cell r="M941">
            <v>25</v>
          </cell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</row>
        <row r="942">
          <cell r="A942" t="str">
            <v>FELIPE MOTTA, S.A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25</v>
          </cell>
          <cell r="J942" t="str">
            <v>FELIPE MOTTA, S.A</v>
          </cell>
          <cell r="M942">
            <v>209</v>
          </cell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</row>
        <row r="943">
          <cell r="A943" t="str">
            <v>FELIPE MOTTA, S.A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209</v>
          </cell>
          <cell r="J943" t="str">
            <v>FELIPE MOTTA, S.A</v>
          </cell>
          <cell r="M943"/>
          <cell r="N943"/>
          <cell r="O943">
            <v>240</v>
          </cell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</row>
        <row r="944">
          <cell r="A944" t="str">
            <v>FELIPE MOTTA, S.A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240</v>
          </cell>
          <cell r="J944" t="str">
            <v>FELIPE MOTTA, S.A</v>
          </cell>
          <cell r="M944"/>
          <cell r="N944"/>
          <cell r="O944"/>
          <cell r="P944">
            <v>173</v>
          </cell>
          <cell r="Q944"/>
          <cell r="R944"/>
          <cell r="S944"/>
          <cell r="T944"/>
          <cell r="U944"/>
          <cell r="V944"/>
          <cell r="W944"/>
          <cell r="X944"/>
          <cell r="Y944"/>
        </row>
        <row r="945">
          <cell r="A945" t="str">
            <v>FELIPE MOTTA, S.A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173</v>
          </cell>
          <cell r="J945" t="str">
            <v>FELIPE MOTTA, S.A</v>
          </cell>
          <cell r="M945">
            <v>1300</v>
          </cell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</row>
        <row r="946">
          <cell r="A946" t="str">
            <v>FELIPE MOTTA, S.A</v>
          </cell>
          <cell r="C946">
            <v>100</v>
          </cell>
          <cell r="D946">
            <v>0</v>
          </cell>
          <cell r="E946">
            <v>0</v>
          </cell>
          <cell r="F946">
            <v>0</v>
          </cell>
          <cell r="G946">
            <v>1300</v>
          </cell>
          <cell r="J946" t="str">
            <v>FELIPE MOTTA, S.A</v>
          </cell>
          <cell r="M946"/>
          <cell r="N946">
            <v>0</v>
          </cell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</row>
        <row r="947">
          <cell r="A947" t="str">
            <v>FELIPE MOTTA, S.A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J947" t="str">
            <v>ORDEN DE MALTA PANAMA ASOCIACION PANAMEÑA</v>
          </cell>
          <cell r="M947">
            <v>325</v>
          </cell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</row>
        <row r="948">
          <cell r="A948" t="str">
            <v>ORDEN DE MALTA PANAMA ASOCIACION PANAMEÑA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325</v>
          </cell>
          <cell r="J948" t="str">
            <v>ORDEN DE MALTA PANAMA ASOCIACION PANAMEÑA</v>
          </cell>
          <cell r="M948"/>
          <cell r="N948"/>
          <cell r="O948">
            <v>30</v>
          </cell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</row>
        <row r="949">
          <cell r="A949" t="str">
            <v>ORDEN DE MALTA PANAMA ASOCIACION PANAMEÑA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30</v>
          </cell>
          <cell r="J949" t="str">
            <v>ORDEN DE MALTA PANAMA ASOCIACION PANAMEÑA</v>
          </cell>
          <cell r="M949"/>
          <cell r="N949"/>
          <cell r="O949"/>
          <cell r="P949">
            <v>102</v>
          </cell>
          <cell r="Q949"/>
          <cell r="R949"/>
          <cell r="S949"/>
          <cell r="T949"/>
          <cell r="U949"/>
          <cell r="V949"/>
          <cell r="W949"/>
          <cell r="X949"/>
          <cell r="Y949"/>
        </row>
        <row r="950">
          <cell r="A950" t="str">
            <v>ORDEN DE MALTA PANAMA ASOCIACION PANAMEÑA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102</v>
          </cell>
          <cell r="J950" t="str">
            <v>ORDEN DE MALTA PANAMA ASOCIACION PANAMEÑA</v>
          </cell>
          <cell r="M950"/>
          <cell r="N950">
            <v>70</v>
          </cell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</row>
        <row r="951">
          <cell r="A951" t="str">
            <v>ORDEN DE MALTA PANAMA ASOCIACION PANAMEÑA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70</v>
          </cell>
          <cell r="J951" t="str">
            <v>ORDEN DE MALTA PANAMA ASOCIACION PANAMEÑA</v>
          </cell>
          <cell r="M951"/>
          <cell r="N951"/>
          <cell r="O951"/>
          <cell r="P951"/>
          <cell r="Q951">
            <v>1060</v>
          </cell>
          <cell r="R951"/>
          <cell r="S951"/>
          <cell r="T951"/>
          <cell r="U951"/>
          <cell r="V951"/>
          <cell r="W951"/>
          <cell r="X951"/>
          <cell r="Y951"/>
        </row>
        <row r="952">
          <cell r="A952" t="str">
            <v>ORDEN DE MALTA PANAMA ASOCIACION PANAMEÑA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1060</v>
          </cell>
          <cell r="J952" t="str">
            <v>ORDEN DE MALTA PANAMA ASOCIACION PANAMEÑA</v>
          </cell>
          <cell r="M952"/>
          <cell r="N952"/>
          <cell r="O952">
            <v>1090</v>
          </cell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</row>
        <row r="953">
          <cell r="A953" t="str">
            <v>ORDEN DE MALTA PANAMA ASOCIACION PANAMEÑA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1090</v>
          </cell>
          <cell r="J953" t="str">
            <v>ORDEN DE MALTA PANAMA ASOCIACION PANAMEÑA</v>
          </cell>
          <cell r="M953">
            <v>0</v>
          </cell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</row>
        <row r="954">
          <cell r="A954" t="str">
            <v>ORDEN DE MALTA PANAMA ASOCIACION PANAMEÑA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J954" t="str">
            <v>ORDEN DE MALTA PANAMA ASOCIACION PANAMEÑA</v>
          </cell>
          <cell r="M954"/>
          <cell r="N954">
            <v>70</v>
          </cell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</row>
        <row r="955">
          <cell r="A955" t="str">
            <v>ORDEN DE MALTA PANAMA ASOCIACION PANAMEÑA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70</v>
          </cell>
          <cell r="J955" t="str">
            <v>ORDEN DE MALTA PANAMA ASOCIACION PANAMEÑA</v>
          </cell>
          <cell r="M955"/>
          <cell r="N955">
            <v>60</v>
          </cell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</row>
        <row r="956">
          <cell r="A956" t="str">
            <v>ORDEN DE MALTA PANAMA ASOCIACION PANAMEÑA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60</v>
          </cell>
          <cell r="J956" t="str">
            <v>ORDEN DE MALTA PANAMA ASOCIACION PANAMEÑA</v>
          </cell>
          <cell r="M956"/>
          <cell r="N956">
            <v>264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</row>
        <row r="957">
          <cell r="A957" t="str">
            <v>ORDEN DE MALTA PANAMA ASOCIACION PANAMEÑA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264</v>
          </cell>
          <cell r="J957" t="str">
            <v>ORDEN DE MALTA PANAMA ASOCIACION PANAMEÑA</v>
          </cell>
          <cell r="M957"/>
          <cell r="N957"/>
          <cell r="O957"/>
          <cell r="P957"/>
          <cell r="Q957"/>
          <cell r="R957"/>
          <cell r="S957"/>
          <cell r="T957">
            <v>115</v>
          </cell>
          <cell r="U957"/>
          <cell r="V957"/>
          <cell r="W957"/>
          <cell r="X957"/>
          <cell r="Y957"/>
        </row>
        <row r="958">
          <cell r="A958" t="str">
            <v>ORDEN DE MALTA PANAMA ASOCIACION PANAMEÑA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115</v>
          </cell>
          <cell r="J958" t="str">
            <v>ORDEN DE MALTA PANAMA ASOCIACION PANAMEÑA</v>
          </cell>
          <cell r="M958"/>
          <cell r="N958"/>
          <cell r="O958"/>
          <cell r="P958"/>
          <cell r="Q958"/>
          <cell r="R958"/>
          <cell r="S958">
            <v>179</v>
          </cell>
          <cell r="T958"/>
          <cell r="U958"/>
          <cell r="V958"/>
          <cell r="W958"/>
          <cell r="X958"/>
          <cell r="Y958"/>
        </row>
        <row r="959">
          <cell r="A959" t="str">
            <v>ORDEN DE MALTA PANAMA ASOCIACION PANAMEÑA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179</v>
          </cell>
          <cell r="J959" t="str">
            <v>ORDEN DE MALTA PANAMA ASOCIACION PANAMEÑA</v>
          </cell>
          <cell r="M959"/>
          <cell r="N959">
            <v>50</v>
          </cell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</row>
        <row r="960">
          <cell r="A960" t="str">
            <v>ORDEN DE MALTA PANAMA ASOCIACION PANAMEÑA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50</v>
          </cell>
          <cell r="J960" t="str">
            <v>ORDEN DE MALTA PANAMA ASOCIACION PANAMEÑA</v>
          </cell>
          <cell r="M960"/>
          <cell r="N960"/>
          <cell r="O960"/>
          <cell r="P960"/>
          <cell r="Q960"/>
          <cell r="R960"/>
          <cell r="S960"/>
          <cell r="T960">
            <v>73</v>
          </cell>
          <cell r="U960"/>
          <cell r="V960"/>
          <cell r="W960"/>
          <cell r="X960"/>
          <cell r="Y960"/>
        </row>
        <row r="961">
          <cell r="A961" t="str">
            <v>ORDEN DE MALTA PANAMA ASOCIACION PANAMEÑA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73</v>
          </cell>
          <cell r="J961" t="str">
            <v>ORDEN DE MALTA PANAMA ASOCIACION PANAMEÑA</v>
          </cell>
          <cell r="M961"/>
          <cell r="N961">
            <v>0</v>
          </cell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</row>
        <row r="962">
          <cell r="A962" t="str">
            <v>ORDEN DE MALTA PANAMA ASOCIACION PANAMEÑA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J962" t="str">
            <v>ORDEN DE MALTA PANAMA ASOCIACION PANAMEÑA</v>
          </cell>
          <cell r="M962"/>
          <cell r="N962"/>
          <cell r="O962">
            <v>1200</v>
          </cell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</row>
        <row r="963">
          <cell r="A963" t="str">
            <v>ORDEN DE MALTA PANAMA ASOCIACION PANAMEÑA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1200</v>
          </cell>
          <cell r="J963" t="str">
            <v>ORDEN DE MALTA PANAMA ASOCIACION PANAMEÑA</v>
          </cell>
          <cell r="M963"/>
          <cell r="N963">
            <v>20</v>
          </cell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</row>
        <row r="964">
          <cell r="A964" t="str">
            <v>ORDEN DE MALTA PANAMA ASOCIACION PANAMEÑA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20</v>
          </cell>
          <cell r="J964" t="str">
            <v>ORDEN DE MALTA PANAMA ASOCIACION PANAMEÑA</v>
          </cell>
          <cell r="M964"/>
          <cell r="N964">
            <v>250</v>
          </cell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</row>
        <row r="965">
          <cell r="A965" t="str">
            <v>ORDEN DE MALTA PANAMA ASOCIACION PANAMEÑA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250</v>
          </cell>
          <cell r="J965" t="str">
            <v>ORDEN DE MALTA PANAMA ASOCIACION PANAMEÑA</v>
          </cell>
          <cell r="M965"/>
          <cell r="N965">
            <v>0</v>
          </cell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</row>
        <row r="966">
          <cell r="A966" t="str">
            <v>ORDEN DE MALTA PANAMA ASOCIACION PANAMEÑA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J966" t="str">
            <v>ORDEN DE MALTA PANAMA ASOCIACION PANAMEÑA</v>
          </cell>
          <cell r="M966"/>
          <cell r="N966">
            <v>50</v>
          </cell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</row>
        <row r="967">
          <cell r="A967" t="str">
            <v>ORDEN DE MALTA PANAMA ASOCIACION PANAMEÑA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50</v>
          </cell>
          <cell r="J967" t="str">
            <v>ORDEN DE MALTA PANAMA ASOCIACION PANAMEÑA</v>
          </cell>
          <cell r="M967"/>
          <cell r="N967"/>
          <cell r="O967"/>
          <cell r="P967"/>
          <cell r="Q967"/>
          <cell r="R967"/>
          <cell r="S967"/>
          <cell r="T967"/>
          <cell r="U967">
            <v>305</v>
          </cell>
          <cell r="V967"/>
          <cell r="W967"/>
          <cell r="X967"/>
          <cell r="Y967"/>
        </row>
        <row r="968">
          <cell r="A968" t="str">
            <v>ORDEN DE MALTA PANAMA ASOCIACION PANAMEÑA</v>
          </cell>
          <cell r="C968">
            <v>0</v>
          </cell>
          <cell r="D968">
            <v>40</v>
          </cell>
          <cell r="E968">
            <v>60</v>
          </cell>
          <cell r="F968">
            <v>40</v>
          </cell>
          <cell r="G968">
            <v>305</v>
          </cell>
          <cell r="J968" t="str">
            <v>ORDEN DE MALTA PANAMA ASOCIACION PANAMEÑA</v>
          </cell>
          <cell r="M968">
            <v>400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</row>
        <row r="969">
          <cell r="A969" t="str">
            <v>ORDEN DE MALTA PANAMA ASOCIACION PANAMEÑA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400</v>
          </cell>
          <cell r="J969" t="str">
            <v>ORDEN DE MALTA PANAMA ASOCIACION PANAMEÑA</v>
          </cell>
          <cell r="M969"/>
          <cell r="N969"/>
          <cell r="O969"/>
          <cell r="P969"/>
          <cell r="Q969">
            <v>496</v>
          </cell>
          <cell r="R969"/>
          <cell r="S969"/>
          <cell r="T969"/>
          <cell r="U969"/>
          <cell r="V969"/>
          <cell r="W969"/>
          <cell r="X969"/>
          <cell r="Y969"/>
        </row>
        <row r="970">
          <cell r="A970" t="str">
            <v>ORDEN DE MALTA PANAMA ASOCIACION PANAMEÑA</v>
          </cell>
          <cell r="C970">
            <v>73</v>
          </cell>
          <cell r="D970">
            <v>0</v>
          </cell>
          <cell r="E970">
            <v>0</v>
          </cell>
          <cell r="F970">
            <v>0</v>
          </cell>
          <cell r="G970">
            <v>496</v>
          </cell>
          <cell r="J970" t="str">
            <v>ORDEN DE MALTA PANAMA ASOCIACION PANAMEÑA</v>
          </cell>
          <cell r="M970"/>
          <cell r="N970"/>
          <cell r="O970"/>
          <cell r="P970"/>
          <cell r="Q970">
            <v>4560</v>
          </cell>
          <cell r="R970"/>
          <cell r="S970"/>
          <cell r="T970"/>
          <cell r="U970"/>
          <cell r="V970"/>
          <cell r="W970"/>
          <cell r="X970"/>
          <cell r="Y970"/>
        </row>
        <row r="971">
          <cell r="A971" t="str">
            <v>ORDEN DE MALTA PANAMA ASOCIACION PANAMEÑA</v>
          </cell>
          <cell r="C971">
            <v>0</v>
          </cell>
          <cell r="D971">
            <v>680</v>
          </cell>
          <cell r="E971">
            <v>450</v>
          </cell>
          <cell r="F971">
            <v>450</v>
          </cell>
          <cell r="G971">
            <v>4560</v>
          </cell>
          <cell r="J971" t="str">
            <v>ORDEN DE MALTA PANAMA ASOCIACION PANAMEÑA</v>
          </cell>
          <cell r="M971"/>
          <cell r="N971">
            <v>0</v>
          </cell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</row>
        <row r="972">
          <cell r="A972" t="str">
            <v>ORDEN DE MALTA PANAMA ASOCIACION PANAMEÑA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J972" t="str">
            <v>ORDEN DE MALTA PANAMA ASOCIACION PANAMEÑA</v>
          </cell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>
            <v>628</v>
          </cell>
          <cell r="X972"/>
          <cell r="Y972"/>
        </row>
        <row r="973">
          <cell r="A973" t="str">
            <v>ORDEN DE MALTA PANAMA ASOCIACION PANAMEÑA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628</v>
          </cell>
          <cell r="J973" t="str">
            <v>ORDEN DE MALTA PANAMA ASOCIACION PANAMEÑA</v>
          </cell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>
            <v>0</v>
          </cell>
          <cell r="X973"/>
          <cell r="Y973"/>
        </row>
        <row r="974">
          <cell r="A974" t="str">
            <v>ORDEN DE MALTA PANAMA ASOCIACION PANAMEÑA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J974" t="str">
            <v>ORDEN DE MALTA PANAMA ASOCIACION PANAMEÑA</v>
          </cell>
          <cell r="M974"/>
          <cell r="N974"/>
          <cell r="O974"/>
          <cell r="P974"/>
          <cell r="Q974"/>
          <cell r="R974"/>
          <cell r="S974"/>
          <cell r="T974"/>
          <cell r="U974">
            <v>251</v>
          </cell>
          <cell r="V974"/>
          <cell r="W974"/>
          <cell r="X974"/>
          <cell r="Y974"/>
        </row>
        <row r="975">
          <cell r="A975" t="str">
            <v>ORDEN DE MALTA PANAMA ASOCIACION PANAMEÑA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251</v>
          </cell>
          <cell r="J975" t="str">
            <v>ORDEN DE MALTA PANAMA ASOCIACION PANAMEÑA</v>
          </cell>
          <cell r="M975"/>
          <cell r="N975"/>
          <cell r="O975"/>
          <cell r="P975"/>
          <cell r="Q975"/>
          <cell r="R975"/>
          <cell r="S975"/>
          <cell r="T975"/>
          <cell r="U975"/>
          <cell r="V975">
            <v>0</v>
          </cell>
          <cell r="W975"/>
          <cell r="X975"/>
          <cell r="Y975"/>
        </row>
        <row r="976">
          <cell r="A976" t="str">
            <v>ORDEN DE MALTA PANAMA ASOCIACION PANAMEÑA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J976" t="str">
            <v>ORDEN DE MALTA PANAMA ASOCIACION PANAMEÑA</v>
          </cell>
          <cell r="M976"/>
          <cell r="N976"/>
          <cell r="O976"/>
          <cell r="P976"/>
          <cell r="Q976"/>
          <cell r="R976"/>
          <cell r="S976"/>
          <cell r="T976"/>
          <cell r="U976"/>
          <cell r="V976">
            <v>0</v>
          </cell>
          <cell r="W976"/>
          <cell r="X976"/>
          <cell r="Y976"/>
        </row>
        <row r="977">
          <cell r="A977" t="str">
            <v>ORDEN DE MALTA PANAMA ASOCIACION PANAMEÑA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J977" t="str">
            <v>ORDEN DE MALTA PANAMA ASOCIACION PANAMEÑA</v>
          </cell>
          <cell r="M977">
            <v>0</v>
          </cell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</row>
        <row r="978">
          <cell r="A978" t="str">
            <v>ORDEN DE MALTA PANAMA ASOCIACION PANAMEÑA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J978" t="str">
            <v>ORDEN DE MALTA PANAMA ASOCIACION PANAMEÑA</v>
          </cell>
          <cell r="M978">
            <v>200</v>
          </cell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</row>
        <row r="979">
          <cell r="A979" t="str">
            <v>ORDEN DE MALTA PANAMA ASOCIACION PANAMEÑA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200</v>
          </cell>
          <cell r="J979" t="str">
            <v>ORDEN DE MALTA PANAMA ASOCIACION PANAMEÑA</v>
          </cell>
          <cell r="M979"/>
          <cell r="N979"/>
          <cell r="O979"/>
          <cell r="P979"/>
          <cell r="Q979"/>
          <cell r="R979"/>
          <cell r="S979"/>
          <cell r="T979"/>
          <cell r="U979"/>
          <cell r="V979">
            <v>0</v>
          </cell>
          <cell r="W979"/>
          <cell r="X979"/>
          <cell r="Y979"/>
        </row>
        <row r="980">
          <cell r="A980" t="str">
            <v>ORDEN DE MALTA PANAMA ASOCIACION PANAMEÑA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J980" t="str">
            <v>ORDEN DE MALTA PANAMA ASOCIACION PANAMEÑA</v>
          </cell>
          <cell r="M980"/>
          <cell r="N980"/>
          <cell r="O980"/>
          <cell r="P980"/>
          <cell r="Q980"/>
          <cell r="R980"/>
          <cell r="S980"/>
          <cell r="T980"/>
          <cell r="U980">
            <v>696</v>
          </cell>
          <cell r="V980"/>
          <cell r="W980"/>
          <cell r="X980"/>
          <cell r="Y980"/>
        </row>
        <row r="981">
          <cell r="A981" t="str">
            <v>ORDEN DE MALTA PANAMA ASOCIACION PANAMEÑA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696</v>
          </cell>
          <cell r="J981" t="str">
            <v>ORDEN DE MALTA PANAMA ASOCIACION PANAMEÑA</v>
          </cell>
          <cell r="M981"/>
          <cell r="N981"/>
          <cell r="O981"/>
          <cell r="P981"/>
          <cell r="Q981"/>
          <cell r="R981"/>
          <cell r="S981"/>
          <cell r="T981">
            <v>0</v>
          </cell>
          <cell r="U981"/>
          <cell r="V981"/>
          <cell r="W981"/>
          <cell r="X981"/>
          <cell r="Y981"/>
        </row>
        <row r="982">
          <cell r="A982" t="str">
            <v>ORDEN DE MALTA PANAMA ASOCIACION PANAMEÑA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J982" t="str">
            <v>ORDEN DE MALTA PANAMA ASOCIACION PANAMEÑA</v>
          </cell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>
            <v>50</v>
          </cell>
        </row>
        <row r="983">
          <cell r="A983" t="str">
            <v>ORDEN DE MALTA PANAMA ASOCIACION PANAMEÑA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50</v>
          </cell>
          <cell r="J983" t="str">
            <v>ORDEN DE MALTA PANAMA ASOCIACION PANAMEÑA</v>
          </cell>
          <cell r="M983"/>
          <cell r="N983"/>
          <cell r="O983"/>
          <cell r="P983"/>
          <cell r="Q983"/>
          <cell r="R983"/>
          <cell r="S983"/>
          <cell r="T983"/>
          <cell r="U983"/>
          <cell r="V983">
            <v>430</v>
          </cell>
          <cell r="W983"/>
          <cell r="X983"/>
          <cell r="Y983"/>
        </row>
        <row r="984">
          <cell r="A984" t="str">
            <v>ORDEN DE MALTA PANAMA ASOCIACION PANAMEÑA</v>
          </cell>
          <cell r="C984">
            <v>160</v>
          </cell>
          <cell r="D984">
            <v>0</v>
          </cell>
          <cell r="E984">
            <v>0</v>
          </cell>
          <cell r="F984">
            <v>0</v>
          </cell>
          <cell r="G984">
            <v>430</v>
          </cell>
          <cell r="J984" t="str">
            <v>ORDEN DE MALTA PANAMA ASOCIACION PANAMEÑA</v>
          </cell>
          <cell r="M984"/>
          <cell r="N984"/>
          <cell r="O984"/>
          <cell r="P984"/>
          <cell r="Q984"/>
          <cell r="R984"/>
          <cell r="S984"/>
          <cell r="T984"/>
          <cell r="U984">
            <v>300</v>
          </cell>
          <cell r="V984"/>
          <cell r="W984"/>
          <cell r="X984"/>
          <cell r="Y984"/>
        </row>
        <row r="985">
          <cell r="A985" t="str">
            <v>ORDEN DE MALTA PANAMA ASOCIACION PANAMEÑA</v>
          </cell>
          <cell r="C985">
            <v>300</v>
          </cell>
          <cell r="D985">
            <v>0</v>
          </cell>
          <cell r="E985">
            <v>0</v>
          </cell>
          <cell r="F985">
            <v>0</v>
          </cell>
          <cell r="G985">
            <v>300</v>
          </cell>
          <cell r="J985" t="str">
            <v>ORDEN DE MALTA PANAMA ASOCIACION PANAMEÑA</v>
          </cell>
          <cell r="M985"/>
          <cell r="N985"/>
          <cell r="O985"/>
          <cell r="P985"/>
          <cell r="Q985"/>
          <cell r="R985"/>
          <cell r="S985"/>
          <cell r="T985">
            <v>240</v>
          </cell>
          <cell r="U985"/>
          <cell r="V985"/>
          <cell r="W985"/>
          <cell r="X985"/>
          <cell r="Y985"/>
        </row>
        <row r="986">
          <cell r="A986" t="str">
            <v>ORDEN DE MALTA PANAMA ASOCIACION PANAMEÑA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240</v>
          </cell>
          <cell r="J986" t="str">
            <v>ORDEN DE MALTA PANAMA ASOCIACION PANAMEÑA</v>
          </cell>
          <cell r="M986"/>
          <cell r="N986"/>
          <cell r="O986"/>
          <cell r="P986"/>
          <cell r="Q986"/>
          <cell r="R986"/>
          <cell r="S986"/>
          <cell r="T986"/>
          <cell r="U986">
            <v>80</v>
          </cell>
          <cell r="V986"/>
          <cell r="W986"/>
          <cell r="X986"/>
          <cell r="Y986"/>
        </row>
        <row r="987">
          <cell r="A987" t="str">
            <v>ORDEN DE MALTA PANAMA ASOCIACION PANAMEÑA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80</v>
          </cell>
          <cell r="J987" t="str">
            <v>Grupo Calesa</v>
          </cell>
          <cell r="M987"/>
          <cell r="N987"/>
          <cell r="O987">
            <v>30</v>
          </cell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</row>
        <row r="988">
          <cell r="A988" t="str">
            <v>Grupo Calesa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30</v>
          </cell>
          <cell r="J988" t="str">
            <v>Grupo Calesa</v>
          </cell>
          <cell r="M988"/>
          <cell r="N988"/>
          <cell r="O988"/>
          <cell r="P988"/>
          <cell r="Q988">
            <v>1060</v>
          </cell>
          <cell r="R988"/>
          <cell r="S988"/>
          <cell r="T988"/>
          <cell r="U988"/>
          <cell r="V988"/>
          <cell r="W988"/>
          <cell r="X988"/>
          <cell r="Y988"/>
        </row>
        <row r="989">
          <cell r="A989" t="str">
            <v>Grupo Calesa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1060</v>
          </cell>
          <cell r="J989" t="str">
            <v>Grupo Calesa</v>
          </cell>
          <cell r="M989"/>
          <cell r="N989">
            <v>250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</row>
        <row r="990">
          <cell r="A990" t="str">
            <v>Grupo Calesa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250</v>
          </cell>
          <cell r="J990" t="str">
            <v>Grupo Calesa</v>
          </cell>
          <cell r="M990"/>
          <cell r="N990">
            <v>282</v>
          </cell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</row>
        <row r="991">
          <cell r="A991" t="str">
            <v>Grupo Calesa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282</v>
          </cell>
          <cell r="J991" t="str">
            <v>Grupo Calesa</v>
          </cell>
          <cell r="M991"/>
          <cell r="N991">
            <v>467</v>
          </cell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</row>
        <row r="992">
          <cell r="A992" t="str">
            <v>Grupo Calesa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467</v>
          </cell>
          <cell r="J992" t="str">
            <v>Grupo Calesa</v>
          </cell>
          <cell r="M992"/>
          <cell r="N992">
            <v>70</v>
          </cell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</row>
        <row r="993">
          <cell r="A993" t="str">
            <v>Grupo Calesa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70</v>
          </cell>
          <cell r="J993" t="str">
            <v>Grupo Calesa</v>
          </cell>
          <cell r="M993">
            <v>215</v>
          </cell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</row>
        <row r="994">
          <cell r="A994" t="str">
            <v>Grupo Calesa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215</v>
          </cell>
          <cell r="J994" t="str">
            <v>Grupo Calesa</v>
          </cell>
          <cell r="M994"/>
          <cell r="N994"/>
          <cell r="O994"/>
          <cell r="P994"/>
          <cell r="Q994">
            <v>57</v>
          </cell>
          <cell r="R994"/>
          <cell r="S994"/>
          <cell r="T994"/>
          <cell r="U994"/>
          <cell r="V994"/>
          <cell r="W994"/>
          <cell r="X994"/>
          <cell r="Y994"/>
        </row>
        <row r="995">
          <cell r="A995" t="str">
            <v>Grupo Calesa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57</v>
          </cell>
          <cell r="J995" t="str">
            <v>Grupo Calesa</v>
          </cell>
          <cell r="M995"/>
          <cell r="N995"/>
          <cell r="O995">
            <v>60</v>
          </cell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</row>
        <row r="996">
          <cell r="A996" t="str">
            <v>Grupo Calesa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60</v>
          </cell>
          <cell r="J996" t="str">
            <v>Grupo Calesa</v>
          </cell>
          <cell r="M996"/>
          <cell r="N996">
            <v>50</v>
          </cell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</row>
        <row r="997">
          <cell r="A997" t="str">
            <v>Grupo Calesa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50</v>
          </cell>
          <cell r="J997" t="str">
            <v>Grupo Calesa</v>
          </cell>
          <cell r="M997"/>
          <cell r="N997">
            <v>162</v>
          </cell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</row>
        <row r="998">
          <cell r="A998" t="str">
            <v>Grupo Calesa</v>
          </cell>
          <cell r="C998">
            <v>162</v>
          </cell>
          <cell r="D998">
            <v>0</v>
          </cell>
          <cell r="E998">
            <v>0</v>
          </cell>
          <cell r="F998">
            <v>0</v>
          </cell>
          <cell r="G998">
            <v>162</v>
          </cell>
          <cell r="J998" t="str">
            <v>Grupo Calesa</v>
          </cell>
          <cell r="M998"/>
          <cell r="N998"/>
          <cell r="O998"/>
          <cell r="P998"/>
          <cell r="Q998"/>
          <cell r="R998">
            <v>181</v>
          </cell>
          <cell r="S998"/>
          <cell r="T998"/>
          <cell r="U998"/>
          <cell r="V998"/>
          <cell r="W998"/>
          <cell r="X998"/>
          <cell r="Y998"/>
        </row>
        <row r="999">
          <cell r="A999" t="str">
            <v>Grupo Calesa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181</v>
          </cell>
          <cell r="J999" t="str">
            <v>Grupo Calesa</v>
          </cell>
          <cell r="M999"/>
          <cell r="N999">
            <v>201</v>
          </cell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</row>
        <row r="1000">
          <cell r="A1000" t="str">
            <v>Grupo Calesa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201</v>
          </cell>
          <cell r="J1000" t="str">
            <v>Grupo Calesa</v>
          </cell>
          <cell r="M1000"/>
          <cell r="N1000">
            <v>20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</row>
        <row r="1001">
          <cell r="A1001" t="str">
            <v>Grupo Calesa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20</v>
          </cell>
          <cell r="J1001" t="str">
            <v>Grupo Calesa</v>
          </cell>
          <cell r="M1001"/>
          <cell r="N1001">
            <v>251</v>
          </cell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</row>
        <row r="1002">
          <cell r="A1002" t="str">
            <v>Grupo Calesa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251</v>
          </cell>
          <cell r="J1002" t="str">
            <v>Grupo Calesa</v>
          </cell>
          <cell r="M1002"/>
          <cell r="N1002"/>
          <cell r="O1002">
            <v>219</v>
          </cell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</row>
        <row r="1003">
          <cell r="A1003" t="str">
            <v>Grupo Calesa</v>
          </cell>
          <cell r="C1003">
            <v>0</v>
          </cell>
          <cell r="D1003">
            <v>16</v>
          </cell>
          <cell r="E1003">
            <v>19</v>
          </cell>
          <cell r="F1003">
            <v>19</v>
          </cell>
          <cell r="G1003">
            <v>219</v>
          </cell>
          <cell r="J1003" t="str">
            <v>Grupo Calesa</v>
          </cell>
          <cell r="M1003">
            <v>265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</row>
        <row r="1004">
          <cell r="A1004" t="str">
            <v>Grupo Calesa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265</v>
          </cell>
          <cell r="J1004" t="str">
            <v>Grupo Calesa</v>
          </cell>
          <cell r="M1004"/>
          <cell r="N1004"/>
          <cell r="O1004"/>
          <cell r="P1004"/>
          <cell r="Q1004"/>
          <cell r="R1004"/>
          <cell r="S1004">
            <v>152</v>
          </cell>
          <cell r="T1004"/>
          <cell r="U1004"/>
          <cell r="V1004"/>
          <cell r="W1004"/>
          <cell r="X1004"/>
          <cell r="Y1004"/>
        </row>
        <row r="1005">
          <cell r="A1005" t="str">
            <v>Grupo Calesa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152</v>
          </cell>
          <cell r="J1005" t="str">
            <v>Grupo Calesa</v>
          </cell>
          <cell r="M1005">
            <v>400</v>
          </cell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</row>
        <row r="1006">
          <cell r="A1006" t="str">
            <v>Grupo Calesa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400</v>
          </cell>
          <cell r="J1006" t="str">
            <v>Grupo Calesa</v>
          </cell>
          <cell r="M1006">
            <v>100</v>
          </cell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</row>
        <row r="1007">
          <cell r="A1007" t="str">
            <v>Grupo Calesa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100</v>
          </cell>
          <cell r="J1007" t="str">
            <v>Grupo Calesa</v>
          </cell>
          <cell r="M1007"/>
          <cell r="N1007">
            <v>230</v>
          </cell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</row>
        <row r="1008">
          <cell r="A1008" t="str">
            <v>Grupo Calesa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230</v>
          </cell>
          <cell r="J1008" t="str">
            <v>Grupo Calesa</v>
          </cell>
          <cell r="M1008">
            <v>352</v>
          </cell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</row>
        <row r="1009">
          <cell r="A1009" t="str">
            <v>Grupo Calesa</v>
          </cell>
          <cell r="C1009">
            <v>225</v>
          </cell>
          <cell r="D1009">
            <v>0</v>
          </cell>
          <cell r="E1009">
            <v>0</v>
          </cell>
          <cell r="F1009">
            <v>0</v>
          </cell>
          <cell r="G1009">
            <v>352</v>
          </cell>
          <cell r="J1009" t="str">
            <v>Grupo Calesa</v>
          </cell>
          <cell r="M1009"/>
          <cell r="N1009">
            <v>97</v>
          </cell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</row>
        <row r="1010">
          <cell r="A1010" t="str">
            <v>Grupo Calesa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97</v>
          </cell>
          <cell r="J1010" t="str">
            <v>Grupo Calesa</v>
          </cell>
          <cell r="M1010">
            <v>77</v>
          </cell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</row>
        <row r="1011">
          <cell r="A1011" t="str">
            <v>Grupo Calesa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77</v>
          </cell>
          <cell r="J1011" t="str">
            <v>Grupo Calesa</v>
          </cell>
          <cell r="M1011">
            <v>0</v>
          </cell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</row>
        <row r="1012">
          <cell r="A1012" t="str">
            <v>Grupo Calesa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J1012" t="str">
            <v>Grupo Calesa</v>
          </cell>
          <cell r="M1012"/>
          <cell r="N1012">
            <v>0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</row>
        <row r="1013">
          <cell r="A1013" t="str">
            <v>Grupo Calesa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J1013" t="str">
            <v>Grupo Calesa</v>
          </cell>
          <cell r="M1013">
            <v>1300</v>
          </cell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</row>
        <row r="1014">
          <cell r="A1014" t="str">
            <v>Grupo Calesa</v>
          </cell>
          <cell r="C1014">
            <v>100</v>
          </cell>
          <cell r="D1014">
            <v>0</v>
          </cell>
          <cell r="E1014">
            <v>0</v>
          </cell>
          <cell r="F1014">
            <v>0</v>
          </cell>
          <cell r="G1014">
            <v>1300</v>
          </cell>
          <cell r="J1014" t="str">
            <v>Grupo Calesa</v>
          </cell>
          <cell r="M1014">
            <v>630</v>
          </cell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</row>
        <row r="1015">
          <cell r="A1015" t="str">
            <v>Grupo Calesa</v>
          </cell>
          <cell r="C1015">
            <v>0</v>
          </cell>
          <cell r="D1015">
            <v>120</v>
          </cell>
          <cell r="E1015">
            <v>180</v>
          </cell>
          <cell r="F1015">
            <v>60</v>
          </cell>
          <cell r="G1015">
            <v>630</v>
          </cell>
          <cell r="J1015" t="str">
            <v>NESTLE PANAMA</v>
          </cell>
          <cell r="M1015">
            <v>325</v>
          </cell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</row>
        <row r="1016">
          <cell r="A1016" t="str">
            <v>NESTLE PANAMA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325</v>
          </cell>
          <cell r="J1016" t="str">
            <v>NESTLE PANAMA</v>
          </cell>
          <cell r="M1016"/>
          <cell r="N1016">
            <v>212</v>
          </cell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</row>
        <row r="1017">
          <cell r="A1017" t="str">
            <v>NESTLE PANAMA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212</v>
          </cell>
          <cell r="J1017" t="str">
            <v>NESTLE PANAMA</v>
          </cell>
          <cell r="M1017"/>
          <cell r="N1017"/>
          <cell r="O1017">
            <v>30</v>
          </cell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</row>
        <row r="1018">
          <cell r="A1018" t="str">
            <v>NESTLE PANAMA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30</v>
          </cell>
          <cell r="J1018" t="str">
            <v>NESTLE PANAMA</v>
          </cell>
          <cell r="M1018"/>
          <cell r="N1018"/>
          <cell r="O1018"/>
          <cell r="P1018">
            <v>102</v>
          </cell>
          <cell r="Q1018"/>
          <cell r="R1018"/>
          <cell r="S1018"/>
          <cell r="T1018"/>
          <cell r="U1018"/>
          <cell r="V1018"/>
          <cell r="W1018"/>
          <cell r="X1018"/>
          <cell r="Y1018"/>
        </row>
        <row r="1019">
          <cell r="A1019" t="str">
            <v>NESTLE PANAMA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102</v>
          </cell>
          <cell r="J1019" t="str">
            <v>NESTLE PANAMA</v>
          </cell>
          <cell r="M1019"/>
          <cell r="N1019">
            <v>100</v>
          </cell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</row>
        <row r="1020">
          <cell r="A1020" t="str">
            <v>NESTLE PANAMA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100</v>
          </cell>
          <cell r="J1020" t="str">
            <v>NESTLE PANAMA</v>
          </cell>
          <cell r="M1020"/>
          <cell r="N1020"/>
          <cell r="O1020">
            <v>180</v>
          </cell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</row>
        <row r="1021">
          <cell r="A1021" t="str">
            <v>NESTLE PANAMA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180</v>
          </cell>
          <cell r="J1021" t="str">
            <v>NESTLE PANAMA</v>
          </cell>
          <cell r="M1021"/>
          <cell r="N1021">
            <v>70</v>
          </cell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</row>
        <row r="1022">
          <cell r="A1022" t="str">
            <v>NESTLE PANAMA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70</v>
          </cell>
          <cell r="J1022" t="str">
            <v>NESTLE PANAMA</v>
          </cell>
          <cell r="M1022"/>
          <cell r="N1022"/>
          <cell r="O1022"/>
          <cell r="P1022"/>
          <cell r="Q1022">
            <v>1060</v>
          </cell>
          <cell r="R1022"/>
          <cell r="S1022"/>
          <cell r="T1022"/>
          <cell r="U1022"/>
          <cell r="V1022"/>
          <cell r="W1022"/>
          <cell r="X1022"/>
          <cell r="Y1022"/>
        </row>
        <row r="1023">
          <cell r="A1023" t="str">
            <v>NESTLE PANAMA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1060</v>
          </cell>
          <cell r="J1023" t="str">
            <v>NESTLE PANAMA</v>
          </cell>
          <cell r="M1023"/>
          <cell r="N1023">
            <v>100</v>
          </cell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</row>
        <row r="1024">
          <cell r="A1024" t="str">
            <v>NESTLE PANAMA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100</v>
          </cell>
          <cell r="J1024" t="str">
            <v>NESTLE PANAMA</v>
          </cell>
          <cell r="M1024"/>
          <cell r="N1024"/>
          <cell r="O1024"/>
          <cell r="P1024"/>
          <cell r="Q1024"/>
          <cell r="R1024">
            <v>180</v>
          </cell>
          <cell r="S1024"/>
          <cell r="T1024"/>
          <cell r="U1024"/>
          <cell r="V1024"/>
          <cell r="W1024"/>
          <cell r="X1024"/>
          <cell r="Y1024"/>
        </row>
        <row r="1025">
          <cell r="A1025" t="str">
            <v>NESTLE PANAMA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180</v>
          </cell>
          <cell r="J1025" t="str">
            <v>NESTLE PANAMA</v>
          </cell>
          <cell r="M1025"/>
          <cell r="N1025"/>
          <cell r="O1025"/>
          <cell r="P1025"/>
          <cell r="Q1025"/>
          <cell r="R1025">
            <v>40</v>
          </cell>
          <cell r="S1025"/>
          <cell r="T1025"/>
          <cell r="U1025"/>
          <cell r="V1025"/>
          <cell r="W1025"/>
          <cell r="X1025"/>
          <cell r="Y1025"/>
        </row>
        <row r="1026">
          <cell r="A1026" t="str">
            <v>NESTLE PANAMA</v>
          </cell>
          <cell r="C1026">
            <v>40</v>
          </cell>
          <cell r="D1026">
            <v>0</v>
          </cell>
          <cell r="E1026">
            <v>0</v>
          </cell>
          <cell r="F1026">
            <v>0</v>
          </cell>
          <cell r="G1026">
            <v>40</v>
          </cell>
          <cell r="J1026" t="str">
            <v>NESTLE PANAMA</v>
          </cell>
          <cell r="M1026"/>
          <cell r="N1026"/>
          <cell r="O1026"/>
          <cell r="P1026"/>
          <cell r="Q1026"/>
          <cell r="R1026"/>
          <cell r="S1026">
            <v>73</v>
          </cell>
          <cell r="T1026"/>
          <cell r="U1026"/>
          <cell r="V1026"/>
          <cell r="W1026"/>
          <cell r="X1026"/>
          <cell r="Y1026"/>
        </row>
        <row r="1027">
          <cell r="A1027" t="str">
            <v>NESTLE PANAMA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73</v>
          </cell>
          <cell r="J1027" t="str">
            <v>NESTLE PANAMA</v>
          </cell>
          <cell r="M1027"/>
          <cell r="N1027"/>
          <cell r="O1027">
            <v>65</v>
          </cell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</row>
        <row r="1028">
          <cell r="A1028" t="str">
            <v>NESTLE PANAMA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65</v>
          </cell>
          <cell r="J1028" t="str">
            <v>NESTLE PANAMA</v>
          </cell>
          <cell r="M1028"/>
          <cell r="N1028">
            <v>70</v>
          </cell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</row>
        <row r="1029">
          <cell r="A1029" t="str">
            <v>NESTLE PANAMA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70</v>
          </cell>
          <cell r="J1029" t="str">
            <v>NESTLE PANAMA</v>
          </cell>
          <cell r="M1029"/>
          <cell r="N1029"/>
          <cell r="O1029">
            <v>1090</v>
          </cell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</row>
        <row r="1030">
          <cell r="A1030" t="str">
            <v>NESTLE PANAMA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1090</v>
          </cell>
          <cell r="J1030" t="str">
            <v>NESTLE PANAMA</v>
          </cell>
          <cell r="M1030">
            <v>0</v>
          </cell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</row>
        <row r="1031">
          <cell r="A1031" t="str">
            <v>NESTLE PANAMA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J1031" t="str">
            <v>NESTLE PANAMA</v>
          </cell>
          <cell r="M1031"/>
          <cell r="N1031">
            <v>282</v>
          </cell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</row>
        <row r="1032">
          <cell r="A1032" t="str">
            <v>NESTLE PANAMA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282</v>
          </cell>
          <cell r="J1032" t="str">
            <v>NESTLE PANAMA</v>
          </cell>
          <cell r="M1032"/>
          <cell r="N1032">
            <v>467</v>
          </cell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</row>
        <row r="1033">
          <cell r="A1033" t="str">
            <v>NESTLE PANAMA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467</v>
          </cell>
          <cell r="J1033" t="str">
            <v>NESTLE PANAMA</v>
          </cell>
          <cell r="M1033"/>
          <cell r="N1033"/>
          <cell r="O1033"/>
          <cell r="P1033"/>
          <cell r="Q1033"/>
          <cell r="R1033"/>
          <cell r="S1033"/>
          <cell r="T1033">
            <v>82</v>
          </cell>
          <cell r="U1033"/>
          <cell r="V1033"/>
          <cell r="W1033"/>
          <cell r="X1033"/>
          <cell r="Y1033"/>
        </row>
        <row r="1034">
          <cell r="A1034" t="str">
            <v>NESTLE PANAMA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82</v>
          </cell>
          <cell r="J1034" t="str">
            <v>NESTLE PANAMA</v>
          </cell>
          <cell r="M1034"/>
          <cell r="N1034">
            <v>38</v>
          </cell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</row>
        <row r="1035">
          <cell r="A1035" t="str">
            <v>NESTLE PANAMA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38</v>
          </cell>
          <cell r="J1035" t="str">
            <v>NESTLE PANAMA</v>
          </cell>
          <cell r="M1035"/>
          <cell r="N1035">
            <v>70</v>
          </cell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</row>
        <row r="1036">
          <cell r="A1036" t="str">
            <v>NESTLE PANAMA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70</v>
          </cell>
          <cell r="J1036" t="str">
            <v>NESTLE PANAMA</v>
          </cell>
          <cell r="M1036"/>
          <cell r="N1036">
            <v>130</v>
          </cell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</row>
        <row r="1037">
          <cell r="A1037" t="str">
            <v>NESTLE PANAMA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130</v>
          </cell>
          <cell r="J1037" t="str">
            <v>NESTLE PANAMA</v>
          </cell>
          <cell r="M1037"/>
          <cell r="N1037">
            <v>62</v>
          </cell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</row>
        <row r="1038">
          <cell r="A1038" t="str">
            <v>NESTLE PANAMA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62</v>
          </cell>
          <cell r="J1038" t="str">
            <v>NESTLE PANAMA</v>
          </cell>
          <cell r="M1038"/>
          <cell r="N1038"/>
          <cell r="O1038">
            <v>116</v>
          </cell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</row>
        <row r="1039">
          <cell r="A1039" t="str">
            <v>NESTLE PANAMA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116</v>
          </cell>
          <cell r="J1039" t="str">
            <v>NESTLE PANAMA</v>
          </cell>
          <cell r="M1039"/>
          <cell r="N1039">
            <v>542</v>
          </cell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</row>
        <row r="1040">
          <cell r="A1040" t="str">
            <v>NESTLE PANAMA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542</v>
          </cell>
          <cell r="J1040" t="str">
            <v>NESTLE PANAMA</v>
          </cell>
          <cell r="M1040"/>
          <cell r="N1040"/>
          <cell r="O1040"/>
          <cell r="P1040"/>
          <cell r="Q1040"/>
          <cell r="R1040"/>
          <cell r="S1040">
            <v>211</v>
          </cell>
          <cell r="T1040"/>
          <cell r="U1040"/>
          <cell r="V1040"/>
          <cell r="W1040"/>
          <cell r="X1040"/>
          <cell r="Y1040"/>
        </row>
        <row r="1041">
          <cell r="A1041" t="str">
            <v>NESTLE PANAMA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211</v>
          </cell>
          <cell r="J1041" t="str">
            <v>NESTLE PANAMA</v>
          </cell>
          <cell r="M1041"/>
          <cell r="N1041"/>
          <cell r="O1041">
            <v>138</v>
          </cell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</row>
        <row r="1042">
          <cell r="A1042" t="str">
            <v>NESTLE PANAMA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138</v>
          </cell>
          <cell r="J1042" t="str">
            <v>NESTLE PANAMA</v>
          </cell>
          <cell r="M1042"/>
          <cell r="N1042">
            <v>147</v>
          </cell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</row>
        <row r="1043">
          <cell r="A1043" t="str">
            <v>NESTLE PANAMA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147</v>
          </cell>
          <cell r="J1043" t="str">
            <v>NESTLE PANAMA</v>
          </cell>
          <cell r="M1043"/>
          <cell r="N1043"/>
          <cell r="O1043"/>
          <cell r="P1043"/>
          <cell r="Q1043"/>
          <cell r="R1043"/>
          <cell r="S1043">
            <v>52</v>
          </cell>
          <cell r="T1043"/>
          <cell r="U1043"/>
          <cell r="V1043"/>
          <cell r="W1043"/>
          <cell r="X1043"/>
          <cell r="Y1043"/>
        </row>
        <row r="1044">
          <cell r="A1044" t="str">
            <v>NESTLE PANAMA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52</v>
          </cell>
          <cell r="J1044" t="str">
            <v>NESTLE PANAMA</v>
          </cell>
          <cell r="M1044"/>
          <cell r="N1044">
            <v>62</v>
          </cell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</row>
        <row r="1045">
          <cell r="A1045" t="str">
            <v>NESTLE PANAMA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62</v>
          </cell>
          <cell r="J1045" t="str">
            <v>NESTLE PANAMA</v>
          </cell>
          <cell r="M1045">
            <v>215</v>
          </cell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</row>
        <row r="1046">
          <cell r="A1046" t="str">
            <v>NESTLE PANAMA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215</v>
          </cell>
          <cell r="J1046" t="str">
            <v>NESTLE PANAMA</v>
          </cell>
          <cell r="M1046"/>
          <cell r="N1046"/>
          <cell r="O1046"/>
          <cell r="P1046"/>
          <cell r="Q1046"/>
          <cell r="R1046"/>
          <cell r="S1046"/>
          <cell r="T1046">
            <v>84</v>
          </cell>
          <cell r="U1046"/>
          <cell r="V1046"/>
          <cell r="W1046"/>
          <cell r="X1046"/>
          <cell r="Y1046"/>
        </row>
        <row r="1047">
          <cell r="A1047" t="str">
            <v>NESTLE PANAMA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84</v>
          </cell>
          <cell r="J1047" t="str">
            <v>NESTLE PANAMA</v>
          </cell>
          <cell r="M1047"/>
          <cell r="N1047">
            <v>105</v>
          </cell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</row>
        <row r="1048">
          <cell r="A1048" t="str">
            <v>NESTLE PANAMA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105</v>
          </cell>
          <cell r="J1048" t="str">
            <v>NESTLE PANAMA</v>
          </cell>
          <cell r="M1048">
            <v>100</v>
          </cell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</row>
        <row r="1049">
          <cell r="A1049" t="str">
            <v>NESTLE PANAMA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100</v>
          </cell>
          <cell r="J1049" t="str">
            <v>NESTLE PANAMA</v>
          </cell>
          <cell r="M1049"/>
          <cell r="N1049">
            <v>264</v>
          </cell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</row>
        <row r="1050">
          <cell r="A1050" t="str">
            <v>NESTLE PANAMA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264</v>
          </cell>
          <cell r="J1050" t="str">
            <v>NESTLE PANAMA</v>
          </cell>
          <cell r="M1050"/>
          <cell r="N1050"/>
          <cell r="O1050"/>
          <cell r="P1050"/>
          <cell r="Q1050">
            <v>57</v>
          </cell>
          <cell r="R1050"/>
          <cell r="S1050"/>
          <cell r="T1050"/>
          <cell r="U1050"/>
          <cell r="V1050"/>
          <cell r="W1050"/>
          <cell r="X1050"/>
          <cell r="Y1050"/>
        </row>
        <row r="1051">
          <cell r="A1051" t="str">
            <v>NESTLE PANAMA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57</v>
          </cell>
          <cell r="J1051" t="str">
            <v>NESTLE PANAMA</v>
          </cell>
          <cell r="M1051"/>
          <cell r="N1051"/>
          <cell r="O1051">
            <v>60</v>
          </cell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</row>
        <row r="1052">
          <cell r="A1052" t="str">
            <v>NESTLE PANAMA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60</v>
          </cell>
          <cell r="J1052" t="str">
            <v>NESTLE PANAMA</v>
          </cell>
          <cell r="M1052"/>
          <cell r="N1052"/>
          <cell r="O1052"/>
          <cell r="P1052"/>
          <cell r="Q1052"/>
          <cell r="R1052"/>
          <cell r="S1052"/>
          <cell r="T1052">
            <v>115</v>
          </cell>
          <cell r="U1052"/>
          <cell r="V1052"/>
          <cell r="W1052"/>
          <cell r="X1052"/>
          <cell r="Y1052"/>
        </row>
        <row r="1053">
          <cell r="A1053" t="str">
            <v>NESTLE PANAMA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115</v>
          </cell>
          <cell r="J1053" t="str">
            <v>NESTLE PANAMA</v>
          </cell>
          <cell r="M1053"/>
          <cell r="N1053"/>
          <cell r="O1053"/>
          <cell r="P1053"/>
          <cell r="Q1053"/>
          <cell r="R1053"/>
          <cell r="S1053">
            <v>179</v>
          </cell>
          <cell r="T1053"/>
          <cell r="U1053"/>
          <cell r="V1053"/>
          <cell r="W1053"/>
          <cell r="X1053"/>
          <cell r="Y1053"/>
        </row>
        <row r="1054">
          <cell r="A1054" t="str">
            <v>NESTLE PANAMA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179</v>
          </cell>
          <cell r="J1054" t="str">
            <v>NESTLE PANAMA</v>
          </cell>
          <cell r="M1054"/>
          <cell r="N1054">
            <v>50</v>
          </cell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</row>
        <row r="1055">
          <cell r="A1055" t="str">
            <v>NESTLE PANAMA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50</v>
          </cell>
          <cell r="J1055" t="str">
            <v>NESTLE PANAMA</v>
          </cell>
          <cell r="M1055"/>
          <cell r="N1055">
            <v>162</v>
          </cell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</row>
        <row r="1056">
          <cell r="A1056" t="str">
            <v>NESTLE PANAMA</v>
          </cell>
          <cell r="C1056">
            <v>162</v>
          </cell>
          <cell r="D1056">
            <v>0</v>
          </cell>
          <cell r="E1056">
            <v>0</v>
          </cell>
          <cell r="F1056">
            <v>0</v>
          </cell>
          <cell r="G1056">
            <v>162</v>
          </cell>
          <cell r="J1056" t="str">
            <v>NESTLE PANAMA</v>
          </cell>
          <cell r="M1056"/>
          <cell r="N1056">
            <v>86</v>
          </cell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</row>
        <row r="1057">
          <cell r="A1057" t="str">
            <v>NESTLE PANAMA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86</v>
          </cell>
          <cell r="J1057" t="str">
            <v>NESTLE PANAMA</v>
          </cell>
          <cell r="M1057">
            <v>201</v>
          </cell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</row>
        <row r="1058">
          <cell r="A1058" t="str">
            <v>NESTLE PANAMA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201</v>
          </cell>
          <cell r="J1058" t="str">
            <v>NESTLE PANAMA</v>
          </cell>
          <cell r="M1058"/>
          <cell r="N1058"/>
          <cell r="O1058"/>
          <cell r="P1058"/>
          <cell r="Q1058"/>
          <cell r="R1058"/>
          <cell r="S1058"/>
          <cell r="T1058">
            <v>73</v>
          </cell>
          <cell r="U1058"/>
          <cell r="V1058"/>
          <cell r="W1058"/>
          <cell r="X1058"/>
          <cell r="Y1058"/>
        </row>
        <row r="1059">
          <cell r="A1059" t="str">
            <v>NESTLE PANAMA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73</v>
          </cell>
          <cell r="J1059" t="str">
            <v>NESTLE PANAMA</v>
          </cell>
          <cell r="M1059"/>
          <cell r="N1059"/>
          <cell r="O1059"/>
          <cell r="P1059"/>
          <cell r="Q1059"/>
          <cell r="R1059">
            <v>181</v>
          </cell>
          <cell r="S1059"/>
          <cell r="T1059"/>
          <cell r="U1059"/>
          <cell r="V1059"/>
          <cell r="W1059"/>
          <cell r="X1059"/>
          <cell r="Y1059"/>
        </row>
        <row r="1060">
          <cell r="A1060" t="str">
            <v>NESTLE PANAMA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181</v>
          </cell>
          <cell r="J1060" t="str">
            <v>NESTLE PANAMA</v>
          </cell>
          <cell r="M1060"/>
          <cell r="N1060"/>
          <cell r="O1060"/>
          <cell r="P1060"/>
          <cell r="Q1060"/>
          <cell r="R1060"/>
          <cell r="S1060"/>
          <cell r="T1060">
            <v>635</v>
          </cell>
          <cell r="U1060"/>
          <cell r="V1060"/>
          <cell r="W1060"/>
          <cell r="X1060"/>
          <cell r="Y1060"/>
        </row>
        <row r="1061">
          <cell r="A1061" t="str">
            <v>NESTLE PANAMA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635</v>
          </cell>
          <cell r="J1061" t="str">
            <v>NESTLE PANAMA</v>
          </cell>
          <cell r="M1061"/>
          <cell r="N1061">
            <v>201</v>
          </cell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</row>
        <row r="1062">
          <cell r="A1062" t="str">
            <v>NESTLE PANAMA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201</v>
          </cell>
          <cell r="J1062" t="str">
            <v>NESTLE PANAMA</v>
          </cell>
          <cell r="M1062"/>
          <cell r="N1062">
            <v>0</v>
          </cell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</row>
        <row r="1063">
          <cell r="A1063" t="str">
            <v>NESTLE PANAMA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J1063" t="str">
            <v>NESTLE PANAMA</v>
          </cell>
          <cell r="M1063">
            <v>150</v>
          </cell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</row>
        <row r="1064">
          <cell r="A1064" t="str">
            <v>NESTLE PANAMA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150</v>
          </cell>
          <cell r="J1064" t="str">
            <v>NESTLE PANAMA</v>
          </cell>
          <cell r="M1064"/>
          <cell r="N1064"/>
          <cell r="O1064">
            <v>1200</v>
          </cell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</row>
        <row r="1065">
          <cell r="A1065" t="str">
            <v>NESTLE PANAMA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1200</v>
          </cell>
          <cell r="J1065" t="str">
            <v>NESTLE PANAMA</v>
          </cell>
          <cell r="M1065"/>
          <cell r="N1065">
            <v>20</v>
          </cell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</row>
        <row r="1066">
          <cell r="A1066" t="str">
            <v>NESTLE PANAMA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20</v>
          </cell>
          <cell r="J1066" t="str">
            <v>NESTLE PANAMA</v>
          </cell>
          <cell r="M1066"/>
          <cell r="N1066"/>
          <cell r="O1066"/>
          <cell r="P1066"/>
          <cell r="Q1066"/>
          <cell r="R1066"/>
          <cell r="S1066">
            <v>110</v>
          </cell>
          <cell r="T1066"/>
          <cell r="U1066"/>
          <cell r="V1066"/>
          <cell r="W1066"/>
          <cell r="X1066"/>
          <cell r="Y1066"/>
        </row>
        <row r="1067">
          <cell r="A1067" t="str">
            <v>NESTLE PANAMA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110</v>
          </cell>
          <cell r="J1067" t="str">
            <v>NESTLE PANAMA</v>
          </cell>
          <cell r="M1067">
            <v>390</v>
          </cell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</row>
        <row r="1068">
          <cell r="A1068" t="str">
            <v>NESTLE PANAMA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390</v>
          </cell>
          <cell r="J1068" t="str">
            <v>NESTLE PANAMA</v>
          </cell>
          <cell r="M1068"/>
          <cell r="N1068">
            <v>250</v>
          </cell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</row>
        <row r="1069">
          <cell r="A1069" t="str">
            <v>NESTLE PANAMA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250</v>
          </cell>
          <cell r="J1069" t="str">
            <v>NESTLE PANAMA</v>
          </cell>
          <cell r="M1069"/>
          <cell r="N1069">
            <v>120</v>
          </cell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</row>
        <row r="1070">
          <cell r="A1070" t="str">
            <v>NESTLE PANAMA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120</v>
          </cell>
          <cell r="J1070" t="str">
            <v>NESTLE PANAMA</v>
          </cell>
          <cell r="M1070"/>
          <cell r="N1070">
            <v>356</v>
          </cell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</row>
        <row r="1071">
          <cell r="A1071" t="str">
            <v>NESTLE PANAMA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356</v>
          </cell>
          <cell r="J1071" t="str">
            <v>NESTLE PANAMA</v>
          </cell>
          <cell r="M1071"/>
          <cell r="N1071">
            <v>90</v>
          </cell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</row>
        <row r="1072">
          <cell r="A1072" t="str">
            <v>NESTLE PANAMA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90</v>
          </cell>
          <cell r="J1072" t="str">
            <v>NESTLE PANAMA</v>
          </cell>
          <cell r="M1072"/>
          <cell r="N1072">
            <v>22</v>
          </cell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</row>
        <row r="1073">
          <cell r="A1073" t="str">
            <v>NESTLE PANAMA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22</v>
          </cell>
          <cell r="J1073" t="str">
            <v>NESTLE PANAMA</v>
          </cell>
          <cell r="M1073"/>
          <cell r="N1073">
            <v>230</v>
          </cell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</row>
        <row r="1074">
          <cell r="A1074" t="str">
            <v>NESTLE PANAMA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230</v>
          </cell>
          <cell r="J1074" t="str">
            <v>NESTLE PANAMA</v>
          </cell>
          <cell r="M1074"/>
          <cell r="N1074">
            <v>103</v>
          </cell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</row>
        <row r="1075">
          <cell r="A1075" t="str">
            <v>NESTLE PANAMA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103</v>
          </cell>
          <cell r="J1075" t="str">
            <v>NESTLE PANAMA</v>
          </cell>
          <cell r="M1075"/>
          <cell r="N1075">
            <v>0</v>
          </cell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</row>
        <row r="1076">
          <cell r="A1076" t="str">
            <v>NESTLE PANAMA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J1076" t="str">
            <v>NESTLE PANAMA</v>
          </cell>
          <cell r="M1076"/>
          <cell r="N1076">
            <v>165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</row>
        <row r="1077">
          <cell r="A1077" t="str">
            <v>NESTLE PANAMA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165</v>
          </cell>
          <cell r="J1077" t="str">
            <v>NESTLE PANAMA</v>
          </cell>
          <cell r="M1077"/>
          <cell r="N1077">
            <v>456</v>
          </cell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</row>
        <row r="1078">
          <cell r="A1078" t="str">
            <v>NESTLE PANAMA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456</v>
          </cell>
          <cell r="J1078" t="str">
            <v>NESTLE PANAMA</v>
          </cell>
          <cell r="M1078"/>
          <cell r="N1078">
            <v>251</v>
          </cell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</row>
        <row r="1079">
          <cell r="A1079" t="str">
            <v>NESTLE PANAMA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251</v>
          </cell>
          <cell r="J1079" t="str">
            <v>NESTLE PANAMA</v>
          </cell>
          <cell r="M1079"/>
          <cell r="N1079">
            <v>60</v>
          </cell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</row>
        <row r="1080">
          <cell r="A1080" t="str">
            <v>NESTLE PANAMA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60</v>
          </cell>
          <cell r="J1080" t="str">
            <v>NESTLE PANAMA</v>
          </cell>
          <cell r="M1080"/>
          <cell r="N1080">
            <v>75</v>
          </cell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</row>
        <row r="1081">
          <cell r="A1081" t="str">
            <v>NESTLE PANAMA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75</v>
          </cell>
          <cell r="J1081" t="str">
            <v>NESTLE PANAMA</v>
          </cell>
          <cell r="M1081"/>
          <cell r="N1081"/>
          <cell r="O1081">
            <v>1017</v>
          </cell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</row>
        <row r="1082">
          <cell r="A1082" t="str">
            <v>NESTLE PANAMA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1017</v>
          </cell>
          <cell r="J1082" t="str">
            <v>NESTLE PANAMA</v>
          </cell>
          <cell r="M1082"/>
          <cell r="N1082">
            <v>50</v>
          </cell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</row>
        <row r="1083">
          <cell r="A1083" t="str">
            <v>NESTLE PANAMA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50</v>
          </cell>
          <cell r="J1083" t="str">
            <v>NESTLE PANAMA</v>
          </cell>
          <cell r="M1083"/>
          <cell r="N1083"/>
          <cell r="O1083">
            <v>219</v>
          </cell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</row>
        <row r="1084">
          <cell r="A1084" t="str">
            <v>NESTLE PANAMA</v>
          </cell>
          <cell r="C1084">
            <v>0</v>
          </cell>
          <cell r="D1084">
            <v>16</v>
          </cell>
          <cell r="E1084">
            <v>19</v>
          </cell>
          <cell r="F1084">
            <v>19</v>
          </cell>
          <cell r="G1084">
            <v>219</v>
          </cell>
          <cell r="J1084" t="str">
            <v>NESTLE PANAMA</v>
          </cell>
          <cell r="M1084"/>
          <cell r="N1084"/>
          <cell r="O1084"/>
          <cell r="P1084"/>
          <cell r="Q1084">
            <v>83</v>
          </cell>
          <cell r="R1084"/>
          <cell r="S1084"/>
          <cell r="T1084"/>
          <cell r="U1084"/>
          <cell r="V1084"/>
          <cell r="W1084"/>
          <cell r="X1084"/>
          <cell r="Y1084"/>
        </row>
        <row r="1085">
          <cell r="A1085" t="str">
            <v>NESTLE PANAMA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83</v>
          </cell>
          <cell r="J1085" t="str">
            <v>NESTLE PANAMA</v>
          </cell>
          <cell r="M1085"/>
          <cell r="N1085"/>
          <cell r="O1085"/>
          <cell r="P1085"/>
          <cell r="Q1085"/>
          <cell r="R1085"/>
          <cell r="S1085">
            <v>152</v>
          </cell>
          <cell r="T1085"/>
          <cell r="U1085"/>
          <cell r="V1085"/>
          <cell r="W1085"/>
          <cell r="X1085"/>
          <cell r="Y1085"/>
        </row>
        <row r="1086">
          <cell r="A1086" t="str">
            <v>NESTLE PANAMA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152</v>
          </cell>
          <cell r="J1086" t="str">
            <v>NESTLE PANAMA</v>
          </cell>
          <cell r="M1086"/>
          <cell r="N1086"/>
          <cell r="O1086"/>
          <cell r="P1086"/>
          <cell r="Q1086"/>
          <cell r="R1086"/>
          <cell r="S1086"/>
          <cell r="T1086"/>
          <cell r="U1086">
            <v>0</v>
          </cell>
          <cell r="V1086"/>
          <cell r="W1086"/>
          <cell r="X1086"/>
          <cell r="Y1086"/>
        </row>
        <row r="1087">
          <cell r="A1087" t="str">
            <v>NESTLE PANAMA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J1087" t="str">
            <v>NESTLE PANAMA</v>
          </cell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</row>
        <row r="1088">
          <cell r="A1088" t="str">
            <v>NESTLE PANAMA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J1088" t="str">
            <v>NESTLE PANAMA</v>
          </cell>
          <cell r="M1088">
            <v>910</v>
          </cell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</row>
        <row r="1089">
          <cell r="A1089" t="str">
            <v>NESTLE PANAMA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910</v>
          </cell>
          <cell r="J1089" t="str">
            <v>NESTLE PANAMA</v>
          </cell>
          <cell r="M1089"/>
          <cell r="N1089"/>
          <cell r="O1089"/>
          <cell r="P1089"/>
          <cell r="Q1089"/>
          <cell r="R1089"/>
          <cell r="S1089"/>
          <cell r="T1089"/>
          <cell r="U1089">
            <v>305</v>
          </cell>
          <cell r="V1089"/>
          <cell r="W1089"/>
          <cell r="X1089"/>
          <cell r="Y1089"/>
        </row>
        <row r="1090">
          <cell r="A1090" t="str">
            <v>NESTLE PANAMA</v>
          </cell>
          <cell r="C1090">
            <v>0</v>
          </cell>
          <cell r="D1090">
            <v>40</v>
          </cell>
          <cell r="E1090">
            <v>60</v>
          </cell>
          <cell r="F1090">
            <v>40</v>
          </cell>
          <cell r="G1090">
            <v>305</v>
          </cell>
          <cell r="J1090" t="str">
            <v>NESTLE PANAMA</v>
          </cell>
          <cell r="M1090">
            <v>400</v>
          </cell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</row>
        <row r="1091">
          <cell r="A1091" t="str">
            <v>NESTLE PANAMA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400</v>
          </cell>
          <cell r="J1091" t="str">
            <v>NESTLE PANAMA</v>
          </cell>
          <cell r="M1091"/>
          <cell r="N1091"/>
          <cell r="O1091">
            <v>68</v>
          </cell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</row>
        <row r="1092">
          <cell r="A1092" t="str">
            <v>NESTLE PANAMA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68</v>
          </cell>
          <cell r="J1092" t="str">
            <v>NESTLE PANAMA</v>
          </cell>
          <cell r="M1092">
            <v>175</v>
          </cell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</row>
        <row r="1093">
          <cell r="A1093" t="str">
            <v>NESTLE PANAMA</v>
          </cell>
          <cell r="C1093">
            <v>0</v>
          </cell>
          <cell r="D1093">
            <v>10</v>
          </cell>
          <cell r="E1093">
            <v>20</v>
          </cell>
          <cell r="F1093">
            <v>25</v>
          </cell>
          <cell r="G1093">
            <v>175</v>
          </cell>
          <cell r="J1093" t="str">
            <v>NESTLE PANAMA</v>
          </cell>
          <cell r="M1093"/>
          <cell r="N1093"/>
          <cell r="O1093">
            <v>256</v>
          </cell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</row>
        <row r="1094">
          <cell r="A1094" t="str">
            <v>NESTLE PANAMA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256</v>
          </cell>
          <cell r="J1094" t="str">
            <v>NESTLE PANAMA</v>
          </cell>
          <cell r="M1094"/>
          <cell r="N1094"/>
          <cell r="O1094"/>
          <cell r="P1094"/>
          <cell r="Q1094"/>
          <cell r="R1094">
            <v>31</v>
          </cell>
          <cell r="S1094"/>
          <cell r="T1094"/>
          <cell r="U1094"/>
          <cell r="V1094"/>
          <cell r="W1094"/>
          <cell r="X1094"/>
          <cell r="Y1094"/>
        </row>
        <row r="1095">
          <cell r="A1095" t="str">
            <v>NESTLE PANAMA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31</v>
          </cell>
          <cell r="J1095" t="str">
            <v>NESTLE PANAMA</v>
          </cell>
          <cell r="M1095"/>
          <cell r="N1095"/>
          <cell r="O1095"/>
          <cell r="P1095"/>
          <cell r="Q1095">
            <v>496</v>
          </cell>
          <cell r="R1095"/>
          <cell r="S1095"/>
          <cell r="T1095"/>
          <cell r="U1095"/>
          <cell r="V1095"/>
          <cell r="W1095"/>
          <cell r="X1095"/>
          <cell r="Y1095"/>
        </row>
        <row r="1096">
          <cell r="A1096" t="str">
            <v>NESTLE PANAMA</v>
          </cell>
          <cell r="C1096">
            <v>73</v>
          </cell>
          <cell r="D1096">
            <v>0</v>
          </cell>
          <cell r="E1096">
            <v>0</v>
          </cell>
          <cell r="F1096">
            <v>0</v>
          </cell>
          <cell r="G1096">
            <v>496</v>
          </cell>
          <cell r="J1096" t="str">
            <v>NESTLE PANAMA</v>
          </cell>
          <cell r="M1096"/>
          <cell r="N1096"/>
          <cell r="O1096"/>
          <cell r="P1096"/>
          <cell r="Q1096"/>
          <cell r="R1096"/>
          <cell r="S1096"/>
          <cell r="T1096">
            <v>30</v>
          </cell>
          <cell r="U1096"/>
          <cell r="V1096"/>
          <cell r="W1096"/>
          <cell r="X1096"/>
          <cell r="Y1096"/>
        </row>
        <row r="1097">
          <cell r="A1097" t="str">
            <v>NESTLE PANAMA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30</v>
          </cell>
          <cell r="J1097" t="str">
            <v>NESTLE PANAMA</v>
          </cell>
          <cell r="M1097"/>
          <cell r="N1097"/>
          <cell r="O1097"/>
          <cell r="P1097"/>
          <cell r="Q1097">
            <v>4560</v>
          </cell>
          <cell r="R1097"/>
          <cell r="S1097"/>
          <cell r="T1097"/>
          <cell r="U1097"/>
          <cell r="V1097"/>
          <cell r="W1097"/>
          <cell r="X1097"/>
          <cell r="Y1097"/>
        </row>
        <row r="1098">
          <cell r="A1098" t="str">
            <v>NESTLE PANAMA</v>
          </cell>
          <cell r="C1098">
            <v>0</v>
          </cell>
          <cell r="D1098">
            <v>680</v>
          </cell>
          <cell r="E1098">
            <v>450</v>
          </cell>
          <cell r="F1098">
            <v>450</v>
          </cell>
          <cell r="G1098">
            <v>4560</v>
          </cell>
          <cell r="J1098" t="str">
            <v>NESTLE PANAMA</v>
          </cell>
          <cell r="M1098"/>
          <cell r="N1098">
            <v>0</v>
          </cell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</row>
        <row r="1099">
          <cell r="A1099" t="str">
            <v>NESTLE PANAMA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J1099" t="str">
            <v>NESTLE PANAMA</v>
          </cell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>
            <v>0</v>
          </cell>
          <cell r="X1099"/>
          <cell r="Y1099"/>
        </row>
        <row r="1100">
          <cell r="A1100" t="str">
            <v>NESTLE PANAMA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J1100" t="str">
            <v>NESTLE PANAMA</v>
          </cell>
          <cell r="M1100">
            <v>400</v>
          </cell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</row>
        <row r="1101">
          <cell r="A1101" t="str">
            <v>NESTLE PANAMA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400</v>
          </cell>
          <cell r="J1101" t="str">
            <v>NESTLE PANAMA</v>
          </cell>
          <cell r="M1101"/>
          <cell r="N1101"/>
          <cell r="O1101">
            <v>34</v>
          </cell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</row>
        <row r="1102">
          <cell r="A1102" t="str">
            <v>NESTLE PANAMA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34</v>
          </cell>
          <cell r="J1102" t="str">
            <v>NESTLE PANAMA</v>
          </cell>
          <cell r="M1102">
            <v>100</v>
          </cell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</row>
        <row r="1103">
          <cell r="A1103" t="str">
            <v>NESTLE PANAMA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100</v>
          </cell>
          <cell r="J1103" t="str">
            <v>NESTLE PANAMA</v>
          </cell>
          <cell r="M1103"/>
          <cell r="N1103"/>
          <cell r="O1103"/>
          <cell r="P1103"/>
          <cell r="Q1103"/>
          <cell r="R1103"/>
          <cell r="S1103">
            <v>96</v>
          </cell>
          <cell r="T1103"/>
          <cell r="U1103"/>
          <cell r="V1103"/>
          <cell r="W1103"/>
          <cell r="X1103"/>
          <cell r="Y1103"/>
        </row>
        <row r="1104">
          <cell r="A1104" t="str">
            <v>NESTLE PANAMA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96</v>
          </cell>
          <cell r="J1104" t="str">
            <v>NESTLE PANAMA</v>
          </cell>
          <cell r="M1104"/>
          <cell r="N1104">
            <v>230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</row>
        <row r="1105">
          <cell r="A1105" t="str">
            <v>NESTLE PANAMA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230</v>
          </cell>
          <cell r="J1105" t="str">
            <v>NESTLE PANAMA</v>
          </cell>
          <cell r="M1105">
            <v>350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</row>
        <row r="1106">
          <cell r="A1106" t="str">
            <v>NESTLE PANAMA</v>
          </cell>
          <cell r="C1106">
            <v>200</v>
          </cell>
          <cell r="D1106">
            <v>25</v>
          </cell>
          <cell r="E1106">
            <v>100</v>
          </cell>
          <cell r="F1106">
            <v>25</v>
          </cell>
          <cell r="G1106">
            <v>350</v>
          </cell>
          <cell r="J1106" t="str">
            <v>NESTLE PANAMA</v>
          </cell>
          <cell r="M1106">
            <v>352</v>
          </cell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</row>
        <row r="1107">
          <cell r="A1107" t="str">
            <v>NESTLE PANAMA</v>
          </cell>
          <cell r="C1107">
            <v>225</v>
          </cell>
          <cell r="D1107">
            <v>0</v>
          </cell>
          <cell r="E1107">
            <v>0</v>
          </cell>
          <cell r="F1107">
            <v>0</v>
          </cell>
          <cell r="G1107">
            <v>352</v>
          </cell>
          <cell r="J1107" t="str">
            <v>NESTLE PANAMA</v>
          </cell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>
            <v>628</v>
          </cell>
          <cell r="X1107"/>
          <cell r="Y1107"/>
        </row>
        <row r="1108">
          <cell r="A1108" t="str">
            <v>NESTLE PANAMA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628</v>
          </cell>
          <cell r="J1108" t="str">
            <v>NESTLE PANAMA</v>
          </cell>
          <cell r="M1108"/>
          <cell r="N1108">
            <v>510</v>
          </cell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</row>
        <row r="1109">
          <cell r="A1109" t="str">
            <v>NESTLE PANAMA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510</v>
          </cell>
          <cell r="J1109" t="str">
            <v>NESTLE PANAMA</v>
          </cell>
          <cell r="M1109"/>
          <cell r="N1109">
            <v>97</v>
          </cell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</row>
        <row r="1110">
          <cell r="A1110" t="str">
            <v>NESTLE PANAMA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97</v>
          </cell>
          <cell r="J1110" t="str">
            <v>NESTLE PANAMA</v>
          </cell>
          <cell r="M1110">
            <v>40</v>
          </cell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</row>
        <row r="1111">
          <cell r="A1111" t="str">
            <v>NESTLE PANAMA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40</v>
          </cell>
          <cell r="J1111" t="str">
            <v>NESTLE PANAMA</v>
          </cell>
          <cell r="M1111">
            <v>1350</v>
          </cell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</row>
        <row r="1112">
          <cell r="A1112" t="str">
            <v>NESTLE PANAMA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1350</v>
          </cell>
          <cell r="J1112" t="str">
            <v>NESTLE PANAMA</v>
          </cell>
          <cell r="M1112">
            <v>77</v>
          </cell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</row>
        <row r="1113">
          <cell r="A1113" t="str">
            <v>NESTLE PANAMA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77</v>
          </cell>
          <cell r="J1113" t="str">
            <v>NESTLE PANAMA</v>
          </cell>
          <cell r="M1113"/>
          <cell r="N1113">
            <v>130</v>
          </cell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</row>
        <row r="1114">
          <cell r="A1114" t="str">
            <v>NESTLE PANAMA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130</v>
          </cell>
          <cell r="J1114" t="str">
            <v>NESTLE PANAMA</v>
          </cell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>
            <v>0</v>
          </cell>
          <cell r="X1114"/>
          <cell r="Y1114"/>
        </row>
        <row r="1115">
          <cell r="A1115" t="str">
            <v>NESTLE PANAMA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J1115" t="str">
            <v>NESTLE PANAMA</v>
          </cell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>
            <v>0</v>
          </cell>
          <cell r="X1115"/>
          <cell r="Y1115"/>
        </row>
        <row r="1116">
          <cell r="A1116" t="str">
            <v>NESTLE PANAMA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J1116" t="str">
            <v>NESTLE PANAMA</v>
          </cell>
          <cell r="M1116"/>
          <cell r="N1116"/>
          <cell r="O1116"/>
          <cell r="P1116"/>
          <cell r="Q1116"/>
          <cell r="R1116"/>
          <cell r="S1116"/>
          <cell r="T1116"/>
          <cell r="U1116">
            <v>251</v>
          </cell>
          <cell r="V1116"/>
          <cell r="W1116"/>
          <cell r="X1116"/>
          <cell r="Y1116"/>
        </row>
        <row r="1117">
          <cell r="A1117" t="str">
            <v>NESTLE PANAMA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251</v>
          </cell>
          <cell r="J1117" t="str">
            <v>NESTLE PANAMA</v>
          </cell>
          <cell r="M1117"/>
          <cell r="N1117"/>
          <cell r="O1117"/>
          <cell r="P1117"/>
          <cell r="Q1117"/>
          <cell r="R1117"/>
          <cell r="S1117">
            <v>40</v>
          </cell>
          <cell r="T1117"/>
          <cell r="U1117"/>
          <cell r="V1117"/>
          <cell r="W1117"/>
          <cell r="X1117"/>
          <cell r="Y1117"/>
        </row>
        <row r="1118">
          <cell r="A1118" t="str">
            <v>NESTLE PANAMA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40</v>
          </cell>
          <cell r="J1118" t="str">
            <v>NESTLE PANAMA</v>
          </cell>
          <cell r="M1118"/>
          <cell r="N1118"/>
          <cell r="O1118"/>
          <cell r="P1118"/>
          <cell r="Q1118"/>
          <cell r="R1118">
            <v>130</v>
          </cell>
          <cell r="S1118"/>
          <cell r="T1118"/>
          <cell r="U1118"/>
          <cell r="V1118"/>
          <cell r="W1118"/>
          <cell r="X1118"/>
          <cell r="Y1118"/>
        </row>
        <row r="1119">
          <cell r="A1119" t="str">
            <v>NESTLE PANAMA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130</v>
          </cell>
          <cell r="J1119" t="str">
            <v>NESTLE PANAMA</v>
          </cell>
          <cell r="M1119">
            <v>125</v>
          </cell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</row>
        <row r="1120">
          <cell r="A1120" t="str">
            <v>NESTLE PANAMA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125</v>
          </cell>
          <cell r="J1120" t="str">
            <v>NESTLE PANAMA</v>
          </cell>
          <cell r="M1120">
            <v>25</v>
          </cell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</row>
        <row r="1121">
          <cell r="A1121" t="str">
            <v>NESTLE PANAMA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25</v>
          </cell>
          <cell r="J1121" t="str">
            <v>NESTLE PANAMA</v>
          </cell>
          <cell r="M1121"/>
          <cell r="N1121"/>
          <cell r="O1121"/>
          <cell r="P1121"/>
          <cell r="Q1121"/>
          <cell r="R1121"/>
          <cell r="S1121"/>
          <cell r="T1121"/>
          <cell r="U1121"/>
          <cell r="V1121">
            <v>0</v>
          </cell>
          <cell r="W1121"/>
          <cell r="X1121"/>
          <cell r="Y1121"/>
        </row>
        <row r="1122">
          <cell r="A1122" t="str">
            <v>NESTLE PANAMA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J1122" t="str">
            <v>NESTLE PANAMA</v>
          </cell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>
            <v>0</v>
          </cell>
        </row>
        <row r="1123">
          <cell r="A1123" t="str">
            <v>NESTLE PANAMA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J1123" t="str">
            <v>NESTLE PANAMA</v>
          </cell>
          <cell r="M1123"/>
          <cell r="N1123"/>
          <cell r="O1123">
            <v>0</v>
          </cell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</row>
        <row r="1124">
          <cell r="A1124" t="str">
            <v>NESTLE PANAMA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J1124" t="str">
            <v>NESTLE PANAMA</v>
          </cell>
          <cell r="M1124">
            <v>209</v>
          </cell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</row>
        <row r="1125">
          <cell r="A1125" t="str">
            <v>NESTLE PANAMA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209</v>
          </cell>
          <cell r="J1125" t="str">
            <v>NESTLE PANAMA</v>
          </cell>
          <cell r="M1125">
            <v>0</v>
          </cell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</row>
        <row r="1126">
          <cell r="A1126" t="str">
            <v>NESTLE PANAMA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J1126" t="str">
            <v>NESTLE PANAMA</v>
          </cell>
          <cell r="M1126"/>
          <cell r="N1126">
            <v>0</v>
          </cell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</row>
        <row r="1127">
          <cell r="A1127" t="str">
            <v>NESTLE PANAMA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J1127" t="str">
            <v>NESTLE PANAMA</v>
          </cell>
          <cell r="M1127"/>
          <cell r="N1127">
            <v>6</v>
          </cell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</row>
        <row r="1128">
          <cell r="A1128" t="str">
            <v>NESTLE PANAMA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6</v>
          </cell>
          <cell r="J1128" t="str">
            <v>NESTLE PANAMA</v>
          </cell>
          <cell r="M1128">
            <v>200</v>
          </cell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</row>
        <row r="1129">
          <cell r="A1129" t="str">
            <v>NESTLE PANAMA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200</v>
          </cell>
          <cell r="J1129" t="str">
            <v>NESTLE PANAMA</v>
          </cell>
          <cell r="M1129"/>
          <cell r="N1129"/>
          <cell r="O1129">
            <v>240</v>
          </cell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</row>
        <row r="1130">
          <cell r="A1130" t="str">
            <v>NESTLE PANAMA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240</v>
          </cell>
          <cell r="J1130" t="str">
            <v>NESTLE PANAMA</v>
          </cell>
          <cell r="M1130"/>
          <cell r="N1130"/>
          <cell r="O1130"/>
          <cell r="P1130"/>
          <cell r="Q1130"/>
          <cell r="R1130">
            <v>0</v>
          </cell>
          <cell r="S1130"/>
          <cell r="T1130"/>
          <cell r="U1130"/>
          <cell r="V1130"/>
          <cell r="W1130"/>
          <cell r="X1130"/>
          <cell r="Y1130"/>
        </row>
        <row r="1131">
          <cell r="A1131" t="str">
            <v>NESTLE PANAMA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J1131" t="str">
            <v>NESTLE PANAMA</v>
          </cell>
          <cell r="M1131"/>
          <cell r="N1131"/>
          <cell r="O1131">
            <v>421</v>
          </cell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</row>
        <row r="1132">
          <cell r="A1132" t="str">
            <v>NESTLE PANAMA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421</v>
          </cell>
          <cell r="J1132" t="str">
            <v>NESTLE PANAMA</v>
          </cell>
          <cell r="M1132"/>
          <cell r="N1132"/>
          <cell r="O1132"/>
          <cell r="P1132"/>
          <cell r="Q1132"/>
          <cell r="R1132"/>
          <cell r="S1132">
            <v>1190</v>
          </cell>
          <cell r="T1132"/>
          <cell r="U1132"/>
          <cell r="V1132"/>
          <cell r="W1132"/>
          <cell r="X1132"/>
          <cell r="Y1132"/>
        </row>
        <row r="1133">
          <cell r="A1133" t="str">
            <v>NESTLE PANAMA</v>
          </cell>
          <cell r="C1133">
            <v>1190</v>
          </cell>
          <cell r="D1133">
            <v>0</v>
          </cell>
          <cell r="E1133">
            <v>0</v>
          </cell>
          <cell r="F1133">
            <v>0</v>
          </cell>
          <cell r="G1133">
            <v>1190</v>
          </cell>
          <cell r="J1133" t="str">
            <v>NESTLE PANAMA</v>
          </cell>
          <cell r="M1133"/>
          <cell r="N1133"/>
          <cell r="O1133"/>
          <cell r="P1133">
            <v>173</v>
          </cell>
          <cell r="Q1133"/>
          <cell r="R1133"/>
          <cell r="S1133"/>
          <cell r="T1133"/>
          <cell r="U1133"/>
          <cell r="V1133"/>
          <cell r="W1133"/>
          <cell r="X1133"/>
          <cell r="Y1133"/>
        </row>
        <row r="1134">
          <cell r="A1134" t="str">
            <v>NESTLE PANAMA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173</v>
          </cell>
          <cell r="J1134" t="str">
            <v>NESTLE PANAMA</v>
          </cell>
          <cell r="M1134"/>
          <cell r="N1134"/>
          <cell r="O1134"/>
          <cell r="P1134"/>
          <cell r="Q1134"/>
          <cell r="R1134"/>
          <cell r="S1134"/>
          <cell r="T1134"/>
          <cell r="U1134"/>
          <cell r="V1134">
            <v>200</v>
          </cell>
          <cell r="W1134"/>
          <cell r="X1134"/>
          <cell r="Y1134"/>
        </row>
        <row r="1135">
          <cell r="A1135" t="str">
            <v>NESTLE PANAMA</v>
          </cell>
          <cell r="C1135">
            <v>200</v>
          </cell>
          <cell r="D1135">
            <v>0</v>
          </cell>
          <cell r="E1135">
            <v>0</v>
          </cell>
          <cell r="F1135">
            <v>0</v>
          </cell>
          <cell r="G1135">
            <v>200</v>
          </cell>
          <cell r="J1135" t="str">
            <v>NESTLE PANAMA</v>
          </cell>
          <cell r="M1135">
            <v>265</v>
          </cell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</row>
        <row r="1136">
          <cell r="A1136" t="str">
            <v>NESTLE PANAMA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265</v>
          </cell>
          <cell r="J1136" t="str">
            <v>NESTLE PANAMA</v>
          </cell>
          <cell r="M1136"/>
          <cell r="N1136">
            <v>130</v>
          </cell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</row>
        <row r="1137">
          <cell r="A1137" t="str">
            <v>NESTLE PANAMA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130</v>
          </cell>
          <cell r="J1137" t="str">
            <v>NESTLE PANAMA</v>
          </cell>
          <cell r="M1137">
            <v>1300</v>
          </cell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</row>
        <row r="1138">
          <cell r="A1138" t="str">
            <v>NESTLE PANAMA</v>
          </cell>
          <cell r="C1138">
            <v>100</v>
          </cell>
          <cell r="D1138">
            <v>0</v>
          </cell>
          <cell r="E1138">
            <v>0</v>
          </cell>
          <cell r="F1138">
            <v>0</v>
          </cell>
          <cell r="G1138">
            <v>1300</v>
          </cell>
          <cell r="J1138" t="str">
            <v>NESTLE PANAMA</v>
          </cell>
          <cell r="M1138">
            <v>52</v>
          </cell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</row>
        <row r="1139">
          <cell r="A1139" t="str">
            <v>NESTLE PANAMA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52</v>
          </cell>
          <cell r="J1139" t="str">
            <v>NESTLE PANAMA</v>
          </cell>
          <cell r="M1139"/>
          <cell r="N1139"/>
          <cell r="O1139"/>
          <cell r="P1139">
            <v>150</v>
          </cell>
          <cell r="Q1139"/>
          <cell r="R1139"/>
          <cell r="S1139"/>
          <cell r="T1139"/>
          <cell r="U1139"/>
          <cell r="V1139"/>
          <cell r="W1139"/>
          <cell r="X1139"/>
          <cell r="Y1139"/>
        </row>
        <row r="1140">
          <cell r="A1140" t="str">
            <v>NESTLE PANAMA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150</v>
          </cell>
          <cell r="J1140" t="str">
            <v>NESTLE PANAMA</v>
          </cell>
          <cell r="M1140">
            <v>630</v>
          </cell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</row>
        <row r="1141">
          <cell r="A1141" t="str">
            <v>NESTLE PANAMA</v>
          </cell>
          <cell r="C1141">
            <v>0</v>
          </cell>
          <cell r="D1141">
            <v>120</v>
          </cell>
          <cell r="E1141">
            <v>180</v>
          </cell>
          <cell r="F1141">
            <v>60</v>
          </cell>
          <cell r="G1141">
            <v>630</v>
          </cell>
          <cell r="J1141" t="str">
            <v>NESTLE PANAMA</v>
          </cell>
          <cell r="M1141">
            <v>50</v>
          </cell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</row>
        <row r="1142">
          <cell r="A1142" t="str">
            <v>NESTLE PANAMA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50</v>
          </cell>
          <cell r="J1142" t="str">
            <v>NESTLE PANAMA</v>
          </cell>
          <cell r="M1142">
            <v>600</v>
          </cell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</row>
        <row r="1143">
          <cell r="A1143" t="str">
            <v>NESTLE PANAMA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600</v>
          </cell>
          <cell r="J1143" t="str">
            <v>NESTLE PANAMA</v>
          </cell>
          <cell r="M1143"/>
          <cell r="N1143"/>
          <cell r="O1143"/>
          <cell r="P1143"/>
          <cell r="Q1143"/>
          <cell r="R1143"/>
          <cell r="S1143">
            <v>40</v>
          </cell>
          <cell r="T1143"/>
          <cell r="U1143"/>
          <cell r="V1143"/>
          <cell r="W1143"/>
          <cell r="X1143"/>
          <cell r="Y1143"/>
        </row>
        <row r="1144">
          <cell r="A1144" t="str">
            <v>NESTLE PANAMA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40</v>
          </cell>
          <cell r="J1144" t="str">
            <v>NESTLE PANAMA</v>
          </cell>
          <cell r="M1144"/>
          <cell r="N1144"/>
          <cell r="O1144">
            <v>105</v>
          </cell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</row>
        <row r="1145">
          <cell r="A1145" t="str">
            <v>NESTLE PANAMA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105</v>
          </cell>
          <cell r="J1145" t="str">
            <v>NESTLE PANAMA</v>
          </cell>
          <cell r="M1145"/>
          <cell r="N1145">
            <v>490</v>
          </cell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</row>
        <row r="1146">
          <cell r="A1146" t="str">
            <v>NESTLE PANAMA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490</v>
          </cell>
          <cell r="J1146" t="str">
            <v>NESTLE PANAMA</v>
          </cell>
          <cell r="M1146"/>
          <cell r="N1146"/>
          <cell r="O1146"/>
          <cell r="P1146"/>
          <cell r="Q1146"/>
          <cell r="R1146"/>
          <cell r="S1146"/>
          <cell r="T1146">
            <v>0</v>
          </cell>
          <cell r="U1146"/>
          <cell r="V1146"/>
          <cell r="W1146"/>
          <cell r="X1146"/>
          <cell r="Y1146"/>
        </row>
        <row r="1147">
          <cell r="A1147" t="str">
            <v>NESTLE PANAMA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J1147" t="str">
            <v>NESTLE PANAMA</v>
          </cell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>
            <v>50</v>
          </cell>
        </row>
        <row r="1148">
          <cell r="A1148" t="str">
            <v>NESTLE PANAMA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50</v>
          </cell>
          <cell r="J1148" t="str">
            <v>NESTLE PANAMA</v>
          </cell>
          <cell r="M1148"/>
          <cell r="N1148"/>
          <cell r="O1148"/>
          <cell r="P1148"/>
          <cell r="Q1148"/>
          <cell r="R1148"/>
          <cell r="S1148"/>
          <cell r="T1148"/>
          <cell r="U1148">
            <v>300</v>
          </cell>
          <cell r="V1148"/>
          <cell r="W1148"/>
          <cell r="X1148"/>
          <cell r="Y1148"/>
        </row>
        <row r="1149">
          <cell r="A1149" t="str">
            <v>NESTLE PANAMA</v>
          </cell>
          <cell r="C1149">
            <v>300</v>
          </cell>
          <cell r="D1149">
            <v>0</v>
          </cell>
          <cell r="E1149">
            <v>0</v>
          </cell>
          <cell r="F1149">
            <v>0</v>
          </cell>
          <cell r="G1149">
            <v>300</v>
          </cell>
          <cell r="J1149" t="str">
            <v>NESTLE PANAMA</v>
          </cell>
          <cell r="M1149"/>
          <cell r="N1149"/>
          <cell r="O1149"/>
          <cell r="P1149"/>
          <cell r="Q1149"/>
          <cell r="R1149"/>
          <cell r="S1149"/>
          <cell r="T1149">
            <v>240</v>
          </cell>
          <cell r="U1149"/>
          <cell r="V1149"/>
          <cell r="W1149"/>
          <cell r="X1149"/>
          <cell r="Y1149"/>
        </row>
        <row r="1150">
          <cell r="A1150" t="str">
            <v>NESTLE PANAMA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240</v>
          </cell>
          <cell r="J1150" t="str">
            <v>NESTLE PANAMA</v>
          </cell>
          <cell r="M1150"/>
          <cell r="N1150"/>
          <cell r="O1150"/>
          <cell r="P1150"/>
          <cell r="Q1150"/>
          <cell r="R1150"/>
          <cell r="S1150"/>
          <cell r="T1150"/>
          <cell r="U1150">
            <v>80</v>
          </cell>
          <cell r="V1150"/>
          <cell r="W1150"/>
          <cell r="X1150"/>
          <cell r="Y1150"/>
        </row>
        <row r="1151">
          <cell r="A1151" t="str">
            <v>NESTLE PANAMA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80</v>
          </cell>
          <cell r="J1151" t="str">
            <v>NESTLE PANAMA</v>
          </cell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>
            <v>200</v>
          </cell>
          <cell r="X1151"/>
          <cell r="Y1151"/>
        </row>
        <row r="1152">
          <cell r="A1152" t="str">
            <v>NESTLE PANAMA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200</v>
          </cell>
          <cell r="J1152" t="str">
            <v>NESTLE PANAMA</v>
          </cell>
          <cell r="M1152"/>
          <cell r="N1152">
            <v>0</v>
          </cell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</row>
        <row r="1153">
          <cell r="A1153" t="str">
            <v>NESTLE PANAMA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J1153" t="str">
            <v>NESTLE PANAMA</v>
          </cell>
          <cell r="M1153"/>
          <cell r="N1153"/>
          <cell r="O1153">
            <v>346</v>
          </cell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</row>
        <row r="1154">
          <cell r="A1154" t="str">
            <v>NESTLE PANAMA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346</v>
          </cell>
          <cell r="J1154" t="str">
            <v>PRODUCTOS TOLEDANO</v>
          </cell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</row>
        <row r="1155">
          <cell r="A1155" t="str">
            <v>PRODUCTOS TOLEDANO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J1155" t="str">
            <v>PRODUCTOS TOLEDANO</v>
          </cell>
          <cell r="M1155">
            <v>325</v>
          </cell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</row>
        <row r="1156">
          <cell r="A1156" t="str">
            <v>PRODUCTOS TOLEDANO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325</v>
          </cell>
          <cell r="J1156" t="str">
            <v>PRODUCTOS TOLEDANO</v>
          </cell>
          <cell r="M1156"/>
          <cell r="N1156"/>
          <cell r="O1156"/>
          <cell r="P1156">
            <v>102</v>
          </cell>
          <cell r="Q1156"/>
          <cell r="R1156"/>
          <cell r="S1156"/>
          <cell r="T1156"/>
          <cell r="U1156"/>
          <cell r="V1156"/>
          <cell r="W1156"/>
          <cell r="X1156"/>
          <cell r="Y1156"/>
        </row>
        <row r="1157">
          <cell r="A1157" t="str">
            <v>PRODUCTOS TOLEDANO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102</v>
          </cell>
          <cell r="J1157" t="str">
            <v>PRODUCTOS TOLEDANO</v>
          </cell>
          <cell r="M1157"/>
          <cell r="N1157">
            <v>100</v>
          </cell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</row>
        <row r="1158">
          <cell r="A1158" t="str">
            <v>PRODUCTOS TOLEDANO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100</v>
          </cell>
          <cell r="J1158" t="str">
            <v>PRODUCTOS TOLEDANO</v>
          </cell>
          <cell r="M1158"/>
          <cell r="N1158"/>
          <cell r="O1158">
            <v>180</v>
          </cell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</row>
        <row r="1159">
          <cell r="A1159" t="str">
            <v>PRODUCTOS TOLEDANO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180</v>
          </cell>
          <cell r="J1159" t="str">
            <v>PRODUCTOS TOLEDANO</v>
          </cell>
          <cell r="M1159"/>
          <cell r="N1159"/>
          <cell r="O1159"/>
          <cell r="P1159"/>
          <cell r="Q1159">
            <v>1060</v>
          </cell>
          <cell r="R1159"/>
          <cell r="S1159"/>
          <cell r="T1159"/>
          <cell r="U1159"/>
          <cell r="V1159"/>
          <cell r="W1159"/>
          <cell r="X1159"/>
          <cell r="Y1159"/>
        </row>
        <row r="1160">
          <cell r="A1160" t="str">
            <v>PRODUCTOS TOLEDANO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1060</v>
          </cell>
          <cell r="J1160" t="str">
            <v>PRODUCTOS TOLEDANO</v>
          </cell>
          <cell r="M1160"/>
          <cell r="N1160">
            <v>100</v>
          </cell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</row>
        <row r="1161">
          <cell r="A1161" t="str">
            <v>PRODUCTOS TOLEDANO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100</v>
          </cell>
          <cell r="J1161" t="str">
            <v>PRODUCTOS TOLEDANO</v>
          </cell>
          <cell r="M1161"/>
          <cell r="N1161"/>
          <cell r="O1161"/>
          <cell r="P1161"/>
          <cell r="Q1161"/>
          <cell r="R1161">
            <v>180</v>
          </cell>
          <cell r="S1161"/>
          <cell r="T1161"/>
          <cell r="U1161"/>
          <cell r="V1161"/>
          <cell r="W1161"/>
          <cell r="X1161"/>
          <cell r="Y1161"/>
        </row>
        <row r="1162">
          <cell r="A1162" t="str">
            <v>PRODUCTOS TOLEDANO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180</v>
          </cell>
          <cell r="J1162" t="str">
            <v>PRODUCTOS TOLEDANO</v>
          </cell>
          <cell r="M1162"/>
          <cell r="N1162"/>
          <cell r="O1162"/>
          <cell r="P1162"/>
          <cell r="Q1162"/>
          <cell r="R1162">
            <v>40</v>
          </cell>
          <cell r="S1162"/>
          <cell r="T1162"/>
          <cell r="U1162"/>
          <cell r="V1162"/>
          <cell r="W1162"/>
          <cell r="X1162"/>
          <cell r="Y1162"/>
        </row>
        <row r="1163">
          <cell r="A1163" t="str">
            <v>PRODUCTOS TOLEDANO</v>
          </cell>
          <cell r="C1163">
            <v>40</v>
          </cell>
          <cell r="D1163">
            <v>0</v>
          </cell>
          <cell r="E1163">
            <v>0</v>
          </cell>
          <cell r="F1163">
            <v>0</v>
          </cell>
          <cell r="G1163">
            <v>40</v>
          </cell>
          <cell r="J1163" t="str">
            <v>PRODUCTOS TOLEDANO</v>
          </cell>
          <cell r="M1163"/>
          <cell r="N1163"/>
          <cell r="O1163"/>
          <cell r="P1163"/>
          <cell r="Q1163"/>
          <cell r="R1163"/>
          <cell r="S1163">
            <v>73</v>
          </cell>
          <cell r="T1163"/>
          <cell r="U1163"/>
          <cell r="V1163"/>
          <cell r="W1163"/>
          <cell r="X1163"/>
          <cell r="Y1163"/>
        </row>
        <row r="1164">
          <cell r="A1164" t="str">
            <v>PRODUCTOS TOLEDANO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73</v>
          </cell>
          <cell r="J1164" t="str">
            <v>PRODUCTOS TOLEDANO</v>
          </cell>
          <cell r="M1164"/>
          <cell r="N1164"/>
          <cell r="O1164">
            <v>65</v>
          </cell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</row>
        <row r="1165">
          <cell r="A1165" t="str">
            <v>PRODUCTOS TOLEDANO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65</v>
          </cell>
          <cell r="J1165" t="str">
            <v>PRODUCTOS TOLEDANO</v>
          </cell>
          <cell r="M1165"/>
          <cell r="N1165">
            <v>70</v>
          </cell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</row>
        <row r="1166">
          <cell r="A1166" t="str">
            <v>PRODUCTOS TOLEDANO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70</v>
          </cell>
          <cell r="J1166" t="str">
            <v>PRODUCTOS TOLEDANO</v>
          </cell>
          <cell r="M1166"/>
          <cell r="N1166"/>
          <cell r="O1166">
            <v>1090</v>
          </cell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</row>
        <row r="1167">
          <cell r="A1167" t="str">
            <v>PRODUCTOS TOLEDANO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1090</v>
          </cell>
          <cell r="J1167" t="str">
            <v>PRODUCTOS TOLEDANO</v>
          </cell>
          <cell r="M1167">
            <v>0</v>
          </cell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</row>
        <row r="1168">
          <cell r="A1168" t="str">
            <v>PRODUCTOS TOLEDANO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J1168" t="str">
            <v>PRODUCTOS TOLEDANO</v>
          </cell>
          <cell r="M1168"/>
          <cell r="N1168">
            <v>282</v>
          </cell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</row>
        <row r="1169">
          <cell r="A1169" t="str">
            <v>PRODUCTOS TOLEDANO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282</v>
          </cell>
          <cell r="J1169" t="str">
            <v>PRODUCTOS TOLEDANO</v>
          </cell>
          <cell r="M1169"/>
          <cell r="N1169">
            <v>467</v>
          </cell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</row>
        <row r="1170">
          <cell r="A1170" t="str">
            <v>PRODUCTOS TOLEDANO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467</v>
          </cell>
          <cell r="J1170" t="str">
            <v>PRODUCTOS TOLEDANO</v>
          </cell>
          <cell r="M1170"/>
          <cell r="N1170"/>
          <cell r="O1170"/>
          <cell r="P1170"/>
          <cell r="Q1170"/>
          <cell r="R1170"/>
          <cell r="S1170"/>
          <cell r="T1170">
            <v>82</v>
          </cell>
          <cell r="U1170"/>
          <cell r="V1170"/>
          <cell r="W1170"/>
          <cell r="X1170"/>
          <cell r="Y1170"/>
        </row>
        <row r="1171">
          <cell r="A1171" t="str">
            <v>PRODUCTOS TOLEDANO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82</v>
          </cell>
          <cell r="J1171" t="str">
            <v>PRODUCTOS TOLEDANO</v>
          </cell>
          <cell r="M1171"/>
          <cell r="N1171">
            <v>881</v>
          </cell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</row>
        <row r="1172">
          <cell r="A1172" t="str">
            <v>PRODUCTOS TOLEDANO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881</v>
          </cell>
          <cell r="J1172" t="str">
            <v>PRODUCTOS TOLEDANO</v>
          </cell>
          <cell r="M1172"/>
          <cell r="N1172">
            <v>38</v>
          </cell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</row>
        <row r="1173">
          <cell r="A1173" t="str">
            <v>PRODUCTOS TOLEDANO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38</v>
          </cell>
          <cell r="J1173" t="str">
            <v>PRODUCTOS TOLEDANO</v>
          </cell>
          <cell r="M1173"/>
          <cell r="N1173">
            <v>70</v>
          </cell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</row>
        <row r="1174">
          <cell r="A1174" t="str">
            <v>PRODUCTOS TOLEDANO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70</v>
          </cell>
          <cell r="J1174" t="str">
            <v>PRODUCTOS TOLEDANO</v>
          </cell>
          <cell r="M1174"/>
          <cell r="N1174">
            <v>60</v>
          </cell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</row>
        <row r="1175">
          <cell r="A1175" t="str">
            <v>PRODUCTOS TOLEDANO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60</v>
          </cell>
          <cell r="J1175" t="str">
            <v>PRODUCTOS TOLEDANO</v>
          </cell>
          <cell r="M1175"/>
          <cell r="N1175">
            <v>62</v>
          </cell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</row>
        <row r="1176">
          <cell r="A1176" t="str">
            <v>PRODUCTOS TOLEDANO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62</v>
          </cell>
          <cell r="J1176" t="str">
            <v>PRODUCTOS TOLEDANO</v>
          </cell>
          <cell r="M1176"/>
          <cell r="N1176"/>
          <cell r="O1176">
            <v>116</v>
          </cell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</row>
        <row r="1177">
          <cell r="A1177" t="str">
            <v>PRODUCTOS TOLEDANO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116</v>
          </cell>
          <cell r="J1177" t="str">
            <v>PRODUCTOS TOLEDANO</v>
          </cell>
          <cell r="M1177"/>
          <cell r="N1177">
            <v>542</v>
          </cell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</row>
        <row r="1178">
          <cell r="A1178" t="str">
            <v>PRODUCTOS TOLEDANO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542</v>
          </cell>
          <cell r="J1178" t="str">
            <v>PRODUCTOS TOLEDANO</v>
          </cell>
          <cell r="M1178"/>
          <cell r="N1178"/>
          <cell r="O1178"/>
          <cell r="P1178"/>
          <cell r="Q1178"/>
          <cell r="R1178"/>
          <cell r="S1178">
            <v>211</v>
          </cell>
          <cell r="T1178"/>
          <cell r="U1178"/>
          <cell r="V1178"/>
          <cell r="W1178"/>
          <cell r="X1178"/>
          <cell r="Y1178"/>
        </row>
        <row r="1179">
          <cell r="A1179" t="str">
            <v>PRODUCTOS TOLEDANO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211</v>
          </cell>
          <cell r="J1179" t="str">
            <v>PRODUCTOS TOLEDANO</v>
          </cell>
          <cell r="M1179"/>
          <cell r="N1179">
            <v>147</v>
          </cell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</row>
        <row r="1180">
          <cell r="A1180" t="str">
            <v>PRODUCTOS TOLEDANO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147</v>
          </cell>
          <cell r="J1180" t="str">
            <v>PRODUCTOS TOLEDANO</v>
          </cell>
          <cell r="M1180">
            <v>500</v>
          </cell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</row>
        <row r="1181">
          <cell r="A1181" t="str">
            <v>PRODUCTOS TOLEDANO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500</v>
          </cell>
          <cell r="J1181" t="str">
            <v>PRODUCTOS TOLEDANO</v>
          </cell>
          <cell r="M1181"/>
          <cell r="N1181"/>
          <cell r="O1181"/>
          <cell r="P1181"/>
          <cell r="Q1181"/>
          <cell r="R1181"/>
          <cell r="S1181"/>
          <cell r="T1181">
            <v>84</v>
          </cell>
          <cell r="U1181"/>
          <cell r="V1181"/>
          <cell r="W1181"/>
          <cell r="X1181"/>
          <cell r="Y1181"/>
        </row>
        <row r="1182">
          <cell r="A1182" t="str">
            <v>PRODUCTOS TOLEDANO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84</v>
          </cell>
          <cell r="J1182" t="str">
            <v>PRODUCTOS TOLEDANO</v>
          </cell>
          <cell r="M1182">
            <v>100</v>
          </cell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</row>
        <row r="1183">
          <cell r="A1183" t="str">
            <v>PRODUCTOS TOLEDANO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100</v>
          </cell>
          <cell r="J1183" t="str">
            <v>PRODUCTOS TOLEDANO</v>
          </cell>
          <cell r="M1183"/>
          <cell r="N1183">
            <v>264</v>
          </cell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</row>
        <row r="1184">
          <cell r="A1184" t="str">
            <v>PRODUCTOS TOLEDANO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264</v>
          </cell>
          <cell r="J1184" t="str">
            <v>PRODUCTOS TOLEDANO</v>
          </cell>
          <cell r="M1184"/>
          <cell r="N1184"/>
          <cell r="O1184">
            <v>60</v>
          </cell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</row>
        <row r="1185">
          <cell r="A1185" t="str">
            <v>PRODUCTOS TOLEDANO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60</v>
          </cell>
          <cell r="J1185" t="str">
            <v>PRODUCTOS TOLEDANO</v>
          </cell>
          <cell r="M1185"/>
          <cell r="N1185"/>
          <cell r="O1185"/>
          <cell r="P1185"/>
          <cell r="Q1185"/>
          <cell r="R1185"/>
          <cell r="S1185"/>
          <cell r="T1185">
            <v>115</v>
          </cell>
          <cell r="U1185"/>
          <cell r="V1185"/>
          <cell r="W1185"/>
          <cell r="X1185"/>
          <cell r="Y1185"/>
        </row>
        <row r="1186">
          <cell r="A1186" t="str">
            <v>PRODUCTOS TOLEDANO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115</v>
          </cell>
          <cell r="J1186" t="str">
            <v>PRODUCTOS TOLEDANO</v>
          </cell>
          <cell r="M1186"/>
          <cell r="N1186"/>
          <cell r="O1186"/>
          <cell r="P1186"/>
          <cell r="Q1186"/>
          <cell r="R1186"/>
          <cell r="S1186">
            <v>179</v>
          </cell>
          <cell r="T1186"/>
          <cell r="U1186"/>
          <cell r="V1186"/>
          <cell r="W1186"/>
          <cell r="X1186"/>
          <cell r="Y1186"/>
        </row>
        <row r="1187">
          <cell r="A1187" t="str">
            <v>PRODUCTOS TOLEDANO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179</v>
          </cell>
          <cell r="J1187" t="str">
            <v>PRODUCTOS TOLEDANO</v>
          </cell>
          <cell r="M1187"/>
          <cell r="N1187">
            <v>50</v>
          </cell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</row>
        <row r="1188">
          <cell r="A1188" t="str">
            <v>PRODUCTOS TOLEDANO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50</v>
          </cell>
          <cell r="J1188" t="str">
            <v>PRODUCTOS TOLEDANO</v>
          </cell>
          <cell r="M1188"/>
          <cell r="N1188">
            <v>86</v>
          </cell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</row>
        <row r="1189">
          <cell r="A1189" t="str">
            <v>PRODUCTOS TOLEDANO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86</v>
          </cell>
          <cell r="J1189" t="str">
            <v>PRODUCTOS TOLEDANO</v>
          </cell>
          <cell r="M1189">
            <v>201</v>
          </cell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</row>
        <row r="1190">
          <cell r="A1190" t="str">
            <v>PRODUCTOS TOLEDANO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201</v>
          </cell>
          <cell r="J1190" t="str">
            <v>PRODUCTOS TOLEDANO</v>
          </cell>
          <cell r="M1190"/>
          <cell r="N1190"/>
          <cell r="O1190"/>
          <cell r="P1190"/>
          <cell r="Q1190"/>
          <cell r="R1190"/>
          <cell r="S1190"/>
          <cell r="T1190">
            <v>73</v>
          </cell>
          <cell r="U1190"/>
          <cell r="V1190"/>
          <cell r="W1190"/>
          <cell r="X1190"/>
          <cell r="Y1190"/>
        </row>
        <row r="1191">
          <cell r="A1191" t="str">
            <v>PRODUCTOS TOLEDANO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73</v>
          </cell>
          <cell r="J1191" t="str">
            <v>PRODUCTOS TOLEDANO</v>
          </cell>
          <cell r="M1191"/>
          <cell r="N1191"/>
          <cell r="O1191"/>
          <cell r="P1191"/>
          <cell r="Q1191"/>
          <cell r="R1191"/>
          <cell r="S1191"/>
          <cell r="T1191">
            <v>635</v>
          </cell>
          <cell r="U1191"/>
          <cell r="V1191"/>
          <cell r="W1191"/>
          <cell r="X1191"/>
          <cell r="Y1191"/>
        </row>
        <row r="1192">
          <cell r="A1192" t="str">
            <v>PRODUCTOS TOLEDANO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635</v>
          </cell>
          <cell r="J1192" t="str">
            <v>PRODUCTOS TOLEDANO</v>
          </cell>
          <cell r="M1192"/>
          <cell r="N1192">
            <v>201</v>
          </cell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</row>
        <row r="1193">
          <cell r="A1193" t="str">
            <v>PRODUCTOS TOLEDANO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201</v>
          </cell>
          <cell r="J1193" t="str">
            <v>PRODUCTOS TOLEDANO</v>
          </cell>
          <cell r="M1193"/>
          <cell r="N1193">
            <v>0</v>
          </cell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</row>
        <row r="1194">
          <cell r="A1194" t="str">
            <v>PRODUCTOS TOLEDANO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J1194" t="str">
            <v>PRODUCTOS TOLEDANO</v>
          </cell>
          <cell r="M1194"/>
          <cell r="N1194">
            <v>284</v>
          </cell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</row>
        <row r="1195">
          <cell r="A1195" t="str">
            <v>PRODUCTOS TOLEDANO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284</v>
          </cell>
          <cell r="J1195" t="str">
            <v>PRODUCTOS TOLEDANO</v>
          </cell>
          <cell r="M1195">
            <v>150</v>
          </cell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</row>
        <row r="1196">
          <cell r="A1196" t="str">
            <v>PRODUCTOS TOLEDANO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150</v>
          </cell>
          <cell r="J1196" t="str">
            <v>PRODUCTOS TOLEDANO</v>
          </cell>
          <cell r="M1196"/>
          <cell r="N1196">
            <v>250</v>
          </cell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</row>
        <row r="1197">
          <cell r="A1197" t="str">
            <v>PRODUCTOS TOLEDANO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250</v>
          </cell>
          <cell r="J1197" t="str">
            <v>PRODUCTOS TOLEDANO</v>
          </cell>
          <cell r="M1197"/>
          <cell r="N1197"/>
          <cell r="O1197">
            <v>1200</v>
          </cell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</row>
        <row r="1198">
          <cell r="A1198" t="str">
            <v>PRODUCTOS TOLEDANO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1200</v>
          </cell>
          <cell r="J1198" t="str">
            <v>PRODUCTOS TOLEDANO</v>
          </cell>
          <cell r="M1198">
            <v>390</v>
          </cell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</row>
        <row r="1199">
          <cell r="A1199" t="str">
            <v>PRODUCTOS TOLEDANO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390</v>
          </cell>
          <cell r="J1199" t="str">
            <v>PRODUCTOS TOLEDANO</v>
          </cell>
          <cell r="M1199"/>
          <cell r="N1199"/>
          <cell r="O1199">
            <v>410</v>
          </cell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</row>
        <row r="1200">
          <cell r="A1200" t="str">
            <v>PRODUCTOS TOLEDANO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410</v>
          </cell>
          <cell r="J1200" t="str">
            <v>PRODUCTOS TOLEDANO</v>
          </cell>
          <cell r="M1200"/>
          <cell r="N1200">
            <v>250</v>
          </cell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</row>
        <row r="1201">
          <cell r="A1201" t="str">
            <v>PRODUCTOS TOLEDANO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250</v>
          </cell>
          <cell r="J1201" t="str">
            <v>PRODUCTOS TOLEDANO</v>
          </cell>
          <cell r="M1201"/>
          <cell r="N1201">
            <v>120</v>
          </cell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</row>
        <row r="1202">
          <cell r="A1202" t="str">
            <v>PRODUCTOS TOLEDANO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120</v>
          </cell>
          <cell r="J1202" t="str">
            <v>PRODUCTOS TOLEDANO</v>
          </cell>
          <cell r="M1202"/>
          <cell r="N1202">
            <v>84</v>
          </cell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</row>
        <row r="1203">
          <cell r="A1203" t="str">
            <v>PRODUCTOS TOLEDANO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84</v>
          </cell>
          <cell r="J1203" t="str">
            <v>PRODUCTOS TOLEDANO</v>
          </cell>
          <cell r="M1203"/>
          <cell r="N1203">
            <v>22</v>
          </cell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</row>
        <row r="1204">
          <cell r="A1204" t="str">
            <v>PRODUCTOS TOLEDANO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22</v>
          </cell>
          <cell r="J1204" t="str">
            <v>PRODUCTOS TOLEDANO</v>
          </cell>
          <cell r="M1204"/>
          <cell r="N1204">
            <v>103</v>
          </cell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</row>
        <row r="1205">
          <cell r="A1205" t="str">
            <v>PRODUCTOS TOLEDANO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103</v>
          </cell>
          <cell r="J1205" t="str">
            <v>PRODUCTOS TOLEDANO</v>
          </cell>
          <cell r="M1205"/>
          <cell r="N1205">
            <v>0</v>
          </cell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</row>
        <row r="1206">
          <cell r="A1206" t="str">
            <v>PRODUCTOS TOLEDANO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J1206" t="str">
            <v>PRODUCTOS TOLEDANO</v>
          </cell>
          <cell r="M1206"/>
          <cell r="N1206">
            <v>165</v>
          </cell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</row>
        <row r="1207">
          <cell r="A1207" t="str">
            <v>PRODUCTOS TOLEDANO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165</v>
          </cell>
          <cell r="J1207" t="str">
            <v>PRODUCTOS TOLEDANO</v>
          </cell>
          <cell r="M1207"/>
          <cell r="N1207">
            <v>60</v>
          </cell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</row>
        <row r="1208">
          <cell r="A1208" t="str">
            <v>PRODUCTOS TOLEDANO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60</v>
          </cell>
          <cell r="J1208" t="str">
            <v>PRODUCTOS TOLEDANO</v>
          </cell>
          <cell r="M1208"/>
          <cell r="N1208"/>
          <cell r="O1208">
            <v>219</v>
          </cell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</row>
        <row r="1209">
          <cell r="A1209" t="str">
            <v>PRODUCTOS TOLEDANO</v>
          </cell>
          <cell r="C1209">
            <v>0</v>
          </cell>
          <cell r="D1209">
            <v>16</v>
          </cell>
          <cell r="E1209">
            <v>19</v>
          </cell>
          <cell r="F1209">
            <v>19</v>
          </cell>
          <cell r="G1209">
            <v>219</v>
          </cell>
          <cell r="J1209" t="str">
            <v>PRODUCTOS TOLEDANO</v>
          </cell>
          <cell r="M1209"/>
          <cell r="N1209"/>
          <cell r="O1209"/>
          <cell r="P1209"/>
          <cell r="Q1209">
            <v>83</v>
          </cell>
          <cell r="R1209"/>
          <cell r="S1209"/>
          <cell r="T1209"/>
          <cell r="U1209"/>
          <cell r="V1209"/>
          <cell r="W1209"/>
          <cell r="X1209"/>
          <cell r="Y1209"/>
        </row>
        <row r="1210">
          <cell r="A1210" t="str">
            <v>PRODUCTOS TOLEDANO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83</v>
          </cell>
          <cell r="J1210" t="str">
            <v>PRODUCTOS TOLEDANO</v>
          </cell>
          <cell r="M1210"/>
          <cell r="N1210"/>
          <cell r="O1210"/>
          <cell r="P1210"/>
          <cell r="Q1210"/>
          <cell r="R1210"/>
          <cell r="S1210">
            <v>152</v>
          </cell>
          <cell r="T1210"/>
          <cell r="U1210"/>
          <cell r="V1210"/>
          <cell r="W1210"/>
          <cell r="X1210"/>
          <cell r="Y1210"/>
        </row>
        <row r="1211">
          <cell r="A1211" t="str">
            <v>PRODUCTOS TOLEDANO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152</v>
          </cell>
          <cell r="J1211" t="str">
            <v>PRODUCTOS TOLEDANO</v>
          </cell>
          <cell r="M1211"/>
          <cell r="N1211"/>
          <cell r="O1211"/>
          <cell r="P1211"/>
          <cell r="Q1211"/>
          <cell r="R1211"/>
          <cell r="S1211"/>
          <cell r="T1211">
            <v>37</v>
          </cell>
          <cell r="U1211"/>
          <cell r="V1211"/>
          <cell r="W1211"/>
          <cell r="X1211"/>
          <cell r="Y1211"/>
        </row>
        <row r="1212">
          <cell r="A1212" t="str">
            <v>PRODUCTOS TOLEDANO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37</v>
          </cell>
          <cell r="J1212" t="str">
            <v>PRODUCTOS TOLEDANO</v>
          </cell>
          <cell r="M1212"/>
          <cell r="N1212"/>
          <cell r="O1212"/>
          <cell r="P1212"/>
          <cell r="Q1212"/>
          <cell r="R1212"/>
          <cell r="S1212"/>
          <cell r="T1212"/>
          <cell r="U1212">
            <v>0</v>
          </cell>
          <cell r="V1212"/>
          <cell r="W1212"/>
          <cell r="X1212"/>
          <cell r="Y1212"/>
        </row>
        <row r="1213">
          <cell r="A1213" t="str">
            <v>PRODUCTOS TOLEDANO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J1213" t="str">
            <v>PRODUCTOS TOLEDANO</v>
          </cell>
          <cell r="M1213"/>
          <cell r="N1213"/>
          <cell r="O1213"/>
          <cell r="P1213"/>
          <cell r="Q1213">
            <v>60</v>
          </cell>
          <cell r="R1213"/>
          <cell r="S1213"/>
          <cell r="T1213"/>
          <cell r="U1213"/>
          <cell r="V1213"/>
          <cell r="W1213"/>
          <cell r="X1213"/>
          <cell r="Y1213"/>
        </row>
        <row r="1214">
          <cell r="A1214" t="str">
            <v>PRODUCTOS TOLEDANO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60</v>
          </cell>
          <cell r="J1214" t="str">
            <v>PRODUCTOS TOLEDANO</v>
          </cell>
          <cell r="M1214"/>
          <cell r="N1214"/>
          <cell r="O1214"/>
          <cell r="P1214"/>
          <cell r="Q1214"/>
          <cell r="R1214"/>
          <cell r="S1214"/>
          <cell r="T1214"/>
          <cell r="U1214"/>
          <cell r="V1214">
            <v>0</v>
          </cell>
          <cell r="W1214"/>
          <cell r="X1214"/>
          <cell r="Y1214"/>
        </row>
        <row r="1215">
          <cell r="A1215" t="str">
            <v>PRODUCTOS TOLEDANO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J1215" t="str">
            <v>PRODUCTOS TOLEDANO</v>
          </cell>
          <cell r="M1215"/>
          <cell r="N1215"/>
          <cell r="O1215"/>
          <cell r="P1215"/>
          <cell r="Q1215"/>
          <cell r="R1215"/>
          <cell r="S1215"/>
          <cell r="T1215"/>
          <cell r="U1215">
            <v>305</v>
          </cell>
          <cell r="V1215"/>
          <cell r="W1215"/>
          <cell r="X1215"/>
          <cell r="Y1215"/>
        </row>
        <row r="1216">
          <cell r="A1216" t="str">
            <v>PRODUCTOS TOLEDANO</v>
          </cell>
          <cell r="C1216">
            <v>0</v>
          </cell>
          <cell r="D1216">
            <v>40</v>
          </cell>
          <cell r="E1216">
            <v>60</v>
          </cell>
          <cell r="F1216">
            <v>40</v>
          </cell>
          <cell r="G1216">
            <v>305</v>
          </cell>
          <cell r="J1216" t="str">
            <v>PRODUCTOS TOLEDANO</v>
          </cell>
          <cell r="M1216">
            <v>400</v>
          </cell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</row>
        <row r="1217">
          <cell r="A1217" t="str">
            <v>PRODUCTOS TOLEDANO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400</v>
          </cell>
          <cell r="J1217" t="str">
            <v>PRODUCTOS TOLEDANO</v>
          </cell>
          <cell r="M1217"/>
          <cell r="N1217"/>
          <cell r="O1217">
            <v>256</v>
          </cell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</row>
        <row r="1218">
          <cell r="A1218" t="str">
            <v>PRODUCTOS TOLEDANO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256</v>
          </cell>
          <cell r="J1218" t="str">
            <v>PRODUCTOS TOLEDANO</v>
          </cell>
          <cell r="M1218"/>
          <cell r="N1218"/>
          <cell r="O1218"/>
          <cell r="P1218"/>
          <cell r="Q1218">
            <v>496</v>
          </cell>
          <cell r="R1218"/>
          <cell r="S1218"/>
          <cell r="T1218"/>
          <cell r="U1218"/>
          <cell r="V1218"/>
          <cell r="W1218"/>
          <cell r="X1218"/>
          <cell r="Y1218"/>
        </row>
        <row r="1219">
          <cell r="A1219" t="str">
            <v>PRODUCTOS TOLEDANO</v>
          </cell>
          <cell r="C1219">
            <v>73</v>
          </cell>
          <cell r="D1219">
            <v>0</v>
          </cell>
          <cell r="E1219">
            <v>0</v>
          </cell>
          <cell r="F1219">
            <v>0</v>
          </cell>
          <cell r="G1219">
            <v>496</v>
          </cell>
          <cell r="J1219" t="str">
            <v>PRODUCTOS TOLEDANO</v>
          </cell>
          <cell r="M1219"/>
          <cell r="N1219"/>
          <cell r="O1219"/>
          <cell r="P1219"/>
          <cell r="Q1219"/>
          <cell r="R1219"/>
          <cell r="S1219"/>
          <cell r="T1219">
            <v>30</v>
          </cell>
          <cell r="U1219"/>
          <cell r="V1219"/>
          <cell r="W1219"/>
          <cell r="X1219"/>
          <cell r="Y1219"/>
        </row>
        <row r="1220">
          <cell r="A1220" t="str">
            <v>PRODUCTOS TOLEDANO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30</v>
          </cell>
          <cell r="J1220" t="str">
            <v>PRODUCTOS TOLEDANO</v>
          </cell>
          <cell r="M1220"/>
          <cell r="N1220"/>
          <cell r="O1220"/>
          <cell r="P1220"/>
          <cell r="Q1220">
            <v>4560</v>
          </cell>
          <cell r="R1220"/>
          <cell r="S1220"/>
          <cell r="T1220"/>
          <cell r="U1220"/>
          <cell r="V1220"/>
          <cell r="W1220"/>
          <cell r="X1220"/>
          <cell r="Y1220"/>
        </row>
        <row r="1221">
          <cell r="A1221" t="str">
            <v>PRODUCTOS TOLEDANO</v>
          </cell>
          <cell r="C1221">
            <v>0</v>
          </cell>
          <cell r="D1221">
            <v>680</v>
          </cell>
          <cell r="E1221">
            <v>450</v>
          </cell>
          <cell r="F1221">
            <v>450</v>
          </cell>
          <cell r="G1221">
            <v>4560</v>
          </cell>
          <cell r="J1221" t="str">
            <v>PRODUCTOS TOLEDANO</v>
          </cell>
          <cell r="M1221"/>
          <cell r="N1221">
            <v>0</v>
          </cell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</row>
        <row r="1222">
          <cell r="A1222" t="str">
            <v>PRODUCTOS TOLEDANO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J1222" t="str">
            <v>PRODUCTOS TOLEDANO</v>
          </cell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>
            <v>0</v>
          </cell>
          <cell r="X1222"/>
          <cell r="Y1222"/>
        </row>
        <row r="1223">
          <cell r="A1223" t="str">
            <v>PRODUCTOS TOLEDANO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J1223" t="str">
            <v>PRODUCTOS TOLEDANO</v>
          </cell>
          <cell r="M1223">
            <v>400</v>
          </cell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</row>
        <row r="1224">
          <cell r="A1224" t="str">
            <v>PRODUCTOS TOLEDANO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400</v>
          </cell>
          <cell r="J1224" t="str">
            <v>PRODUCTOS TOLEDANO</v>
          </cell>
          <cell r="M1224"/>
          <cell r="N1224"/>
          <cell r="O1224">
            <v>34</v>
          </cell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</row>
        <row r="1225">
          <cell r="A1225" t="str">
            <v>PRODUCTOS TOLEDANO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34</v>
          </cell>
          <cell r="J1225" t="str">
            <v>PRODUCTOS TOLEDANO</v>
          </cell>
          <cell r="M1225">
            <v>100</v>
          </cell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</row>
        <row r="1226">
          <cell r="A1226" t="str">
            <v>PRODUCTOS TOLEDANO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100</v>
          </cell>
          <cell r="J1226" t="str">
            <v>PRODUCTOS TOLEDANO</v>
          </cell>
          <cell r="M1226"/>
          <cell r="N1226">
            <v>230</v>
          </cell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</row>
        <row r="1227">
          <cell r="A1227" t="str">
            <v>PRODUCTOS TOLEDANO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230</v>
          </cell>
          <cell r="J1227" t="str">
            <v>PRODUCTOS TOLEDANO</v>
          </cell>
          <cell r="M1227">
            <v>350</v>
          </cell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</row>
        <row r="1228">
          <cell r="A1228" t="str">
            <v>PRODUCTOS TOLEDANO</v>
          </cell>
          <cell r="C1228">
            <v>200</v>
          </cell>
          <cell r="D1228">
            <v>25</v>
          </cell>
          <cell r="E1228">
            <v>100</v>
          </cell>
          <cell r="F1228">
            <v>25</v>
          </cell>
          <cell r="G1228">
            <v>350</v>
          </cell>
          <cell r="J1228" t="str">
            <v>PRODUCTOS TOLEDANO</v>
          </cell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>
            <v>628</v>
          </cell>
          <cell r="X1228"/>
          <cell r="Y1228"/>
        </row>
        <row r="1229">
          <cell r="A1229" t="str">
            <v>PRODUCTOS TOLEDANO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628</v>
          </cell>
          <cell r="J1229" t="str">
            <v>PRODUCTOS TOLEDANO</v>
          </cell>
          <cell r="M1229"/>
          <cell r="N1229"/>
          <cell r="O1229"/>
          <cell r="P1229"/>
          <cell r="Q1229"/>
          <cell r="R1229"/>
          <cell r="S1229"/>
          <cell r="T1229">
            <v>192</v>
          </cell>
          <cell r="U1229"/>
          <cell r="V1229"/>
          <cell r="W1229"/>
          <cell r="X1229"/>
          <cell r="Y1229"/>
        </row>
        <row r="1230">
          <cell r="A1230" t="str">
            <v>PRODUCTOS TOLEDANO</v>
          </cell>
          <cell r="C1230">
            <v>85</v>
          </cell>
          <cell r="D1230">
            <v>22</v>
          </cell>
          <cell r="E1230">
            <v>25</v>
          </cell>
          <cell r="F1230">
            <v>29</v>
          </cell>
          <cell r="G1230">
            <v>192</v>
          </cell>
          <cell r="J1230" t="str">
            <v>PRODUCTOS TOLEDANO</v>
          </cell>
          <cell r="M1230"/>
          <cell r="N1230">
            <v>97</v>
          </cell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</row>
        <row r="1231">
          <cell r="A1231" t="str">
            <v>PRODUCTOS TOLEDANO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97</v>
          </cell>
          <cell r="J1231" t="str">
            <v>PRODUCTOS TOLEDANO</v>
          </cell>
          <cell r="M1231">
            <v>77</v>
          </cell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</row>
        <row r="1232">
          <cell r="A1232" t="str">
            <v>PRODUCTOS TOLEDANO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77</v>
          </cell>
          <cell r="J1232" t="str">
            <v>PRODUCTOS TOLEDANO</v>
          </cell>
          <cell r="M1232"/>
          <cell r="N1232">
            <v>130</v>
          </cell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</row>
        <row r="1233">
          <cell r="A1233" t="str">
            <v>PRODUCTOS TOLEDANO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130</v>
          </cell>
          <cell r="J1233" t="str">
            <v>PRODUCTOS TOLEDANO</v>
          </cell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>
            <v>0</v>
          </cell>
          <cell r="X1233"/>
          <cell r="Y1233"/>
        </row>
        <row r="1234">
          <cell r="A1234" t="str">
            <v>PRODUCTOS TOLEDANO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J1234" t="str">
            <v>PRODUCTOS TOLEDANO</v>
          </cell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>
            <v>0</v>
          </cell>
          <cell r="X1234"/>
          <cell r="Y1234"/>
        </row>
        <row r="1235">
          <cell r="A1235" t="str">
            <v>PRODUCTOS TOLEDANO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J1235" t="str">
            <v>PRODUCTOS TOLEDANO</v>
          </cell>
          <cell r="M1235"/>
          <cell r="N1235"/>
          <cell r="O1235"/>
          <cell r="P1235"/>
          <cell r="Q1235"/>
          <cell r="R1235"/>
          <cell r="S1235"/>
          <cell r="T1235"/>
          <cell r="U1235">
            <v>251</v>
          </cell>
          <cell r="V1235"/>
          <cell r="W1235"/>
          <cell r="X1235"/>
          <cell r="Y1235"/>
        </row>
        <row r="1236">
          <cell r="A1236" t="str">
            <v>PRODUCTOS TOLEDANO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251</v>
          </cell>
          <cell r="J1236" t="str">
            <v>PRODUCTOS TOLEDANO</v>
          </cell>
          <cell r="M1236"/>
          <cell r="N1236"/>
          <cell r="O1236"/>
          <cell r="P1236"/>
          <cell r="Q1236"/>
          <cell r="R1236"/>
          <cell r="S1236">
            <v>40</v>
          </cell>
          <cell r="T1236"/>
          <cell r="U1236"/>
          <cell r="V1236"/>
          <cell r="W1236"/>
          <cell r="X1236"/>
          <cell r="Y1236"/>
        </row>
        <row r="1237">
          <cell r="A1237" t="str">
            <v>PRODUCTOS TOLEDANO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40</v>
          </cell>
          <cell r="J1237" t="str">
            <v>PRODUCTOS TOLEDANO</v>
          </cell>
          <cell r="M1237"/>
          <cell r="N1237">
            <v>120</v>
          </cell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</row>
        <row r="1238">
          <cell r="A1238" t="str">
            <v>PRODUCTOS TOLEDANO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120</v>
          </cell>
          <cell r="J1238" t="str">
            <v>PRODUCTOS TOLEDANO</v>
          </cell>
          <cell r="M1238">
            <v>125</v>
          </cell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</row>
        <row r="1239">
          <cell r="A1239" t="str">
            <v>PRODUCTOS TOLEDANO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125</v>
          </cell>
          <cell r="J1239" t="str">
            <v>PRODUCTOS TOLEDANO</v>
          </cell>
          <cell r="M1239"/>
          <cell r="N1239"/>
          <cell r="O1239"/>
          <cell r="P1239"/>
          <cell r="Q1239"/>
          <cell r="R1239"/>
          <cell r="S1239"/>
          <cell r="T1239"/>
          <cell r="U1239"/>
          <cell r="V1239">
            <v>0</v>
          </cell>
          <cell r="W1239"/>
          <cell r="X1239"/>
          <cell r="Y1239"/>
        </row>
        <row r="1240">
          <cell r="A1240" t="str">
            <v>PRODUCTOS TOLEDANO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J1240" t="str">
            <v>PRODUCTOS TOLEDANO</v>
          </cell>
          <cell r="M1240"/>
          <cell r="N1240"/>
          <cell r="O1240"/>
          <cell r="P1240"/>
          <cell r="Q1240"/>
          <cell r="R1240"/>
          <cell r="S1240">
            <v>50</v>
          </cell>
          <cell r="T1240"/>
          <cell r="U1240"/>
          <cell r="V1240"/>
          <cell r="W1240"/>
          <cell r="X1240"/>
          <cell r="Y1240"/>
        </row>
        <row r="1241">
          <cell r="A1241" t="str">
            <v>PRODUCTOS TOLEDANO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50</v>
          </cell>
          <cell r="J1241" t="str">
            <v>PRODUCTOS TOLEDANO</v>
          </cell>
          <cell r="M1241"/>
          <cell r="N1241"/>
          <cell r="O1241"/>
          <cell r="P1241"/>
          <cell r="Q1241"/>
          <cell r="R1241"/>
          <cell r="S1241"/>
          <cell r="T1241"/>
          <cell r="U1241"/>
          <cell r="V1241">
            <v>0</v>
          </cell>
          <cell r="W1241"/>
          <cell r="X1241"/>
          <cell r="Y1241"/>
        </row>
        <row r="1242">
          <cell r="A1242" t="str">
            <v>PRODUCTOS TOLEDANO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J1242" t="str">
            <v>PRODUCTOS TOLEDANO</v>
          </cell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>
            <v>0</v>
          </cell>
        </row>
        <row r="1243">
          <cell r="A1243" t="str">
            <v>PRODUCTOS TOLEDANO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J1243" t="str">
            <v>PRODUCTOS TOLEDANO</v>
          </cell>
          <cell r="M1243"/>
          <cell r="N1243"/>
          <cell r="O1243">
            <v>0</v>
          </cell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</row>
        <row r="1244">
          <cell r="A1244" t="str">
            <v>PRODUCTOS TOLEDANO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J1244" t="str">
            <v>PRODUCTOS TOLEDANO</v>
          </cell>
          <cell r="M1244">
            <v>209</v>
          </cell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</row>
        <row r="1245">
          <cell r="A1245" t="str">
            <v>PRODUCTOS TOLEDANO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209</v>
          </cell>
          <cell r="J1245" t="str">
            <v>PRODUCTOS TOLEDANO</v>
          </cell>
          <cell r="M1245">
            <v>0</v>
          </cell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</row>
        <row r="1246">
          <cell r="A1246" t="str">
            <v>PRODUCTOS TOLEDANO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J1246" t="str">
            <v>PRODUCTOS TOLEDANO</v>
          </cell>
          <cell r="M1246"/>
          <cell r="N1246"/>
          <cell r="O1246"/>
          <cell r="P1246"/>
          <cell r="Q1246"/>
          <cell r="R1246"/>
          <cell r="S1246">
            <v>150</v>
          </cell>
          <cell r="T1246"/>
          <cell r="U1246"/>
          <cell r="V1246"/>
          <cell r="W1246"/>
          <cell r="X1246"/>
          <cell r="Y1246"/>
        </row>
        <row r="1247">
          <cell r="A1247" t="str">
            <v>PRODUCTOS TOLEDANO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150</v>
          </cell>
          <cell r="J1247" t="str">
            <v>PRODUCTOS TOLEDANO</v>
          </cell>
          <cell r="M1247"/>
          <cell r="N1247"/>
          <cell r="O1247">
            <v>421</v>
          </cell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</row>
        <row r="1248">
          <cell r="A1248" t="str">
            <v>PRODUCTOS TOLEDANO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421</v>
          </cell>
          <cell r="J1248" t="str">
            <v>PRODUCTOS TOLEDANO</v>
          </cell>
          <cell r="M1248"/>
          <cell r="N1248"/>
          <cell r="O1248"/>
          <cell r="P1248">
            <v>173</v>
          </cell>
          <cell r="Q1248"/>
          <cell r="R1248"/>
          <cell r="S1248"/>
          <cell r="T1248"/>
          <cell r="U1248"/>
          <cell r="V1248"/>
          <cell r="W1248"/>
          <cell r="X1248"/>
          <cell r="Y1248"/>
        </row>
        <row r="1249">
          <cell r="A1249" t="str">
            <v>PRODUCTOS TOLEDANO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173</v>
          </cell>
          <cell r="J1249" t="str">
            <v>PRODUCTOS TOLEDANO</v>
          </cell>
          <cell r="M1249"/>
          <cell r="N1249"/>
          <cell r="O1249"/>
          <cell r="P1249"/>
          <cell r="Q1249"/>
          <cell r="R1249"/>
          <cell r="S1249"/>
          <cell r="T1249"/>
          <cell r="U1249"/>
          <cell r="V1249">
            <v>0</v>
          </cell>
          <cell r="W1249"/>
          <cell r="X1249"/>
          <cell r="Y1249"/>
        </row>
        <row r="1250">
          <cell r="A1250" t="str">
            <v>PRODUCTOS TOLEDANO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J1250" t="str">
            <v>PRODUCTOS TOLEDANO</v>
          </cell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</row>
        <row r="1251">
          <cell r="A1251" t="str">
            <v>PRODUCTOS TOLEDANO</v>
          </cell>
          <cell r="C1251">
            <v>0</v>
          </cell>
          <cell r="D1251">
            <v>10</v>
          </cell>
          <cell r="E1251">
            <v>20</v>
          </cell>
          <cell r="F1251">
            <v>32</v>
          </cell>
          <cell r="G1251">
            <v>83</v>
          </cell>
          <cell r="J1251" t="str">
            <v>PRODUCTOS TOLEDANO</v>
          </cell>
          <cell r="M1251"/>
          <cell r="N1251"/>
          <cell r="O1251"/>
          <cell r="P1251"/>
          <cell r="Q1251"/>
          <cell r="R1251"/>
          <cell r="S1251"/>
          <cell r="T1251"/>
          <cell r="U1251"/>
          <cell r="V1251">
            <v>200</v>
          </cell>
          <cell r="W1251"/>
          <cell r="X1251"/>
          <cell r="Y1251"/>
        </row>
        <row r="1252">
          <cell r="A1252" t="str">
            <v>PRODUCTOS TOLEDANO</v>
          </cell>
          <cell r="C1252">
            <v>200</v>
          </cell>
          <cell r="D1252">
            <v>0</v>
          </cell>
          <cell r="E1252">
            <v>0</v>
          </cell>
          <cell r="F1252">
            <v>0</v>
          </cell>
          <cell r="G1252">
            <v>200</v>
          </cell>
          <cell r="J1252" t="str">
            <v>PRODUCTOS TOLEDANO</v>
          </cell>
          <cell r="M1252"/>
          <cell r="N1252">
            <v>110</v>
          </cell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</row>
        <row r="1253">
          <cell r="A1253" t="str">
            <v>PRODUCTOS TOLEDANO</v>
          </cell>
          <cell r="C1253">
            <v>0</v>
          </cell>
          <cell r="D1253">
            <v>35</v>
          </cell>
          <cell r="E1253">
            <v>0</v>
          </cell>
          <cell r="F1253">
            <v>0</v>
          </cell>
          <cell r="G1253">
            <v>110</v>
          </cell>
          <cell r="J1253" t="str">
            <v>PRODUCTOS TOLEDANO</v>
          </cell>
          <cell r="M1253"/>
          <cell r="N1253"/>
          <cell r="O1253"/>
          <cell r="P1253">
            <v>150</v>
          </cell>
          <cell r="Q1253"/>
          <cell r="R1253"/>
          <cell r="S1253"/>
          <cell r="T1253"/>
          <cell r="U1253"/>
          <cell r="V1253"/>
          <cell r="W1253"/>
          <cell r="X1253"/>
          <cell r="Y1253"/>
        </row>
        <row r="1254">
          <cell r="A1254" t="str">
            <v>PRODUCTOS TOLEDANO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150</v>
          </cell>
          <cell r="J1254" t="str">
            <v>PRODUCTOS TOLEDANO</v>
          </cell>
          <cell r="M1254"/>
          <cell r="N1254"/>
          <cell r="O1254">
            <v>105</v>
          </cell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</row>
        <row r="1255">
          <cell r="A1255" t="str">
            <v>PRODUCTOS TOLEDANO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105</v>
          </cell>
          <cell r="J1255" t="str">
            <v>PRODUCTOS TOLEDANO</v>
          </cell>
          <cell r="M1255"/>
          <cell r="N1255"/>
          <cell r="O1255"/>
          <cell r="P1255"/>
          <cell r="Q1255"/>
          <cell r="R1255"/>
          <cell r="S1255"/>
          <cell r="T1255">
            <v>0</v>
          </cell>
          <cell r="U1255"/>
          <cell r="V1255"/>
          <cell r="W1255"/>
          <cell r="X1255"/>
          <cell r="Y1255"/>
        </row>
        <row r="1256">
          <cell r="A1256" t="str">
            <v>PRODUCTOS TOLEDANO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J1256" t="str">
            <v>PRODUCTOS TOLEDANO</v>
          </cell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>
            <v>50</v>
          </cell>
        </row>
        <row r="1257">
          <cell r="A1257" t="str">
            <v>PRODUCTOS TOLEDANO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50</v>
          </cell>
          <cell r="J1257" t="str">
            <v>PRODUCTOS TOLEDANO</v>
          </cell>
          <cell r="M1257"/>
          <cell r="N1257"/>
          <cell r="O1257"/>
          <cell r="P1257"/>
          <cell r="Q1257"/>
          <cell r="R1257"/>
          <cell r="S1257"/>
          <cell r="T1257">
            <v>1800</v>
          </cell>
          <cell r="U1257"/>
          <cell r="V1257"/>
          <cell r="W1257"/>
          <cell r="X1257"/>
          <cell r="Y1257"/>
        </row>
        <row r="1258">
          <cell r="A1258" t="str">
            <v>PRODUCTOS TOLEDANO</v>
          </cell>
          <cell r="C1258">
            <v>1200</v>
          </cell>
          <cell r="D1258">
            <v>0</v>
          </cell>
          <cell r="E1258">
            <v>0</v>
          </cell>
          <cell r="F1258">
            <v>0</v>
          </cell>
          <cell r="G1258">
            <v>1800</v>
          </cell>
          <cell r="J1258" t="str">
            <v>PRODUCTOS TOLEDANO</v>
          </cell>
          <cell r="M1258"/>
          <cell r="N1258"/>
          <cell r="O1258"/>
          <cell r="P1258"/>
          <cell r="Q1258"/>
          <cell r="R1258"/>
          <cell r="S1258"/>
          <cell r="T1258">
            <v>240</v>
          </cell>
          <cell r="U1258"/>
          <cell r="V1258"/>
          <cell r="W1258"/>
          <cell r="X1258"/>
          <cell r="Y1258"/>
        </row>
        <row r="1259">
          <cell r="A1259" t="str">
            <v>PRODUCTOS TOLEDANO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240</v>
          </cell>
          <cell r="J1259" t="str">
            <v>PRODUCTOS TOLEDANO</v>
          </cell>
          <cell r="M1259"/>
          <cell r="N1259"/>
          <cell r="O1259"/>
          <cell r="P1259"/>
          <cell r="Q1259"/>
          <cell r="R1259"/>
          <cell r="S1259"/>
          <cell r="T1259"/>
          <cell r="U1259">
            <v>80</v>
          </cell>
          <cell r="V1259"/>
          <cell r="W1259"/>
          <cell r="X1259"/>
          <cell r="Y1259"/>
        </row>
        <row r="1260">
          <cell r="A1260" t="str">
            <v>PRODUCTOS TOLEDANO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80</v>
          </cell>
          <cell r="J1260" t="str">
            <v>PRODUCTOS TOLEDANO</v>
          </cell>
          <cell r="M1260"/>
          <cell r="N1260"/>
          <cell r="O1260"/>
          <cell r="P1260"/>
          <cell r="Q1260"/>
          <cell r="R1260"/>
          <cell r="S1260"/>
          <cell r="T1260"/>
          <cell r="U1260">
            <v>0</v>
          </cell>
          <cell r="V1260"/>
          <cell r="W1260"/>
          <cell r="X1260"/>
          <cell r="Y1260"/>
        </row>
        <row r="1261">
          <cell r="A1261" t="str">
            <v>PRODUCTOS TOLEDANO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J1261" t="str">
            <v>PRODUCTOS TOLEDANO</v>
          </cell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>
            <v>200</v>
          </cell>
          <cell r="X1261"/>
          <cell r="Y1261"/>
        </row>
        <row r="1262">
          <cell r="A1262" t="str">
            <v>PRODUCTOS TOLEDANO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200</v>
          </cell>
          <cell r="J1262" t="str">
            <v>PRODUCTOS TOLEDANO</v>
          </cell>
          <cell r="M1262"/>
          <cell r="N1262"/>
          <cell r="O1262"/>
          <cell r="P1262"/>
          <cell r="Q1262"/>
          <cell r="R1262"/>
          <cell r="S1262"/>
          <cell r="T1262"/>
          <cell r="U1262"/>
          <cell r="V1262">
            <v>39</v>
          </cell>
          <cell r="W1262"/>
          <cell r="X1262"/>
          <cell r="Y1262"/>
        </row>
        <row r="1263">
          <cell r="A1263" t="str">
            <v>PRODUCTOS TOLEDANO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39</v>
          </cell>
          <cell r="J1263" t="str">
            <v>PRODUCTOS TOLEDANO</v>
          </cell>
          <cell r="M1263"/>
          <cell r="N1263"/>
          <cell r="O1263"/>
          <cell r="P1263"/>
          <cell r="Q1263"/>
          <cell r="R1263"/>
          <cell r="S1263"/>
          <cell r="T1263"/>
          <cell r="U1263"/>
          <cell r="V1263">
            <v>30</v>
          </cell>
          <cell r="W1263"/>
          <cell r="X1263"/>
          <cell r="Y1263"/>
        </row>
        <row r="1264">
          <cell r="A1264" t="str">
            <v>PRODUCTOS TOLEDANO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30</v>
          </cell>
          <cell r="J1264" t="str">
            <v>PRODUCTOS TOLEDANO</v>
          </cell>
          <cell r="M1264"/>
          <cell r="N1264">
            <v>0</v>
          </cell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</row>
        <row r="1265">
          <cell r="A1265" t="str">
            <v>PRODUCTOS TOLEDANO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J1265" t="str">
            <v>PRODUCTOS TOLEDANO</v>
          </cell>
          <cell r="M1265"/>
          <cell r="N1265"/>
          <cell r="O1265">
            <v>346</v>
          </cell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</row>
        <row r="1266">
          <cell r="A1266" t="str">
            <v>PRODUCTOS TOLEDANO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346</v>
          </cell>
          <cell r="J1266" t="str">
            <v>ALIMENTOS CÁRNICOS DE PANAMA ,S.A</v>
          </cell>
          <cell r="M1266"/>
          <cell r="N1266">
            <v>212</v>
          </cell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</row>
        <row r="1267">
          <cell r="A1267" t="str">
            <v>ALIMENTOS CÁRNICOS DE PANAMA ,S.A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212</v>
          </cell>
          <cell r="J1267" t="str">
            <v>ALIMENTOS CÁRNICOS DE PANAMA ,S.A</v>
          </cell>
          <cell r="M1267"/>
          <cell r="N1267"/>
          <cell r="O1267">
            <v>180</v>
          </cell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</row>
        <row r="1268">
          <cell r="A1268" t="str">
            <v>ALIMENTOS CÁRNICOS DE PANAMA ,S.A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180</v>
          </cell>
          <cell r="J1268" t="str">
            <v>ALIMENTOS CÁRNICOS DE PANAMA ,S.A</v>
          </cell>
          <cell r="M1268"/>
          <cell r="N1268"/>
          <cell r="O1268"/>
          <cell r="P1268"/>
          <cell r="Q1268">
            <v>1060</v>
          </cell>
          <cell r="R1268"/>
          <cell r="S1268"/>
          <cell r="T1268"/>
          <cell r="U1268"/>
          <cell r="V1268"/>
          <cell r="W1268"/>
          <cell r="X1268"/>
          <cell r="Y1268"/>
        </row>
        <row r="1269">
          <cell r="A1269" t="str">
            <v>ALIMENTOS CÁRNICOS DE PANAMA ,S.A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1060</v>
          </cell>
          <cell r="J1269" t="str">
            <v>ALIMENTOS CÁRNICOS DE PANAMA ,S.A</v>
          </cell>
          <cell r="M1269"/>
          <cell r="N1269"/>
          <cell r="O1269"/>
          <cell r="P1269"/>
          <cell r="Q1269"/>
          <cell r="R1269">
            <v>180</v>
          </cell>
          <cell r="S1269"/>
          <cell r="T1269"/>
          <cell r="U1269"/>
          <cell r="V1269"/>
          <cell r="W1269"/>
          <cell r="X1269"/>
          <cell r="Y1269"/>
        </row>
        <row r="1270">
          <cell r="A1270" t="str">
            <v>ALIMENTOS CÁRNICOS DE PANAMA ,S.A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180</v>
          </cell>
          <cell r="J1270" t="str">
            <v>ALIMENTOS CÁRNICOS DE PANAMA ,S.A</v>
          </cell>
          <cell r="M1270"/>
          <cell r="N1270"/>
          <cell r="O1270"/>
          <cell r="P1270"/>
          <cell r="Q1270"/>
          <cell r="R1270"/>
          <cell r="S1270">
            <v>73</v>
          </cell>
          <cell r="T1270"/>
          <cell r="U1270"/>
          <cell r="V1270"/>
          <cell r="W1270"/>
          <cell r="X1270"/>
          <cell r="Y1270"/>
        </row>
        <row r="1271">
          <cell r="A1271" t="str">
            <v>ALIMENTOS CÁRNICOS DE PANAMA ,S.A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73</v>
          </cell>
          <cell r="J1271" t="str">
            <v>ALIMENTOS CÁRNICOS DE PANAMA ,S.A</v>
          </cell>
          <cell r="M1271"/>
          <cell r="N1271"/>
          <cell r="O1271">
            <v>65</v>
          </cell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</row>
        <row r="1272">
          <cell r="A1272" t="str">
            <v>ALIMENTOS CÁRNICOS DE PANAMA ,S.A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65</v>
          </cell>
          <cell r="J1272" t="str">
            <v>ALIMENTOS CÁRNICOS DE PANAMA ,S.A</v>
          </cell>
          <cell r="M1272">
            <v>0</v>
          </cell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</row>
        <row r="1273">
          <cell r="A1273" t="str">
            <v>ALIMENTOS CÁRNICOS DE PANAMA ,S.A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J1273" t="str">
            <v>ALIMENTOS CÁRNICOS DE PANAMA ,S.A</v>
          </cell>
          <cell r="M1273"/>
          <cell r="N1273">
            <v>282</v>
          </cell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</row>
        <row r="1274">
          <cell r="A1274" t="str">
            <v>ALIMENTOS CÁRNICOS DE PANAMA ,S.A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282</v>
          </cell>
          <cell r="J1274" t="str">
            <v>ALIMENTOS CÁRNICOS DE PANAMA ,S.A</v>
          </cell>
          <cell r="M1274"/>
          <cell r="N1274">
            <v>62</v>
          </cell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</row>
        <row r="1275">
          <cell r="A1275" t="str">
            <v>ALIMENTOS CÁRNICOS DE PANAMA ,S.A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62</v>
          </cell>
          <cell r="J1275" t="str">
            <v>ALIMENTOS CÁRNICOS DE PANAMA ,S.A</v>
          </cell>
          <cell r="M1275"/>
          <cell r="N1275">
            <v>456</v>
          </cell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</row>
        <row r="1276">
          <cell r="A1276" t="str">
            <v>ALIMENTOS CÁRNICOS DE PANAMA ,S.A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456</v>
          </cell>
          <cell r="J1276" t="str">
            <v>ALIMENTOS CÁRNICOS DE PANAMA ,S.A</v>
          </cell>
          <cell r="M1276">
            <v>350</v>
          </cell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</row>
        <row r="1277">
          <cell r="A1277" t="str">
            <v>ALIMENTOS CÁRNICOS DE PANAMA ,S.A</v>
          </cell>
          <cell r="C1277">
            <v>200</v>
          </cell>
          <cell r="D1277">
            <v>25</v>
          </cell>
          <cell r="E1277">
            <v>100</v>
          </cell>
          <cell r="F1277">
            <v>25</v>
          </cell>
          <cell r="G1277">
            <v>350</v>
          </cell>
          <cell r="J1277" t="str">
            <v>ALIMENTOS CÁRNICOS DE PANAMA ,S.A</v>
          </cell>
          <cell r="M1277"/>
          <cell r="N1277">
            <v>510</v>
          </cell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</row>
        <row r="1278">
          <cell r="A1278" t="str">
            <v>ALIMENTOS CÁRNICOS DE PANAMA ,S.A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510</v>
          </cell>
          <cell r="J1278" t="str">
            <v>ALIMENTOS CÁRNICOS DE PANAMA ,S.A</v>
          </cell>
          <cell r="M1278">
            <v>25</v>
          </cell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</row>
        <row r="1279">
          <cell r="A1279" t="str">
            <v>ALIMENTOS CÁRNICOS DE PANAMA ,S.A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25</v>
          </cell>
          <cell r="J1279" t="str">
            <v>Price-Smart-Panama S.A</v>
          </cell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</row>
        <row r="1280">
          <cell r="A1280" t="str">
            <v>Price-Smart-Panama S.A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J1280" t="str">
            <v>Price-Smart-Panama S.A</v>
          </cell>
          <cell r="M1280"/>
          <cell r="N1280">
            <v>212</v>
          </cell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</row>
        <row r="1281">
          <cell r="A1281" t="str">
            <v>Price-Smart-Panama S.A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212</v>
          </cell>
          <cell r="J1281" t="str">
            <v>Price-Smart-Panama S.A</v>
          </cell>
          <cell r="M1281"/>
          <cell r="N1281"/>
          <cell r="O1281">
            <v>30</v>
          </cell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</row>
        <row r="1282">
          <cell r="A1282" t="str">
            <v>Price-Smart-Panama S.A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30</v>
          </cell>
          <cell r="J1282" t="str">
            <v>Price-Smart-Panama S.A</v>
          </cell>
          <cell r="M1282"/>
          <cell r="N1282"/>
          <cell r="O1282"/>
          <cell r="P1282">
            <v>102</v>
          </cell>
          <cell r="Q1282"/>
          <cell r="R1282"/>
          <cell r="S1282"/>
          <cell r="T1282"/>
          <cell r="U1282"/>
          <cell r="V1282"/>
          <cell r="W1282"/>
          <cell r="X1282"/>
          <cell r="Y1282"/>
        </row>
        <row r="1283">
          <cell r="A1283" t="str">
            <v>Price-Smart-Panama S.A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102</v>
          </cell>
          <cell r="J1283" t="str">
            <v>Price-Smart-Panama S.A</v>
          </cell>
          <cell r="M1283"/>
          <cell r="N1283">
            <v>100</v>
          </cell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</row>
        <row r="1284">
          <cell r="A1284" t="str">
            <v>Price-Smart-Panama S.A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100</v>
          </cell>
          <cell r="J1284" t="str">
            <v>Price-Smart-Panama S.A</v>
          </cell>
          <cell r="M1284"/>
          <cell r="N1284"/>
          <cell r="O1284">
            <v>180</v>
          </cell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</row>
        <row r="1285">
          <cell r="A1285" t="str">
            <v>Price-Smart-Panama S.A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180</v>
          </cell>
          <cell r="J1285" t="str">
            <v>Price-Smart-Panama S.A</v>
          </cell>
          <cell r="M1285"/>
          <cell r="N1285"/>
          <cell r="O1285"/>
          <cell r="P1285"/>
          <cell r="Q1285">
            <v>1060</v>
          </cell>
          <cell r="R1285"/>
          <cell r="S1285"/>
          <cell r="T1285"/>
          <cell r="U1285"/>
          <cell r="V1285"/>
          <cell r="W1285"/>
          <cell r="X1285"/>
          <cell r="Y1285"/>
        </row>
        <row r="1286">
          <cell r="A1286" t="str">
            <v>Price-Smart-Panama S.A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1060</v>
          </cell>
          <cell r="J1286" t="str">
            <v>Price-Smart-Panama S.A</v>
          </cell>
          <cell r="M1286"/>
          <cell r="N1286">
            <v>100</v>
          </cell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</row>
        <row r="1287">
          <cell r="A1287" t="str">
            <v>Price-Smart-Panama S.A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100</v>
          </cell>
          <cell r="J1287" t="str">
            <v>Price-Smart-Panama S.A</v>
          </cell>
          <cell r="M1287"/>
          <cell r="N1287">
            <v>250</v>
          </cell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</row>
        <row r="1288">
          <cell r="A1288" t="str">
            <v>Price-Smart-Panama S.A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250</v>
          </cell>
          <cell r="J1288" t="str">
            <v>Price-Smart-Panama S.A</v>
          </cell>
          <cell r="M1288"/>
          <cell r="N1288"/>
          <cell r="O1288"/>
          <cell r="P1288"/>
          <cell r="Q1288"/>
          <cell r="R1288">
            <v>180</v>
          </cell>
          <cell r="S1288"/>
          <cell r="T1288"/>
          <cell r="U1288"/>
          <cell r="V1288"/>
          <cell r="W1288"/>
          <cell r="X1288"/>
          <cell r="Y1288"/>
        </row>
        <row r="1289">
          <cell r="A1289" t="str">
            <v>Price-Smart-Panama S.A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180</v>
          </cell>
          <cell r="J1289" t="str">
            <v>Price-Smart-Panama S.A</v>
          </cell>
          <cell r="M1289"/>
          <cell r="N1289"/>
          <cell r="O1289"/>
          <cell r="P1289"/>
          <cell r="Q1289"/>
          <cell r="R1289">
            <v>40</v>
          </cell>
          <cell r="S1289"/>
          <cell r="T1289"/>
          <cell r="U1289"/>
          <cell r="V1289"/>
          <cell r="W1289"/>
          <cell r="X1289"/>
          <cell r="Y1289"/>
        </row>
        <row r="1290">
          <cell r="A1290" t="str">
            <v>Price-Smart-Panama S.A</v>
          </cell>
          <cell r="C1290">
            <v>40</v>
          </cell>
          <cell r="D1290">
            <v>0</v>
          </cell>
          <cell r="E1290">
            <v>0</v>
          </cell>
          <cell r="F1290">
            <v>0</v>
          </cell>
          <cell r="G1290">
            <v>40</v>
          </cell>
          <cell r="J1290" t="str">
            <v>Price-Smart-Panama S.A</v>
          </cell>
          <cell r="M1290"/>
          <cell r="N1290"/>
          <cell r="O1290"/>
          <cell r="P1290"/>
          <cell r="Q1290"/>
          <cell r="R1290"/>
          <cell r="S1290">
            <v>73</v>
          </cell>
          <cell r="T1290"/>
          <cell r="U1290"/>
          <cell r="V1290"/>
          <cell r="W1290"/>
          <cell r="X1290"/>
          <cell r="Y1290"/>
        </row>
        <row r="1291">
          <cell r="A1291" t="str">
            <v>Price-Smart-Panama S.A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73</v>
          </cell>
          <cell r="J1291" t="str">
            <v>Price-Smart-Panama S.A</v>
          </cell>
          <cell r="M1291"/>
          <cell r="N1291"/>
          <cell r="O1291">
            <v>65</v>
          </cell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</row>
        <row r="1292">
          <cell r="A1292" t="str">
            <v>Price-Smart-Panama S.A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65</v>
          </cell>
          <cell r="J1292" t="str">
            <v>Price-Smart-Panama S.A</v>
          </cell>
          <cell r="M1292"/>
          <cell r="N1292">
            <v>70</v>
          </cell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</row>
        <row r="1293">
          <cell r="A1293" t="str">
            <v>Price-Smart-Panama S.A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70</v>
          </cell>
          <cell r="J1293" t="str">
            <v>Price-Smart-Panama S.A</v>
          </cell>
          <cell r="M1293"/>
          <cell r="N1293"/>
          <cell r="O1293">
            <v>1090</v>
          </cell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</row>
        <row r="1294">
          <cell r="A1294" t="str">
            <v>Price-Smart-Panama S.A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1090</v>
          </cell>
          <cell r="J1294" t="str">
            <v>Price-Smart-Panama S.A</v>
          </cell>
          <cell r="M1294">
            <v>0</v>
          </cell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</row>
        <row r="1295">
          <cell r="A1295" t="str">
            <v>Price-Smart-Panama S.A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J1295" t="str">
            <v>Price-Smart-Panama S.A</v>
          </cell>
          <cell r="M1295"/>
          <cell r="N1295">
            <v>282</v>
          </cell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</row>
        <row r="1296">
          <cell r="A1296" t="str">
            <v>Price-Smart-Panama S.A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282</v>
          </cell>
          <cell r="J1296" t="str">
            <v>Price-Smart-Panama S.A</v>
          </cell>
          <cell r="M1296"/>
          <cell r="N1296">
            <v>467</v>
          </cell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</row>
        <row r="1297">
          <cell r="A1297" t="str">
            <v>Price-Smart-Panama S.A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467</v>
          </cell>
          <cell r="J1297" t="str">
            <v>Price-Smart-Panama S.A</v>
          </cell>
          <cell r="M1297"/>
          <cell r="N1297"/>
          <cell r="O1297"/>
          <cell r="P1297"/>
          <cell r="Q1297"/>
          <cell r="R1297"/>
          <cell r="S1297"/>
          <cell r="T1297">
            <v>82</v>
          </cell>
          <cell r="U1297"/>
          <cell r="V1297"/>
          <cell r="W1297"/>
          <cell r="X1297"/>
          <cell r="Y1297"/>
        </row>
        <row r="1298">
          <cell r="A1298" t="str">
            <v>Price-Smart-Panama S.A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82</v>
          </cell>
          <cell r="J1298" t="str">
            <v>Price-Smart-Panama S.A</v>
          </cell>
          <cell r="M1298"/>
          <cell r="N1298">
            <v>38</v>
          </cell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</row>
        <row r="1299">
          <cell r="A1299" t="str">
            <v>Price-Smart-Panama S.A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38</v>
          </cell>
          <cell r="J1299" t="str">
            <v>Price-Smart-Panama S.A</v>
          </cell>
          <cell r="M1299"/>
          <cell r="N1299">
            <v>70</v>
          </cell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</row>
        <row r="1300">
          <cell r="A1300" t="str">
            <v>Price-Smart-Panama S.A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70</v>
          </cell>
          <cell r="J1300" t="str">
            <v>Price-Smart-Panama S.A</v>
          </cell>
          <cell r="M1300"/>
          <cell r="N1300">
            <v>60</v>
          </cell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</row>
        <row r="1301">
          <cell r="A1301" t="str">
            <v>Price-Smart-Panama S.A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60</v>
          </cell>
          <cell r="J1301" t="str">
            <v>Price-Smart-Panama S.A</v>
          </cell>
          <cell r="M1301"/>
          <cell r="N1301">
            <v>243</v>
          </cell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</row>
        <row r="1302">
          <cell r="A1302" t="str">
            <v>Price-Smart-Panama S.A</v>
          </cell>
          <cell r="C1302">
            <v>0</v>
          </cell>
          <cell r="D1302">
            <v>13</v>
          </cell>
          <cell r="E1302">
            <v>37</v>
          </cell>
          <cell r="F1302">
            <v>28</v>
          </cell>
          <cell r="G1302">
            <v>243</v>
          </cell>
          <cell r="J1302" t="str">
            <v>Price-Smart-Panama S.A</v>
          </cell>
          <cell r="M1302"/>
          <cell r="N1302">
            <v>62</v>
          </cell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</row>
        <row r="1303">
          <cell r="A1303" t="str">
            <v>Price-Smart-Panama S.A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62</v>
          </cell>
          <cell r="J1303" t="str">
            <v>Price-Smart-Panama S.A</v>
          </cell>
          <cell r="M1303"/>
          <cell r="N1303"/>
          <cell r="O1303">
            <v>116</v>
          </cell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</row>
        <row r="1304">
          <cell r="A1304" t="str">
            <v>Price-Smart-Panama S.A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116</v>
          </cell>
          <cell r="J1304" t="str">
            <v>Price-Smart-Panama S.A</v>
          </cell>
          <cell r="M1304"/>
          <cell r="N1304">
            <v>542</v>
          </cell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</row>
        <row r="1305">
          <cell r="A1305" t="str">
            <v>Price-Smart-Panama S.A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542</v>
          </cell>
          <cell r="J1305" t="str">
            <v>Price-Smart-Panama S.A</v>
          </cell>
          <cell r="M1305"/>
          <cell r="N1305"/>
          <cell r="O1305"/>
          <cell r="P1305"/>
          <cell r="Q1305"/>
          <cell r="R1305"/>
          <cell r="S1305">
            <v>211</v>
          </cell>
          <cell r="T1305"/>
          <cell r="U1305"/>
          <cell r="V1305"/>
          <cell r="W1305"/>
          <cell r="X1305"/>
          <cell r="Y1305"/>
        </row>
        <row r="1306">
          <cell r="A1306" t="str">
            <v>Price-Smart-Panama S.A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211</v>
          </cell>
          <cell r="J1306" t="str">
            <v>Price-Smart-Panama S.A</v>
          </cell>
          <cell r="M1306"/>
          <cell r="N1306"/>
          <cell r="O1306">
            <v>138</v>
          </cell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</row>
        <row r="1307">
          <cell r="A1307" t="str">
            <v>Price-Smart-Panama S.A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138</v>
          </cell>
          <cell r="J1307" t="str">
            <v>Price-Smart-Panama S.A</v>
          </cell>
          <cell r="M1307"/>
          <cell r="N1307">
            <v>147</v>
          </cell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</row>
        <row r="1308">
          <cell r="A1308" t="str">
            <v>Price-Smart-Panama S.A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147</v>
          </cell>
          <cell r="J1308" t="str">
            <v>Price-Smart-Panama S.A</v>
          </cell>
          <cell r="M1308"/>
          <cell r="N1308">
            <v>62</v>
          </cell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</row>
        <row r="1309">
          <cell r="A1309" t="str">
            <v>Price-Smart-Panama S.A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62</v>
          </cell>
          <cell r="J1309" t="str">
            <v>Price-Smart-Panama S.A</v>
          </cell>
          <cell r="M1309"/>
          <cell r="N1309"/>
          <cell r="O1309"/>
          <cell r="P1309"/>
          <cell r="Q1309"/>
          <cell r="R1309"/>
          <cell r="S1309"/>
          <cell r="T1309">
            <v>84</v>
          </cell>
          <cell r="U1309"/>
          <cell r="V1309"/>
          <cell r="W1309"/>
          <cell r="X1309"/>
          <cell r="Y1309"/>
        </row>
        <row r="1310">
          <cell r="A1310" t="str">
            <v>Price-Smart-Panama S.A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84</v>
          </cell>
          <cell r="J1310" t="str">
            <v>Price-Smart-Panama S.A</v>
          </cell>
          <cell r="M1310"/>
          <cell r="N1310">
            <v>105</v>
          </cell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</row>
        <row r="1311">
          <cell r="A1311" t="str">
            <v>Price-Smart-Panama S.A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105</v>
          </cell>
          <cell r="J1311" t="str">
            <v>Price-Smart-Panama S.A</v>
          </cell>
          <cell r="M1311">
            <v>100</v>
          </cell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</row>
        <row r="1312">
          <cell r="A1312" t="str">
            <v>Price-Smart-Panama S.A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100</v>
          </cell>
          <cell r="J1312" t="str">
            <v>Price-Smart-Panama S.A</v>
          </cell>
          <cell r="M1312"/>
          <cell r="N1312">
            <v>264</v>
          </cell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</row>
        <row r="1313">
          <cell r="A1313" t="str">
            <v>Price-Smart-Panama S.A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264</v>
          </cell>
          <cell r="J1313" t="str">
            <v>Price-Smart-Panama S.A</v>
          </cell>
          <cell r="M1313"/>
          <cell r="N1313"/>
          <cell r="O1313"/>
          <cell r="P1313"/>
          <cell r="Q1313">
            <v>57</v>
          </cell>
          <cell r="R1313"/>
          <cell r="S1313"/>
          <cell r="T1313"/>
          <cell r="U1313"/>
          <cell r="V1313"/>
          <cell r="W1313"/>
          <cell r="X1313"/>
          <cell r="Y1313"/>
        </row>
        <row r="1314">
          <cell r="A1314" t="str">
            <v>Price-Smart-Panama S.A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57</v>
          </cell>
          <cell r="J1314" t="str">
            <v>Price-Smart-Panama S.A</v>
          </cell>
          <cell r="M1314"/>
          <cell r="N1314"/>
          <cell r="O1314">
            <v>60</v>
          </cell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</row>
        <row r="1315">
          <cell r="A1315" t="str">
            <v>Price-Smart-Panama S.A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60</v>
          </cell>
          <cell r="J1315" t="str">
            <v>Price-Smart-Panama S.A</v>
          </cell>
          <cell r="M1315"/>
          <cell r="N1315"/>
          <cell r="O1315"/>
          <cell r="P1315"/>
          <cell r="Q1315"/>
          <cell r="R1315"/>
          <cell r="S1315"/>
          <cell r="T1315">
            <v>115</v>
          </cell>
          <cell r="U1315"/>
          <cell r="V1315"/>
          <cell r="W1315"/>
          <cell r="X1315"/>
          <cell r="Y1315"/>
        </row>
        <row r="1316">
          <cell r="A1316" t="str">
            <v>Price-Smart-Panama S.A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115</v>
          </cell>
          <cell r="J1316" t="str">
            <v>Price-Smart-Panama S.A</v>
          </cell>
          <cell r="M1316"/>
          <cell r="N1316"/>
          <cell r="O1316"/>
          <cell r="P1316"/>
          <cell r="Q1316"/>
          <cell r="R1316"/>
          <cell r="S1316">
            <v>179</v>
          </cell>
          <cell r="T1316"/>
          <cell r="U1316"/>
          <cell r="V1316"/>
          <cell r="W1316"/>
          <cell r="X1316"/>
          <cell r="Y1316"/>
        </row>
        <row r="1317">
          <cell r="A1317" t="str">
            <v>Price-Smart-Panama S.A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179</v>
          </cell>
          <cell r="J1317" t="str">
            <v>Price-Smart-Panama S.A</v>
          </cell>
          <cell r="M1317"/>
          <cell r="N1317">
            <v>50</v>
          </cell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</row>
        <row r="1318">
          <cell r="A1318" t="str">
            <v>Price-Smart-Panama S.A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50</v>
          </cell>
          <cell r="J1318" t="str">
            <v>Price-Smart-Panama S.A</v>
          </cell>
          <cell r="M1318"/>
          <cell r="N1318">
            <v>162</v>
          </cell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</row>
        <row r="1319">
          <cell r="A1319" t="str">
            <v>Price-Smart-Panama S.A</v>
          </cell>
          <cell r="C1319">
            <v>162</v>
          </cell>
          <cell r="D1319">
            <v>0</v>
          </cell>
          <cell r="E1319">
            <v>0</v>
          </cell>
          <cell r="F1319">
            <v>0</v>
          </cell>
          <cell r="G1319">
            <v>162</v>
          </cell>
          <cell r="J1319" t="str">
            <v>Price-Smart-Panama S.A</v>
          </cell>
          <cell r="M1319"/>
          <cell r="N1319">
            <v>86</v>
          </cell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</row>
        <row r="1320">
          <cell r="A1320" t="str">
            <v>Price-Smart-Panama S.A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86</v>
          </cell>
          <cell r="J1320" t="str">
            <v>Price-Smart-Panama S.A</v>
          </cell>
          <cell r="M1320">
            <v>201</v>
          </cell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</row>
        <row r="1321">
          <cell r="A1321" t="str">
            <v>Price-Smart-Panama S.A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201</v>
          </cell>
          <cell r="J1321" t="str">
            <v>Price-Smart-Panama S.A</v>
          </cell>
          <cell r="M1321"/>
          <cell r="N1321"/>
          <cell r="O1321"/>
          <cell r="P1321"/>
          <cell r="Q1321"/>
          <cell r="R1321"/>
          <cell r="S1321"/>
          <cell r="T1321">
            <v>73</v>
          </cell>
          <cell r="U1321"/>
          <cell r="V1321"/>
          <cell r="W1321"/>
          <cell r="X1321"/>
          <cell r="Y1321"/>
        </row>
        <row r="1322">
          <cell r="A1322" t="str">
            <v>Price-Smart-Panama S.A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73</v>
          </cell>
          <cell r="J1322" t="str">
            <v>Price-Smart-Panama S.A</v>
          </cell>
          <cell r="M1322"/>
          <cell r="N1322"/>
          <cell r="O1322"/>
          <cell r="P1322"/>
          <cell r="Q1322"/>
          <cell r="R1322">
            <v>181</v>
          </cell>
          <cell r="S1322"/>
          <cell r="T1322"/>
          <cell r="U1322"/>
          <cell r="V1322"/>
          <cell r="W1322"/>
          <cell r="X1322"/>
          <cell r="Y1322"/>
        </row>
        <row r="1323">
          <cell r="A1323" t="str">
            <v>Price-Smart-Panama S.A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181</v>
          </cell>
          <cell r="J1323" t="str">
            <v>Price-Smart-Panama S.A</v>
          </cell>
          <cell r="M1323"/>
          <cell r="N1323"/>
          <cell r="O1323"/>
          <cell r="P1323"/>
          <cell r="Q1323"/>
          <cell r="R1323"/>
          <cell r="S1323"/>
          <cell r="T1323">
            <v>635</v>
          </cell>
          <cell r="U1323"/>
          <cell r="V1323"/>
          <cell r="W1323"/>
          <cell r="X1323"/>
          <cell r="Y1323"/>
        </row>
        <row r="1324">
          <cell r="A1324" t="str">
            <v>Price-Smart-Panama S.A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635</v>
          </cell>
          <cell r="J1324" t="str">
            <v>Price-Smart-Panama S.A</v>
          </cell>
          <cell r="M1324"/>
          <cell r="N1324">
            <v>201</v>
          </cell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</row>
        <row r="1325">
          <cell r="A1325" t="str">
            <v>Price-Smart-Panama S.A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201</v>
          </cell>
          <cell r="J1325" t="str">
            <v>Price-Smart-Panama S.A</v>
          </cell>
          <cell r="M1325"/>
          <cell r="N1325">
            <v>0</v>
          </cell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</row>
        <row r="1326">
          <cell r="A1326" t="str">
            <v>Price-Smart-Panama S.A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J1326" t="str">
            <v>Price-Smart-Panama S.A</v>
          </cell>
          <cell r="M1326"/>
          <cell r="N1326">
            <v>284</v>
          </cell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</row>
        <row r="1327">
          <cell r="A1327" t="str">
            <v>Price-Smart-Panama S.A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284</v>
          </cell>
          <cell r="J1327" t="str">
            <v>Price-Smart-Panama S.A</v>
          </cell>
          <cell r="M1327">
            <v>150</v>
          </cell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</row>
        <row r="1328">
          <cell r="A1328" t="str">
            <v>Price-Smart-Panama S.A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150</v>
          </cell>
          <cell r="J1328" t="str">
            <v>Price-Smart-Panama S.A</v>
          </cell>
          <cell r="M1328"/>
          <cell r="N1328">
            <v>250</v>
          </cell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</row>
        <row r="1329">
          <cell r="A1329" t="str">
            <v>Price-Smart-Panama S.A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250</v>
          </cell>
          <cell r="J1329" t="str">
            <v>Price-Smart-Panama S.A</v>
          </cell>
          <cell r="M1329"/>
          <cell r="N1329"/>
          <cell r="O1329">
            <v>1200</v>
          </cell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</row>
        <row r="1330">
          <cell r="A1330" t="str">
            <v>Price-Smart-Panama S.A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1200</v>
          </cell>
          <cell r="J1330" t="str">
            <v>Price-Smart-Panama S.A</v>
          </cell>
          <cell r="M1330"/>
          <cell r="N1330">
            <v>20</v>
          </cell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</row>
        <row r="1331">
          <cell r="A1331" t="str">
            <v>Price-Smart-Panama S.A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20</v>
          </cell>
          <cell r="J1331" t="str">
            <v>Price-Smart-Panama S.A</v>
          </cell>
          <cell r="M1331">
            <v>390</v>
          </cell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</row>
        <row r="1332">
          <cell r="A1332" t="str">
            <v>Price-Smart-Panama S.A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390</v>
          </cell>
          <cell r="J1332" t="str">
            <v>Price-Smart-Panama S.A</v>
          </cell>
          <cell r="M1332"/>
          <cell r="N1332">
            <v>250</v>
          </cell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</row>
        <row r="1333">
          <cell r="A1333" t="str">
            <v>Price-Smart-Panama S.A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250</v>
          </cell>
          <cell r="J1333" t="str">
            <v>Price-Smart-Panama S.A</v>
          </cell>
          <cell r="M1333"/>
          <cell r="N1333">
            <v>120</v>
          </cell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</row>
        <row r="1334">
          <cell r="A1334" t="str">
            <v>Price-Smart-Panama S.A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120</v>
          </cell>
          <cell r="J1334" t="str">
            <v>Price-Smart-Panama S.A</v>
          </cell>
          <cell r="M1334"/>
          <cell r="N1334">
            <v>356</v>
          </cell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</row>
        <row r="1335">
          <cell r="A1335" t="str">
            <v>Price-Smart-Panama S.A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356</v>
          </cell>
          <cell r="J1335" t="str">
            <v>Price-Smart-Panama S.A</v>
          </cell>
          <cell r="M1335"/>
          <cell r="N1335">
            <v>90</v>
          </cell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</row>
        <row r="1336">
          <cell r="A1336" t="str">
            <v>Price-Smart-Panama S.A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90</v>
          </cell>
          <cell r="J1336" t="str">
            <v>Price-Smart-Panama S.A</v>
          </cell>
          <cell r="M1336"/>
          <cell r="N1336">
            <v>84</v>
          </cell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</row>
        <row r="1337">
          <cell r="A1337" t="str">
            <v>Price-Smart-Panama S.A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84</v>
          </cell>
          <cell r="J1337" t="str">
            <v>Price-Smart-Panama S.A</v>
          </cell>
          <cell r="M1337"/>
          <cell r="N1337">
            <v>22</v>
          </cell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</row>
        <row r="1338">
          <cell r="A1338" t="str">
            <v>Price-Smart-Panama S.A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22</v>
          </cell>
          <cell r="J1338" t="str">
            <v>Price-Smart-Panama S.A</v>
          </cell>
          <cell r="M1338"/>
          <cell r="N1338">
            <v>230</v>
          </cell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</row>
        <row r="1339">
          <cell r="A1339" t="str">
            <v>Price-Smart-Panama S.A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230</v>
          </cell>
          <cell r="J1339" t="str">
            <v>Price-Smart-Panama S.A</v>
          </cell>
          <cell r="M1339"/>
          <cell r="N1339">
            <v>103</v>
          </cell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</row>
        <row r="1340">
          <cell r="A1340" t="str">
            <v>Price-Smart-Panama S.A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103</v>
          </cell>
          <cell r="J1340" t="str">
            <v>Price-Smart-Panama S.A</v>
          </cell>
          <cell r="M1340"/>
          <cell r="N1340">
            <v>0</v>
          </cell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</row>
        <row r="1341">
          <cell r="A1341" t="str">
            <v>Price-Smart-Panama S.A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J1341" t="str">
            <v>Price-Smart-Panama S.A</v>
          </cell>
          <cell r="M1341"/>
          <cell r="N1341">
            <v>165</v>
          </cell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</row>
        <row r="1342">
          <cell r="A1342" t="str">
            <v>Price-Smart-Panama S.A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165</v>
          </cell>
          <cell r="J1342" t="str">
            <v>Price-Smart-Panama S.A</v>
          </cell>
          <cell r="M1342"/>
          <cell r="N1342">
            <v>456</v>
          </cell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</row>
        <row r="1343">
          <cell r="A1343" t="str">
            <v>Price-Smart-Panama S.A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456</v>
          </cell>
          <cell r="J1343" t="str">
            <v>Price-Smart-Panama S.A</v>
          </cell>
          <cell r="M1343"/>
          <cell r="N1343">
            <v>75</v>
          </cell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</row>
        <row r="1344">
          <cell r="A1344" t="str">
            <v>Price-Smart-Panama S.A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75</v>
          </cell>
          <cell r="J1344" t="str">
            <v>Price-Smart-Panama S.A</v>
          </cell>
          <cell r="M1344"/>
          <cell r="N1344"/>
          <cell r="O1344">
            <v>1017</v>
          </cell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</row>
        <row r="1345">
          <cell r="A1345" t="str">
            <v>Price-Smart-Panama S.A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1017</v>
          </cell>
          <cell r="J1345" t="str">
            <v>Price-Smart-Panama S.A</v>
          </cell>
          <cell r="M1345"/>
          <cell r="N1345"/>
          <cell r="O1345">
            <v>219</v>
          </cell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</row>
        <row r="1346">
          <cell r="A1346" t="str">
            <v>Price-Smart-Panama S.A</v>
          </cell>
          <cell r="C1346">
            <v>0</v>
          </cell>
          <cell r="D1346">
            <v>16</v>
          </cell>
          <cell r="E1346">
            <v>19</v>
          </cell>
          <cell r="F1346">
            <v>19</v>
          </cell>
          <cell r="G1346">
            <v>219</v>
          </cell>
          <cell r="J1346" t="str">
            <v>Price-Smart-Panama S.A</v>
          </cell>
          <cell r="M1346"/>
          <cell r="N1346"/>
          <cell r="O1346"/>
          <cell r="P1346"/>
          <cell r="Q1346"/>
          <cell r="R1346"/>
          <cell r="S1346">
            <v>152</v>
          </cell>
          <cell r="T1346"/>
          <cell r="U1346"/>
          <cell r="V1346"/>
          <cell r="W1346"/>
          <cell r="X1346"/>
          <cell r="Y1346"/>
        </row>
        <row r="1347">
          <cell r="A1347" t="str">
            <v>Price-Smart-Panama S.A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152</v>
          </cell>
          <cell r="J1347" t="str">
            <v>Price-Smart-Panama S.A</v>
          </cell>
          <cell r="M1347"/>
          <cell r="N1347"/>
          <cell r="O1347"/>
          <cell r="P1347"/>
          <cell r="Q1347"/>
          <cell r="R1347"/>
          <cell r="S1347"/>
          <cell r="T1347">
            <v>37</v>
          </cell>
          <cell r="U1347"/>
          <cell r="V1347"/>
          <cell r="W1347"/>
          <cell r="X1347"/>
          <cell r="Y1347"/>
        </row>
        <row r="1348">
          <cell r="A1348" t="str">
            <v>Price-Smart-Panama S.A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37</v>
          </cell>
          <cell r="J1348" t="str">
            <v>Price-Smart-Panama S.A</v>
          </cell>
          <cell r="M1348"/>
          <cell r="N1348"/>
          <cell r="O1348"/>
          <cell r="P1348"/>
          <cell r="Q1348"/>
          <cell r="R1348"/>
          <cell r="S1348"/>
          <cell r="T1348"/>
          <cell r="U1348">
            <v>0</v>
          </cell>
          <cell r="V1348"/>
          <cell r="W1348"/>
          <cell r="X1348"/>
          <cell r="Y1348"/>
        </row>
        <row r="1349">
          <cell r="A1349" t="str">
            <v>Price-Smart-Panama S.A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J1349" t="str">
            <v>Price-Smart-Panama S.A</v>
          </cell>
          <cell r="M1349"/>
          <cell r="N1349"/>
          <cell r="O1349"/>
          <cell r="P1349"/>
          <cell r="Q1349">
            <v>60</v>
          </cell>
          <cell r="R1349"/>
          <cell r="S1349"/>
          <cell r="T1349"/>
          <cell r="U1349"/>
          <cell r="V1349"/>
          <cell r="W1349"/>
          <cell r="X1349"/>
          <cell r="Y1349"/>
        </row>
        <row r="1350">
          <cell r="A1350" t="str">
            <v>Price-Smart-Panama S.A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60</v>
          </cell>
          <cell r="J1350" t="str">
            <v>Price-Smart-Panama S.A</v>
          </cell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</row>
        <row r="1351">
          <cell r="A1351" t="str">
            <v>Price-Smart-Panama S.A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J1351" t="str">
            <v>Price-Smart-Panama S.A</v>
          </cell>
          <cell r="M1351"/>
          <cell r="N1351"/>
          <cell r="O1351"/>
          <cell r="P1351"/>
          <cell r="Q1351"/>
          <cell r="R1351"/>
          <cell r="S1351"/>
          <cell r="T1351"/>
          <cell r="U1351"/>
          <cell r="V1351">
            <v>0</v>
          </cell>
          <cell r="W1351"/>
          <cell r="X1351"/>
          <cell r="Y1351"/>
        </row>
        <row r="1352">
          <cell r="A1352" t="str">
            <v>Price-Smart-Panama S.A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J1352" t="str">
            <v>Price-Smart-Panama S.A</v>
          </cell>
          <cell r="M1352">
            <v>910</v>
          </cell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</row>
        <row r="1353">
          <cell r="A1353" t="str">
            <v>Price-Smart-Panama S.A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910</v>
          </cell>
          <cell r="J1353" t="str">
            <v>Price-Smart-Panama S.A</v>
          </cell>
          <cell r="M1353"/>
          <cell r="N1353"/>
          <cell r="O1353"/>
          <cell r="P1353"/>
          <cell r="Q1353"/>
          <cell r="R1353"/>
          <cell r="S1353"/>
          <cell r="T1353"/>
          <cell r="U1353">
            <v>305</v>
          </cell>
          <cell r="V1353"/>
          <cell r="W1353"/>
          <cell r="X1353"/>
          <cell r="Y1353"/>
        </row>
        <row r="1354">
          <cell r="A1354" t="str">
            <v>Price-Smart-Panama S.A</v>
          </cell>
          <cell r="C1354">
            <v>0</v>
          </cell>
          <cell r="D1354">
            <v>40</v>
          </cell>
          <cell r="E1354">
            <v>60</v>
          </cell>
          <cell r="F1354">
            <v>40</v>
          </cell>
          <cell r="G1354">
            <v>305</v>
          </cell>
          <cell r="J1354" t="str">
            <v>Price-Smart-Panama S.A</v>
          </cell>
          <cell r="M1354">
            <v>400</v>
          </cell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</row>
        <row r="1355">
          <cell r="A1355" t="str">
            <v>Price-Smart-Panama S.A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400</v>
          </cell>
          <cell r="J1355" t="str">
            <v>Price-Smart-Panama S.A</v>
          </cell>
          <cell r="M1355">
            <v>175</v>
          </cell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</row>
        <row r="1356">
          <cell r="A1356" t="str">
            <v>Price-Smart-Panama S.A</v>
          </cell>
          <cell r="C1356">
            <v>0</v>
          </cell>
          <cell r="D1356">
            <v>10</v>
          </cell>
          <cell r="E1356">
            <v>20</v>
          </cell>
          <cell r="F1356">
            <v>25</v>
          </cell>
          <cell r="G1356">
            <v>175</v>
          </cell>
          <cell r="J1356" t="str">
            <v>Price-Smart-Panama S.A</v>
          </cell>
          <cell r="M1356"/>
          <cell r="N1356"/>
          <cell r="O1356"/>
          <cell r="P1356"/>
          <cell r="Q1356">
            <v>496</v>
          </cell>
          <cell r="R1356"/>
          <cell r="S1356"/>
          <cell r="T1356"/>
          <cell r="U1356"/>
          <cell r="V1356"/>
          <cell r="W1356"/>
          <cell r="X1356"/>
          <cell r="Y1356"/>
        </row>
        <row r="1357">
          <cell r="A1357" t="str">
            <v>Price-Smart-Panama S.A</v>
          </cell>
          <cell r="C1357">
            <v>73</v>
          </cell>
          <cell r="D1357">
            <v>0</v>
          </cell>
          <cell r="E1357">
            <v>0</v>
          </cell>
          <cell r="F1357">
            <v>0</v>
          </cell>
          <cell r="G1357">
            <v>496</v>
          </cell>
          <cell r="J1357" t="str">
            <v>Price-Smart-Panama S.A</v>
          </cell>
          <cell r="M1357"/>
          <cell r="N1357"/>
          <cell r="O1357"/>
          <cell r="P1357"/>
          <cell r="Q1357"/>
          <cell r="R1357"/>
          <cell r="S1357"/>
          <cell r="T1357">
            <v>30</v>
          </cell>
          <cell r="U1357"/>
          <cell r="V1357"/>
          <cell r="W1357"/>
          <cell r="X1357"/>
          <cell r="Y1357"/>
        </row>
        <row r="1358">
          <cell r="A1358" t="str">
            <v>Price-Smart-Panama S.A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30</v>
          </cell>
          <cell r="J1358" t="str">
            <v>Price-Smart-Panama S.A</v>
          </cell>
          <cell r="M1358"/>
          <cell r="N1358">
            <v>0</v>
          </cell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</row>
        <row r="1359">
          <cell r="A1359" t="str">
            <v>Price-Smart-Panama S.A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J1359" t="str">
            <v>Price-Smart-Panama S.A</v>
          </cell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>
            <v>0</v>
          </cell>
          <cell r="X1359"/>
          <cell r="Y1359"/>
        </row>
        <row r="1360">
          <cell r="A1360" t="str">
            <v>Price-Smart-Panama S.A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J1360" t="str">
            <v>Price-Smart-Panama S.A</v>
          </cell>
          <cell r="M1360">
            <v>400</v>
          </cell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</row>
        <row r="1361">
          <cell r="A1361" t="str">
            <v>Price-Smart-Panama S.A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400</v>
          </cell>
          <cell r="J1361" t="str">
            <v>Price-Smart-Panama S.A</v>
          </cell>
          <cell r="M1361">
            <v>100</v>
          </cell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</row>
        <row r="1362">
          <cell r="A1362" t="str">
            <v>Price-Smart-Panama S.A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100</v>
          </cell>
          <cell r="J1362" t="str">
            <v>Price-Smart-Panama S.A</v>
          </cell>
          <cell r="M1362"/>
          <cell r="N1362"/>
          <cell r="O1362"/>
          <cell r="P1362"/>
          <cell r="Q1362"/>
          <cell r="R1362"/>
          <cell r="S1362">
            <v>96</v>
          </cell>
          <cell r="T1362"/>
          <cell r="U1362"/>
          <cell r="V1362"/>
          <cell r="W1362"/>
          <cell r="X1362"/>
          <cell r="Y1362"/>
        </row>
        <row r="1363">
          <cell r="A1363" t="str">
            <v>Price-Smart-Panama S.A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96</v>
          </cell>
          <cell r="J1363" t="str">
            <v>Price-Smart-Panama S.A</v>
          </cell>
          <cell r="M1363"/>
          <cell r="N1363">
            <v>230</v>
          </cell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</row>
        <row r="1364">
          <cell r="A1364" t="str">
            <v>Price-Smart-Panama S.A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230</v>
          </cell>
          <cell r="J1364" t="str">
            <v>Price-Smart-Panama S.A</v>
          </cell>
          <cell r="M1364">
            <v>350</v>
          </cell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</row>
        <row r="1365">
          <cell r="A1365" t="str">
            <v>Price-Smart-Panama S.A</v>
          </cell>
          <cell r="C1365">
            <v>200</v>
          </cell>
          <cell r="D1365">
            <v>25</v>
          </cell>
          <cell r="E1365">
            <v>100</v>
          </cell>
          <cell r="F1365">
            <v>25</v>
          </cell>
          <cell r="G1365">
            <v>350</v>
          </cell>
          <cell r="J1365" t="str">
            <v>Price-Smart-Panama S.A</v>
          </cell>
          <cell r="M1365">
            <v>352</v>
          </cell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</row>
        <row r="1366">
          <cell r="A1366" t="str">
            <v>Price-Smart-Panama S.A</v>
          </cell>
          <cell r="C1366">
            <v>225</v>
          </cell>
          <cell r="D1366">
            <v>0</v>
          </cell>
          <cell r="E1366">
            <v>0</v>
          </cell>
          <cell r="F1366">
            <v>0</v>
          </cell>
          <cell r="G1366">
            <v>352</v>
          </cell>
          <cell r="J1366" t="str">
            <v>Price-Smart-Panama S.A</v>
          </cell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>
            <v>628</v>
          </cell>
          <cell r="X1366"/>
          <cell r="Y1366"/>
        </row>
        <row r="1367">
          <cell r="A1367" t="str">
            <v>Price-Smart-Panama S.A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628</v>
          </cell>
          <cell r="J1367" t="str">
            <v>Price-Smart-Panama S.A</v>
          </cell>
          <cell r="M1367"/>
          <cell r="N1367">
            <v>510</v>
          </cell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</row>
        <row r="1368">
          <cell r="A1368" t="str">
            <v>Price-Smart-Panama S.A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510</v>
          </cell>
          <cell r="J1368" t="str">
            <v>Price-Smart-Panama S.A</v>
          </cell>
          <cell r="M1368"/>
          <cell r="N1368">
            <v>97</v>
          </cell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</row>
        <row r="1369">
          <cell r="A1369" t="str">
            <v>Price-Smart-Panama S.A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97</v>
          </cell>
          <cell r="J1369" t="str">
            <v>Price-Smart-Panama S.A</v>
          </cell>
          <cell r="M1369">
            <v>77</v>
          </cell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</row>
        <row r="1370">
          <cell r="A1370" t="str">
            <v>Price-Smart-Panama S.A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77</v>
          </cell>
          <cell r="J1370" t="str">
            <v>Price-Smart-Panama S.A</v>
          </cell>
          <cell r="M1370"/>
          <cell r="N1370">
            <v>130</v>
          </cell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</row>
        <row r="1371">
          <cell r="A1371" t="str">
            <v>Price-Smart-Panama S.A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130</v>
          </cell>
          <cell r="J1371" t="str">
            <v>Price-Smart-Panama S.A</v>
          </cell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>
            <v>0</v>
          </cell>
          <cell r="X1371"/>
          <cell r="Y1371"/>
        </row>
        <row r="1372">
          <cell r="A1372" t="str">
            <v>Price-Smart-Panama S.A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J1372" t="str">
            <v>Price-Smart-Panama S.A</v>
          </cell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>
            <v>0</v>
          </cell>
          <cell r="X1372"/>
          <cell r="Y1372"/>
        </row>
        <row r="1373">
          <cell r="A1373" t="str">
            <v>Price-Smart-Panama S.A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J1373" t="str">
            <v>Price-Smart-Panama S.A</v>
          </cell>
          <cell r="M1373"/>
          <cell r="N1373"/>
          <cell r="O1373"/>
          <cell r="P1373"/>
          <cell r="Q1373"/>
          <cell r="R1373"/>
          <cell r="S1373"/>
          <cell r="T1373"/>
          <cell r="U1373">
            <v>251</v>
          </cell>
          <cell r="V1373"/>
          <cell r="W1373"/>
          <cell r="X1373"/>
          <cell r="Y1373"/>
        </row>
        <row r="1374">
          <cell r="A1374" t="str">
            <v>Price-Smart-Panama S.A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251</v>
          </cell>
          <cell r="J1374" t="str">
            <v>Price-Smart-Panama S.A</v>
          </cell>
          <cell r="M1374">
            <v>125</v>
          </cell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</row>
        <row r="1375">
          <cell r="A1375" t="str">
            <v>Price-Smart-Panama S.A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125</v>
          </cell>
          <cell r="J1375" t="str">
            <v>Price-Smart-Panama S.A</v>
          </cell>
          <cell r="M1375"/>
          <cell r="N1375"/>
          <cell r="O1375"/>
          <cell r="P1375"/>
          <cell r="Q1375"/>
          <cell r="R1375"/>
          <cell r="S1375"/>
          <cell r="T1375"/>
          <cell r="U1375"/>
          <cell r="V1375">
            <v>0</v>
          </cell>
          <cell r="W1375"/>
          <cell r="X1375"/>
          <cell r="Y1375"/>
        </row>
        <row r="1376">
          <cell r="A1376" t="str">
            <v>Price-Smart-Panama S.A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J1376" t="str">
            <v>Price-Smart-Panama S.A</v>
          </cell>
          <cell r="M1376"/>
          <cell r="N1376"/>
          <cell r="O1376"/>
          <cell r="P1376"/>
          <cell r="Q1376"/>
          <cell r="R1376"/>
          <cell r="S1376">
            <v>50</v>
          </cell>
          <cell r="T1376"/>
          <cell r="U1376"/>
          <cell r="V1376"/>
          <cell r="W1376"/>
          <cell r="X1376"/>
          <cell r="Y1376"/>
        </row>
        <row r="1377">
          <cell r="A1377" t="str">
            <v>Price-Smart-Panama S.A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50</v>
          </cell>
          <cell r="J1377" t="str">
            <v>Price-Smart-Panama S.A</v>
          </cell>
          <cell r="M1377">
            <v>25</v>
          </cell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</row>
        <row r="1378">
          <cell r="A1378" t="str">
            <v>Price-Smart-Panama S.A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25</v>
          </cell>
          <cell r="J1378" t="str">
            <v>Price-Smart-Panama S.A</v>
          </cell>
          <cell r="M1378"/>
          <cell r="N1378"/>
          <cell r="O1378"/>
          <cell r="P1378"/>
          <cell r="Q1378"/>
          <cell r="R1378"/>
          <cell r="S1378"/>
          <cell r="T1378"/>
          <cell r="U1378"/>
          <cell r="V1378">
            <v>0</v>
          </cell>
          <cell r="W1378"/>
          <cell r="X1378"/>
          <cell r="Y1378"/>
        </row>
        <row r="1379">
          <cell r="A1379" t="str">
            <v>Price-Smart-Panama S.A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J1379" t="str">
            <v>Price-Smart-Panama S.A</v>
          </cell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>
            <v>0</v>
          </cell>
        </row>
        <row r="1380">
          <cell r="A1380" t="str">
            <v>Price-Smart-Panama S.A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J1380" t="str">
            <v>Price-Smart-Panama S.A</v>
          </cell>
          <cell r="M1380"/>
          <cell r="N1380"/>
          <cell r="O1380">
            <v>0</v>
          </cell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</row>
        <row r="1381">
          <cell r="A1381" t="str">
            <v>Price-Smart-Panama S.A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J1381" t="str">
            <v>Price-Smart-Panama S.A</v>
          </cell>
          <cell r="M1381">
            <v>209</v>
          </cell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</row>
        <row r="1382">
          <cell r="A1382" t="str">
            <v>Price-Smart-Panama S.A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209</v>
          </cell>
          <cell r="J1382" t="str">
            <v>Price-Smart-Panama S.A</v>
          </cell>
          <cell r="M1382">
            <v>0</v>
          </cell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</row>
        <row r="1383">
          <cell r="A1383" t="str">
            <v>Price-Smart-Panama S.A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J1383" t="str">
            <v>Price-Smart-Panama S.A</v>
          </cell>
          <cell r="M1383"/>
          <cell r="N1383"/>
          <cell r="O1383"/>
          <cell r="P1383"/>
          <cell r="Q1383"/>
          <cell r="R1383"/>
          <cell r="S1383">
            <v>150</v>
          </cell>
          <cell r="T1383"/>
          <cell r="U1383"/>
          <cell r="V1383"/>
          <cell r="W1383"/>
          <cell r="X1383"/>
          <cell r="Y1383"/>
        </row>
        <row r="1384">
          <cell r="A1384" t="str">
            <v>Price-Smart-Panama S.A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150</v>
          </cell>
          <cell r="J1384" t="str">
            <v>Price-Smart-Panama S.A</v>
          </cell>
          <cell r="M1384"/>
          <cell r="N1384">
            <v>6</v>
          </cell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</row>
        <row r="1385">
          <cell r="A1385" t="str">
            <v>Price-Smart-Panama S.A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6</v>
          </cell>
          <cell r="J1385" t="str">
            <v>Price-Smart-Panama S.A</v>
          </cell>
          <cell r="M1385"/>
          <cell r="N1385"/>
          <cell r="O1385">
            <v>240</v>
          </cell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</row>
        <row r="1386">
          <cell r="A1386" t="str">
            <v>Price-Smart-Panama S.A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240</v>
          </cell>
          <cell r="J1386" t="str">
            <v>Price-Smart-Panama S.A</v>
          </cell>
          <cell r="M1386"/>
          <cell r="N1386"/>
          <cell r="O1386"/>
          <cell r="P1386"/>
          <cell r="Q1386"/>
          <cell r="R1386">
            <v>0</v>
          </cell>
          <cell r="S1386"/>
          <cell r="T1386"/>
          <cell r="U1386"/>
          <cell r="V1386"/>
          <cell r="W1386"/>
          <cell r="X1386"/>
          <cell r="Y1386"/>
        </row>
        <row r="1387">
          <cell r="A1387" t="str">
            <v>Price-Smart-Panama S.A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J1387" t="str">
            <v>Price-Smart-Panama S.A</v>
          </cell>
          <cell r="M1387"/>
          <cell r="N1387"/>
          <cell r="O1387">
            <v>421</v>
          </cell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</row>
        <row r="1388">
          <cell r="A1388" t="str">
            <v>Price-Smart-Panama S.A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421</v>
          </cell>
          <cell r="J1388" t="str">
            <v>Price-Smart-Panama S.A</v>
          </cell>
          <cell r="M1388"/>
          <cell r="N1388"/>
          <cell r="O1388"/>
          <cell r="P1388"/>
          <cell r="Q1388"/>
          <cell r="R1388"/>
          <cell r="S1388">
            <v>1190</v>
          </cell>
          <cell r="T1388"/>
          <cell r="U1388"/>
          <cell r="V1388"/>
          <cell r="W1388"/>
          <cell r="X1388"/>
          <cell r="Y1388"/>
        </row>
        <row r="1389">
          <cell r="A1389" t="str">
            <v>Price-Smart-Panama S.A</v>
          </cell>
          <cell r="C1389">
            <v>1190</v>
          </cell>
          <cell r="D1389">
            <v>0</v>
          </cell>
          <cell r="E1389">
            <v>0</v>
          </cell>
          <cell r="F1389">
            <v>0</v>
          </cell>
          <cell r="G1389">
            <v>1190</v>
          </cell>
          <cell r="J1389" t="str">
            <v>Price-Smart-Panama S.A</v>
          </cell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</row>
        <row r="1390">
          <cell r="A1390" t="str">
            <v>Price-Smart-Panama S.A</v>
          </cell>
          <cell r="C1390">
            <v>0</v>
          </cell>
          <cell r="D1390">
            <v>10</v>
          </cell>
          <cell r="E1390">
            <v>20</v>
          </cell>
          <cell r="F1390">
            <v>32</v>
          </cell>
          <cell r="G1390">
            <v>83</v>
          </cell>
          <cell r="J1390" t="str">
            <v>Price-Smart-Panama S.A</v>
          </cell>
          <cell r="M1390"/>
          <cell r="N1390"/>
          <cell r="O1390"/>
          <cell r="P1390"/>
          <cell r="Q1390"/>
          <cell r="R1390"/>
          <cell r="S1390"/>
          <cell r="T1390"/>
          <cell r="U1390"/>
          <cell r="V1390">
            <v>200</v>
          </cell>
          <cell r="W1390"/>
          <cell r="X1390"/>
          <cell r="Y1390"/>
        </row>
        <row r="1391">
          <cell r="A1391" t="str">
            <v>Price-Smart-Panama S.A</v>
          </cell>
          <cell r="C1391">
            <v>200</v>
          </cell>
          <cell r="D1391">
            <v>0</v>
          </cell>
          <cell r="E1391">
            <v>0</v>
          </cell>
          <cell r="F1391">
            <v>0</v>
          </cell>
          <cell r="G1391">
            <v>200</v>
          </cell>
          <cell r="J1391" t="str">
            <v>Price-Smart-Panama S.A</v>
          </cell>
          <cell r="M1391">
            <v>265</v>
          </cell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</row>
        <row r="1392">
          <cell r="A1392" t="str">
            <v>Price-Smart-Panama S.A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265</v>
          </cell>
          <cell r="J1392" t="str">
            <v>Price-Smart-Panama S.A</v>
          </cell>
          <cell r="M1392"/>
          <cell r="N1392">
            <v>130</v>
          </cell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</row>
        <row r="1393">
          <cell r="A1393" t="str">
            <v>Price-Smart-Panama S.A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130</v>
          </cell>
          <cell r="J1393" t="str">
            <v>Price-Smart-Panama S.A</v>
          </cell>
          <cell r="M1393">
            <v>52</v>
          </cell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</row>
        <row r="1394">
          <cell r="A1394" t="str">
            <v>Price-Smart-Panama S.A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52</v>
          </cell>
          <cell r="J1394" t="str">
            <v>Price-Smart-Panama S.A</v>
          </cell>
          <cell r="M1394">
            <v>360</v>
          </cell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</row>
        <row r="1395">
          <cell r="A1395" t="str">
            <v>Price-Smart-Panama S.A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360</v>
          </cell>
          <cell r="J1395" t="str">
            <v>Price-Smart-Panama S.A</v>
          </cell>
          <cell r="M1395"/>
          <cell r="N1395"/>
          <cell r="O1395"/>
          <cell r="P1395">
            <v>150</v>
          </cell>
          <cell r="Q1395"/>
          <cell r="R1395"/>
          <cell r="S1395"/>
          <cell r="T1395"/>
          <cell r="U1395"/>
          <cell r="V1395"/>
          <cell r="W1395"/>
          <cell r="X1395"/>
          <cell r="Y1395"/>
        </row>
        <row r="1396">
          <cell r="A1396" t="str">
            <v>Price-Smart-Panama S.A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150</v>
          </cell>
          <cell r="J1396" t="str">
            <v>Price-Smart-Panama S.A</v>
          </cell>
          <cell r="M1396"/>
          <cell r="N1396"/>
          <cell r="O1396">
            <v>105</v>
          </cell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</row>
        <row r="1397">
          <cell r="A1397" t="str">
            <v>Price-Smart-Panama S.A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105</v>
          </cell>
          <cell r="J1397" t="str">
            <v>Price-Smart-Panama S.A</v>
          </cell>
          <cell r="M1397"/>
          <cell r="N1397"/>
          <cell r="O1397">
            <v>480</v>
          </cell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</row>
        <row r="1398">
          <cell r="A1398" t="str">
            <v>Price-Smart-Panama S.A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480</v>
          </cell>
          <cell r="J1398" t="str">
            <v>Price-Smart-Panama S.A</v>
          </cell>
          <cell r="M1398">
            <v>740</v>
          </cell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</row>
        <row r="1399">
          <cell r="A1399" t="str">
            <v>Price-Smart-Panama S.A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740</v>
          </cell>
          <cell r="J1399" t="str">
            <v>Price-Smart-Panama S.A</v>
          </cell>
          <cell r="M1399"/>
          <cell r="N1399"/>
          <cell r="O1399"/>
          <cell r="P1399"/>
          <cell r="Q1399"/>
          <cell r="R1399"/>
          <cell r="S1399"/>
          <cell r="T1399">
            <v>0</v>
          </cell>
          <cell r="U1399"/>
          <cell r="V1399"/>
          <cell r="W1399"/>
          <cell r="X1399"/>
          <cell r="Y1399"/>
        </row>
        <row r="1400">
          <cell r="A1400" t="str">
            <v>Price-Smart-Panama S.A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J1400" t="str">
            <v>Price-Smart-Panama S.A</v>
          </cell>
          <cell r="M1400"/>
          <cell r="N1400"/>
          <cell r="O1400"/>
          <cell r="P1400"/>
          <cell r="Q1400"/>
          <cell r="R1400"/>
          <cell r="S1400"/>
          <cell r="T1400">
            <v>240</v>
          </cell>
          <cell r="U1400"/>
          <cell r="V1400"/>
          <cell r="W1400"/>
          <cell r="X1400"/>
          <cell r="Y1400"/>
        </row>
        <row r="1401">
          <cell r="A1401" t="str">
            <v>Price-Smart-Panama S.A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240</v>
          </cell>
          <cell r="J1401" t="str">
            <v>Price-Smart-Panama S.A</v>
          </cell>
          <cell r="M1401"/>
          <cell r="N1401"/>
          <cell r="O1401"/>
          <cell r="P1401"/>
          <cell r="Q1401"/>
          <cell r="R1401"/>
          <cell r="S1401"/>
          <cell r="T1401"/>
          <cell r="U1401">
            <v>0</v>
          </cell>
          <cell r="V1401"/>
          <cell r="W1401"/>
          <cell r="X1401"/>
          <cell r="Y1401"/>
        </row>
        <row r="1402">
          <cell r="A1402" t="str">
            <v>Price-Smart-Panama S.A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J1402" t="str">
            <v>Price-Smart-Panama S.A</v>
          </cell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>
            <v>200</v>
          </cell>
          <cell r="X1402"/>
          <cell r="Y1402"/>
        </row>
        <row r="1403">
          <cell r="A1403" t="str">
            <v>Price-Smart-Panama S.A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200</v>
          </cell>
          <cell r="J1403" t="str">
            <v>Price-Smart-Panama S.A</v>
          </cell>
          <cell r="M1403"/>
          <cell r="N1403"/>
          <cell r="O1403"/>
          <cell r="P1403"/>
          <cell r="Q1403"/>
          <cell r="R1403"/>
          <cell r="S1403"/>
          <cell r="T1403"/>
          <cell r="U1403"/>
          <cell r="V1403">
            <v>30</v>
          </cell>
          <cell r="W1403"/>
          <cell r="X1403"/>
          <cell r="Y1403"/>
        </row>
        <row r="1404">
          <cell r="A1404" t="str">
            <v>Price-Smart-Panama S.A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30</v>
          </cell>
          <cell r="J1404" t="str">
            <v>Price-Smart-Panama S.A</v>
          </cell>
          <cell r="M1404"/>
          <cell r="N1404">
            <v>0</v>
          </cell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</row>
        <row r="1405">
          <cell r="A1405" t="str">
            <v>Price-Smart-Panama S.A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J1405" t="str">
            <v>Price-Smart-Panama S.A</v>
          </cell>
          <cell r="M1405"/>
          <cell r="N1405"/>
          <cell r="O1405">
            <v>346</v>
          </cell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</row>
        <row r="1406">
          <cell r="A1406" t="str">
            <v>Price-Smart-Panama S.A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346</v>
          </cell>
          <cell r="J1406" t="str">
            <v>Vima Foods Panamá S.A.</v>
          </cell>
          <cell r="M1406">
            <v>325</v>
          </cell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</row>
        <row r="1407">
          <cell r="A1407" t="str">
            <v>Vima Foods Panamá S.A.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325</v>
          </cell>
          <cell r="J1407" t="str">
            <v>Vima Foods Panamá S.A.</v>
          </cell>
          <cell r="M1407"/>
          <cell r="N1407"/>
          <cell r="O1407"/>
          <cell r="P1407">
            <v>102</v>
          </cell>
          <cell r="Q1407"/>
          <cell r="R1407"/>
          <cell r="S1407"/>
          <cell r="T1407"/>
          <cell r="U1407"/>
          <cell r="V1407"/>
          <cell r="W1407"/>
          <cell r="X1407"/>
          <cell r="Y1407"/>
        </row>
        <row r="1408">
          <cell r="A1408" t="str">
            <v>Vima Foods Panamá S.A.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102</v>
          </cell>
          <cell r="J1408" t="str">
            <v>Vima Foods Panamá S.A.</v>
          </cell>
          <cell r="M1408"/>
          <cell r="N1408">
            <v>100</v>
          </cell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</row>
        <row r="1409">
          <cell r="A1409" t="str">
            <v>Vima Foods Panamá S.A.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100</v>
          </cell>
          <cell r="J1409" t="str">
            <v>Vima Foods Panamá S.A.</v>
          </cell>
          <cell r="M1409"/>
          <cell r="N1409"/>
          <cell r="O1409">
            <v>180</v>
          </cell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</row>
        <row r="1410">
          <cell r="A1410" t="str">
            <v>Vima Foods Panamá S.A.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180</v>
          </cell>
          <cell r="J1410" t="str">
            <v>Vima Foods Panamá S.A.</v>
          </cell>
          <cell r="M1410"/>
          <cell r="N1410"/>
          <cell r="O1410"/>
          <cell r="P1410"/>
          <cell r="Q1410">
            <v>1060</v>
          </cell>
          <cell r="R1410"/>
          <cell r="S1410"/>
          <cell r="T1410"/>
          <cell r="U1410"/>
          <cell r="V1410"/>
          <cell r="W1410"/>
          <cell r="X1410"/>
          <cell r="Y1410"/>
        </row>
        <row r="1411">
          <cell r="A1411" t="str">
            <v>Vima Foods Panamá S.A.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1060</v>
          </cell>
          <cell r="J1411" t="str">
            <v>Vima Foods Panamá S.A.</v>
          </cell>
          <cell r="M1411"/>
          <cell r="N1411">
            <v>542</v>
          </cell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</row>
        <row r="1412">
          <cell r="A1412" t="str">
            <v>Vima Foods Panamá S.A.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542</v>
          </cell>
          <cell r="J1412" t="str">
            <v>Vima Foods Panamá S.A.</v>
          </cell>
          <cell r="M1412"/>
          <cell r="N1412">
            <v>264</v>
          </cell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</row>
        <row r="1413">
          <cell r="A1413" t="str">
            <v>Vima Foods Panamá S.A.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264</v>
          </cell>
          <cell r="J1413" t="str">
            <v>Vima Foods Panamá S.A.</v>
          </cell>
          <cell r="M1413"/>
          <cell r="N1413">
            <v>250</v>
          </cell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</row>
        <row r="1414">
          <cell r="A1414" t="str">
            <v>Vima Foods Panamá S.A.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250</v>
          </cell>
          <cell r="J1414" t="str">
            <v>Vima Foods Panamá S.A.</v>
          </cell>
          <cell r="M1414"/>
          <cell r="N1414">
            <v>0</v>
          </cell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</row>
        <row r="1415">
          <cell r="A1415" t="str">
            <v>Vima Foods Panamá S.A.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J1415" t="str">
            <v>Vima Foods Panamá S.A.</v>
          </cell>
          <cell r="M1415"/>
          <cell r="N1415">
            <v>456</v>
          </cell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</row>
        <row r="1416">
          <cell r="A1416" t="str">
            <v>Vima Foods Panamá S.A.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456</v>
          </cell>
          <cell r="J1416" t="str">
            <v>Vima Foods Panamá S.A.</v>
          </cell>
          <cell r="M1416"/>
          <cell r="N1416"/>
          <cell r="O1416">
            <v>219</v>
          </cell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</row>
        <row r="1417">
          <cell r="A1417" t="str">
            <v>Vima Foods Panamá S.A.</v>
          </cell>
          <cell r="C1417">
            <v>0</v>
          </cell>
          <cell r="D1417">
            <v>16</v>
          </cell>
          <cell r="E1417">
            <v>19</v>
          </cell>
          <cell r="F1417">
            <v>19</v>
          </cell>
          <cell r="G1417">
            <v>219</v>
          </cell>
          <cell r="J1417" t="str">
            <v>Vima Foods Panamá S.A.</v>
          </cell>
          <cell r="M1417"/>
          <cell r="N1417"/>
          <cell r="O1417">
            <v>34</v>
          </cell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</row>
        <row r="1418">
          <cell r="A1418" t="str">
            <v>Vima Foods Panamá S.A.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34</v>
          </cell>
          <cell r="J1418" t="str">
            <v>Vima Foods Panamá S.A.</v>
          </cell>
          <cell r="M1418"/>
          <cell r="N1418">
            <v>230</v>
          </cell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</row>
        <row r="1419">
          <cell r="A1419" t="str">
            <v>Vima Foods Panamá S.A.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230</v>
          </cell>
          <cell r="J1419" t="str">
            <v>Vima Foods Panamá S.A.</v>
          </cell>
          <cell r="M1419"/>
          <cell r="N1419">
            <v>97</v>
          </cell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</row>
        <row r="1420">
          <cell r="A1420" t="str">
            <v>Vima Foods Panamá S.A.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97</v>
          </cell>
          <cell r="J1420" t="str">
            <v>Vima Foods Panamá S.A.</v>
          </cell>
          <cell r="M1420"/>
          <cell r="N1420">
            <v>120</v>
          </cell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</row>
        <row r="1421">
          <cell r="A1421" t="str">
            <v>Vima Foods Panamá S.A.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120</v>
          </cell>
          <cell r="J1421" t="str">
            <v>Vima Foods Panamá S.A.</v>
          </cell>
          <cell r="M1421"/>
          <cell r="N1421"/>
          <cell r="O1421">
            <v>0</v>
          </cell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</row>
        <row r="1422">
          <cell r="A1422" t="str">
            <v>Vima Foods Panamá S.A.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J1422" t="str">
            <v>Vima Foods Panamá S.A.</v>
          </cell>
          <cell r="M1422">
            <v>209</v>
          </cell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</row>
        <row r="1423">
          <cell r="A1423" t="str">
            <v>Vima Foods Panamá S.A.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209</v>
          </cell>
          <cell r="J1423" t="str">
            <v>Vima Foods Panamá S.A.</v>
          </cell>
          <cell r="M1423"/>
          <cell r="N1423"/>
          <cell r="O1423"/>
          <cell r="P1423"/>
          <cell r="Q1423"/>
          <cell r="R1423"/>
          <cell r="S1423">
            <v>150</v>
          </cell>
          <cell r="T1423"/>
          <cell r="U1423"/>
          <cell r="V1423"/>
          <cell r="W1423"/>
          <cell r="X1423"/>
          <cell r="Y1423"/>
        </row>
        <row r="1424">
          <cell r="A1424" t="str">
            <v>Vima Foods Panamá S.A.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150</v>
          </cell>
          <cell r="J1424" t="str">
            <v>Vima Foods Panamá S.A.</v>
          </cell>
          <cell r="M1424">
            <v>630</v>
          </cell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</row>
        <row r="1425">
          <cell r="A1425" t="str">
            <v>Vima Foods Panamá S.A.</v>
          </cell>
          <cell r="C1425">
            <v>0</v>
          </cell>
          <cell r="D1425">
            <v>120</v>
          </cell>
          <cell r="E1425">
            <v>180</v>
          </cell>
          <cell r="F1425">
            <v>60</v>
          </cell>
          <cell r="G1425">
            <v>630</v>
          </cell>
          <cell r="J1425" t="str">
            <v>PRODUCTOS KIENER</v>
          </cell>
          <cell r="M1425"/>
          <cell r="N1425"/>
          <cell r="O1425">
            <v>30</v>
          </cell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</row>
        <row r="1426">
          <cell r="A1426" t="str">
            <v>PRODUCTOS KIENER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30</v>
          </cell>
          <cell r="J1426" t="str">
            <v>PRODUCTOS KIENER</v>
          </cell>
          <cell r="M1426"/>
          <cell r="N1426"/>
          <cell r="O1426"/>
          <cell r="P1426">
            <v>102</v>
          </cell>
          <cell r="Q1426"/>
          <cell r="R1426"/>
          <cell r="S1426"/>
          <cell r="T1426"/>
          <cell r="U1426"/>
          <cell r="V1426"/>
          <cell r="W1426"/>
          <cell r="X1426"/>
          <cell r="Y1426"/>
        </row>
        <row r="1427">
          <cell r="A1427" t="str">
            <v>PRODUCTOS KIENER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102</v>
          </cell>
          <cell r="J1427" t="str">
            <v>PRODUCTOS KIENER</v>
          </cell>
          <cell r="M1427"/>
          <cell r="N1427">
            <v>100</v>
          </cell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</row>
        <row r="1428">
          <cell r="A1428" t="str">
            <v>PRODUCTOS KIENER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100</v>
          </cell>
          <cell r="J1428" t="str">
            <v>PRODUCTOS KIENER</v>
          </cell>
          <cell r="M1428"/>
          <cell r="N1428">
            <v>70</v>
          </cell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</row>
        <row r="1429">
          <cell r="A1429" t="str">
            <v>PRODUCTOS KIENER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70</v>
          </cell>
          <cell r="J1429" t="str">
            <v>PRODUCTOS KIENER</v>
          </cell>
          <cell r="M1429"/>
          <cell r="N1429"/>
          <cell r="O1429"/>
          <cell r="P1429"/>
          <cell r="Q1429">
            <v>1060</v>
          </cell>
          <cell r="R1429"/>
          <cell r="S1429"/>
          <cell r="T1429"/>
          <cell r="U1429"/>
          <cell r="V1429"/>
          <cell r="W1429"/>
          <cell r="X1429"/>
          <cell r="Y1429"/>
        </row>
        <row r="1430">
          <cell r="A1430" t="str">
            <v>PRODUCTOS KIENER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1060</v>
          </cell>
          <cell r="J1430" t="str">
            <v>PRODUCTOS KIENER</v>
          </cell>
          <cell r="M1430"/>
          <cell r="N1430">
            <v>100</v>
          </cell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</row>
        <row r="1431">
          <cell r="A1431" t="str">
            <v>PRODUCTOS KIENER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100</v>
          </cell>
          <cell r="J1431" t="str">
            <v>PRODUCTOS KIENER</v>
          </cell>
          <cell r="M1431"/>
          <cell r="N1431">
            <v>250</v>
          </cell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</row>
        <row r="1432">
          <cell r="A1432" t="str">
            <v>PRODUCTOS KIENER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250</v>
          </cell>
          <cell r="J1432" t="str">
            <v>PRODUCTOS KIENER</v>
          </cell>
          <cell r="M1432"/>
          <cell r="N1432"/>
          <cell r="O1432"/>
          <cell r="P1432"/>
          <cell r="Q1432"/>
          <cell r="R1432">
            <v>180</v>
          </cell>
          <cell r="S1432"/>
          <cell r="T1432"/>
          <cell r="U1432"/>
          <cell r="V1432"/>
          <cell r="W1432"/>
          <cell r="X1432"/>
          <cell r="Y1432"/>
        </row>
        <row r="1433">
          <cell r="A1433" t="str">
            <v>PRODUCTOS KIENER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180</v>
          </cell>
          <cell r="J1433" t="str">
            <v>PRODUCTOS KIENER</v>
          </cell>
          <cell r="M1433"/>
          <cell r="N1433"/>
          <cell r="O1433"/>
          <cell r="P1433"/>
          <cell r="Q1433"/>
          <cell r="R1433"/>
          <cell r="S1433">
            <v>73</v>
          </cell>
          <cell r="T1433"/>
          <cell r="U1433"/>
          <cell r="V1433"/>
          <cell r="W1433"/>
          <cell r="X1433"/>
          <cell r="Y1433"/>
        </row>
        <row r="1434">
          <cell r="A1434" t="str">
            <v>PRODUCTOS KIENER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73</v>
          </cell>
          <cell r="J1434" t="str">
            <v>PRODUCTOS KIENER</v>
          </cell>
          <cell r="M1434"/>
          <cell r="N1434"/>
          <cell r="O1434">
            <v>65</v>
          </cell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</row>
        <row r="1435">
          <cell r="A1435" t="str">
            <v>PRODUCTOS KIENER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65</v>
          </cell>
          <cell r="J1435" t="str">
            <v>PRODUCTOS KIENER</v>
          </cell>
          <cell r="M1435"/>
          <cell r="N1435">
            <v>70</v>
          </cell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</row>
        <row r="1436">
          <cell r="A1436" t="str">
            <v>PRODUCTOS KIENER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70</v>
          </cell>
          <cell r="J1436" t="str">
            <v>PRODUCTOS KIENER</v>
          </cell>
          <cell r="M1436"/>
          <cell r="N1436"/>
          <cell r="O1436">
            <v>1090</v>
          </cell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</row>
        <row r="1437">
          <cell r="A1437" t="str">
            <v>PRODUCTOS KIENER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1090</v>
          </cell>
          <cell r="J1437" t="str">
            <v>PRODUCTOS KIENER</v>
          </cell>
          <cell r="M1437">
            <v>0</v>
          </cell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</row>
        <row r="1438">
          <cell r="A1438" t="str">
            <v>PRODUCTOS KIENER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J1438" t="str">
            <v>PRODUCTOS KIENER</v>
          </cell>
          <cell r="M1438"/>
          <cell r="N1438">
            <v>282</v>
          </cell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</row>
        <row r="1439">
          <cell r="A1439" t="str">
            <v>PRODUCTOS KIENER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282</v>
          </cell>
          <cell r="J1439" t="str">
            <v>PRODUCTOS KIENER</v>
          </cell>
          <cell r="M1439"/>
          <cell r="N1439">
            <v>467</v>
          </cell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</row>
        <row r="1440">
          <cell r="A1440" t="str">
            <v>PRODUCTOS KIENER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467</v>
          </cell>
          <cell r="J1440" t="str">
            <v>PRODUCTOS KIENER</v>
          </cell>
          <cell r="M1440"/>
          <cell r="N1440">
            <v>38</v>
          </cell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</row>
        <row r="1441">
          <cell r="A1441" t="str">
            <v>PRODUCTOS KIENER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38</v>
          </cell>
          <cell r="J1441" t="str">
            <v>PRODUCTOS KIENER</v>
          </cell>
          <cell r="M1441"/>
          <cell r="N1441">
            <v>70</v>
          </cell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</row>
        <row r="1442">
          <cell r="A1442" t="str">
            <v>PRODUCTOS KIENER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70</v>
          </cell>
          <cell r="J1442" t="str">
            <v>PRODUCTOS KIENER</v>
          </cell>
          <cell r="M1442"/>
          <cell r="N1442">
            <v>60</v>
          </cell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</row>
        <row r="1443">
          <cell r="A1443" t="str">
            <v>PRODUCTOS KIENER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60</v>
          </cell>
          <cell r="J1443" t="str">
            <v>PRODUCTOS KIENER</v>
          </cell>
          <cell r="M1443"/>
          <cell r="N1443">
            <v>243</v>
          </cell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</row>
        <row r="1444">
          <cell r="A1444" t="str">
            <v>PRODUCTOS KIENER</v>
          </cell>
          <cell r="C1444">
            <v>0</v>
          </cell>
          <cell r="D1444">
            <v>13</v>
          </cell>
          <cell r="E1444">
            <v>37</v>
          </cell>
          <cell r="F1444">
            <v>28</v>
          </cell>
          <cell r="G1444">
            <v>243</v>
          </cell>
          <cell r="J1444" t="str">
            <v>PRODUCTOS KIENER</v>
          </cell>
          <cell r="M1444"/>
          <cell r="N1444">
            <v>62</v>
          </cell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</row>
        <row r="1445">
          <cell r="A1445" t="str">
            <v>PRODUCTOS KIENER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62</v>
          </cell>
          <cell r="J1445" t="str">
            <v>PRODUCTOS KIENER</v>
          </cell>
          <cell r="M1445"/>
          <cell r="N1445"/>
          <cell r="O1445">
            <v>116</v>
          </cell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</row>
        <row r="1446">
          <cell r="A1446" t="str">
            <v>PRODUCTOS KIENER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116</v>
          </cell>
          <cell r="J1446" t="str">
            <v>PRODUCTOS KIENER</v>
          </cell>
          <cell r="M1446"/>
          <cell r="N1446">
            <v>542</v>
          </cell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</row>
        <row r="1447">
          <cell r="A1447" t="str">
            <v>PRODUCTOS KIENER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542</v>
          </cell>
          <cell r="J1447" t="str">
            <v>PRODUCTOS KIENER</v>
          </cell>
          <cell r="M1447"/>
          <cell r="N1447"/>
          <cell r="O1447"/>
          <cell r="P1447"/>
          <cell r="Q1447"/>
          <cell r="R1447"/>
          <cell r="S1447">
            <v>211</v>
          </cell>
          <cell r="T1447"/>
          <cell r="U1447"/>
          <cell r="V1447"/>
          <cell r="W1447"/>
          <cell r="X1447"/>
          <cell r="Y1447"/>
        </row>
        <row r="1448">
          <cell r="A1448" t="str">
            <v>PRODUCTOS KIENER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211</v>
          </cell>
          <cell r="J1448" t="str">
            <v>PRODUCTOS KIENER</v>
          </cell>
          <cell r="M1448"/>
          <cell r="N1448"/>
          <cell r="O1448">
            <v>138</v>
          </cell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</row>
        <row r="1449">
          <cell r="A1449" t="str">
            <v>PRODUCTOS KIENER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138</v>
          </cell>
          <cell r="J1449" t="str">
            <v>PRODUCTOS KIENER</v>
          </cell>
          <cell r="M1449"/>
          <cell r="N1449">
            <v>147</v>
          </cell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</row>
        <row r="1450">
          <cell r="A1450" t="str">
            <v>PRODUCTOS KIENER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147</v>
          </cell>
          <cell r="J1450" t="str">
            <v>PRODUCTOS KIENER</v>
          </cell>
          <cell r="M1450">
            <v>500</v>
          </cell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</row>
        <row r="1451">
          <cell r="A1451" t="str">
            <v>PRODUCTOS KIENER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500</v>
          </cell>
          <cell r="J1451" t="str">
            <v>PRODUCTOS KIENER</v>
          </cell>
          <cell r="M1451"/>
          <cell r="N1451">
            <v>62</v>
          </cell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</row>
        <row r="1452">
          <cell r="A1452" t="str">
            <v>PRODUCTOS KIENER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62</v>
          </cell>
          <cell r="J1452" t="str">
            <v>PRODUCTOS KIENER</v>
          </cell>
          <cell r="M1452">
            <v>155</v>
          </cell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</row>
        <row r="1453">
          <cell r="A1453" t="str">
            <v>PRODUCTOS KIENER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155</v>
          </cell>
          <cell r="J1453" t="str">
            <v>PRODUCTOS KIENER</v>
          </cell>
          <cell r="M1453">
            <v>100</v>
          </cell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</row>
        <row r="1454">
          <cell r="A1454" t="str">
            <v>PRODUCTOS KIENER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100</v>
          </cell>
          <cell r="J1454" t="str">
            <v>PRODUCTOS KIENER</v>
          </cell>
          <cell r="M1454"/>
          <cell r="N1454"/>
          <cell r="O1454"/>
          <cell r="P1454"/>
          <cell r="Q1454"/>
          <cell r="R1454"/>
          <cell r="S1454">
            <v>179</v>
          </cell>
          <cell r="T1454"/>
          <cell r="U1454"/>
          <cell r="V1454"/>
          <cell r="W1454"/>
          <cell r="X1454"/>
          <cell r="Y1454"/>
        </row>
        <row r="1455">
          <cell r="A1455" t="str">
            <v>PRODUCTOS KIENER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179</v>
          </cell>
          <cell r="J1455" t="str">
            <v>PRODUCTOS KIENER</v>
          </cell>
          <cell r="M1455"/>
          <cell r="N1455">
            <v>50</v>
          </cell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</row>
        <row r="1456">
          <cell r="A1456" t="str">
            <v>PRODUCTOS KIENER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50</v>
          </cell>
          <cell r="J1456" t="str">
            <v>PRODUCTOS KIENER</v>
          </cell>
          <cell r="M1456"/>
          <cell r="N1456">
            <v>162</v>
          </cell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</row>
        <row r="1457">
          <cell r="A1457" t="str">
            <v>PRODUCTOS KIENER</v>
          </cell>
          <cell r="C1457">
            <v>162</v>
          </cell>
          <cell r="D1457">
            <v>0</v>
          </cell>
          <cell r="E1457">
            <v>0</v>
          </cell>
          <cell r="F1457">
            <v>0</v>
          </cell>
          <cell r="G1457">
            <v>162</v>
          </cell>
          <cell r="J1457" t="str">
            <v>PRODUCTOS KIENER</v>
          </cell>
          <cell r="M1457"/>
          <cell r="N1457">
            <v>86</v>
          </cell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</row>
        <row r="1458">
          <cell r="A1458" t="str">
            <v>PRODUCTOS KIENER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86</v>
          </cell>
          <cell r="J1458" t="str">
            <v>PRODUCTOS KIENER</v>
          </cell>
          <cell r="M1458">
            <v>201</v>
          </cell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</row>
        <row r="1459">
          <cell r="A1459" t="str">
            <v>PRODUCTOS KIENER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201</v>
          </cell>
          <cell r="J1459" t="str">
            <v>PRODUCTOS KIENER</v>
          </cell>
          <cell r="M1459"/>
          <cell r="N1459"/>
          <cell r="O1459"/>
          <cell r="P1459"/>
          <cell r="Q1459"/>
          <cell r="R1459"/>
          <cell r="S1459"/>
          <cell r="T1459">
            <v>73</v>
          </cell>
          <cell r="U1459"/>
          <cell r="V1459"/>
          <cell r="W1459"/>
          <cell r="X1459"/>
          <cell r="Y1459"/>
        </row>
        <row r="1460">
          <cell r="A1460" t="str">
            <v>PRODUCTOS KIENER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73</v>
          </cell>
          <cell r="J1460" t="str">
            <v>PRODUCTOS KIENER</v>
          </cell>
          <cell r="M1460"/>
          <cell r="N1460"/>
          <cell r="O1460"/>
          <cell r="P1460"/>
          <cell r="Q1460"/>
          <cell r="R1460">
            <v>181</v>
          </cell>
          <cell r="S1460"/>
          <cell r="T1460"/>
          <cell r="U1460"/>
          <cell r="V1460"/>
          <cell r="W1460"/>
          <cell r="X1460"/>
          <cell r="Y1460"/>
        </row>
        <row r="1461">
          <cell r="A1461" t="str">
            <v>PRODUCTOS KIENER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181</v>
          </cell>
          <cell r="J1461" t="str">
            <v>PRODUCTOS KIENER</v>
          </cell>
          <cell r="M1461"/>
          <cell r="N1461">
            <v>201</v>
          </cell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</row>
        <row r="1462">
          <cell r="A1462" t="str">
            <v>PRODUCTOS KIENER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201</v>
          </cell>
          <cell r="J1462" t="str">
            <v>PRODUCTOS KIENER</v>
          </cell>
          <cell r="M1462"/>
          <cell r="N1462">
            <v>0</v>
          </cell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</row>
        <row r="1463">
          <cell r="A1463" t="str">
            <v>PRODUCTOS KIENER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J1463" t="str">
            <v>PRODUCTOS KIENER</v>
          </cell>
          <cell r="M1463">
            <v>150</v>
          </cell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</row>
        <row r="1464">
          <cell r="A1464" t="str">
            <v>PRODUCTOS KIENER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150</v>
          </cell>
          <cell r="J1464" t="str">
            <v>PRODUCTOS KIENER</v>
          </cell>
          <cell r="M1464"/>
          <cell r="N1464"/>
          <cell r="O1464">
            <v>1200</v>
          </cell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</row>
        <row r="1465">
          <cell r="A1465" t="str">
            <v>PRODUCTOS KIENER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1200</v>
          </cell>
          <cell r="J1465" t="str">
            <v>PRODUCTOS KIENER</v>
          </cell>
          <cell r="M1465"/>
          <cell r="N1465">
            <v>20</v>
          </cell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</row>
        <row r="1466">
          <cell r="A1466" t="str">
            <v>PRODUCTOS KIENER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20</v>
          </cell>
          <cell r="J1466" t="str">
            <v>PRODUCTOS KIENER</v>
          </cell>
          <cell r="M1466">
            <v>390</v>
          </cell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</row>
        <row r="1467">
          <cell r="A1467" t="str">
            <v>PRODUCTOS KIENER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390</v>
          </cell>
          <cell r="J1467" t="str">
            <v>PRODUCTOS KIENER</v>
          </cell>
          <cell r="M1467"/>
          <cell r="N1467"/>
          <cell r="O1467">
            <v>410</v>
          </cell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</row>
        <row r="1468">
          <cell r="A1468" t="str">
            <v>PRODUCTOS KIENER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410</v>
          </cell>
          <cell r="J1468" t="str">
            <v>PRODUCTOS KIENER</v>
          </cell>
          <cell r="M1468"/>
          <cell r="N1468">
            <v>356</v>
          </cell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</row>
        <row r="1469">
          <cell r="A1469" t="str">
            <v>PRODUCTOS KIENER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356</v>
          </cell>
          <cell r="J1469" t="str">
            <v>PRODUCTOS KIENER</v>
          </cell>
          <cell r="M1469"/>
          <cell r="N1469">
            <v>90</v>
          </cell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</row>
        <row r="1470">
          <cell r="A1470" t="str">
            <v>PRODUCTOS KIENER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90</v>
          </cell>
          <cell r="J1470" t="str">
            <v>PRODUCTOS KIENER</v>
          </cell>
          <cell r="M1470"/>
          <cell r="N1470">
            <v>84</v>
          </cell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</row>
        <row r="1471">
          <cell r="A1471" t="str">
            <v>PRODUCTOS KIENER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84</v>
          </cell>
          <cell r="J1471" t="str">
            <v>PRODUCTOS KIENER</v>
          </cell>
          <cell r="M1471"/>
          <cell r="N1471">
            <v>22</v>
          </cell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</row>
        <row r="1472">
          <cell r="A1472" t="str">
            <v>PRODUCTOS KIENER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22</v>
          </cell>
          <cell r="J1472" t="str">
            <v>PRODUCTOS KIENER</v>
          </cell>
          <cell r="M1472"/>
          <cell r="N1472">
            <v>205</v>
          </cell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</row>
        <row r="1473">
          <cell r="A1473" t="str">
            <v>PRODUCTOS KIENER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205</v>
          </cell>
          <cell r="J1473" t="str">
            <v>PRODUCTOS KIENER</v>
          </cell>
          <cell r="M1473"/>
          <cell r="N1473">
            <v>0</v>
          </cell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</row>
        <row r="1474">
          <cell r="A1474" t="str">
            <v>PRODUCTOS KIENER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J1474" t="str">
            <v>PRODUCTOS KIENER</v>
          </cell>
          <cell r="M1474"/>
          <cell r="N1474">
            <v>251</v>
          </cell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</row>
        <row r="1475">
          <cell r="A1475" t="str">
            <v>PRODUCTOS KIENER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251</v>
          </cell>
          <cell r="J1475" t="str">
            <v>PRODUCTOS KIENER</v>
          </cell>
          <cell r="M1475"/>
          <cell r="N1475">
            <v>75</v>
          </cell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</row>
        <row r="1476">
          <cell r="A1476" t="str">
            <v>PRODUCTOS KIENER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75</v>
          </cell>
          <cell r="J1476" t="str">
            <v>PRODUCTOS KIENER</v>
          </cell>
          <cell r="M1476"/>
          <cell r="N1476"/>
          <cell r="O1476">
            <v>1017</v>
          </cell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</row>
        <row r="1477">
          <cell r="A1477" t="str">
            <v>PRODUCTOS KIENER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1017</v>
          </cell>
          <cell r="J1477" t="str">
            <v>PRODUCTOS KIENER</v>
          </cell>
          <cell r="M1477"/>
          <cell r="N1477"/>
          <cell r="O1477">
            <v>219</v>
          </cell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</row>
        <row r="1478">
          <cell r="A1478" t="str">
            <v>PRODUCTOS KIENER</v>
          </cell>
          <cell r="C1478">
            <v>0</v>
          </cell>
          <cell r="D1478">
            <v>16</v>
          </cell>
          <cell r="E1478">
            <v>19</v>
          </cell>
          <cell r="F1478">
            <v>19</v>
          </cell>
          <cell r="G1478">
            <v>219</v>
          </cell>
          <cell r="J1478" t="str">
            <v>PRODUCTOS KIENER</v>
          </cell>
          <cell r="M1478"/>
          <cell r="N1478"/>
          <cell r="O1478"/>
          <cell r="P1478"/>
          <cell r="Q1478">
            <v>83</v>
          </cell>
          <cell r="R1478"/>
          <cell r="S1478"/>
          <cell r="T1478"/>
          <cell r="U1478"/>
          <cell r="V1478"/>
          <cell r="W1478"/>
          <cell r="X1478"/>
          <cell r="Y1478"/>
        </row>
        <row r="1479">
          <cell r="A1479" t="str">
            <v>PRODUCTOS KIENER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83</v>
          </cell>
          <cell r="J1479" t="str">
            <v>PRODUCTOS KIENER</v>
          </cell>
          <cell r="M1479"/>
          <cell r="N1479"/>
          <cell r="O1479"/>
          <cell r="P1479"/>
          <cell r="Q1479"/>
          <cell r="R1479"/>
          <cell r="S1479">
            <v>152</v>
          </cell>
          <cell r="T1479"/>
          <cell r="U1479"/>
          <cell r="V1479"/>
          <cell r="W1479"/>
          <cell r="X1479"/>
          <cell r="Y1479"/>
        </row>
        <row r="1480">
          <cell r="A1480" t="str">
            <v>PRODUCTOS KIENER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152</v>
          </cell>
          <cell r="J1480" t="str">
            <v>PRODUCTOS KIENER</v>
          </cell>
          <cell r="M1480"/>
          <cell r="N1480"/>
          <cell r="O1480"/>
          <cell r="P1480"/>
          <cell r="Q1480">
            <v>60</v>
          </cell>
          <cell r="R1480"/>
          <cell r="S1480"/>
          <cell r="T1480"/>
          <cell r="U1480"/>
          <cell r="V1480"/>
          <cell r="W1480"/>
          <cell r="X1480"/>
          <cell r="Y1480"/>
        </row>
        <row r="1481">
          <cell r="A1481" t="str">
            <v>PRODUCTOS KIENER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60</v>
          </cell>
          <cell r="J1481" t="str">
            <v>PRODUCTOS KIENER</v>
          </cell>
          <cell r="M1481">
            <v>910</v>
          </cell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</row>
        <row r="1482">
          <cell r="A1482" t="str">
            <v>PRODUCTOS KIENER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910</v>
          </cell>
          <cell r="J1482" t="str">
            <v>PRODUCTOS KIENER</v>
          </cell>
          <cell r="M1482">
            <v>400</v>
          </cell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</row>
        <row r="1483">
          <cell r="A1483" t="str">
            <v>PRODUCTOS KIENER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400</v>
          </cell>
          <cell r="J1483" t="str">
            <v>PRODUCTOS KIENER</v>
          </cell>
          <cell r="M1483"/>
          <cell r="N1483"/>
          <cell r="O1483"/>
          <cell r="P1483"/>
          <cell r="Q1483">
            <v>496</v>
          </cell>
          <cell r="R1483"/>
          <cell r="S1483"/>
          <cell r="T1483"/>
          <cell r="U1483"/>
          <cell r="V1483"/>
          <cell r="W1483"/>
          <cell r="X1483"/>
          <cell r="Y1483"/>
        </row>
        <row r="1484">
          <cell r="A1484" t="str">
            <v>PRODUCTOS KIENER</v>
          </cell>
          <cell r="C1484">
            <v>73</v>
          </cell>
          <cell r="D1484">
            <v>0</v>
          </cell>
          <cell r="E1484">
            <v>0</v>
          </cell>
          <cell r="F1484">
            <v>0</v>
          </cell>
          <cell r="G1484">
            <v>496</v>
          </cell>
          <cell r="J1484" t="str">
            <v>PRODUCTOS KIENER</v>
          </cell>
          <cell r="M1484"/>
          <cell r="N1484"/>
          <cell r="O1484"/>
          <cell r="P1484"/>
          <cell r="Q1484">
            <v>4560</v>
          </cell>
          <cell r="R1484"/>
          <cell r="S1484"/>
          <cell r="T1484"/>
          <cell r="U1484"/>
          <cell r="V1484"/>
          <cell r="W1484"/>
          <cell r="X1484"/>
          <cell r="Y1484"/>
        </row>
        <row r="1485">
          <cell r="A1485" t="str">
            <v>PRODUCTOS KIENER</v>
          </cell>
          <cell r="C1485">
            <v>0</v>
          </cell>
          <cell r="D1485">
            <v>680</v>
          </cell>
          <cell r="E1485">
            <v>450</v>
          </cell>
          <cell r="F1485">
            <v>450</v>
          </cell>
          <cell r="G1485">
            <v>4560</v>
          </cell>
          <cell r="J1485" t="str">
            <v>PRODUCTOS KIENER</v>
          </cell>
          <cell r="M1485"/>
          <cell r="N1485">
            <v>0</v>
          </cell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</row>
        <row r="1486">
          <cell r="A1486" t="str">
            <v>PRODUCTOS KIENER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J1486" t="str">
            <v>PRODUCTOS KIENER</v>
          </cell>
          <cell r="M1486">
            <v>400</v>
          </cell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</row>
        <row r="1487">
          <cell r="A1487" t="str">
            <v>PRODUCTOS KIENER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400</v>
          </cell>
          <cell r="J1487" t="str">
            <v>PRODUCTOS KIENER</v>
          </cell>
          <cell r="M1487"/>
          <cell r="N1487"/>
          <cell r="O1487">
            <v>34</v>
          </cell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</row>
        <row r="1488">
          <cell r="A1488" t="str">
            <v>PRODUCTOS KIENER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34</v>
          </cell>
          <cell r="J1488" t="str">
            <v>PRODUCTOS KIENER</v>
          </cell>
          <cell r="M1488"/>
          <cell r="N1488">
            <v>230</v>
          </cell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</row>
        <row r="1489">
          <cell r="A1489" t="str">
            <v>PRODUCTOS KIENER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230</v>
          </cell>
          <cell r="J1489" t="str">
            <v>PRODUCTOS KIENER</v>
          </cell>
          <cell r="M1489">
            <v>350</v>
          </cell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</row>
        <row r="1490">
          <cell r="A1490" t="str">
            <v>PRODUCTOS KIENER</v>
          </cell>
          <cell r="C1490">
            <v>200</v>
          </cell>
          <cell r="D1490">
            <v>25</v>
          </cell>
          <cell r="E1490">
            <v>100</v>
          </cell>
          <cell r="F1490">
            <v>25</v>
          </cell>
          <cell r="G1490">
            <v>350</v>
          </cell>
          <cell r="J1490" t="str">
            <v>PRODUCTOS KIENER</v>
          </cell>
          <cell r="M1490">
            <v>352</v>
          </cell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</row>
        <row r="1491">
          <cell r="A1491" t="str">
            <v>PRODUCTOS KIENER</v>
          </cell>
          <cell r="C1491">
            <v>225</v>
          </cell>
          <cell r="D1491">
            <v>0</v>
          </cell>
          <cell r="E1491">
            <v>0</v>
          </cell>
          <cell r="F1491">
            <v>0</v>
          </cell>
          <cell r="G1491">
            <v>352</v>
          </cell>
          <cell r="J1491" t="str">
            <v>PRODUCTOS KIENER</v>
          </cell>
          <cell r="M1491"/>
          <cell r="N1491">
            <v>510</v>
          </cell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</row>
        <row r="1492">
          <cell r="A1492" t="str">
            <v>PRODUCTOS KIENER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510</v>
          </cell>
          <cell r="J1492" t="str">
            <v>PRODUCTOS KIENER</v>
          </cell>
          <cell r="M1492">
            <v>1350</v>
          </cell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</row>
        <row r="1493">
          <cell r="A1493" t="str">
            <v>PRODUCTOS KIENER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1350</v>
          </cell>
          <cell r="J1493" t="str">
            <v>PRODUCTOS KIENER</v>
          </cell>
          <cell r="M1493">
            <v>77</v>
          </cell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</row>
        <row r="1494">
          <cell r="A1494" t="str">
            <v>PRODUCTOS KIENER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77</v>
          </cell>
          <cell r="J1494" t="str">
            <v>PRODUCTOS KIENER</v>
          </cell>
          <cell r="M1494"/>
          <cell r="N1494"/>
          <cell r="O1494"/>
          <cell r="P1494"/>
          <cell r="Q1494"/>
          <cell r="R1494"/>
          <cell r="S1494">
            <v>56</v>
          </cell>
          <cell r="T1494"/>
          <cell r="U1494"/>
          <cell r="V1494"/>
          <cell r="W1494"/>
          <cell r="X1494"/>
          <cell r="Y1494"/>
        </row>
        <row r="1495">
          <cell r="A1495" t="str">
            <v>PRODUCTOS KIENER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56</v>
          </cell>
          <cell r="J1495" t="str">
            <v>PRODUCTOS KIENER</v>
          </cell>
          <cell r="M1495"/>
          <cell r="N1495">
            <v>130</v>
          </cell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</row>
        <row r="1496">
          <cell r="A1496" t="str">
            <v>PRODUCTOS KIENER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130</v>
          </cell>
          <cell r="J1496" t="str">
            <v>PRODUCTOS KIENER</v>
          </cell>
          <cell r="M1496"/>
          <cell r="N1496"/>
          <cell r="O1496"/>
          <cell r="P1496"/>
          <cell r="Q1496"/>
          <cell r="R1496"/>
          <cell r="S1496">
            <v>40</v>
          </cell>
          <cell r="T1496"/>
          <cell r="U1496"/>
          <cell r="V1496"/>
          <cell r="W1496"/>
          <cell r="X1496"/>
          <cell r="Y1496"/>
        </row>
        <row r="1497">
          <cell r="A1497" t="str">
            <v>PRODUCTOS KIENER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40</v>
          </cell>
          <cell r="J1497" t="str">
            <v>PRODUCTOS KIENER</v>
          </cell>
          <cell r="M1497"/>
          <cell r="N1497">
            <v>120</v>
          </cell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</row>
        <row r="1498">
          <cell r="A1498" t="str">
            <v>PRODUCTOS KIENER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120</v>
          </cell>
          <cell r="J1498" t="str">
            <v>PRODUCTOS KIENER</v>
          </cell>
          <cell r="M1498">
            <v>125</v>
          </cell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</row>
        <row r="1499">
          <cell r="A1499" t="str">
            <v>PRODUCTOS KIENER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125</v>
          </cell>
          <cell r="J1499" t="str">
            <v>PRODUCTOS KIENER</v>
          </cell>
          <cell r="M1499"/>
          <cell r="N1499"/>
          <cell r="O1499"/>
          <cell r="P1499"/>
          <cell r="Q1499"/>
          <cell r="R1499"/>
          <cell r="S1499">
            <v>50</v>
          </cell>
          <cell r="T1499"/>
          <cell r="U1499"/>
          <cell r="V1499"/>
          <cell r="W1499"/>
          <cell r="X1499"/>
          <cell r="Y1499"/>
        </row>
        <row r="1500">
          <cell r="A1500" t="str">
            <v>PRODUCTOS KIENER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50</v>
          </cell>
          <cell r="J1500" t="str">
            <v>PRODUCTOS KIENER</v>
          </cell>
          <cell r="M1500">
            <v>25</v>
          </cell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</row>
        <row r="1501">
          <cell r="A1501" t="str">
            <v>PRODUCTOS KIENER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25</v>
          </cell>
          <cell r="J1501" t="str">
            <v>PRODUCTOS KIENER</v>
          </cell>
          <cell r="M1501"/>
          <cell r="N1501"/>
          <cell r="O1501">
            <v>0</v>
          </cell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</row>
        <row r="1502">
          <cell r="A1502" t="str">
            <v>PRODUCTOS KIENER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J1502" t="str">
            <v>PRODUCTOS KIENER</v>
          </cell>
          <cell r="M1502">
            <v>209</v>
          </cell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</row>
        <row r="1503">
          <cell r="A1503" t="str">
            <v>PRODUCTOS KIENER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209</v>
          </cell>
          <cell r="J1503" t="str">
            <v>PRODUCTOS KIENER</v>
          </cell>
          <cell r="M1503">
            <v>0</v>
          </cell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</row>
        <row r="1504">
          <cell r="A1504" t="str">
            <v>PRODUCTOS KIENER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J1504" t="str">
            <v>PRODUCTOS KIENER</v>
          </cell>
          <cell r="M1504"/>
          <cell r="N1504"/>
          <cell r="O1504"/>
          <cell r="P1504"/>
          <cell r="Q1504"/>
          <cell r="R1504"/>
          <cell r="S1504">
            <v>150</v>
          </cell>
          <cell r="T1504"/>
          <cell r="U1504"/>
          <cell r="V1504"/>
          <cell r="W1504"/>
          <cell r="X1504"/>
          <cell r="Y1504"/>
        </row>
        <row r="1505">
          <cell r="A1505" t="str">
            <v>PRODUCTOS KIENER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150</v>
          </cell>
          <cell r="J1505" t="str">
            <v>PRODUCTOS KIENER</v>
          </cell>
          <cell r="M1505"/>
          <cell r="N1505">
            <v>6</v>
          </cell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</row>
        <row r="1506">
          <cell r="A1506" t="str">
            <v>PRODUCTOS KIENER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6</v>
          </cell>
          <cell r="J1506" t="str">
            <v>PRODUCTOS KIENER</v>
          </cell>
          <cell r="M1506"/>
          <cell r="N1506"/>
          <cell r="O1506">
            <v>240</v>
          </cell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</row>
        <row r="1507">
          <cell r="A1507" t="str">
            <v>PRODUCTOS KIENER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240</v>
          </cell>
          <cell r="J1507" t="str">
            <v>PRODUCTOS KIENER</v>
          </cell>
          <cell r="M1507"/>
          <cell r="N1507"/>
          <cell r="O1507">
            <v>421</v>
          </cell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</row>
        <row r="1508">
          <cell r="A1508" t="str">
            <v>PRODUCTOS KIENER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421</v>
          </cell>
          <cell r="J1508" t="str">
            <v>PRODUCTOS KIENER</v>
          </cell>
          <cell r="M1508"/>
          <cell r="N1508"/>
          <cell r="O1508"/>
          <cell r="P1508"/>
          <cell r="Q1508"/>
          <cell r="R1508"/>
          <cell r="S1508">
            <v>200</v>
          </cell>
          <cell r="T1508"/>
          <cell r="U1508"/>
          <cell r="V1508"/>
          <cell r="W1508"/>
          <cell r="X1508"/>
          <cell r="Y1508"/>
        </row>
        <row r="1509">
          <cell r="A1509" t="str">
            <v>PRODUCTOS KIENER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200</v>
          </cell>
          <cell r="J1509" t="str">
            <v>PRODUCTOS KIENER</v>
          </cell>
          <cell r="M1509"/>
          <cell r="N1509"/>
          <cell r="O1509"/>
          <cell r="P1509">
            <v>173</v>
          </cell>
          <cell r="Q1509"/>
          <cell r="R1509"/>
          <cell r="S1509"/>
          <cell r="T1509"/>
          <cell r="U1509"/>
          <cell r="V1509"/>
          <cell r="W1509"/>
          <cell r="X1509"/>
          <cell r="Y1509"/>
        </row>
        <row r="1510">
          <cell r="A1510" t="str">
            <v>PRODUCTOS KIENER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173</v>
          </cell>
          <cell r="J1510" t="str">
            <v>PRODUCTOS KIENER</v>
          </cell>
          <cell r="M1510">
            <v>265</v>
          </cell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</row>
        <row r="1511">
          <cell r="A1511" t="str">
            <v>PRODUCTOS KIENER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265</v>
          </cell>
          <cell r="J1511" t="str">
            <v>PRODUCTOS KIENER</v>
          </cell>
          <cell r="M1511"/>
          <cell r="N1511">
            <v>110</v>
          </cell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</row>
        <row r="1512">
          <cell r="A1512" t="str">
            <v>PRODUCTOS KIENER</v>
          </cell>
          <cell r="C1512">
            <v>0</v>
          </cell>
          <cell r="D1512">
            <v>35</v>
          </cell>
          <cell r="E1512">
            <v>0</v>
          </cell>
          <cell r="F1512">
            <v>0</v>
          </cell>
          <cell r="G1512">
            <v>110</v>
          </cell>
          <cell r="J1512" t="str">
            <v>PRODUCTOS KIENER</v>
          </cell>
          <cell r="M1512"/>
          <cell r="N1512">
            <v>130</v>
          </cell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</row>
        <row r="1513">
          <cell r="A1513" t="str">
            <v>PRODUCTOS KIENER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130</v>
          </cell>
          <cell r="J1513" t="str">
            <v>PRODUCTOS KIENER</v>
          </cell>
          <cell r="M1513">
            <v>1300</v>
          </cell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</row>
        <row r="1514">
          <cell r="A1514" t="str">
            <v>PRODUCTOS KIENER</v>
          </cell>
          <cell r="C1514">
            <v>100</v>
          </cell>
          <cell r="D1514">
            <v>0</v>
          </cell>
          <cell r="E1514">
            <v>0</v>
          </cell>
          <cell r="F1514">
            <v>0</v>
          </cell>
          <cell r="G1514">
            <v>1300</v>
          </cell>
          <cell r="J1514" t="str">
            <v>PRODUCTOS KIENER</v>
          </cell>
          <cell r="M1514">
            <v>52</v>
          </cell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</row>
        <row r="1515">
          <cell r="A1515" t="str">
            <v>PRODUCTOS KIENER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52</v>
          </cell>
          <cell r="J1515" t="str">
            <v>PRODUCTOS KIENER</v>
          </cell>
          <cell r="M1515">
            <v>50</v>
          </cell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</row>
        <row r="1516">
          <cell r="A1516" t="str">
            <v>PRODUCTOS KIENER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50</v>
          </cell>
          <cell r="J1516" t="str">
            <v>PRODUCTOS KIENER</v>
          </cell>
          <cell r="M1516"/>
          <cell r="N1516"/>
          <cell r="O1516"/>
          <cell r="P1516"/>
          <cell r="Q1516"/>
          <cell r="R1516"/>
          <cell r="S1516">
            <v>40</v>
          </cell>
          <cell r="T1516"/>
          <cell r="U1516"/>
          <cell r="V1516"/>
          <cell r="W1516"/>
          <cell r="X1516"/>
          <cell r="Y1516"/>
        </row>
        <row r="1517">
          <cell r="A1517" t="str">
            <v>PRODUCTOS KIENER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40</v>
          </cell>
          <cell r="J1517" t="str">
            <v>PRODUCTOS KIENER</v>
          </cell>
          <cell r="M1517"/>
          <cell r="N1517"/>
          <cell r="O1517">
            <v>105</v>
          </cell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</row>
        <row r="1518">
          <cell r="A1518" t="str">
            <v>PRODUCTOS KIENER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105</v>
          </cell>
          <cell r="J1518" t="str">
            <v>PRODUCTOS KIENER</v>
          </cell>
          <cell r="M1518"/>
          <cell r="N1518">
            <v>490</v>
          </cell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</row>
        <row r="1519">
          <cell r="A1519" t="str">
            <v>PRODUCTOS KIENER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490</v>
          </cell>
          <cell r="J1519" t="str">
            <v>PRODUCTOS KIENER</v>
          </cell>
          <cell r="M1519"/>
          <cell r="N1519"/>
          <cell r="O1519">
            <v>480</v>
          </cell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</row>
        <row r="1520">
          <cell r="A1520" t="str">
            <v>PRODUCTOS KIENER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480</v>
          </cell>
          <cell r="J1520" t="str">
            <v>PRODUCTOS KIENER</v>
          </cell>
          <cell r="M1520">
            <v>740</v>
          </cell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</row>
        <row r="1521">
          <cell r="A1521" t="str">
            <v>PRODUCTOS KIENER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740</v>
          </cell>
          <cell r="J1521" t="str">
            <v>PRODUCTOS KIENER</v>
          </cell>
          <cell r="M1521"/>
          <cell r="N1521"/>
          <cell r="O1521">
            <v>346</v>
          </cell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</row>
        <row r="1522">
          <cell r="A1522" t="str">
            <v>PRODUCTOS KIENER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346</v>
          </cell>
          <cell r="J1522" t="str">
            <v>SALVA - MAR,</v>
          </cell>
          <cell r="M1522"/>
          <cell r="N1522">
            <v>100</v>
          </cell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</row>
        <row r="1523">
          <cell r="A1523" t="str">
            <v>SALVA - MAR,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100</v>
          </cell>
          <cell r="J1523" t="str">
            <v>SALVA - MAR,</v>
          </cell>
          <cell r="M1523"/>
          <cell r="N1523"/>
          <cell r="O1523"/>
          <cell r="P1523"/>
          <cell r="Q1523">
            <v>1060</v>
          </cell>
          <cell r="R1523"/>
          <cell r="S1523"/>
          <cell r="T1523"/>
          <cell r="U1523"/>
          <cell r="V1523"/>
          <cell r="W1523"/>
          <cell r="X1523"/>
          <cell r="Y1523"/>
        </row>
        <row r="1524">
          <cell r="A1524" t="str">
            <v>SALVA - MAR,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1060</v>
          </cell>
          <cell r="J1524" t="str">
            <v>SALVA - MAR,</v>
          </cell>
          <cell r="M1524"/>
          <cell r="N1524"/>
          <cell r="O1524"/>
          <cell r="P1524"/>
          <cell r="Q1524"/>
          <cell r="R1524">
            <v>180</v>
          </cell>
          <cell r="S1524"/>
          <cell r="T1524"/>
          <cell r="U1524"/>
          <cell r="V1524"/>
          <cell r="W1524"/>
          <cell r="X1524"/>
          <cell r="Y1524"/>
        </row>
        <row r="1525">
          <cell r="A1525" t="str">
            <v>SALVA - MAR,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180</v>
          </cell>
          <cell r="J1525" t="str">
            <v>SALVA - MAR,</v>
          </cell>
          <cell r="M1525"/>
          <cell r="N1525"/>
          <cell r="O1525"/>
          <cell r="P1525"/>
          <cell r="Q1525"/>
          <cell r="R1525"/>
          <cell r="S1525">
            <v>73</v>
          </cell>
          <cell r="T1525"/>
          <cell r="U1525"/>
          <cell r="V1525"/>
          <cell r="W1525"/>
          <cell r="X1525"/>
          <cell r="Y1525"/>
        </row>
        <row r="1526">
          <cell r="A1526" t="str">
            <v>SALVA - MAR,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73</v>
          </cell>
          <cell r="J1526" t="str">
            <v>SALVA - MAR,</v>
          </cell>
          <cell r="M1526"/>
          <cell r="N1526"/>
          <cell r="O1526">
            <v>65</v>
          </cell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</row>
        <row r="1527">
          <cell r="A1527" t="str">
            <v>SALVA - MAR,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65</v>
          </cell>
          <cell r="J1527" t="str">
            <v>SALVA - MAR,</v>
          </cell>
          <cell r="M1527"/>
          <cell r="N1527"/>
          <cell r="O1527">
            <v>1090</v>
          </cell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</row>
        <row r="1528">
          <cell r="A1528" t="str">
            <v>SALVA - MAR,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1090</v>
          </cell>
          <cell r="J1528" t="str">
            <v>SALVA - MAR,</v>
          </cell>
          <cell r="M1528"/>
          <cell r="N1528">
            <v>282</v>
          </cell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</row>
        <row r="1529">
          <cell r="A1529" t="str">
            <v>SALVA - MAR,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282</v>
          </cell>
          <cell r="J1529" t="str">
            <v>SALVA - MAR,</v>
          </cell>
          <cell r="M1529"/>
          <cell r="N1529"/>
          <cell r="O1529"/>
          <cell r="P1529"/>
          <cell r="Q1529"/>
          <cell r="R1529"/>
          <cell r="S1529"/>
          <cell r="T1529">
            <v>82</v>
          </cell>
          <cell r="U1529"/>
          <cell r="V1529"/>
          <cell r="W1529"/>
          <cell r="X1529"/>
          <cell r="Y1529"/>
        </row>
        <row r="1530">
          <cell r="A1530" t="str">
            <v>SALVA - MAR,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82</v>
          </cell>
          <cell r="J1530" t="str">
            <v>SALVA - MAR,</v>
          </cell>
          <cell r="M1530"/>
          <cell r="N1530">
            <v>70</v>
          </cell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</row>
        <row r="1531">
          <cell r="A1531" t="str">
            <v>SALVA - MAR,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70</v>
          </cell>
          <cell r="J1531" t="str">
            <v>SALVA - MAR,</v>
          </cell>
          <cell r="M1531"/>
          <cell r="N1531">
            <v>62</v>
          </cell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</row>
        <row r="1532">
          <cell r="A1532" t="str">
            <v>SALVA - MAR,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62</v>
          </cell>
          <cell r="J1532" t="str">
            <v>SALVA - MAR,</v>
          </cell>
          <cell r="M1532"/>
          <cell r="N1532"/>
          <cell r="O1532">
            <v>116</v>
          </cell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</row>
        <row r="1533">
          <cell r="A1533" t="str">
            <v>SALVA - MAR,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116</v>
          </cell>
          <cell r="J1533" t="str">
            <v>SALVA - MAR,</v>
          </cell>
          <cell r="M1533"/>
          <cell r="N1533">
            <v>542</v>
          </cell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</row>
        <row r="1534">
          <cell r="A1534" t="str">
            <v>SALVA - MAR,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542</v>
          </cell>
          <cell r="J1534" t="str">
            <v>SALVA - MAR,</v>
          </cell>
          <cell r="M1534"/>
          <cell r="N1534"/>
          <cell r="O1534">
            <v>138</v>
          </cell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</row>
        <row r="1535">
          <cell r="A1535" t="str">
            <v>SALVA - MAR,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138</v>
          </cell>
          <cell r="J1535" t="str">
            <v>SALVA - MAR,</v>
          </cell>
          <cell r="M1535"/>
          <cell r="N1535">
            <v>105</v>
          </cell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</row>
        <row r="1536">
          <cell r="A1536" t="str">
            <v>SALVA - MAR,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105</v>
          </cell>
          <cell r="J1536" t="str">
            <v>SALVA - MAR,</v>
          </cell>
          <cell r="M1536"/>
          <cell r="N1536"/>
          <cell r="O1536">
            <v>60</v>
          </cell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</row>
        <row r="1537">
          <cell r="A1537" t="str">
            <v>SALVA - MAR,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60</v>
          </cell>
          <cell r="J1537" t="str">
            <v>SALVA - MAR,</v>
          </cell>
          <cell r="M1537"/>
          <cell r="N1537"/>
          <cell r="O1537"/>
          <cell r="P1537"/>
          <cell r="Q1537"/>
          <cell r="R1537"/>
          <cell r="S1537">
            <v>179</v>
          </cell>
          <cell r="T1537"/>
          <cell r="U1537"/>
          <cell r="V1537"/>
          <cell r="W1537"/>
          <cell r="X1537"/>
          <cell r="Y1537"/>
        </row>
        <row r="1538">
          <cell r="A1538" t="str">
            <v>SALVA - MAR,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179</v>
          </cell>
          <cell r="J1538" t="str">
            <v>SALVA - MAR,</v>
          </cell>
          <cell r="M1538"/>
          <cell r="N1538"/>
          <cell r="O1538"/>
          <cell r="P1538"/>
          <cell r="Q1538"/>
          <cell r="R1538">
            <v>181</v>
          </cell>
          <cell r="S1538"/>
          <cell r="T1538"/>
          <cell r="U1538"/>
          <cell r="V1538"/>
          <cell r="W1538"/>
          <cell r="X1538"/>
          <cell r="Y1538"/>
        </row>
        <row r="1539">
          <cell r="A1539" t="str">
            <v>SALVA - MAR,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181</v>
          </cell>
          <cell r="J1539" t="str">
            <v>SALVA - MAR,</v>
          </cell>
          <cell r="M1539"/>
          <cell r="N1539"/>
          <cell r="O1539"/>
          <cell r="P1539"/>
          <cell r="Q1539"/>
          <cell r="R1539"/>
          <cell r="S1539"/>
          <cell r="T1539">
            <v>635</v>
          </cell>
          <cell r="U1539"/>
          <cell r="V1539"/>
          <cell r="W1539"/>
          <cell r="X1539"/>
          <cell r="Y1539"/>
        </row>
        <row r="1540">
          <cell r="A1540" t="str">
            <v>SALVA - MAR,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635</v>
          </cell>
          <cell r="J1540" t="str">
            <v>SALVA - MAR,</v>
          </cell>
          <cell r="M1540"/>
          <cell r="N1540">
            <v>201</v>
          </cell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</row>
        <row r="1541">
          <cell r="A1541" t="str">
            <v>SALVA - MAR,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201</v>
          </cell>
          <cell r="J1541" t="str">
            <v>SALVA - MAR,</v>
          </cell>
          <cell r="M1541"/>
          <cell r="N1541">
            <v>0</v>
          </cell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</row>
        <row r="1542">
          <cell r="A1542" t="str">
            <v>SALVA - MAR,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J1542" t="str">
            <v>SALVA - MAR,</v>
          </cell>
          <cell r="M1542">
            <v>150</v>
          </cell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</row>
        <row r="1543">
          <cell r="A1543" t="str">
            <v>SALVA - MAR,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150</v>
          </cell>
          <cell r="J1543" t="str">
            <v>SALVA - MAR,</v>
          </cell>
          <cell r="M1543"/>
          <cell r="N1543"/>
          <cell r="O1543">
            <v>1200</v>
          </cell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</row>
        <row r="1544">
          <cell r="A1544" t="str">
            <v>SALVA - MAR,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1200</v>
          </cell>
          <cell r="J1544" t="str">
            <v>SALVA - MAR,</v>
          </cell>
          <cell r="M1544"/>
          <cell r="N1544">
            <v>356</v>
          </cell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</row>
        <row r="1545">
          <cell r="A1545" t="str">
            <v>SALVA - MAR,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356</v>
          </cell>
          <cell r="J1545" t="str">
            <v>SALVA - MAR,</v>
          </cell>
          <cell r="M1545"/>
          <cell r="N1545">
            <v>22</v>
          </cell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</row>
        <row r="1546">
          <cell r="A1546" t="str">
            <v>SALVA - MAR,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22</v>
          </cell>
          <cell r="J1546" t="str">
            <v>SALVA - MAR,</v>
          </cell>
          <cell r="M1546"/>
          <cell r="N1546">
            <v>456</v>
          </cell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</row>
        <row r="1547">
          <cell r="A1547" t="str">
            <v>SALVA - MAR,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456</v>
          </cell>
          <cell r="J1547" t="str">
            <v>SALVA - MAR,</v>
          </cell>
          <cell r="M1547"/>
          <cell r="N1547">
            <v>75</v>
          </cell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</row>
        <row r="1548">
          <cell r="A1548" t="str">
            <v>SALVA - MAR,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75</v>
          </cell>
          <cell r="J1548" t="str">
            <v>SALVA - MAR,</v>
          </cell>
          <cell r="M1548"/>
          <cell r="N1548"/>
          <cell r="O1548"/>
          <cell r="P1548"/>
          <cell r="Q1548"/>
          <cell r="R1548"/>
          <cell r="S1548"/>
          <cell r="T1548">
            <v>37</v>
          </cell>
          <cell r="U1548"/>
          <cell r="V1548"/>
          <cell r="W1548"/>
          <cell r="X1548"/>
          <cell r="Y1548"/>
        </row>
        <row r="1549">
          <cell r="A1549" t="str">
            <v>SALVA - MAR,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37</v>
          </cell>
          <cell r="J1549" t="str">
            <v>SALVA - MAR,</v>
          </cell>
          <cell r="M1549">
            <v>910</v>
          </cell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</row>
        <row r="1550">
          <cell r="A1550" t="str">
            <v>SALVA - MAR,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910</v>
          </cell>
          <cell r="J1550" t="str">
            <v>SALVA - MAR,</v>
          </cell>
          <cell r="M1550"/>
          <cell r="N1550"/>
          <cell r="O1550"/>
          <cell r="P1550"/>
          <cell r="Q1550"/>
          <cell r="R1550"/>
          <cell r="S1550"/>
          <cell r="T1550"/>
          <cell r="U1550">
            <v>305</v>
          </cell>
          <cell r="V1550"/>
          <cell r="W1550"/>
          <cell r="X1550"/>
          <cell r="Y1550"/>
        </row>
        <row r="1551">
          <cell r="A1551" t="str">
            <v>SALVA - MAR,</v>
          </cell>
          <cell r="C1551">
            <v>0</v>
          </cell>
          <cell r="D1551">
            <v>40</v>
          </cell>
          <cell r="E1551">
            <v>60</v>
          </cell>
          <cell r="F1551">
            <v>40</v>
          </cell>
          <cell r="G1551">
            <v>305</v>
          </cell>
          <cell r="J1551" t="str">
            <v>SALVA - MAR,</v>
          </cell>
          <cell r="M1551"/>
          <cell r="N1551">
            <v>0</v>
          </cell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</row>
        <row r="1552">
          <cell r="A1552" t="str">
            <v>SALVA - MAR,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J1552" t="str">
            <v>SALVA - MAR,</v>
          </cell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>
            <v>0</v>
          </cell>
          <cell r="X1552"/>
          <cell r="Y1552"/>
        </row>
        <row r="1553">
          <cell r="A1553" t="str">
            <v>SALVA - MAR,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J1553" t="str">
            <v>SALVA - MAR,</v>
          </cell>
          <cell r="M1553">
            <v>400</v>
          </cell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</row>
        <row r="1554">
          <cell r="A1554" t="str">
            <v>SALVA - MAR,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400</v>
          </cell>
          <cell r="J1554" t="str">
            <v>SALVA - MAR,</v>
          </cell>
          <cell r="M1554"/>
          <cell r="N1554">
            <v>510</v>
          </cell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</row>
        <row r="1555">
          <cell r="A1555" t="str">
            <v>SALVA - MAR,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510</v>
          </cell>
          <cell r="J1555" t="str">
            <v>SALVA - MAR,</v>
          </cell>
          <cell r="M1555"/>
          <cell r="N1555">
            <v>97</v>
          </cell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</row>
        <row r="1556">
          <cell r="A1556" t="str">
            <v>SALVA - MAR,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97</v>
          </cell>
          <cell r="J1556" t="str">
            <v>SALVA - MAR,</v>
          </cell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>
            <v>0</v>
          </cell>
          <cell r="X1556"/>
          <cell r="Y1556"/>
        </row>
        <row r="1557">
          <cell r="A1557" t="str">
            <v>SALVA - MAR,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J1557" t="str">
            <v>SALVA - MAR,</v>
          </cell>
          <cell r="M1557"/>
          <cell r="N1557"/>
          <cell r="O1557"/>
          <cell r="P1557"/>
          <cell r="Q1557"/>
          <cell r="R1557"/>
          <cell r="S1557"/>
          <cell r="T1557"/>
          <cell r="U1557">
            <v>251</v>
          </cell>
          <cell r="V1557"/>
          <cell r="W1557"/>
          <cell r="X1557"/>
          <cell r="Y1557"/>
        </row>
        <row r="1558">
          <cell r="A1558" t="str">
            <v>SALVA - MAR,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251</v>
          </cell>
          <cell r="J1558" t="str">
            <v>SALVA - MAR,</v>
          </cell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>
            <v>0</v>
          </cell>
        </row>
        <row r="1559">
          <cell r="A1559" t="str">
            <v>SALVA - MAR,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J1559" t="str">
            <v>SALVA - MAR,</v>
          </cell>
          <cell r="M1559"/>
          <cell r="N1559"/>
          <cell r="O1559"/>
          <cell r="P1559"/>
          <cell r="Q1559"/>
          <cell r="R1559"/>
          <cell r="S1559"/>
          <cell r="T1559"/>
          <cell r="U1559"/>
          <cell r="V1559">
            <v>200</v>
          </cell>
          <cell r="W1559"/>
          <cell r="X1559"/>
          <cell r="Y1559"/>
        </row>
        <row r="1560">
          <cell r="A1560" t="str">
            <v>SALVA - MAR,</v>
          </cell>
          <cell r="C1560">
            <v>200</v>
          </cell>
          <cell r="D1560">
            <v>0</v>
          </cell>
          <cell r="E1560">
            <v>0</v>
          </cell>
          <cell r="F1560">
            <v>0</v>
          </cell>
          <cell r="G1560">
            <v>200</v>
          </cell>
          <cell r="J1560" t="str">
            <v>SALVA - MAR,</v>
          </cell>
          <cell r="M1560">
            <v>265</v>
          </cell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</row>
        <row r="1561">
          <cell r="A1561" t="str">
            <v>SALVA - MAR,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265</v>
          </cell>
          <cell r="J1561" t="str">
            <v>SALVA - MAR,</v>
          </cell>
          <cell r="M1561">
            <v>1300</v>
          </cell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</row>
        <row r="1562">
          <cell r="A1562" t="str">
            <v>SALVA - MAR,</v>
          </cell>
          <cell r="C1562">
            <v>100</v>
          </cell>
          <cell r="D1562">
            <v>0</v>
          </cell>
          <cell r="E1562">
            <v>0</v>
          </cell>
          <cell r="F1562">
            <v>0</v>
          </cell>
          <cell r="G1562">
            <v>1300</v>
          </cell>
          <cell r="J1562" t="str">
            <v>SALVA - MAR,</v>
          </cell>
          <cell r="M1562">
            <v>52</v>
          </cell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</row>
        <row r="1563">
          <cell r="A1563" t="str">
            <v>SALVA - MAR,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52</v>
          </cell>
          <cell r="J1563" t="str">
            <v>SALVA - MAR,</v>
          </cell>
          <cell r="M1563"/>
          <cell r="N1563"/>
          <cell r="O1563">
            <v>105</v>
          </cell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</row>
        <row r="1564">
          <cell r="A1564" t="str">
            <v>SALVA - MAR,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105</v>
          </cell>
          <cell r="J1564" t="str">
            <v>SALVA - MAR,</v>
          </cell>
          <cell r="M1564"/>
          <cell r="N1564">
            <v>490</v>
          </cell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</row>
        <row r="1565">
          <cell r="A1565" t="str">
            <v>SALVA - MAR,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490</v>
          </cell>
          <cell r="J1565" t="str">
            <v>SALVA - MAR,</v>
          </cell>
          <cell r="M1565"/>
          <cell r="N1565"/>
          <cell r="O1565"/>
          <cell r="P1565"/>
          <cell r="Q1565"/>
          <cell r="R1565"/>
          <cell r="S1565"/>
          <cell r="T1565"/>
          <cell r="U1565">
            <v>80</v>
          </cell>
          <cell r="V1565"/>
          <cell r="W1565"/>
          <cell r="X1565"/>
          <cell r="Y1565"/>
        </row>
        <row r="1566">
          <cell r="A1566" t="str">
            <v>SALVA - MAR,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80</v>
          </cell>
          <cell r="J1566" t="str">
            <v>SALVA - MAR,</v>
          </cell>
          <cell r="M1566"/>
          <cell r="N1566"/>
          <cell r="O1566"/>
          <cell r="P1566"/>
          <cell r="Q1566"/>
          <cell r="R1566"/>
          <cell r="S1566"/>
          <cell r="T1566"/>
          <cell r="U1566">
            <v>0</v>
          </cell>
          <cell r="V1566"/>
          <cell r="W1566"/>
          <cell r="X1566"/>
          <cell r="Y1566"/>
        </row>
        <row r="1567">
          <cell r="A1567" t="str">
            <v>SALVA - MAR,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J1567" t="str">
            <v>SALVA - MAR,</v>
          </cell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>
            <v>200</v>
          </cell>
          <cell r="X1567"/>
          <cell r="Y1567"/>
        </row>
        <row r="1568">
          <cell r="A1568" t="str">
            <v>SALVA - MAR,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200</v>
          </cell>
          <cell r="J1568" t="str">
            <v>SALVA - MAR,</v>
          </cell>
          <cell r="M1568"/>
          <cell r="N1568">
            <v>0</v>
          </cell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</row>
        <row r="1569">
          <cell r="A1569" t="str">
            <v>SALVA - MAR,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J1569" t="str">
            <v>IMPORTADORA FRUTA INTERNACIONAL PANAMÁ, S.A.</v>
          </cell>
          <cell r="M1569"/>
          <cell r="N1569">
            <v>250</v>
          </cell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</row>
        <row r="1570">
          <cell r="A1570" t="str">
            <v>IMPORTADORA FRUTA INTERNACIONAL PANAMÁ, S.A.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250</v>
          </cell>
          <cell r="J1570" t="str">
            <v>IMPORTADORA FRUTA INTERNACIONAL PANAMÁ, S.A.</v>
          </cell>
          <cell r="M1570"/>
          <cell r="N1570"/>
          <cell r="O1570"/>
          <cell r="P1570"/>
          <cell r="Q1570"/>
          <cell r="R1570">
            <v>180</v>
          </cell>
          <cell r="S1570"/>
          <cell r="T1570"/>
          <cell r="U1570"/>
          <cell r="V1570"/>
          <cell r="W1570"/>
          <cell r="X1570"/>
          <cell r="Y1570"/>
        </row>
        <row r="1571">
          <cell r="A1571" t="str">
            <v>IMPORTADORA FRUTA INTERNACIONAL PANAMÁ, S.A.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180</v>
          </cell>
          <cell r="J1571" t="str">
            <v>IMPORTADORA FRUTA INTERNACIONAL PANAMÁ, S.A.</v>
          </cell>
          <cell r="M1571"/>
          <cell r="N1571"/>
          <cell r="O1571"/>
          <cell r="P1571"/>
          <cell r="Q1571"/>
          <cell r="R1571"/>
          <cell r="S1571">
            <v>73</v>
          </cell>
          <cell r="T1571"/>
          <cell r="U1571"/>
          <cell r="V1571"/>
          <cell r="W1571"/>
          <cell r="X1571"/>
          <cell r="Y1571"/>
        </row>
        <row r="1572">
          <cell r="A1572" t="str">
            <v>IMPORTADORA FRUTA INTERNACIONAL PANAMÁ, S.A.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73</v>
          </cell>
          <cell r="J1572" t="str">
            <v>IMPORTADORA FRUTA INTERNACIONAL PANAMÁ, S.A.</v>
          </cell>
          <cell r="M1572"/>
          <cell r="N1572"/>
          <cell r="O1572">
            <v>65</v>
          </cell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</row>
        <row r="1573">
          <cell r="A1573" t="str">
            <v>IMPORTADORA FRUTA INTERNACIONAL PANAMÁ, S.A.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65</v>
          </cell>
          <cell r="J1573" t="str">
            <v>IMPORTADORA FRUTA INTERNACIONAL PANAMÁ, S.A.</v>
          </cell>
          <cell r="M1573"/>
          <cell r="N1573"/>
          <cell r="O1573">
            <v>1090</v>
          </cell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</row>
        <row r="1574">
          <cell r="A1574" t="str">
            <v>IMPORTADORA FRUTA INTERNACIONAL PANAMÁ, S.A.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1090</v>
          </cell>
          <cell r="J1574" t="str">
            <v>IMPORTADORA FRUTA INTERNACIONAL PANAMÁ, S.A.</v>
          </cell>
          <cell r="M1574">
            <v>0</v>
          </cell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</row>
        <row r="1575">
          <cell r="A1575" t="str">
            <v>IMPORTADORA FRUTA INTERNACIONAL PANAMÁ, S.A.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J1575" t="str">
            <v>IMPORTADORA FRUTA INTERNACIONAL PANAMÁ, S.A.</v>
          </cell>
          <cell r="M1575"/>
          <cell r="N1575">
            <v>282</v>
          </cell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</row>
        <row r="1576">
          <cell r="A1576" t="str">
            <v>IMPORTADORA FRUTA INTERNACIONAL PANAMÁ, S.A.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282</v>
          </cell>
          <cell r="J1576" t="str">
            <v>IMPORTADORA FRUTA INTERNACIONAL PANAMÁ, S.A.</v>
          </cell>
          <cell r="M1576"/>
          <cell r="N1576">
            <v>467</v>
          </cell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</row>
        <row r="1577">
          <cell r="A1577" t="str">
            <v>IMPORTADORA FRUTA INTERNACIONAL PANAMÁ, S.A.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467</v>
          </cell>
          <cell r="J1577" t="str">
            <v>IMPORTADORA FRUTA INTERNACIONAL PANAMÁ, S.A.</v>
          </cell>
          <cell r="M1577"/>
          <cell r="N1577">
            <v>70</v>
          </cell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</row>
        <row r="1578">
          <cell r="A1578" t="str">
            <v>IMPORTADORA FRUTA INTERNACIONAL PANAMÁ, S.A.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70</v>
          </cell>
          <cell r="J1578" t="str">
            <v>IMPORTADORA FRUTA INTERNACIONAL PANAMÁ, S.A.</v>
          </cell>
          <cell r="M1578"/>
          <cell r="N1578">
            <v>62</v>
          </cell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</row>
        <row r="1579">
          <cell r="A1579" t="str">
            <v>IMPORTADORA FRUTA INTERNACIONAL PANAMÁ, S.A.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62</v>
          </cell>
          <cell r="J1579" t="str">
            <v>IMPORTADORA FRUTA INTERNACIONAL PANAMÁ, S.A.</v>
          </cell>
          <cell r="M1579"/>
          <cell r="N1579"/>
          <cell r="O1579">
            <v>116</v>
          </cell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</row>
        <row r="1580">
          <cell r="A1580" t="str">
            <v>IMPORTADORA FRUTA INTERNACIONAL PANAMÁ, S.A.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116</v>
          </cell>
          <cell r="J1580" t="str">
            <v>IMPORTADORA FRUTA INTERNACIONAL PANAMÁ, S.A.</v>
          </cell>
          <cell r="M1580"/>
          <cell r="N1580">
            <v>542</v>
          </cell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</row>
        <row r="1581">
          <cell r="A1581" t="str">
            <v>IMPORTADORA FRUTA INTERNACIONAL PANAMÁ, S.A.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542</v>
          </cell>
          <cell r="J1581" t="str">
            <v>IMPORTADORA FRUTA INTERNACIONAL PANAMÁ, S.A.</v>
          </cell>
          <cell r="M1581"/>
          <cell r="N1581"/>
          <cell r="O1581">
            <v>138</v>
          </cell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</row>
        <row r="1582">
          <cell r="A1582" t="str">
            <v>IMPORTADORA FRUTA INTERNACIONAL PANAMÁ, S.A.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138</v>
          </cell>
          <cell r="J1582" t="str">
            <v>IMPORTADORA FRUTA INTERNACIONAL PANAMÁ, S.A.</v>
          </cell>
          <cell r="M1582"/>
          <cell r="N1582">
            <v>147</v>
          </cell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</row>
        <row r="1583">
          <cell r="A1583" t="str">
            <v>IMPORTADORA FRUTA INTERNACIONAL PANAMÁ, S.A.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147</v>
          </cell>
          <cell r="J1583" t="str">
            <v>IMPORTADORA FRUTA INTERNACIONAL PANAMÁ, S.A.</v>
          </cell>
          <cell r="M1583"/>
          <cell r="N1583">
            <v>264</v>
          </cell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</row>
        <row r="1584">
          <cell r="A1584" t="str">
            <v>IMPORTADORA FRUTA INTERNACIONAL PANAMÁ, S.A.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264</v>
          </cell>
          <cell r="J1584" t="str">
            <v>IMPORTADORA FRUTA INTERNACIONAL PANAMÁ, S.A.</v>
          </cell>
          <cell r="M1584"/>
          <cell r="N1584"/>
          <cell r="O1584">
            <v>60</v>
          </cell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</row>
        <row r="1585">
          <cell r="A1585" t="str">
            <v>IMPORTADORA FRUTA INTERNACIONAL PANAMÁ, S.A.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60</v>
          </cell>
          <cell r="J1585" t="str">
            <v>IMPORTADORA FRUTA INTERNACIONAL PANAMÁ, S.A.</v>
          </cell>
          <cell r="M1585">
            <v>201</v>
          </cell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</row>
        <row r="1586">
          <cell r="A1586" t="str">
            <v>IMPORTADORA FRUTA INTERNACIONAL PANAMÁ, S.A.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201</v>
          </cell>
          <cell r="J1586" t="str">
            <v>IMPORTADORA FRUTA INTERNACIONAL PANAMÁ, S.A.</v>
          </cell>
          <cell r="M1586"/>
          <cell r="N1586"/>
          <cell r="O1586"/>
          <cell r="P1586"/>
          <cell r="Q1586"/>
          <cell r="R1586"/>
          <cell r="S1586"/>
          <cell r="T1586">
            <v>73</v>
          </cell>
          <cell r="U1586"/>
          <cell r="V1586"/>
          <cell r="W1586"/>
          <cell r="X1586"/>
          <cell r="Y1586"/>
        </row>
        <row r="1587">
          <cell r="A1587" t="str">
            <v>IMPORTADORA FRUTA INTERNACIONAL PANAMÁ, S.A.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73</v>
          </cell>
          <cell r="J1587" t="str">
            <v>IMPORTADORA FRUTA INTERNACIONAL PANAMÁ, S.A.</v>
          </cell>
          <cell r="M1587"/>
          <cell r="N1587"/>
          <cell r="O1587"/>
          <cell r="P1587"/>
          <cell r="Q1587"/>
          <cell r="R1587">
            <v>181</v>
          </cell>
          <cell r="S1587"/>
          <cell r="T1587"/>
          <cell r="U1587"/>
          <cell r="V1587"/>
          <cell r="W1587"/>
          <cell r="X1587"/>
          <cell r="Y1587"/>
        </row>
        <row r="1588">
          <cell r="A1588" t="str">
            <v>IMPORTADORA FRUTA INTERNACIONAL PANAMÁ, S.A.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181</v>
          </cell>
          <cell r="J1588" t="str">
            <v>IMPORTADORA FRUTA INTERNACIONAL PANAMÁ, S.A.</v>
          </cell>
          <cell r="M1588">
            <v>150</v>
          </cell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</row>
        <row r="1589">
          <cell r="A1589" t="str">
            <v>IMPORTADORA FRUTA INTERNACIONAL PANAMÁ, S.A.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150</v>
          </cell>
          <cell r="J1589" t="str">
            <v>IMPORTADORA FRUTA INTERNACIONAL PANAMÁ, S.A.</v>
          </cell>
          <cell r="M1589"/>
          <cell r="N1589">
            <v>250</v>
          </cell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</row>
        <row r="1590">
          <cell r="A1590" t="str">
            <v>IMPORTADORA FRUTA INTERNACIONAL PANAMÁ, S.A.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250</v>
          </cell>
          <cell r="J1590" t="str">
            <v>IMPORTADORA FRUTA INTERNACIONAL PANAMÁ, S.A.</v>
          </cell>
          <cell r="M1590"/>
          <cell r="N1590">
            <v>250</v>
          </cell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</row>
        <row r="1591">
          <cell r="A1591" t="str">
            <v>IMPORTADORA FRUTA INTERNACIONAL PANAMÁ, S.A.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250</v>
          </cell>
          <cell r="J1591" t="str">
            <v>IMPORTADORA FRUTA INTERNACIONAL PANAMÁ, S.A.</v>
          </cell>
          <cell r="M1591"/>
          <cell r="N1591">
            <v>90</v>
          </cell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</row>
        <row r="1592">
          <cell r="A1592" t="str">
            <v>IMPORTADORA FRUTA INTERNACIONAL PANAMÁ, S.A.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90</v>
          </cell>
          <cell r="J1592" t="str">
            <v>IMPORTADORA FRUTA INTERNACIONAL PANAMÁ, S.A.</v>
          </cell>
          <cell r="M1592"/>
          <cell r="N1592">
            <v>22</v>
          </cell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</row>
        <row r="1593">
          <cell r="A1593" t="str">
            <v>IMPORTADORA FRUTA INTERNACIONAL PANAMÁ, S.A.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22</v>
          </cell>
          <cell r="J1593" t="str">
            <v>IMPORTADORA FRUTA INTERNACIONAL PANAMÁ, S.A.</v>
          </cell>
          <cell r="M1593"/>
          <cell r="N1593">
            <v>103</v>
          </cell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</row>
        <row r="1594">
          <cell r="A1594" t="str">
            <v>IMPORTADORA FRUTA INTERNACIONAL PANAMÁ, S.A.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103</v>
          </cell>
          <cell r="J1594" t="str">
            <v>IMPORTADORA FRUTA INTERNACIONAL PANAMÁ, S.A.</v>
          </cell>
          <cell r="M1594"/>
          <cell r="N1594">
            <v>0</v>
          </cell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</row>
        <row r="1595">
          <cell r="A1595" t="str">
            <v>IMPORTADORA FRUTA INTERNACIONAL PANAMÁ, S.A.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J1595" t="str">
            <v>IMPORTADORA FRUTA INTERNACIONAL PANAMÁ, S.A.</v>
          </cell>
          <cell r="M1595"/>
          <cell r="N1595">
            <v>456</v>
          </cell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</row>
        <row r="1596">
          <cell r="A1596" t="str">
            <v>IMPORTADORA FRUTA INTERNACIONAL PANAMÁ, S.A.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456</v>
          </cell>
          <cell r="J1596" t="str">
            <v>IMPORTADORA FRUTA INTERNACIONAL PANAMÁ, S.A.</v>
          </cell>
          <cell r="M1596"/>
          <cell r="N1596">
            <v>75</v>
          </cell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</row>
        <row r="1597">
          <cell r="A1597" t="str">
            <v>IMPORTADORA FRUTA INTERNACIONAL PANAMÁ, S.A.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75</v>
          </cell>
          <cell r="J1597" t="str">
            <v>IMPORTADORA FRUTA INTERNACIONAL PANAMÁ, S.A.</v>
          </cell>
          <cell r="M1597">
            <v>400</v>
          </cell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</row>
        <row r="1598">
          <cell r="A1598" t="str">
            <v>IMPORTADORA FRUTA INTERNACIONAL PANAMÁ, S.A.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400</v>
          </cell>
          <cell r="J1598" t="str">
            <v>IMPORTADORA FRUTA INTERNACIONAL PANAMÁ, S.A.</v>
          </cell>
          <cell r="M1598"/>
          <cell r="N1598">
            <v>230</v>
          </cell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</row>
        <row r="1599">
          <cell r="A1599" t="str">
            <v>IMPORTADORA FRUTA INTERNACIONAL PANAMÁ, S.A.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230</v>
          </cell>
          <cell r="J1599" t="str">
            <v>IMPORTADORA FRUTA INTERNACIONAL PANAMÁ, S.A.</v>
          </cell>
          <cell r="M1599"/>
          <cell r="N1599">
            <v>97</v>
          </cell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</row>
        <row r="1600">
          <cell r="A1600" t="str">
            <v>IMPORTADORA FRUTA INTERNACIONAL PANAMÁ, S.A.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97</v>
          </cell>
          <cell r="J1600" t="str">
            <v>IMPORTADORA FRUTA INTERNACIONAL PANAMÁ, S.A.</v>
          </cell>
          <cell r="M1600">
            <v>40</v>
          </cell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</row>
        <row r="1601">
          <cell r="A1601" t="str">
            <v>IMPORTADORA FRUTA INTERNACIONAL PANAMÁ, S.A.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40</v>
          </cell>
          <cell r="J1601" t="str">
            <v>IMPORTADORA FRUTA INTERNACIONAL PANAMÁ, S.A.</v>
          </cell>
          <cell r="M1601"/>
          <cell r="N1601">
            <v>130</v>
          </cell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</row>
        <row r="1602">
          <cell r="A1602" t="str">
            <v>IMPORTADORA FRUTA INTERNACIONAL PANAMÁ, S.A.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130</v>
          </cell>
          <cell r="J1602" t="str">
            <v>IMPORTADORA FRUTA INTERNACIONAL PANAMÁ, S.A.</v>
          </cell>
          <cell r="M1602"/>
          <cell r="N1602"/>
          <cell r="O1602"/>
          <cell r="P1602"/>
          <cell r="Q1602"/>
          <cell r="R1602">
            <v>130</v>
          </cell>
          <cell r="S1602"/>
          <cell r="T1602"/>
          <cell r="U1602"/>
          <cell r="V1602"/>
          <cell r="W1602"/>
          <cell r="X1602"/>
          <cell r="Y1602"/>
        </row>
        <row r="1603">
          <cell r="A1603" t="str">
            <v>IMPORTADORA FRUTA INTERNACIONAL PANAMÁ, S.A.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130</v>
          </cell>
          <cell r="J1603" t="str">
            <v>IMPORTADORA FRUTA INTERNACIONAL PANAMÁ, S.A.</v>
          </cell>
          <cell r="M1603">
            <v>209</v>
          </cell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</row>
        <row r="1604">
          <cell r="A1604" t="str">
            <v>IMPORTADORA FRUTA INTERNACIONAL PANAMÁ, S.A.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209</v>
          </cell>
          <cell r="J1604" t="str">
            <v>IMPORTADORA FRUTA INTERNACIONAL PANAMÁ, S.A.</v>
          </cell>
          <cell r="M1604">
            <v>0</v>
          </cell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</row>
        <row r="1605">
          <cell r="A1605" t="str">
            <v>IMPORTADORA FRUTA INTERNACIONAL PANAMÁ, S.A.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J1605" t="str">
            <v>IMPORTADORA FRUTA INTERNACIONAL PANAMÁ, S.A.</v>
          </cell>
          <cell r="M1605"/>
          <cell r="N1605"/>
          <cell r="O1605"/>
          <cell r="P1605"/>
          <cell r="Q1605"/>
          <cell r="R1605"/>
          <cell r="S1605">
            <v>1190</v>
          </cell>
          <cell r="T1605"/>
          <cell r="U1605"/>
          <cell r="V1605"/>
          <cell r="W1605"/>
          <cell r="X1605"/>
          <cell r="Y1605"/>
        </row>
        <row r="1606">
          <cell r="A1606" t="str">
            <v>IMPORTADORA FRUTA INTERNACIONAL PANAMÁ, S.A.</v>
          </cell>
          <cell r="C1606">
            <v>1190</v>
          </cell>
          <cell r="D1606">
            <v>0</v>
          </cell>
          <cell r="E1606">
            <v>0</v>
          </cell>
          <cell r="F1606">
            <v>0</v>
          </cell>
          <cell r="G1606">
            <v>1190</v>
          </cell>
          <cell r="J1606" t="str">
            <v>IMPORTADORA FRUTA INTERNACIONAL PANAMÁ, S.A.</v>
          </cell>
          <cell r="M1606"/>
          <cell r="N1606"/>
          <cell r="O1606"/>
          <cell r="P1606"/>
          <cell r="Q1606"/>
          <cell r="R1606"/>
          <cell r="S1606">
            <v>200</v>
          </cell>
          <cell r="T1606"/>
          <cell r="U1606"/>
          <cell r="V1606"/>
          <cell r="W1606"/>
          <cell r="X1606"/>
          <cell r="Y1606"/>
        </row>
        <row r="1607">
          <cell r="A1607" t="str">
            <v>IMPORTADORA FRUTA INTERNACIONAL PANAMÁ, S.A.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200</v>
          </cell>
          <cell r="J1607" t="str">
            <v>IMPORTADORA FRUTA INTERNACIONAL PANAMÁ, S.A.</v>
          </cell>
          <cell r="M1607">
            <v>265</v>
          </cell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</row>
        <row r="1608">
          <cell r="A1608" t="str">
            <v>IMPORTADORA FRUTA INTERNACIONAL PANAMÁ, S.A.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265</v>
          </cell>
          <cell r="J1608" t="str">
            <v>IMPORTADORA FRUTA INTERNACIONAL PANAMÁ, S.A.</v>
          </cell>
          <cell r="M1608">
            <v>1300</v>
          </cell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</row>
        <row r="1609">
          <cell r="A1609" t="str">
            <v>IMPORTADORA FRUTA INTERNACIONAL PANAMÁ, S.A.</v>
          </cell>
          <cell r="C1609">
            <v>100</v>
          </cell>
          <cell r="D1609">
            <v>0</v>
          </cell>
          <cell r="E1609">
            <v>0</v>
          </cell>
          <cell r="F1609">
            <v>0</v>
          </cell>
          <cell r="G1609">
            <v>1300</v>
          </cell>
          <cell r="J1609" t="str">
            <v>IMPORTADORA FRUTA INTERNACIONAL PANAMÁ, S.A.</v>
          </cell>
          <cell r="M1609">
            <v>52</v>
          </cell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</row>
        <row r="1610">
          <cell r="A1610" t="str">
            <v>IMPORTADORA FRUTA INTERNACIONAL PANAMÁ, S.A.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52</v>
          </cell>
          <cell r="J1610" t="str">
            <v>IMPORTADORA FRUTA INTERNACIONAL PANAMÁ, S.A.</v>
          </cell>
          <cell r="M1610"/>
          <cell r="N1610"/>
          <cell r="O1610"/>
          <cell r="P1610"/>
          <cell r="Q1610"/>
          <cell r="R1610"/>
          <cell r="S1610">
            <v>40</v>
          </cell>
          <cell r="T1610"/>
          <cell r="U1610"/>
          <cell r="V1610"/>
          <cell r="W1610"/>
          <cell r="X1610"/>
          <cell r="Y1610"/>
        </row>
        <row r="1611">
          <cell r="A1611" t="str">
            <v>IMPORTADORA FRUTA INTERNACIONAL PANAMÁ, S.A.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40</v>
          </cell>
          <cell r="J1611" t="str">
            <v>IMPORTADORA FRUTA INTERNACIONAL PANAMÁ, S.A.</v>
          </cell>
          <cell r="M1611"/>
          <cell r="N1611"/>
          <cell r="O1611">
            <v>105</v>
          </cell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</row>
        <row r="1612">
          <cell r="A1612" t="str">
            <v>IMPORTADORA FRUTA INTERNACIONAL PANAMÁ, S.A.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105</v>
          </cell>
          <cell r="J1612" t="str">
            <v>IMPORTADORA FRUTA INTERNACIONAL PANAMÁ, S.A.</v>
          </cell>
          <cell r="M1612"/>
          <cell r="N1612">
            <v>490</v>
          </cell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</row>
        <row r="1613">
          <cell r="A1613" t="str">
            <v>IMPORTADORA FRUTA INTERNACIONAL PANAMÁ, S.A.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490</v>
          </cell>
          <cell r="J1613" t="str">
            <v>MERCA PANAMA</v>
          </cell>
          <cell r="M1613"/>
          <cell r="N1613">
            <v>212</v>
          </cell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</row>
        <row r="1614">
          <cell r="A1614" t="str">
            <v>MERCA PANAMA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212</v>
          </cell>
          <cell r="J1614" t="str">
            <v>MERCA PANAMA</v>
          </cell>
          <cell r="M1614"/>
          <cell r="N1614"/>
          <cell r="O1614"/>
          <cell r="P1614"/>
          <cell r="Q1614">
            <v>1060</v>
          </cell>
          <cell r="R1614"/>
          <cell r="S1614"/>
          <cell r="T1614"/>
          <cell r="U1614"/>
          <cell r="V1614"/>
          <cell r="W1614"/>
          <cell r="X1614"/>
          <cell r="Y1614"/>
        </row>
        <row r="1615">
          <cell r="A1615" t="str">
            <v>MERCA PANAMA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1060</v>
          </cell>
          <cell r="J1615" t="str">
            <v>MERCA PANAMA</v>
          </cell>
          <cell r="M1615"/>
          <cell r="N1615">
            <v>100</v>
          </cell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</row>
        <row r="1616">
          <cell r="A1616" t="str">
            <v>MERCA PANAMA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100</v>
          </cell>
          <cell r="J1616" t="str">
            <v>MERCA PANAMA</v>
          </cell>
          <cell r="M1616"/>
          <cell r="N1616">
            <v>250</v>
          </cell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</row>
        <row r="1617">
          <cell r="A1617" t="str">
            <v>MERCA PANAMA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250</v>
          </cell>
          <cell r="J1617" t="str">
            <v>MERCA PANAMA</v>
          </cell>
          <cell r="M1617"/>
          <cell r="N1617"/>
          <cell r="O1617"/>
          <cell r="P1617"/>
          <cell r="Q1617"/>
          <cell r="R1617">
            <v>180</v>
          </cell>
          <cell r="S1617"/>
          <cell r="T1617"/>
          <cell r="U1617"/>
          <cell r="V1617"/>
          <cell r="W1617"/>
          <cell r="X1617"/>
          <cell r="Y1617"/>
        </row>
        <row r="1618">
          <cell r="A1618" t="str">
            <v>MERCA PANAMA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180</v>
          </cell>
          <cell r="J1618" t="str">
            <v>MERCA PANAMA</v>
          </cell>
          <cell r="M1618"/>
          <cell r="N1618"/>
          <cell r="O1618"/>
          <cell r="P1618"/>
          <cell r="Q1618"/>
          <cell r="R1618"/>
          <cell r="S1618">
            <v>73</v>
          </cell>
          <cell r="T1618"/>
          <cell r="U1618"/>
          <cell r="V1618"/>
          <cell r="W1618"/>
          <cell r="X1618"/>
          <cell r="Y1618"/>
        </row>
        <row r="1619">
          <cell r="A1619" t="str">
            <v>MERCA PANAMA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73</v>
          </cell>
          <cell r="J1619" t="str">
            <v>MERCA PANAMA</v>
          </cell>
          <cell r="M1619"/>
          <cell r="N1619"/>
          <cell r="O1619">
            <v>65</v>
          </cell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</row>
        <row r="1620">
          <cell r="A1620" t="str">
            <v>MERCA PANAMA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65</v>
          </cell>
          <cell r="J1620" t="str">
            <v>MERCA PANAMA</v>
          </cell>
          <cell r="M1620"/>
          <cell r="N1620">
            <v>70</v>
          </cell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</row>
        <row r="1621">
          <cell r="A1621" t="str">
            <v>MERCA PANAMA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70</v>
          </cell>
          <cell r="J1621" t="str">
            <v>MERCA PANAMA</v>
          </cell>
          <cell r="M1621"/>
          <cell r="N1621"/>
          <cell r="O1621">
            <v>1090</v>
          </cell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</row>
        <row r="1622">
          <cell r="A1622" t="str">
            <v>MERCA PANAMA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1090</v>
          </cell>
          <cell r="J1622" t="str">
            <v>MERCA PANAMA</v>
          </cell>
          <cell r="M1622">
            <v>0</v>
          </cell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</row>
        <row r="1623">
          <cell r="A1623" t="str">
            <v>MERCA PANAMA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J1623" t="str">
            <v>MERCA PANAMA</v>
          </cell>
          <cell r="M1623"/>
          <cell r="N1623">
            <v>282</v>
          </cell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</row>
        <row r="1624">
          <cell r="A1624" t="str">
            <v>MERCA PANAMA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282</v>
          </cell>
          <cell r="J1624" t="str">
            <v>MERCA PANAMA</v>
          </cell>
          <cell r="M1624"/>
          <cell r="N1624">
            <v>467</v>
          </cell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</row>
        <row r="1625">
          <cell r="A1625" t="str">
            <v>MERCA PANAMA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467</v>
          </cell>
          <cell r="J1625" t="str">
            <v>MERCA PANAMA</v>
          </cell>
          <cell r="M1625"/>
          <cell r="N1625">
            <v>38</v>
          </cell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</row>
        <row r="1626">
          <cell r="A1626" t="str">
            <v>MERCA PANAMA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38</v>
          </cell>
          <cell r="J1626" t="str">
            <v>MERCA PANAMA</v>
          </cell>
          <cell r="M1626"/>
          <cell r="N1626">
            <v>70</v>
          </cell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</row>
        <row r="1627">
          <cell r="A1627" t="str">
            <v>MERCA PANAMA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70</v>
          </cell>
          <cell r="J1627" t="str">
            <v>MERCA PANAMA</v>
          </cell>
          <cell r="M1627"/>
          <cell r="N1627">
            <v>62</v>
          </cell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</row>
        <row r="1628">
          <cell r="A1628" t="str">
            <v>MERCA PANAMA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62</v>
          </cell>
          <cell r="J1628" t="str">
            <v>MERCA PANAMA</v>
          </cell>
          <cell r="M1628"/>
          <cell r="N1628"/>
          <cell r="O1628">
            <v>116</v>
          </cell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</row>
        <row r="1629">
          <cell r="A1629" t="str">
            <v>MERCA PANAMA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116</v>
          </cell>
          <cell r="J1629" t="str">
            <v>MERCA PANAMA</v>
          </cell>
          <cell r="M1629"/>
          <cell r="N1629"/>
          <cell r="O1629">
            <v>138</v>
          </cell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</row>
        <row r="1630">
          <cell r="A1630" t="str">
            <v>MERCA PANAMA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138</v>
          </cell>
          <cell r="J1630" t="str">
            <v>MERCA PANAMA</v>
          </cell>
          <cell r="M1630"/>
          <cell r="N1630">
            <v>147</v>
          </cell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</row>
        <row r="1631">
          <cell r="A1631" t="str">
            <v>MERCA PANAMA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147</v>
          </cell>
          <cell r="J1631" t="str">
            <v>MERCA PANAMA</v>
          </cell>
          <cell r="M1631"/>
          <cell r="N1631">
            <v>62</v>
          </cell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</row>
        <row r="1632">
          <cell r="A1632" t="str">
            <v>MERCA PANAMA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62</v>
          </cell>
          <cell r="J1632" t="str">
            <v>MERCA PANAMA</v>
          </cell>
          <cell r="M1632">
            <v>100</v>
          </cell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</row>
        <row r="1633">
          <cell r="A1633" t="str">
            <v>MERCA PANAMA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100</v>
          </cell>
          <cell r="J1633" t="str">
            <v>MERCA PANAMA</v>
          </cell>
          <cell r="M1633"/>
          <cell r="N1633"/>
          <cell r="O1633">
            <v>60</v>
          </cell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</row>
        <row r="1634">
          <cell r="A1634" t="str">
            <v>MERCA PANAMA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60</v>
          </cell>
          <cell r="J1634" t="str">
            <v>MERCA PANAMA</v>
          </cell>
          <cell r="M1634"/>
          <cell r="N1634">
            <v>86</v>
          </cell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</row>
        <row r="1635">
          <cell r="A1635" t="str">
            <v>MERCA PANAMA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86</v>
          </cell>
          <cell r="J1635" t="str">
            <v>MERCA PANAMA</v>
          </cell>
          <cell r="M1635"/>
          <cell r="N1635"/>
          <cell r="O1635"/>
          <cell r="P1635"/>
          <cell r="Q1635"/>
          <cell r="R1635"/>
          <cell r="S1635"/>
          <cell r="T1635">
            <v>73</v>
          </cell>
          <cell r="U1635"/>
          <cell r="V1635"/>
          <cell r="W1635"/>
          <cell r="X1635"/>
          <cell r="Y1635"/>
        </row>
        <row r="1636">
          <cell r="A1636" t="str">
            <v>MERCA PANAMA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73</v>
          </cell>
          <cell r="J1636" t="str">
            <v>MERCA PANAMA</v>
          </cell>
          <cell r="M1636"/>
          <cell r="N1636"/>
          <cell r="O1636"/>
          <cell r="P1636"/>
          <cell r="Q1636"/>
          <cell r="R1636">
            <v>181</v>
          </cell>
          <cell r="S1636"/>
          <cell r="T1636"/>
          <cell r="U1636"/>
          <cell r="V1636"/>
          <cell r="W1636"/>
          <cell r="X1636"/>
          <cell r="Y1636"/>
        </row>
        <row r="1637">
          <cell r="A1637" t="str">
            <v>MERCA PANAMA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181</v>
          </cell>
          <cell r="J1637" t="str">
            <v>MERCA PANAMA</v>
          </cell>
          <cell r="M1637"/>
          <cell r="N1637">
            <v>0</v>
          </cell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</row>
        <row r="1638">
          <cell r="A1638" t="str">
            <v>MERCA PANAMA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J1638" t="str">
            <v>MERCA PANAMA</v>
          </cell>
          <cell r="M1638">
            <v>150</v>
          </cell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</row>
        <row r="1639">
          <cell r="A1639" t="str">
            <v>MERCA PANAMA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150</v>
          </cell>
          <cell r="J1639" t="str">
            <v>MERCA PANAMA</v>
          </cell>
          <cell r="M1639"/>
          <cell r="N1639">
            <v>250</v>
          </cell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</row>
        <row r="1640">
          <cell r="A1640" t="str">
            <v>MERCA PANAMA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250</v>
          </cell>
          <cell r="J1640" t="str">
            <v>MERCA PANAMA</v>
          </cell>
          <cell r="M1640"/>
          <cell r="N1640"/>
          <cell r="O1640">
            <v>1200</v>
          </cell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</row>
        <row r="1641">
          <cell r="A1641" t="str">
            <v>MERCA PANAMA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1200</v>
          </cell>
          <cell r="J1641" t="str">
            <v>MERCA PANAMA</v>
          </cell>
          <cell r="M1641"/>
          <cell r="N1641">
            <v>120</v>
          </cell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</row>
        <row r="1642">
          <cell r="A1642" t="str">
            <v>MERCA PANAMA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120</v>
          </cell>
          <cell r="J1642" t="str">
            <v>MERCA PANAMA</v>
          </cell>
          <cell r="M1642"/>
          <cell r="N1642">
            <v>356</v>
          </cell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</row>
        <row r="1643">
          <cell r="A1643" t="str">
            <v>MERCA PANAMA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356</v>
          </cell>
          <cell r="J1643" t="str">
            <v>MERCA PANAMA</v>
          </cell>
          <cell r="M1643"/>
          <cell r="N1643">
            <v>90</v>
          </cell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</row>
        <row r="1644">
          <cell r="A1644" t="str">
            <v>MERCA PANAMA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90</v>
          </cell>
          <cell r="J1644" t="str">
            <v>MERCA PANAMA</v>
          </cell>
          <cell r="M1644"/>
          <cell r="N1644">
            <v>22</v>
          </cell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</row>
        <row r="1645">
          <cell r="A1645" t="str">
            <v>MERCA PANAMA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22</v>
          </cell>
          <cell r="J1645" t="str">
            <v>MERCA PANAMA</v>
          </cell>
          <cell r="M1645"/>
          <cell r="N1645">
            <v>230</v>
          </cell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</row>
        <row r="1646">
          <cell r="A1646" t="str">
            <v>MERCA PANAMA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230</v>
          </cell>
          <cell r="J1646" t="str">
            <v>MERCA PANAMA</v>
          </cell>
          <cell r="M1646"/>
          <cell r="N1646">
            <v>103</v>
          </cell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</row>
        <row r="1647">
          <cell r="A1647" t="str">
            <v>MERCA PANAMA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103</v>
          </cell>
          <cell r="J1647" t="str">
            <v>MERCA PANAMA</v>
          </cell>
          <cell r="M1647"/>
          <cell r="N1647">
            <v>0</v>
          </cell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</row>
        <row r="1648">
          <cell r="A1648" t="str">
            <v>MERCA PANAMA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J1648" t="str">
            <v>MERCA PANAMA</v>
          </cell>
          <cell r="M1648"/>
          <cell r="N1648">
            <v>165</v>
          </cell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</row>
        <row r="1649">
          <cell r="A1649" t="str">
            <v>MERCA PANAMA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165</v>
          </cell>
          <cell r="J1649" t="str">
            <v>MERCA PANAMA</v>
          </cell>
          <cell r="M1649"/>
          <cell r="N1649">
            <v>456</v>
          </cell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</row>
        <row r="1650">
          <cell r="A1650" t="str">
            <v>MERCA PANAMA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456</v>
          </cell>
          <cell r="J1650" t="str">
            <v>MERCA PANAMA</v>
          </cell>
          <cell r="M1650"/>
          <cell r="N1650">
            <v>75</v>
          </cell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</row>
        <row r="1651">
          <cell r="A1651" t="str">
            <v>MERCA PANAMA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75</v>
          </cell>
          <cell r="J1651" t="str">
            <v>MERCA PANAMA</v>
          </cell>
          <cell r="M1651"/>
          <cell r="N1651"/>
          <cell r="O1651"/>
          <cell r="P1651"/>
          <cell r="Q1651"/>
          <cell r="R1651"/>
          <cell r="S1651">
            <v>152</v>
          </cell>
          <cell r="T1651"/>
          <cell r="U1651"/>
          <cell r="V1651"/>
          <cell r="W1651"/>
          <cell r="X1651"/>
          <cell r="Y1651"/>
        </row>
        <row r="1652">
          <cell r="A1652" t="str">
            <v>MERCA PANAMA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152</v>
          </cell>
          <cell r="J1652" t="str">
            <v>MERCA PANAMA</v>
          </cell>
          <cell r="M1652"/>
          <cell r="N1652"/>
          <cell r="O1652"/>
          <cell r="P1652"/>
          <cell r="Q1652"/>
          <cell r="R1652"/>
          <cell r="S1652"/>
          <cell r="T1652">
            <v>37</v>
          </cell>
          <cell r="U1652"/>
          <cell r="V1652"/>
          <cell r="W1652"/>
          <cell r="X1652"/>
          <cell r="Y1652"/>
        </row>
        <row r="1653">
          <cell r="A1653" t="str">
            <v>MERCA PANAMA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37</v>
          </cell>
          <cell r="J1653" t="str">
            <v>MERCA PANAMA</v>
          </cell>
          <cell r="M1653">
            <v>0</v>
          </cell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</row>
        <row r="1654">
          <cell r="A1654" t="str">
            <v>MERCA PANAMA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J1654" t="str">
            <v>MERCA PANAMA</v>
          </cell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</row>
        <row r="1655">
          <cell r="A1655" t="str">
            <v>MERCA PANAMA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J1655" t="str">
            <v>MERCA PANAMA</v>
          </cell>
          <cell r="M1655">
            <v>910</v>
          </cell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</row>
        <row r="1656">
          <cell r="A1656" t="str">
            <v>MERCA PANAMA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910</v>
          </cell>
          <cell r="J1656" t="str">
            <v>MERCA PANAMA</v>
          </cell>
          <cell r="M1656">
            <v>175</v>
          </cell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</row>
        <row r="1657">
          <cell r="A1657" t="str">
            <v>MERCA PANAMA</v>
          </cell>
          <cell r="C1657">
            <v>0</v>
          </cell>
          <cell r="D1657">
            <v>10</v>
          </cell>
          <cell r="E1657">
            <v>20</v>
          </cell>
          <cell r="F1657">
            <v>25</v>
          </cell>
          <cell r="G1657">
            <v>175</v>
          </cell>
          <cell r="J1657" t="str">
            <v>MERCA PANAMA</v>
          </cell>
          <cell r="M1657"/>
          <cell r="N1657">
            <v>0</v>
          </cell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</row>
        <row r="1658">
          <cell r="A1658" t="str">
            <v>MERCA PANAMA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J1658" t="str">
            <v>MERCA PANAMA</v>
          </cell>
          <cell r="M1658">
            <v>400</v>
          </cell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</row>
        <row r="1659">
          <cell r="A1659" t="str">
            <v>MERCA PANAMA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400</v>
          </cell>
          <cell r="J1659" t="str">
            <v>MERCA PANAMA</v>
          </cell>
          <cell r="M1659"/>
          <cell r="N1659">
            <v>230</v>
          </cell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</row>
        <row r="1660">
          <cell r="A1660" t="str">
            <v>MERCA PANAMA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230</v>
          </cell>
          <cell r="J1660" t="str">
            <v>MERCA PANAMA</v>
          </cell>
          <cell r="M1660">
            <v>350</v>
          </cell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</row>
        <row r="1661">
          <cell r="A1661" t="str">
            <v>MERCA PANAMA</v>
          </cell>
          <cell r="C1661">
            <v>200</v>
          </cell>
          <cell r="D1661">
            <v>25</v>
          </cell>
          <cell r="E1661">
            <v>100</v>
          </cell>
          <cell r="F1661">
            <v>25</v>
          </cell>
          <cell r="G1661">
            <v>350</v>
          </cell>
          <cell r="J1661" t="str">
            <v>MERCA PANAMA</v>
          </cell>
          <cell r="M1661"/>
          <cell r="N1661">
            <v>510</v>
          </cell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</row>
        <row r="1662">
          <cell r="A1662" t="str">
            <v>MERCA PANAMA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510</v>
          </cell>
          <cell r="J1662" t="str">
            <v>MERCA PANAMA</v>
          </cell>
          <cell r="M1662"/>
          <cell r="N1662">
            <v>97</v>
          </cell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</row>
        <row r="1663">
          <cell r="A1663" t="str">
            <v>MERCA PANAMA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97</v>
          </cell>
          <cell r="J1663" t="str">
            <v>MERCA PANAMA</v>
          </cell>
          <cell r="M1663"/>
          <cell r="N1663">
            <v>130</v>
          </cell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</row>
        <row r="1664">
          <cell r="A1664" t="str">
            <v>MERCA PANAMA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130</v>
          </cell>
          <cell r="J1664" t="str">
            <v>MERCA PANAMA</v>
          </cell>
          <cell r="M1664"/>
          <cell r="N1664"/>
          <cell r="O1664"/>
          <cell r="P1664"/>
          <cell r="Q1664"/>
          <cell r="R1664"/>
          <cell r="S1664"/>
          <cell r="T1664"/>
          <cell r="U1664">
            <v>251</v>
          </cell>
          <cell r="V1664"/>
          <cell r="W1664"/>
          <cell r="X1664"/>
          <cell r="Y1664"/>
        </row>
        <row r="1665">
          <cell r="A1665" t="str">
            <v>MERCA PANAMA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251</v>
          </cell>
          <cell r="J1665" t="str">
            <v>MERCA PANAMA</v>
          </cell>
          <cell r="M1665"/>
          <cell r="N1665">
            <v>120</v>
          </cell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</row>
        <row r="1666">
          <cell r="A1666" t="str">
            <v>MERCA PANAMA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120</v>
          </cell>
          <cell r="J1666" t="str">
            <v>MERCA PANAMA</v>
          </cell>
          <cell r="M1666">
            <v>125</v>
          </cell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</row>
        <row r="1667">
          <cell r="A1667" t="str">
            <v>MERCA PANAMA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125</v>
          </cell>
          <cell r="J1667" t="str">
            <v>MERCA PANAMA</v>
          </cell>
          <cell r="M1667">
            <v>25</v>
          </cell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</row>
        <row r="1668">
          <cell r="A1668" t="str">
            <v>MERCA PANAMA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25</v>
          </cell>
          <cell r="J1668" t="str">
            <v>MERCA PANAMA</v>
          </cell>
          <cell r="M1668">
            <v>209</v>
          </cell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</row>
        <row r="1669">
          <cell r="A1669" t="str">
            <v>MERCA PANAMA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209</v>
          </cell>
          <cell r="J1669" t="str">
            <v>MERCA PANAMA</v>
          </cell>
          <cell r="M1669">
            <v>0</v>
          </cell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</row>
        <row r="1670">
          <cell r="A1670" t="str">
            <v>MERCA PANAMA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J1670" t="str">
            <v>MERCA PANAMA</v>
          </cell>
          <cell r="M1670"/>
          <cell r="N1670">
            <v>6</v>
          </cell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</row>
        <row r="1671">
          <cell r="A1671" t="str">
            <v>MERCA PANAMA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6</v>
          </cell>
          <cell r="J1671" t="str">
            <v>MERCA PANAMA</v>
          </cell>
          <cell r="M1671"/>
          <cell r="N1671"/>
          <cell r="O1671">
            <v>240</v>
          </cell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</row>
        <row r="1672">
          <cell r="A1672" t="str">
            <v>MERCA PANAMA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240</v>
          </cell>
          <cell r="J1672" t="str">
            <v>MERCA PANAMA</v>
          </cell>
          <cell r="M1672"/>
          <cell r="N1672"/>
          <cell r="O1672">
            <v>421</v>
          </cell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</row>
        <row r="1673">
          <cell r="A1673" t="str">
            <v>MERCA PANAMA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421</v>
          </cell>
          <cell r="J1673" t="str">
            <v>MERCA PANAMA</v>
          </cell>
          <cell r="M1673">
            <v>220</v>
          </cell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</row>
        <row r="1674">
          <cell r="A1674" t="str">
            <v>MERCA PANAMA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220</v>
          </cell>
          <cell r="J1674" t="str">
            <v>MERCA PANAMA</v>
          </cell>
          <cell r="M1674">
            <v>265</v>
          </cell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</row>
        <row r="1675">
          <cell r="A1675" t="str">
            <v>MERCA PANAMA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265</v>
          </cell>
          <cell r="J1675" t="str">
            <v>MERCA PANAMA</v>
          </cell>
          <cell r="M1675"/>
          <cell r="N1675">
            <v>130</v>
          </cell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</row>
        <row r="1676">
          <cell r="A1676" t="str">
            <v>MERCA PANAMA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130</v>
          </cell>
          <cell r="J1676" t="str">
            <v>MERCA PANAMA</v>
          </cell>
          <cell r="M1676">
            <v>52</v>
          </cell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</row>
        <row r="1677">
          <cell r="A1677" t="str">
            <v>MERCA PANAMA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52</v>
          </cell>
          <cell r="J1677" t="str">
            <v>MERCA PANAMA</v>
          </cell>
          <cell r="M1677"/>
          <cell r="N1677"/>
          <cell r="O1677"/>
          <cell r="P1677">
            <v>150</v>
          </cell>
          <cell r="Q1677"/>
          <cell r="R1677"/>
          <cell r="S1677"/>
          <cell r="T1677"/>
          <cell r="U1677"/>
          <cell r="V1677"/>
          <cell r="W1677"/>
          <cell r="X1677"/>
          <cell r="Y1677"/>
        </row>
        <row r="1678">
          <cell r="A1678" t="str">
            <v>MERCA PANAMA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150</v>
          </cell>
          <cell r="J1678" t="str">
            <v>MERCA PANAMA</v>
          </cell>
          <cell r="M1678"/>
          <cell r="N1678"/>
          <cell r="O1678">
            <v>105</v>
          </cell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</row>
        <row r="1679">
          <cell r="A1679" t="str">
            <v>MERCA PANAMA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105</v>
          </cell>
          <cell r="J1679" t="str">
            <v>MERCA PANAMA</v>
          </cell>
          <cell r="M1679"/>
          <cell r="N1679">
            <v>490</v>
          </cell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</row>
        <row r="1680">
          <cell r="A1680" t="str">
            <v>MERCA PANAMA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490</v>
          </cell>
          <cell r="J1680" t="str">
            <v>MERCA PANAMA</v>
          </cell>
          <cell r="M1680"/>
          <cell r="N1680"/>
          <cell r="O1680">
            <v>480</v>
          </cell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</row>
        <row r="1681">
          <cell r="A1681" t="str">
            <v>MERCA PANAMA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480</v>
          </cell>
          <cell r="J1681" t="str">
            <v>MERCA PANAMA</v>
          </cell>
          <cell r="M1681"/>
          <cell r="N1681">
            <v>0</v>
          </cell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</row>
        <row r="1682">
          <cell r="A1682" t="str">
            <v>MERCA PANAMA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J1682" t="str">
            <v>MERCA PANAMA</v>
          </cell>
          <cell r="M1682"/>
          <cell r="N1682"/>
          <cell r="O1682">
            <v>346</v>
          </cell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</row>
        <row r="1683">
          <cell r="A1683" t="str">
            <v>MERCA PANAMA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346</v>
          </cell>
          <cell r="J1683" t="str">
            <v>PROGRAMA KILOS DE ESPERANZA</v>
          </cell>
          <cell r="M1683">
            <v>325</v>
          </cell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</row>
        <row r="1684">
          <cell r="A1684" t="str">
            <v>PROGRAMA KILOS DE ESPERANZA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325</v>
          </cell>
          <cell r="J1684" t="str">
            <v>PROGRAMA KILOS DE ESPERANZA</v>
          </cell>
          <cell r="M1684"/>
          <cell r="N1684"/>
          <cell r="O1684"/>
          <cell r="P1684">
            <v>102</v>
          </cell>
          <cell r="Q1684"/>
          <cell r="R1684"/>
          <cell r="S1684"/>
          <cell r="T1684"/>
          <cell r="U1684"/>
          <cell r="V1684"/>
          <cell r="W1684"/>
          <cell r="X1684"/>
          <cell r="Y1684"/>
        </row>
        <row r="1685">
          <cell r="A1685" t="str">
            <v>PROGRAMA KILOS DE ESPERANZA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102</v>
          </cell>
          <cell r="J1685" t="str">
            <v>PROGRAMA KILOS DE ESPERANZA</v>
          </cell>
          <cell r="M1685"/>
          <cell r="N1685">
            <v>100</v>
          </cell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</row>
        <row r="1686">
          <cell r="A1686" t="str">
            <v>PROGRAMA KILOS DE ESPERANZA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100</v>
          </cell>
          <cell r="J1686" t="str">
            <v>PROGRAMA KILOS DE ESPERANZA</v>
          </cell>
          <cell r="M1686"/>
          <cell r="N1686"/>
          <cell r="O1686">
            <v>180</v>
          </cell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</row>
        <row r="1687">
          <cell r="A1687" t="str">
            <v>PROGRAMA KILOS DE ESPERANZA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180</v>
          </cell>
          <cell r="J1687" t="str">
            <v>PROGRAMA KILOS DE ESPERANZA</v>
          </cell>
          <cell r="M1687"/>
          <cell r="N1687">
            <v>70</v>
          </cell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</row>
        <row r="1688">
          <cell r="A1688" t="str">
            <v>PROGRAMA KILOS DE ESPERANZA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70</v>
          </cell>
          <cell r="J1688" t="str">
            <v>PROGRAMA KILOS DE ESPERANZA</v>
          </cell>
          <cell r="M1688"/>
          <cell r="N1688"/>
          <cell r="O1688"/>
          <cell r="P1688"/>
          <cell r="Q1688">
            <v>1060</v>
          </cell>
          <cell r="R1688"/>
          <cell r="S1688"/>
          <cell r="T1688"/>
          <cell r="U1688"/>
          <cell r="V1688"/>
          <cell r="W1688"/>
          <cell r="X1688"/>
          <cell r="Y1688"/>
        </row>
        <row r="1689">
          <cell r="A1689" t="str">
            <v>PROGRAMA KILOS DE ESPERANZA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1060</v>
          </cell>
          <cell r="J1689" t="str">
            <v>PROGRAMA KILOS DE ESPERANZA</v>
          </cell>
          <cell r="M1689"/>
          <cell r="N1689">
            <v>250</v>
          </cell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</row>
        <row r="1690">
          <cell r="A1690" t="str">
            <v>PROGRAMA KILOS DE ESPERANZA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250</v>
          </cell>
          <cell r="J1690" t="str">
            <v>PROGRAMA KILOS DE ESPERANZA</v>
          </cell>
          <cell r="M1690"/>
          <cell r="N1690"/>
          <cell r="O1690"/>
          <cell r="P1690"/>
          <cell r="Q1690"/>
          <cell r="R1690">
            <v>180</v>
          </cell>
          <cell r="S1690"/>
          <cell r="T1690"/>
          <cell r="U1690"/>
          <cell r="V1690"/>
          <cell r="W1690"/>
          <cell r="X1690"/>
          <cell r="Y1690"/>
        </row>
        <row r="1691">
          <cell r="A1691" t="str">
            <v>PROGRAMA KILOS DE ESPERANZA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180</v>
          </cell>
          <cell r="J1691" t="str">
            <v>PROGRAMA KILOS DE ESPERANZA</v>
          </cell>
          <cell r="M1691"/>
          <cell r="N1691"/>
          <cell r="O1691"/>
          <cell r="P1691"/>
          <cell r="Q1691"/>
          <cell r="R1691"/>
          <cell r="S1691">
            <v>73</v>
          </cell>
          <cell r="T1691"/>
          <cell r="U1691"/>
          <cell r="V1691"/>
          <cell r="W1691"/>
          <cell r="X1691"/>
          <cell r="Y1691"/>
        </row>
        <row r="1692">
          <cell r="A1692" t="str">
            <v>PROGRAMA KILOS DE ESPERANZA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73</v>
          </cell>
          <cell r="J1692" t="str">
            <v>PROGRAMA KILOS DE ESPERANZA</v>
          </cell>
          <cell r="M1692"/>
          <cell r="N1692"/>
          <cell r="O1692">
            <v>325</v>
          </cell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</row>
        <row r="1693">
          <cell r="A1693" t="str">
            <v>PROGRAMA KILOS DE ESPERANZA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325</v>
          </cell>
          <cell r="J1693" t="str">
            <v>PROGRAMA KILOS DE ESPERANZA</v>
          </cell>
          <cell r="M1693"/>
          <cell r="N1693">
            <v>70</v>
          </cell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</row>
        <row r="1694">
          <cell r="A1694" t="str">
            <v>PROGRAMA KILOS DE ESPERANZA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70</v>
          </cell>
          <cell r="J1694" t="str">
            <v>PROGRAMA KILOS DE ESPERANZA</v>
          </cell>
          <cell r="M1694"/>
          <cell r="N1694"/>
          <cell r="O1694">
            <v>1090</v>
          </cell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</row>
        <row r="1695">
          <cell r="A1695" t="str">
            <v>PROGRAMA KILOS DE ESPERANZA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1090</v>
          </cell>
          <cell r="J1695" t="str">
            <v>PROGRAMA KILOS DE ESPERANZA</v>
          </cell>
          <cell r="M1695">
            <v>0</v>
          </cell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</row>
        <row r="1696">
          <cell r="A1696" t="str">
            <v>PROGRAMA KILOS DE ESPERANZA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J1696" t="str">
            <v>PROGRAMA KILOS DE ESPERANZA</v>
          </cell>
          <cell r="M1696"/>
          <cell r="N1696">
            <v>282</v>
          </cell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</row>
        <row r="1697">
          <cell r="A1697" t="str">
            <v>PROGRAMA KILOS DE ESPERANZA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282</v>
          </cell>
          <cell r="J1697" t="str">
            <v>PROGRAMA KILOS DE ESPERANZA</v>
          </cell>
          <cell r="M1697"/>
          <cell r="N1697">
            <v>467</v>
          </cell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</row>
        <row r="1698">
          <cell r="A1698" t="str">
            <v>PROGRAMA KILOS DE ESPERANZA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467</v>
          </cell>
          <cell r="J1698" t="str">
            <v>PROGRAMA KILOS DE ESPERANZA</v>
          </cell>
          <cell r="M1698"/>
          <cell r="N1698">
            <v>38</v>
          </cell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</row>
        <row r="1699">
          <cell r="A1699" t="str">
            <v>PROGRAMA KILOS DE ESPERANZA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38</v>
          </cell>
          <cell r="J1699" t="str">
            <v>PROGRAMA KILOS DE ESPERANZA</v>
          </cell>
          <cell r="M1699"/>
          <cell r="N1699">
            <v>70</v>
          </cell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</row>
        <row r="1700">
          <cell r="A1700" t="str">
            <v>PROGRAMA KILOS DE ESPERANZA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70</v>
          </cell>
          <cell r="J1700" t="str">
            <v>PROGRAMA KILOS DE ESPERANZA</v>
          </cell>
          <cell r="M1700"/>
          <cell r="N1700"/>
          <cell r="O1700">
            <v>116</v>
          </cell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</row>
        <row r="1701">
          <cell r="A1701" t="str">
            <v>PROGRAMA KILOS DE ESPERANZA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116</v>
          </cell>
          <cell r="J1701" t="str">
            <v>PROGRAMA KILOS DE ESPERANZA</v>
          </cell>
          <cell r="M1701"/>
          <cell r="N1701"/>
          <cell r="O1701"/>
          <cell r="P1701"/>
          <cell r="Q1701"/>
          <cell r="R1701"/>
          <cell r="S1701">
            <v>211</v>
          </cell>
          <cell r="T1701"/>
          <cell r="U1701"/>
          <cell r="V1701"/>
          <cell r="W1701"/>
          <cell r="X1701"/>
          <cell r="Y1701"/>
        </row>
        <row r="1702">
          <cell r="A1702" t="str">
            <v>PROGRAMA KILOS DE ESPERANZA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211</v>
          </cell>
          <cell r="J1702" t="str">
            <v>PROGRAMA KILOS DE ESPERANZA</v>
          </cell>
          <cell r="M1702">
            <v>100</v>
          </cell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</row>
        <row r="1703">
          <cell r="A1703" t="str">
            <v>PROGRAMA KILOS DE ESPERANZA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100</v>
          </cell>
          <cell r="J1703" t="str">
            <v>PROGRAMA KILOS DE ESPERANZA</v>
          </cell>
          <cell r="M1703"/>
          <cell r="N1703">
            <v>264</v>
          </cell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</row>
        <row r="1704">
          <cell r="A1704" t="str">
            <v>PROGRAMA KILOS DE ESPERANZA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264</v>
          </cell>
          <cell r="J1704" t="str">
            <v>PROGRAMA KILOS DE ESPERANZA</v>
          </cell>
          <cell r="M1704"/>
          <cell r="N1704"/>
          <cell r="O1704">
            <v>60</v>
          </cell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</row>
        <row r="1705">
          <cell r="A1705" t="str">
            <v>PROGRAMA KILOS DE ESPERANZA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60</v>
          </cell>
          <cell r="J1705" t="str">
            <v>PROGRAMA KILOS DE ESPERANZA</v>
          </cell>
          <cell r="M1705"/>
          <cell r="N1705"/>
          <cell r="O1705"/>
          <cell r="P1705"/>
          <cell r="Q1705"/>
          <cell r="R1705"/>
          <cell r="S1705">
            <v>179</v>
          </cell>
          <cell r="T1705"/>
          <cell r="U1705"/>
          <cell r="V1705"/>
          <cell r="W1705"/>
          <cell r="X1705"/>
          <cell r="Y1705"/>
        </row>
        <row r="1706">
          <cell r="A1706" t="str">
            <v>PROGRAMA KILOS DE ESPERANZA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179</v>
          </cell>
          <cell r="J1706" t="str">
            <v>PROGRAMA KILOS DE ESPERANZA</v>
          </cell>
          <cell r="M1706"/>
          <cell r="N1706">
            <v>50</v>
          </cell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</row>
        <row r="1707">
          <cell r="A1707" t="str">
            <v>PROGRAMA KILOS DE ESPERANZA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50</v>
          </cell>
          <cell r="J1707" t="str">
            <v>PROGRAMA KILOS DE ESPERANZA</v>
          </cell>
          <cell r="M1707"/>
          <cell r="N1707">
            <v>86</v>
          </cell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</row>
        <row r="1708">
          <cell r="A1708" t="str">
            <v>PROGRAMA KILOS DE ESPERANZA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86</v>
          </cell>
          <cell r="J1708" t="str">
            <v>PROGRAMA KILOS DE ESPERANZA</v>
          </cell>
          <cell r="M1708">
            <v>201</v>
          </cell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</row>
        <row r="1709">
          <cell r="A1709" t="str">
            <v>PROGRAMA KILOS DE ESPERANZA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201</v>
          </cell>
          <cell r="J1709" t="str">
            <v>PROGRAMA KILOS DE ESPERANZA</v>
          </cell>
          <cell r="M1709"/>
          <cell r="N1709"/>
          <cell r="O1709"/>
          <cell r="P1709"/>
          <cell r="Q1709"/>
          <cell r="R1709">
            <v>181</v>
          </cell>
          <cell r="S1709"/>
          <cell r="T1709"/>
          <cell r="U1709"/>
          <cell r="V1709"/>
          <cell r="W1709"/>
          <cell r="X1709"/>
          <cell r="Y1709"/>
        </row>
        <row r="1710">
          <cell r="A1710" t="str">
            <v>PROGRAMA KILOS DE ESPERANZA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181</v>
          </cell>
          <cell r="J1710" t="str">
            <v>PROGRAMA KILOS DE ESPERANZA</v>
          </cell>
          <cell r="M1710"/>
          <cell r="N1710">
            <v>201</v>
          </cell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</row>
        <row r="1711">
          <cell r="A1711" t="str">
            <v>PROGRAMA KILOS DE ESPERANZA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201</v>
          </cell>
          <cell r="J1711" t="str">
            <v>PROGRAMA KILOS DE ESPERANZA</v>
          </cell>
          <cell r="M1711">
            <v>150</v>
          </cell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</row>
        <row r="1712">
          <cell r="A1712" t="str">
            <v>PROGRAMA KILOS DE ESPERANZA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150</v>
          </cell>
          <cell r="J1712" t="str">
            <v>PROGRAMA KILOS DE ESPERANZA</v>
          </cell>
          <cell r="M1712"/>
          <cell r="N1712">
            <v>250</v>
          </cell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</row>
        <row r="1713">
          <cell r="A1713" t="str">
            <v>PROGRAMA KILOS DE ESPERANZA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250</v>
          </cell>
          <cell r="J1713" t="str">
            <v>PROGRAMA KILOS DE ESPERANZA</v>
          </cell>
          <cell r="M1713"/>
          <cell r="N1713"/>
          <cell r="O1713">
            <v>1200</v>
          </cell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</row>
        <row r="1714">
          <cell r="A1714" t="str">
            <v>PROGRAMA KILOS DE ESPERANZA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1200</v>
          </cell>
          <cell r="J1714" t="str">
            <v>PROGRAMA KILOS DE ESPERANZA</v>
          </cell>
          <cell r="M1714">
            <v>390</v>
          </cell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</row>
        <row r="1715">
          <cell r="A1715" t="str">
            <v>PROGRAMA KILOS DE ESPERANZA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390</v>
          </cell>
          <cell r="J1715" t="str">
            <v>PROGRAMA KILOS DE ESPERANZA</v>
          </cell>
          <cell r="M1715"/>
          <cell r="N1715">
            <v>356</v>
          </cell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</row>
        <row r="1716">
          <cell r="A1716" t="str">
            <v>PROGRAMA KILOS DE ESPERANZA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356</v>
          </cell>
          <cell r="J1716" t="str">
            <v>PROGRAMA KILOS DE ESPERANZA</v>
          </cell>
          <cell r="M1716"/>
          <cell r="N1716">
            <v>84</v>
          </cell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</row>
        <row r="1717">
          <cell r="A1717" t="str">
            <v>PROGRAMA KILOS DE ESPERANZA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84</v>
          </cell>
          <cell r="J1717" t="str">
            <v>PROGRAMA KILOS DE ESPERANZA</v>
          </cell>
          <cell r="M1717"/>
          <cell r="N1717">
            <v>0</v>
          </cell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</row>
        <row r="1718">
          <cell r="A1718" t="str">
            <v>PROGRAMA KILOS DE ESPERANZA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J1718" t="str">
            <v>PROGRAMA KILOS DE ESPERANZA</v>
          </cell>
          <cell r="M1718"/>
          <cell r="N1718">
            <v>60</v>
          </cell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</row>
        <row r="1719">
          <cell r="A1719" t="str">
            <v>PROGRAMA KILOS DE ESPERANZA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60</v>
          </cell>
          <cell r="J1719" t="str">
            <v>PROGRAMA KILOS DE ESPERANZA</v>
          </cell>
          <cell r="M1719"/>
          <cell r="N1719"/>
          <cell r="O1719">
            <v>219</v>
          </cell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</row>
        <row r="1720">
          <cell r="A1720" t="str">
            <v>PROGRAMA KILOS DE ESPERANZA</v>
          </cell>
          <cell r="C1720">
            <v>0</v>
          </cell>
          <cell r="D1720">
            <v>16</v>
          </cell>
          <cell r="E1720">
            <v>19</v>
          </cell>
          <cell r="F1720">
            <v>19</v>
          </cell>
          <cell r="G1720">
            <v>219</v>
          </cell>
          <cell r="J1720" t="str">
            <v>PROGRAMA KILOS DE ESPERANZA</v>
          </cell>
          <cell r="M1720"/>
          <cell r="N1720"/>
          <cell r="O1720"/>
          <cell r="P1720"/>
          <cell r="Q1720">
            <v>60</v>
          </cell>
          <cell r="R1720"/>
          <cell r="S1720"/>
          <cell r="T1720"/>
          <cell r="U1720"/>
          <cell r="V1720"/>
          <cell r="W1720"/>
          <cell r="X1720"/>
          <cell r="Y1720"/>
        </row>
        <row r="1721">
          <cell r="A1721" t="str">
            <v>PROGRAMA KILOS DE ESPERANZA</v>
          </cell>
          <cell r="C1721">
            <v>0</v>
          </cell>
          <cell r="D1721">
            <v>0</v>
          </cell>
          <cell r="E1721">
            <v>0</v>
          </cell>
          <cell r="F1721">
            <v>0</v>
          </cell>
          <cell r="G1721">
            <v>60</v>
          </cell>
          <cell r="J1721" t="str">
            <v>PROGRAMA KILOS DE ESPERANZA</v>
          </cell>
          <cell r="M1721">
            <v>400</v>
          </cell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</row>
        <row r="1722">
          <cell r="A1722" t="str">
            <v>PROGRAMA KILOS DE ESPERANZA</v>
          </cell>
          <cell r="C1722">
            <v>0</v>
          </cell>
          <cell r="D1722">
            <v>0</v>
          </cell>
          <cell r="E1722">
            <v>0</v>
          </cell>
          <cell r="F1722">
            <v>0</v>
          </cell>
          <cell r="G1722">
            <v>400</v>
          </cell>
          <cell r="J1722" t="str">
            <v>PROGRAMA KILOS DE ESPERANZA</v>
          </cell>
          <cell r="M1722"/>
          <cell r="N1722"/>
          <cell r="O1722"/>
          <cell r="P1722"/>
          <cell r="Q1722">
            <v>496</v>
          </cell>
          <cell r="R1722"/>
          <cell r="S1722"/>
          <cell r="T1722"/>
          <cell r="U1722"/>
          <cell r="V1722"/>
          <cell r="W1722"/>
          <cell r="X1722"/>
          <cell r="Y1722"/>
        </row>
        <row r="1723">
          <cell r="A1723" t="str">
            <v>PROGRAMA KILOS DE ESPERANZA</v>
          </cell>
          <cell r="C1723">
            <v>73</v>
          </cell>
          <cell r="D1723">
            <v>0</v>
          </cell>
          <cell r="E1723">
            <v>0</v>
          </cell>
          <cell r="F1723">
            <v>0</v>
          </cell>
          <cell r="G1723">
            <v>496</v>
          </cell>
          <cell r="J1723" t="str">
            <v>PROGRAMA KILOS DE ESPERANZA</v>
          </cell>
          <cell r="M1723"/>
          <cell r="N1723"/>
          <cell r="O1723"/>
          <cell r="P1723"/>
          <cell r="Q1723">
            <v>4560</v>
          </cell>
          <cell r="R1723"/>
          <cell r="S1723"/>
          <cell r="T1723"/>
          <cell r="U1723"/>
          <cell r="V1723"/>
          <cell r="W1723"/>
          <cell r="X1723"/>
          <cell r="Y1723"/>
        </row>
        <row r="1724">
          <cell r="A1724" t="str">
            <v>PROGRAMA KILOS DE ESPERANZA</v>
          </cell>
          <cell r="C1724">
            <v>0</v>
          </cell>
          <cell r="D1724">
            <v>680</v>
          </cell>
          <cell r="E1724">
            <v>450</v>
          </cell>
          <cell r="F1724">
            <v>450</v>
          </cell>
          <cell r="G1724">
            <v>4560</v>
          </cell>
          <cell r="J1724" t="str">
            <v>PROGRAMA KILOS DE ESPERANZA</v>
          </cell>
          <cell r="M1724">
            <v>400</v>
          </cell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</row>
        <row r="1725">
          <cell r="A1725" t="str">
            <v>PROGRAMA KILOS DE ESPERANZA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400</v>
          </cell>
          <cell r="J1725" t="str">
            <v>PROGRAMA KILOS DE ESPERANZA</v>
          </cell>
          <cell r="M1725"/>
          <cell r="N1725"/>
          <cell r="O1725">
            <v>34</v>
          </cell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</row>
        <row r="1726">
          <cell r="A1726" t="str">
            <v>PROGRAMA KILOS DE ESPERANZA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34</v>
          </cell>
          <cell r="J1726" t="str">
            <v>PROGRAMA KILOS DE ESPERANZA</v>
          </cell>
          <cell r="M1726"/>
          <cell r="N1726">
            <v>230</v>
          </cell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</row>
        <row r="1727">
          <cell r="A1727" t="str">
            <v>PROGRAMA KILOS DE ESPERANZA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230</v>
          </cell>
          <cell r="J1727" t="str">
            <v>PROGRAMA KILOS DE ESPERANZA</v>
          </cell>
          <cell r="M1727"/>
          <cell r="N1727">
            <v>510</v>
          </cell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</row>
        <row r="1728">
          <cell r="A1728" t="str">
            <v>PROGRAMA KILOS DE ESPERANZA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510</v>
          </cell>
          <cell r="J1728" t="str">
            <v>PROGRAMA KILOS DE ESPERANZA</v>
          </cell>
          <cell r="M1728">
            <v>1350</v>
          </cell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</row>
        <row r="1729">
          <cell r="A1729" t="str">
            <v>PROGRAMA KILOS DE ESPERANZA</v>
          </cell>
          <cell r="C1729">
            <v>0</v>
          </cell>
          <cell r="D1729">
            <v>0</v>
          </cell>
          <cell r="E1729">
            <v>0</v>
          </cell>
          <cell r="F1729">
            <v>0</v>
          </cell>
          <cell r="G1729">
            <v>1350</v>
          </cell>
          <cell r="J1729" t="str">
            <v>PROGRAMA KILOS DE ESPERANZA</v>
          </cell>
          <cell r="M1729">
            <v>77</v>
          </cell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</row>
        <row r="1730">
          <cell r="A1730" t="str">
            <v>PROGRAMA KILOS DE ESPERANZA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77</v>
          </cell>
          <cell r="J1730" t="str">
            <v>PROGRAMA KILOS DE ESPERANZA</v>
          </cell>
          <cell r="M1730">
            <v>125</v>
          </cell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</row>
        <row r="1731">
          <cell r="A1731" t="str">
            <v>PROGRAMA KILOS DE ESPERANZA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125</v>
          </cell>
          <cell r="J1731" t="str">
            <v>PROGRAMA KILOS DE ESPERANZA</v>
          </cell>
          <cell r="M1731"/>
          <cell r="N1731"/>
          <cell r="O1731">
            <v>0</v>
          </cell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</row>
        <row r="1732">
          <cell r="A1732" t="str">
            <v>PROGRAMA KILOS DE ESPERANZA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J1732" t="str">
            <v>PROGRAMA KILOS DE ESPERANZA</v>
          </cell>
          <cell r="M1732">
            <v>209</v>
          </cell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</row>
        <row r="1733">
          <cell r="A1733" t="str">
            <v>PROGRAMA KILOS DE ESPERANZA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209</v>
          </cell>
          <cell r="J1733" t="str">
            <v>PROGRAMA KILOS DE ESPERANZA</v>
          </cell>
          <cell r="M1733">
            <v>0</v>
          </cell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</row>
        <row r="1734">
          <cell r="A1734" t="str">
            <v>PROGRAMA KILOS DE ESPERANZA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J1734" t="str">
            <v>PROGRAMA KILOS DE ESPERANZA</v>
          </cell>
          <cell r="M1734"/>
          <cell r="N1734"/>
          <cell r="O1734"/>
          <cell r="P1734"/>
          <cell r="Q1734"/>
          <cell r="R1734"/>
          <cell r="S1734">
            <v>150</v>
          </cell>
          <cell r="T1734"/>
          <cell r="U1734"/>
          <cell r="V1734"/>
          <cell r="W1734"/>
          <cell r="X1734"/>
          <cell r="Y1734"/>
        </row>
        <row r="1735">
          <cell r="A1735" t="str">
            <v>PROGRAMA KILOS DE ESPERANZA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150</v>
          </cell>
          <cell r="J1735" t="str">
            <v>PROGRAMA KILOS DE ESPERANZA</v>
          </cell>
          <cell r="M1735"/>
          <cell r="N1735"/>
          <cell r="O1735"/>
          <cell r="P1735"/>
          <cell r="Q1735"/>
          <cell r="R1735">
            <v>0</v>
          </cell>
          <cell r="S1735"/>
          <cell r="T1735"/>
          <cell r="U1735"/>
          <cell r="V1735"/>
          <cell r="W1735"/>
          <cell r="X1735"/>
          <cell r="Y1735"/>
        </row>
        <row r="1736">
          <cell r="A1736" t="str">
            <v>PROGRAMA KILOS DE ESPERANZA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J1736" t="str">
            <v>PROGRAMA KILOS DE ESPERANZA</v>
          </cell>
          <cell r="M1736"/>
          <cell r="N1736"/>
          <cell r="O1736">
            <v>421</v>
          </cell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</row>
        <row r="1737">
          <cell r="A1737" t="str">
            <v>PROGRAMA KILOS DE ESPERANZA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421</v>
          </cell>
          <cell r="J1737" t="str">
            <v>PROGRAMA KILOS DE ESPERANZA</v>
          </cell>
          <cell r="M1737"/>
          <cell r="N1737"/>
          <cell r="O1737"/>
          <cell r="P1737"/>
          <cell r="Q1737"/>
          <cell r="R1737"/>
          <cell r="S1737">
            <v>1190</v>
          </cell>
          <cell r="T1737"/>
          <cell r="U1737"/>
          <cell r="V1737"/>
          <cell r="W1737"/>
          <cell r="X1737"/>
          <cell r="Y1737"/>
        </row>
        <row r="1738">
          <cell r="A1738" t="str">
            <v>PROGRAMA KILOS DE ESPERANZA</v>
          </cell>
          <cell r="C1738">
            <v>1190</v>
          </cell>
          <cell r="D1738">
            <v>0</v>
          </cell>
          <cell r="E1738">
            <v>0</v>
          </cell>
          <cell r="F1738">
            <v>0</v>
          </cell>
          <cell r="G1738">
            <v>1190</v>
          </cell>
          <cell r="J1738" t="str">
            <v>PROGRAMA KILOS DE ESPERANZA</v>
          </cell>
          <cell r="M1738">
            <v>265</v>
          </cell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</row>
        <row r="1739">
          <cell r="A1739" t="str">
            <v>PROGRAMA KILOS DE ESPERANZA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265</v>
          </cell>
          <cell r="J1739" t="str">
            <v>PROGRAMA KILOS DE ESPERANZA</v>
          </cell>
          <cell r="M1739">
            <v>1300</v>
          </cell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</row>
        <row r="1740">
          <cell r="A1740" t="str">
            <v>PROGRAMA KILOS DE ESPERANZA</v>
          </cell>
          <cell r="C1740">
            <v>100</v>
          </cell>
          <cell r="D1740">
            <v>0</v>
          </cell>
          <cell r="E1740">
            <v>0</v>
          </cell>
          <cell r="F1740">
            <v>0</v>
          </cell>
          <cell r="G1740">
            <v>1300</v>
          </cell>
          <cell r="J1740" t="str">
            <v>CONGREGACION DE HERMANDAD KOL SHEARITH ISRAEL</v>
          </cell>
          <cell r="M1740"/>
          <cell r="N1740"/>
          <cell r="O1740"/>
          <cell r="P1740">
            <v>102</v>
          </cell>
          <cell r="Q1740"/>
          <cell r="R1740"/>
          <cell r="S1740"/>
          <cell r="T1740"/>
          <cell r="U1740"/>
          <cell r="V1740"/>
          <cell r="W1740"/>
          <cell r="X1740"/>
          <cell r="Y1740"/>
        </row>
        <row r="1741">
          <cell r="A1741" t="str">
            <v>CONGREGACION DE HERMANDAD KOL SHEARITH ISRAEL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102</v>
          </cell>
          <cell r="J1741" t="str">
            <v>CONGREGACION DE HERMANDAD KOL SHEARITH ISRAEL</v>
          </cell>
          <cell r="M1741"/>
          <cell r="N1741"/>
          <cell r="O1741">
            <v>180</v>
          </cell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</row>
        <row r="1742">
          <cell r="A1742" t="str">
            <v>CONGREGACION DE HERMANDAD KOL SHEARITH ISRAEL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180</v>
          </cell>
          <cell r="J1742" t="str">
            <v>CONGREGACION DE HERMANDAD KOL SHEARITH ISRAEL</v>
          </cell>
          <cell r="M1742"/>
          <cell r="N1742">
            <v>130</v>
          </cell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</row>
        <row r="1743">
          <cell r="A1743" t="str">
            <v>CONGREGACION DE HERMANDAD KOL SHEARITH ISRAEL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130</v>
          </cell>
          <cell r="J1743" t="str">
            <v>CONGREGACION DE HERMANDAD KOL SHEARITH ISRAEL</v>
          </cell>
          <cell r="M1743"/>
          <cell r="N1743"/>
          <cell r="O1743"/>
          <cell r="P1743"/>
          <cell r="Q1743"/>
          <cell r="R1743"/>
          <cell r="S1743">
            <v>211</v>
          </cell>
          <cell r="T1743"/>
          <cell r="U1743"/>
          <cell r="V1743"/>
          <cell r="W1743"/>
          <cell r="X1743"/>
          <cell r="Y1743"/>
        </row>
        <row r="1744">
          <cell r="A1744" t="str">
            <v>CONGREGACION DE HERMANDAD KOL SHEARITH ISRAEL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211</v>
          </cell>
          <cell r="J1744" t="str">
            <v>CONGREGACION DE HERMANDAD KOL SHEARITH ISRAEL</v>
          </cell>
          <cell r="M1744"/>
          <cell r="N1744"/>
          <cell r="O1744">
            <v>60</v>
          </cell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</row>
        <row r="1745">
          <cell r="A1745" t="str">
            <v>CONGREGACION DE HERMANDAD KOL SHEARITH ISRAEL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60</v>
          </cell>
          <cell r="J1745" t="str">
            <v>CONGREGACION DE HERMANDAD KOL SHEARITH ISRAEL</v>
          </cell>
          <cell r="M1745"/>
          <cell r="N1745"/>
          <cell r="O1745"/>
          <cell r="P1745"/>
          <cell r="Q1745"/>
          <cell r="R1745"/>
          <cell r="S1745">
            <v>179</v>
          </cell>
          <cell r="T1745"/>
          <cell r="U1745"/>
          <cell r="V1745"/>
          <cell r="W1745"/>
          <cell r="X1745"/>
          <cell r="Y1745"/>
        </row>
        <row r="1746">
          <cell r="A1746" t="str">
            <v>CONGREGACION DE HERMANDAD KOL SHEARITH ISRAEL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179</v>
          </cell>
          <cell r="J1746" t="str">
            <v>CONGREGACION DE HERMANDAD KOL SHEARITH ISRAEL</v>
          </cell>
          <cell r="M1746">
            <v>201</v>
          </cell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</row>
        <row r="1747">
          <cell r="A1747" t="str">
            <v>CONGREGACION DE HERMANDAD KOL SHEARITH ISRAEL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201</v>
          </cell>
          <cell r="J1747" t="str">
            <v>CONGREGACION DE HERMANDAD KOL SHEARITH ISRAEL</v>
          </cell>
          <cell r="M1747"/>
          <cell r="N1747"/>
          <cell r="O1747"/>
          <cell r="P1747"/>
          <cell r="Q1747"/>
          <cell r="R1747">
            <v>181</v>
          </cell>
          <cell r="S1747"/>
          <cell r="T1747"/>
          <cell r="U1747"/>
          <cell r="V1747"/>
          <cell r="W1747"/>
          <cell r="X1747"/>
          <cell r="Y1747"/>
        </row>
        <row r="1748">
          <cell r="A1748" t="str">
            <v>CONGREGACION DE HERMANDAD KOL SHEARITH ISRAEL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181</v>
          </cell>
          <cell r="J1748" t="str">
            <v>CONGREGACION DE HERMANDAD KOL SHEARITH ISRAEL</v>
          </cell>
          <cell r="M1748"/>
          <cell r="N1748"/>
          <cell r="O1748">
            <v>1200</v>
          </cell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</row>
        <row r="1749">
          <cell r="A1749" t="str">
            <v>CONGREGACION DE HERMANDAD KOL SHEARITH ISRAEL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1200</v>
          </cell>
          <cell r="J1749" t="str">
            <v>CONGREGACION DE HERMANDAD KOL SHEARITH ISRAEL</v>
          </cell>
          <cell r="M1749">
            <v>390</v>
          </cell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</row>
        <row r="1750">
          <cell r="A1750" t="str">
            <v>CONGREGACION DE HERMANDAD KOL SHEARITH ISRAEL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390</v>
          </cell>
          <cell r="J1750" t="str">
            <v>CONGREGACION DE HERMANDAD KOL SHEARITH ISRAEL</v>
          </cell>
          <cell r="M1750"/>
          <cell r="N1750">
            <v>0</v>
          </cell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</row>
        <row r="1751">
          <cell r="A1751" t="str">
            <v>CONGREGACION DE HERMANDAD KOL SHEARITH ISRAEL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J1751" t="str">
            <v>CONGREGACION DE HERMANDAD KOL SHEARITH ISRAEL</v>
          </cell>
          <cell r="M1751"/>
          <cell r="N1751">
            <v>60</v>
          </cell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</row>
        <row r="1752">
          <cell r="A1752" t="str">
            <v>CONGREGACION DE HERMANDAD KOL SHEARITH ISRAEL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60</v>
          </cell>
          <cell r="J1752" t="str">
            <v>CONGREGACION DE HERMANDAD KOL SHEARITH ISRAEL</v>
          </cell>
          <cell r="M1752"/>
          <cell r="N1752">
            <v>75</v>
          </cell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</row>
        <row r="1753">
          <cell r="A1753" t="str">
            <v>CONGREGACION DE HERMANDAD KOL SHEARITH ISRAEL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75</v>
          </cell>
          <cell r="J1753" t="str">
            <v>CONGREGACION DE HERMANDAD KOL SHEARITH ISRAEL</v>
          </cell>
          <cell r="M1753"/>
          <cell r="N1753"/>
          <cell r="O1753">
            <v>1017</v>
          </cell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</row>
        <row r="1754">
          <cell r="A1754" t="str">
            <v>CONGREGACION DE HERMANDAD KOL SHEARITH ISRAEL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1017</v>
          </cell>
          <cell r="J1754" t="str">
            <v>CONGREGACION DE HERMANDAD KOL SHEARITH ISRAEL</v>
          </cell>
          <cell r="M1754"/>
          <cell r="N1754"/>
          <cell r="O1754">
            <v>219</v>
          </cell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</row>
        <row r="1755">
          <cell r="A1755" t="str">
            <v>CONGREGACION DE HERMANDAD KOL SHEARITH ISRAEL</v>
          </cell>
          <cell r="C1755">
            <v>0</v>
          </cell>
          <cell r="D1755">
            <v>16</v>
          </cell>
          <cell r="E1755">
            <v>19</v>
          </cell>
          <cell r="F1755">
            <v>19</v>
          </cell>
          <cell r="G1755">
            <v>219</v>
          </cell>
          <cell r="J1755" t="str">
            <v>CONGREGACION DE HERMANDAD KOL SHEARITH ISRAEL</v>
          </cell>
          <cell r="M1755"/>
          <cell r="N1755"/>
          <cell r="O1755"/>
          <cell r="P1755"/>
          <cell r="Q1755">
            <v>83</v>
          </cell>
          <cell r="R1755"/>
          <cell r="S1755"/>
          <cell r="T1755"/>
          <cell r="U1755"/>
          <cell r="V1755"/>
          <cell r="W1755"/>
          <cell r="X1755"/>
          <cell r="Y1755"/>
        </row>
        <row r="1756">
          <cell r="A1756" t="str">
            <v>CONGREGACION DE HERMANDAD KOL SHEARITH ISRAEL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83</v>
          </cell>
          <cell r="J1756" t="str">
            <v>CONGREGACION DE HERMANDAD KOL SHEARITH ISRAEL</v>
          </cell>
          <cell r="M1756">
            <v>265</v>
          </cell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</row>
        <row r="1757">
          <cell r="A1757" t="str">
            <v>CONGREGACION DE HERMANDAD KOL SHEARITH ISRAEL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265</v>
          </cell>
          <cell r="J1757" t="str">
            <v>CONGREGACION DE HERMANDAD KOL SHEARITH ISRAEL</v>
          </cell>
          <cell r="M1757"/>
          <cell r="N1757"/>
          <cell r="O1757"/>
          <cell r="P1757"/>
          <cell r="Q1757">
            <v>496</v>
          </cell>
          <cell r="R1757"/>
          <cell r="S1757"/>
          <cell r="T1757"/>
          <cell r="U1757"/>
          <cell r="V1757"/>
          <cell r="W1757"/>
          <cell r="X1757"/>
          <cell r="Y1757"/>
        </row>
        <row r="1758">
          <cell r="A1758" t="str">
            <v>CONGREGACION DE HERMANDAD KOL SHEARITH ISRAEL</v>
          </cell>
          <cell r="C1758">
            <v>73</v>
          </cell>
          <cell r="D1758">
            <v>0</v>
          </cell>
          <cell r="E1758">
            <v>0</v>
          </cell>
          <cell r="F1758">
            <v>0</v>
          </cell>
          <cell r="G1758">
            <v>496</v>
          </cell>
          <cell r="J1758" t="str">
            <v>CONGREGACION DE HERMANDAD KOL SHEARITH ISRAEL</v>
          </cell>
          <cell r="M1758"/>
          <cell r="N1758"/>
          <cell r="O1758">
            <v>34</v>
          </cell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</row>
        <row r="1759">
          <cell r="A1759" t="str">
            <v>CONGREGACION DE HERMANDAD KOL SHEARITH ISRAEL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34</v>
          </cell>
          <cell r="J1759" t="str">
            <v>CONGREGACION DE HERMANDAD KOL SHEARITH ISRAEL</v>
          </cell>
          <cell r="M1759"/>
          <cell r="N1759">
            <v>230</v>
          </cell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</row>
        <row r="1760">
          <cell r="A1760" t="str">
            <v>CONGREGACION DE HERMANDAD KOL SHEARITH ISRAEL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230</v>
          </cell>
          <cell r="J1760" t="str">
            <v>CONGREGACION DE HERMANDAD KOL SHEARITH ISRAEL</v>
          </cell>
          <cell r="M1760">
            <v>77</v>
          </cell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</row>
        <row r="1761">
          <cell r="A1761" t="str">
            <v>CONGREGACION DE HERMANDAD KOL SHEARITH ISRAEL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77</v>
          </cell>
          <cell r="J1761" t="str">
            <v>CONGREGACION DE HERMANDAD KOL SHEARITH ISRAEL</v>
          </cell>
          <cell r="M1761">
            <v>209</v>
          </cell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</row>
        <row r="1762">
          <cell r="A1762" t="str">
            <v>CONGREGACION DE HERMANDAD KOL SHEARITH ISRAEL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209</v>
          </cell>
          <cell r="J1762" t="str">
            <v>CONGREGACION DE HERMANDAD KOL SHEARITH ISRAEL</v>
          </cell>
          <cell r="M1762"/>
          <cell r="N1762"/>
          <cell r="O1762">
            <v>642</v>
          </cell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</row>
        <row r="1763">
          <cell r="A1763" t="str">
            <v>CONGREGACION DE HERMANDAD KOL SHEARITH ISRAEL</v>
          </cell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G1763">
            <v>642</v>
          </cell>
          <cell r="J1763" t="str">
            <v>CAMPAÑA NUTRIENDO VIDAS</v>
          </cell>
          <cell r="M1763">
            <v>0</v>
          </cell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</row>
        <row r="1764">
          <cell r="A1764" t="str">
            <v>CAMPAÑA NUTRIENDO VIDAS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J1764" t="str">
            <v>CAMPAÑA NUTRIENDO VIDAS</v>
          </cell>
          <cell r="M1764">
            <v>10</v>
          </cell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</row>
        <row r="1765">
          <cell r="A1765" t="str">
            <v>CAMPAÑA NUTRIENDO VIDAS</v>
          </cell>
          <cell r="C1765">
            <v>10</v>
          </cell>
          <cell r="D1765">
            <v>0</v>
          </cell>
          <cell r="E1765">
            <v>0</v>
          </cell>
          <cell r="F1765">
            <v>0</v>
          </cell>
          <cell r="G1765">
            <v>10</v>
          </cell>
          <cell r="J1765" t="str">
            <v>CAMPAÑA NUTRIENDO VIDAS</v>
          </cell>
          <cell r="M1765">
            <v>10</v>
          </cell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</row>
        <row r="1766">
          <cell r="A1766" t="str">
            <v>CAMPAÑA NUTRIENDO VIDAS</v>
          </cell>
          <cell r="C1766">
            <v>10</v>
          </cell>
          <cell r="D1766">
            <v>0</v>
          </cell>
          <cell r="E1766">
            <v>0</v>
          </cell>
          <cell r="F1766">
            <v>0</v>
          </cell>
          <cell r="G1766">
            <v>10</v>
          </cell>
          <cell r="J1766" t="str">
            <v>CAMPAÑA NUTRIENDO VIDAS</v>
          </cell>
          <cell r="M1766"/>
          <cell r="N1766"/>
          <cell r="O1766">
            <v>50</v>
          </cell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</row>
        <row r="1767">
          <cell r="A1767" t="str">
            <v>CAMPAÑA NUTRIENDO VIDAS</v>
          </cell>
          <cell r="C1767">
            <v>50</v>
          </cell>
          <cell r="D1767">
            <v>0</v>
          </cell>
          <cell r="E1767">
            <v>0</v>
          </cell>
          <cell r="F1767">
            <v>0</v>
          </cell>
          <cell r="G1767">
            <v>50</v>
          </cell>
          <cell r="J1767" t="str">
            <v>CAMPAÑA NUTRIENDO VIDAS</v>
          </cell>
          <cell r="M1767">
            <v>8</v>
          </cell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</row>
        <row r="1768">
          <cell r="A1768" t="str">
            <v>CAMPAÑA NUTRIENDO VIDAS</v>
          </cell>
          <cell r="C1768">
            <v>8</v>
          </cell>
          <cell r="D1768">
            <v>0</v>
          </cell>
          <cell r="E1768">
            <v>0</v>
          </cell>
          <cell r="F1768">
            <v>0</v>
          </cell>
          <cell r="G1768">
            <v>8</v>
          </cell>
          <cell r="J1768" t="str">
            <v>CAMPAÑA NUTRIENDO VIDAS</v>
          </cell>
          <cell r="M1768"/>
          <cell r="N1768"/>
          <cell r="O1768">
            <v>5</v>
          </cell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</row>
        <row r="1769">
          <cell r="A1769" t="str">
            <v>CAMPAÑA NUTRIENDO VIDAS</v>
          </cell>
          <cell r="C1769">
            <v>5</v>
          </cell>
          <cell r="D1769">
            <v>0</v>
          </cell>
          <cell r="E1769">
            <v>0</v>
          </cell>
          <cell r="F1769">
            <v>0</v>
          </cell>
          <cell r="G1769">
            <v>5</v>
          </cell>
          <cell r="J1769" t="str">
            <v>CAMPAÑA NUTRIENDO VIDAS</v>
          </cell>
          <cell r="M1769"/>
          <cell r="N1769"/>
          <cell r="O1769">
            <v>5</v>
          </cell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</row>
        <row r="1770">
          <cell r="A1770" t="str">
            <v>CAMPAÑA NUTRIENDO VIDAS</v>
          </cell>
          <cell r="C1770">
            <v>5</v>
          </cell>
          <cell r="D1770">
            <v>0</v>
          </cell>
          <cell r="E1770">
            <v>0</v>
          </cell>
          <cell r="F1770">
            <v>0</v>
          </cell>
          <cell r="G1770">
            <v>5</v>
          </cell>
          <cell r="J1770" t="str">
            <v>CAMPAÑA NUTRIENDO VIDAS</v>
          </cell>
          <cell r="M1770"/>
          <cell r="N1770"/>
          <cell r="O1770">
            <v>169</v>
          </cell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</row>
        <row r="1771">
          <cell r="A1771" t="str">
            <v>CAMPAÑA NUTRIENDO VIDAS</v>
          </cell>
          <cell r="C1771">
            <v>169</v>
          </cell>
          <cell r="D1771">
            <v>0</v>
          </cell>
          <cell r="E1771">
            <v>0</v>
          </cell>
          <cell r="F1771">
            <v>0</v>
          </cell>
          <cell r="G1771">
            <v>169</v>
          </cell>
          <cell r="J1771" t="str">
            <v>CAMPAÑA NUTRIENDO VIDAS</v>
          </cell>
          <cell r="M1771"/>
          <cell r="N1771"/>
          <cell r="O1771">
            <v>45</v>
          </cell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</row>
        <row r="1772">
          <cell r="A1772" t="str">
            <v>CAMPAÑA NUTRIENDO VIDAS</v>
          </cell>
          <cell r="C1772">
            <v>45</v>
          </cell>
          <cell r="D1772">
            <v>0</v>
          </cell>
          <cell r="E1772">
            <v>0</v>
          </cell>
          <cell r="F1772">
            <v>0</v>
          </cell>
          <cell r="G1772">
            <v>45</v>
          </cell>
          <cell r="J1772" t="str">
            <v>CAMPAÑA NUTRIENDO VIDAS</v>
          </cell>
          <cell r="M1772"/>
          <cell r="N1772"/>
          <cell r="O1772"/>
          <cell r="P1772"/>
          <cell r="Q1772"/>
          <cell r="R1772"/>
          <cell r="S1772">
            <v>80</v>
          </cell>
          <cell r="T1772"/>
          <cell r="U1772"/>
          <cell r="V1772"/>
          <cell r="W1772"/>
          <cell r="X1772"/>
          <cell r="Y1772"/>
        </row>
        <row r="1773">
          <cell r="A1773" t="str">
            <v>CAMPAÑA NUTRIENDO VIDAS</v>
          </cell>
          <cell r="C1773">
            <v>80</v>
          </cell>
          <cell r="D1773">
            <v>0</v>
          </cell>
          <cell r="E1773">
            <v>0</v>
          </cell>
          <cell r="F1773">
            <v>0</v>
          </cell>
          <cell r="G1773">
            <v>80</v>
          </cell>
          <cell r="J1773" t="str">
            <v>CAMPAÑA NUTRIENDO VIDAS</v>
          </cell>
          <cell r="M1773"/>
          <cell r="N1773"/>
          <cell r="O1773">
            <v>45</v>
          </cell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</row>
        <row r="1774">
          <cell r="A1774" t="str">
            <v>CAMPAÑA NUTRIENDO VIDAS</v>
          </cell>
          <cell r="C1774">
            <v>45</v>
          </cell>
          <cell r="D1774">
            <v>0</v>
          </cell>
          <cell r="E1774">
            <v>0</v>
          </cell>
          <cell r="F1774">
            <v>0</v>
          </cell>
          <cell r="G1774">
            <v>45</v>
          </cell>
          <cell r="J1774" t="str">
            <v>CAMPAÑA NUTRIENDO VIDAS</v>
          </cell>
          <cell r="M1774"/>
          <cell r="N1774"/>
          <cell r="O1774"/>
          <cell r="P1774"/>
          <cell r="Q1774"/>
          <cell r="R1774"/>
          <cell r="S1774">
            <v>10</v>
          </cell>
          <cell r="T1774"/>
          <cell r="U1774"/>
          <cell r="V1774"/>
          <cell r="W1774"/>
          <cell r="X1774"/>
          <cell r="Y1774"/>
        </row>
        <row r="1775">
          <cell r="A1775" t="str">
            <v>CAMPAÑA NUTRIENDO VIDAS</v>
          </cell>
          <cell r="C1775">
            <v>10</v>
          </cell>
          <cell r="D1775">
            <v>0</v>
          </cell>
          <cell r="E1775">
            <v>0</v>
          </cell>
          <cell r="F1775">
            <v>0</v>
          </cell>
          <cell r="G1775">
            <v>10</v>
          </cell>
          <cell r="J1775" t="str">
            <v>CAMPAÑA NUTRIENDO VIDAS</v>
          </cell>
          <cell r="M1775">
            <v>20</v>
          </cell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</row>
        <row r="1776">
          <cell r="A1776" t="str">
            <v>CAMPAÑA NUTRIENDO VIDAS</v>
          </cell>
          <cell r="C1776">
            <v>20</v>
          </cell>
          <cell r="D1776">
            <v>0</v>
          </cell>
          <cell r="E1776">
            <v>0</v>
          </cell>
          <cell r="F1776">
            <v>0</v>
          </cell>
          <cell r="G1776">
            <v>20</v>
          </cell>
          <cell r="J1776" t="str">
            <v>CAMPAÑA NUTRIENDO VIDAS</v>
          </cell>
          <cell r="M1776">
            <v>50</v>
          </cell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</row>
        <row r="1777">
          <cell r="A1777" t="str">
            <v>CAMPAÑA NUTRIENDO VIDAS</v>
          </cell>
          <cell r="C1777">
            <v>50</v>
          </cell>
          <cell r="D1777">
            <v>0</v>
          </cell>
          <cell r="E1777">
            <v>0</v>
          </cell>
          <cell r="F1777">
            <v>0</v>
          </cell>
          <cell r="G1777">
            <v>50</v>
          </cell>
          <cell r="J1777" t="str">
            <v>CAMPAÑA NUTRIENDO VIDAS</v>
          </cell>
          <cell r="M1777"/>
          <cell r="N1777"/>
          <cell r="O1777"/>
          <cell r="P1777"/>
          <cell r="Q1777"/>
          <cell r="R1777"/>
          <cell r="S1777">
            <v>100</v>
          </cell>
          <cell r="T1777"/>
          <cell r="U1777"/>
          <cell r="V1777"/>
          <cell r="W1777"/>
          <cell r="X1777"/>
          <cell r="Y1777"/>
        </row>
        <row r="1778">
          <cell r="A1778" t="str">
            <v>CAMPAÑA NUTRIENDO VIDAS</v>
          </cell>
          <cell r="C1778">
            <v>100</v>
          </cell>
          <cell r="D1778">
            <v>0</v>
          </cell>
          <cell r="E1778">
            <v>0</v>
          </cell>
          <cell r="F1778">
            <v>0</v>
          </cell>
          <cell r="G1778">
            <v>100</v>
          </cell>
          <cell r="J1778" t="str">
            <v>CAMPAÑA NUTRIENDO VIDAS</v>
          </cell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</row>
        <row r="1779">
          <cell r="A1779" t="str">
            <v>CAMPAÑA NUTRIENDO VIDAS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J1779" t="str">
            <v>CAMPAÑA NUTRIENDO VIDAS</v>
          </cell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</row>
        <row r="1780">
          <cell r="A1780" t="str">
            <v>CAMPAÑA NUTRIENDO VIDAS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J1780" t="str">
            <v>CAMPAÑA NUTRIENDO VIDAS</v>
          </cell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>
            <v>225</v>
          </cell>
          <cell r="X1780"/>
          <cell r="Y1780"/>
        </row>
        <row r="1781">
          <cell r="A1781" t="str">
            <v>CAMPAÑA NUTRIENDO VIDAS</v>
          </cell>
          <cell r="C1781">
            <v>225</v>
          </cell>
          <cell r="D1781">
            <v>0</v>
          </cell>
          <cell r="E1781">
            <v>0</v>
          </cell>
          <cell r="F1781">
            <v>0</v>
          </cell>
          <cell r="G1781">
            <v>225</v>
          </cell>
          <cell r="J1781" t="str">
            <v>CAMPAÑA NUTRIENDO VIDAS</v>
          </cell>
          <cell r="M1781">
            <v>10</v>
          </cell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</row>
        <row r="1782">
          <cell r="A1782" t="str">
            <v>CAMPAÑA NUTRIENDO VIDAS</v>
          </cell>
          <cell r="C1782">
            <v>10</v>
          </cell>
          <cell r="D1782">
            <v>0</v>
          </cell>
          <cell r="E1782">
            <v>0</v>
          </cell>
          <cell r="F1782">
            <v>0</v>
          </cell>
          <cell r="G1782">
            <v>10</v>
          </cell>
          <cell r="J1782" t="str">
            <v>CAMPAÑA NUTRIENDO VIDAS</v>
          </cell>
          <cell r="M1782"/>
          <cell r="N1782">
            <v>10</v>
          </cell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</row>
        <row r="1783">
          <cell r="A1783" t="str">
            <v>CAMPAÑA NUTRIENDO VIDAS</v>
          </cell>
          <cell r="C1783">
            <v>10</v>
          </cell>
          <cell r="D1783">
            <v>0</v>
          </cell>
          <cell r="E1783">
            <v>0</v>
          </cell>
          <cell r="F1783">
            <v>0</v>
          </cell>
          <cell r="G1783">
            <v>10</v>
          </cell>
          <cell r="J1783" t="str">
            <v>CAMPAÑA NUTRIENDO VIDAS</v>
          </cell>
          <cell r="M1783"/>
          <cell r="N1783">
            <v>150</v>
          </cell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</row>
        <row r="1784">
          <cell r="A1784" t="str">
            <v>CAMPAÑA NUTRIENDO VIDAS</v>
          </cell>
          <cell r="C1784">
            <v>150</v>
          </cell>
          <cell r="D1784">
            <v>0</v>
          </cell>
          <cell r="E1784">
            <v>0</v>
          </cell>
          <cell r="F1784">
            <v>0</v>
          </cell>
          <cell r="G1784">
            <v>150</v>
          </cell>
          <cell r="J1784" t="str">
            <v>CAMPAÑA NUTRIENDO VIDAS</v>
          </cell>
          <cell r="M1784"/>
          <cell r="N1784">
            <v>5</v>
          </cell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</row>
        <row r="1785">
          <cell r="A1785" t="str">
            <v>CAMPAÑA NUTRIENDO VIDAS</v>
          </cell>
          <cell r="C1785">
            <v>5</v>
          </cell>
          <cell r="D1785">
            <v>0</v>
          </cell>
          <cell r="E1785">
            <v>0</v>
          </cell>
          <cell r="F1785">
            <v>0</v>
          </cell>
          <cell r="G1785">
            <v>5</v>
          </cell>
          <cell r="J1785" t="str">
            <v>CAMPAÑA NUTRIENDO VIDAS</v>
          </cell>
          <cell r="M1785"/>
          <cell r="N1785"/>
          <cell r="O1785"/>
          <cell r="P1785">
            <v>20</v>
          </cell>
          <cell r="Q1785"/>
          <cell r="R1785"/>
          <cell r="S1785"/>
          <cell r="T1785"/>
          <cell r="U1785"/>
          <cell r="V1785"/>
          <cell r="W1785"/>
          <cell r="X1785"/>
          <cell r="Y1785"/>
        </row>
        <row r="1786">
          <cell r="A1786" t="str">
            <v>CAMPAÑA NUTRIENDO VIDAS</v>
          </cell>
          <cell r="C1786">
            <v>20</v>
          </cell>
          <cell r="D1786">
            <v>0</v>
          </cell>
          <cell r="E1786">
            <v>0</v>
          </cell>
          <cell r="F1786">
            <v>0</v>
          </cell>
          <cell r="G1786">
            <v>20</v>
          </cell>
          <cell r="J1786" t="str">
            <v>CAMPAÑA NUTRIENDO VIDAS</v>
          </cell>
          <cell r="M1786"/>
          <cell r="N1786">
            <v>25</v>
          </cell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</row>
        <row r="1787">
          <cell r="A1787" t="str">
            <v>CAMPAÑA NUTRIENDO VIDAS</v>
          </cell>
          <cell r="C1787">
            <v>25</v>
          </cell>
          <cell r="D1787">
            <v>0</v>
          </cell>
          <cell r="E1787">
            <v>0</v>
          </cell>
          <cell r="F1787">
            <v>0</v>
          </cell>
          <cell r="G1787">
            <v>25</v>
          </cell>
          <cell r="J1787" t="str">
            <v>CAMPAÑA NUTRIENDO VIDAS</v>
          </cell>
          <cell r="M1787"/>
          <cell r="N1787"/>
          <cell r="O1787">
            <v>50</v>
          </cell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</row>
        <row r="1788">
          <cell r="A1788" t="str">
            <v>CAMPAÑA NUTRIENDO VIDAS</v>
          </cell>
          <cell r="C1788">
            <v>50</v>
          </cell>
          <cell r="D1788">
            <v>0</v>
          </cell>
          <cell r="E1788">
            <v>0</v>
          </cell>
          <cell r="F1788">
            <v>0</v>
          </cell>
          <cell r="G1788">
            <v>50</v>
          </cell>
          <cell r="J1788" t="str">
            <v>CAMPAÑA NUTRIENDO VIDAS</v>
          </cell>
          <cell r="M1788"/>
          <cell r="N1788">
            <v>65</v>
          </cell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</row>
        <row r="1789">
          <cell r="A1789" t="str">
            <v>CAMPAÑA NUTRIENDO VIDAS</v>
          </cell>
          <cell r="C1789">
            <v>65</v>
          </cell>
          <cell r="D1789">
            <v>0</v>
          </cell>
          <cell r="E1789">
            <v>0</v>
          </cell>
          <cell r="F1789">
            <v>0</v>
          </cell>
          <cell r="G1789">
            <v>65</v>
          </cell>
          <cell r="J1789" t="str">
            <v>CAMPAÑA NUTRIENDO VIDAS</v>
          </cell>
          <cell r="M1789"/>
          <cell r="N1789"/>
          <cell r="O1789"/>
          <cell r="P1789"/>
          <cell r="Q1789"/>
          <cell r="R1789"/>
          <cell r="S1789"/>
          <cell r="T1789"/>
          <cell r="U1789">
            <v>20</v>
          </cell>
          <cell r="V1789"/>
          <cell r="W1789"/>
          <cell r="X1789"/>
          <cell r="Y1789"/>
        </row>
        <row r="1790">
          <cell r="A1790" t="str">
            <v>CAMPAÑA NUTRIENDO VIDAS</v>
          </cell>
          <cell r="C1790">
            <v>20</v>
          </cell>
          <cell r="D1790">
            <v>0</v>
          </cell>
          <cell r="E1790">
            <v>0</v>
          </cell>
          <cell r="F1790">
            <v>0</v>
          </cell>
          <cell r="G1790">
            <v>20</v>
          </cell>
          <cell r="J1790" t="str">
            <v>CAMPAÑA NUTRIENDO VIDAS</v>
          </cell>
          <cell r="M1790"/>
          <cell r="N1790"/>
          <cell r="O1790"/>
          <cell r="P1790"/>
          <cell r="Q1790"/>
          <cell r="R1790"/>
          <cell r="S1790"/>
          <cell r="T1790">
            <v>50</v>
          </cell>
          <cell r="U1790"/>
          <cell r="V1790"/>
          <cell r="W1790"/>
          <cell r="X1790"/>
          <cell r="Y1790"/>
        </row>
        <row r="1791">
          <cell r="A1791" t="str">
            <v>CAMPAÑA NUTRIENDO VIDAS</v>
          </cell>
          <cell r="C1791">
            <v>50</v>
          </cell>
          <cell r="D1791">
            <v>0</v>
          </cell>
          <cell r="E1791">
            <v>0</v>
          </cell>
          <cell r="F1791">
            <v>0</v>
          </cell>
          <cell r="G1791">
            <v>50</v>
          </cell>
          <cell r="J1791" t="str">
            <v>CAMPAÑA NUTRIENDO VIDAS</v>
          </cell>
          <cell r="M1791"/>
          <cell r="N1791"/>
          <cell r="O1791"/>
          <cell r="P1791"/>
          <cell r="Q1791">
            <v>10</v>
          </cell>
          <cell r="R1791"/>
          <cell r="S1791"/>
          <cell r="T1791"/>
          <cell r="U1791"/>
          <cell r="V1791"/>
          <cell r="W1791"/>
          <cell r="X1791"/>
          <cell r="Y1791"/>
        </row>
        <row r="1792">
          <cell r="A1792" t="str">
            <v>CAMPAÑA NUTRIENDO VIDAS</v>
          </cell>
          <cell r="C1792">
            <v>10</v>
          </cell>
          <cell r="D1792">
            <v>0</v>
          </cell>
          <cell r="E1792">
            <v>0</v>
          </cell>
          <cell r="F1792">
            <v>0</v>
          </cell>
          <cell r="G1792">
            <v>10</v>
          </cell>
          <cell r="J1792" t="str">
            <v>CAMPAÑA NUTRIENDO VIDAS</v>
          </cell>
          <cell r="M1792"/>
          <cell r="N1792"/>
          <cell r="O1792"/>
          <cell r="P1792"/>
          <cell r="Q1792"/>
          <cell r="R1792"/>
          <cell r="S1792"/>
          <cell r="T1792">
            <v>5</v>
          </cell>
          <cell r="U1792"/>
          <cell r="V1792"/>
          <cell r="W1792"/>
          <cell r="X1792"/>
          <cell r="Y1792"/>
        </row>
        <row r="1793">
          <cell r="A1793" t="str">
            <v>CAMPAÑA NUTRIENDO VIDAS</v>
          </cell>
          <cell r="C1793">
            <v>5</v>
          </cell>
          <cell r="D1793">
            <v>0</v>
          </cell>
          <cell r="E1793">
            <v>0</v>
          </cell>
          <cell r="F1793">
            <v>0</v>
          </cell>
          <cell r="G1793">
            <v>5</v>
          </cell>
          <cell r="J1793" t="str">
            <v>CAMPAÑA NUTRIENDO VIDAS</v>
          </cell>
          <cell r="M1793">
            <v>30</v>
          </cell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</row>
        <row r="1794">
          <cell r="A1794" t="str">
            <v>CAMPAÑA NUTRIENDO VIDAS</v>
          </cell>
          <cell r="C1794">
            <v>30</v>
          </cell>
          <cell r="D1794">
            <v>0</v>
          </cell>
          <cell r="E1794">
            <v>0</v>
          </cell>
          <cell r="F1794">
            <v>0</v>
          </cell>
          <cell r="G1794">
            <v>30</v>
          </cell>
          <cell r="J1794" t="str">
            <v>CAMPAÑA NUTRIENDO VIDAS</v>
          </cell>
          <cell r="M1794"/>
          <cell r="N1794"/>
          <cell r="O1794"/>
          <cell r="P1794"/>
          <cell r="Q1794"/>
          <cell r="R1794"/>
          <cell r="S1794">
            <v>50</v>
          </cell>
          <cell r="T1794"/>
          <cell r="U1794"/>
          <cell r="V1794"/>
          <cell r="W1794"/>
          <cell r="X1794"/>
          <cell r="Y1794"/>
        </row>
        <row r="1795">
          <cell r="A1795" t="str">
            <v>CAMPAÑA NUTRIENDO VIDAS</v>
          </cell>
          <cell r="C1795">
            <v>50</v>
          </cell>
          <cell r="D1795">
            <v>0</v>
          </cell>
          <cell r="E1795">
            <v>0</v>
          </cell>
          <cell r="F1795">
            <v>0</v>
          </cell>
          <cell r="G1795">
            <v>50</v>
          </cell>
          <cell r="J1795" t="str">
            <v>CAMPAÑA NUTRIENDO VIDAS</v>
          </cell>
          <cell r="M1795"/>
          <cell r="N1795"/>
          <cell r="O1795"/>
          <cell r="P1795"/>
          <cell r="Q1795"/>
          <cell r="R1795">
            <v>0</v>
          </cell>
          <cell r="S1795"/>
          <cell r="T1795"/>
          <cell r="U1795"/>
          <cell r="V1795"/>
          <cell r="W1795"/>
          <cell r="X1795"/>
          <cell r="Y1795"/>
        </row>
        <row r="1796">
          <cell r="A1796" t="str">
            <v>CAMPAÑA NUTRIENDO VIDAS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J1796" t="str">
            <v>CAMPAÑA NUTRIENDO VIDAS</v>
          </cell>
          <cell r="M1796"/>
          <cell r="N1796"/>
          <cell r="O1796"/>
          <cell r="P1796"/>
          <cell r="Q1796"/>
          <cell r="R1796">
            <v>15</v>
          </cell>
          <cell r="S1796"/>
          <cell r="T1796"/>
          <cell r="U1796"/>
          <cell r="V1796"/>
          <cell r="W1796"/>
          <cell r="X1796"/>
          <cell r="Y1796"/>
        </row>
        <row r="1797">
          <cell r="A1797" t="str">
            <v>CAMPAÑA NUTRIENDO VIDAS</v>
          </cell>
          <cell r="C1797">
            <v>15</v>
          </cell>
          <cell r="D1797">
            <v>0</v>
          </cell>
          <cell r="E1797">
            <v>0</v>
          </cell>
          <cell r="F1797">
            <v>0</v>
          </cell>
          <cell r="G1797">
            <v>15</v>
          </cell>
          <cell r="J1797" t="str">
            <v>CAMPAÑA NUTRIENDO VIDAS</v>
          </cell>
          <cell r="M1797"/>
          <cell r="N1797"/>
          <cell r="O1797"/>
          <cell r="P1797"/>
          <cell r="Q1797"/>
          <cell r="R1797">
            <v>70</v>
          </cell>
          <cell r="S1797"/>
          <cell r="T1797"/>
          <cell r="U1797"/>
          <cell r="V1797"/>
          <cell r="W1797"/>
          <cell r="X1797"/>
          <cell r="Y1797"/>
        </row>
        <row r="1798">
          <cell r="A1798" t="str">
            <v>CAMPAÑA NUTRIENDO VIDAS</v>
          </cell>
          <cell r="C1798">
            <v>70</v>
          </cell>
          <cell r="D1798">
            <v>0</v>
          </cell>
          <cell r="E1798">
            <v>0</v>
          </cell>
          <cell r="F1798">
            <v>0</v>
          </cell>
          <cell r="G1798">
            <v>70</v>
          </cell>
          <cell r="J1798" t="str">
            <v>CAMPAÑA NUTRIENDO VIDAS</v>
          </cell>
          <cell r="M1798"/>
          <cell r="N1798"/>
          <cell r="O1798"/>
          <cell r="P1798"/>
          <cell r="Q1798"/>
          <cell r="R1798">
            <v>70</v>
          </cell>
          <cell r="S1798"/>
          <cell r="T1798"/>
          <cell r="U1798"/>
          <cell r="V1798"/>
          <cell r="W1798"/>
          <cell r="X1798"/>
          <cell r="Y1798"/>
        </row>
        <row r="1799">
          <cell r="A1799" t="str">
            <v>CAMPAÑA NUTRIENDO VIDAS</v>
          </cell>
          <cell r="C1799">
            <v>70</v>
          </cell>
          <cell r="D1799">
            <v>0</v>
          </cell>
          <cell r="E1799">
            <v>0</v>
          </cell>
          <cell r="F1799">
            <v>0</v>
          </cell>
          <cell r="G1799">
            <v>70</v>
          </cell>
          <cell r="J1799" t="str">
            <v>CAMPAÑA NUTRIENDO VIDAS</v>
          </cell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</row>
        <row r="1800">
          <cell r="A1800" t="str">
            <v>CAMPAÑA NUTRIENDO VIDAS</v>
          </cell>
          <cell r="C1800">
            <v>4</v>
          </cell>
          <cell r="D1800">
            <v>0</v>
          </cell>
          <cell r="E1800">
            <v>0</v>
          </cell>
          <cell r="F1800">
            <v>0</v>
          </cell>
          <cell r="G1800">
            <v>4</v>
          </cell>
          <cell r="J1800" t="str">
            <v>CAMPAÑA NUTRIENDO VIDAS</v>
          </cell>
          <cell r="M1800">
            <v>40</v>
          </cell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</row>
        <row r="1801">
          <cell r="A1801" t="str">
            <v>CAMPAÑA NUTRIENDO VIDAS</v>
          </cell>
          <cell r="C1801">
            <v>40</v>
          </cell>
          <cell r="D1801">
            <v>0</v>
          </cell>
          <cell r="E1801">
            <v>0</v>
          </cell>
          <cell r="F1801">
            <v>0</v>
          </cell>
          <cell r="G1801">
            <v>40</v>
          </cell>
          <cell r="J1801" t="str">
            <v>CAMPAÑA NUTRIENDO VIDAS</v>
          </cell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>
            <v>0</v>
          </cell>
          <cell r="Y1801"/>
        </row>
        <row r="1802">
          <cell r="A1802" t="str">
            <v>CAMPAÑA NUTRIENDO VIDAS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J1802" t="str">
            <v>CAMPAÑA NUTRIENDO VIDAS</v>
          </cell>
          <cell r="M1802"/>
          <cell r="N1802">
            <v>0</v>
          </cell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</row>
        <row r="1803">
          <cell r="A1803" t="str">
            <v>CAMPAÑA NUTRIENDO VIDAS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J1803" t="str">
            <v>CAMPAÑA NUTRIENDO VIDAS</v>
          </cell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</row>
        <row r="1804">
          <cell r="A1804" t="str">
            <v>CAMPAÑA NUTRIENDO VIDAS</v>
          </cell>
          <cell r="C1804">
            <v>5</v>
          </cell>
          <cell r="D1804">
            <v>0</v>
          </cell>
          <cell r="E1804">
            <v>0</v>
          </cell>
          <cell r="F1804">
            <v>0</v>
          </cell>
          <cell r="G1804">
            <v>5</v>
          </cell>
          <cell r="J1804" t="str">
            <v>CAMPAÑA NUTRIENDO VIDAS</v>
          </cell>
          <cell r="M1804">
            <v>8</v>
          </cell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</row>
        <row r="1805">
          <cell r="A1805" t="str">
            <v>CAMPAÑA NUTRIENDO VIDAS</v>
          </cell>
          <cell r="C1805">
            <v>8</v>
          </cell>
          <cell r="D1805">
            <v>0</v>
          </cell>
          <cell r="E1805">
            <v>0</v>
          </cell>
          <cell r="F1805">
            <v>0</v>
          </cell>
          <cell r="G1805">
            <v>8</v>
          </cell>
          <cell r="J1805" t="str">
            <v>CAMPAÑA NUTRIENDO VIDAS</v>
          </cell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</row>
        <row r="1806">
          <cell r="A1806" t="str">
            <v>CAMPAÑA NUTRIENDO VIDAS</v>
          </cell>
          <cell r="C1806">
            <v>200</v>
          </cell>
          <cell r="D1806">
            <v>0</v>
          </cell>
          <cell r="E1806">
            <v>0</v>
          </cell>
          <cell r="F1806">
            <v>0</v>
          </cell>
          <cell r="G1806">
            <v>200</v>
          </cell>
          <cell r="J1806" t="str">
            <v>CAMPAÑA NUTRIENDO VIDAS</v>
          </cell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</row>
        <row r="1807">
          <cell r="A1807" t="str">
            <v>CAMPAÑA NUTRIENDO VIDAS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J1807" t="str">
            <v>CAMPAÑA NUTRIENDO VIDAS</v>
          </cell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</row>
        <row r="1808">
          <cell r="A1808" t="str">
            <v>CAMPAÑA NUTRIENDO VIDAS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J1808" t="str">
            <v>CAMPAÑA NUTRIENDO VIDAS</v>
          </cell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</row>
        <row r="1809">
          <cell r="A1809" t="str">
            <v>CAMPAÑA NUTRIENDO VIDAS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J1809" t="str">
            <v>CAMPAÑA NUTRIENDO VIDAS</v>
          </cell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>
            <v>0</v>
          </cell>
          <cell r="X1809"/>
          <cell r="Y1809"/>
        </row>
        <row r="1810">
          <cell r="A1810" t="str">
            <v>CAMPAÑA NUTRIENDO VIDAS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J1810" t="str">
            <v>CAMPAÑA NUTRIENDO VIDAS</v>
          </cell>
          <cell r="M1810"/>
          <cell r="N1810"/>
          <cell r="O1810">
            <v>100</v>
          </cell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</row>
        <row r="1811">
          <cell r="A1811" t="str">
            <v>CAMPAÑA NUTRIENDO VIDAS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100</v>
          </cell>
          <cell r="J1811" t="str">
            <v>CAMPAÑA NUTRIENDO VIDAS</v>
          </cell>
          <cell r="M1811"/>
          <cell r="N1811"/>
          <cell r="O1811"/>
          <cell r="P1811"/>
          <cell r="Q1811">
            <v>0</v>
          </cell>
          <cell r="R1811"/>
          <cell r="S1811"/>
          <cell r="T1811"/>
          <cell r="U1811"/>
          <cell r="V1811"/>
          <cell r="W1811"/>
          <cell r="X1811"/>
          <cell r="Y1811"/>
        </row>
        <row r="1812">
          <cell r="A1812" t="str">
            <v>CAMPAÑA NUTRIENDO VIDAS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J1812" t="str">
            <v>CAMPAÑA NUTRIENDO VIDAS</v>
          </cell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>
            <v>195</v>
          </cell>
          <cell r="X1812"/>
          <cell r="Y1812"/>
        </row>
        <row r="1813">
          <cell r="A1813" t="str">
            <v>CAMPAÑA NUTRIENDO VIDAS</v>
          </cell>
          <cell r="C1813">
            <v>195</v>
          </cell>
          <cell r="D1813">
            <v>0</v>
          </cell>
          <cell r="E1813">
            <v>0</v>
          </cell>
          <cell r="F1813">
            <v>0</v>
          </cell>
          <cell r="G1813">
            <v>195</v>
          </cell>
          <cell r="J1813" t="str">
            <v>CAMPAÑA NUTRIENDO VIDAS</v>
          </cell>
          <cell r="M1813"/>
          <cell r="N1813"/>
          <cell r="O1813">
            <v>0</v>
          </cell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</row>
        <row r="1814">
          <cell r="A1814" t="str">
            <v>CAMPAÑA NUTRIENDO VIDAS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J1814" t="str">
            <v>GENTILE - G &amp; H. S.A.</v>
          </cell>
          <cell r="M1814"/>
          <cell r="N1814">
            <v>282</v>
          </cell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</row>
        <row r="1815">
          <cell r="A1815" t="str">
            <v>GENTILE - G &amp; H. S.A.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282</v>
          </cell>
          <cell r="J1815" t="str">
            <v>GENTILE - G &amp; H. S.A.</v>
          </cell>
          <cell r="M1815"/>
          <cell r="N1815">
            <v>467</v>
          </cell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</row>
        <row r="1816">
          <cell r="A1816" t="str">
            <v>GENTILE - G &amp; H. S.A.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467</v>
          </cell>
          <cell r="J1816" t="str">
            <v>GENTILE - G &amp; H. S.A.</v>
          </cell>
          <cell r="M1816"/>
          <cell r="N1816">
            <v>456</v>
          </cell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</row>
        <row r="1817">
          <cell r="A1817" t="str">
            <v>GENTILE - G &amp; H. S.A.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456</v>
          </cell>
          <cell r="J1817" t="str">
            <v>FRANQUICIAS PANAMEÑAS</v>
          </cell>
          <cell r="M1817"/>
          <cell r="N1817"/>
          <cell r="O1817">
            <v>30</v>
          </cell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</row>
        <row r="1818">
          <cell r="A1818" t="str">
            <v>FRANQUICIAS PANAMEÑAS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30</v>
          </cell>
          <cell r="J1818" t="str">
            <v>FRANQUICIAS PANAMEÑAS</v>
          </cell>
          <cell r="M1818"/>
          <cell r="N1818"/>
          <cell r="O1818"/>
          <cell r="P1818">
            <v>102</v>
          </cell>
          <cell r="Q1818"/>
          <cell r="R1818"/>
          <cell r="S1818"/>
          <cell r="T1818"/>
          <cell r="U1818"/>
          <cell r="V1818"/>
          <cell r="W1818"/>
          <cell r="X1818"/>
          <cell r="Y1818"/>
        </row>
        <row r="1819">
          <cell r="A1819" t="str">
            <v>FRANQUICIAS PANAMEÑAS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102</v>
          </cell>
          <cell r="J1819" t="str">
            <v>FRANQUICIAS PANAMEÑAS</v>
          </cell>
          <cell r="M1819"/>
          <cell r="N1819">
            <v>100</v>
          </cell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</row>
        <row r="1820">
          <cell r="A1820" t="str">
            <v>FRANQUICIAS PANAMEÑAS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100</v>
          </cell>
          <cell r="J1820" t="str">
            <v>FRANQUICIAS PANAMEÑAS</v>
          </cell>
          <cell r="M1820"/>
          <cell r="N1820">
            <v>70</v>
          </cell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</row>
        <row r="1821">
          <cell r="A1821" t="str">
            <v>FRANQUICIAS PANAMEÑAS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70</v>
          </cell>
          <cell r="J1821" t="str">
            <v>FRANQUICIAS PANAMEÑAS</v>
          </cell>
          <cell r="M1821"/>
          <cell r="N1821"/>
          <cell r="O1821"/>
          <cell r="P1821"/>
          <cell r="Q1821">
            <v>1060</v>
          </cell>
          <cell r="R1821"/>
          <cell r="S1821"/>
          <cell r="T1821"/>
          <cell r="U1821"/>
          <cell r="V1821"/>
          <cell r="W1821"/>
          <cell r="X1821"/>
          <cell r="Y1821"/>
        </row>
        <row r="1822">
          <cell r="A1822" t="str">
            <v>FRANQUICIAS PANAMEÑAS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1060</v>
          </cell>
          <cell r="J1822" t="str">
            <v>FRANQUICIAS PANAMEÑAS</v>
          </cell>
          <cell r="M1822"/>
          <cell r="N1822">
            <v>250</v>
          </cell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</row>
        <row r="1823">
          <cell r="A1823" t="str">
            <v>FRANQUICIAS PANAMEÑAS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250</v>
          </cell>
          <cell r="J1823" t="str">
            <v>FRANQUICIAS PANAMEÑAS</v>
          </cell>
          <cell r="M1823"/>
          <cell r="N1823"/>
          <cell r="O1823"/>
          <cell r="P1823"/>
          <cell r="Q1823"/>
          <cell r="R1823">
            <v>180</v>
          </cell>
          <cell r="S1823"/>
          <cell r="T1823"/>
          <cell r="U1823"/>
          <cell r="V1823"/>
          <cell r="W1823"/>
          <cell r="X1823"/>
          <cell r="Y1823"/>
        </row>
        <row r="1824">
          <cell r="A1824" t="str">
            <v>FRANQUICIAS PANAMEÑAS</v>
          </cell>
          <cell r="C1824">
            <v>0</v>
          </cell>
          <cell r="D1824">
            <v>0</v>
          </cell>
          <cell r="E1824">
            <v>0</v>
          </cell>
          <cell r="F1824">
            <v>0</v>
          </cell>
          <cell r="G1824">
            <v>180</v>
          </cell>
          <cell r="J1824" t="str">
            <v>FRANQUICIAS PANAMEÑAS</v>
          </cell>
          <cell r="M1824"/>
          <cell r="N1824"/>
          <cell r="O1824"/>
          <cell r="P1824"/>
          <cell r="Q1824"/>
          <cell r="R1824"/>
          <cell r="S1824">
            <v>73</v>
          </cell>
          <cell r="T1824"/>
          <cell r="U1824"/>
          <cell r="V1824"/>
          <cell r="W1824"/>
          <cell r="X1824"/>
          <cell r="Y1824"/>
        </row>
        <row r="1825">
          <cell r="A1825" t="str">
            <v>FRANQUICIAS PANAMEÑAS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73</v>
          </cell>
          <cell r="J1825" t="str">
            <v>FRANQUICIAS PANAMEÑAS</v>
          </cell>
          <cell r="M1825"/>
          <cell r="N1825"/>
          <cell r="O1825">
            <v>65</v>
          </cell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</row>
        <row r="1826">
          <cell r="A1826" t="str">
            <v>FRANQUICIAS PANAMEÑAS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65</v>
          </cell>
          <cell r="J1826" t="str">
            <v>FRANQUICIAS PANAMEÑAS</v>
          </cell>
          <cell r="M1826"/>
          <cell r="N1826"/>
          <cell r="O1826">
            <v>1090</v>
          </cell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</row>
        <row r="1827">
          <cell r="A1827" t="str">
            <v>FRANQUICIAS PANAMEÑAS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1090</v>
          </cell>
          <cell r="J1827" t="str">
            <v>FRANQUICIAS PANAMEÑAS</v>
          </cell>
          <cell r="M1827">
            <v>0</v>
          </cell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</row>
        <row r="1828">
          <cell r="A1828" t="str">
            <v>FRANQUICIAS PANAMEÑAS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J1828" t="str">
            <v>FRANQUICIAS PANAMEÑAS</v>
          </cell>
          <cell r="M1828"/>
          <cell r="N1828">
            <v>282</v>
          </cell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</row>
        <row r="1829">
          <cell r="A1829" t="str">
            <v>FRANQUICIAS PANAMEÑAS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282</v>
          </cell>
          <cell r="J1829" t="str">
            <v>FRANQUICIAS PANAMEÑAS</v>
          </cell>
          <cell r="M1829"/>
          <cell r="N1829">
            <v>467</v>
          </cell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</row>
        <row r="1830">
          <cell r="A1830" t="str">
            <v>FRANQUICIAS PANAMEÑAS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467</v>
          </cell>
          <cell r="J1830" t="str">
            <v>FRANQUICIAS PANAMEÑAS</v>
          </cell>
          <cell r="M1830"/>
          <cell r="N1830">
            <v>38</v>
          </cell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</row>
        <row r="1831">
          <cell r="A1831" t="str">
            <v>FRANQUICIAS PANAMEÑAS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38</v>
          </cell>
          <cell r="J1831" t="str">
            <v>FRANQUICIAS PANAMEÑAS</v>
          </cell>
          <cell r="M1831"/>
          <cell r="N1831">
            <v>243</v>
          </cell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</row>
        <row r="1832">
          <cell r="A1832" t="str">
            <v>FRANQUICIAS PANAMEÑAS</v>
          </cell>
          <cell r="C1832">
            <v>0</v>
          </cell>
          <cell r="D1832">
            <v>13</v>
          </cell>
          <cell r="E1832">
            <v>37</v>
          </cell>
          <cell r="F1832">
            <v>28</v>
          </cell>
          <cell r="G1832">
            <v>243</v>
          </cell>
          <cell r="J1832" t="str">
            <v>FRANQUICIAS PANAMEÑAS</v>
          </cell>
          <cell r="M1832"/>
          <cell r="N1832">
            <v>130</v>
          </cell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</row>
        <row r="1833">
          <cell r="A1833" t="str">
            <v>FRANQUICIAS PANAMEÑAS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130</v>
          </cell>
          <cell r="J1833" t="str">
            <v>FRANQUICIAS PANAMEÑAS</v>
          </cell>
          <cell r="M1833"/>
          <cell r="N1833">
            <v>62</v>
          </cell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</row>
        <row r="1834">
          <cell r="A1834" t="str">
            <v>FRANQUICIAS PANAMEÑAS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62</v>
          </cell>
          <cell r="J1834" t="str">
            <v>FRANQUICIAS PANAMEÑAS</v>
          </cell>
          <cell r="M1834"/>
          <cell r="N1834"/>
          <cell r="O1834">
            <v>116</v>
          </cell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</row>
        <row r="1835">
          <cell r="A1835" t="str">
            <v>FRANQUICIAS PANAMEÑAS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116</v>
          </cell>
          <cell r="J1835" t="str">
            <v>FRANQUICIAS PANAMEÑAS</v>
          </cell>
          <cell r="M1835"/>
          <cell r="N1835"/>
          <cell r="O1835"/>
          <cell r="P1835"/>
          <cell r="Q1835"/>
          <cell r="R1835"/>
          <cell r="S1835">
            <v>211</v>
          </cell>
          <cell r="T1835"/>
          <cell r="U1835"/>
          <cell r="V1835"/>
          <cell r="W1835"/>
          <cell r="X1835"/>
          <cell r="Y1835"/>
        </row>
        <row r="1836">
          <cell r="A1836" t="str">
            <v>FRANQUICIAS PANAMEÑAS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211</v>
          </cell>
          <cell r="J1836" t="str">
            <v>FRANQUICIAS PANAMEÑAS</v>
          </cell>
          <cell r="M1836">
            <v>100</v>
          </cell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</row>
        <row r="1837">
          <cell r="A1837" t="str">
            <v>FRANQUICIAS PANAMEÑAS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100</v>
          </cell>
          <cell r="J1837" t="str">
            <v>FRANQUICIAS PANAMEÑAS</v>
          </cell>
          <cell r="M1837"/>
          <cell r="N1837">
            <v>264</v>
          </cell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</row>
        <row r="1838">
          <cell r="A1838" t="str">
            <v>FRANQUICIAS PANAMEÑAS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264</v>
          </cell>
          <cell r="J1838" t="str">
            <v>FRANQUICIAS PANAMEÑAS</v>
          </cell>
          <cell r="M1838"/>
          <cell r="N1838"/>
          <cell r="O1838"/>
          <cell r="P1838"/>
          <cell r="Q1838"/>
          <cell r="R1838"/>
          <cell r="S1838">
            <v>55</v>
          </cell>
          <cell r="T1838"/>
          <cell r="U1838"/>
          <cell r="V1838"/>
          <cell r="W1838"/>
          <cell r="X1838"/>
          <cell r="Y1838"/>
        </row>
        <row r="1839">
          <cell r="A1839" t="str">
            <v>FRANQUICIAS PANAMEÑAS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55</v>
          </cell>
          <cell r="J1839" t="str">
            <v>FRANQUICIAS PANAMEÑAS</v>
          </cell>
          <cell r="M1839"/>
          <cell r="N1839"/>
          <cell r="O1839"/>
          <cell r="P1839"/>
          <cell r="Q1839">
            <v>57</v>
          </cell>
          <cell r="R1839"/>
          <cell r="S1839"/>
          <cell r="T1839"/>
          <cell r="U1839"/>
          <cell r="V1839"/>
          <cell r="W1839"/>
          <cell r="X1839"/>
          <cell r="Y1839"/>
        </row>
        <row r="1840">
          <cell r="A1840" t="str">
            <v>FRANQUICIAS PANAMEÑAS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57</v>
          </cell>
          <cell r="J1840" t="str">
            <v>FRANQUICIAS PANAMEÑAS</v>
          </cell>
          <cell r="M1840"/>
          <cell r="N1840"/>
          <cell r="O1840"/>
          <cell r="P1840"/>
          <cell r="Q1840"/>
          <cell r="R1840"/>
          <cell r="S1840">
            <v>179</v>
          </cell>
          <cell r="T1840"/>
          <cell r="U1840"/>
          <cell r="V1840"/>
          <cell r="W1840"/>
          <cell r="X1840"/>
          <cell r="Y1840"/>
        </row>
        <row r="1841">
          <cell r="A1841" t="str">
            <v>FRANQUICIAS PANAMEÑAS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179</v>
          </cell>
          <cell r="J1841" t="str">
            <v>FRANQUICIAS PANAMEÑAS</v>
          </cell>
          <cell r="M1841"/>
          <cell r="N1841">
            <v>50</v>
          </cell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</row>
        <row r="1842">
          <cell r="A1842" t="str">
            <v>FRANQUICIAS PANAMEÑAS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50</v>
          </cell>
          <cell r="J1842" t="str">
            <v>FRANQUICIAS PANAMEÑAS</v>
          </cell>
          <cell r="M1842"/>
          <cell r="N1842">
            <v>162</v>
          </cell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</row>
        <row r="1843">
          <cell r="A1843" t="str">
            <v>FRANQUICIAS PANAMEÑAS</v>
          </cell>
          <cell r="C1843">
            <v>162</v>
          </cell>
          <cell r="D1843">
            <v>0</v>
          </cell>
          <cell r="E1843">
            <v>0</v>
          </cell>
          <cell r="F1843">
            <v>0</v>
          </cell>
          <cell r="G1843">
            <v>162</v>
          </cell>
          <cell r="J1843" t="str">
            <v>FRANQUICIAS PANAMEÑAS</v>
          </cell>
          <cell r="M1843"/>
          <cell r="N1843">
            <v>86</v>
          </cell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</row>
        <row r="1844">
          <cell r="A1844" t="str">
            <v>FRANQUICIAS PANAMEÑAS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86</v>
          </cell>
          <cell r="J1844" t="str">
            <v>FRANQUICIAS PANAMEÑAS</v>
          </cell>
          <cell r="M1844">
            <v>201</v>
          </cell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</row>
        <row r="1845">
          <cell r="A1845" t="str">
            <v>FRANQUICIAS PANAMEÑAS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201</v>
          </cell>
          <cell r="J1845" t="str">
            <v>FRANQUICIAS PANAMEÑAS</v>
          </cell>
          <cell r="M1845"/>
          <cell r="N1845"/>
          <cell r="O1845"/>
          <cell r="P1845"/>
          <cell r="Q1845"/>
          <cell r="R1845">
            <v>181</v>
          </cell>
          <cell r="S1845"/>
          <cell r="T1845"/>
          <cell r="U1845"/>
          <cell r="V1845"/>
          <cell r="W1845"/>
          <cell r="X1845"/>
          <cell r="Y1845"/>
        </row>
        <row r="1846">
          <cell r="A1846" t="str">
            <v>FRANQUICIAS PANAMEÑAS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181</v>
          </cell>
          <cell r="J1846" t="str">
            <v>FRANQUICIAS PANAMEÑAS</v>
          </cell>
          <cell r="M1846">
            <v>150</v>
          </cell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</row>
        <row r="1847">
          <cell r="A1847" t="str">
            <v>FRANQUICIAS PANAMEÑAS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150</v>
          </cell>
          <cell r="J1847" t="str">
            <v>FRANQUICIAS PANAMEÑAS</v>
          </cell>
          <cell r="M1847"/>
          <cell r="N1847"/>
          <cell r="O1847">
            <v>1200</v>
          </cell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</row>
        <row r="1848">
          <cell r="A1848" t="str">
            <v>FRANQUICIAS PANAMEÑAS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1200</v>
          </cell>
          <cell r="J1848" t="str">
            <v>FRANQUICIAS PANAMEÑAS</v>
          </cell>
          <cell r="M1848"/>
          <cell r="N1848">
            <v>20</v>
          </cell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</row>
        <row r="1849">
          <cell r="A1849" t="str">
            <v>FRANQUICIAS PANAMEÑAS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20</v>
          </cell>
          <cell r="J1849" t="str">
            <v>FRANQUICIAS PANAMEÑAS</v>
          </cell>
          <cell r="M1849">
            <v>390</v>
          </cell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</row>
        <row r="1850">
          <cell r="A1850" t="str">
            <v>FRANQUICIAS PANAMEÑAS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390</v>
          </cell>
          <cell r="J1850" t="str">
            <v>FRANQUICIAS PANAMEÑAS</v>
          </cell>
          <cell r="M1850"/>
          <cell r="N1850"/>
          <cell r="O1850">
            <v>410</v>
          </cell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</row>
        <row r="1851">
          <cell r="A1851" t="str">
            <v>FRANQUICIAS PANAMEÑAS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410</v>
          </cell>
          <cell r="J1851" t="str">
            <v>FRANQUICIAS PANAMEÑAS</v>
          </cell>
          <cell r="M1851"/>
          <cell r="N1851">
            <v>250</v>
          </cell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</row>
        <row r="1852">
          <cell r="A1852" t="str">
            <v>FRANQUICIAS PANAMEÑAS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250</v>
          </cell>
          <cell r="J1852" t="str">
            <v>FRANQUICIAS PANAMEÑAS</v>
          </cell>
          <cell r="M1852"/>
          <cell r="N1852">
            <v>356</v>
          </cell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</row>
        <row r="1853">
          <cell r="A1853" t="str">
            <v>FRANQUICIAS PANAMEÑAS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356</v>
          </cell>
          <cell r="J1853" t="str">
            <v>FRANQUICIAS PANAMEÑAS</v>
          </cell>
          <cell r="M1853"/>
          <cell r="N1853">
            <v>84</v>
          </cell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</row>
        <row r="1854">
          <cell r="A1854" t="str">
            <v>FRANQUICIAS PANAMEÑAS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84</v>
          </cell>
          <cell r="J1854" t="str">
            <v>FRANQUICIAS PANAMEÑAS</v>
          </cell>
          <cell r="M1854"/>
          <cell r="N1854">
            <v>230</v>
          </cell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</row>
        <row r="1855">
          <cell r="A1855" t="str">
            <v>FRANQUICIAS PANAMEÑAS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230</v>
          </cell>
          <cell r="J1855" t="str">
            <v>FRANQUICIAS PANAMEÑAS</v>
          </cell>
          <cell r="M1855"/>
          <cell r="N1855">
            <v>456</v>
          </cell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</row>
        <row r="1856">
          <cell r="A1856" t="str">
            <v>FRANQUICIAS PANAMEÑAS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456</v>
          </cell>
          <cell r="J1856" t="str">
            <v>FRANQUICIAS PANAMEÑAS</v>
          </cell>
          <cell r="M1856"/>
          <cell r="N1856">
            <v>251</v>
          </cell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</row>
        <row r="1857">
          <cell r="A1857" t="str">
            <v>FRANQUICIAS PANAMEÑAS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251</v>
          </cell>
          <cell r="J1857" t="str">
            <v>FRANQUICIAS PANAMEÑAS</v>
          </cell>
          <cell r="M1857"/>
          <cell r="N1857">
            <v>60</v>
          </cell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</row>
        <row r="1858">
          <cell r="A1858" t="str">
            <v>FRANQUICIAS PANAMEÑAS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60</v>
          </cell>
          <cell r="J1858" t="str">
            <v>FRANQUICIAS PANAMEÑAS</v>
          </cell>
          <cell r="M1858"/>
          <cell r="N1858">
            <v>75</v>
          </cell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</row>
        <row r="1859">
          <cell r="A1859" t="str">
            <v>FRANQUICIAS PANAMEÑAS</v>
          </cell>
          <cell r="C1859">
            <v>0</v>
          </cell>
          <cell r="D1859">
            <v>0</v>
          </cell>
          <cell r="E1859">
            <v>0</v>
          </cell>
          <cell r="F1859">
            <v>0</v>
          </cell>
          <cell r="G1859">
            <v>75</v>
          </cell>
          <cell r="J1859" t="str">
            <v>FRANQUICIAS PANAMEÑAS</v>
          </cell>
          <cell r="M1859"/>
          <cell r="N1859"/>
          <cell r="O1859">
            <v>1017</v>
          </cell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</row>
        <row r="1860">
          <cell r="A1860" t="str">
            <v>FRANQUICIAS PANAMEÑAS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1017</v>
          </cell>
          <cell r="J1860" t="str">
            <v>FRANQUICIAS PANAMEÑAS</v>
          </cell>
          <cell r="M1860"/>
          <cell r="N1860">
            <v>107</v>
          </cell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</row>
        <row r="1861">
          <cell r="A1861" t="str">
            <v>FRANQUICIAS PANAMEÑAS</v>
          </cell>
          <cell r="C1861">
            <v>0</v>
          </cell>
          <cell r="D1861">
            <v>0</v>
          </cell>
          <cell r="E1861">
            <v>0</v>
          </cell>
          <cell r="F1861">
            <v>0</v>
          </cell>
          <cell r="G1861">
            <v>107</v>
          </cell>
          <cell r="J1861" t="str">
            <v>FRANQUICIAS PANAMEÑAS</v>
          </cell>
          <cell r="M1861"/>
          <cell r="N1861">
            <v>50</v>
          </cell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</row>
        <row r="1862">
          <cell r="A1862" t="str">
            <v>FRANQUICIAS PANAMEÑAS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50</v>
          </cell>
          <cell r="J1862" t="str">
            <v>FRANQUICIAS PANAMEÑAS</v>
          </cell>
          <cell r="M1862"/>
          <cell r="N1862"/>
          <cell r="O1862"/>
          <cell r="P1862"/>
          <cell r="Q1862"/>
          <cell r="R1862"/>
          <cell r="S1862">
            <v>152</v>
          </cell>
          <cell r="T1862"/>
          <cell r="U1862"/>
          <cell r="V1862"/>
          <cell r="W1862"/>
          <cell r="X1862"/>
          <cell r="Y1862"/>
        </row>
        <row r="1863">
          <cell r="A1863" t="str">
            <v>FRANQUICIAS PANAMEÑAS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152</v>
          </cell>
          <cell r="J1863" t="str">
            <v>FRANQUICIAS PANAMEÑAS</v>
          </cell>
          <cell r="M1863"/>
          <cell r="N1863"/>
          <cell r="O1863"/>
          <cell r="P1863"/>
          <cell r="Q1863">
            <v>60</v>
          </cell>
          <cell r="R1863"/>
          <cell r="S1863"/>
          <cell r="T1863"/>
          <cell r="U1863"/>
          <cell r="V1863"/>
          <cell r="W1863"/>
          <cell r="X1863"/>
          <cell r="Y1863"/>
        </row>
        <row r="1864">
          <cell r="A1864" t="str">
            <v>FRANQUICIAS PANAMEÑAS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60</v>
          </cell>
          <cell r="J1864" t="str">
            <v>FRANQUICIAS PANAMEÑAS</v>
          </cell>
          <cell r="M1864">
            <v>400</v>
          </cell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</row>
        <row r="1865">
          <cell r="A1865" t="str">
            <v>FRANQUICIAS PANAMEÑAS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400</v>
          </cell>
          <cell r="J1865" t="str">
            <v>FRANQUICIAS PANAMEÑAS</v>
          </cell>
          <cell r="M1865"/>
          <cell r="N1865"/>
          <cell r="O1865"/>
          <cell r="P1865"/>
          <cell r="Q1865"/>
          <cell r="R1865">
            <v>31</v>
          </cell>
          <cell r="S1865"/>
          <cell r="T1865"/>
          <cell r="U1865"/>
          <cell r="V1865"/>
          <cell r="W1865"/>
          <cell r="X1865"/>
          <cell r="Y1865"/>
        </row>
        <row r="1866">
          <cell r="A1866" t="str">
            <v>FRANQUICIAS PANAMEÑAS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31</v>
          </cell>
          <cell r="J1866" t="str">
            <v>FRANQUICIAS PANAMEÑAS</v>
          </cell>
          <cell r="M1866"/>
          <cell r="N1866"/>
          <cell r="O1866"/>
          <cell r="P1866"/>
          <cell r="Q1866">
            <v>496</v>
          </cell>
          <cell r="R1866"/>
          <cell r="S1866"/>
          <cell r="T1866"/>
          <cell r="U1866"/>
          <cell r="V1866"/>
          <cell r="W1866"/>
          <cell r="X1866"/>
          <cell r="Y1866"/>
        </row>
        <row r="1867">
          <cell r="A1867" t="str">
            <v>FRANQUICIAS PANAMEÑAS</v>
          </cell>
          <cell r="C1867">
            <v>73</v>
          </cell>
          <cell r="D1867">
            <v>0</v>
          </cell>
          <cell r="E1867">
            <v>0</v>
          </cell>
          <cell r="F1867">
            <v>0</v>
          </cell>
          <cell r="G1867">
            <v>496</v>
          </cell>
          <cell r="J1867" t="str">
            <v>FRANQUICIAS PANAMEÑAS</v>
          </cell>
          <cell r="M1867"/>
          <cell r="N1867"/>
          <cell r="O1867"/>
          <cell r="P1867"/>
          <cell r="Q1867">
            <v>4560</v>
          </cell>
          <cell r="R1867"/>
          <cell r="S1867"/>
          <cell r="T1867"/>
          <cell r="U1867"/>
          <cell r="V1867"/>
          <cell r="W1867"/>
          <cell r="X1867"/>
          <cell r="Y1867"/>
        </row>
        <row r="1868">
          <cell r="A1868" t="str">
            <v>FRANQUICIAS PANAMEÑAS</v>
          </cell>
          <cell r="C1868">
            <v>0</v>
          </cell>
          <cell r="D1868">
            <v>680</v>
          </cell>
          <cell r="E1868">
            <v>450</v>
          </cell>
          <cell r="F1868">
            <v>450</v>
          </cell>
          <cell r="G1868">
            <v>4560</v>
          </cell>
          <cell r="J1868" t="str">
            <v>FRANQUICIAS PANAMEÑAS</v>
          </cell>
          <cell r="M1868">
            <v>400</v>
          </cell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</row>
        <row r="1869">
          <cell r="A1869" t="str">
            <v>FRANQUICIAS PANAMEÑAS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400</v>
          </cell>
          <cell r="J1869" t="str">
            <v>FRANQUICIAS PANAMEÑAS</v>
          </cell>
          <cell r="M1869"/>
          <cell r="N1869"/>
          <cell r="O1869">
            <v>34</v>
          </cell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</row>
        <row r="1870">
          <cell r="A1870" t="str">
            <v>FRANQUICIAS PANAMEÑAS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34</v>
          </cell>
          <cell r="J1870" t="str">
            <v>FRANQUICIAS PANAMEÑAS</v>
          </cell>
          <cell r="M1870">
            <v>100</v>
          </cell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</row>
        <row r="1871">
          <cell r="A1871" t="str">
            <v>FRANQUICIAS PANAMEÑAS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100</v>
          </cell>
          <cell r="J1871" t="str">
            <v>FRANQUICIAS PANAMEÑAS</v>
          </cell>
          <cell r="M1871"/>
          <cell r="N1871"/>
          <cell r="O1871"/>
          <cell r="P1871"/>
          <cell r="Q1871"/>
          <cell r="R1871"/>
          <cell r="S1871">
            <v>96</v>
          </cell>
          <cell r="T1871"/>
          <cell r="U1871"/>
          <cell r="V1871"/>
          <cell r="W1871"/>
          <cell r="X1871"/>
          <cell r="Y1871"/>
        </row>
        <row r="1872">
          <cell r="A1872" t="str">
            <v>FRANQUICIAS PANAMEÑAS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96</v>
          </cell>
          <cell r="J1872" t="str">
            <v>FRANQUICIAS PANAMEÑAS</v>
          </cell>
          <cell r="M1872"/>
          <cell r="N1872">
            <v>230</v>
          </cell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</row>
        <row r="1873">
          <cell r="A1873" t="str">
            <v>FRANQUICIAS PANAMEÑAS</v>
          </cell>
          <cell r="C1873">
            <v>0</v>
          </cell>
          <cell r="D1873">
            <v>0</v>
          </cell>
          <cell r="E1873">
            <v>0</v>
          </cell>
          <cell r="F1873">
            <v>0</v>
          </cell>
          <cell r="G1873">
            <v>230</v>
          </cell>
          <cell r="J1873" t="str">
            <v>FRANQUICIAS PANAMEÑAS</v>
          </cell>
          <cell r="M1873"/>
          <cell r="N1873">
            <v>97</v>
          </cell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</row>
        <row r="1874">
          <cell r="A1874" t="str">
            <v>FRANQUICIAS PANAMEÑAS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97</v>
          </cell>
          <cell r="J1874" t="str">
            <v>FRANQUICIAS PANAMEÑAS</v>
          </cell>
          <cell r="M1874">
            <v>77</v>
          </cell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</row>
        <row r="1875">
          <cell r="A1875" t="str">
            <v>FRANQUICIAS PANAMEÑAS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77</v>
          </cell>
          <cell r="J1875" t="str">
            <v>FRANQUICIAS PANAMEÑAS</v>
          </cell>
          <cell r="M1875"/>
          <cell r="N1875">
            <v>130</v>
          </cell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</row>
        <row r="1876">
          <cell r="A1876" t="str">
            <v>FRANQUICIAS PANAMEÑAS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130</v>
          </cell>
          <cell r="J1876" t="str">
            <v>FRANQUICIAS PANAMEÑAS</v>
          </cell>
          <cell r="M1876"/>
          <cell r="N1876"/>
          <cell r="O1876"/>
          <cell r="P1876"/>
          <cell r="Q1876"/>
          <cell r="R1876"/>
          <cell r="S1876">
            <v>40</v>
          </cell>
          <cell r="T1876"/>
          <cell r="U1876"/>
          <cell r="V1876"/>
          <cell r="W1876"/>
          <cell r="X1876"/>
          <cell r="Y1876"/>
        </row>
        <row r="1877">
          <cell r="A1877" t="str">
            <v>FRANQUICIAS PANAMEÑAS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40</v>
          </cell>
          <cell r="J1877" t="str">
            <v>FRANQUICIAS PANAMEÑAS</v>
          </cell>
          <cell r="M1877">
            <v>125</v>
          </cell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</row>
        <row r="1878">
          <cell r="A1878" t="str">
            <v>FRANQUICIAS PANAMEÑAS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125</v>
          </cell>
          <cell r="J1878" t="str">
            <v>FRANQUICIAS PANAMEÑAS</v>
          </cell>
          <cell r="M1878"/>
          <cell r="N1878"/>
          <cell r="O1878">
            <v>0</v>
          </cell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</row>
        <row r="1879">
          <cell r="A1879" t="str">
            <v>FRANQUICIAS PANAMEÑAS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J1879" t="str">
            <v>FRANQUICIAS PANAMEÑAS</v>
          </cell>
          <cell r="M1879">
            <v>0</v>
          </cell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</row>
        <row r="1880">
          <cell r="A1880" t="str">
            <v>FRANQUICIAS PANAMEÑAS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J1880" t="str">
            <v>FRANQUICIAS PANAMEÑAS</v>
          </cell>
          <cell r="M1880"/>
          <cell r="N1880"/>
          <cell r="O1880"/>
          <cell r="P1880"/>
          <cell r="Q1880"/>
          <cell r="R1880"/>
          <cell r="S1880">
            <v>150</v>
          </cell>
          <cell r="T1880"/>
          <cell r="U1880"/>
          <cell r="V1880"/>
          <cell r="W1880"/>
          <cell r="X1880"/>
          <cell r="Y1880"/>
        </row>
        <row r="1881">
          <cell r="A1881" t="str">
            <v>FRANQUICIAS PANAMEÑAS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150</v>
          </cell>
          <cell r="J1881" t="str">
            <v>FRANQUICIAS PANAMEÑAS</v>
          </cell>
          <cell r="M1881"/>
          <cell r="N1881"/>
          <cell r="O1881"/>
          <cell r="P1881"/>
          <cell r="Q1881"/>
          <cell r="R1881"/>
          <cell r="S1881">
            <v>1190</v>
          </cell>
          <cell r="T1881"/>
          <cell r="U1881"/>
          <cell r="V1881"/>
          <cell r="W1881"/>
          <cell r="X1881"/>
          <cell r="Y1881"/>
        </row>
        <row r="1882">
          <cell r="A1882" t="str">
            <v>FRANQUICIAS PANAMEÑAS</v>
          </cell>
          <cell r="C1882">
            <v>1190</v>
          </cell>
          <cell r="D1882">
            <v>0</v>
          </cell>
          <cell r="E1882">
            <v>0</v>
          </cell>
          <cell r="F1882">
            <v>0</v>
          </cell>
          <cell r="G1882">
            <v>1190</v>
          </cell>
          <cell r="J1882" t="str">
            <v>FRANQUICIAS PANAMEÑAS</v>
          </cell>
          <cell r="M1882">
            <v>265</v>
          </cell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</row>
        <row r="1883">
          <cell r="A1883" t="str">
            <v>FRANQUICIAS PANAMEÑAS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265</v>
          </cell>
          <cell r="J1883" t="str">
            <v>FRANQUICIAS PANAMEÑAS</v>
          </cell>
          <cell r="M1883"/>
          <cell r="N1883">
            <v>110</v>
          </cell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</row>
        <row r="1884">
          <cell r="A1884" t="str">
            <v>FRANQUICIAS PANAMEÑAS</v>
          </cell>
          <cell r="C1884">
            <v>0</v>
          </cell>
          <cell r="D1884">
            <v>35</v>
          </cell>
          <cell r="E1884">
            <v>0</v>
          </cell>
          <cell r="F1884">
            <v>0</v>
          </cell>
          <cell r="G1884">
            <v>110</v>
          </cell>
          <cell r="J1884" t="str">
            <v>FRANQUICIAS PANAMEÑAS</v>
          </cell>
          <cell r="M1884">
            <v>1300</v>
          </cell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</row>
        <row r="1885">
          <cell r="A1885" t="str">
            <v>FRANQUICIAS PANAMEÑAS</v>
          </cell>
          <cell r="C1885">
            <v>100</v>
          </cell>
          <cell r="D1885">
            <v>0</v>
          </cell>
          <cell r="E1885">
            <v>0</v>
          </cell>
          <cell r="F1885">
            <v>0</v>
          </cell>
          <cell r="G1885">
            <v>1300</v>
          </cell>
          <cell r="J1885" t="str">
            <v>FRANQUICIAS PANAMEÑAS</v>
          </cell>
          <cell r="M1885">
            <v>52</v>
          </cell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</row>
        <row r="1886">
          <cell r="A1886" t="str">
            <v>FRANQUICIAS PANAMEÑAS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52</v>
          </cell>
          <cell r="J1886" t="str">
            <v>FRANQUICIAS PANAMEÑAS</v>
          </cell>
          <cell r="M1886">
            <v>50</v>
          </cell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</row>
        <row r="1887">
          <cell r="A1887" t="str">
            <v>FRANQUICIAS PANAMEÑAS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50</v>
          </cell>
          <cell r="J1887" t="str">
            <v>FRANQUICIAS PANAMEÑAS</v>
          </cell>
          <cell r="M1887"/>
          <cell r="N1887">
            <v>0</v>
          </cell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</row>
        <row r="1888">
          <cell r="A1888" t="str">
            <v>FRANQUICIAS PANAMEÑAS</v>
          </cell>
          <cell r="C1888">
            <v>0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J1888" t="str">
            <v>PEDERSEN FINE FOODS, S.A</v>
          </cell>
          <cell r="M1888"/>
          <cell r="N1888"/>
          <cell r="O1888">
            <v>30</v>
          </cell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</row>
        <row r="1889">
          <cell r="A1889" t="str">
            <v>PEDERSEN FINE FOODS, S.A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30</v>
          </cell>
          <cell r="J1889" t="str">
            <v>PEDERSEN FINE FOODS, S.A</v>
          </cell>
          <cell r="M1889"/>
          <cell r="N1889">
            <v>100</v>
          </cell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</row>
        <row r="1890">
          <cell r="A1890" t="str">
            <v>PEDERSEN FINE FOODS, S.A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100</v>
          </cell>
          <cell r="J1890" t="str">
            <v>PEDERSEN FINE FOODS, S.A</v>
          </cell>
          <cell r="M1890"/>
          <cell r="N1890"/>
          <cell r="O1890"/>
          <cell r="P1890"/>
          <cell r="Q1890"/>
          <cell r="R1890"/>
          <cell r="S1890">
            <v>211</v>
          </cell>
          <cell r="T1890"/>
          <cell r="U1890"/>
          <cell r="V1890"/>
          <cell r="W1890"/>
          <cell r="X1890"/>
          <cell r="Y1890"/>
        </row>
        <row r="1891">
          <cell r="A1891" t="str">
            <v>PEDERSEN FINE FOODS, S.A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211</v>
          </cell>
          <cell r="J1891" t="str">
            <v>PEDERSEN FINE FOODS, S.A</v>
          </cell>
          <cell r="M1891"/>
          <cell r="N1891">
            <v>50</v>
          </cell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</row>
        <row r="1892">
          <cell r="A1892" t="str">
            <v>PEDERSEN FINE FOODS, S.A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50</v>
          </cell>
          <cell r="J1892" t="str">
            <v>PEDERSEN FINE FOODS, S.A</v>
          </cell>
          <cell r="M1892"/>
          <cell r="N1892">
            <v>20</v>
          </cell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</row>
        <row r="1893">
          <cell r="A1893" t="str">
            <v>PEDERSEN FINE FOODS, S.A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20</v>
          </cell>
          <cell r="J1893" t="str">
            <v>PEDERSEN FINE FOODS, S.A</v>
          </cell>
          <cell r="M1893">
            <v>390</v>
          </cell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</row>
        <row r="1894">
          <cell r="A1894" t="str">
            <v>PEDERSEN FINE FOODS, S.A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390</v>
          </cell>
          <cell r="J1894" t="str">
            <v>PEDERSEN FINE FOODS, S.A</v>
          </cell>
          <cell r="M1894"/>
          <cell r="N1894"/>
          <cell r="O1894">
            <v>140</v>
          </cell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</row>
        <row r="1895">
          <cell r="A1895" t="str">
            <v>PEDERSEN FINE FOODS, S.A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140</v>
          </cell>
          <cell r="J1895" t="str">
            <v>PEDERSEN FINE FOODS, S.A</v>
          </cell>
          <cell r="M1895"/>
          <cell r="N1895">
            <v>60</v>
          </cell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</row>
        <row r="1896">
          <cell r="A1896" t="str">
            <v>PEDERSEN FINE FOODS, S.A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60</v>
          </cell>
          <cell r="J1896" t="str">
            <v>PEDERSEN FINE FOODS, S.A</v>
          </cell>
          <cell r="M1896"/>
          <cell r="N1896"/>
          <cell r="O1896"/>
          <cell r="P1896"/>
          <cell r="Q1896">
            <v>83</v>
          </cell>
          <cell r="R1896"/>
          <cell r="S1896"/>
          <cell r="T1896"/>
          <cell r="U1896"/>
          <cell r="V1896"/>
          <cell r="W1896"/>
          <cell r="X1896"/>
          <cell r="Y1896"/>
        </row>
        <row r="1897">
          <cell r="A1897" t="str">
            <v>PEDERSEN FINE FOODS, S.A</v>
          </cell>
          <cell r="C1897">
            <v>0</v>
          </cell>
          <cell r="D1897">
            <v>0</v>
          </cell>
          <cell r="E1897">
            <v>0</v>
          </cell>
          <cell r="F1897">
            <v>0</v>
          </cell>
          <cell r="G1897">
            <v>83</v>
          </cell>
          <cell r="J1897" t="str">
            <v>PEDERSEN FINE FOODS, S.A</v>
          </cell>
          <cell r="M1897"/>
          <cell r="N1897"/>
          <cell r="O1897"/>
          <cell r="P1897"/>
          <cell r="Q1897">
            <v>496</v>
          </cell>
          <cell r="R1897"/>
          <cell r="S1897"/>
          <cell r="T1897"/>
          <cell r="U1897"/>
          <cell r="V1897"/>
          <cell r="W1897"/>
          <cell r="X1897"/>
          <cell r="Y1897"/>
        </row>
        <row r="1898">
          <cell r="A1898" t="str">
            <v>PEDERSEN FINE FOODS, S.A</v>
          </cell>
          <cell r="C1898">
            <v>73</v>
          </cell>
          <cell r="D1898">
            <v>0</v>
          </cell>
          <cell r="E1898">
            <v>0</v>
          </cell>
          <cell r="F1898">
            <v>0</v>
          </cell>
          <cell r="G1898">
            <v>496</v>
          </cell>
          <cell r="J1898" t="str">
            <v>PEDERSEN FINE FOODS, S.A</v>
          </cell>
          <cell r="M1898">
            <v>100</v>
          </cell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</row>
        <row r="1899">
          <cell r="A1899" t="str">
            <v>PEDERSEN FINE FOODS, S.A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100</v>
          </cell>
          <cell r="J1899" t="str">
            <v>PEDERSEN FINE FOODS, S.A</v>
          </cell>
          <cell r="M1899"/>
          <cell r="N1899"/>
          <cell r="O1899"/>
          <cell r="P1899"/>
          <cell r="Q1899"/>
          <cell r="R1899"/>
          <cell r="S1899">
            <v>96</v>
          </cell>
          <cell r="T1899"/>
          <cell r="U1899"/>
          <cell r="V1899"/>
          <cell r="W1899"/>
          <cell r="X1899"/>
          <cell r="Y1899"/>
        </row>
        <row r="1900">
          <cell r="A1900" t="str">
            <v>PEDERSEN FINE FOODS, S.A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96</v>
          </cell>
          <cell r="J1900" t="str">
            <v>PEDERSEN FINE FOODS, S.A</v>
          </cell>
          <cell r="M1900">
            <v>350</v>
          </cell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</row>
        <row r="1901">
          <cell r="A1901" t="str">
            <v>PEDERSEN FINE FOODS, S.A</v>
          </cell>
          <cell r="C1901">
            <v>200</v>
          </cell>
          <cell r="D1901">
            <v>25</v>
          </cell>
          <cell r="E1901">
            <v>100</v>
          </cell>
          <cell r="F1901">
            <v>25</v>
          </cell>
          <cell r="G1901">
            <v>350</v>
          </cell>
          <cell r="J1901" t="str">
            <v>PEDERSEN FINE FOODS, S.A</v>
          </cell>
          <cell r="M1901"/>
          <cell r="N1901"/>
          <cell r="O1901"/>
          <cell r="P1901"/>
          <cell r="Q1901"/>
          <cell r="R1901"/>
          <cell r="S1901">
            <v>56</v>
          </cell>
          <cell r="T1901"/>
          <cell r="U1901"/>
          <cell r="V1901"/>
          <cell r="W1901"/>
          <cell r="X1901"/>
          <cell r="Y1901"/>
        </row>
        <row r="1902">
          <cell r="A1902" t="str">
            <v>PEDERSEN FINE FOODS, S.A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56</v>
          </cell>
          <cell r="J1902" t="str">
            <v>PEDERSEN FINE FOODS, S.A</v>
          </cell>
          <cell r="M1902"/>
          <cell r="N1902"/>
          <cell r="O1902"/>
          <cell r="P1902"/>
          <cell r="Q1902"/>
          <cell r="R1902"/>
          <cell r="S1902">
            <v>40</v>
          </cell>
          <cell r="T1902"/>
          <cell r="U1902"/>
          <cell r="V1902"/>
          <cell r="W1902"/>
          <cell r="X1902"/>
          <cell r="Y1902"/>
        </row>
        <row r="1903">
          <cell r="A1903" t="str">
            <v>PEDERSEN FINE FOODS, S.A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40</v>
          </cell>
          <cell r="J1903" t="str">
            <v>PEDERSEN FINE FOODS, S.A</v>
          </cell>
          <cell r="M1903"/>
          <cell r="N1903"/>
          <cell r="O1903">
            <v>0</v>
          </cell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</row>
        <row r="1904">
          <cell r="A1904" t="str">
            <v>PEDERSEN FINE FOODS, S.A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J1904" t="str">
            <v>PEDERSEN FINE FOODS, S.A</v>
          </cell>
          <cell r="M1904">
            <v>0</v>
          </cell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</row>
        <row r="1905">
          <cell r="A1905" t="str">
            <v>PEDERSEN FINE FOODS, S.A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J1905" t="str">
            <v>PEDERSEN FINE FOODS, S.A</v>
          </cell>
          <cell r="M1905"/>
          <cell r="N1905"/>
          <cell r="O1905"/>
          <cell r="P1905"/>
          <cell r="Q1905"/>
          <cell r="R1905"/>
          <cell r="S1905">
            <v>150</v>
          </cell>
          <cell r="T1905"/>
          <cell r="U1905"/>
          <cell r="V1905"/>
          <cell r="W1905"/>
          <cell r="X1905"/>
          <cell r="Y1905"/>
        </row>
        <row r="1906">
          <cell r="A1906" t="str">
            <v>PEDERSEN FINE FOODS, S.A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150</v>
          </cell>
          <cell r="J1906" t="str">
            <v>PEDERSEN FINE FOODS, S.A</v>
          </cell>
          <cell r="M1906"/>
          <cell r="N1906"/>
          <cell r="O1906">
            <v>421</v>
          </cell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</row>
        <row r="1907">
          <cell r="A1907" t="str">
            <v>PEDERSEN FINE FOODS, S.A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421</v>
          </cell>
          <cell r="J1907" t="str">
            <v>PANASAL</v>
          </cell>
          <cell r="M1907"/>
          <cell r="N1907"/>
          <cell r="O1907"/>
          <cell r="P1907"/>
          <cell r="Q1907"/>
          <cell r="R1907">
            <v>180</v>
          </cell>
          <cell r="S1907"/>
          <cell r="T1907"/>
          <cell r="U1907"/>
          <cell r="V1907"/>
          <cell r="W1907"/>
          <cell r="X1907"/>
          <cell r="Y1907"/>
        </row>
        <row r="1908">
          <cell r="A1908" t="str">
            <v>PANASAL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180</v>
          </cell>
          <cell r="J1908" t="str">
            <v>PANASAL</v>
          </cell>
          <cell r="M1908"/>
          <cell r="N1908"/>
          <cell r="O1908"/>
          <cell r="P1908"/>
          <cell r="Q1908"/>
          <cell r="R1908">
            <v>40</v>
          </cell>
          <cell r="S1908"/>
          <cell r="T1908"/>
          <cell r="U1908"/>
          <cell r="V1908"/>
          <cell r="W1908"/>
          <cell r="X1908"/>
          <cell r="Y1908"/>
        </row>
        <row r="1909">
          <cell r="A1909" t="str">
            <v>PANASAL</v>
          </cell>
          <cell r="C1909">
            <v>40</v>
          </cell>
          <cell r="D1909">
            <v>0</v>
          </cell>
          <cell r="E1909">
            <v>0</v>
          </cell>
          <cell r="F1909">
            <v>0</v>
          </cell>
          <cell r="G1909">
            <v>40</v>
          </cell>
          <cell r="J1909" t="str">
            <v>PANASAL</v>
          </cell>
          <cell r="M1909"/>
          <cell r="N1909">
            <v>38</v>
          </cell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</row>
        <row r="1910">
          <cell r="A1910" t="str">
            <v>PANASAL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38</v>
          </cell>
          <cell r="J1910" t="str">
            <v>PANASAL</v>
          </cell>
          <cell r="M1910"/>
          <cell r="N1910"/>
          <cell r="O1910">
            <v>116</v>
          </cell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</row>
        <row r="1911">
          <cell r="A1911" t="str">
            <v>PANASAL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116</v>
          </cell>
          <cell r="J1911" t="str">
            <v>PANASAL</v>
          </cell>
          <cell r="M1911"/>
          <cell r="N1911"/>
          <cell r="O1911"/>
          <cell r="P1911"/>
          <cell r="Q1911"/>
          <cell r="R1911"/>
          <cell r="S1911">
            <v>52</v>
          </cell>
          <cell r="T1911"/>
          <cell r="U1911"/>
          <cell r="V1911"/>
          <cell r="W1911"/>
          <cell r="X1911"/>
          <cell r="Y1911"/>
        </row>
        <row r="1912">
          <cell r="A1912" t="str">
            <v>PANASAL</v>
          </cell>
          <cell r="C1912">
            <v>0</v>
          </cell>
          <cell r="D1912">
            <v>0</v>
          </cell>
          <cell r="E1912">
            <v>0</v>
          </cell>
          <cell r="F1912">
            <v>0</v>
          </cell>
          <cell r="G1912">
            <v>52</v>
          </cell>
          <cell r="J1912" t="str">
            <v>PANASAL</v>
          </cell>
          <cell r="M1912">
            <v>500</v>
          </cell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</row>
        <row r="1913">
          <cell r="A1913" t="str">
            <v>PANASAL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500</v>
          </cell>
          <cell r="J1913" t="str">
            <v>PANASAL</v>
          </cell>
          <cell r="M1913"/>
          <cell r="N1913">
            <v>50</v>
          </cell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</row>
        <row r="1914">
          <cell r="A1914" t="str">
            <v>PANASAL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50</v>
          </cell>
          <cell r="J1914" t="str">
            <v>PANASAL</v>
          </cell>
          <cell r="M1914"/>
          <cell r="N1914">
            <v>86</v>
          </cell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</row>
        <row r="1915">
          <cell r="A1915" t="str">
            <v>PANASAL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86</v>
          </cell>
          <cell r="J1915" t="str">
            <v>PANASAL</v>
          </cell>
          <cell r="M1915">
            <v>201</v>
          </cell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</row>
        <row r="1916">
          <cell r="A1916" t="str">
            <v>PANASAL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201</v>
          </cell>
          <cell r="J1916" t="str">
            <v>PANASAL</v>
          </cell>
          <cell r="M1916"/>
          <cell r="N1916">
            <v>0</v>
          </cell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</row>
        <row r="1917">
          <cell r="A1917" t="str">
            <v>PANASAL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J1917" t="str">
            <v>PANASAL</v>
          </cell>
          <cell r="M1917"/>
          <cell r="N1917">
            <v>284</v>
          </cell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</row>
        <row r="1918">
          <cell r="A1918" t="str">
            <v>PANASAL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284</v>
          </cell>
          <cell r="J1918" t="str">
            <v>PANASAL</v>
          </cell>
          <cell r="M1918"/>
          <cell r="N1918">
            <v>20</v>
          </cell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</row>
        <row r="1919">
          <cell r="A1919" t="str">
            <v>PANASAL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20</v>
          </cell>
          <cell r="J1919" t="str">
            <v>PANASAL</v>
          </cell>
          <cell r="M1919"/>
          <cell r="N1919"/>
          <cell r="O1919"/>
          <cell r="P1919"/>
          <cell r="Q1919">
            <v>4560</v>
          </cell>
          <cell r="R1919"/>
          <cell r="S1919"/>
          <cell r="T1919"/>
          <cell r="U1919"/>
          <cell r="V1919"/>
          <cell r="W1919"/>
          <cell r="X1919"/>
          <cell r="Y1919"/>
        </row>
        <row r="1920">
          <cell r="A1920" t="str">
            <v>PANASAL</v>
          </cell>
          <cell r="C1920">
            <v>0</v>
          </cell>
          <cell r="D1920">
            <v>680</v>
          </cell>
          <cell r="E1920">
            <v>450</v>
          </cell>
          <cell r="F1920">
            <v>450</v>
          </cell>
          <cell r="G1920">
            <v>4560</v>
          </cell>
          <cell r="J1920" t="str">
            <v>PANASAL</v>
          </cell>
          <cell r="M1920">
            <v>400</v>
          </cell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</row>
        <row r="1921">
          <cell r="A1921" t="str">
            <v>PANASAL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400</v>
          </cell>
          <cell r="J1921" t="str">
            <v>PANASAL</v>
          </cell>
          <cell r="M1921"/>
          <cell r="N1921"/>
          <cell r="O1921">
            <v>34</v>
          </cell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</row>
        <row r="1922">
          <cell r="A1922" t="str">
            <v>PANASAL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34</v>
          </cell>
          <cell r="J1922" t="str">
            <v>PANASAL</v>
          </cell>
          <cell r="M1922"/>
          <cell r="N1922"/>
          <cell r="O1922"/>
          <cell r="P1922"/>
          <cell r="Q1922"/>
          <cell r="R1922"/>
          <cell r="S1922">
            <v>96</v>
          </cell>
          <cell r="T1922"/>
          <cell r="U1922"/>
          <cell r="V1922"/>
          <cell r="W1922"/>
          <cell r="X1922"/>
          <cell r="Y1922"/>
        </row>
        <row r="1923">
          <cell r="A1923" t="str">
            <v>PANASAL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96</v>
          </cell>
          <cell r="J1923" t="str">
            <v>PANASAL</v>
          </cell>
          <cell r="M1923"/>
          <cell r="N1923">
            <v>130</v>
          </cell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</row>
        <row r="1924">
          <cell r="A1924" t="str">
            <v>PANASAL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130</v>
          </cell>
          <cell r="J1924" t="str">
            <v>PANASAL</v>
          </cell>
          <cell r="M1924">
            <v>209</v>
          </cell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</row>
        <row r="1925">
          <cell r="A1925" t="str">
            <v>PANASAL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209</v>
          </cell>
          <cell r="J1925" t="str">
            <v>PANASAL</v>
          </cell>
          <cell r="M1925"/>
          <cell r="N1925"/>
          <cell r="O1925"/>
          <cell r="P1925"/>
          <cell r="Q1925"/>
          <cell r="R1925"/>
          <cell r="S1925">
            <v>150</v>
          </cell>
          <cell r="T1925"/>
          <cell r="U1925"/>
          <cell r="V1925"/>
          <cell r="W1925"/>
          <cell r="X1925"/>
          <cell r="Y1925"/>
        </row>
        <row r="1926">
          <cell r="A1926" t="str">
            <v>PANASAL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150</v>
          </cell>
          <cell r="J1926" t="str">
            <v>PANASAL</v>
          </cell>
          <cell r="M1926"/>
          <cell r="N1926"/>
          <cell r="O1926"/>
          <cell r="P1926"/>
          <cell r="Q1926"/>
          <cell r="R1926"/>
          <cell r="S1926">
            <v>200</v>
          </cell>
          <cell r="T1926"/>
          <cell r="U1926"/>
          <cell r="V1926"/>
          <cell r="W1926"/>
          <cell r="X1926"/>
          <cell r="Y1926"/>
        </row>
        <row r="1927">
          <cell r="A1927" t="str">
            <v>PANASAL</v>
          </cell>
          <cell r="C1927">
            <v>0</v>
          </cell>
          <cell r="D1927">
            <v>0</v>
          </cell>
          <cell r="E1927">
            <v>0</v>
          </cell>
          <cell r="F1927">
            <v>0</v>
          </cell>
          <cell r="G1927">
            <v>200</v>
          </cell>
          <cell r="J1927" t="str">
            <v>PANASAL</v>
          </cell>
          <cell r="M1927"/>
          <cell r="N1927">
            <v>110</v>
          </cell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</row>
        <row r="1928">
          <cell r="A1928" t="str">
            <v>PANASAL</v>
          </cell>
          <cell r="C1928">
            <v>0</v>
          </cell>
          <cell r="D1928">
            <v>35</v>
          </cell>
          <cell r="E1928">
            <v>0</v>
          </cell>
          <cell r="F1928">
            <v>0</v>
          </cell>
          <cell r="G1928">
            <v>110</v>
          </cell>
          <cell r="J1928" t="str">
            <v>PANASAL</v>
          </cell>
          <cell r="M1928">
            <v>52</v>
          </cell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</row>
        <row r="1929">
          <cell r="A1929" t="str">
            <v>PANASAL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52</v>
          </cell>
          <cell r="J1929" t="str">
            <v>PANASAL</v>
          </cell>
          <cell r="M1929">
            <v>600</v>
          </cell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</row>
        <row r="1930">
          <cell r="A1930" t="str">
            <v>PANASAL</v>
          </cell>
          <cell r="C1930">
            <v>0</v>
          </cell>
          <cell r="D1930">
            <v>0</v>
          </cell>
          <cell r="E1930">
            <v>0</v>
          </cell>
          <cell r="F1930">
            <v>0</v>
          </cell>
          <cell r="G1930">
            <v>600</v>
          </cell>
          <cell r="J1930" t="str">
            <v>Bienes y Raices Metalicas S.A.</v>
          </cell>
          <cell r="M1930"/>
          <cell r="N1930"/>
          <cell r="O1930"/>
          <cell r="P1930"/>
          <cell r="Q1930"/>
          <cell r="R1930"/>
          <cell r="S1930"/>
          <cell r="T1930"/>
          <cell r="U1930">
            <v>251</v>
          </cell>
          <cell r="V1930"/>
          <cell r="W1930"/>
          <cell r="X1930"/>
          <cell r="Y1930"/>
        </row>
        <row r="1931">
          <cell r="A1931" t="str">
            <v>Bienes y Raices Metalicas S.A.</v>
          </cell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G1931">
            <v>251</v>
          </cell>
          <cell r="J1931" t="str">
            <v>Bienes y Raices Metalicas S.A.</v>
          </cell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>
            <v>50</v>
          </cell>
        </row>
        <row r="1932">
          <cell r="A1932" t="str">
            <v>Bienes y Raices Metalicas S.A.</v>
          </cell>
          <cell r="C1932">
            <v>0</v>
          </cell>
          <cell r="D1932">
            <v>0</v>
          </cell>
          <cell r="E1932">
            <v>0</v>
          </cell>
          <cell r="F1932">
            <v>0</v>
          </cell>
          <cell r="G1932">
            <v>50</v>
          </cell>
          <cell r="J1932" t="str">
            <v>Bienes y Raices Metalicas S.A.</v>
          </cell>
          <cell r="M1932"/>
          <cell r="N1932"/>
          <cell r="O1932"/>
          <cell r="P1932"/>
          <cell r="Q1932"/>
          <cell r="R1932"/>
          <cell r="S1932"/>
          <cell r="T1932"/>
          <cell r="U1932"/>
          <cell r="V1932">
            <v>39</v>
          </cell>
          <cell r="W1932"/>
          <cell r="X1932"/>
          <cell r="Y1932"/>
        </row>
        <row r="1933">
          <cell r="A1933" t="str">
            <v>Bienes y Raices Metalicas S.A.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39</v>
          </cell>
          <cell r="J1933" t="str">
            <v>H. TZANETATO INC</v>
          </cell>
          <cell r="M1933">
            <v>325</v>
          </cell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</row>
        <row r="1934">
          <cell r="A1934" t="str">
            <v>H. TZANETATO INC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325</v>
          </cell>
          <cell r="J1934" t="str">
            <v>H. TZANETATO INC</v>
          </cell>
          <cell r="M1934"/>
          <cell r="N1934"/>
          <cell r="O1934"/>
          <cell r="P1934">
            <v>102</v>
          </cell>
          <cell r="Q1934"/>
          <cell r="R1934"/>
          <cell r="S1934"/>
          <cell r="T1934"/>
          <cell r="U1934"/>
          <cell r="V1934"/>
          <cell r="W1934"/>
          <cell r="X1934"/>
          <cell r="Y1934"/>
        </row>
        <row r="1935">
          <cell r="A1935" t="str">
            <v>H. TZANETATO INC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102</v>
          </cell>
          <cell r="J1935" t="str">
            <v>H. TZANETATO INC</v>
          </cell>
          <cell r="M1935"/>
          <cell r="N1935"/>
          <cell r="O1935"/>
          <cell r="P1935"/>
          <cell r="Q1935">
            <v>1060</v>
          </cell>
          <cell r="R1935"/>
          <cell r="S1935"/>
          <cell r="T1935"/>
          <cell r="U1935"/>
          <cell r="V1935"/>
          <cell r="W1935"/>
          <cell r="X1935"/>
          <cell r="Y1935"/>
        </row>
        <row r="1936">
          <cell r="A1936" t="str">
            <v>H. TZANETATO INC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1060</v>
          </cell>
          <cell r="J1936" t="str">
            <v>H. TZANETATO INC</v>
          </cell>
          <cell r="M1936"/>
          <cell r="N1936">
            <v>100</v>
          </cell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</row>
        <row r="1937">
          <cell r="A1937" t="str">
            <v>H. TZANETATO INC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100</v>
          </cell>
          <cell r="J1937" t="str">
            <v>H. TZANETATO INC</v>
          </cell>
          <cell r="M1937"/>
          <cell r="N1937">
            <v>250</v>
          </cell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</row>
        <row r="1938">
          <cell r="A1938" t="str">
            <v>H. TZANETATO INC</v>
          </cell>
          <cell r="C1938">
            <v>0</v>
          </cell>
          <cell r="D1938">
            <v>0</v>
          </cell>
          <cell r="E1938">
            <v>0</v>
          </cell>
          <cell r="F1938">
            <v>0</v>
          </cell>
          <cell r="G1938">
            <v>250</v>
          </cell>
          <cell r="J1938" t="str">
            <v>H. TZANETATO INC</v>
          </cell>
          <cell r="M1938"/>
          <cell r="N1938"/>
          <cell r="O1938"/>
          <cell r="P1938"/>
          <cell r="Q1938"/>
          <cell r="R1938">
            <v>180</v>
          </cell>
          <cell r="S1938"/>
          <cell r="T1938"/>
          <cell r="U1938"/>
          <cell r="V1938"/>
          <cell r="W1938"/>
          <cell r="X1938"/>
          <cell r="Y1938"/>
        </row>
        <row r="1939">
          <cell r="A1939" t="str">
            <v>H. TZANETATO INC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180</v>
          </cell>
          <cell r="J1939" t="str">
            <v>H. TZANETATO INC</v>
          </cell>
          <cell r="M1939"/>
          <cell r="N1939"/>
          <cell r="O1939"/>
          <cell r="P1939"/>
          <cell r="Q1939"/>
          <cell r="R1939">
            <v>40</v>
          </cell>
          <cell r="S1939"/>
          <cell r="T1939"/>
          <cell r="U1939"/>
          <cell r="V1939"/>
          <cell r="W1939"/>
          <cell r="X1939"/>
          <cell r="Y1939"/>
        </row>
        <row r="1940">
          <cell r="A1940" t="str">
            <v>H. TZANETATO INC</v>
          </cell>
          <cell r="C1940">
            <v>40</v>
          </cell>
          <cell r="D1940">
            <v>0</v>
          </cell>
          <cell r="E1940">
            <v>0</v>
          </cell>
          <cell r="F1940">
            <v>0</v>
          </cell>
          <cell r="G1940">
            <v>40</v>
          </cell>
          <cell r="J1940" t="str">
            <v>H. TZANETATO INC</v>
          </cell>
          <cell r="M1940"/>
          <cell r="N1940"/>
          <cell r="O1940">
            <v>325</v>
          </cell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</row>
        <row r="1941">
          <cell r="A1941" t="str">
            <v>H. TZANETATO INC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325</v>
          </cell>
          <cell r="J1941" t="str">
            <v>H. TZANETATO INC</v>
          </cell>
          <cell r="M1941"/>
          <cell r="N1941">
            <v>70</v>
          </cell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</row>
        <row r="1942">
          <cell r="A1942" t="str">
            <v>H. TZANETATO INC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70</v>
          </cell>
          <cell r="J1942" t="str">
            <v>H. TZANETATO INC</v>
          </cell>
          <cell r="M1942"/>
          <cell r="N1942"/>
          <cell r="O1942">
            <v>1090</v>
          </cell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</row>
        <row r="1943">
          <cell r="A1943" t="str">
            <v>H. TZANETATO INC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1090</v>
          </cell>
          <cell r="J1943" t="str">
            <v>H. TZANETATO INC</v>
          </cell>
          <cell r="M1943"/>
          <cell r="N1943">
            <v>282</v>
          </cell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</row>
        <row r="1944">
          <cell r="A1944" t="str">
            <v>H. TZANETATO INC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282</v>
          </cell>
          <cell r="J1944" t="str">
            <v>H. TZANETATO INC</v>
          </cell>
          <cell r="M1944"/>
          <cell r="N1944">
            <v>467</v>
          </cell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</row>
        <row r="1945">
          <cell r="A1945" t="str">
            <v>H. TZANETATO INC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467</v>
          </cell>
          <cell r="J1945" t="str">
            <v>H. TZANETATO INC</v>
          </cell>
          <cell r="M1945"/>
          <cell r="N1945"/>
          <cell r="O1945"/>
          <cell r="P1945"/>
          <cell r="Q1945"/>
          <cell r="R1945"/>
          <cell r="S1945"/>
          <cell r="T1945">
            <v>82</v>
          </cell>
          <cell r="U1945"/>
          <cell r="V1945"/>
          <cell r="W1945"/>
          <cell r="X1945"/>
          <cell r="Y1945"/>
        </row>
        <row r="1946">
          <cell r="A1946" t="str">
            <v>H. TZANETATO INC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82</v>
          </cell>
          <cell r="J1946" t="str">
            <v>H. TZANETATO INC</v>
          </cell>
          <cell r="M1946"/>
          <cell r="N1946">
            <v>38</v>
          </cell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</row>
        <row r="1947">
          <cell r="A1947" t="str">
            <v>H. TZANETATO INC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38</v>
          </cell>
          <cell r="J1947" t="str">
            <v>H. TZANETATO INC</v>
          </cell>
          <cell r="M1947"/>
          <cell r="N1947">
            <v>70</v>
          </cell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</row>
        <row r="1948">
          <cell r="A1948" t="str">
            <v>H. TZANETATO INC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70</v>
          </cell>
          <cell r="J1948" t="str">
            <v>H. TZANETATO INC</v>
          </cell>
          <cell r="M1948"/>
          <cell r="N1948">
            <v>62</v>
          </cell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</row>
        <row r="1949">
          <cell r="A1949" t="str">
            <v>H. TZANETATO INC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62</v>
          </cell>
          <cell r="J1949" t="str">
            <v>H. TZANETATO INC</v>
          </cell>
          <cell r="M1949"/>
          <cell r="N1949">
            <v>542</v>
          </cell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</row>
        <row r="1950">
          <cell r="A1950" t="str">
            <v>H. TZANETATO INC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542</v>
          </cell>
          <cell r="J1950" t="str">
            <v>H. TZANETATO INC</v>
          </cell>
          <cell r="M1950"/>
          <cell r="N1950">
            <v>147</v>
          </cell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</row>
        <row r="1951">
          <cell r="A1951" t="str">
            <v>H. TZANETATO INC</v>
          </cell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G1951">
            <v>147</v>
          </cell>
          <cell r="J1951" t="str">
            <v>H. TZANETATO INC</v>
          </cell>
          <cell r="M1951"/>
          <cell r="N1951"/>
          <cell r="O1951"/>
          <cell r="P1951"/>
          <cell r="Q1951"/>
          <cell r="R1951"/>
          <cell r="S1951">
            <v>52</v>
          </cell>
          <cell r="T1951"/>
          <cell r="U1951"/>
          <cell r="V1951"/>
          <cell r="W1951"/>
          <cell r="X1951"/>
          <cell r="Y1951"/>
        </row>
        <row r="1952">
          <cell r="A1952" t="str">
            <v>H. TZANETATO INC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52</v>
          </cell>
          <cell r="J1952" t="str">
            <v>H. TZANETATO INC</v>
          </cell>
          <cell r="M1952">
            <v>215</v>
          </cell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</row>
        <row r="1953">
          <cell r="A1953" t="str">
            <v>H. TZANETATO INC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215</v>
          </cell>
          <cell r="J1953" t="str">
            <v>H. TZANETATO INC</v>
          </cell>
          <cell r="M1953">
            <v>155</v>
          </cell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</row>
        <row r="1954">
          <cell r="A1954" t="str">
            <v>H. TZANETATO INC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155</v>
          </cell>
          <cell r="J1954" t="str">
            <v>H. TZANETATO INC</v>
          </cell>
          <cell r="M1954">
            <v>100</v>
          </cell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</row>
        <row r="1955">
          <cell r="A1955" t="str">
            <v>H. TZANETATO INC</v>
          </cell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G1955">
            <v>100</v>
          </cell>
          <cell r="J1955" t="str">
            <v>H. TZANETATO INC</v>
          </cell>
          <cell r="M1955"/>
          <cell r="N1955">
            <v>264</v>
          </cell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</row>
        <row r="1956">
          <cell r="A1956" t="str">
            <v>H. TZANETATO INC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264</v>
          </cell>
          <cell r="J1956" t="str">
            <v>H. TZANETATO INC</v>
          </cell>
          <cell r="M1956"/>
          <cell r="N1956"/>
          <cell r="O1956"/>
          <cell r="P1956"/>
          <cell r="Q1956"/>
          <cell r="R1956"/>
          <cell r="S1956"/>
          <cell r="T1956">
            <v>115</v>
          </cell>
          <cell r="U1956"/>
          <cell r="V1956"/>
          <cell r="W1956"/>
          <cell r="X1956"/>
          <cell r="Y1956"/>
        </row>
        <row r="1957">
          <cell r="A1957" t="str">
            <v>H. TZANETATO INC</v>
          </cell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G1957">
            <v>115</v>
          </cell>
          <cell r="J1957" t="str">
            <v>H. TZANETATO INC</v>
          </cell>
          <cell r="M1957"/>
          <cell r="N1957">
            <v>50</v>
          </cell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</row>
        <row r="1958">
          <cell r="A1958" t="str">
            <v>H. TZANETATO INC</v>
          </cell>
          <cell r="C1958">
            <v>0</v>
          </cell>
          <cell r="D1958">
            <v>0</v>
          </cell>
          <cell r="E1958">
            <v>0</v>
          </cell>
          <cell r="F1958">
            <v>0</v>
          </cell>
          <cell r="G1958">
            <v>50</v>
          </cell>
          <cell r="J1958" t="str">
            <v>H. TZANETATO INC</v>
          </cell>
          <cell r="M1958"/>
          <cell r="N1958">
            <v>162</v>
          </cell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</row>
        <row r="1959">
          <cell r="A1959" t="str">
            <v>H. TZANETATO INC</v>
          </cell>
          <cell r="C1959">
            <v>162</v>
          </cell>
          <cell r="D1959">
            <v>0</v>
          </cell>
          <cell r="E1959">
            <v>0</v>
          </cell>
          <cell r="F1959">
            <v>0</v>
          </cell>
          <cell r="G1959">
            <v>162</v>
          </cell>
          <cell r="J1959" t="str">
            <v>H. TZANETATO INC</v>
          </cell>
          <cell r="M1959"/>
          <cell r="N1959">
            <v>86</v>
          </cell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</row>
        <row r="1960">
          <cell r="A1960" t="str">
            <v>H. TZANETATO INC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86</v>
          </cell>
          <cell r="J1960" t="str">
            <v>H. TZANETATO INC</v>
          </cell>
          <cell r="M1960">
            <v>201</v>
          </cell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</row>
        <row r="1961">
          <cell r="A1961" t="str">
            <v>H. TZANETATO INC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201</v>
          </cell>
          <cell r="J1961" t="str">
            <v>H. TZANETATO INC</v>
          </cell>
          <cell r="M1961"/>
          <cell r="N1961"/>
          <cell r="O1961"/>
          <cell r="P1961"/>
          <cell r="Q1961"/>
          <cell r="R1961"/>
          <cell r="S1961"/>
          <cell r="T1961">
            <v>73</v>
          </cell>
          <cell r="U1961"/>
          <cell r="V1961"/>
          <cell r="W1961"/>
          <cell r="X1961"/>
          <cell r="Y1961"/>
        </row>
        <row r="1962">
          <cell r="A1962" t="str">
            <v>H. TZANETATO INC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73</v>
          </cell>
          <cell r="J1962" t="str">
            <v>H. TZANETATO INC</v>
          </cell>
          <cell r="M1962"/>
          <cell r="N1962"/>
          <cell r="O1962"/>
          <cell r="P1962"/>
          <cell r="Q1962"/>
          <cell r="R1962"/>
          <cell r="S1962"/>
          <cell r="T1962">
            <v>635</v>
          </cell>
          <cell r="U1962"/>
          <cell r="V1962"/>
          <cell r="W1962"/>
          <cell r="X1962"/>
          <cell r="Y1962"/>
        </row>
        <row r="1963">
          <cell r="A1963" t="str">
            <v>H. TZANETATO INC</v>
          </cell>
          <cell r="C1963">
            <v>0</v>
          </cell>
          <cell r="D1963">
            <v>0</v>
          </cell>
          <cell r="E1963">
            <v>0</v>
          </cell>
          <cell r="F1963">
            <v>0</v>
          </cell>
          <cell r="G1963">
            <v>635</v>
          </cell>
          <cell r="J1963" t="str">
            <v>H. TZANETATO INC</v>
          </cell>
          <cell r="M1963"/>
          <cell r="N1963">
            <v>201</v>
          </cell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</row>
        <row r="1964">
          <cell r="A1964" t="str">
            <v>H. TZANETATO INC</v>
          </cell>
          <cell r="C1964">
            <v>0</v>
          </cell>
          <cell r="D1964">
            <v>0</v>
          </cell>
          <cell r="E1964">
            <v>0</v>
          </cell>
          <cell r="F1964">
            <v>0</v>
          </cell>
          <cell r="G1964">
            <v>201</v>
          </cell>
          <cell r="J1964" t="str">
            <v>H. TZANETATO INC</v>
          </cell>
          <cell r="M1964"/>
          <cell r="N1964">
            <v>0</v>
          </cell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</row>
        <row r="1965">
          <cell r="A1965" t="str">
            <v>H. TZANETATO INC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J1965" t="str">
            <v>H. TZANETATO INC</v>
          </cell>
          <cell r="M1965"/>
          <cell r="N1965">
            <v>284</v>
          </cell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</row>
        <row r="1966">
          <cell r="A1966" t="str">
            <v>H. TZANETATO INC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284</v>
          </cell>
          <cell r="J1966" t="str">
            <v>H. TZANETATO INC</v>
          </cell>
          <cell r="M1966">
            <v>150</v>
          </cell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</row>
        <row r="1967">
          <cell r="A1967" t="str">
            <v>H. TZANETATO INC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150</v>
          </cell>
          <cell r="J1967" t="str">
            <v>H. TZANETATO INC</v>
          </cell>
          <cell r="M1967"/>
          <cell r="N1967"/>
          <cell r="O1967">
            <v>1200</v>
          </cell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</row>
        <row r="1968">
          <cell r="A1968" t="str">
            <v>H. TZANETATO INC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1200</v>
          </cell>
          <cell r="J1968" t="str">
            <v>H. TZANETATO INC</v>
          </cell>
          <cell r="M1968"/>
          <cell r="N1968">
            <v>20</v>
          </cell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</row>
        <row r="1969">
          <cell r="A1969" t="str">
            <v>H. TZANETATO INC</v>
          </cell>
          <cell r="C1969">
            <v>0</v>
          </cell>
          <cell r="D1969">
            <v>0</v>
          </cell>
          <cell r="E1969">
            <v>0</v>
          </cell>
          <cell r="F1969">
            <v>0</v>
          </cell>
          <cell r="G1969">
            <v>20</v>
          </cell>
          <cell r="J1969" t="str">
            <v>H. TZANETATO INC</v>
          </cell>
          <cell r="M1969">
            <v>390</v>
          </cell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</row>
        <row r="1970">
          <cell r="A1970" t="str">
            <v>H. TZANETATO INC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390</v>
          </cell>
          <cell r="J1970" t="str">
            <v>H. TZANETATO INC</v>
          </cell>
          <cell r="M1970"/>
          <cell r="N1970">
            <v>120</v>
          </cell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</row>
        <row r="1971">
          <cell r="A1971" t="str">
            <v>H. TZANETATO INC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120</v>
          </cell>
          <cell r="J1971" t="str">
            <v>H. TZANETATO INC</v>
          </cell>
          <cell r="M1971"/>
          <cell r="N1971">
            <v>84</v>
          </cell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</row>
        <row r="1972">
          <cell r="A1972" t="str">
            <v>H. TZANETATO INC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84</v>
          </cell>
          <cell r="J1972" t="str">
            <v>H. TZANETATO INC</v>
          </cell>
          <cell r="M1972"/>
          <cell r="N1972">
            <v>0</v>
          </cell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</row>
        <row r="1973">
          <cell r="A1973" t="str">
            <v>H. TZANETATO INC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J1973" t="str">
            <v>H. TZANETATO INC</v>
          </cell>
          <cell r="M1973"/>
          <cell r="N1973">
            <v>165</v>
          </cell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</row>
        <row r="1974">
          <cell r="A1974" t="str">
            <v>H. TZANETATO INC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165</v>
          </cell>
          <cell r="J1974" t="str">
            <v>H. TZANETATO INC</v>
          </cell>
          <cell r="M1974"/>
          <cell r="N1974">
            <v>251</v>
          </cell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</row>
        <row r="1975">
          <cell r="A1975" t="str">
            <v>H. TZANETATO INC</v>
          </cell>
          <cell r="C1975">
            <v>0</v>
          </cell>
          <cell r="D1975">
            <v>0</v>
          </cell>
          <cell r="E1975">
            <v>0</v>
          </cell>
          <cell r="F1975">
            <v>0</v>
          </cell>
          <cell r="G1975">
            <v>251</v>
          </cell>
          <cell r="J1975" t="str">
            <v>H. TZANETATO INC</v>
          </cell>
          <cell r="M1975"/>
          <cell r="N1975">
            <v>60</v>
          </cell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</row>
        <row r="1976">
          <cell r="A1976" t="str">
            <v>H. TZANETATO INC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60</v>
          </cell>
          <cell r="J1976" t="str">
            <v>H. TZANETATO INC</v>
          </cell>
          <cell r="M1976"/>
          <cell r="N1976">
            <v>75</v>
          </cell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</row>
        <row r="1977">
          <cell r="A1977" t="str">
            <v>H. TZANETATO INC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75</v>
          </cell>
          <cell r="J1977" t="str">
            <v>H. TZANETATO INC</v>
          </cell>
          <cell r="M1977"/>
          <cell r="N1977"/>
          <cell r="O1977">
            <v>1017</v>
          </cell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</row>
        <row r="1978">
          <cell r="A1978" t="str">
            <v>H. TZANETATO INC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1017</v>
          </cell>
          <cell r="J1978" t="str">
            <v>H. TZANETATO INC</v>
          </cell>
          <cell r="M1978"/>
          <cell r="N1978">
            <v>50</v>
          </cell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</row>
        <row r="1979">
          <cell r="A1979" t="str">
            <v>H. TZANETATO INC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50</v>
          </cell>
          <cell r="J1979" t="str">
            <v>H. TZANETATO INC</v>
          </cell>
          <cell r="M1979"/>
          <cell r="N1979"/>
          <cell r="O1979">
            <v>219</v>
          </cell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</row>
        <row r="1980">
          <cell r="A1980" t="str">
            <v>H. TZANETATO INC</v>
          </cell>
          <cell r="C1980">
            <v>0</v>
          </cell>
          <cell r="D1980">
            <v>16</v>
          </cell>
          <cell r="E1980">
            <v>19</v>
          </cell>
          <cell r="F1980">
            <v>19</v>
          </cell>
          <cell r="G1980">
            <v>219</v>
          </cell>
          <cell r="J1980" t="str">
            <v>H. TZANETATO INC</v>
          </cell>
          <cell r="M1980"/>
          <cell r="N1980"/>
          <cell r="O1980"/>
          <cell r="P1980"/>
          <cell r="Q1980"/>
          <cell r="R1980"/>
          <cell r="S1980">
            <v>305</v>
          </cell>
          <cell r="T1980"/>
          <cell r="U1980"/>
          <cell r="V1980"/>
          <cell r="W1980"/>
          <cell r="X1980"/>
          <cell r="Y1980"/>
        </row>
        <row r="1981">
          <cell r="A1981" t="str">
            <v>H. TZANETATO INC</v>
          </cell>
          <cell r="C1981">
            <v>100</v>
          </cell>
          <cell r="D1981">
            <v>0</v>
          </cell>
          <cell r="E1981">
            <v>0</v>
          </cell>
          <cell r="F1981">
            <v>0</v>
          </cell>
          <cell r="G1981">
            <v>305</v>
          </cell>
          <cell r="J1981" t="str">
            <v>H. TZANETATO INC</v>
          </cell>
          <cell r="M1981"/>
          <cell r="N1981"/>
          <cell r="O1981"/>
          <cell r="P1981"/>
          <cell r="Q1981">
            <v>60</v>
          </cell>
          <cell r="R1981"/>
          <cell r="S1981"/>
          <cell r="T1981"/>
          <cell r="U1981"/>
          <cell r="V1981"/>
          <cell r="W1981"/>
          <cell r="X1981"/>
          <cell r="Y1981"/>
        </row>
        <row r="1982">
          <cell r="A1982" t="str">
            <v>H. TZANETATO INC</v>
          </cell>
          <cell r="C1982">
            <v>0</v>
          </cell>
          <cell r="D1982">
            <v>0</v>
          </cell>
          <cell r="E1982">
            <v>0</v>
          </cell>
          <cell r="F1982">
            <v>0</v>
          </cell>
          <cell r="G1982">
            <v>60</v>
          </cell>
          <cell r="J1982" t="str">
            <v>H. TZANETATO INC</v>
          </cell>
          <cell r="M1982">
            <v>400</v>
          </cell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</row>
        <row r="1983">
          <cell r="A1983" t="str">
            <v>H. TZANETATO INC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400</v>
          </cell>
          <cell r="J1983" t="str">
            <v>H. TZANETATO INC</v>
          </cell>
          <cell r="M1983"/>
          <cell r="N1983"/>
          <cell r="O1983">
            <v>68</v>
          </cell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</row>
        <row r="1984">
          <cell r="A1984" t="str">
            <v>H. TZANETATO INC</v>
          </cell>
          <cell r="C1984">
            <v>0</v>
          </cell>
          <cell r="D1984">
            <v>0</v>
          </cell>
          <cell r="E1984">
            <v>0</v>
          </cell>
          <cell r="F1984">
            <v>0</v>
          </cell>
          <cell r="G1984">
            <v>68</v>
          </cell>
          <cell r="J1984" t="str">
            <v>H. TZANETATO INC</v>
          </cell>
          <cell r="M1984"/>
          <cell r="N1984"/>
          <cell r="O1984"/>
          <cell r="P1984"/>
          <cell r="Q1984">
            <v>4560</v>
          </cell>
          <cell r="R1984"/>
          <cell r="S1984"/>
          <cell r="T1984"/>
          <cell r="U1984"/>
          <cell r="V1984"/>
          <cell r="W1984"/>
          <cell r="X1984"/>
          <cell r="Y1984"/>
        </row>
        <row r="1985">
          <cell r="A1985" t="str">
            <v>H. TZANETATO INC</v>
          </cell>
          <cell r="C1985">
            <v>0</v>
          </cell>
          <cell r="D1985">
            <v>680</v>
          </cell>
          <cell r="E1985">
            <v>450</v>
          </cell>
          <cell r="F1985">
            <v>450</v>
          </cell>
          <cell r="G1985">
            <v>4560</v>
          </cell>
          <cell r="J1985" t="str">
            <v>H. TZANETATO INC</v>
          </cell>
          <cell r="M1985">
            <v>400</v>
          </cell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</row>
        <row r="1986">
          <cell r="A1986" t="str">
            <v>H. TZANETATO INC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400</v>
          </cell>
          <cell r="J1986" t="str">
            <v>H. TZANETATO INC</v>
          </cell>
          <cell r="M1986"/>
          <cell r="N1986"/>
          <cell r="O1986">
            <v>34</v>
          </cell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</row>
        <row r="1987">
          <cell r="A1987" t="str">
            <v>H. TZANETATO INC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34</v>
          </cell>
          <cell r="J1987" t="str">
            <v>H. TZANETATO INC</v>
          </cell>
          <cell r="M1987">
            <v>100</v>
          </cell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</row>
        <row r="1988">
          <cell r="A1988" t="str">
            <v>H. TZANETATO INC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100</v>
          </cell>
          <cell r="J1988" t="str">
            <v>H. TZANETATO INC</v>
          </cell>
          <cell r="M1988"/>
          <cell r="N1988"/>
          <cell r="O1988"/>
          <cell r="P1988"/>
          <cell r="Q1988"/>
          <cell r="R1988"/>
          <cell r="S1988">
            <v>96</v>
          </cell>
          <cell r="T1988"/>
          <cell r="U1988"/>
          <cell r="V1988"/>
          <cell r="W1988"/>
          <cell r="X1988"/>
          <cell r="Y1988"/>
        </row>
        <row r="1989">
          <cell r="A1989" t="str">
            <v>H. TZANETATO INC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96</v>
          </cell>
          <cell r="J1989" t="str">
            <v>H. TZANETATO INC</v>
          </cell>
          <cell r="M1989"/>
          <cell r="N1989">
            <v>230</v>
          </cell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</row>
        <row r="1990">
          <cell r="A1990" t="str">
            <v>H. TZANETATO INC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230</v>
          </cell>
          <cell r="J1990" t="str">
            <v>H. TZANETATO INC</v>
          </cell>
          <cell r="M1990"/>
          <cell r="N1990">
            <v>97</v>
          </cell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</row>
        <row r="1991">
          <cell r="A1991" t="str">
            <v>H. TZANETATO INC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97</v>
          </cell>
          <cell r="J1991" t="str">
            <v>H. TZANETATO INC</v>
          </cell>
          <cell r="M1991"/>
          <cell r="N1991">
            <v>130</v>
          </cell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</row>
        <row r="1992">
          <cell r="A1992" t="str">
            <v>H. TZANETATO INC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130</v>
          </cell>
          <cell r="J1992" t="str">
            <v>H. TZANETATO INC</v>
          </cell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>
            <v>0</v>
          </cell>
          <cell r="X1992"/>
          <cell r="Y1992"/>
        </row>
        <row r="1993">
          <cell r="A1993" t="str">
            <v>H. TZANETATO INC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J1993" t="str">
            <v>H. TZANETATO INC</v>
          </cell>
          <cell r="M1993"/>
          <cell r="N1993"/>
          <cell r="O1993"/>
          <cell r="P1993"/>
          <cell r="Q1993"/>
          <cell r="R1993"/>
          <cell r="S1993"/>
          <cell r="T1993"/>
          <cell r="U1993">
            <v>251</v>
          </cell>
          <cell r="V1993"/>
          <cell r="W1993"/>
          <cell r="X1993"/>
          <cell r="Y1993"/>
        </row>
        <row r="1994">
          <cell r="A1994" t="str">
            <v>H. TZANETATO INC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251</v>
          </cell>
          <cell r="J1994" t="str">
            <v>H. TZANETATO INC</v>
          </cell>
          <cell r="M1994">
            <v>125</v>
          </cell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</row>
        <row r="1995">
          <cell r="A1995" t="str">
            <v>H. TZANETATO INC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125</v>
          </cell>
          <cell r="J1995" t="str">
            <v>H. TZANETATO INC</v>
          </cell>
          <cell r="M1995"/>
          <cell r="N1995"/>
          <cell r="O1995"/>
          <cell r="P1995"/>
          <cell r="Q1995"/>
          <cell r="R1995"/>
          <cell r="S1995"/>
          <cell r="T1995"/>
          <cell r="U1995"/>
          <cell r="V1995">
            <v>0</v>
          </cell>
          <cell r="W1995"/>
          <cell r="X1995"/>
          <cell r="Y1995"/>
        </row>
        <row r="1996">
          <cell r="A1996" t="str">
            <v>H. TZANETATO INC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J1996" t="str">
            <v>H. TZANETATO INC</v>
          </cell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>
            <v>0</v>
          </cell>
        </row>
        <row r="1997">
          <cell r="A1997" t="str">
            <v>H. TZANETATO INC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J1997" t="str">
            <v>H. TZANETATO INC</v>
          </cell>
          <cell r="M1997"/>
          <cell r="N1997"/>
          <cell r="O1997">
            <v>0</v>
          </cell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</row>
        <row r="1998">
          <cell r="A1998" t="str">
            <v>H. TZANETATO INC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J1998" t="str">
            <v>H. TZANETATO INC</v>
          </cell>
          <cell r="M1998">
            <v>209</v>
          </cell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</row>
        <row r="1999">
          <cell r="A1999" t="str">
            <v>H. TZANETATO INC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209</v>
          </cell>
          <cell r="J1999" t="str">
            <v>H. TZANETATO INC</v>
          </cell>
          <cell r="M1999">
            <v>0</v>
          </cell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</row>
        <row r="2000">
          <cell r="A2000" t="str">
            <v>H. TZANETATO INC</v>
          </cell>
          <cell r="C2000">
            <v>0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J2000" t="str">
            <v>H. TZANETATO INC</v>
          </cell>
          <cell r="M2000"/>
          <cell r="N2000"/>
          <cell r="O2000"/>
          <cell r="P2000"/>
          <cell r="Q2000"/>
          <cell r="R2000"/>
          <cell r="S2000">
            <v>200</v>
          </cell>
          <cell r="T2000"/>
          <cell r="U2000"/>
          <cell r="V2000"/>
          <cell r="W2000"/>
          <cell r="X2000"/>
          <cell r="Y2000"/>
        </row>
        <row r="2001">
          <cell r="A2001" t="str">
            <v>H. TZANETATO INC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200</v>
          </cell>
          <cell r="J2001" t="str">
            <v>H. TZANETATO INC</v>
          </cell>
          <cell r="M2001"/>
          <cell r="N2001">
            <v>110</v>
          </cell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</row>
        <row r="2002">
          <cell r="A2002" t="str">
            <v>H. TZANETATO INC</v>
          </cell>
          <cell r="C2002">
            <v>0</v>
          </cell>
          <cell r="D2002">
            <v>35</v>
          </cell>
          <cell r="E2002">
            <v>0</v>
          </cell>
          <cell r="F2002">
            <v>0</v>
          </cell>
          <cell r="G2002">
            <v>110</v>
          </cell>
          <cell r="J2002" t="str">
            <v>H. TZANETATO INC</v>
          </cell>
          <cell r="M2002"/>
          <cell r="N2002"/>
          <cell r="O2002"/>
          <cell r="P2002"/>
          <cell r="Q2002"/>
          <cell r="R2002"/>
          <cell r="S2002"/>
          <cell r="T2002">
            <v>0</v>
          </cell>
          <cell r="U2002"/>
          <cell r="V2002"/>
          <cell r="W2002"/>
          <cell r="X2002"/>
          <cell r="Y2002"/>
        </row>
        <row r="2003">
          <cell r="A2003" t="str">
            <v>H. TZANETATO INC</v>
          </cell>
          <cell r="C2003">
            <v>0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J2003" t="str">
            <v>H. TZANETATO INC</v>
          </cell>
          <cell r="M2003"/>
          <cell r="N2003"/>
          <cell r="O2003">
            <v>346</v>
          </cell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</row>
        <row r="2004">
          <cell r="A2004" t="str">
            <v>H. TZANETATO INC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346</v>
          </cell>
          <cell r="J2004" t="str">
            <v>Colgate Palmolive (CENTRAL AMERICA) INC</v>
          </cell>
          <cell r="M2004"/>
          <cell r="N2004"/>
          <cell r="O2004">
            <v>30</v>
          </cell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</row>
        <row r="2005">
          <cell r="A2005" t="str">
            <v>Colgate Palmolive (CENTRAL AMERICA) INC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30</v>
          </cell>
          <cell r="J2005" t="str">
            <v>Colgate Palmolive (CENTRAL AMERICA) INC</v>
          </cell>
          <cell r="M2005"/>
          <cell r="N2005"/>
          <cell r="O2005"/>
          <cell r="P2005">
            <v>102</v>
          </cell>
          <cell r="Q2005"/>
          <cell r="R2005"/>
          <cell r="S2005"/>
          <cell r="T2005"/>
          <cell r="U2005"/>
          <cell r="V2005"/>
          <cell r="W2005"/>
          <cell r="X2005"/>
          <cell r="Y2005"/>
        </row>
        <row r="2006">
          <cell r="A2006" t="str">
            <v>Colgate Palmolive (CENTRAL AMERICA) INC</v>
          </cell>
          <cell r="C2006">
            <v>0</v>
          </cell>
          <cell r="D2006">
            <v>0</v>
          </cell>
          <cell r="E2006">
            <v>0</v>
          </cell>
          <cell r="F2006">
            <v>0</v>
          </cell>
          <cell r="G2006">
            <v>102</v>
          </cell>
          <cell r="J2006" t="str">
            <v>Colgate Palmolive (CENTRAL AMERICA) INC</v>
          </cell>
          <cell r="M2006"/>
          <cell r="N2006"/>
          <cell r="O2006">
            <v>180</v>
          </cell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</row>
        <row r="2007">
          <cell r="A2007" t="str">
            <v>Colgate Palmolive (CENTRAL AMERICA) INC</v>
          </cell>
          <cell r="C2007">
            <v>0</v>
          </cell>
          <cell r="D2007">
            <v>0</v>
          </cell>
          <cell r="E2007">
            <v>0</v>
          </cell>
          <cell r="F2007">
            <v>0</v>
          </cell>
          <cell r="G2007">
            <v>180</v>
          </cell>
          <cell r="J2007" t="str">
            <v>Colgate Palmolive (CENTRAL AMERICA) INC</v>
          </cell>
          <cell r="M2007"/>
          <cell r="N2007">
            <v>70</v>
          </cell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</row>
        <row r="2008">
          <cell r="A2008" t="str">
            <v>Colgate Palmolive (CENTRAL AMERICA) INC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70</v>
          </cell>
          <cell r="J2008" t="str">
            <v>Colgate Palmolive (CENTRAL AMERICA) INC</v>
          </cell>
          <cell r="M2008"/>
          <cell r="N2008"/>
          <cell r="O2008"/>
          <cell r="P2008"/>
          <cell r="Q2008">
            <v>1060</v>
          </cell>
          <cell r="R2008"/>
          <cell r="S2008"/>
          <cell r="T2008"/>
          <cell r="U2008"/>
          <cell r="V2008"/>
          <cell r="W2008"/>
          <cell r="X2008"/>
          <cell r="Y2008"/>
        </row>
        <row r="2009">
          <cell r="A2009" t="str">
            <v>Colgate Palmolive (CENTRAL AMERICA) INC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1060</v>
          </cell>
          <cell r="J2009" t="str">
            <v>Colgate Palmolive (CENTRAL AMERICA) INC</v>
          </cell>
          <cell r="M2009"/>
          <cell r="N2009">
            <v>100</v>
          </cell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</row>
        <row r="2010">
          <cell r="A2010" t="str">
            <v>Colgate Palmolive (CENTRAL AMERICA) INC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100</v>
          </cell>
          <cell r="J2010" t="str">
            <v>Colgate Palmolive (CENTRAL AMERICA) INC</v>
          </cell>
          <cell r="M2010"/>
          <cell r="N2010">
            <v>250</v>
          </cell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</row>
        <row r="2011">
          <cell r="A2011" t="str">
            <v>Colgate Palmolive (CENTRAL AMERICA) INC</v>
          </cell>
          <cell r="C2011">
            <v>0</v>
          </cell>
          <cell r="D2011">
            <v>0</v>
          </cell>
          <cell r="E2011">
            <v>0</v>
          </cell>
          <cell r="F2011">
            <v>0</v>
          </cell>
          <cell r="G2011">
            <v>250</v>
          </cell>
          <cell r="J2011" t="str">
            <v>Colgate Palmolive (CENTRAL AMERICA) INC</v>
          </cell>
          <cell r="M2011"/>
          <cell r="N2011"/>
          <cell r="O2011"/>
          <cell r="P2011"/>
          <cell r="Q2011"/>
          <cell r="R2011">
            <v>180</v>
          </cell>
          <cell r="S2011"/>
          <cell r="T2011"/>
          <cell r="U2011"/>
          <cell r="V2011"/>
          <cell r="W2011"/>
          <cell r="X2011"/>
          <cell r="Y2011"/>
        </row>
        <row r="2012">
          <cell r="A2012" t="str">
            <v>Colgate Palmolive (CENTRAL AMERICA) INC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180</v>
          </cell>
          <cell r="J2012" t="str">
            <v>Colgate Palmolive (CENTRAL AMERICA) INC</v>
          </cell>
          <cell r="M2012"/>
          <cell r="N2012"/>
          <cell r="O2012"/>
          <cell r="P2012"/>
          <cell r="Q2012"/>
          <cell r="R2012"/>
          <cell r="S2012">
            <v>73</v>
          </cell>
          <cell r="T2012"/>
          <cell r="U2012"/>
          <cell r="V2012"/>
          <cell r="W2012"/>
          <cell r="X2012"/>
          <cell r="Y2012"/>
        </row>
        <row r="2013">
          <cell r="A2013" t="str">
            <v>Colgate Palmolive (CENTRAL AMERICA) INC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73</v>
          </cell>
          <cell r="J2013" t="str">
            <v>Colgate Palmolive (CENTRAL AMERICA) INC</v>
          </cell>
          <cell r="M2013"/>
          <cell r="N2013">
            <v>282</v>
          </cell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</row>
        <row r="2014">
          <cell r="A2014" t="str">
            <v>Colgate Palmolive (CENTRAL AMERICA) INC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282</v>
          </cell>
          <cell r="J2014" t="str">
            <v>Colgate Palmolive (CENTRAL AMERICA) INC</v>
          </cell>
          <cell r="M2014"/>
          <cell r="N2014"/>
          <cell r="O2014"/>
          <cell r="P2014"/>
          <cell r="Q2014"/>
          <cell r="R2014"/>
          <cell r="S2014"/>
          <cell r="T2014">
            <v>82</v>
          </cell>
          <cell r="U2014"/>
          <cell r="V2014"/>
          <cell r="W2014"/>
          <cell r="X2014"/>
          <cell r="Y2014"/>
        </row>
        <row r="2015">
          <cell r="A2015" t="str">
            <v>Colgate Palmolive (CENTRAL AMERICA) INC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82</v>
          </cell>
          <cell r="J2015" t="str">
            <v>Colgate Palmolive (CENTRAL AMERICA) INC</v>
          </cell>
          <cell r="M2015"/>
          <cell r="N2015">
            <v>881</v>
          </cell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</row>
        <row r="2016">
          <cell r="A2016" t="str">
            <v>Colgate Palmolive (CENTRAL AMERICA) INC</v>
          </cell>
          <cell r="C2016">
            <v>0</v>
          </cell>
          <cell r="D2016">
            <v>0</v>
          </cell>
          <cell r="E2016">
            <v>0</v>
          </cell>
          <cell r="F2016">
            <v>0</v>
          </cell>
          <cell r="G2016">
            <v>881</v>
          </cell>
          <cell r="J2016" t="str">
            <v>Colgate Palmolive (CENTRAL AMERICA) INC</v>
          </cell>
          <cell r="M2016"/>
          <cell r="N2016">
            <v>38</v>
          </cell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</row>
        <row r="2017">
          <cell r="A2017" t="str">
            <v>Colgate Palmolive (CENTRAL AMERICA) INC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  <cell r="G2017">
            <v>38</v>
          </cell>
          <cell r="J2017" t="str">
            <v>Colgate Palmolive (CENTRAL AMERICA) INC</v>
          </cell>
          <cell r="M2017"/>
          <cell r="N2017">
            <v>70</v>
          </cell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</row>
        <row r="2018">
          <cell r="A2018" t="str">
            <v>Colgate Palmolive (CENTRAL AMERICA) INC</v>
          </cell>
          <cell r="C2018">
            <v>0</v>
          </cell>
          <cell r="D2018">
            <v>0</v>
          </cell>
          <cell r="E2018">
            <v>0</v>
          </cell>
          <cell r="F2018">
            <v>0</v>
          </cell>
          <cell r="G2018">
            <v>70</v>
          </cell>
          <cell r="J2018" t="str">
            <v>Colgate Palmolive (CENTRAL AMERICA) INC</v>
          </cell>
          <cell r="M2018"/>
          <cell r="N2018">
            <v>60</v>
          </cell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</row>
        <row r="2019">
          <cell r="A2019" t="str">
            <v>Colgate Palmolive (CENTRAL AMERICA) INC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60</v>
          </cell>
          <cell r="J2019" t="str">
            <v>Colgate Palmolive (CENTRAL AMERICA) INC</v>
          </cell>
          <cell r="M2019"/>
          <cell r="N2019">
            <v>243</v>
          </cell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</row>
        <row r="2020">
          <cell r="A2020" t="str">
            <v>Colgate Palmolive (CENTRAL AMERICA) INC</v>
          </cell>
          <cell r="C2020">
            <v>0</v>
          </cell>
          <cell r="D2020">
            <v>13</v>
          </cell>
          <cell r="E2020">
            <v>37</v>
          </cell>
          <cell r="F2020">
            <v>28</v>
          </cell>
          <cell r="G2020">
            <v>243</v>
          </cell>
          <cell r="J2020" t="str">
            <v>Colgate Palmolive (CENTRAL AMERICA) INC</v>
          </cell>
          <cell r="M2020"/>
          <cell r="N2020">
            <v>62</v>
          </cell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</row>
        <row r="2021">
          <cell r="A2021" t="str">
            <v>Colgate Palmolive (CENTRAL AMERICA) INC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62</v>
          </cell>
          <cell r="J2021" t="str">
            <v>Colgate Palmolive (CENTRAL AMERICA) INC</v>
          </cell>
          <cell r="M2021"/>
          <cell r="N2021">
            <v>542</v>
          </cell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</row>
        <row r="2022">
          <cell r="A2022" t="str">
            <v>Colgate Palmolive (CENTRAL AMERICA) INC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542</v>
          </cell>
          <cell r="J2022" t="str">
            <v>Colgate Palmolive (CENTRAL AMERICA) INC</v>
          </cell>
          <cell r="M2022"/>
          <cell r="N2022"/>
          <cell r="O2022"/>
          <cell r="P2022"/>
          <cell r="Q2022"/>
          <cell r="R2022"/>
          <cell r="S2022">
            <v>211</v>
          </cell>
          <cell r="T2022"/>
          <cell r="U2022"/>
          <cell r="V2022"/>
          <cell r="W2022"/>
          <cell r="X2022"/>
          <cell r="Y2022"/>
        </row>
        <row r="2023">
          <cell r="A2023" t="str">
            <v>Colgate Palmolive (CENTRAL AMERICA) INC</v>
          </cell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G2023">
            <v>211</v>
          </cell>
          <cell r="J2023" t="str">
            <v>Colgate Palmolive (CENTRAL AMERICA) INC</v>
          </cell>
          <cell r="M2023">
            <v>500</v>
          </cell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</row>
        <row r="2024">
          <cell r="A2024" t="str">
            <v>Colgate Palmolive (CENTRAL AMERICA) INC</v>
          </cell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G2024">
            <v>500</v>
          </cell>
          <cell r="J2024" t="str">
            <v>Colgate Palmolive (CENTRAL AMERICA) INC</v>
          </cell>
          <cell r="M2024"/>
          <cell r="N2024"/>
          <cell r="O2024"/>
          <cell r="P2024"/>
          <cell r="Q2024"/>
          <cell r="R2024"/>
          <cell r="S2024"/>
          <cell r="T2024">
            <v>84</v>
          </cell>
          <cell r="U2024"/>
          <cell r="V2024"/>
          <cell r="W2024"/>
          <cell r="X2024"/>
          <cell r="Y2024"/>
        </row>
        <row r="2025">
          <cell r="A2025" t="str">
            <v>Colgate Palmolive (CENTRAL AMERICA) INC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84</v>
          </cell>
          <cell r="J2025" t="str">
            <v>Colgate Palmolive (CENTRAL AMERICA) INC</v>
          </cell>
          <cell r="M2025">
            <v>100</v>
          </cell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</row>
        <row r="2026">
          <cell r="A2026" t="str">
            <v>Colgate Palmolive (CENTRAL AMERICA) INC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100</v>
          </cell>
          <cell r="J2026" t="str">
            <v>Colgate Palmolive (CENTRAL AMERICA) INC</v>
          </cell>
          <cell r="M2026"/>
          <cell r="N2026"/>
          <cell r="O2026"/>
          <cell r="P2026"/>
          <cell r="Q2026">
            <v>57</v>
          </cell>
          <cell r="R2026"/>
          <cell r="S2026"/>
          <cell r="T2026"/>
          <cell r="U2026"/>
          <cell r="V2026"/>
          <cell r="W2026"/>
          <cell r="X2026"/>
          <cell r="Y2026"/>
        </row>
        <row r="2027">
          <cell r="A2027" t="str">
            <v>Colgate Palmolive (CENTRAL AMERICA) INC</v>
          </cell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G2027">
            <v>57</v>
          </cell>
          <cell r="J2027" t="str">
            <v>Colgate Palmolive (CENTRAL AMERICA) INC</v>
          </cell>
          <cell r="M2027"/>
          <cell r="N2027"/>
          <cell r="O2027">
            <v>60</v>
          </cell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</row>
        <row r="2028">
          <cell r="A2028" t="str">
            <v>Colgate Palmolive (CENTRAL AMERICA) INC</v>
          </cell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G2028">
            <v>60</v>
          </cell>
          <cell r="J2028" t="str">
            <v>Colgate Palmolive (CENTRAL AMERICA) INC</v>
          </cell>
          <cell r="M2028"/>
          <cell r="N2028"/>
          <cell r="O2028"/>
          <cell r="P2028"/>
          <cell r="Q2028"/>
          <cell r="R2028"/>
          <cell r="S2028">
            <v>179</v>
          </cell>
          <cell r="T2028"/>
          <cell r="U2028"/>
          <cell r="V2028"/>
          <cell r="W2028"/>
          <cell r="X2028"/>
          <cell r="Y2028"/>
        </row>
        <row r="2029">
          <cell r="A2029" t="str">
            <v>Colgate Palmolive (CENTRAL AMERICA) INC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179</v>
          </cell>
          <cell r="J2029" t="str">
            <v>Colgate Palmolive (CENTRAL AMERICA) INC</v>
          </cell>
          <cell r="M2029"/>
          <cell r="N2029">
            <v>50</v>
          </cell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</row>
        <row r="2030">
          <cell r="A2030" t="str">
            <v>Colgate Palmolive (CENTRAL AMERICA) INC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50</v>
          </cell>
          <cell r="J2030" t="str">
            <v>Colgate Palmolive (CENTRAL AMERICA) INC</v>
          </cell>
          <cell r="M2030"/>
          <cell r="N2030">
            <v>86</v>
          </cell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</row>
        <row r="2031">
          <cell r="A2031" t="str">
            <v>Colgate Palmolive (CENTRAL AMERICA) INC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86</v>
          </cell>
          <cell r="J2031" t="str">
            <v>Colgate Palmolive (CENTRAL AMERICA) INC</v>
          </cell>
          <cell r="M2031">
            <v>201</v>
          </cell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</row>
        <row r="2032">
          <cell r="A2032" t="str">
            <v>Colgate Palmolive (CENTRAL AMERICA) INC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201</v>
          </cell>
          <cell r="J2032" t="str">
            <v>Colgate Palmolive (CENTRAL AMERICA) INC</v>
          </cell>
          <cell r="M2032"/>
          <cell r="N2032"/>
          <cell r="O2032"/>
          <cell r="P2032"/>
          <cell r="Q2032"/>
          <cell r="R2032"/>
          <cell r="S2032"/>
          <cell r="T2032">
            <v>73</v>
          </cell>
          <cell r="U2032"/>
          <cell r="V2032"/>
          <cell r="W2032"/>
          <cell r="X2032"/>
          <cell r="Y2032"/>
        </row>
        <row r="2033">
          <cell r="A2033" t="str">
            <v>Colgate Palmolive (CENTRAL AMERICA) INC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73</v>
          </cell>
          <cell r="J2033" t="str">
            <v>Colgate Palmolive (CENTRAL AMERICA) INC</v>
          </cell>
          <cell r="M2033"/>
          <cell r="N2033"/>
          <cell r="O2033"/>
          <cell r="P2033"/>
          <cell r="Q2033"/>
          <cell r="R2033"/>
          <cell r="S2033"/>
          <cell r="T2033">
            <v>635</v>
          </cell>
          <cell r="U2033"/>
          <cell r="V2033"/>
          <cell r="W2033"/>
          <cell r="X2033"/>
          <cell r="Y2033"/>
        </row>
        <row r="2034">
          <cell r="A2034" t="str">
            <v>Colgate Palmolive (CENTRAL AMERICA) INC</v>
          </cell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G2034">
            <v>635</v>
          </cell>
          <cell r="J2034" t="str">
            <v>Colgate Palmolive (CENTRAL AMERICA) INC</v>
          </cell>
          <cell r="M2034"/>
          <cell r="N2034">
            <v>201</v>
          </cell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</row>
        <row r="2035">
          <cell r="A2035" t="str">
            <v>Colgate Palmolive (CENTRAL AMERICA) INC</v>
          </cell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G2035">
            <v>201</v>
          </cell>
          <cell r="J2035" t="str">
            <v>Colgate Palmolive (CENTRAL AMERICA) INC</v>
          </cell>
          <cell r="M2035"/>
          <cell r="N2035">
            <v>0</v>
          </cell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</row>
        <row r="2036">
          <cell r="A2036" t="str">
            <v>Colgate Palmolive (CENTRAL AMERICA) INC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J2036" t="str">
            <v>Colgate Palmolive (CENTRAL AMERICA) INC</v>
          </cell>
          <cell r="M2036"/>
          <cell r="N2036">
            <v>284</v>
          </cell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</row>
        <row r="2037">
          <cell r="A2037" t="str">
            <v>Colgate Palmolive (CENTRAL AMERICA) INC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284</v>
          </cell>
          <cell r="J2037" t="str">
            <v>Colgate Palmolive (CENTRAL AMERICA) INC</v>
          </cell>
          <cell r="M2037">
            <v>150</v>
          </cell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</row>
        <row r="2038">
          <cell r="A2038" t="str">
            <v>Colgate Palmolive (CENTRAL AMERICA) INC</v>
          </cell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G2038">
            <v>150</v>
          </cell>
          <cell r="J2038" t="str">
            <v>Colgate Palmolive (CENTRAL AMERICA) INC</v>
          </cell>
          <cell r="M2038"/>
          <cell r="N2038"/>
          <cell r="O2038">
            <v>1200</v>
          </cell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</row>
        <row r="2039">
          <cell r="A2039" t="str">
            <v>Colgate Palmolive (CENTRAL AMERICA) INC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1200</v>
          </cell>
          <cell r="J2039" t="str">
            <v>Colgate Palmolive (CENTRAL AMERICA) INC</v>
          </cell>
          <cell r="M2039"/>
          <cell r="N2039">
            <v>20</v>
          </cell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</row>
        <row r="2040">
          <cell r="A2040" t="str">
            <v>Colgate Palmolive (CENTRAL AMERICA) INC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20</v>
          </cell>
          <cell r="J2040" t="str">
            <v>Colgate Palmolive (CENTRAL AMERICA) INC</v>
          </cell>
          <cell r="M2040"/>
          <cell r="N2040"/>
          <cell r="O2040">
            <v>410</v>
          </cell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</row>
        <row r="2041">
          <cell r="A2041" t="str">
            <v>Colgate Palmolive (CENTRAL AMERICA) INC</v>
          </cell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G2041">
            <v>410</v>
          </cell>
          <cell r="J2041" t="str">
            <v>Colgate Palmolive (CENTRAL AMERICA) INC</v>
          </cell>
          <cell r="M2041"/>
          <cell r="N2041"/>
          <cell r="O2041">
            <v>140</v>
          </cell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</row>
        <row r="2042">
          <cell r="A2042" t="str">
            <v>Colgate Palmolive (CENTRAL AMERICA) INC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140</v>
          </cell>
          <cell r="J2042" t="str">
            <v>Colgate Palmolive (CENTRAL AMERICA) INC</v>
          </cell>
          <cell r="M2042"/>
          <cell r="N2042">
            <v>84</v>
          </cell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</row>
        <row r="2043">
          <cell r="A2043" t="str">
            <v>Colgate Palmolive (CENTRAL AMERICA) INC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84</v>
          </cell>
          <cell r="J2043" t="str">
            <v>Colgate Palmolive (CENTRAL AMERICA) INC</v>
          </cell>
          <cell r="M2043"/>
          <cell r="N2043">
            <v>230</v>
          </cell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</row>
        <row r="2044">
          <cell r="A2044" t="str">
            <v>Colgate Palmolive (CENTRAL AMERICA) INC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230</v>
          </cell>
          <cell r="J2044" t="str">
            <v>Colgate Palmolive (CENTRAL AMERICA) INC</v>
          </cell>
          <cell r="M2044"/>
          <cell r="N2044">
            <v>205</v>
          </cell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</row>
        <row r="2045">
          <cell r="A2045" t="str">
            <v>Colgate Palmolive (CENTRAL AMERICA) INC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205</v>
          </cell>
          <cell r="J2045" t="str">
            <v>Colgate Palmolive (CENTRAL AMERICA) INC</v>
          </cell>
          <cell r="M2045"/>
          <cell r="N2045">
            <v>0</v>
          </cell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</row>
        <row r="2046">
          <cell r="A2046" t="str">
            <v>Colgate Palmolive (CENTRAL AMERICA) INC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J2046" t="str">
            <v>Colgate Palmolive (CENTRAL AMERICA) INC</v>
          </cell>
          <cell r="M2046"/>
          <cell r="N2046">
            <v>60</v>
          </cell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</row>
        <row r="2047">
          <cell r="A2047" t="str">
            <v>Colgate Palmolive (CENTRAL AMERICA) INC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60</v>
          </cell>
          <cell r="J2047" t="str">
            <v>Colgate Palmolive (CENTRAL AMERICA) INC</v>
          </cell>
          <cell r="M2047"/>
          <cell r="N2047"/>
          <cell r="O2047">
            <v>219</v>
          </cell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</row>
        <row r="2048">
          <cell r="A2048" t="str">
            <v>Colgate Palmolive (CENTRAL AMERICA) INC</v>
          </cell>
          <cell r="C2048">
            <v>0</v>
          </cell>
          <cell r="D2048">
            <v>16</v>
          </cell>
          <cell r="E2048">
            <v>19</v>
          </cell>
          <cell r="F2048">
            <v>19</v>
          </cell>
          <cell r="G2048">
            <v>219</v>
          </cell>
          <cell r="J2048" t="str">
            <v>Colgate Palmolive (CENTRAL AMERICA) INC</v>
          </cell>
          <cell r="M2048"/>
          <cell r="N2048"/>
          <cell r="O2048"/>
          <cell r="P2048"/>
          <cell r="Q2048"/>
          <cell r="R2048"/>
          <cell r="S2048">
            <v>305</v>
          </cell>
          <cell r="T2048"/>
          <cell r="U2048"/>
          <cell r="V2048"/>
          <cell r="W2048"/>
          <cell r="X2048"/>
          <cell r="Y2048"/>
        </row>
        <row r="2049">
          <cell r="A2049" t="str">
            <v>Colgate Palmolive (CENTRAL AMERICA) INC</v>
          </cell>
          <cell r="C2049">
            <v>100</v>
          </cell>
          <cell r="D2049">
            <v>0</v>
          </cell>
          <cell r="E2049">
            <v>0</v>
          </cell>
          <cell r="F2049">
            <v>0</v>
          </cell>
          <cell r="G2049">
            <v>305</v>
          </cell>
          <cell r="J2049" t="str">
            <v>Colgate Palmolive (CENTRAL AMERICA) INC</v>
          </cell>
          <cell r="M2049"/>
          <cell r="N2049"/>
          <cell r="O2049"/>
          <cell r="P2049"/>
          <cell r="Q2049"/>
          <cell r="R2049"/>
          <cell r="S2049">
            <v>152</v>
          </cell>
          <cell r="T2049"/>
          <cell r="U2049"/>
          <cell r="V2049"/>
          <cell r="W2049"/>
          <cell r="X2049"/>
          <cell r="Y2049"/>
        </row>
        <row r="2050">
          <cell r="A2050" t="str">
            <v>Colgate Palmolive (CENTRAL AMERICA) INC</v>
          </cell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G2050">
            <v>152</v>
          </cell>
          <cell r="J2050" t="str">
            <v>Colgate Palmolive (CENTRAL AMERICA) INC</v>
          </cell>
          <cell r="M2050"/>
          <cell r="N2050"/>
          <cell r="O2050"/>
          <cell r="P2050"/>
          <cell r="Q2050">
            <v>60</v>
          </cell>
          <cell r="R2050"/>
          <cell r="S2050"/>
          <cell r="T2050"/>
          <cell r="U2050"/>
          <cell r="V2050"/>
          <cell r="W2050"/>
          <cell r="X2050"/>
          <cell r="Y2050"/>
        </row>
        <row r="2051">
          <cell r="A2051" t="str">
            <v>Colgate Palmolive (CENTRAL AMERICA) INC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60</v>
          </cell>
          <cell r="J2051" t="str">
            <v>Colgate Palmolive (CENTRAL AMERICA) INC</v>
          </cell>
          <cell r="M2051"/>
          <cell r="N2051"/>
          <cell r="O2051">
            <v>256</v>
          </cell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</row>
        <row r="2052">
          <cell r="A2052" t="str">
            <v>Colgate Palmolive (CENTRAL AMERICA) INC</v>
          </cell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G2052">
            <v>256</v>
          </cell>
          <cell r="J2052" t="str">
            <v>Colgate Palmolive (CENTRAL AMERICA) INC</v>
          </cell>
          <cell r="M2052"/>
          <cell r="N2052"/>
          <cell r="O2052"/>
          <cell r="P2052"/>
          <cell r="Q2052">
            <v>496</v>
          </cell>
          <cell r="R2052"/>
          <cell r="S2052"/>
          <cell r="T2052"/>
          <cell r="U2052"/>
          <cell r="V2052"/>
          <cell r="W2052"/>
          <cell r="X2052"/>
          <cell r="Y2052"/>
        </row>
        <row r="2053">
          <cell r="A2053" t="str">
            <v>Colgate Palmolive (CENTRAL AMERICA) INC</v>
          </cell>
          <cell r="C2053">
            <v>73</v>
          </cell>
          <cell r="D2053">
            <v>0</v>
          </cell>
          <cell r="E2053">
            <v>0</v>
          </cell>
          <cell r="F2053">
            <v>0</v>
          </cell>
          <cell r="G2053">
            <v>496</v>
          </cell>
          <cell r="J2053" t="str">
            <v>Colgate Palmolive (CENTRAL AMERICA) INC</v>
          </cell>
          <cell r="M2053">
            <v>400</v>
          </cell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</row>
        <row r="2054">
          <cell r="A2054" t="str">
            <v>Colgate Palmolive (CENTRAL AMERICA) INC</v>
          </cell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G2054">
            <v>400</v>
          </cell>
          <cell r="J2054" t="str">
            <v>Colgate Palmolive (CENTRAL AMERICA) INC</v>
          </cell>
          <cell r="M2054"/>
          <cell r="N2054"/>
          <cell r="O2054">
            <v>34</v>
          </cell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</row>
        <row r="2055">
          <cell r="A2055" t="str">
            <v>Colgate Palmolive (CENTRAL AMERICA) INC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34</v>
          </cell>
          <cell r="J2055" t="str">
            <v>Colgate Palmolive (CENTRAL AMERICA) INC</v>
          </cell>
          <cell r="M2055"/>
          <cell r="N2055"/>
          <cell r="O2055"/>
          <cell r="P2055"/>
          <cell r="Q2055"/>
          <cell r="R2055"/>
          <cell r="S2055">
            <v>96</v>
          </cell>
          <cell r="T2055"/>
          <cell r="U2055"/>
          <cell r="V2055"/>
          <cell r="W2055"/>
          <cell r="X2055"/>
          <cell r="Y2055"/>
        </row>
        <row r="2056">
          <cell r="A2056" t="str">
            <v>Colgate Palmolive (CENTRAL AMERICA) INC</v>
          </cell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G2056">
            <v>96</v>
          </cell>
          <cell r="J2056" t="str">
            <v>Colgate Palmolive (CENTRAL AMERICA) INC</v>
          </cell>
          <cell r="M2056"/>
          <cell r="N2056">
            <v>230</v>
          </cell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</row>
        <row r="2057">
          <cell r="A2057" t="str">
            <v>Colgate Palmolive (CENTRAL AMERICA) INC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230</v>
          </cell>
          <cell r="J2057" t="str">
            <v>Colgate Palmolive (CENTRAL AMERICA) INC</v>
          </cell>
          <cell r="M2057">
            <v>352</v>
          </cell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</row>
        <row r="2058">
          <cell r="A2058" t="str">
            <v>Colgate Palmolive (CENTRAL AMERICA) INC</v>
          </cell>
          <cell r="C2058">
            <v>225</v>
          </cell>
          <cell r="D2058">
            <v>0</v>
          </cell>
          <cell r="E2058">
            <v>0</v>
          </cell>
          <cell r="F2058">
            <v>0</v>
          </cell>
          <cell r="G2058">
            <v>352</v>
          </cell>
          <cell r="J2058" t="str">
            <v>Colgate Palmolive (CENTRAL AMERICA) INC</v>
          </cell>
          <cell r="M2058"/>
          <cell r="N2058"/>
          <cell r="O2058"/>
          <cell r="P2058"/>
          <cell r="Q2058"/>
          <cell r="R2058"/>
          <cell r="S2058"/>
          <cell r="T2058">
            <v>50</v>
          </cell>
          <cell r="U2058"/>
          <cell r="V2058"/>
          <cell r="W2058"/>
          <cell r="X2058"/>
          <cell r="Y2058"/>
        </row>
        <row r="2059">
          <cell r="A2059" t="str">
            <v>Colgate Palmolive (CENTRAL AMERICA) INC</v>
          </cell>
          <cell r="C2059">
            <v>0</v>
          </cell>
          <cell r="D2059">
            <v>0</v>
          </cell>
          <cell r="E2059">
            <v>0</v>
          </cell>
          <cell r="F2059">
            <v>0</v>
          </cell>
          <cell r="G2059">
            <v>50</v>
          </cell>
          <cell r="J2059" t="str">
            <v>Colgate Palmolive (CENTRAL AMERICA) INC</v>
          </cell>
          <cell r="M2059"/>
          <cell r="N2059">
            <v>510</v>
          </cell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</row>
        <row r="2060">
          <cell r="A2060" t="str">
            <v>Colgate Palmolive (CENTRAL AMERICA) INC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510</v>
          </cell>
          <cell r="J2060" t="str">
            <v>Colgate Palmolive (CENTRAL AMERICA) INC</v>
          </cell>
          <cell r="M2060"/>
          <cell r="N2060">
            <v>97</v>
          </cell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</row>
        <row r="2061">
          <cell r="A2061" t="str">
            <v>Colgate Palmolive (CENTRAL AMERICA) INC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97</v>
          </cell>
          <cell r="J2061" t="str">
            <v>Colgate Palmolive (CENTRAL AMERICA) INC</v>
          </cell>
          <cell r="M2061">
            <v>1350</v>
          </cell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</row>
        <row r="2062">
          <cell r="A2062" t="str">
            <v>Colgate Palmolive (CENTRAL AMERICA) INC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1350</v>
          </cell>
          <cell r="J2062" t="str">
            <v>Colgate Palmolive (CENTRAL AMERICA) INC</v>
          </cell>
          <cell r="M2062">
            <v>77</v>
          </cell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</row>
        <row r="2063">
          <cell r="A2063" t="str">
            <v>Colgate Palmolive (CENTRAL AMERICA) INC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77</v>
          </cell>
          <cell r="J2063" t="str">
            <v>Colgate Palmolive (CENTRAL AMERICA) INC</v>
          </cell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>
            <v>0</v>
          </cell>
          <cell r="X2063"/>
          <cell r="Y2063"/>
        </row>
        <row r="2064">
          <cell r="A2064" t="str">
            <v>Colgate Palmolive (CENTRAL AMERICA) INC</v>
          </cell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J2064" t="str">
            <v>Colgate Palmolive (CENTRAL AMERICA) INC</v>
          </cell>
          <cell r="M2064"/>
          <cell r="N2064"/>
          <cell r="O2064"/>
          <cell r="P2064"/>
          <cell r="Q2064"/>
          <cell r="R2064"/>
          <cell r="S2064"/>
          <cell r="T2064"/>
          <cell r="U2064">
            <v>251</v>
          </cell>
          <cell r="V2064"/>
          <cell r="W2064"/>
          <cell r="X2064"/>
          <cell r="Y2064"/>
        </row>
        <row r="2065">
          <cell r="A2065" t="str">
            <v>Colgate Palmolive (CENTRAL AMERICA) INC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251</v>
          </cell>
          <cell r="J2065" t="str">
            <v>Colgate Palmolive (CENTRAL AMERICA) INC</v>
          </cell>
          <cell r="M2065"/>
          <cell r="N2065"/>
          <cell r="O2065"/>
          <cell r="P2065"/>
          <cell r="Q2065"/>
          <cell r="R2065"/>
          <cell r="S2065"/>
          <cell r="T2065"/>
          <cell r="U2065"/>
          <cell r="V2065">
            <v>0</v>
          </cell>
          <cell r="W2065"/>
          <cell r="X2065"/>
          <cell r="Y2065"/>
        </row>
        <row r="2066">
          <cell r="A2066" t="str">
            <v>Colgate Palmolive (CENTRAL AMERICA) INC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J2066" t="str">
            <v>Colgate Palmolive (CENTRAL AMERICA) INC</v>
          </cell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>
            <v>0</v>
          </cell>
        </row>
        <row r="2067">
          <cell r="A2067" t="str">
            <v>Colgate Palmolive (CENTRAL AMERICA) INC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J2067" t="str">
            <v>Colgate Palmolive (CENTRAL AMERICA) INC</v>
          </cell>
          <cell r="M2067"/>
          <cell r="N2067"/>
          <cell r="O2067">
            <v>0</v>
          </cell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</row>
        <row r="2068">
          <cell r="A2068" t="str">
            <v>Colgate Palmolive (CENTRAL AMERICA) INC</v>
          </cell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J2068" t="str">
            <v>Colgate Palmolive (CENTRAL AMERICA) INC</v>
          </cell>
          <cell r="M2068">
            <v>209</v>
          </cell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</row>
        <row r="2069">
          <cell r="A2069" t="str">
            <v>Colgate Palmolive (CENTRAL AMERICA) INC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209</v>
          </cell>
          <cell r="J2069" t="str">
            <v>Colgate Palmolive (CENTRAL AMERICA) INC</v>
          </cell>
          <cell r="M2069"/>
          <cell r="N2069">
            <v>0</v>
          </cell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</row>
        <row r="2070">
          <cell r="A2070" t="str">
            <v>Colgate Palmolive (CENTRAL AMERICA) INC</v>
          </cell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J2070" t="str">
            <v>Colgate Palmolive (CENTRAL AMERICA) INC</v>
          </cell>
          <cell r="M2070"/>
          <cell r="N2070"/>
          <cell r="O2070"/>
          <cell r="P2070"/>
          <cell r="Q2070"/>
          <cell r="R2070"/>
          <cell r="S2070">
            <v>200</v>
          </cell>
          <cell r="T2070"/>
          <cell r="U2070"/>
          <cell r="V2070"/>
          <cell r="W2070"/>
          <cell r="X2070"/>
          <cell r="Y2070"/>
        </row>
        <row r="2071">
          <cell r="A2071" t="str">
            <v>Colgate Palmolive (CENTRAL AMERICA) INC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200</v>
          </cell>
          <cell r="J2071" t="str">
            <v>Colgate Palmolive (CENTRAL AMERICA) INC</v>
          </cell>
          <cell r="M2071"/>
          <cell r="N2071"/>
          <cell r="O2071"/>
          <cell r="P2071"/>
          <cell r="Q2071"/>
          <cell r="R2071"/>
          <cell r="S2071"/>
          <cell r="T2071"/>
          <cell r="U2071"/>
          <cell r="V2071">
            <v>200</v>
          </cell>
          <cell r="W2071"/>
          <cell r="X2071"/>
          <cell r="Y2071"/>
        </row>
        <row r="2072">
          <cell r="A2072" t="str">
            <v>Colgate Palmolive (CENTRAL AMERICA) INC</v>
          </cell>
          <cell r="C2072">
            <v>200</v>
          </cell>
          <cell r="D2072">
            <v>0</v>
          </cell>
          <cell r="E2072">
            <v>0</v>
          </cell>
          <cell r="F2072">
            <v>0</v>
          </cell>
          <cell r="G2072">
            <v>200</v>
          </cell>
          <cell r="J2072" t="str">
            <v>Colgate Palmolive (CENTRAL AMERICA) INC</v>
          </cell>
          <cell r="M2072">
            <v>52</v>
          </cell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</row>
        <row r="2073">
          <cell r="A2073" t="str">
            <v>Colgate Palmolive (CENTRAL AMERICA) INC</v>
          </cell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G2073">
            <v>52</v>
          </cell>
          <cell r="J2073" t="str">
            <v>Colgate Palmolive (CENTRAL AMERICA) INC</v>
          </cell>
          <cell r="M2073">
            <v>360</v>
          </cell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</row>
        <row r="2074">
          <cell r="A2074" t="str">
            <v>Colgate Palmolive (CENTRAL AMERICA) INC</v>
          </cell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G2074">
            <v>360</v>
          </cell>
          <cell r="J2074" t="str">
            <v>Colgate Palmolive (CENTRAL AMERICA) INC</v>
          </cell>
          <cell r="M2074"/>
          <cell r="N2074"/>
          <cell r="O2074"/>
          <cell r="P2074">
            <v>150</v>
          </cell>
          <cell r="Q2074"/>
          <cell r="R2074"/>
          <cell r="S2074"/>
          <cell r="T2074"/>
          <cell r="U2074"/>
          <cell r="V2074"/>
          <cell r="W2074"/>
          <cell r="X2074"/>
          <cell r="Y2074"/>
        </row>
        <row r="2075">
          <cell r="A2075" t="str">
            <v>Colgate Palmolive (CENTRAL AMERICA) INC</v>
          </cell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G2075">
            <v>150</v>
          </cell>
          <cell r="J2075" t="str">
            <v>Colgate Palmolive (CENTRAL AMERICA) INC</v>
          </cell>
          <cell r="M2075">
            <v>600</v>
          </cell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</row>
        <row r="2076">
          <cell r="A2076" t="str">
            <v>Colgate Palmolive (CENTRAL AMERICA) INC</v>
          </cell>
          <cell r="C2076">
            <v>0</v>
          </cell>
          <cell r="D2076">
            <v>0</v>
          </cell>
          <cell r="E2076">
            <v>0</v>
          </cell>
          <cell r="F2076">
            <v>0</v>
          </cell>
          <cell r="G2076">
            <v>600</v>
          </cell>
          <cell r="J2076" t="str">
            <v>Colgate Palmolive (CENTRAL AMERICA) INC</v>
          </cell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>
            <v>50</v>
          </cell>
        </row>
        <row r="2077">
          <cell r="A2077" t="str">
            <v>Colgate Palmolive (CENTRAL AMERICA) INC</v>
          </cell>
          <cell r="C2077">
            <v>0</v>
          </cell>
          <cell r="D2077">
            <v>0</v>
          </cell>
          <cell r="E2077">
            <v>0</v>
          </cell>
          <cell r="F2077">
            <v>0</v>
          </cell>
          <cell r="G2077">
            <v>50</v>
          </cell>
          <cell r="J2077" t="str">
            <v>PRODUCTOS LUX, S.A ( Proluxa)</v>
          </cell>
          <cell r="M2077">
            <v>325</v>
          </cell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</row>
        <row r="2078">
          <cell r="A2078" t="str">
            <v>PRODUCTOS LUX, S.A ( Proluxa)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325</v>
          </cell>
          <cell r="J2078" t="str">
            <v>PRODUCTOS LUX, S.A ( Proluxa)</v>
          </cell>
          <cell r="M2078"/>
          <cell r="N2078"/>
          <cell r="O2078"/>
          <cell r="P2078">
            <v>102</v>
          </cell>
          <cell r="Q2078"/>
          <cell r="R2078"/>
          <cell r="S2078"/>
          <cell r="T2078"/>
          <cell r="U2078"/>
          <cell r="V2078"/>
          <cell r="W2078"/>
          <cell r="X2078"/>
          <cell r="Y2078"/>
        </row>
        <row r="2079">
          <cell r="A2079" t="str">
            <v>PRODUCTOS LUX, S.A ( Proluxa)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102</v>
          </cell>
          <cell r="J2079" t="str">
            <v>PRODUCTOS LUX, S.A ( Proluxa)</v>
          </cell>
          <cell r="M2079"/>
          <cell r="N2079">
            <v>100</v>
          </cell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</row>
        <row r="2080">
          <cell r="A2080" t="str">
            <v>PRODUCTOS LUX, S.A ( Proluxa)</v>
          </cell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G2080">
            <v>100</v>
          </cell>
          <cell r="J2080" t="str">
            <v>PRODUCTOS LUX, S.A ( Proluxa)</v>
          </cell>
          <cell r="M2080"/>
          <cell r="N2080"/>
          <cell r="O2080">
            <v>180</v>
          </cell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</row>
        <row r="2081">
          <cell r="A2081" t="str">
            <v>PRODUCTOS LUX, S.A ( Proluxa)</v>
          </cell>
          <cell r="C2081">
            <v>0</v>
          </cell>
          <cell r="D2081">
            <v>0</v>
          </cell>
          <cell r="E2081">
            <v>0</v>
          </cell>
          <cell r="F2081">
            <v>0</v>
          </cell>
          <cell r="G2081">
            <v>180</v>
          </cell>
          <cell r="J2081" t="str">
            <v>PRODUCTOS LUX, S.A ( Proluxa)</v>
          </cell>
          <cell r="M2081"/>
          <cell r="N2081">
            <v>100</v>
          </cell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</row>
        <row r="2082">
          <cell r="A2082" t="str">
            <v>PRODUCTOS LUX, S.A ( Proluxa)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100</v>
          </cell>
          <cell r="J2082" t="str">
            <v>PRODUCTOS LUX, S.A ( Proluxa)</v>
          </cell>
          <cell r="M2082"/>
          <cell r="N2082">
            <v>250</v>
          </cell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</row>
        <row r="2083">
          <cell r="A2083" t="str">
            <v>PRODUCTOS LUX, S.A ( Proluxa)</v>
          </cell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G2083">
            <v>250</v>
          </cell>
          <cell r="J2083" t="str">
            <v>PRODUCTOS LUX, S.A ( Proluxa)</v>
          </cell>
          <cell r="M2083"/>
          <cell r="N2083"/>
          <cell r="O2083"/>
          <cell r="P2083"/>
          <cell r="Q2083"/>
          <cell r="R2083">
            <v>180</v>
          </cell>
          <cell r="S2083"/>
          <cell r="T2083"/>
          <cell r="U2083"/>
          <cell r="V2083"/>
          <cell r="W2083"/>
          <cell r="X2083"/>
          <cell r="Y2083"/>
        </row>
        <row r="2084">
          <cell r="A2084" t="str">
            <v>PRODUCTOS LUX, S.A ( Proluxa)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180</v>
          </cell>
          <cell r="J2084" t="str">
            <v>PRODUCTOS LUX, S.A ( Proluxa)</v>
          </cell>
          <cell r="M2084"/>
          <cell r="N2084">
            <v>70</v>
          </cell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</row>
        <row r="2085">
          <cell r="A2085" t="str">
            <v>PRODUCTOS LUX, S.A ( Proluxa)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70</v>
          </cell>
          <cell r="J2085" t="str">
            <v>PRODUCTOS LUX, S.A ( Proluxa)</v>
          </cell>
          <cell r="M2085"/>
          <cell r="N2085"/>
          <cell r="O2085">
            <v>1090</v>
          </cell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</row>
        <row r="2086">
          <cell r="A2086" t="str">
            <v>PRODUCTOS LUX, S.A ( Proluxa)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1090</v>
          </cell>
          <cell r="J2086" t="str">
            <v>PRODUCTOS LUX, S.A ( Proluxa)</v>
          </cell>
          <cell r="M2086">
            <v>0</v>
          </cell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</row>
        <row r="2087">
          <cell r="A2087" t="str">
            <v>PRODUCTOS LUX, S.A ( Proluxa)</v>
          </cell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J2087" t="str">
            <v>PRODUCTOS LUX, S.A ( Proluxa)</v>
          </cell>
          <cell r="M2087"/>
          <cell r="N2087">
            <v>282</v>
          </cell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</row>
        <row r="2088">
          <cell r="A2088" t="str">
            <v>PRODUCTOS LUX, S.A ( Proluxa)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282</v>
          </cell>
          <cell r="J2088" t="str">
            <v>PRODUCTOS LUX, S.A ( Proluxa)</v>
          </cell>
          <cell r="M2088"/>
          <cell r="N2088">
            <v>38</v>
          </cell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</row>
        <row r="2089">
          <cell r="A2089" t="str">
            <v>PRODUCTOS LUX, S.A ( Proluxa)</v>
          </cell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G2089">
            <v>38</v>
          </cell>
          <cell r="J2089" t="str">
            <v>PRODUCTOS LUX, S.A ( Proluxa)</v>
          </cell>
          <cell r="M2089"/>
          <cell r="N2089">
            <v>70</v>
          </cell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</row>
        <row r="2090">
          <cell r="A2090" t="str">
            <v>PRODUCTOS LUX, S.A ( Proluxa)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70</v>
          </cell>
          <cell r="J2090" t="str">
            <v>PRODUCTOS LUX, S.A ( Proluxa)</v>
          </cell>
          <cell r="M2090"/>
          <cell r="N2090"/>
          <cell r="O2090">
            <v>116</v>
          </cell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</row>
        <row r="2091">
          <cell r="A2091" t="str">
            <v>PRODUCTOS LUX, S.A ( Proluxa)</v>
          </cell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G2091">
            <v>116</v>
          </cell>
          <cell r="J2091" t="str">
            <v>PRODUCTOS LUX, S.A ( Proluxa)</v>
          </cell>
          <cell r="M2091"/>
          <cell r="N2091"/>
          <cell r="O2091"/>
          <cell r="P2091"/>
          <cell r="Q2091"/>
          <cell r="R2091"/>
          <cell r="S2091">
            <v>211</v>
          </cell>
          <cell r="T2091"/>
          <cell r="U2091"/>
          <cell r="V2091"/>
          <cell r="W2091"/>
          <cell r="X2091"/>
          <cell r="Y2091"/>
        </row>
        <row r="2092">
          <cell r="A2092" t="str">
            <v>PRODUCTOS LUX, S.A ( Proluxa)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211</v>
          </cell>
          <cell r="J2092" t="str">
            <v>PRODUCTOS LUX, S.A ( Proluxa)</v>
          </cell>
          <cell r="M2092">
            <v>215</v>
          </cell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</row>
        <row r="2093">
          <cell r="A2093" t="str">
            <v>PRODUCTOS LUX, S.A ( Proluxa)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215</v>
          </cell>
          <cell r="J2093" t="str">
            <v>PRODUCTOS LUX, S.A ( Proluxa)</v>
          </cell>
          <cell r="M2093">
            <v>155</v>
          </cell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</row>
        <row r="2094">
          <cell r="A2094" t="str">
            <v>PRODUCTOS LUX, S.A ( Proluxa)</v>
          </cell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G2094">
            <v>155</v>
          </cell>
          <cell r="J2094" t="str">
            <v>PRODUCTOS LUX, S.A ( Proluxa)</v>
          </cell>
          <cell r="M2094">
            <v>100</v>
          </cell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</row>
        <row r="2095">
          <cell r="A2095" t="str">
            <v>PRODUCTOS LUX, S.A ( Proluxa)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100</v>
          </cell>
          <cell r="J2095" t="str">
            <v>PRODUCTOS LUX, S.A ( Proluxa)</v>
          </cell>
          <cell r="M2095"/>
          <cell r="N2095">
            <v>264</v>
          </cell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</row>
        <row r="2096">
          <cell r="A2096" t="str">
            <v>PRODUCTOS LUX, S.A ( Proluxa)</v>
          </cell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G2096">
            <v>264</v>
          </cell>
          <cell r="J2096" t="str">
            <v>PRODUCTOS LUX, S.A ( Proluxa)</v>
          </cell>
          <cell r="M2096"/>
          <cell r="N2096"/>
          <cell r="O2096"/>
          <cell r="P2096"/>
          <cell r="Q2096">
            <v>57</v>
          </cell>
          <cell r="R2096"/>
          <cell r="S2096"/>
          <cell r="T2096"/>
          <cell r="U2096"/>
          <cell r="V2096"/>
          <cell r="W2096"/>
          <cell r="X2096"/>
          <cell r="Y2096"/>
        </row>
        <row r="2097">
          <cell r="A2097" t="str">
            <v>PRODUCTOS LUX, S.A ( Proluxa)</v>
          </cell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G2097">
            <v>57</v>
          </cell>
          <cell r="J2097" t="str">
            <v>PRODUCTOS LUX, S.A ( Proluxa)</v>
          </cell>
          <cell r="M2097"/>
          <cell r="N2097"/>
          <cell r="O2097">
            <v>60</v>
          </cell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</row>
        <row r="2098">
          <cell r="A2098" t="str">
            <v>PRODUCTOS LUX, S.A ( Proluxa)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60</v>
          </cell>
          <cell r="J2098" t="str">
            <v>PRODUCTOS LUX, S.A ( Proluxa)</v>
          </cell>
          <cell r="M2098"/>
          <cell r="N2098"/>
          <cell r="O2098"/>
          <cell r="P2098"/>
          <cell r="Q2098"/>
          <cell r="R2098"/>
          <cell r="S2098">
            <v>179</v>
          </cell>
          <cell r="T2098"/>
          <cell r="U2098"/>
          <cell r="V2098"/>
          <cell r="W2098"/>
          <cell r="X2098"/>
          <cell r="Y2098"/>
        </row>
        <row r="2099">
          <cell r="A2099" t="str">
            <v>PRODUCTOS LUX, S.A ( Proluxa)</v>
          </cell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G2099">
            <v>179</v>
          </cell>
          <cell r="J2099" t="str">
            <v>PRODUCTOS LUX, S.A ( Proluxa)</v>
          </cell>
          <cell r="M2099"/>
          <cell r="N2099">
            <v>162</v>
          </cell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</row>
        <row r="2100">
          <cell r="A2100" t="str">
            <v>PRODUCTOS LUX, S.A ( Proluxa)</v>
          </cell>
          <cell r="C2100">
            <v>162</v>
          </cell>
          <cell r="D2100">
            <v>0</v>
          </cell>
          <cell r="E2100">
            <v>0</v>
          </cell>
          <cell r="F2100">
            <v>0</v>
          </cell>
          <cell r="G2100">
            <v>162</v>
          </cell>
          <cell r="J2100" t="str">
            <v>PRODUCTOS LUX, S.A ( Proluxa)</v>
          </cell>
          <cell r="M2100"/>
          <cell r="N2100">
            <v>86</v>
          </cell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</row>
        <row r="2101">
          <cell r="A2101" t="str">
            <v>PRODUCTOS LUX, S.A ( Proluxa)</v>
          </cell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G2101">
            <v>86</v>
          </cell>
          <cell r="J2101" t="str">
            <v>PRODUCTOS LUX, S.A ( Proluxa)</v>
          </cell>
          <cell r="M2101">
            <v>201</v>
          </cell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</row>
        <row r="2102">
          <cell r="A2102" t="str">
            <v>PRODUCTOS LUX, S.A ( Proluxa)</v>
          </cell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G2102">
            <v>201</v>
          </cell>
          <cell r="J2102" t="str">
            <v>PRODUCTOS LUX, S.A ( Proluxa)</v>
          </cell>
          <cell r="M2102"/>
          <cell r="N2102"/>
          <cell r="O2102"/>
          <cell r="P2102"/>
          <cell r="Q2102"/>
          <cell r="R2102"/>
          <cell r="S2102"/>
          <cell r="T2102">
            <v>635</v>
          </cell>
          <cell r="U2102"/>
          <cell r="V2102"/>
          <cell r="W2102"/>
          <cell r="X2102"/>
          <cell r="Y2102"/>
        </row>
        <row r="2103">
          <cell r="A2103" t="str">
            <v>PRODUCTOS LUX, S.A ( Proluxa)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635</v>
          </cell>
          <cell r="J2103" t="str">
            <v>PRODUCTOS LUX, S.A ( Proluxa)</v>
          </cell>
          <cell r="M2103"/>
          <cell r="N2103">
            <v>201</v>
          </cell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</row>
        <row r="2104">
          <cell r="A2104" t="str">
            <v>PRODUCTOS LUX, S.A ( Proluxa)</v>
          </cell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G2104">
            <v>201</v>
          </cell>
          <cell r="J2104" t="str">
            <v>PRODUCTOS LUX, S.A ( Proluxa)</v>
          </cell>
          <cell r="M2104"/>
          <cell r="N2104">
            <v>0</v>
          </cell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</row>
        <row r="2105">
          <cell r="A2105" t="str">
            <v>PRODUCTOS LUX, S.A ( Proluxa)</v>
          </cell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J2105" t="str">
            <v>PRODUCTOS LUX, S.A ( Proluxa)</v>
          </cell>
          <cell r="M2105"/>
          <cell r="N2105"/>
          <cell r="O2105">
            <v>1200</v>
          </cell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</row>
        <row r="2106">
          <cell r="A2106" t="str">
            <v>PRODUCTOS LUX, S.A ( Proluxa)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1200</v>
          </cell>
          <cell r="J2106" t="str">
            <v>PRODUCTOS LUX, S.A ( Proluxa)</v>
          </cell>
          <cell r="M2106"/>
          <cell r="N2106">
            <v>20</v>
          </cell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</row>
        <row r="2107">
          <cell r="A2107" t="str">
            <v>PRODUCTOS LUX, S.A ( Proluxa)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20</v>
          </cell>
          <cell r="J2107" t="str">
            <v>PRODUCTOS LUX, S.A ( Proluxa)</v>
          </cell>
          <cell r="M2107"/>
          <cell r="N2107">
            <v>250</v>
          </cell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</row>
        <row r="2108">
          <cell r="A2108" t="str">
            <v>PRODUCTOS LUX, S.A ( Proluxa)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250</v>
          </cell>
          <cell r="J2108" t="str">
            <v>PRODUCTOS LUX, S.A ( Proluxa)</v>
          </cell>
          <cell r="M2108"/>
          <cell r="N2108">
            <v>84</v>
          </cell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</row>
        <row r="2109">
          <cell r="A2109" t="str">
            <v>PRODUCTOS LUX, S.A ( Proluxa)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84</v>
          </cell>
          <cell r="J2109" t="str">
            <v>PRODUCTOS LUX, S.A ( Proluxa)</v>
          </cell>
          <cell r="M2109"/>
          <cell r="N2109">
            <v>0</v>
          </cell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</row>
        <row r="2110">
          <cell r="A2110" t="str">
            <v>PRODUCTOS LUX, S.A ( Proluxa)</v>
          </cell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J2110" t="str">
            <v>PRODUCTOS LUX, S.A ( Proluxa)</v>
          </cell>
          <cell r="M2110"/>
          <cell r="N2110">
            <v>251</v>
          </cell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</row>
        <row r="2111">
          <cell r="A2111" t="str">
            <v>PRODUCTOS LUX, S.A ( Proluxa)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251</v>
          </cell>
          <cell r="J2111" t="str">
            <v>PRODUCTOS LUX, S.A ( Proluxa)</v>
          </cell>
          <cell r="M2111"/>
          <cell r="N2111">
            <v>60</v>
          </cell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</row>
        <row r="2112">
          <cell r="A2112" t="str">
            <v>PRODUCTOS LUX, S.A ( Proluxa)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60</v>
          </cell>
          <cell r="J2112" t="str">
            <v>PRODUCTOS LUX, S.A ( Proluxa)</v>
          </cell>
          <cell r="M2112"/>
          <cell r="N2112"/>
          <cell r="O2112">
            <v>1017</v>
          </cell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</row>
        <row r="2113">
          <cell r="A2113" t="str">
            <v>PRODUCTOS LUX, S.A ( Proluxa)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1017</v>
          </cell>
          <cell r="J2113" t="str">
            <v>PRODUCTOS LUX, S.A ( Proluxa)</v>
          </cell>
          <cell r="M2113"/>
          <cell r="N2113"/>
          <cell r="O2113">
            <v>219</v>
          </cell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</row>
        <row r="2114">
          <cell r="A2114" t="str">
            <v>PRODUCTOS LUX, S.A ( Proluxa)</v>
          </cell>
          <cell r="C2114">
            <v>0</v>
          </cell>
          <cell r="D2114">
            <v>16</v>
          </cell>
          <cell r="E2114">
            <v>19</v>
          </cell>
          <cell r="F2114">
            <v>19</v>
          </cell>
          <cell r="G2114">
            <v>219</v>
          </cell>
          <cell r="J2114" t="str">
            <v>PRODUCTOS LUX, S.A ( Proluxa)</v>
          </cell>
          <cell r="M2114"/>
          <cell r="N2114"/>
          <cell r="O2114"/>
          <cell r="P2114"/>
          <cell r="Q2114">
            <v>83</v>
          </cell>
          <cell r="R2114"/>
          <cell r="S2114"/>
          <cell r="T2114"/>
          <cell r="U2114"/>
          <cell r="V2114"/>
          <cell r="W2114"/>
          <cell r="X2114"/>
          <cell r="Y2114"/>
        </row>
        <row r="2115">
          <cell r="A2115" t="str">
            <v>PRODUCTOS LUX, S.A ( Proluxa)</v>
          </cell>
          <cell r="C2115">
            <v>0</v>
          </cell>
          <cell r="D2115">
            <v>0</v>
          </cell>
          <cell r="E2115">
            <v>0</v>
          </cell>
          <cell r="F2115">
            <v>0</v>
          </cell>
          <cell r="G2115">
            <v>83</v>
          </cell>
          <cell r="J2115" t="str">
            <v>PRODUCTOS LUX, S.A ( Proluxa)</v>
          </cell>
          <cell r="M2115">
            <v>265</v>
          </cell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</row>
        <row r="2116">
          <cell r="A2116" t="str">
            <v>PRODUCTOS LUX, S.A ( Proluxa)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265</v>
          </cell>
          <cell r="J2116" t="str">
            <v>PRODUCTOS LUX, S.A ( Proluxa)</v>
          </cell>
          <cell r="M2116"/>
          <cell r="N2116"/>
          <cell r="O2116"/>
          <cell r="P2116"/>
          <cell r="Q2116"/>
          <cell r="R2116"/>
          <cell r="S2116">
            <v>152</v>
          </cell>
          <cell r="T2116"/>
          <cell r="U2116"/>
          <cell r="V2116"/>
          <cell r="W2116"/>
          <cell r="X2116"/>
          <cell r="Y2116"/>
        </row>
        <row r="2117">
          <cell r="A2117" t="str">
            <v>PRODUCTOS LUX, S.A ( Proluxa)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152</v>
          </cell>
          <cell r="J2117" t="str">
            <v>PRODUCTOS LUX, S.A ( Proluxa)</v>
          </cell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</row>
        <row r="2118">
          <cell r="A2118" t="str">
            <v>PRODUCTOS LUX, S.A ( Proluxa)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J2118" t="str">
            <v>PRODUCTOS LUX, S.A ( Proluxa)</v>
          </cell>
          <cell r="M2118"/>
          <cell r="N2118"/>
          <cell r="O2118"/>
          <cell r="P2118"/>
          <cell r="Q2118"/>
          <cell r="R2118"/>
          <cell r="S2118"/>
          <cell r="T2118"/>
          <cell r="U2118">
            <v>305</v>
          </cell>
          <cell r="V2118"/>
          <cell r="W2118"/>
          <cell r="X2118"/>
          <cell r="Y2118"/>
        </row>
        <row r="2119">
          <cell r="A2119" t="str">
            <v>PRODUCTOS LUX, S.A ( Proluxa)</v>
          </cell>
          <cell r="C2119">
            <v>0</v>
          </cell>
          <cell r="D2119">
            <v>40</v>
          </cell>
          <cell r="E2119">
            <v>60</v>
          </cell>
          <cell r="F2119">
            <v>40</v>
          </cell>
          <cell r="G2119">
            <v>305</v>
          </cell>
          <cell r="J2119" t="str">
            <v>PRODUCTOS LUX, S.A ( Proluxa)</v>
          </cell>
          <cell r="M2119">
            <v>400</v>
          </cell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</row>
        <row r="2120">
          <cell r="A2120" t="str">
            <v>PRODUCTOS LUX, S.A ( Proluxa)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400</v>
          </cell>
          <cell r="J2120" t="str">
            <v>PRODUCTOS LUX, S.A ( Proluxa)</v>
          </cell>
          <cell r="M2120"/>
          <cell r="N2120"/>
          <cell r="O2120">
            <v>256</v>
          </cell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</row>
        <row r="2121">
          <cell r="A2121" t="str">
            <v>PRODUCTOS LUX, S.A ( Proluxa)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256</v>
          </cell>
          <cell r="J2121" t="str">
            <v>PRODUCTOS LUX, S.A ( Proluxa)</v>
          </cell>
          <cell r="M2121"/>
          <cell r="N2121"/>
          <cell r="O2121"/>
          <cell r="P2121"/>
          <cell r="Q2121">
            <v>496</v>
          </cell>
          <cell r="R2121"/>
          <cell r="S2121"/>
          <cell r="T2121"/>
          <cell r="U2121"/>
          <cell r="V2121"/>
          <cell r="W2121"/>
          <cell r="X2121"/>
          <cell r="Y2121"/>
        </row>
        <row r="2122">
          <cell r="A2122" t="str">
            <v>PRODUCTOS LUX, S.A ( Proluxa)</v>
          </cell>
          <cell r="C2122">
            <v>73</v>
          </cell>
          <cell r="D2122">
            <v>0</v>
          </cell>
          <cell r="E2122">
            <v>0</v>
          </cell>
          <cell r="F2122">
            <v>0</v>
          </cell>
          <cell r="G2122">
            <v>496</v>
          </cell>
          <cell r="J2122" t="str">
            <v>PRODUCTOS LUX, S.A ( Proluxa)</v>
          </cell>
          <cell r="M2122">
            <v>400</v>
          </cell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</row>
        <row r="2123">
          <cell r="A2123" t="str">
            <v>PRODUCTOS LUX, S.A ( Proluxa)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400</v>
          </cell>
          <cell r="J2123" t="str">
            <v>PRODUCTOS LUX, S.A ( Proluxa)</v>
          </cell>
          <cell r="M2123">
            <v>100</v>
          </cell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</row>
        <row r="2124">
          <cell r="A2124" t="str">
            <v>PRODUCTOS LUX, S.A ( Proluxa)</v>
          </cell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G2124">
            <v>100</v>
          </cell>
          <cell r="J2124" t="str">
            <v>PRODUCTOS LUX, S.A ( Proluxa)</v>
          </cell>
          <cell r="M2124"/>
          <cell r="N2124"/>
          <cell r="O2124"/>
          <cell r="P2124"/>
          <cell r="Q2124"/>
          <cell r="R2124"/>
          <cell r="S2124">
            <v>96</v>
          </cell>
          <cell r="T2124"/>
          <cell r="U2124"/>
          <cell r="V2124"/>
          <cell r="W2124"/>
          <cell r="X2124"/>
          <cell r="Y2124"/>
        </row>
        <row r="2125">
          <cell r="A2125" t="str">
            <v>PRODUCTOS LUX, S.A ( Proluxa)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96</v>
          </cell>
          <cell r="J2125" t="str">
            <v>PRODUCTOS LUX, S.A ( Proluxa)</v>
          </cell>
          <cell r="M2125"/>
          <cell r="N2125">
            <v>230</v>
          </cell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</row>
        <row r="2126">
          <cell r="A2126" t="str">
            <v>PRODUCTOS LUX, S.A ( Proluxa)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230</v>
          </cell>
          <cell r="J2126" t="str">
            <v>PRODUCTOS LUX, S.A ( Proluxa)</v>
          </cell>
          <cell r="M2126">
            <v>352</v>
          </cell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</row>
        <row r="2127">
          <cell r="A2127" t="str">
            <v>PRODUCTOS LUX, S.A ( Proluxa)</v>
          </cell>
          <cell r="C2127">
            <v>225</v>
          </cell>
          <cell r="D2127">
            <v>0</v>
          </cell>
          <cell r="E2127">
            <v>0</v>
          </cell>
          <cell r="F2127">
            <v>0</v>
          </cell>
          <cell r="G2127">
            <v>352</v>
          </cell>
          <cell r="J2127" t="str">
            <v>PRODUCTOS LUX, S.A ( Proluxa)</v>
          </cell>
          <cell r="M2127"/>
          <cell r="N2127">
            <v>97</v>
          </cell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</row>
        <row r="2128">
          <cell r="A2128" t="str">
            <v>PRODUCTOS LUX, S.A ( Proluxa)</v>
          </cell>
          <cell r="C2128">
            <v>0</v>
          </cell>
          <cell r="D2128">
            <v>0</v>
          </cell>
          <cell r="E2128">
            <v>0</v>
          </cell>
          <cell r="F2128">
            <v>0</v>
          </cell>
          <cell r="G2128">
            <v>97</v>
          </cell>
          <cell r="J2128" t="str">
            <v>PRODUCTOS LUX, S.A ( Proluxa)</v>
          </cell>
          <cell r="M2128">
            <v>77</v>
          </cell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</row>
        <row r="2129">
          <cell r="A2129" t="str">
            <v>PRODUCTOS LUX, S.A ( Proluxa)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77</v>
          </cell>
          <cell r="J2129" t="str">
            <v>PRODUCTOS LUX, S.A ( Proluxa)</v>
          </cell>
          <cell r="M2129"/>
          <cell r="N2129">
            <v>130</v>
          </cell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</row>
        <row r="2130">
          <cell r="A2130" t="str">
            <v>PRODUCTOS LUX, S.A ( Proluxa)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130</v>
          </cell>
          <cell r="J2130" t="str">
            <v>PRODUCTOS LUX, S.A ( Proluxa)</v>
          </cell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>
            <v>0</v>
          </cell>
          <cell r="X2130"/>
          <cell r="Y2130"/>
        </row>
        <row r="2131">
          <cell r="A2131" t="str">
            <v>PRODUCTOS LUX, S.A ( Proluxa)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J2131" t="str">
            <v>PRODUCTOS LUX, S.A ( Proluxa)</v>
          </cell>
          <cell r="M2131"/>
          <cell r="N2131"/>
          <cell r="O2131"/>
          <cell r="P2131"/>
          <cell r="Q2131"/>
          <cell r="R2131"/>
          <cell r="S2131"/>
          <cell r="T2131"/>
          <cell r="U2131">
            <v>251</v>
          </cell>
          <cell r="V2131"/>
          <cell r="W2131"/>
          <cell r="X2131"/>
          <cell r="Y2131"/>
        </row>
        <row r="2132">
          <cell r="A2132" t="str">
            <v>PRODUCTOS LUX, S.A ( Proluxa)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251</v>
          </cell>
          <cell r="J2132" t="str">
            <v>PRODUCTOS LUX, S.A ( Proluxa)</v>
          </cell>
          <cell r="M2132"/>
          <cell r="N2132"/>
          <cell r="O2132"/>
          <cell r="P2132"/>
          <cell r="Q2132"/>
          <cell r="R2132"/>
          <cell r="S2132">
            <v>50</v>
          </cell>
          <cell r="T2132"/>
          <cell r="U2132"/>
          <cell r="V2132"/>
          <cell r="W2132"/>
          <cell r="X2132"/>
          <cell r="Y2132"/>
        </row>
        <row r="2133">
          <cell r="A2133" t="str">
            <v>PRODUCTOS LUX, S.A ( Proluxa)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50</v>
          </cell>
          <cell r="J2133" t="str">
            <v>PRODUCTOS LUX, S.A ( Proluxa)</v>
          </cell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>
            <v>0</v>
          </cell>
        </row>
        <row r="2134">
          <cell r="A2134" t="str">
            <v>PRODUCTOS LUX, S.A ( Proluxa)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J2134" t="str">
            <v>PRODUCTOS LUX, S.A ( Proluxa)</v>
          </cell>
          <cell r="M2134"/>
          <cell r="N2134"/>
          <cell r="O2134">
            <v>0</v>
          </cell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</row>
        <row r="2135">
          <cell r="A2135" t="str">
            <v>PRODUCTOS LUX, S.A ( Proluxa)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J2135" t="str">
            <v>PRODUCTOS LUX, S.A ( Proluxa)</v>
          </cell>
          <cell r="M2135">
            <v>209</v>
          </cell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</row>
        <row r="2136">
          <cell r="A2136" t="str">
            <v>PRODUCTOS LUX, S.A ( Proluxa)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209</v>
          </cell>
          <cell r="J2136" t="str">
            <v>PRODUCTOS LUX, S.A ( Proluxa)</v>
          </cell>
          <cell r="M2136">
            <v>0</v>
          </cell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</row>
        <row r="2137">
          <cell r="A2137" t="str">
            <v>PRODUCTOS LUX, S.A ( Proluxa)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J2137" t="str">
            <v>PRODUCTOS LUX, S.A ( Proluxa)</v>
          </cell>
          <cell r="M2137"/>
          <cell r="N2137">
            <v>0</v>
          </cell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</row>
        <row r="2138">
          <cell r="A2138" t="str">
            <v>PRODUCTOS LUX, S.A ( Proluxa)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J2138" t="str">
            <v>PRODUCTOS LUX, S.A ( Proluxa)</v>
          </cell>
          <cell r="M2138"/>
          <cell r="N2138"/>
          <cell r="O2138"/>
          <cell r="P2138"/>
          <cell r="Q2138"/>
          <cell r="R2138"/>
          <cell r="S2138">
            <v>150</v>
          </cell>
          <cell r="T2138"/>
          <cell r="U2138"/>
          <cell r="V2138"/>
          <cell r="W2138"/>
          <cell r="X2138"/>
          <cell r="Y2138"/>
        </row>
        <row r="2139">
          <cell r="A2139" t="str">
            <v>PRODUCTOS LUX, S.A ( Proluxa)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150</v>
          </cell>
          <cell r="J2139" t="str">
            <v>PRODUCTOS LUX, S.A ( Proluxa)</v>
          </cell>
          <cell r="M2139">
            <v>200</v>
          </cell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</row>
        <row r="2140">
          <cell r="A2140" t="str">
            <v>PRODUCTOS LUX, S.A ( Proluxa)</v>
          </cell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G2140">
            <v>200</v>
          </cell>
          <cell r="J2140" t="str">
            <v>PRODUCTOS LUX, S.A ( Proluxa)</v>
          </cell>
          <cell r="M2140"/>
          <cell r="N2140"/>
          <cell r="O2140"/>
          <cell r="P2140">
            <v>173</v>
          </cell>
          <cell r="Q2140"/>
          <cell r="R2140"/>
          <cell r="S2140"/>
          <cell r="T2140"/>
          <cell r="U2140"/>
          <cell r="V2140"/>
          <cell r="W2140"/>
          <cell r="X2140"/>
          <cell r="Y2140"/>
        </row>
        <row r="2141">
          <cell r="A2141" t="str">
            <v>PRODUCTOS LUX, S.A ( Proluxa)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173</v>
          </cell>
          <cell r="J2141" t="str">
            <v>PRODUCTOS LUX, S.A ( Proluxa)</v>
          </cell>
          <cell r="M2141"/>
          <cell r="N2141">
            <v>130</v>
          </cell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</row>
        <row r="2142">
          <cell r="A2142" t="str">
            <v>PRODUCTOS LUX, S.A ( Proluxa)</v>
          </cell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G2142">
            <v>130</v>
          </cell>
          <cell r="J2142" t="str">
            <v>PRODUCTOS LUX, S.A ( Proluxa)</v>
          </cell>
          <cell r="M2142">
            <v>1300</v>
          </cell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</row>
        <row r="2143">
          <cell r="A2143" t="str">
            <v>PRODUCTOS LUX, S.A ( Proluxa)</v>
          </cell>
          <cell r="C2143">
            <v>100</v>
          </cell>
          <cell r="D2143">
            <v>0</v>
          </cell>
          <cell r="E2143">
            <v>0</v>
          </cell>
          <cell r="F2143">
            <v>0</v>
          </cell>
          <cell r="G2143">
            <v>1300</v>
          </cell>
          <cell r="J2143" t="str">
            <v>PRODUCTOS LUX, S.A ( Proluxa)</v>
          </cell>
          <cell r="M2143">
            <v>52</v>
          </cell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</row>
        <row r="2144">
          <cell r="A2144" t="str">
            <v>PRODUCTOS LUX, S.A ( Proluxa)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52</v>
          </cell>
          <cell r="J2144" t="str">
            <v>PRODUCTOS LUX, S.A ( Proluxa)</v>
          </cell>
          <cell r="M2144">
            <v>50</v>
          </cell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</row>
        <row r="2145">
          <cell r="A2145" t="str">
            <v>PRODUCTOS LUX, S.A ( Proluxa)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50</v>
          </cell>
          <cell r="J2145" t="str">
            <v>PRODUCTOS LUX, S.A ( Proluxa)</v>
          </cell>
          <cell r="M2145">
            <v>600</v>
          </cell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</row>
        <row r="2146">
          <cell r="A2146" t="str">
            <v>PRODUCTOS LUX, S.A ( Proluxa)</v>
          </cell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G2146">
            <v>600</v>
          </cell>
          <cell r="J2146" t="str">
            <v>PRODUCTOS LUX, S.A ( Proluxa)</v>
          </cell>
          <cell r="M2146"/>
          <cell r="N2146"/>
          <cell r="O2146"/>
          <cell r="P2146"/>
          <cell r="Q2146"/>
          <cell r="R2146"/>
          <cell r="S2146"/>
          <cell r="T2146">
            <v>0</v>
          </cell>
          <cell r="U2146"/>
          <cell r="V2146"/>
          <cell r="W2146"/>
          <cell r="X2146"/>
          <cell r="Y2146"/>
        </row>
        <row r="2147">
          <cell r="A2147" t="str">
            <v>PRODUCTOS LUX, S.A ( Proluxa)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J2147" t="str">
            <v>PRODUCTOS LUX, S.A ( Proluxa)</v>
          </cell>
          <cell r="M2147"/>
          <cell r="N2147"/>
          <cell r="O2147"/>
          <cell r="P2147"/>
          <cell r="Q2147"/>
          <cell r="R2147"/>
          <cell r="S2147"/>
          <cell r="T2147"/>
          <cell r="U2147">
            <v>80</v>
          </cell>
          <cell r="V2147"/>
          <cell r="W2147"/>
          <cell r="X2147"/>
          <cell r="Y2147"/>
        </row>
        <row r="2148">
          <cell r="A2148" t="str">
            <v>PRODUCTOS LUX, S.A ( Proluxa)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80</v>
          </cell>
          <cell r="J2148" t="str">
            <v>PRODUCTOS NEVADA S.A</v>
          </cell>
          <cell r="M2148"/>
          <cell r="N2148"/>
          <cell r="O2148"/>
          <cell r="P2148">
            <v>102</v>
          </cell>
          <cell r="Q2148"/>
          <cell r="R2148"/>
          <cell r="S2148"/>
          <cell r="T2148"/>
          <cell r="U2148"/>
          <cell r="V2148"/>
          <cell r="W2148"/>
          <cell r="X2148"/>
          <cell r="Y2148"/>
        </row>
        <row r="2149">
          <cell r="A2149" t="str">
            <v>PRODUCTOS NEVADA S.A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102</v>
          </cell>
          <cell r="J2149" t="str">
            <v>PRODUCTOS NEVADA S.A</v>
          </cell>
          <cell r="M2149"/>
          <cell r="N2149">
            <v>70</v>
          </cell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</row>
        <row r="2150">
          <cell r="A2150" t="str">
            <v>PRODUCTOS NEVADA S.A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70</v>
          </cell>
          <cell r="J2150" t="str">
            <v>PRODUCTOS NEVADA S.A</v>
          </cell>
          <cell r="M2150"/>
          <cell r="N2150"/>
          <cell r="O2150"/>
          <cell r="P2150"/>
          <cell r="Q2150">
            <v>1060</v>
          </cell>
          <cell r="R2150"/>
          <cell r="S2150"/>
          <cell r="T2150"/>
          <cell r="U2150"/>
          <cell r="V2150"/>
          <cell r="W2150"/>
          <cell r="X2150"/>
          <cell r="Y2150"/>
        </row>
        <row r="2151">
          <cell r="A2151" t="str">
            <v>PRODUCTOS NEVADA S.A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1060</v>
          </cell>
          <cell r="J2151" t="str">
            <v>PRODUCTOS NEVADA S.A</v>
          </cell>
          <cell r="M2151"/>
          <cell r="N2151">
            <v>100</v>
          </cell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</row>
        <row r="2152">
          <cell r="A2152" t="str">
            <v>PRODUCTOS NEVADA S.A</v>
          </cell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G2152">
            <v>100</v>
          </cell>
          <cell r="J2152" t="str">
            <v>PRODUCTOS NEVADA S.A</v>
          </cell>
          <cell r="M2152"/>
          <cell r="N2152"/>
          <cell r="O2152">
            <v>1090</v>
          </cell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</row>
        <row r="2153">
          <cell r="A2153" t="str">
            <v>PRODUCTOS NEVADA S.A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1090</v>
          </cell>
          <cell r="J2153" t="str">
            <v>PRODUCTOS NEVADA S.A</v>
          </cell>
          <cell r="M2153">
            <v>0</v>
          </cell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</row>
        <row r="2154">
          <cell r="A2154" t="str">
            <v>PRODUCTOS NEVADA S.A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J2154" t="str">
            <v>PRODUCTOS NEVADA S.A</v>
          </cell>
          <cell r="M2154"/>
          <cell r="N2154">
            <v>38</v>
          </cell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</row>
        <row r="2155">
          <cell r="A2155" t="str">
            <v>PRODUCTOS NEVADA S.A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38</v>
          </cell>
          <cell r="J2155" t="str">
            <v>PRODUCTOS NEVADA S.A</v>
          </cell>
          <cell r="M2155"/>
          <cell r="N2155">
            <v>70</v>
          </cell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</row>
        <row r="2156">
          <cell r="A2156" t="str">
            <v>PRODUCTOS NEVADA S.A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70</v>
          </cell>
          <cell r="J2156" t="str">
            <v>PRODUCTOS NEVADA S.A</v>
          </cell>
          <cell r="M2156"/>
          <cell r="N2156">
            <v>130</v>
          </cell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</row>
        <row r="2157">
          <cell r="A2157" t="str">
            <v>PRODUCTOS NEVADA S.A</v>
          </cell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G2157">
            <v>130</v>
          </cell>
          <cell r="J2157" t="str">
            <v>PRODUCTOS NEVADA S.A</v>
          </cell>
          <cell r="M2157">
            <v>215</v>
          </cell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</row>
        <row r="2158">
          <cell r="A2158" t="str">
            <v>PRODUCTOS NEVADA S.A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215</v>
          </cell>
          <cell r="J2158" t="str">
            <v>PRODUCTOS NEVADA S.A</v>
          </cell>
          <cell r="M2158"/>
          <cell r="N2158"/>
          <cell r="O2158"/>
          <cell r="P2158"/>
          <cell r="Q2158"/>
          <cell r="R2158"/>
          <cell r="S2158">
            <v>179</v>
          </cell>
          <cell r="T2158"/>
          <cell r="U2158"/>
          <cell r="V2158"/>
          <cell r="W2158"/>
          <cell r="X2158"/>
          <cell r="Y2158"/>
        </row>
        <row r="2159">
          <cell r="A2159" t="str">
            <v>PRODUCTOS NEVADA S.A</v>
          </cell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G2159">
            <v>179</v>
          </cell>
          <cell r="J2159" t="str">
            <v>PRODUCTOS NEVADA S.A</v>
          </cell>
          <cell r="M2159"/>
          <cell r="N2159">
            <v>86</v>
          </cell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</row>
        <row r="2160">
          <cell r="A2160" t="str">
            <v>PRODUCTOS NEVADA S.A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86</v>
          </cell>
          <cell r="J2160" t="str">
            <v>PRODUCTOS NEVADA S.A</v>
          </cell>
          <cell r="M2160">
            <v>201</v>
          </cell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</row>
        <row r="2161">
          <cell r="A2161" t="str">
            <v>PRODUCTOS NEVADA S.A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201</v>
          </cell>
          <cell r="J2161" t="str">
            <v>PRODUCTOS NEVADA S.A</v>
          </cell>
          <cell r="M2161"/>
          <cell r="N2161"/>
          <cell r="O2161"/>
          <cell r="P2161"/>
          <cell r="Q2161"/>
          <cell r="R2161">
            <v>181</v>
          </cell>
          <cell r="S2161"/>
          <cell r="T2161"/>
          <cell r="U2161"/>
          <cell r="V2161"/>
          <cell r="W2161"/>
          <cell r="X2161"/>
          <cell r="Y2161"/>
        </row>
        <row r="2162">
          <cell r="A2162" t="str">
            <v>PRODUCTOS NEVADA S.A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181</v>
          </cell>
          <cell r="J2162" t="str">
            <v>PRODUCTOS NEVADA S.A</v>
          </cell>
          <cell r="M2162"/>
          <cell r="N2162">
            <v>201</v>
          </cell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</row>
        <row r="2163">
          <cell r="A2163" t="str">
            <v>PRODUCTOS NEVADA S.A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201</v>
          </cell>
          <cell r="J2163" t="str">
            <v>PRODUCTOS NEVADA S.A</v>
          </cell>
          <cell r="M2163"/>
          <cell r="N2163"/>
          <cell r="O2163">
            <v>1200</v>
          </cell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</row>
        <row r="2164">
          <cell r="A2164" t="str">
            <v>PRODUCTOS NEVADA S.A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1200</v>
          </cell>
          <cell r="J2164" t="str">
            <v>PRODUCTOS NEVADA S.A</v>
          </cell>
          <cell r="M2164"/>
          <cell r="N2164"/>
          <cell r="O2164">
            <v>410</v>
          </cell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</row>
        <row r="2165">
          <cell r="A2165" t="str">
            <v>PRODUCTOS NEVADA S.A</v>
          </cell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G2165">
            <v>410</v>
          </cell>
          <cell r="J2165" t="str">
            <v>PRODUCTOS NEVADA S.A</v>
          </cell>
          <cell r="M2165"/>
          <cell r="N2165">
            <v>67</v>
          </cell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</row>
        <row r="2166">
          <cell r="A2166" t="str">
            <v>PRODUCTOS NEVADA S.A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67</v>
          </cell>
          <cell r="J2166" t="str">
            <v>PRODUCTOS NEVADA S.A</v>
          </cell>
          <cell r="M2166"/>
          <cell r="N2166">
            <v>0</v>
          </cell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</row>
        <row r="2167">
          <cell r="A2167" t="str">
            <v>PRODUCTOS NEVADA S.A</v>
          </cell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J2167" t="str">
            <v>PRODUCTOS NEVADA S.A</v>
          </cell>
          <cell r="M2167"/>
          <cell r="N2167">
            <v>60</v>
          </cell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</row>
        <row r="2168">
          <cell r="A2168" t="str">
            <v>PRODUCTOS NEVADA S.A</v>
          </cell>
          <cell r="C2168">
            <v>0</v>
          </cell>
          <cell r="D2168">
            <v>0</v>
          </cell>
          <cell r="E2168">
            <v>0</v>
          </cell>
          <cell r="F2168">
            <v>0</v>
          </cell>
          <cell r="G2168">
            <v>60</v>
          </cell>
          <cell r="J2168" t="str">
            <v>PRODUCTOS NEVADA S.A</v>
          </cell>
          <cell r="M2168"/>
          <cell r="N2168"/>
          <cell r="O2168"/>
          <cell r="P2168"/>
          <cell r="Q2168">
            <v>83</v>
          </cell>
          <cell r="R2168"/>
          <cell r="S2168"/>
          <cell r="T2168"/>
          <cell r="U2168"/>
          <cell r="V2168"/>
          <cell r="W2168"/>
          <cell r="X2168"/>
          <cell r="Y2168"/>
        </row>
        <row r="2169">
          <cell r="A2169" t="str">
            <v>PRODUCTOS NEVADA S.A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83</v>
          </cell>
          <cell r="J2169" t="str">
            <v>PRODUCTOS NEVADA S.A</v>
          </cell>
          <cell r="M2169"/>
          <cell r="N2169"/>
          <cell r="O2169"/>
          <cell r="P2169"/>
          <cell r="Q2169">
            <v>60</v>
          </cell>
          <cell r="R2169"/>
          <cell r="S2169"/>
          <cell r="T2169"/>
          <cell r="U2169"/>
          <cell r="V2169"/>
          <cell r="W2169"/>
          <cell r="X2169"/>
          <cell r="Y2169"/>
        </row>
        <row r="2170">
          <cell r="A2170" t="str">
            <v>PRODUCTOS NEVADA S.A</v>
          </cell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G2170">
            <v>60</v>
          </cell>
          <cell r="J2170" t="str">
            <v>PRODUCTOS NEVADA S.A</v>
          </cell>
          <cell r="M2170">
            <v>400</v>
          </cell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</row>
        <row r="2171">
          <cell r="A2171" t="str">
            <v>PRODUCTOS NEVADA S.A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400</v>
          </cell>
          <cell r="J2171" t="str">
            <v>PRODUCTOS NEVADA S.A</v>
          </cell>
          <cell r="M2171"/>
          <cell r="N2171"/>
          <cell r="O2171"/>
          <cell r="P2171"/>
          <cell r="Q2171"/>
          <cell r="R2171"/>
          <cell r="S2171">
            <v>96</v>
          </cell>
          <cell r="T2171"/>
          <cell r="U2171"/>
          <cell r="V2171"/>
          <cell r="W2171"/>
          <cell r="X2171"/>
          <cell r="Y2171"/>
        </row>
        <row r="2172">
          <cell r="A2172" t="str">
            <v>PRODUCTOS NEVADA S.A</v>
          </cell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G2172">
            <v>96</v>
          </cell>
          <cell r="J2172" t="str">
            <v>PRODUCTOS NEVADA S.A</v>
          </cell>
          <cell r="M2172">
            <v>77</v>
          </cell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</row>
        <row r="2173">
          <cell r="A2173" t="str">
            <v>PRODUCTOS NEVADA S.A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77</v>
          </cell>
          <cell r="J2173" t="str">
            <v>PRODUCTOS NEVADA S.A</v>
          </cell>
          <cell r="M2173"/>
          <cell r="N2173"/>
          <cell r="O2173"/>
          <cell r="P2173"/>
          <cell r="Q2173"/>
          <cell r="R2173"/>
          <cell r="S2173">
            <v>40</v>
          </cell>
          <cell r="T2173"/>
          <cell r="U2173"/>
          <cell r="V2173"/>
          <cell r="W2173"/>
          <cell r="X2173"/>
          <cell r="Y2173"/>
        </row>
        <row r="2174">
          <cell r="A2174" t="str">
            <v>PRODUCTOS NEVADA S.A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40</v>
          </cell>
          <cell r="J2174" t="str">
            <v>PRODUCTOS NEVADA S.A</v>
          </cell>
          <cell r="M2174"/>
          <cell r="N2174"/>
          <cell r="O2174">
            <v>0</v>
          </cell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</row>
        <row r="2175">
          <cell r="A2175" t="str">
            <v>PRODUCTOS NEVADA S.A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J2175" t="str">
            <v>GLOBAL PRODUCTS AND LOGISTIC SERVICES, INC. (Dicarina)</v>
          </cell>
          <cell r="M2175"/>
          <cell r="N2175"/>
          <cell r="O2175">
            <v>30</v>
          </cell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</row>
        <row r="2176">
          <cell r="A2176" t="str">
            <v>GLOBAL PRODUCTS AND LOGISTIC SERVICES, INC. (Dicarina)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30</v>
          </cell>
          <cell r="J2176" t="str">
            <v>GLOBAL PRODUCTS AND LOGISTIC SERVICES, INC. (Dicarina)</v>
          </cell>
          <cell r="M2176"/>
          <cell r="N2176"/>
          <cell r="O2176"/>
          <cell r="P2176">
            <v>102</v>
          </cell>
          <cell r="Q2176"/>
          <cell r="R2176"/>
          <cell r="S2176"/>
          <cell r="T2176"/>
          <cell r="U2176"/>
          <cell r="V2176"/>
          <cell r="W2176"/>
          <cell r="X2176"/>
          <cell r="Y2176"/>
        </row>
        <row r="2177">
          <cell r="A2177" t="str">
            <v>GLOBAL PRODUCTS AND LOGISTIC SERVICES, INC. (Dicarina)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102</v>
          </cell>
          <cell r="J2177" t="str">
            <v>GLOBAL PRODUCTS AND LOGISTIC SERVICES, INC. (Dicarina)</v>
          </cell>
          <cell r="M2177"/>
          <cell r="N2177"/>
          <cell r="O2177">
            <v>180</v>
          </cell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</row>
        <row r="2178">
          <cell r="A2178" t="str">
            <v>GLOBAL PRODUCTS AND LOGISTIC SERVICES, INC. (Dicarina)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180</v>
          </cell>
          <cell r="J2178" t="str">
            <v>GLOBAL PRODUCTS AND LOGISTIC SERVICES, INC. (Dicarina)</v>
          </cell>
          <cell r="M2178"/>
          <cell r="N2178">
            <v>100</v>
          </cell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</row>
        <row r="2179">
          <cell r="A2179" t="str">
            <v>GLOBAL PRODUCTS AND LOGISTIC SERVICES, INC. (Dicarina)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100</v>
          </cell>
          <cell r="J2179" t="str">
            <v>GLOBAL PRODUCTS AND LOGISTIC SERVICES, INC. (Dicarina)</v>
          </cell>
          <cell r="M2179"/>
          <cell r="N2179"/>
          <cell r="O2179"/>
          <cell r="P2179"/>
          <cell r="Q2179"/>
          <cell r="R2179">
            <v>180</v>
          </cell>
          <cell r="S2179"/>
          <cell r="T2179"/>
          <cell r="U2179"/>
          <cell r="V2179"/>
          <cell r="W2179"/>
          <cell r="X2179"/>
          <cell r="Y2179"/>
        </row>
        <row r="2180">
          <cell r="A2180" t="str">
            <v>GLOBAL PRODUCTS AND LOGISTIC SERVICES, INC. (Dicarina)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180</v>
          </cell>
          <cell r="J2180" t="str">
            <v>GLOBAL PRODUCTS AND LOGISTIC SERVICES, INC. (Dicarina)</v>
          </cell>
          <cell r="M2180"/>
          <cell r="N2180"/>
          <cell r="O2180">
            <v>325</v>
          </cell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</row>
        <row r="2181">
          <cell r="A2181" t="str">
            <v>GLOBAL PRODUCTS AND LOGISTIC SERVICES, INC. (Dicarina)</v>
          </cell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G2181">
            <v>325</v>
          </cell>
          <cell r="J2181" t="str">
            <v>GLOBAL PRODUCTS AND LOGISTIC SERVICES, INC. (Dicarina)</v>
          </cell>
          <cell r="M2181"/>
          <cell r="N2181"/>
          <cell r="O2181">
            <v>65</v>
          </cell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</row>
        <row r="2182">
          <cell r="A2182" t="str">
            <v>GLOBAL PRODUCTS AND LOGISTIC SERVICES, INC. (Dicarina)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65</v>
          </cell>
          <cell r="J2182" t="str">
            <v>GLOBAL PRODUCTS AND LOGISTIC SERVICES, INC. (Dicarina)</v>
          </cell>
          <cell r="M2182"/>
          <cell r="N2182">
            <v>70</v>
          </cell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</row>
        <row r="2183">
          <cell r="A2183" t="str">
            <v>GLOBAL PRODUCTS AND LOGISTIC SERVICES, INC. (Dicarina)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70</v>
          </cell>
          <cell r="J2183" t="str">
            <v>GLOBAL PRODUCTS AND LOGISTIC SERVICES, INC. (Dicarina)</v>
          </cell>
          <cell r="M2183"/>
          <cell r="N2183"/>
          <cell r="O2183">
            <v>1090</v>
          </cell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</row>
        <row r="2184">
          <cell r="A2184" t="str">
            <v>GLOBAL PRODUCTS AND LOGISTIC SERVICES, INC. (Dicarina)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1090</v>
          </cell>
          <cell r="J2184" t="str">
            <v>GLOBAL PRODUCTS AND LOGISTIC SERVICES, INC. (Dicarina)</v>
          </cell>
          <cell r="M2184">
            <v>0</v>
          </cell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</row>
        <row r="2185">
          <cell r="A2185" t="str">
            <v>GLOBAL PRODUCTS AND LOGISTIC SERVICES, INC. (Dicarina)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J2185" t="str">
            <v>GLOBAL PRODUCTS AND LOGISTIC SERVICES, INC. (Dicarina)</v>
          </cell>
          <cell r="M2185"/>
          <cell r="N2185">
            <v>282</v>
          </cell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</row>
        <row r="2186">
          <cell r="A2186" t="str">
            <v>GLOBAL PRODUCTS AND LOGISTIC SERVICES, INC. (Dicarina)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282</v>
          </cell>
          <cell r="J2186" t="str">
            <v>GLOBAL PRODUCTS AND LOGISTIC SERVICES, INC. (Dicarina)</v>
          </cell>
          <cell r="M2186"/>
          <cell r="N2186">
            <v>62</v>
          </cell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</row>
        <row r="2187">
          <cell r="A2187" t="str">
            <v>GLOBAL PRODUCTS AND LOGISTIC SERVICES, INC. (Dicarina)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62</v>
          </cell>
          <cell r="J2187" t="str">
            <v>GLOBAL PRODUCTS AND LOGISTIC SERVICES, INC. (Dicarina)</v>
          </cell>
          <cell r="M2187"/>
          <cell r="N2187"/>
          <cell r="O2187">
            <v>116</v>
          </cell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</row>
        <row r="2188">
          <cell r="A2188" t="str">
            <v>GLOBAL PRODUCTS AND LOGISTIC SERVICES, INC. (Dicarina)</v>
          </cell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G2188">
            <v>116</v>
          </cell>
          <cell r="J2188" t="str">
            <v>GLOBAL PRODUCTS AND LOGISTIC SERVICES, INC. (Dicarina)</v>
          </cell>
          <cell r="M2188"/>
          <cell r="N2188">
            <v>542</v>
          </cell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</row>
        <row r="2189">
          <cell r="A2189" t="str">
            <v>GLOBAL PRODUCTS AND LOGISTIC SERVICES, INC. (Dicarina)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542</v>
          </cell>
          <cell r="J2189" t="str">
            <v>GLOBAL PRODUCTS AND LOGISTIC SERVICES, INC. (Dicarina)</v>
          </cell>
          <cell r="M2189"/>
          <cell r="N2189"/>
          <cell r="O2189"/>
          <cell r="P2189"/>
          <cell r="Q2189"/>
          <cell r="R2189"/>
          <cell r="S2189">
            <v>211</v>
          </cell>
          <cell r="T2189"/>
          <cell r="U2189"/>
          <cell r="V2189"/>
          <cell r="W2189"/>
          <cell r="X2189"/>
          <cell r="Y2189"/>
        </row>
        <row r="2190">
          <cell r="A2190" t="str">
            <v>GLOBAL PRODUCTS AND LOGISTIC SERVICES, INC. (Dicarina)</v>
          </cell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G2190">
            <v>211</v>
          </cell>
          <cell r="J2190" t="str">
            <v>GLOBAL PRODUCTS AND LOGISTIC SERVICES, INC. (Dicarina)</v>
          </cell>
          <cell r="M2190"/>
          <cell r="N2190"/>
          <cell r="O2190">
            <v>138</v>
          </cell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</row>
        <row r="2191">
          <cell r="A2191" t="str">
            <v>GLOBAL PRODUCTS AND LOGISTIC SERVICES, INC. (Dicarina)</v>
          </cell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G2191">
            <v>138</v>
          </cell>
          <cell r="J2191" t="str">
            <v>GLOBAL PRODUCTS AND LOGISTIC SERVICES, INC. (Dicarina)</v>
          </cell>
          <cell r="M2191"/>
          <cell r="N2191">
            <v>62</v>
          </cell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</row>
        <row r="2192">
          <cell r="A2192" t="str">
            <v>GLOBAL PRODUCTS AND LOGISTIC SERVICES, INC. (Dicarina)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62</v>
          </cell>
          <cell r="J2192" t="str">
            <v>GLOBAL PRODUCTS AND LOGISTIC SERVICES, INC. (Dicarina)</v>
          </cell>
          <cell r="M2192">
            <v>215</v>
          </cell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</row>
        <row r="2193">
          <cell r="A2193" t="str">
            <v>GLOBAL PRODUCTS AND LOGISTIC SERVICES, INC. (Dicarina)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215</v>
          </cell>
          <cell r="J2193" t="str">
            <v>GLOBAL PRODUCTS AND LOGISTIC SERVICES, INC. (Dicarina)</v>
          </cell>
          <cell r="M2193">
            <v>100</v>
          </cell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</row>
        <row r="2194">
          <cell r="A2194" t="str">
            <v>GLOBAL PRODUCTS AND LOGISTIC SERVICES, INC. (Dicarina)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100</v>
          </cell>
          <cell r="J2194" t="str">
            <v>GLOBAL PRODUCTS AND LOGISTIC SERVICES, INC. (Dicarina)</v>
          </cell>
          <cell r="M2194"/>
          <cell r="N2194"/>
          <cell r="O2194">
            <v>60</v>
          </cell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</row>
        <row r="2195">
          <cell r="A2195" t="str">
            <v>GLOBAL PRODUCTS AND LOGISTIC SERVICES, INC. (Dicarina)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60</v>
          </cell>
          <cell r="J2195" t="str">
            <v>GLOBAL PRODUCTS AND LOGISTIC SERVICES, INC. (Dicarina)</v>
          </cell>
          <cell r="M2195"/>
          <cell r="N2195">
            <v>86</v>
          </cell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</row>
        <row r="2196">
          <cell r="A2196" t="str">
            <v>GLOBAL PRODUCTS AND LOGISTIC SERVICES, INC. (Dicarina)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86</v>
          </cell>
          <cell r="J2196" t="str">
            <v>GLOBAL PRODUCTS AND LOGISTIC SERVICES, INC. (Dicarina)</v>
          </cell>
          <cell r="M2196">
            <v>201</v>
          </cell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</row>
        <row r="2197">
          <cell r="A2197" t="str">
            <v>GLOBAL PRODUCTS AND LOGISTIC SERVICES, INC. (Dicarina)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G2197">
            <v>201</v>
          </cell>
          <cell r="J2197" t="str">
            <v>GLOBAL PRODUCTS AND LOGISTIC SERVICES, INC. (Dicarina)</v>
          </cell>
          <cell r="M2197"/>
          <cell r="N2197">
            <v>201</v>
          </cell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</row>
        <row r="2198">
          <cell r="A2198" t="str">
            <v>GLOBAL PRODUCTS AND LOGISTIC SERVICES, INC. (Dicarina)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201</v>
          </cell>
          <cell r="J2198" t="str">
            <v>GLOBAL PRODUCTS AND LOGISTIC SERVICES, INC. (Dicarina)</v>
          </cell>
          <cell r="M2198"/>
          <cell r="N2198">
            <v>0</v>
          </cell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</row>
        <row r="2199">
          <cell r="A2199" t="str">
            <v>GLOBAL PRODUCTS AND LOGISTIC SERVICES, INC. (Dicarina)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J2199" t="str">
            <v>GLOBAL PRODUCTS AND LOGISTIC SERVICES, INC. (Dicarina)</v>
          </cell>
          <cell r="M2199"/>
          <cell r="N2199">
            <v>284</v>
          </cell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</row>
        <row r="2200">
          <cell r="A2200" t="str">
            <v>GLOBAL PRODUCTS AND LOGISTIC SERVICES, INC. (Dicarina)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284</v>
          </cell>
          <cell r="J2200" t="str">
            <v>GLOBAL PRODUCTS AND LOGISTIC SERVICES, INC. (Dicarina)</v>
          </cell>
          <cell r="M2200">
            <v>150</v>
          </cell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</row>
        <row r="2201">
          <cell r="A2201" t="str">
            <v>GLOBAL PRODUCTS AND LOGISTIC SERVICES, INC. (Dicarina)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150</v>
          </cell>
          <cell r="J2201" t="str">
            <v>GLOBAL PRODUCTS AND LOGISTIC SERVICES, INC. (Dicarina)</v>
          </cell>
          <cell r="M2201"/>
          <cell r="N2201"/>
          <cell r="O2201">
            <v>1200</v>
          </cell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</row>
        <row r="2202">
          <cell r="A2202" t="str">
            <v>GLOBAL PRODUCTS AND LOGISTIC SERVICES, INC. (Dicarina)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1200</v>
          </cell>
          <cell r="J2202" t="str">
            <v>GLOBAL PRODUCTS AND LOGISTIC SERVICES, INC. (Dicarina)</v>
          </cell>
          <cell r="M2202"/>
          <cell r="N2202">
            <v>20</v>
          </cell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</row>
        <row r="2203">
          <cell r="A2203" t="str">
            <v>GLOBAL PRODUCTS AND LOGISTIC SERVICES, INC. (Dicarina)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20</v>
          </cell>
          <cell r="J2203" t="str">
            <v>GLOBAL PRODUCTS AND LOGISTIC SERVICES, INC. (Dicarina)</v>
          </cell>
          <cell r="M2203">
            <v>390</v>
          </cell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</row>
        <row r="2204">
          <cell r="A2204" t="str">
            <v>GLOBAL PRODUCTS AND LOGISTIC SERVICES, INC. (Dicarina)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390</v>
          </cell>
          <cell r="J2204" t="str">
            <v>GLOBAL PRODUCTS AND LOGISTIC SERVICES, INC. (Dicarina)</v>
          </cell>
          <cell r="M2204"/>
          <cell r="N2204">
            <v>90</v>
          </cell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</row>
        <row r="2205">
          <cell r="A2205" t="str">
            <v>GLOBAL PRODUCTS AND LOGISTIC SERVICES, INC. (Dicarina)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90</v>
          </cell>
          <cell r="J2205" t="str">
            <v>GLOBAL PRODUCTS AND LOGISTIC SERVICES, INC. (Dicarina)</v>
          </cell>
          <cell r="M2205"/>
          <cell r="N2205">
            <v>84</v>
          </cell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</row>
        <row r="2206">
          <cell r="A2206" t="str">
            <v>GLOBAL PRODUCTS AND LOGISTIC SERVICES, INC. (Dicarina)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84</v>
          </cell>
          <cell r="J2206" t="str">
            <v>GLOBAL PRODUCTS AND LOGISTIC SERVICES, INC. (Dicarina)</v>
          </cell>
          <cell r="M2206"/>
          <cell r="N2206">
            <v>22</v>
          </cell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</row>
        <row r="2207">
          <cell r="A2207" t="str">
            <v>GLOBAL PRODUCTS AND LOGISTIC SERVICES, INC. (Dicarina)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22</v>
          </cell>
          <cell r="J2207" t="str">
            <v>GLOBAL PRODUCTS AND LOGISTIC SERVICES, INC. (Dicarina)</v>
          </cell>
          <cell r="M2207"/>
          <cell r="N2207">
            <v>0</v>
          </cell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</row>
        <row r="2208">
          <cell r="A2208" t="str">
            <v>GLOBAL PRODUCTS AND LOGISTIC SERVICES, INC. (Dicarina)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J2208" t="str">
            <v>GLOBAL PRODUCTS AND LOGISTIC SERVICES, INC. (Dicarina)</v>
          </cell>
          <cell r="M2208"/>
          <cell r="N2208">
            <v>456</v>
          </cell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</row>
        <row r="2209">
          <cell r="A2209" t="str">
            <v>GLOBAL PRODUCTS AND LOGISTIC SERVICES, INC. (Dicarina)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456</v>
          </cell>
          <cell r="J2209" t="str">
            <v>GLOBAL PRODUCTS AND LOGISTIC SERVICES, INC. (Dicarina)</v>
          </cell>
          <cell r="M2209"/>
          <cell r="N2209">
            <v>60</v>
          </cell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</row>
        <row r="2210">
          <cell r="A2210" t="str">
            <v>GLOBAL PRODUCTS AND LOGISTIC SERVICES, INC. (Dicarina)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60</v>
          </cell>
          <cell r="J2210" t="str">
            <v>GLOBAL PRODUCTS AND LOGISTIC SERVICES, INC. (Dicarina)</v>
          </cell>
          <cell r="M2210"/>
          <cell r="N2210">
            <v>75</v>
          </cell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</row>
        <row r="2211">
          <cell r="A2211" t="str">
            <v>GLOBAL PRODUCTS AND LOGISTIC SERVICES, INC. (Dicarina)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75</v>
          </cell>
          <cell r="J2211" t="str">
            <v>GLOBAL PRODUCTS AND LOGISTIC SERVICES, INC. (Dicarina)</v>
          </cell>
          <cell r="M2211"/>
          <cell r="N2211">
            <v>50</v>
          </cell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</row>
        <row r="2212">
          <cell r="A2212" t="str">
            <v>GLOBAL PRODUCTS AND LOGISTIC SERVICES, INC. (Dicarina)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50</v>
          </cell>
          <cell r="J2212" t="str">
            <v>GLOBAL PRODUCTS AND LOGISTIC SERVICES, INC. (Dicarina)</v>
          </cell>
          <cell r="M2212">
            <v>100</v>
          </cell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</row>
        <row r="2213">
          <cell r="A2213" t="str">
            <v>GLOBAL PRODUCTS AND LOGISTIC SERVICES, INC. (Dicarina)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100</v>
          </cell>
          <cell r="J2213" t="str">
            <v>GLOBAL PRODUCTS AND LOGISTIC SERVICES, INC. (Dicarina)</v>
          </cell>
          <cell r="M2213"/>
          <cell r="N2213"/>
          <cell r="O2213"/>
          <cell r="P2213"/>
          <cell r="Q2213"/>
          <cell r="R2213"/>
          <cell r="S2213">
            <v>96</v>
          </cell>
          <cell r="T2213"/>
          <cell r="U2213"/>
          <cell r="V2213"/>
          <cell r="W2213"/>
          <cell r="X2213"/>
          <cell r="Y2213"/>
        </row>
        <row r="2214">
          <cell r="A2214" t="str">
            <v>GLOBAL PRODUCTS AND LOGISTIC SERVICES, INC. (Dicarina)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96</v>
          </cell>
          <cell r="J2214" t="str">
            <v>GLOBAL PRODUCTS AND LOGISTIC SERVICES, INC. (Dicarina)</v>
          </cell>
          <cell r="M2214">
            <v>352</v>
          </cell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</row>
        <row r="2215">
          <cell r="A2215" t="str">
            <v>GLOBAL PRODUCTS AND LOGISTIC SERVICES, INC. (Dicarina)</v>
          </cell>
          <cell r="C2215">
            <v>225</v>
          </cell>
          <cell r="D2215">
            <v>0</v>
          </cell>
          <cell r="E2215">
            <v>0</v>
          </cell>
          <cell r="F2215">
            <v>0</v>
          </cell>
          <cell r="G2215">
            <v>352</v>
          </cell>
          <cell r="J2215" t="str">
            <v>GLOBAL PRODUCTS AND LOGISTIC SERVICES, INC. (Dicarina)</v>
          </cell>
          <cell r="M2215"/>
          <cell r="N2215">
            <v>97</v>
          </cell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</row>
        <row r="2216">
          <cell r="A2216" t="str">
            <v>GLOBAL PRODUCTS AND LOGISTIC SERVICES, INC. (Dicarina)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97</v>
          </cell>
          <cell r="J2216" t="str">
            <v>GLOBAL PRODUCTS AND LOGISTIC SERVICES, INC. (Dicarina)</v>
          </cell>
          <cell r="M2216"/>
          <cell r="N2216"/>
          <cell r="O2216"/>
          <cell r="P2216"/>
          <cell r="Q2216"/>
          <cell r="R2216"/>
          <cell r="S2216">
            <v>40</v>
          </cell>
          <cell r="T2216"/>
          <cell r="U2216"/>
          <cell r="V2216"/>
          <cell r="W2216"/>
          <cell r="X2216"/>
          <cell r="Y2216"/>
        </row>
        <row r="2217">
          <cell r="A2217" t="str">
            <v>GLOBAL PRODUCTS AND LOGISTIC SERVICES, INC. (Dicarina)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40</v>
          </cell>
          <cell r="J2217" t="str">
            <v>GLOBAL PRODUCTS AND LOGISTIC SERVICES, INC. (Dicarina)</v>
          </cell>
          <cell r="M2217"/>
          <cell r="N2217"/>
          <cell r="O2217"/>
          <cell r="P2217"/>
          <cell r="Q2217"/>
          <cell r="R2217">
            <v>130</v>
          </cell>
          <cell r="S2217"/>
          <cell r="T2217"/>
          <cell r="U2217"/>
          <cell r="V2217"/>
          <cell r="W2217"/>
          <cell r="X2217"/>
          <cell r="Y2217"/>
        </row>
        <row r="2218">
          <cell r="A2218" t="str">
            <v>GLOBAL PRODUCTS AND LOGISTIC SERVICES, INC. (Dicarina)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130</v>
          </cell>
          <cell r="J2218" t="str">
            <v>GLOBAL PRODUCTS AND LOGISTIC SERVICES, INC. (Dicarina)</v>
          </cell>
          <cell r="M2218">
            <v>209</v>
          </cell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</row>
        <row r="2219">
          <cell r="A2219" t="str">
            <v>GLOBAL PRODUCTS AND LOGISTIC SERVICES, INC. (Dicarina)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209</v>
          </cell>
          <cell r="J2219" t="str">
            <v>GLOBAL PRODUCTS AND LOGISTIC SERVICES, INC. (Dicarina)</v>
          </cell>
          <cell r="M2219">
            <v>0</v>
          </cell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</row>
        <row r="2220">
          <cell r="A2220" t="str">
            <v>GLOBAL PRODUCTS AND LOGISTIC SERVICES, INC. (Dicarina)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J2220" t="str">
            <v>GLOBAL PRODUCTS AND LOGISTIC SERVICES, INC. (Dicarina)</v>
          </cell>
          <cell r="M2220"/>
          <cell r="N2220"/>
          <cell r="O2220"/>
          <cell r="P2220"/>
          <cell r="Q2220"/>
          <cell r="R2220"/>
          <cell r="S2220">
            <v>1190</v>
          </cell>
          <cell r="T2220"/>
          <cell r="U2220"/>
          <cell r="V2220"/>
          <cell r="W2220"/>
          <cell r="X2220"/>
          <cell r="Y2220"/>
        </row>
        <row r="2221">
          <cell r="A2221" t="str">
            <v>GLOBAL PRODUCTS AND LOGISTIC SERVICES, INC. (Dicarina)</v>
          </cell>
          <cell r="C2221">
            <v>1190</v>
          </cell>
          <cell r="D2221">
            <v>0</v>
          </cell>
          <cell r="E2221">
            <v>0</v>
          </cell>
          <cell r="F2221">
            <v>0</v>
          </cell>
          <cell r="G2221">
            <v>1190</v>
          </cell>
          <cell r="J2221" t="str">
            <v>GLOBAL PRODUCTS AND LOGISTIC SERVICES, INC. (Dicarina)</v>
          </cell>
          <cell r="M2221">
            <v>265</v>
          </cell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</row>
        <row r="2222">
          <cell r="A2222" t="str">
            <v>GLOBAL PRODUCTS AND LOGISTIC SERVICES, INC. (Dicarina)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265</v>
          </cell>
          <cell r="J2222" t="str">
            <v>GLOBAL PRODUCTS AND LOGISTIC SERVICES, INC. (Dicarina)</v>
          </cell>
          <cell r="M2222">
            <v>1300</v>
          </cell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</row>
        <row r="2223">
          <cell r="A2223" t="str">
            <v>GLOBAL PRODUCTS AND LOGISTIC SERVICES, INC. (Dicarina)</v>
          </cell>
          <cell r="C2223">
            <v>100</v>
          </cell>
          <cell r="D2223">
            <v>0</v>
          </cell>
          <cell r="E2223">
            <v>0</v>
          </cell>
          <cell r="F2223">
            <v>0</v>
          </cell>
          <cell r="G2223">
            <v>1300</v>
          </cell>
          <cell r="J2223" t="str">
            <v>GLOBAL PRODUCTS AND LOGISTIC SERVICES, INC. (Dicarina)</v>
          </cell>
          <cell r="M2223">
            <v>52</v>
          </cell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</row>
        <row r="2224">
          <cell r="A2224" t="str">
            <v>GLOBAL PRODUCTS AND LOGISTIC SERVICES, INC. (Dicarina)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52</v>
          </cell>
          <cell r="J2224" t="str">
            <v>GLOBAL PRODUCTS AND LOGISTIC SERVICES, INC. (Dicarina)</v>
          </cell>
          <cell r="M2224">
            <v>600</v>
          </cell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</row>
        <row r="2225">
          <cell r="A2225" t="str">
            <v>GLOBAL PRODUCTS AND LOGISTIC SERVICES, INC. (Dicarina)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>
            <v>600</v>
          </cell>
          <cell r="J2225" t="str">
            <v>GLOBAL PRODUCTS AND LOGISTIC SERVICES, INC. (Dicarina)</v>
          </cell>
          <cell r="M2225"/>
          <cell r="N2225"/>
          <cell r="O2225">
            <v>480</v>
          </cell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</row>
        <row r="2226">
          <cell r="A2226" t="str">
            <v>GLOBAL PRODUCTS AND LOGISTIC SERVICES, INC. (Dicarina)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480</v>
          </cell>
          <cell r="J2226" t="str">
            <v>GLOBAL PRODUCTS AND LOGISTIC SERVICES, INC. (Dicarina)</v>
          </cell>
          <cell r="M2226">
            <v>740</v>
          </cell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</row>
        <row r="2227">
          <cell r="A2227" t="str">
            <v>GLOBAL PRODUCTS AND LOGISTIC SERVICES, INC. (Dicarina)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740</v>
          </cell>
          <cell r="J2227" t="str">
            <v>PURISSIMA, S.A</v>
          </cell>
          <cell r="M2227"/>
          <cell r="N2227">
            <v>100</v>
          </cell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</row>
        <row r="2228">
          <cell r="A2228" t="str">
            <v>PURISSIMA, S.A</v>
          </cell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G2228">
            <v>100</v>
          </cell>
          <cell r="J2228" t="str">
            <v>PURISSIMA, S.A</v>
          </cell>
          <cell r="M2228"/>
          <cell r="N2228"/>
          <cell r="O2228"/>
          <cell r="P2228"/>
          <cell r="Q2228">
            <v>1060</v>
          </cell>
          <cell r="R2228"/>
          <cell r="S2228"/>
          <cell r="T2228"/>
          <cell r="U2228"/>
          <cell r="V2228"/>
          <cell r="W2228"/>
          <cell r="X2228"/>
          <cell r="Y2228"/>
        </row>
        <row r="2229">
          <cell r="A2229" t="str">
            <v>PURISSIMA, S.A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1060</v>
          </cell>
          <cell r="J2229" t="str">
            <v>PURISSIMA, S.A</v>
          </cell>
          <cell r="M2229"/>
          <cell r="N2229">
            <v>542</v>
          </cell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</row>
        <row r="2230">
          <cell r="A2230" t="str">
            <v>PURISSIMA, S.A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542</v>
          </cell>
          <cell r="J2230" t="str">
            <v>PURISSIMA, S.A</v>
          </cell>
          <cell r="M2230">
            <v>100</v>
          </cell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</row>
        <row r="2231">
          <cell r="A2231" t="str">
            <v>PURISSIMA, S.A</v>
          </cell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G2231">
            <v>100</v>
          </cell>
          <cell r="J2231" t="str">
            <v>PURISSIMA, S.A</v>
          </cell>
          <cell r="M2231"/>
          <cell r="N2231"/>
          <cell r="O2231"/>
          <cell r="P2231"/>
          <cell r="Q2231"/>
          <cell r="R2231"/>
          <cell r="S2231">
            <v>55</v>
          </cell>
          <cell r="T2231"/>
          <cell r="U2231"/>
          <cell r="V2231"/>
          <cell r="W2231"/>
          <cell r="X2231"/>
          <cell r="Y2231"/>
        </row>
        <row r="2232">
          <cell r="A2232" t="str">
            <v>PURISSIMA, S.A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55</v>
          </cell>
          <cell r="J2232" t="str">
            <v>PURISSIMA, S.A</v>
          </cell>
          <cell r="M2232"/>
          <cell r="N2232"/>
          <cell r="O2232"/>
          <cell r="P2232"/>
          <cell r="Q2232"/>
          <cell r="R2232"/>
          <cell r="S2232">
            <v>179</v>
          </cell>
          <cell r="T2232"/>
          <cell r="U2232"/>
          <cell r="V2232"/>
          <cell r="W2232"/>
          <cell r="X2232"/>
          <cell r="Y2232"/>
        </row>
        <row r="2233">
          <cell r="A2233" t="str">
            <v>PURISSIMA, S.A</v>
          </cell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G2233">
            <v>179</v>
          </cell>
          <cell r="J2233" t="str">
            <v>PURISSIMA, S.A</v>
          </cell>
          <cell r="M2233">
            <v>201</v>
          </cell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</row>
        <row r="2234">
          <cell r="A2234" t="str">
            <v>PURISSIMA, S.A</v>
          </cell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G2234">
            <v>201</v>
          </cell>
          <cell r="J2234" t="str">
            <v>PURISSIMA, S.A</v>
          </cell>
          <cell r="M2234"/>
          <cell r="N2234">
            <v>201</v>
          </cell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</row>
        <row r="2235">
          <cell r="A2235" t="str">
            <v>PURISSIMA, S.A</v>
          </cell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G2235">
            <v>201</v>
          </cell>
          <cell r="J2235" t="str">
            <v>PURISSIMA, S.A</v>
          </cell>
          <cell r="M2235"/>
          <cell r="N2235">
            <v>84</v>
          </cell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</row>
        <row r="2236">
          <cell r="A2236" t="str">
            <v>PURISSIMA, S.A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84</v>
          </cell>
          <cell r="J2236" t="str">
            <v>PURISSIMA, S.A</v>
          </cell>
          <cell r="M2236"/>
          <cell r="N2236">
            <v>0</v>
          </cell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</row>
        <row r="2237">
          <cell r="A2237" t="str">
            <v>PURISSIMA, S.A</v>
          </cell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J2237" t="str">
            <v>PURISSIMA, S.A</v>
          </cell>
          <cell r="M2237"/>
          <cell r="N2237">
            <v>60</v>
          </cell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</row>
        <row r="2238">
          <cell r="A2238" t="str">
            <v>PURISSIMA, S.A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60</v>
          </cell>
          <cell r="J2238" t="str">
            <v>PURISSIMA, S.A</v>
          </cell>
          <cell r="M2238"/>
          <cell r="N2238"/>
          <cell r="O2238"/>
          <cell r="P2238"/>
          <cell r="Q2238"/>
          <cell r="R2238"/>
          <cell r="S2238">
            <v>305</v>
          </cell>
          <cell r="T2238"/>
          <cell r="U2238"/>
          <cell r="V2238"/>
          <cell r="W2238"/>
          <cell r="X2238"/>
          <cell r="Y2238"/>
        </row>
        <row r="2239">
          <cell r="A2239" t="str">
            <v>PURISSIMA, S.A</v>
          </cell>
          <cell r="C2239">
            <v>100</v>
          </cell>
          <cell r="D2239">
            <v>0</v>
          </cell>
          <cell r="E2239">
            <v>0</v>
          </cell>
          <cell r="F2239">
            <v>0</v>
          </cell>
          <cell r="G2239">
            <v>305</v>
          </cell>
          <cell r="J2239" t="str">
            <v>PURISSIMA, S.A</v>
          </cell>
          <cell r="M2239"/>
          <cell r="N2239"/>
          <cell r="O2239"/>
          <cell r="P2239"/>
          <cell r="Q2239">
            <v>60</v>
          </cell>
          <cell r="R2239"/>
          <cell r="S2239"/>
          <cell r="T2239"/>
          <cell r="U2239"/>
          <cell r="V2239"/>
          <cell r="W2239"/>
          <cell r="X2239"/>
          <cell r="Y2239"/>
        </row>
        <row r="2240">
          <cell r="A2240" t="str">
            <v>PURISSIMA, S.A</v>
          </cell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G2240">
            <v>60</v>
          </cell>
          <cell r="J2240" t="str">
            <v>PURISSIMA, S.A</v>
          </cell>
          <cell r="M2240"/>
          <cell r="N2240"/>
          <cell r="O2240">
            <v>256</v>
          </cell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</row>
        <row r="2241">
          <cell r="A2241" t="str">
            <v>PURISSIMA, S.A</v>
          </cell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G2241">
            <v>256</v>
          </cell>
          <cell r="J2241" t="str">
            <v>PURISSIMA, S.A</v>
          </cell>
          <cell r="M2241">
            <v>400</v>
          </cell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</row>
        <row r="2242">
          <cell r="A2242" t="str">
            <v>PURISSIMA, S.A</v>
          </cell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G2242">
            <v>400</v>
          </cell>
          <cell r="J2242" t="str">
            <v>PURISSIMA, S.A</v>
          </cell>
          <cell r="M2242"/>
          <cell r="N2242">
            <v>230</v>
          </cell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</row>
        <row r="2243">
          <cell r="A2243" t="str">
            <v>PURISSIMA, S.A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230</v>
          </cell>
          <cell r="J2243" t="str">
            <v>PURISSIMA, S.A</v>
          </cell>
          <cell r="M2243"/>
          <cell r="N2243">
            <v>97</v>
          </cell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</row>
        <row r="2244">
          <cell r="A2244" t="str">
            <v>PURISSIMA, S.A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G2244">
            <v>97</v>
          </cell>
          <cell r="J2244" t="str">
            <v>PURISSIMA, S.A</v>
          </cell>
          <cell r="M2244">
            <v>77</v>
          </cell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</row>
        <row r="2245">
          <cell r="A2245" t="str">
            <v>PURISSIMA, S.A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G2245">
            <v>77</v>
          </cell>
          <cell r="J2245" t="str">
            <v>PURISSIMA, S.A</v>
          </cell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>
            <v>0</v>
          </cell>
          <cell r="X2245"/>
          <cell r="Y2245"/>
        </row>
        <row r="2246">
          <cell r="A2246" t="str">
            <v>PURISSIMA, S.A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J2246" t="str">
            <v>PURISSIMA, S.A</v>
          </cell>
          <cell r="M2246"/>
          <cell r="N2246"/>
          <cell r="O2246"/>
          <cell r="P2246"/>
          <cell r="Q2246"/>
          <cell r="R2246"/>
          <cell r="S2246"/>
          <cell r="T2246"/>
          <cell r="U2246"/>
          <cell r="V2246">
            <v>0</v>
          </cell>
          <cell r="W2246"/>
          <cell r="X2246"/>
          <cell r="Y2246"/>
        </row>
        <row r="2247">
          <cell r="A2247" t="str">
            <v>PURISSIMA, S.A</v>
          </cell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J2247" t="str">
            <v>PURISSIMA, S.A</v>
          </cell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>
            <v>0</v>
          </cell>
        </row>
        <row r="2248">
          <cell r="A2248" t="str">
            <v>PURISSIMA, S.A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J2248" t="str">
            <v>PURISSIMA, S.A</v>
          </cell>
          <cell r="M2248"/>
          <cell r="N2248"/>
          <cell r="O2248">
            <v>0</v>
          </cell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</row>
        <row r="2249">
          <cell r="A2249" t="str">
            <v>PURISSIMA, S.A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J2249" t="str">
            <v>PURISSIMA, S.A</v>
          </cell>
          <cell r="M2249"/>
          <cell r="N2249"/>
          <cell r="O2249"/>
          <cell r="P2249"/>
          <cell r="Q2249"/>
          <cell r="R2249"/>
          <cell r="S2249">
            <v>150</v>
          </cell>
          <cell r="T2249"/>
          <cell r="U2249"/>
          <cell r="V2249"/>
          <cell r="W2249"/>
          <cell r="X2249"/>
          <cell r="Y2249"/>
        </row>
        <row r="2250">
          <cell r="A2250" t="str">
            <v>PURISSIMA, S.A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150</v>
          </cell>
          <cell r="J2250" t="str">
            <v>PURISSIMA, S.A</v>
          </cell>
          <cell r="M2250">
            <v>200</v>
          </cell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</row>
        <row r="2251">
          <cell r="A2251" t="str">
            <v>PURISSIMA, S.A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200</v>
          </cell>
          <cell r="J2251" t="str">
            <v>PURISSIMA, S.A</v>
          </cell>
          <cell r="M2251"/>
          <cell r="N2251"/>
          <cell r="O2251"/>
          <cell r="P2251"/>
          <cell r="Q2251"/>
          <cell r="R2251">
            <v>0</v>
          </cell>
          <cell r="S2251"/>
          <cell r="T2251"/>
          <cell r="U2251"/>
          <cell r="V2251"/>
          <cell r="W2251"/>
          <cell r="X2251"/>
          <cell r="Y2251"/>
        </row>
        <row r="2252">
          <cell r="A2252" t="str">
            <v>PURISSIMA, S.A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J2252" t="str">
            <v>PURISSIMA, S.A</v>
          </cell>
          <cell r="M2252"/>
          <cell r="N2252"/>
          <cell r="O2252"/>
          <cell r="P2252"/>
          <cell r="Q2252"/>
          <cell r="R2252"/>
          <cell r="S2252">
            <v>200</v>
          </cell>
          <cell r="T2252"/>
          <cell r="U2252"/>
          <cell r="V2252"/>
          <cell r="W2252"/>
          <cell r="X2252"/>
          <cell r="Y2252"/>
        </row>
        <row r="2253">
          <cell r="A2253" t="str">
            <v>PURISSIMA, S.A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200</v>
          </cell>
          <cell r="J2253" t="str">
            <v>PURISSIMA, S.A</v>
          </cell>
          <cell r="M2253"/>
          <cell r="N2253">
            <v>110</v>
          </cell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</row>
        <row r="2254">
          <cell r="A2254" t="str">
            <v>PURISSIMA, S.A</v>
          </cell>
          <cell r="C2254">
            <v>0</v>
          </cell>
          <cell r="D2254">
            <v>35</v>
          </cell>
          <cell r="E2254">
            <v>0</v>
          </cell>
          <cell r="F2254">
            <v>0</v>
          </cell>
          <cell r="G2254">
            <v>110</v>
          </cell>
          <cell r="J2254" t="str">
            <v>PURISSIMA, S.A</v>
          </cell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>
            <v>50</v>
          </cell>
        </row>
        <row r="2255">
          <cell r="A2255" t="str">
            <v>PURISSIMA, S.A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50</v>
          </cell>
          <cell r="J2255" t="str">
            <v>RIBA SMITH, S.A.</v>
          </cell>
          <cell r="M2255"/>
          <cell r="N2255">
            <v>100</v>
          </cell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</row>
        <row r="2256">
          <cell r="A2256" t="str">
            <v>RIBA SMITH, S.A.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100</v>
          </cell>
          <cell r="J2256" t="str">
            <v>RIBA SMITH, S.A.</v>
          </cell>
          <cell r="M2256"/>
          <cell r="N2256"/>
          <cell r="O2256">
            <v>180</v>
          </cell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</row>
        <row r="2257">
          <cell r="A2257" t="str">
            <v>RIBA SMITH, S.A.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180</v>
          </cell>
          <cell r="J2257" t="str">
            <v>RIBA SMITH, S.A.</v>
          </cell>
          <cell r="M2257"/>
          <cell r="N2257">
            <v>70</v>
          </cell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</row>
        <row r="2258">
          <cell r="A2258" t="str">
            <v>RIBA SMITH, S.A.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70</v>
          </cell>
          <cell r="J2258" t="str">
            <v>RIBA SMITH, S.A.</v>
          </cell>
          <cell r="M2258"/>
          <cell r="N2258">
            <v>100</v>
          </cell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</row>
        <row r="2259">
          <cell r="A2259" t="str">
            <v>RIBA SMITH, S.A.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100</v>
          </cell>
          <cell r="J2259" t="str">
            <v>RIBA SMITH, S.A.</v>
          </cell>
          <cell r="M2259"/>
          <cell r="N2259">
            <v>467</v>
          </cell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</row>
        <row r="2260">
          <cell r="A2260" t="str">
            <v>RIBA SMITH, S.A.</v>
          </cell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G2260">
            <v>467</v>
          </cell>
          <cell r="J2260" t="str">
            <v>RIBA SMITH, S.A.</v>
          </cell>
          <cell r="M2260"/>
          <cell r="N2260">
            <v>881</v>
          </cell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</row>
        <row r="2261">
          <cell r="A2261" t="str">
            <v>RIBA SMITH, S.A.</v>
          </cell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G2261">
            <v>881</v>
          </cell>
          <cell r="J2261" t="str">
            <v>RIBA SMITH, S.A.</v>
          </cell>
          <cell r="M2261"/>
          <cell r="N2261">
            <v>38</v>
          </cell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</row>
        <row r="2262">
          <cell r="A2262" t="str">
            <v>RIBA SMITH, S.A.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38</v>
          </cell>
          <cell r="J2262" t="str">
            <v>RIBA SMITH, S.A.</v>
          </cell>
          <cell r="M2262"/>
          <cell r="N2262">
            <v>70</v>
          </cell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</row>
        <row r="2263">
          <cell r="A2263" t="str">
            <v>RIBA SMITH, S.A.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70</v>
          </cell>
          <cell r="J2263" t="str">
            <v>RIBA SMITH, S.A.</v>
          </cell>
          <cell r="M2263"/>
          <cell r="N2263">
            <v>62</v>
          </cell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</row>
        <row r="2264">
          <cell r="A2264" t="str">
            <v>RIBA SMITH, S.A.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62</v>
          </cell>
          <cell r="J2264" t="str">
            <v>RIBA SMITH, S.A.</v>
          </cell>
          <cell r="M2264"/>
          <cell r="N2264">
            <v>542</v>
          </cell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</row>
        <row r="2265">
          <cell r="A2265" t="str">
            <v>RIBA SMITH, S.A.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542</v>
          </cell>
          <cell r="J2265" t="str">
            <v>RIBA SMITH, S.A.</v>
          </cell>
          <cell r="M2265"/>
          <cell r="N2265"/>
          <cell r="O2265"/>
          <cell r="P2265"/>
          <cell r="Q2265"/>
          <cell r="R2265"/>
          <cell r="S2265">
            <v>211</v>
          </cell>
          <cell r="T2265"/>
          <cell r="U2265"/>
          <cell r="V2265"/>
          <cell r="W2265"/>
          <cell r="X2265"/>
          <cell r="Y2265"/>
        </row>
        <row r="2266">
          <cell r="A2266" t="str">
            <v>RIBA SMITH, S.A.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211</v>
          </cell>
          <cell r="J2266" t="str">
            <v>RIBA SMITH, S.A.</v>
          </cell>
          <cell r="M2266"/>
          <cell r="N2266">
            <v>105</v>
          </cell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</row>
        <row r="2267">
          <cell r="A2267" t="str">
            <v>RIBA SMITH, S.A.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105</v>
          </cell>
          <cell r="J2267" t="str">
            <v>RIBA SMITH, S.A.</v>
          </cell>
          <cell r="M2267">
            <v>100</v>
          </cell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</row>
        <row r="2268">
          <cell r="A2268" t="str">
            <v>RIBA SMITH, S.A.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100</v>
          </cell>
          <cell r="J2268" t="str">
            <v>RIBA SMITH, S.A.</v>
          </cell>
          <cell r="M2268"/>
          <cell r="N2268">
            <v>264</v>
          </cell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</row>
        <row r="2269">
          <cell r="A2269" t="str">
            <v>RIBA SMITH, S.A.</v>
          </cell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G2269">
            <v>264</v>
          </cell>
          <cell r="J2269" t="str">
            <v>RIBA SMITH, S.A.</v>
          </cell>
          <cell r="M2269"/>
          <cell r="N2269"/>
          <cell r="O2269">
            <v>60</v>
          </cell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</row>
        <row r="2270">
          <cell r="A2270" t="str">
            <v>RIBA SMITH, S.A.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60</v>
          </cell>
          <cell r="J2270" t="str">
            <v>RIBA SMITH, S.A.</v>
          </cell>
          <cell r="M2270"/>
          <cell r="N2270"/>
          <cell r="O2270"/>
          <cell r="P2270"/>
          <cell r="Q2270"/>
          <cell r="R2270"/>
          <cell r="S2270">
            <v>179</v>
          </cell>
          <cell r="T2270"/>
          <cell r="U2270"/>
          <cell r="V2270"/>
          <cell r="W2270"/>
          <cell r="X2270"/>
          <cell r="Y2270"/>
        </row>
        <row r="2271">
          <cell r="A2271" t="str">
            <v>RIBA SMITH, S.A.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179</v>
          </cell>
          <cell r="J2271" t="str">
            <v>RIBA SMITH, S.A.</v>
          </cell>
          <cell r="M2271"/>
          <cell r="N2271">
            <v>50</v>
          </cell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</row>
        <row r="2272">
          <cell r="A2272" t="str">
            <v>RIBA SMITH, S.A.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50</v>
          </cell>
          <cell r="J2272" t="str">
            <v>RIBA SMITH, S.A.</v>
          </cell>
          <cell r="M2272"/>
          <cell r="N2272">
            <v>162</v>
          </cell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</row>
        <row r="2273">
          <cell r="A2273" t="str">
            <v>RIBA SMITH, S.A.</v>
          </cell>
          <cell r="C2273">
            <v>162</v>
          </cell>
          <cell r="D2273">
            <v>0</v>
          </cell>
          <cell r="E2273">
            <v>0</v>
          </cell>
          <cell r="F2273">
            <v>0</v>
          </cell>
          <cell r="G2273">
            <v>162</v>
          </cell>
          <cell r="J2273" t="str">
            <v>RIBA SMITH, S.A.</v>
          </cell>
          <cell r="M2273"/>
          <cell r="N2273">
            <v>86</v>
          </cell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</row>
        <row r="2274">
          <cell r="A2274" t="str">
            <v>RIBA SMITH, S.A.</v>
          </cell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G2274">
            <v>86</v>
          </cell>
          <cell r="J2274" t="str">
            <v>RIBA SMITH, S.A.</v>
          </cell>
          <cell r="M2274">
            <v>201</v>
          </cell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</row>
        <row r="2275">
          <cell r="A2275" t="str">
            <v>RIBA SMITH, S.A.</v>
          </cell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G2275">
            <v>201</v>
          </cell>
          <cell r="J2275" t="str">
            <v>RIBA SMITH, S.A.</v>
          </cell>
          <cell r="M2275"/>
          <cell r="N2275"/>
          <cell r="O2275"/>
          <cell r="P2275"/>
          <cell r="Q2275"/>
          <cell r="R2275">
            <v>181</v>
          </cell>
          <cell r="S2275"/>
          <cell r="T2275"/>
          <cell r="U2275"/>
          <cell r="V2275"/>
          <cell r="W2275"/>
          <cell r="X2275"/>
          <cell r="Y2275"/>
        </row>
        <row r="2276">
          <cell r="A2276" t="str">
            <v>RIBA SMITH, S.A.</v>
          </cell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G2276">
            <v>181</v>
          </cell>
          <cell r="J2276" t="str">
            <v>RIBA SMITH, S.A.</v>
          </cell>
          <cell r="M2276"/>
          <cell r="N2276">
            <v>201</v>
          </cell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</row>
        <row r="2277">
          <cell r="A2277" t="str">
            <v>RIBA SMITH, S.A.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201</v>
          </cell>
          <cell r="J2277" t="str">
            <v>RIBA SMITH, S.A.</v>
          </cell>
          <cell r="M2277"/>
          <cell r="N2277"/>
          <cell r="O2277">
            <v>1200</v>
          </cell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</row>
        <row r="2278">
          <cell r="A2278" t="str">
            <v>RIBA SMITH, S.A.</v>
          </cell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G2278">
            <v>1200</v>
          </cell>
          <cell r="J2278" t="str">
            <v>RIBA SMITH, S.A.</v>
          </cell>
          <cell r="M2278">
            <v>390</v>
          </cell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</row>
        <row r="2279">
          <cell r="A2279" t="str">
            <v>RIBA SMITH, S.A.</v>
          </cell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G2279">
            <v>390</v>
          </cell>
          <cell r="J2279" t="str">
            <v>RIBA SMITH, S.A.</v>
          </cell>
          <cell r="M2279"/>
          <cell r="N2279">
            <v>250</v>
          </cell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</row>
        <row r="2280">
          <cell r="A2280" t="str">
            <v>RIBA SMITH, S.A.</v>
          </cell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G2280">
            <v>250</v>
          </cell>
          <cell r="J2280" t="str">
            <v>RIBA SMITH, S.A.</v>
          </cell>
          <cell r="M2280"/>
          <cell r="N2280">
            <v>84</v>
          </cell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</row>
        <row r="2281">
          <cell r="A2281" t="str">
            <v>RIBA SMITH, S.A.</v>
          </cell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G2281">
            <v>84</v>
          </cell>
          <cell r="J2281" t="str">
            <v>RIBA SMITH, S.A.</v>
          </cell>
          <cell r="M2281"/>
          <cell r="N2281">
            <v>0</v>
          </cell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</row>
        <row r="2282">
          <cell r="A2282" t="str">
            <v>RIBA SMITH, S.A.</v>
          </cell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J2282" t="str">
            <v>RIBA SMITH, S.A.</v>
          </cell>
          <cell r="M2282"/>
          <cell r="N2282"/>
          <cell r="O2282">
            <v>1017</v>
          </cell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</row>
        <row r="2283">
          <cell r="A2283" t="str">
            <v>RIBA SMITH, S.A.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1017</v>
          </cell>
          <cell r="J2283" t="str">
            <v>RIBA SMITH, S.A.</v>
          </cell>
          <cell r="M2283"/>
          <cell r="N2283"/>
          <cell r="O2283">
            <v>219</v>
          </cell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</row>
        <row r="2284">
          <cell r="A2284" t="str">
            <v>RIBA SMITH, S.A.</v>
          </cell>
          <cell r="C2284">
            <v>0</v>
          </cell>
          <cell r="D2284">
            <v>16</v>
          </cell>
          <cell r="E2284">
            <v>19</v>
          </cell>
          <cell r="F2284">
            <v>19</v>
          </cell>
          <cell r="G2284">
            <v>219</v>
          </cell>
          <cell r="J2284" t="str">
            <v>RIBA SMITH, S.A.</v>
          </cell>
          <cell r="M2284"/>
          <cell r="N2284"/>
          <cell r="O2284"/>
          <cell r="P2284"/>
          <cell r="Q2284">
            <v>83</v>
          </cell>
          <cell r="R2284"/>
          <cell r="S2284"/>
          <cell r="T2284"/>
          <cell r="U2284"/>
          <cell r="V2284"/>
          <cell r="W2284"/>
          <cell r="X2284"/>
          <cell r="Y2284"/>
        </row>
        <row r="2285">
          <cell r="A2285" t="str">
            <v>RIBA SMITH, S.A.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83</v>
          </cell>
          <cell r="J2285" t="str">
            <v>RIBA SMITH, S.A.</v>
          </cell>
          <cell r="M2285">
            <v>265</v>
          </cell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</row>
        <row r="2286">
          <cell r="A2286" t="str">
            <v>RIBA SMITH, S.A.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265</v>
          </cell>
          <cell r="J2286" t="str">
            <v>RIBA SMITH, S.A.</v>
          </cell>
          <cell r="M2286"/>
          <cell r="N2286"/>
          <cell r="O2286"/>
          <cell r="P2286"/>
          <cell r="Q2286"/>
          <cell r="R2286"/>
          <cell r="S2286">
            <v>152</v>
          </cell>
          <cell r="T2286"/>
          <cell r="U2286"/>
          <cell r="V2286"/>
          <cell r="W2286"/>
          <cell r="X2286"/>
          <cell r="Y2286"/>
        </row>
        <row r="2287">
          <cell r="A2287" t="str">
            <v>RIBA SMITH, S.A.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152</v>
          </cell>
          <cell r="J2287" t="str">
            <v>RIBA SMITH, S.A.</v>
          </cell>
          <cell r="M2287"/>
          <cell r="N2287"/>
          <cell r="O2287"/>
          <cell r="P2287"/>
          <cell r="Q2287">
            <v>60</v>
          </cell>
          <cell r="R2287"/>
          <cell r="S2287"/>
          <cell r="T2287"/>
          <cell r="U2287"/>
          <cell r="V2287"/>
          <cell r="W2287"/>
          <cell r="X2287"/>
          <cell r="Y2287"/>
        </row>
        <row r="2288">
          <cell r="A2288" t="str">
            <v>RIBA SMITH, S.A.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60</v>
          </cell>
          <cell r="J2288" t="str">
            <v>RIBA SMITH, S.A.</v>
          </cell>
          <cell r="M2288"/>
          <cell r="N2288"/>
          <cell r="O2288">
            <v>68</v>
          </cell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</row>
        <row r="2289">
          <cell r="A2289" t="str">
            <v>RIBA SMITH, S.A.</v>
          </cell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G2289">
            <v>68</v>
          </cell>
          <cell r="J2289" t="str">
            <v>RIBA SMITH, S.A.</v>
          </cell>
          <cell r="M2289"/>
          <cell r="N2289"/>
          <cell r="O2289">
            <v>256</v>
          </cell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</row>
        <row r="2290">
          <cell r="A2290" t="str">
            <v>RIBA SMITH, S.A.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256</v>
          </cell>
          <cell r="J2290" t="str">
            <v>RIBA SMITH, S.A.</v>
          </cell>
          <cell r="M2290"/>
          <cell r="N2290"/>
          <cell r="O2290"/>
          <cell r="P2290"/>
          <cell r="Q2290">
            <v>496</v>
          </cell>
          <cell r="R2290"/>
          <cell r="S2290"/>
          <cell r="T2290"/>
          <cell r="U2290"/>
          <cell r="V2290"/>
          <cell r="W2290"/>
          <cell r="X2290"/>
          <cell r="Y2290"/>
        </row>
        <row r="2291">
          <cell r="A2291" t="str">
            <v>RIBA SMITH, S.A.</v>
          </cell>
          <cell r="C2291">
            <v>73</v>
          </cell>
          <cell r="D2291">
            <v>0</v>
          </cell>
          <cell r="E2291">
            <v>0</v>
          </cell>
          <cell r="F2291">
            <v>0</v>
          </cell>
          <cell r="G2291">
            <v>496</v>
          </cell>
          <cell r="J2291" t="str">
            <v>RIBA SMITH, S.A.</v>
          </cell>
          <cell r="M2291">
            <v>400</v>
          </cell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</row>
        <row r="2292">
          <cell r="A2292" t="str">
            <v>RIBA SMITH, S.A.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400</v>
          </cell>
          <cell r="J2292" t="str">
            <v>RIBA SMITH, S.A.</v>
          </cell>
          <cell r="M2292">
            <v>100</v>
          </cell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</row>
        <row r="2293">
          <cell r="A2293" t="str">
            <v>RIBA SMITH, S.A.</v>
          </cell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G2293">
            <v>100</v>
          </cell>
          <cell r="J2293" t="str">
            <v>RIBA SMITH, S.A.</v>
          </cell>
          <cell r="M2293"/>
          <cell r="N2293">
            <v>230</v>
          </cell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</row>
        <row r="2294">
          <cell r="A2294" t="str">
            <v>RIBA SMITH, S.A.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230</v>
          </cell>
          <cell r="J2294" t="str">
            <v>RIBA SMITH, S.A.</v>
          </cell>
          <cell r="M2294">
            <v>352</v>
          </cell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</row>
        <row r="2295">
          <cell r="A2295" t="str">
            <v>RIBA SMITH, S.A.</v>
          </cell>
          <cell r="C2295">
            <v>225</v>
          </cell>
          <cell r="D2295">
            <v>0</v>
          </cell>
          <cell r="E2295">
            <v>0</v>
          </cell>
          <cell r="F2295">
            <v>0</v>
          </cell>
          <cell r="G2295">
            <v>352</v>
          </cell>
          <cell r="J2295" t="str">
            <v>RIBA SMITH, S.A.</v>
          </cell>
          <cell r="M2295"/>
          <cell r="N2295">
            <v>510</v>
          </cell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</row>
        <row r="2296">
          <cell r="A2296" t="str">
            <v>RIBA SMITH, S.A.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510</v>
          </cell>
          <cell r="J2296" t="str">
            <v>RIBA SMITH, S.A.</v>
          </cell>
          <cell r="M2296"/>
          <cell r="N2296">
            <v>97</v>
          </cell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</row>
        <row r="2297">
          <cell r="A2297" t="str">
            <v>RIBA SMITH, S.A.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97</v>
          </cell>
          <cell r="J2297" t="str">
            <v>RIBA SMITH, S.A.</v>
          </cell>
          <cell r="M2297">
            <v>1350</v>
          </cell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</row>
        <row r="2298">
          <cell r="A2298" t="str">
            <v>RIBA SMITH, S.A.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1350</v>
          </cell>
          <cell r="J2298" t="str">
            <v>RIBA SMITH, S.A.</v>
          </cell>
          <cell r="M2298">
            <v>77</v>
          </cell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</row>
        <row r="2299">
          <cell r="A2299" t="str">
            <v>RIBA SMITH, S.A.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77</v>
          </cell>
          <cell r="J2299" t="str">
            <v>RIBA SMITH, S.A.</v>
          </cell>
          <cell r="M2299"/>
          <cell r="N2299">
            <v>130</v>
          </cell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</row>
        <row r="2300">
          <cell r="A2300" t="str">
            <v>RIBA SMITH, S.A.</v>
          </cell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G2300">
            <v>130</v>
          </cell>
          <cell r="J2300" t="str">
            <v>RIBA SMITH, S.A.</v>
          </cell>
          <cell r="M2300"/>
          <cell r="N2300"/>
          <cell r="O2300"/>
          <cell r="P2300"/>
          <cell r="Q2300"/>
          <cell r="R2300"/>
          <cell r="S2300">
            <v>40</v>
          </cell>
          <cell r="T2300"/>
          <cell r="U2300"/>
          <cell r="V2300"/>
          <cell r="W2300"/>
          <cell r="X2300"/>
          <cell r="Y2300"/>
        </row>
        <row r="2301">
          <cell r="A2301" t="str">
            <v>RIBA SMITH, S.A.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40</v>
          </cell>
          <cell r="J2301" t="str">
            <v>RIBA SMITH, S.A.</v>
          </cell>
          <cell r="M2301"/>
          <cell r="N2301"/>
          <cell r="O2301"/>
          <cell r="P2301"/>
          <cell r="Q2301"/>
          <cell r="R2301"/>
          <cell r="S2301">
            <v>50</v>
          </cell>
          <cell r="T2301"/>
          <cell r="U2301"/>
          <cell r="V2301"/>
          <cell r="W2301"/>
          <cell r="X2301"/>
          <cell r="Y2301"/>
        </row>
        <row r="2302">
          <cell r="A2302" t="str">
            <v>RIBA SMITH, S.A.</v>
          </cell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G2302">
            <v>50</v>
          </cell>
          <cell r="J2302" t="str">
            <v>RIBA SMITH, S.A.</v>
          </cell>
          <cell r="M2302"/>
          <cell r="N2302"/>
          <cell r="O2302">
            <v>0</v>
          </cell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</row>
        <row r="2303">
          <cell r="A2303" t="str">
            <v>RIBA SMITH, S.A.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J2303" t="str">
            <v>RIBA SMITH, S.A.</v>
          </cell>
          <cell r="M2303">
            <v>209</v>
          </cell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</row>
        <row r="2304">
          <cell r="A2304" t="str">
            <v>RIBA SMITH, S.A.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209</v>
          </cell>
          <cell r="J2304" t="str">
            <v>RIBA SMITH, S.A.</v>
          </cell>
          <cell r="M2304"/>
          <cell r="N2304"/>
          <cell r="O2304"/>
          <cell r="P2304"/>
          <cell r="Q2304"/>
          <cell r="R2304">
            <v>0</v>
          </cell>
          <cell r="S2304"/>
          <cell r="T2304"/>
          <cell r="U2304"/>
          <cell r="V2304"/>
          <cell r="W2304"/>
          <cell r="X2304"/>
          <cell r="Y2304"/>
        </row>
        <row r="2305">
          <cell r="A2305" t="str">
            <v>RIBA SMITH, S.A.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J2305" t="str">
            <v>RIBA SMITH, S.A.</v>
          </cell>
          <cell r="M2305"/>
          <cell r="N2305"/>
          <cell r="O2305"/>
          <cell r="P2305">
            <v>173</v>
          </cell>
          <cell r="Q2305"/>
          <cell r="R2305"/>
          <cell r="S2305"/>
          <cell r="T2305"/>
          <cell r="U2305"/>
          <cell r="V2305"/>
          <cell r="W2305"/>
          <cell r="X2305"/>
          <cell r="Y2305"/>
        </row>
        <row r="2306">
          <cell r="A2306" t="str">
            <v>RIBA SMITH, S.A.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173</v>
          </cell>
          <cell r="J2306" t="str">
            <v>RIBA SMITH, S.A.</v>
          </cell>
          <cell r="M2306">
            <v>52</v>
          </cell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</row>
        <row r="2307">
          <cell r="A2307" t="str">
            <v>RIBA SMITH, S.A.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G2307">
            <v>52</v>
          </cell>
          <cell r="J2307" t="str">
            <v>RIBA SMITH, S.A.</v>
          </cell>
          <cell r="M2307"/>
          <cell r="N2307"/>
          <cell r="O2307"/>
          <cell r="P2307">
            <v>150</v>
          </cell>
          <cell r="Q2307"/>
          <cell r="R2307"/>
          <cell r="S2307"/>
          <cell r="T2307"/>
          <cell r="U2307"/>
          <cell r="V2307"/>
          <cell r="W2307"/>
          <cell r="X2307"/>
          <cell r="Y2307"/>
        </row>
        <row r="2308">
          <cell r="A2308" t="str">
            <v>RIBA SMITH, S.A.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150</v>
          </cell>
          <cell r="J2308" t="str">
            <v>RIBA SMITH, S.A.</v>
          </cell>
          <cell r="M2308">
            <v>600</v>
          </cell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</row>
        <row r="2309">
          <cell r="A2309" t="str">
            <v>RIBA SMITH, S.A.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600</v>
          </cell>
          <cell r="J2309" t="str">
            <v>SUPER CARNES</v>
          </cell>
          <cell r="M2309"/>
          <cell r="N2309"/>
          <cell r="O2309"/>
          <cell r="P2309"/>
          <cell r="Q2309"/>
          <cell r="R2309"/>
          <cell r="S2309"/>
          <cell r="T2309">
            <v>82</v>
          </cell>
          <cell r="U2309"/>
          <cell r="V2309"/>
          <cell r="W2309"/>
          <cell r="X2309"/>
          <cell r="Y2309"/>
        </row>
        <row r="2310">
          <cell r="A2310" t="str">
            <v>SUPER CARNES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82</v>
          </cell>
          <cell r="J2310" t="str">
            <v>SUPER CARNES</v>
          </cell>
          <cell r="M2310"/>
          <cell r="N2310"/>
          <cell r="O2310"/>
          <cell r="P2310"/>
          <cell r="Q2310"/>
          <cell r="R2310"/>
          <cell r="S2310"/>
          <cell r="T2310">
            <v>84</v>
          </cell>
          <cell r="U2310"/>
          <cell r="V2310"/>
          <cell r="W2310"/>
          <cell r="X2310"/>
          <cell r="Y2310"/>
        </row>
        <row r="2311">
          <cell r="A2311" t="str">
            <v>SUPER CARNES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84</v>
          </cell>
          <cell r="J2311" t="str">
            <v>SUPER CARNES</v>
          </cell>
          <cell r="M2311"/>
          <cell r="N2311"/>
          <cell r="O2311"/>
          <cell r="P2311"/>
          <cell r="Q2311"/>
          <cell r="R2311"/>
          <cell r="S2311"/>
          <cell r="T2311">
            <v>115</v>
          </cell>
          <cell r="U2311"/>
          <cell r="V2311"/>
          <cell r="W2311"/>
          <cell r="X2311"/>
          <cell r="Y2311"/>
        </row>
        <row r="2312">
          <cell r="A2312" t="str">
            <v>SUPER CARNES</v>
          </cell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G2312">
            <v>115</v>
          </cell>
          <cell r="J2312" t="str">
            <v>SUPER CARNES</v>
          </cell>
          <cell r="M2312"/>
          <cell r="N2312"/>
          <cell r="O2312"/>
          <cell r="P2312"/>
          <cell r="Q2312"/>
          <cell r="R2312"/>
          <cell r="S2312"/>
          <cell r="T2312">
            <v>73</v>
          </cell>
          <cell r="U2312"/>
          <cell r="V2312"/>
          <cell r="W2312"/>
          <cell r="X2312"/>
          <cell r="Y2312"/>
        </row>
        <row r="2313">
          <cell r="A2313" t="str">
            <v>SUPER CARNES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73</v>
          </cell>
          <cell r="J2313" t="str">
            <v>SUPER CARNES</v>
          </cell>
          <cell r="M2313"/>
          <cell r="N2313">
            <v>0</v>
          </cell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</row>
        <row r="2314">
          <cell r="A2314" t="str">
            <v>SUPER CARNES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J2314" t="str">
            <v>SUPER CARNES</v>
          </cell>
          <cell r="M2314"/>
          <cell r="N2314"/>
          <cell r="O2314"/>
          <cell r="P2314"/>
          <cell r="Q2314"/>
          <cell r="R2314"/>
          <cell r="S2314"/>
          <cell r="T2314">
            <v>37</v>
          </cell>
          <cell r="U2314"/>
          <cell r="V2314"/>
          <cell r="W2314"/>
          <cell r="X2314"/>
          <cell r="Y2314"/>
        </row>
        <row r="2315">
          <cell r="A2315" t="str">
            <v>SUPER CARNES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37</v>
          </cell>
          <cell r="J2315" t="str">
            <v>SUPER CARNES</v>
          </cell>
          <cell r="M2315"/>
          <cell r="N2315"/>
          <cell r="O2315"/>
          <cell r="P2315"/>
          <cell r="Q2315"/>
          <cell r="R2315"/>
          <cell r="S2315"/>
          <cell r="T2315"/>
          <cell r="U2315">
            <v>0</v>
          </cell>
          <cell r="V2315"/>
          <cell r="W2315"/>
          <cell r="X2315"/>
          <cell r="Y2315"/>
        </row>
        <row r="2316">
          <cell r="A2316" t="str">
            <v>SUPER CARNES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J2316" t="str">
            <v>SUPER CARNES</v>
          </cell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</row>
        <row r="2317">
          <cell r="A2317" t="str">
            <v>SUPER CARNES</v>
          </cell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J2317" t="str">
            <v>SUPER CARNES</v>
          </cell>
          <cell r="M2317"/>
          <cell r="N2317"/>
          <cell r="O2317"/>
          <cell r="P2317"/>
          <cell r="Q2317"/>
          <cell r="R2317"/>
          <cell r="S2317"/>
          <cell r="T2317"/>
          <cell r="U2317">
            <v>305</v>
          </cell>
          <cell r="V2317"/>
          <cell r="W2317"/>
          <cell r="X2317"/>
          <cell r="Y2317"/>
        </row>
        <row r="2318">
          <cell r="A2318" t="str">
            <v>SUPER CARNES</v>
          </cell>
          <cell r="C2318">
            <v>0</v>
          </cell>
          <cell r="D2318">
            <v>40</v>
          </cell>
          <cell r="E2318">
            <v>60</v>
          </cell>
          <cell r="F2318">
            <v>40</v>
          </cell>
          <cell r="G2318">
            <v>305</v>
          </cell>
          <cell r="J2318" t="str">
            <v>SUPER CARNES</v>
          </cell>
          <cell r="M2318"/>
          <cell r="N2318"/>
          <cell r="O2318"/>
          <cell r="P2318"/>
          <cell r="Q2318"/>
          <cell r="R2318"/>
          <cell r="S2318"/>
          <cell r="T2318">
            <v>30</v>
          </cell>
          <cell r="U2318"/>
          <cell r="V2318"/>
          <cell r="W2318"/>
          <cell r="X2318"/>
          <cell r="Y2318"/>
        </row>
        <row r="2319">
          <cell r="A2319" t="str">
            <v>SUPER CARNES</v>
          </cell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G2319">
            <v>30</v>
          </cell>
          <cell r="J2319" t="str">
            <v>SUPER CARNES</v>
          </cell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>
            <v>0</v>
          </cell>
          <cell r="X2319"/>
          <cell r="Y2319"/>
        </row>
        <row r="2320">
          <cell r="A2320" t="str">
            <v>SUPER CARNES</v>
          </cell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J2320" t="str">
            <v>SUPER CARNES</v>
          </cell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>
            <v>628</v>
          </cell>
          <cell r="X2320"/>
          <cell r="Y2320"/>
        </row>
        <row r="2321">
          <cell r="A2321" t="str">
            <v>SUPER CARNES</v>
          </cell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G2321">
            <v>628</v>
          </cell>
          <cell r="J2321" t="str">
            <v>SUPER CARNES</v>
          </cell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>
            <v>0</v>
          </cell>
          <cell r="X2321"/>
          <cell r="Y2321"/>
        </row>
        <row r="2322">
          <cell r="A2322" t="str">
            <v>SUPER CARNES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J2322" t="str">
            <v>SUPER CARNES</v>
          </cell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>
            <v>0</v>
          </cell>
          <cell r="X2322"/>
          <cell r="Y2322"/>
        </row>
        <row r="2323">
          <cell r="A2323" t="str">
            <v>SUPER CARNES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J2323" t="str">
            <v>SUPER CARNES</v>
          </cell>
          <cell r="M2323"/>
          <cell r="N2323"/>
          <cell r="O2323"/>
          <cell r="P2323"/>
          <cell r="Q2323"/>
          <cell r="R2323"/>
          <cell r="S2323"/>
          <cell r="T2323"/>
          <cell r="U2323">
            <v>251</v>
          </cell>
          <cell r="V2323"/>
          <cell r="W2323"/>
          <cell r="X2323"/>
          <cell r="Y2323"/>
        </row>
        <row r="2324">
          <cell r="A2324" t="str">
            <v>SUPER CARNES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251</v>
          </cell>
          <cell r="J2324" t="str">
            <v>SUPER CARNES</v>
          </cell>
          <cell r="M2324"/>
          <cell r="N2324"/>
          <cell r="O2324"/>
          <cell r="P2324"/>
          <cell r="Q2324"/>
          <cell r="R2324"/>
          <cell r="S2324"/>
          <cell r="T2324"/>
          <cell r="U2324">
            <v>0</v>
          </cell>
          <cell r="V2324"/>
          <cell r="W2324"/>
          <cell r="X2324"/>
          <cell r="Y2324"/>
        </row>
        <row r="2325">
          <cell r="A2325" t="str">
            <v>SUPER CARNES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J2325" t="str">
            <v>SUPER CARNES</v>
          </cell>
          <cell r="M2325"/>
          <cell r="N2325"/>
          <cell r="O2325"/>
          <cell r="P2325"/>
          <cell r="Q2325"/>
          <cell r="R2325"/>
          <cell r="S2325"/>
          <cell r="T2325"/>
          <cell r="U2325"/>
          <cell r="V2325">
            <v>0</v>
          </cell>
          <cell r="W2325"/>
          <cell r="X2325"/>
          <cell r="Y2325"/>
        </row>
        <row r="2326">
          <cell r="A2326" t="str">
            <v>SUPER CARNES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J2326" t="str">
            <v>SUPER CARNES</v>
          </cell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>
            <v>0</v>
          </cell>
        </row>
        <row r="2327">
          <cell r="A2327" t="str">
            <v>SUPER CARNES</v>
          </cell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J2327" t="str">
            <v>SUPER CARNES</v>
          </cell>
          <cell r="M2327"/>
          <cell r="N2327"/>
          <cell r="O2327"/>
          <cell r="P2327"/>
          <cell r="Q2327"/>
          <cell r="R2327"/>
          <cell r="S2327"/>
          <cell r="T2327"/>
          <cell r="U2327"/>
          <cell r="V2327">
            <v>0</v>
          </cell>
          <cell r="W2327"/>
          <cell r="X2327"/>
          <cell r="Y2327"/>
        </row>
        <row r="2328">
          <cell r="A2328" t="str">
            <v>SUPER CARNES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J2328" t="str">
            <v>SUPER CARNES</v>
          </cell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</row>
        <row r="2329">
          <cell r="A2329" t="str">
            <v>SUPER CARNES</v>
          </cell>
          <cell r="C2329">
            <v>0</v>
          </cell>
          <cell r="D2329">
            <v>10</v>
          </cell>
          <cell r="E2329">
            <v>20</v>
          </cell>
          <cell r="F2329">
            <v>32</v>
          </cell>
          <cell r="G2329">
            <v>83</v>
          </cell>
          <cell r="J2329" t="str">
            <v>SUPER CARNES</v>
          </cell>
          <cell r="M2329"/>
          <cell r="N2329"/>
          <cell r="O2329"/>
          <cell r="P2329"/>
          <cell r="Q2329"/>
          <cell r="R2329"/>
          <cell r="S2329"/>
          <cell r="T2329"/>
          <cell r="U2329"/>
          <cell r="V2329">
            <v>200</v>
          </cell>
          <cell r="W2329"/>
          <cell r="X2329"/>
          <cell r="Y2329"/>
        </row>
        <row r="2330">
          <cell r="A2330" t="str">
            <v>SUPER CARNES</v>
          </cell>
          <cell r="C2330">
            <v>200</v>
          </cell>
          <cell r="D2330">
            <v>0</v>
          </cell>
          <cell r="E2330">
            <v>0</v>
          </cell>
          <cell r="F2330">
            <v>0</v>
          </cell>
          <cell r="G2330">
            <v>200</v>
          </cell>
          <cell r="J2330" t="str">
            <v>SUPER CARNES</v>
          </cell>
          <cell r="M2330"/>
          <cell r="N2330"/>
          <cell r="O2330"/>
          <cell r="P2330"/>
          <cell r="Q2330"/>
          <cell r="R2330"/>
          <cell r="S2330"/>
          <cell r="T2330">
            <v>0</v>
          </cell>
          <cell r="U2330"/>
          <cell r="V2330"/>
          <cell r="W2330"/>
          <cell r="X2330"/>
          <cell r="Y2330"/>
        </row>
        <row r="2331">
          <cell r="A2331" t="str">
            <v>SUPER CARNES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J2331" t="str">
            <v>SUPER CARNES</v>
          </cell>
          <cell r="M2331"/>
          <cell r="N2331"/>
          <cell r="O2331"/>
          <cell r="P2331"/>
          <cell r="Q2331"/>
          <cell r="R2331"/>
          <cell r="S2331"/>
          <cell r="T2331">
            <v>240</v>
          </cell>
          <cell r="U2331"/>
          <cell r="V2331"/>
          <cell r="W2331"/>
          <cell r="X2331"/>
          <cell r="Y2331"/>
        </row>
        <row r="2332">
          <cell r="A2332" t="str">
            <v>SUPER CARNES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240</v>
          </cell>
          <cell r="J2332" t="str">
            <v>SUPER CARNES</v>
          </cell>
          <cell r="M2332"/>
          <cell r="N2332"/>
          <cell r="O2332"/>
          <cell r="P2332"/>
          <cell r="Q2332"/>
          <cell r="R2332"/>
          <cell r="S2332"/>
          <cell r="T2332"/>
          <cell r="U2332">
            <v>80</v>
          </cell>
          <cell r="V2332"/>
          <cell r="W2332"/>
          <cell r="X2332"/>
          <cell r="Y2332"/>
        </row>
        <row r="2333">
          <cell r="A2333" t="str">
            <v>SUPER CARNES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80</v>
          </cell>
          <cell r="J2333" t="str">
            <v>SUPER CARNES</v>
          </cell>
          <cell r="M2333"/>
          <cell r="N2333"/>
          <cell r="O2333"/>
          <cell r="P2333"/>
          <cell r="Q2333"/>
          <cell r="R2333"/>
          <cell r="S2333"/>
          <cell r="T2333"/>
          <cell r="U2333">
            <v>0</v>
          </cell>
          <cell r="V2333"/>
          <cell r="W2333"/>
          <cell r="X2333"/>
          <cell r="Y2333"/>
        </row>
        <row r="2334">
          <cell r="A2334" t="str">
            <v>SUPER CARNES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J2334" t="str">
            <v>SUPER CARNES</v>
          </cell>
          <cell r="M2334"/>
          <cell r="N2334"/>
          <cell r="O2334"/>
          <cell r="P2334"/>
          <cell r="Q2334"/>
          <cell r="R2334"/>
          <cell r="S2334"/>
          <cell r="T2334"/>
          <cell r="U2334"/>
          <cell r="V2334">
            <v>30</v>
          </cell>
          <cell r="W2334"/>
          <cell r="X2334"/>
          <cell r="Y2334"/>
        </row>
        <row r="2335">
          <cell r="A2335" t="str">
            <v>SUPER CARNES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30</v>
          </cell>
          <cell r="J2335" t="str">
            <v>INDUSTRIAS LACTEAS, S.A / Estrella Azul</v>
          </cell>
          <cell r="M2335"/>
          <cell r="N2335">
            <v>212</v>
          </cell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</row>
        <row r="2336">
          <cell r="A2336" t="str">
            <v>INDUSTRIAS LACTEAS, S.A / Estrella Azul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212</v>
          </cell>
          <cell r="J2336" t="str">
            <v>INDUSTRIAS LACTEAS, S.A / Estrella Azul</v>
          </cell>
          <cell r="M2336"/>
          <cell r="N2336"/>
          <cell r="O2336">
            <v>180</v>
          </cell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</row>
        <row r="2337">
          <cell r="A2337" t="str">
            <v>INDUSTRIAS LACTEAS, S.A / Estrella Azul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180</v>
          </cell>
          <cell r="J2337" t="str">
            <v>INDUSTRIAS LACTEAS, S.A / Estrella Azul</v>
          </cell>
          <cell r="M2337"/>
          <cell r="N2337"/>
          <cell r="O2337"/>
          <cell r="P2337"/>
          <cell r="Q2337">
            <v>1060</v>
          </cell>
          <cell r="R2337"/>
          <cell r="S2337"/>
          <cell r="T2337"/>
          <cell r="U2337"/>
          <cell r="V2337"/>
          <cell r="W2337"/>
          <cell r="X2337"/>
          <cell r="Y2337"/>
        </row>
        <row r="2338">
          <cell r="A2338" t="str">
            <v>INDUSTRIAS LACTEAS, S.A / Estrella Azul</v>
          </cell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G2338">
            <v>1060</v>
          </cell>
          <cell r="J2338" t="str">
            <v>INDUSTRIAS LACTEAS, S.A / Estrella Azul</v>
          </cell>
          <cell r="M2338"/>
          <cell r="N2338"/>
          <cell r="O2338"/>
          <cell r="P2338"/>
          <cell r="Q2338"/>
          <cell r="R2338">
            <v>180</v>
          </cell>
          <cell r="S2338"/>
          <cell r="T2338"/>
          <cell r="U2338"/>
          <cell r="V2338"/>
          <cell r="W2338"/>
          <cell r="X2338"/>
          <cell r="Y2338"/>
        </row>
        <row r="2339">
          <cell r="A2339" t="str">
            <v>INDUSTRIAS LACTEAS, S.A / Estrella Azul</v>
          </cell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G2339">
            <v>180</v>
          </cell>
          <cell r="J2339" t="str">
            <v>INDUSTRIAS LACTEAS, S.A / Estrella Azul</v>
          </cell>
          <cell r="M2339"/>
          <cell r="N2339"/>
          <cell r="O2339"/>
          <cell r="P2339"/>
          <cell r="Q2339"/>
          <cell r="R2339"/>
          <cell r="S2339">
            <v>73</v>
          </cell>
          <cell r="T2339"/>
          <cell r="U2339"/>
          <cell r="V2339"/>
          <cell r="W2339"/>
          <cell r="X2339"/>
          <cell r="Y2339"/>
        </row>
        <row r="2340">
          <cell r="A2340" t="str">
            <v>INDUSTRIAS LACTEAS, S.A / Estrella Azul</v>
          </cell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G2340">
            <v>73</v>
          </cell>
          <cell r="J2340" t="str">
            <v>INDUSTRIAS LACTEAS, S.A / Estrella Azul</v>
          </cell>
          <cell r="M2340"/>
          <cell r="N2340"/>
          <cell r="O2340">
            <v>65</v>
          </cell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</row>
        <row r="2341">
          <cell r="A2341" t="str">
            <v>INDUSTRIAS LACTEAS, S.A / Estrella Azul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65</v>
          </cell>
          <cell r="J2341" t="str">
            <v>INDUSTRIAS LACTEAS, S.A / Estrella Azul</v>
          </cell>
          <cell r="M2341">
            <v>0</v>
          </cell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</row>
        <row r="2342">
          <cell r="A2342" t="str">
            <v>INDUSTRIAS LACTEAS, S.A / Estrella Azul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J2342" t="str">
            <v>INDUSTRIAS LACTEAS, S.A / Estrella Azul</v>
          </cell>
          <cell r="M2342"/>
          <cell r="N2342">
            <v>282</v>
          </cell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</row>
        <row r="2343">
          <cell r="A2343" t="str">
            <v>INDUSTRIAS LACTEAS, S.A / Estrella Azul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282</v>
          </cell>
          <cell r="J2343" t="str">
            <v>INDUSTRIAS LACTEAS, S.A / Estrella Azul</v>
          </cell>
          <cell r="M2343"/>
          <cell r="N2343">
            <v>467</v>
          </cell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</row>
        <row r="2344">
          <cell r="A2344" t="str">
            <v>INDUSTRIAS LACTEAS, S.A / Estrella Azul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467</v>
          </cell>
          <cell r="J2344" t="str">
            <v>INDUSTRIAS LACTEAS, S.A / Estrella Azul</v>
          </cell>
          <cell r="M2344"/>
          <cell r="N2344">
            <v>38</v>
          </cell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</row>
        <row r="2345">
          <cell r="A2345" t="str">
            <v>INDUSTRIAS LACTEAS, S.A / Estrella Azul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38</v>
          </cell>
          <cell r="J2345" t="str">
            <v>INDUSTRIAS LACTEAS, S.A / Estrella Azul</v>
          </cell>
          <cell r="M2345"/>
          <cell r="N2345">
            <v>62</v>
          </cell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</row>
        <row r="2346">
          <cell r="A2346" t="str">
            <v>INDUSTRIAS LACTEAS, S.A / Estrella Azul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62</v>
          </cell>
          <cell r="J2346" t="str">
            <v>INDUSTRIAS LACTEAS, S.A / Estrella Azul</v>
          </cell>
          <cell r="M2346"/>
          <cell r="N2346">
            <v>147</v>
          </cell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</row>
        <row r="2347">
          <cell r="A2347" t="str">
            <v>INDUSTRIAS LACTEAS, S.A / Estrella Azul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147</v>
          </cell>
          <cell r="J2347" t="str">
            <v>INDUSTRIAS LACTEAS, S.A / Estrella Azul</v>
          </cell>
          <cell r="M2347"/>
          <cell r="N2347"/>
          <cell r="O2347">
            <v>60</v>
          </cell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</row>
        <row r="2348">
          <cell r="A2348" t="str">
            <v>INDUSTRIAS LACTEAS, S.A / Estrella Azul</v>
          </cell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G2348">
            <v>60</v>
          </cell>
          <cell r="J2348" t="str">
            <v>INDUSTRIAS LACTEAS, S.A / Estrella Azul</v>
          </cell>
          <cell r="M2348"/>
          <cell r="N2348"/>
          <cell r="O2348"/>
          <cell r="P2348"/>
          <cell r="Q2348"/>
          <cell r="R2348">
            <v>181</v>
          </cell>
          <cell r="S2348"/>
          <cell r="T2348"/>
          <cell r="U2348"/>
          <cell r="V2348"/>
          <cell r="W2348"/>
          <cell r="X2348"/>
          <cell r="Y2348"/>
        </row>
        <row r="2349">
          <cell r="A2349" t="str">
            <v>INDUSTRIAS LACTEAS, S.A / Estrella Azul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181</v>
          </cell>
          <cell r="J2349" t="str">
            <v>INDUSTRIAS LACTEAS, S.A / Estrella Azul</v>
          </cell>
          <cell r="M2349">
            <v>150</v>
          </cell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</row>
        <row r="2350">
          <cell r="A2350" t="str">
            <v>INDUSTRIAS LACTEAS, S.A / Estrella Azul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150</v>
          </cell>
          <cell r="J2350" t="str">
            <v>INDUSTRIAS LACTEAS, S.A / Estrella Azul</v>
          </cell>
          <cell r="M2350"/>
          <cell r="N2350"/>
          <cell r="O2350">
            <v>1200</v>
          </cell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</row>
        <row r="2351">
          <cell r="A2351" t="str">
            <v>INDUSTRIAS LACTEAS, S.A / Estrella Azul</v>
          </cell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G2351">
            <v>1200</v>
          </cell>
          <cell r="J2351" t="str">
            <v>INDUSTRIAS LACTEAS, S.A / Estrella Azul</v>
          </cell>
          <cell r="M2351"/>
          <cell r="N2351">
            <v>456</v>
          </cell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</row>
        <row r="2352">
          <cell r="A2352" t="str">
            <v>INDUSTRIAS LACTEAS, S.A / Estrella Azul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456</v>
          </cell>
          <cell r="J2352" t="str">
            <v>INDUSTRIAS LACTEAS, S.A / Estrella Azul</v>
          </cell>
          <cell r="M2352">
            <v>175</v>
          </cell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</row>
        <row r="2353">
          <cell r="A2353" t="str">
            <v>INDUSTRIAS LACTEAS, S.A / Estrella Azul</v>
          </cell>
          <cell r="C2353">
            <v>0</v>
          </cell>
          <cell r="D2353">
            <v>10</v>
          </cell>
          <cell r="E2353">
            <v>20</v>
          </cell>
          <cell r="F2353">
            <v>25</v>
          </cell>
          <cell r="G2353">
            <v>175</v>
          </cell>
          <cell r="J2353" t="str">
            <v>INDUSTRIAS LACTEAS, S.A / Estrella Azul</v>
          </cell>
          <cell r="M2353"/>
          <cell r="N2353"/>
          <cell r="O2353"/>
          <cell r="P2353"/>
          <cell r="Q2353">
            <v>496</v>
          </cell>
          <cell r="R2353"/>
          <cell r="S2353"/>
          <cell r="T2353"/>
          <cell r="U2353"/>
          <cell r="V2353"/>
          <cell r="W2353"/>
          <cell r="X2353"/>
          <cell r="Y2353"/>
        </row>
        <row r="2354">
          <cell r="A2354" t="str">
            <v>INDUSTRIAS LACTEAS, S.A / Estrella Azul</v>
          </cell>
          <cell r="C2354">
            <v>73</v>
          </cell>
          <cell r="D2354">
            <v>0</v>
          </cell>
          <cell r="E2354">
            <v>0</v>
          </cell>
          <cell r="F2354">
            <v>0</v>
          </cell>
          <cell r="G2354">
            <v>496</v>
          </cell>
          <cell r="J2354" t="str">
            <v>INDUSTRIAS LACTEAS, S.A / Estrella Azul</v>
          </cell>
          <cell r="M2354">
            <v>400</v>
          </cell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</row>
        <row r="2355">
          <cell r="A2355" t="str">
            <v>INDUSTRIAS LACTEAS, S.A / Estrella Azul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400</v>
          </cell>
          <cell r="J2355" t="str">
            <v>INDUSTRIAS LACTEAS, S.A / Estrella Azul</v>
          </cell>
          <cell r="M2355"/>
          <cell r="N2355">
            <v>510</v>
          </cell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</row>
        <row r="2356">
          <cell r="A2356" t="str">
            <v>INDUSTRIAS LACTEAS, S.A / Estrella Azul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510</v>
          </cell>
          <cell r="J2356" t="str">
            <v>INDUSTRIAS LACTEAS, S.A / Estrella Azul</v>
          </cell>
          <cell r="M2356">
            <v>25</v>
          </cell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</row>
        <row r="2357">
          <cell r="A2357" t="str">
            <v>INDUSTRIAS LACTEAS, S.A / Estrella Azul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25</v>
          </cell>
          <cell r="J2357" t="str">
            <v>CORONADO ACL S.A. (LEUDO PANADERÍA)</v>
          </cell>
          <cell r="M2357"/>
          <cell r="N2357"/>
          <cell r="O2357"/>
          <cell r="P2357"/>
          <cell r="Q2357"/>
          <cell r="R2357">
            <v>180</v>
          </cell>
          <cell r="S2357"/>
          <cell r="T2357"/>
          <cell r="U2357"/>
          <cell r="V2357"/>
          <cell r="W2357"/>
          <cell r="X2357"/>
          <cell r="Y2357"/>
        </row>
        <row r="2358">
          <cell r="A2358" t="str">
            <v>CORONADO ACL S.A. (LEUDO PANADERÍA)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180</v>
          </cell>
          <cell r="J2358" t="str">
            <v>Delivery Hero Dmart Panamá S.A. (Pedidos Ya)</v>
          </cell>
          <cell r="M2358"/>
          <cell r="N2358"/>
          <cell r="O2358"/>
          <cell r="P2358"/>
          <cell r="Q2358">
            <v>1060</v>
          </cell>
          <cell r="R2358"/>
          <cell r="S2358"/>
          <cell r="T2358"/>
          <cell r="U2358"/>
          <cell r="V2358"/>
          <cell r="W2358"/>
          <cell r="X2358"/>
          <cell r="Y2358"/>
        </row>
        <row r="2359">
          <cell r="A2359" t="str">
            <v>Delivery Hero Dmart Panamá S.A. (Pedidos Ya)</v>
          </cell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G2359">
            <v>1060</v>
          </cell>
          <cell r="J2359" t="str">
            <v>Delivery Hero Dmart Panamá S.A. (Pedidos Ya)</v>
          </cell>
          <cell r="M2359"/>
          <cell r="N2359"/>
          <cell r="O2359"/>
          <cell r="P2359"/>
          <cell r="Q2359"/>
          <cell r="R2359">
            <v>180</v>
          </cell>
          <cell r="S2359"/>
          <cell r="T2359"/>
          <cell r="U2359"/>
          <cell r="V2359"/>
          <cell r="W2359"/>
          <cell r="X2359"/>
          <cell r="Y2359"/>
        </row>
        <row r="2360">
          <cell r="A2360" t="str">
            <v>Delivery Hero Dmart Panamá S.A. (Pedidos Ya)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180</v>
          </cell>
          <cell r="J2360" t="str">
            <v>Delivery Hero Dmart Panamá S.A. (Pedidos Ya)</v>
          </cell>
          <cell r="M2360"/>
          <cell r="N2360"/>
          <cell r="O2360"/>
          <cell r="P2360"/>
          <cell r="Q2360"/>
          <cell r="R2360"/>
          <cell r="S2360">
            <v>73</v>
          </cell>
          <cell r="T2360"/>
          <cell r="U2360"/>
          <cell r="V2360"/>
          <cell r="W2360"/>
          <cell r="X2360"/>
          <cell r="Y2360"/>
        </row>
        <row r="2361">
          <cell r="A2361" t="str">
            <v>Delivery Hero Dmart Panamá S.A. (Pedidos Ya)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73</v>
          </cell>
          <cell r="J2361" t="str">
            <v>Delivery Hero Dmart Panamá S.A. (Pedidos Ya)</v>
          </cell>
          <cell r="M2361"/>
          <cell r="N2361"/>
          <cell r="O2361">
            <v>65</v>
          </cell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</row>
        <row r="2362">
          <cell r="A2362" t="str">
            <v>Delivery Hero Dmart Panamá S.A. (Pedidos Ya)</v>
          </cell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G2362">
            <v>65</v>
          </cell>
          <cell r="J2362" t="str">
            <v>Delivery Hero Dmart Panamá S.A. (Pedidos Ya)</v>
          </cell>
          <cell r="M2362"/>
          <cell r="N2362">
            <v>70</v>
          </cell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</row>
        <row r="2363">
          <cell r="A2363" t="str">
            <v>Delivery Hero Dmart Panamá S.A. (Pedidos Ya)</v>
          </cell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G2363">
            <v>70</v>
          </cell>
          <cell r="J2363" t="str">
            <v>Delivery Hero Dmart Panamá S.A. (Pedidos Ya)</v>
          </cell>
          <cell r="M2363"/>
          <cell r="N2363"/>
          <cell r="O2363">
            <v>1090</v>
          </cell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</row>
        <row r="2364">
          <cell r="A2364" t="str">
            <v>Delivery Hero Dmart Panamá S.A. (Pedidos Ya)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1090</v>
          </cell>
          <cell r="J2364" t="str">
            <v>Delivery Hero Dmart Panamá S.A. (Pedidos Ya)</v>
          </cell>
          <cell r="M2364">
            <v>0</v>
          </cell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</row>
        <row r="2365">
          <cell r="A2365" t="str">
            <v>Delivery Hero Dmart Panamá S.A. (Pedidos Ya)</v>
          </cell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J2365" t="str">
            <v>Delivery Hero Dmart Panamá S.A. (Pedidos Ya)</v>
          </cell>
          <cell r="M2365"/>
          <cell r="N2365">
            <v>282</v>
          </cell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</row>
        <row r="2366">
          <cell r="A2366" t="str">
            <v>Delivery Hero Dmart Panamá S.A. (Pedidos Ya)</v>
          </cell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G2366">
            <v>282</v>
          </cell>
          <cell r="J2366" t="str">
            <v>Delivery Hero Dmart Panamá S.A. (Pedidos Ya)</v>
          </cell>
          <cell r="M2366"/>
          <cell r="N2366">
            <v>467</v>
          </cell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</row>
        <row r="2367">
          <cell r="A2367" t="str">
            <v>Delivery Hero Dmart Panamá S.A. (Pedidos Ya)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467</v>
          </cell>
          <cell r="J2367" t="str">
            <v>Delivery Hero Dmart Panamá S.A. (Pedidos Ya)</v>
          </cell>
          <cell r="M2367"/>
          <cell r="N2367">
            <v>38</v>
          </cell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</row>
        <row r="2368">
          <cell r="A2368" t="str">
            <v>Delivery Hero Dmart Panamá S.A. (Pedidos Ya)</v>
          </cell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G2368">
            <v>38</v>
          </cell>
          <cell r="J2368" t="str">
            <v>Delivery Hero Dmart Panamá S.A. (Pedidos Ya)</v>
          </cell>
          <cell r="M2368"/>
          <cell r="N2368">
            <v>62</v>
          </cell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</row>
        <row r="2369">
          <cell r="A2369" t="str">
            <v>Delivery Hero Dmart Panamá S.A. (Pedidos Ya)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62</v>
          </cell>
          <cell r="J2369" t="str">
            <v>Delivery Hero Dmart Panamá S.A. (Pedidos Ya)</v>
          </cell>
          <cell r="M2369"/>
          <cell r="N2369"/>
          <cell r="O2369">
            <v>116</v>
          </cell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</row>
        <row r="2370">
          <cell r="A2370" t="str">
            <v>Delivery Hero Dmart Panamá S.A. (Pedidos Ya)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116</v>
          </cell>
          <cell r="J2370" t="str">
            <v>Delivery Hero Dmart Panamá S.A. (Pedidos Ya)</v>
          </cell>
          <cell r="M2370"/>
          <cell r="N2370"/>
          <cell r="O2370">
            <v>138</v>
          </cell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</row>
        <row r="2371">
          <cell r="A2371" t="str">
            <v>Delivery Hero Dmart Panamá S.A. (Pedidos Ya)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138</v>
          </cell>
          <cell r="J2371" t="str">
            <v>Delivery Hero Dmart Panamá S.A. (Pedidos Ya)</v>
          </cell>
          <cell r="M2371"/>
          <cell r="N2371"/>
          <cell r="O2371"/>
          <cell r="P2371"/>
          <cell r="Q2371"/>
          <cell r="R2371"/>
          <cell r="S2371"/>
          <cell r="T2371">
            <v>73</v>
          </cell>
          <cell r="U2371"/>
          <cell r="V2371"/>
          <cell r="W2371"/>
          <cell r="X2371"/>
          <cell r="Y2371"/>
        </row>
        <row r="2372">
          <cell r="A2372" t="str">
            <v>Delivery Hero Dmart Panamá S.A. (Pedidos Ya)</v>
          </cell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G2372">
            <v>73</v>
          </cell>
          <cell r="J2372" t="str">
            <v>Delivery Hero Dmart Panamá S.A. (Pedidos Ya)</v>
          </cell>
          <cell r="M2372"/>
          <cell r="N2372"/>
          <cell r="O2372"/>
          <cell r="P2372"/>
          <cell r="Q2372"/>
          <cell r="R2372">
            <v>181</v>
          </cell>
          <cell r="S2372"/>
          <cell r="T2372"/>
          <cell r="U2372"/>
          <cell r="V2372"/>
          <cell r="W2372"/>
          <cell r="X2372"/>
          <cell r="Y2372"/>
        </row>
        <row r="2373">
          <cell r="A2373" t="str">
            <v>Delivery Hero Dmart Panamá S.A. (Pedidos Ya)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181</v>
          </cell>
          <cell r="J2373" t="str">
            <v>Delivery Hero Dmart Panamá S.A. (Pedidos Ya)</v>
          </cell>
          <cell r="M2373">
            <v>150</v>
          </cell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</row>
        <row r="2374">
          <cell r="A2374" t="str">
            <v>Delivery Hero Dmart Panamá S.A. (Pedidos Ya)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150</v>
          </cell>
          <cell r="J2374" t="str">
            <v>Delivery Hero Dmart Panamá S.A. (Pedidos Ya)</v>
          </cell>
          <cell r="M2374"/>
          <cell r="N2374">
            <v>250</v>
          </cell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</row>
        <row r="2375">
          <cell r="A2375" t="str">
            <v>Delivery Hero Dmart Panamá S.A. (Pedidos Ya)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250</v>
          </cell>
          <cell r="J2375" t="str">
            <v>Delivery Hero Dmart Panamá S.A. (Pedidos Ya)</v>
          </cell>
          <cell r="M2375"/>
          <cell r="N2375">
            <v>250</v>
          </cell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</row>
        <row r="2376">
          <cell r="A2376" t="str">
            <v>Delivery Hero Dmart Panamá S.A. (Pedidos Ya)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250</v>
          </cell>
          <cell r="J2376" t="str">
            <v>Delivery Hero Dmart Panamá S.A. (Pedidos Ya)</v>
          </cell>
          <cell r="M2376"/>
          <cell r="N2376">
            <v>90</v>
          </cell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</row>
        <row r="2377">
          <cell r="A2377" t="str">
            <v>Delivery Hero Dmart Panamá S.A. (Pedidos Ya)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90</v>
          </cell>
          <cell r="J2377" t="str">
            <v>Delivery Hero Dmart Panamá S.A. (Pedidos Ya)</v>
          </cell>
          <cell r="M2377"/>
          <cell r="N2377">
            <v>22</v>
          </cell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</row>
        <row r="2378">
          <cell r="A2378" t="str">
            <v>Delivery Hero Dmart Panamá S.A. (Pedidos Ya)</v>
          </cell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G2378">
            <v>22</v>
          </cell>
          <cell r="J2378" t="str">
            <v>Delivery Hero Dmart Panamá S.A. (Pedidos Ya)</v>
          </cell>
          <cell r="M2378"/>
          <cell r="N2378">
            <v>75</v>
          </cell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</row>
        <row r="2379">
          <cell r="A2379" t="str">
            <v>Delivery Hero Dmart Panamá S.A. (Pedidos Ya)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75</v>
          </cell>
          <cell r="J2379" t="str">
            <v>Delivery Hero Dmart Panamá S.A. (Pedidos Ya)</v>
          </cell>
          <cell r="M2379">
            <v>175</v>
          </cell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</row>
        <row r="2380">
          <cell r="A2380" t="str">
            <v>Delivery Hero Dmart Panamá S.A. (Pedidos Ya)</v>
          </cell>
          <cell r="C2380">
            <v>0</v>
          </cell>
          <cell r="D2380">
            <v>10</v>
          </cell>
          <cell r="E2380">
            <v>20</v>
          </cell>
          <cell r="F2380">
            <v>25</v>
          </cell>
          <cell r="G2380">
            <v>175</v>
          </cell>
          <cell r="J2380" t="str">
            <v>Delivery Hero Dmart Panamá S.A. (Pedidos Ya)</v>
          </cell>
          <cell r="M2380">
            <v>400</v>
          </cell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</row>
        <row r="2381">
          <cell r="A2381" t="str">
            <v>Delivery Hero Dmart Panamá S.A. (Pedidos Ya)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400</v>
          </cell>
          <cell r="J2381" t="str">
            <v>Delivery Hero Dmart Panamá S.A. (Pedidos Ya)</v>
          </cell>
          <cell r="M2381">
            <v>40</v>
          </cell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</row>
        <row r="2382">
          <cell r="A2382" t="str">
            <v>Delivery Hero Dmart Panamá S.A. (Pedidos Ya)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40</v>
          </cell>
          <cell r="J2382" t="str">
            <v>Delivery Hero Dmart Panamá S.A. (Pedidos Ya)</v>
          </cell>
          <cell r="M2382"/>
          <cell r="N2382"/>
          <cell r="O2382">
            <v>240</v>
          </cell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</row>
        <row r="2383">
          <cell r="A2383" t="str">
            <v>Delivery Hero Dmart Panamá S.A. (Pedidos Ya)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240</v>
          </cell>
          <cell r="J2383" t="str">
            <v>Delivery Hero Dmart Panamá S.A. (Pedidos Ya)</v>
          </cell>
          <cell r="M2383"/>
          <cell r="N2383"/>
          <cell r="O2383"/>
          <cell r="P2383"/>
          <cell r="Q2383"/>
          <cell r="R2383"/>
          <cell r="S2383">
            <v>1190</v>
          </cell>
          <cell r="T2383"/>
          <cell r="U2383"/>
          <cell r="V2383"/>
          <cell r="W2383"/>
          <cell r="X2383"/>
          <cell r="Y2383"/>
        </row>
        <row r="2384">
          <cell r="A2384" t="str">
            <v>Delivery Hero Dmart Panamá S.A. (Pedidos Ya)</v>
          </cell>
          <cell r="C2384">
            <v>1190</v>
          </cell>
          <cell r="D2384">
            <v>0</v>
          </cell>
          <cell r="E2384">
            <v>0</v>
          </cell>
          <cell r="F2384">
            <v>0</v>
          </cell>
          <cell r="G2384">
            <v>1190</v>
          </cell>
          <cell r="J2384" t="str">
            <v>Delivery Hero Dmart Panamá S.A. (Pedidos Ya)</v>
          </cell>
          <cell r="M2384"/>
          <cell r="N2384"/>
          <cell r="O2384">
            <v>480</v>
          </cell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</row>
        <row r="2385">
          <cell r="A2385" t="str">
            <v>Delivery Hero Dmart Panamá S.A. (Pedidos Ya)</v>
          </cell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G2385">
            <v>480</v>
          </cell>
          <cell r="J2385" t="str">
            <v>LA CHOLITA S.A.</v>
          </cell>
          <cell r="M2385"/>
          <cell r="N2385"/>
          <cell r="O2385"/>
          <cell r="P2385"/>
          <cell r="Q2385"/>
          <cell r="R2385"/>
          <cell r="S2385"/>
          <cell r="T2385">
            <v>82</v>
          </cell>
          <cell r="U2385"/>
          <cell r="V2385"/>
          <cell r="W2385"/>
          <cell r="X2385"/>
          <cell r="Y2385"/>
        </row>
        <row r="2386">
          <cell r="A2386" t="str">
            <v>LA CHOLITA S.A.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82</v>
          </cell>
          <cell r="J2386" t="str">
            <v>LA CHOLITA S.A.</v>
          </cell>
          <cell r="M2386"/>
          <cell r="N2386"/>
          <cell r="O2386"/>
          <cell r="P2386"/>
          <cell r="Q2386"/>
          <cell r="R2386"/>
          <cell r="S2386"/>
          <cell r="T2386">
            <v>84</v>
          </cell>
          <cell r="U2386"/>
          <cell r="V2386"/>
          <cell r="W2386"/>
          <cell r="X2386"/>
          <cell r="Y2386"/>
        </row>
        <row r="2387">
          <cell r="A2387" t="str">
            <v>LA CHOLITA S.A.</v>
          </cell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G2387">
            <v>84</v>
          </cell>
          <cell r="J2387" t="str">
            <v>LA CHOLITA S.A.</v>
          </cell>
          <cell r="M2387"/>
          <cell r="N2387"/>
          <cell r="O2387"/>
          <cell r="P2387"/>
          <cell r="Q2387"/>
          <cell r="R2387"/>
          <cell r="S2387"/>
          <cell r="T2387">
            <v>115</v>
          </cell>
          <cell r="U2387"/>
          <cell r="V2387"/>
          <cell r="W2387"/>
          <cell r="X2387"/>
          <cell r="Y2387"/>
        </row>
        <row r="2388">
          <cell r="A2388" t="str">
            <v>LA CHOLITA S.A.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115</v>
          </cell>
          <cell r="J2388" t="str">
            <v>LA CHOLITA S.A.</v>
          </cell>
          <cell r="M2388"/>
          <cell r="N2388"/>
          <cell r="O2388"/>
          <cell r="P2388"/>
          <cell r="Q2388"/>
          <cell r="R2388"/>
          <cell r="S2388"/>
          <cell r="T2388">
            <v>73</v>
          </cell>
          <cell r="U2388"/>
          <cell r="V2388"/>
          <cell r="W2388"/>
          <cell r="X2388"/>
          <cell r="Y2388"/>
        </row>
        <row r="2389">
          <cell r="A2389" t="str">
            <v>LA CHOLITA S.A.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73</v>
          </cell>
          <cell r="J2389" t="str">
            <v>LA CHOLITA S.A.</v>
          </cell>
          <cell r="M2389"/>
          <cell r="N2389"/>
          <cell r="O2389"/>
          <cell r="P2389"/>
          <cell r="Q2389"/>
          <cell r="R2389"/>
          <cell r="S2389"/>
          <cell r="T2389">
            <v>635</v>
          </cell>
          <cell r="U2389"/>
          <cell r="V2389"/>
          <cell r="W2389"/>
          <cell r="X2389"/>
          <cell r="Y2389"/>
        </row>
        <row r="2390">
          <cell r="A2390" t="str">
            <v>LA CHOLITA S.A.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635</v>
          </cell>
          <cell r="J2390" t="str">
            <v>LA CHOLITA S.A.</v>
          </cell>
          <cell r="M2390"/>
          <cell r="N2390">
            <v>0</v>
          </cell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</row>
        <row r="2391">
          <cell r="A2391" t="str">
            <v>LA CHOLITA S.A.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J2391" t="str">
            <v>LA CHOLITA S.A.</v>
          </cell>
          <cell r="M2391"/>
          <cell r="N2391"/>
          <cell r="O2391"/>
          <cell r="P2391"/>
          <cell r="Q2391"/>
          <cell r="R2391"/>
          <cell r="S2391"/>
          <cell r="T2391"/>
          <cell r="U2391">
            <v>305</v>
          </cell>
          <cell r="V2391"/>
          <cell r="W2391"/>
          <cell r="X2391"/>
          <cell r="Y2391"/>
        </row>
        <row r="2392">
          <cell r="A2392" t="str">
            <v>LA CHOLITA S.A.</v>
          </cell>
          <cell r="C2392">
            <v>0</v>
          </cell>
          <cell r="D2392">
            <v>40</v>
          </cell>
          <cell r="E2392">
            <v>60</v>
          </cell>
          <cell r="F2392">
            <v>40</v>
          </cell>
          <cell r="G2392">
            <v>305</v>
          </cell>
          <cell r="J2392" t="str">
            <v>LA CHOLITA S.A.</v>
          </cell>
          <cell r="M2392"/>
          <cell r="N2392"/>
          <cell r="O2392"/>
          <cell r="P2392"/>
          <cell r="Q2392"/>
          <cell r="R2392"/>
          <cell r="S2392"/>
          <cell r="T2392">
            <v>30</v>
          </cell>
          <cell r="U2392"/>
          <cell r="V2392"/>
          <cell r="W2392"/>
          <cell r="X2392"/>
          <cell r="Y2392"/>
        </row>
        <row r="2393">
          <cell r="A2393" t="str">
            <v>LA CHOLITA S.A.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30</v>
          </cell>
          <cell r="J2393" t="str">
            <v>LA CHOLITA S.A.</v>
          </cell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>
            <v>628</v>
          </cell>
          <cell r="X2393"/>
          <cell r="Y2393"/>
        </row>
        <row r="2394">
          <cell r="A2394" t="str">
            <v>LA CHOLITA S.A.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628</v>
          </cell>
          <cell r="J2394" t="str">
            <v>LA CHOLITA S.A.</v>
          </cell>
          <cell r="M2394"/>
          <cell r="N2394"/>
          <cell r="O2394"/>
          <cell r="P2394"/>
          <cell r="Q2394"/>
          <cell r="R2394"/>
          <cell r="S2394"/>
          <cell r="T2394">
            <v>50</v>
          </cell>
          <cell r="U2394"/>
          <cell r="V2394"/>
          <cell r="W2394"/>
          <cell r="X2394"/>
          <cell r="Y2394"/>
        </row>
        <row r="2395">
          <cell r="A2395" t="str">
            <v>LA CHOLITA S.A.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50</v>
          </cell>
          <cell r="J2395" t="str">
            <v>LA CHOLITA S.A.</v>
          </cell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>
            <v>0</v>
          </cell>
          <cell r="X2395"/>
          <cell r="Y2395"/>
        </row>
        <row r="2396">
          <cell r="A2396" t="str">
            <v>LA CHOLITA S.A.</v>
          </cell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J2396" t="str">
            <v>LA CHOLITA S.A.</v>
          </cell>
          <cell r="M2396"/>
          <cell r="N2396"/>
          <cell r="O2396"/>
          <cell r="P2396"/>
          <cell r="Q2396"/>
          <cell r="R2396"/>
          <cell r="S2396"/>
          <cell r="T2396"/>
          <cell r="U2396">
            <v>251</v>
          </cell>
          <cell r="V2396"/>
          <cell r="W2396"/>
          <cell r="X2396"/>
          <cell r="Y2396"/>
        </row>
        <row r="2397">
          <cell r="A2397" t="str">
            <v>LA CHOLITA S.A.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251</v>
          </cell>
          <cell r="J2397" t="str">
            <v>LA CHOLITA S.A.</v>
          </cell>
          <cell r="M2397"/>
          <cell r="N2397"/>
          <cell r="O2397"/>
          <cell r="P2397"/>
          <cell r="Q2397"/>
          <cell r="R2397"/>
          <cell r="S2397"/>
          <cell r="T2397"/>
          <cell r="U2397"/>
          <cell r="V2397">
            <v>0</v>
          </cell>
          <cell r="W2397"/>
          <cell r="X2397"/>
          <cell r="Y2397"/>
        </row>
        <row r="2398">
          <cell r="A2398" t="str">
            <v>LA CHOLITA S.A.</v>
          </cell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J2398" t="str">
            <v>LA CHOLITA S.A.</v>
          </cell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>
            <v>0</v>
          </cell>
        </row>
        <row r="2399">
          <cell r="A2399" t="str">
            <v>LA CHOLITA S.A.</v>
          </cell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J2399" t="str">
            <v>LA CHOLITA S.A.</v>
          </cell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</row>
        <row r="2400">
          <cell r="A2400" t="str">
            <v>LA CHOLITA S.A.</v>
          </cell>
          <cell r="C2400">
            <v>0</v>
          </cell>
          <cell r="D2400">
            <v>10</v>
          </cell>
          <cell r="E2400">
            <v>20</v>
          </cell>
          <cell r="F2400">
            <v>32</v>
          </cell>
          <cell r="G2400">
            <v>83</v>
          </cell>
          <cell r="J2400" t="str">
            <v>LA CHOLITA S.A.</v>
          </cell>
          <cell r="M2400"/>
          <cell r="N2400"/>
          <cell r="O2400"/>
          <cell r="P2400"/>
          <cell r="Q2400"/>
          <cell r="R2400"/>
          <cell r="S2400"/>
          <cell r="T2400">
            <v>0</v>
          </cell>
          <cell r="U2400"/>
          <cell r="V2400"/>
          <cell r="W2400"/>
          <cell r="X2400"/>
          <cell r="Y2400"/>
        </row>
        <row r="2401">
          <cell r="A2401" t="str">
            <v>LA CHOLITA S.A.</v>
          </cell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J2401" t="str">
            <v>LA CHOLITA S.A.</v>
          </cell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>
            <v>50</v>
          </cell>
        </row>
        <row r="2402">
          <cell r="A2402" t="str">
            <v>LA CHOLITA S.A.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50</v>
          </cell>
          <cell r="J2402" t="str">
            <v>LA CHOLITA S.A.</v>
          </cell>
          <cell r="M2402"/>
          <cell r="N2402"/>
          <cell r="O2402"/>
          <cell r="P2402"/>
          <cell r="Q2402"/>
          <cell r="R2402"/>
          <cell r="S2402"/>
          <cell r="T2402">
            <v>240</v>
          </cell>
          <cell r="U2402"/>
          <cell r="V2402"/>
          <cell r="W2402"/>
          <cell r="X2402"/>
          <cell r="Y2402"/>
        </row>
        <row r="2403">
          <cell r="A2403" t="str">
            <v>LA CHOLITA S.A.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240</v>
          </cell>
          <cell r="J2403" t="str">
            <v>DICSA PANAMA</v>
          </cell>
          <cell r="M2403"/>
          <cell r="N2403"/>
          <cell r="O2403"/>
          <cell r="P2403"/>
          <cell r="Q2403">
            <v>1060</v>
          </cell>
          <cell r="R2403"/>
          <cell r="S2403"/>
          <cell r="T2403"/>
          <cell r="U2403"/>
          <cell r="V2403"/>
          <cell r="W2403"/>
          <cell r="X2403"/>
          <cell r="Y2403"/>
        </row>
        <row r="2404">
          <cell r="A2404" t="str">
            <v>DICSA PANAMA</v>
          </cell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G2404">
            <v>1060</v>
          </cell>
          <cell r="J2404" t="str">
            <v>DICSA PANAMA</v>
          </cell>
          <cell r="M2404"/>
          <cell r="N2404"/>
          <cell r="O2404"/>
          <cell r="P2404"/>
          <cell r="Q2404"/>
          <cell r="R2404">
            <v>180</v>
          </cell>
          <cell r="S2404"/>
          <cell r="T2404"/>
          <cell r="U2404"/>
          <cell r="V2404"/>
          <cell r="W2404"/>
          <cell r="X2404"/>
          <cell r="Y2404"/>
        </row>
        <row r="2405">
          <cell r="A2405" t="str">
            <v>DICSA PANAMA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180</v>
          </cell>
          <cell r="J2405" t="str">
            <v>DICSA PANAMA</v>
          </cell>
          <cell r="M2405">
            <v>0</v>
          </cell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</row>
        <row r="2406">
          <cell r="A2406" t="str">
            <v>DICSA PANAMA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J2406" t="str">
            <v>DICSA PANAMA</v>
          </cell>
          <cell r="M2406"/>
          <cell r="N2406">
            <v>467</v>
          </cell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</row>
        <row r="2407">
          <cell r="A2407" t="str">
            <v>DICSA PANAMA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467</v>
          </cell>
          <cell r="J2407" t="str">
            <v>DICSA PANAMA</v>
          </cell>
          <cell r="M2407"/>
          <cell r="N2407">
            <v>70</v>
          </cell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</row>
        <row r="2408">
          <cell r="A2408" t="str">
            <v>DICSA PANAMA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70</v>
          </cell>
          <cell r="J2408" t="str">
            <v>DICSA PANAMA</v>
          </cell>
          <cell r="M2408"/>
          <cell r="N2408">
            <v>542</v>
          </cell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</row>
        <row r="2409">
          <cell r="A2409" t="str">
            <v>DICSA PANAMA</v>
          </cell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G2409">
            <v>542</v>
          </cell>
          <cell r="J2409" t="str">
            <v>DICSA PANAMA</v>
          </cell>
          <cell r="M2409"/>
          <cell r="N2409"/>
          <cell r="O2409"/>
          <cell r="P2409"/>
          <cell r="Q2409"/>
          <cell r="R2409"/>
          <cell r="S2409">
            <v>211</v>
          </cell>
          <cell r="T2409"/>
          <cell r="U2409"/>
          <cell r="V2409"/>
          <cell r="W2409"/>
          <cell r="X2409"/>
          <cell r="Y2409"/>
        </row>
        <row r="2410">
          <cell r="A2410" t="str">
            <v>DICSA PANAMA</v>
          </cell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G2410">
            <v>211</v>
          </cell>
          <cell r="J2410" t="str">
            <v>DICSA PANAMA</v>
          </cell>
          <cell r="M2410"/>
          <cell r="N2410"/>
          <cell r="O2410">
            <v>138</v>
          </cell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</row>
        <row r="2411">
          <cell r="A2411" t="str">
            <v>DICSA PANAMA</v>
          </cell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G2411">
            <v>138</v>
          </cell>
          <cell r="J2411" t="str">
            <v>DICSA PANAMA</v>
          </cell>
          <cell r="M2411"/>
          <cell r="N2411">
            <v>147</v>
          </cell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</row>
        <row r="2412">
          <cell r="A2412" t="str">
            <v>DICSA PANAMA</v>
          </cell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G2412">
            <v>147</v>
          </cell>
          <cell r="J2412" t="str">
            <v>DICSA PANAMA</v>
          </cell>
          <cell r="M2412">
            <v>100</v>
          </cell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</row>
        <row r="2413">
          <cell r="A2413" t="str">
            <v>DICSA PANAMA</v>
          </cell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G2413">
            <v>100</v>
          </cell>
          <cell r="J2413" t="str">
            <v>DICSA PANAMA</v>
          </cell>
          <cell r="M2413"/>
          <cell r="N2413"/>
          <cell r="O2413">
            <v>60</v>
          </cell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</row>
        <row r="2414">
          <cell r="A2414" t="str">
            <v>DICSA PANAMA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G2414">
            <v>60</v>
          </cell>
          <cell r="J2414" t="str">
            <v>DICSA PANAMA</v>
          </cell>
          <cell r="M2414"/>
          <cell r="N2414"/>
          <cell r="O2414"/>
          <cell r="P2414"/>
          <cell r="Q2414"/>
          <cell r="R2414">
            <v>181</v>
          </cell>
          <cell r="S2414"/>
          <cell r="T2414"/>
          <cell r="U2414"/>
          <cell r="V2414"/>
          <cell r="W2414"/>
          <cell r="X2414"/>
          <cell r="Y2414"/>
        </row>
        <row r="2415">
          <cell r="A2415" t="str">
            <v>DICSA PANAMA</v>
          </cell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G2415">
            <v>181</v>
          </cell>
          <cell r="J2415" t="str">
            <v>DICSA PANAMA</v>
          </cell>
          <cell r="M2415"/>
          <cell r="N2415"/>
          <cell r="O2415">
            <v>1200</v>
          </cell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</row>
        <row r="2416">
          <cell r="A2416" t="str">
            <v>DICSA PANAMA</v>
          </cell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G2416">
            <v>1200</v>
          </cell>
          <cell r="J2416" t="str">
            <v>DICSA PANAMA</v>
          </cell>
          <cell r="M2416"/>
          <cell r="N2416">
            <v>250</v>
          </cell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</row>
        <row r="2417">
          <cell r="A2417" t="str">
            <v>DICSA PANAMA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250</v>
          </cell>
          <cell r="J2417" t="str">
            <v>DICSA PANAMA</v>
          </cell>
          <cell r="M2417"/>
          <cell r="N2417">
            <v>75</v>
          </cell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</row>
        <row r="2418">
          <cell r="A2418" t="str">
            <v>DICSA PANAMA</v>
          </cell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G2418">
            <v>75</v>
          </cell>
          <cell r="J2418" t="str">
            <v>DICSA PANAMA</v>
          </cell>
          <cell r="M2418"/>
          <cell r="N2418"/>
          <cell r="O2418"/>
          <cell r="P2418"/>
          <cell r="Q2418">
            <v>83</v>
          </cell>
          <cell r="R2418"/>
          <cell r="S2418"/>
          <cell r="T2418"/>
          <cell r="U2418"/>
          <cell r="V2418"/>
          <cell r="W2418"/>
          <cell r="X2418"/>
          <cell r="Y2418"/>
        </row>
        <row r="2419">
          <cell r="A2419" t="str">
            <v>DICSA PANAMA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83</v>
          </cell>
          <cell r="J2419" t="str">
            <v>DICSA PANAMA</v>
          </cell>
          <cell r="M2419"/>
          <cell r="N2419"/>
          <cell r="O2419"/>
          <cell r="P2419"/>
          <cell r="Q2419">
            <v>60</v>
          </cell>
          <cell r="R2419"/>
          <cell r="S2419"/>
          <cell r="T2419"/>
          <cell r="U2419"/>
          <cell r="V2419"/>
          <cell r="W2419"/>
          <cell r="X2419"/>
          <cell r="Y2419"/>
        </row>
        <row r="2420">
          <cell r="A2420" t="str">
            <v>DICSA PANAMA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60</v>
          </cell>
          <cell r="J2420" t="str">
            <v>DICSA PANAMA</v>
          </cell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</row>
        <row r="2421">
          <cell r="A2421" t="str">
            <v>DICSA PANAMA</v>
          </cell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J2421" t="str">
            <v>DICSA PANAMA</v>
          </cell>
          <cell r="M2421"/>
          <cell r="N2421"/>
          <cell r="O2421">
            <v>68</v>
          </cell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</row>
        <row r="2422">
          <cell r="A2422" t="str">
            <v>DICSA PANAMA</v>
          </cell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G2422">
            <v>68</v>
          </cell>
          <cell r="J2422" t="str">
            <v>DICSA PANAMA</v>
          </cell>
          <cell r="M2422"/>
          <cell r="N2422"/>
          <cell r="O2422"/>
          <cell r="P2422"/>
          <cell r="Q2422">
            <v>496</v>
          </cell>
          <cell r="R2422"/>
          <cell r="S2422"/>
          <cell r="T2422"/>
          <cell r="U2422"/>
          <cell r="V2422"/>
          <cell r="W2422"/>
          <cell r="X2422"/>
          <cell r="Y2422"/>
        </row>
        <row r="2423">
          <cell r="A2423" t="str">
            <v>DICSA PANAMA</v>
          </cell>
          <cell r="C2423">
            <v>73</v>
          </cell>
          <cell r="D2423">
            <v>0</v>
          </cell>
          <cell r="E2423">
            <v>0</v>
          </cell>
          <cell r="F2423">
            <v>0</v>
          </cell>
          <cell r="G2423">
            <v>496</v>
          </cell>
          <cell r="J2423" t="str">
            <v>DICSA PANAMA</v>
          </cell>
          <cell r="M2423"/>
          <cell r="N2423">
            <v>230</v>
          </cell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</row>
        <row r="2424">
          <cell r="A2424" t="str">
            <v>DICSA PANAMA</v>
          </cell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G2424">
            <v>230</v>
          </cell>
          <cell r="J2424" t="str">
            <v>DICSA PANAMA</v>
          </cell>
          <cell r="M2424">
            <v>352</v>
          </cell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</row>
        <row r="2425">
          <cell r="A2425" t="str">
            <v>DICSA PANAMA</v>
          </cell>
          <cell r="C2425">
            <v>225</v>
          </cell>
          <cell r="D2425">
            <v>0</v>
          </cell>
          <cell r="E2425">
            <v>0</v>
          </cell>
          <cell r="F2425">
            <v>0</v>
          </cell>
          <cell r="G2425">
            <v>352</v>
          </cell>
          <cell r="J2425" t="str">
            <v>DICSA PANAMA</v>
          </cell>
          <cell r="M2425">
            <v>209</v>
          </cell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</row>
        <row r="2426">
          <cell r="A2426" t="str">
            <v>DICSA PANAMA</v>
          </cell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G2426">
            <v>209</v>
          </cell>
          <cell r="J2426" t="str">
            <v>DICSA PANAMA</v>
          </cell>
          <cell r="M2426">
            <v>0</v>
          </cell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</row>
        <row r="2427">
          <cell r="A2427" t="str">
            <v>DICSA PANAMA</v>
          </cell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J2427" t="str">
            <v>DICSA PANAMA</v>
          </cell>
          <cell r="M2427"/>
          <cell r="N2427"/>
          <cell r="O2427"/>
          <cell r="P2427"/>
          <cell r="Q2427"/>
          <cell r="R2427"/>
          <cell r="S2427">
            <v>150</v>
          </cell>
          <cell r="T2427"/>
          <cell r="U2427"/>
          <cell r="V2427"/>
          <cell r="W2427"/>
          <cell r="X2427"/>
          <cell r="Y2427"/>
        </row>
        <row r="2428">
          <cell r="A2428" t="str">
            <v>DICSA PANAMA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150</v>
          </cell>
          <cell r="J2428" t="str">
            <v>DICSA PANAMA</v>
          </cell>
          <cell r="M2428"/>
          <cell r="N2428"/>
          <cell r="O2428"/>
          <cell r="P2428"/>
          <cell r="Q2428"/>
          <cell r="R2428">
            <v>0</v>
          </cell>
          <cell r="S2428"/>
          <cell r="T2428"/>
          <cell r="U2428"/>
          <cell r="V2428"/>
          <cell r="W2428"/>
          <cell r="X2428"/>
          <cell r="Y2428"/>
        </row>
        <row r="2429">
          <cell r="A2429" t="str">
            <v>DICSA PANAMA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J2429" t="str">
            <v>DICSA PANAMA</v>
          </cell>
          <cell r="M2429"/>
          <cell r="N2429"/>
          <cell r="O2429">
            <v>421</v>
          </cell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</row>
        <row r="2430">
          <cell r="A2430" t="str">
            <v>DICSA PANAMA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421</v>
          </cell>
          <cell r="J2430" t="str">
            <v>DICSA PANAMA</v>
          </cell>
          <cell r="M2430"/>
          <cell r="N2430"/>
          <cell r="O2430"/>
          <cell r="P2430">
            <v>173</v>
          </cell>
          <cell r="Q2430"/>
          <cell r="R2430"/>
          <cell r="S2430"/>
          <cell r="T2430"/>
          <cell r="U2430"/>
          <cell r="V2430"/>
          <cell r="W2430"/>
          <cell r="X2430"/>
          <cell r="Y2430"/>
        </row>
        <row r="2431">
          <cell r="A2431" t="str">
            <v>DICSA PANAMA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173</v>
          </cell>
          <cell r="J2431" t="str">
            <v>DICSA PANAMA</v>
          </cell>
          <cell r="M2431"/>
          <cell r="N2431"/>
          <cell r="O2431"/>
          <cell r="P2431">
            <v>150</v>
          </cell>
          <cell r="Q2431"/>
          <cell r="R2431"/>
          <cell r="S2431"/>
          <cell r="T2431"/>
          <cell r="U2431"/>
          <cell r="V2431"/>
          <cell r="W2431"/>
          <cell r="X2431"/>
          <cell r="Y2431"/>
        </row>
        <row r="2432">
          <cell r="A2432" t="str">
            <v>DICSA PANAMA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150</v>
          </cell>
          <cell r="J2432" t="str">
            <v>PROSERV</v>
          </cell>
          <cell r="M2432"/>
          <cell r="N2432"/>
          <cell r="O2432">
            <v>30</v>
          </cell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</row>
        <row r="2433">
          <cell r="A2433" t="str">
            <v>PROSERV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30</v>
          </cell>
          <cell r="J2433" t="str">
            <v>PROSERV</v>
          </cell>
          <cell r="M2433"/>
          <cell r="N2433"/>
          <cell r="O2433">
            <v>180</v>
          </cell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</row>
        <row r="2434">
          <cell r="A2434" t="str">
            <v>PROSERV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180</v>
          </cell>
          <cell r="J2434" t="str">
            <v>PROSERV</v>
          </cell>
          <cell r="M2434"/>
          <cell r="N2434">
            <v>70</v>
          </cell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</row>
        <row r="2435">
          <cell r="A2435" t="str">
            <v>PROSERV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70</v>
          </cell>
          <cell r="J2435" t="str">
            <v>PROSERV</v>
          </cell>
          <cell r="M2435"/>
          <cell r="N2435"/>
          <cell r="O2435"/>
          <cell r="P2435"/>
          <cell r="Q2435">
            <v>1060</v>
          </cell>
          <cell r="R2435"/>
          <cell r="S2435"/>
          <cell r="T2435"/>
          <cell r="U2435"/>
          <cell r="V2435"/>
          <cell r="W2435"/>
          <cell r="X2435"/>
          <cell r="Y2435"/>
        </row>
        <row r="2436">
          <cell r="A2436" t="str">
            <v>PROSERV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1060</v>
          </cell>
          <cell r="J2436" t="str">
            <v>PROSERV</v>
          </cell>
          <cell r="M2436"/>
          <cell r="N2436">
            <v>100</v>
          </cell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</row>
        <row r="2437">
          <cell r="A2437" t="str">
            <v>PROSERV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100</v>
          </cell>
          <cell r="J2437" t="str">
            <v>PROSERV</v>
          </cell>
          <cell r="M2437"/>
          <cell r="N2437"/>
          <cell r="O2437"/>
          <cell r="P2437"/>
          <cell r="Q2437"/>
          <cell r="R2437">
            <v>180</v>
          </cell>
          <cell r="S2437"/>
          <cell r="T2437"/>
          <cell r="U2437"/>
          <cell r="V2437"/>
          <cell r="W2437"/>
          <cell r="X2437"/>
          <cell r="Y2437"/>
        </row>
        <row r="2438">
          <cell r="A2438" t="str">
            <v>PROSERV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180</v>
          </cell>
          <cell r="J2438" t="str">
            <v>PROSERV</v>
          </cell>
          <cell r="M2438"/>
          <cell r="N2438"/>
          <cell r="O2438"/>
          <cell r="P2438"/>
          <cell r="Q2438"/>
          <cell r="R2438">
            <v>40</v>
          </cell>
          <cell r="S2438"/>
          <cell r="T2438"/>
          <cell r="U2438"/>
          <cell r="V2438"/>
          <cell r="W2438"/>
          <cell r="X2438"/>
          <cell r="Y2438"/>
        </row>
        <row r="2439">
          <cell r="A2439" t="str">
            <v>PROSERV</v>
          </cell>
          <cell r="C2439">
            <v>40</v>
          </cell>
          <cell r="D2439">
            <v>0</v>
          </cell>
          <cell r="E2439">
            <v>0</v>
          </cell>
          <cell r="F2439">
            <v>0</v>
          </cell>
          <cell r="G2439">
            <v>40</v>
          </cell>
          <cell r="J2439" t="str">
            <v>PROSERV</v>
          </cell>
          <cell r="M2439"/>
          <cell r="N2439">
            <v>70</v>
          </cell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</row>
        <row r="2440">
          <cell r="A2440" t="str">
            <v>PROSERV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70</v>
          </cell>
          <cell r="J2440" t="str">
            <v>PROSERV</v>
          </cell>
          <cell r="M2440"/>
          <cell r="N2440"/>
          <cell r="O2440">
            <v>1090</v>
          </cell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</row>
        <row r="2441">
          <cell r="A2441" t="str">
            <v>PROSERV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1090</v>
          </cell>
          <cell r="J2441" t="str">
            <v>PROSERV</v>
          </cell>
          <cell r="M2441">
            <v>0</v>
          </cell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</row>
        <row r="2442">
          <cell r="A2442" t="str">
            <v>PROSERV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J2442" t="str">
            <v>PROSERV</v>
          </cell>
          <cell r="M2442"/>
          <cell r="N2442">
            <v>282</v>
          </cell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</row>
        <row r="2443">
          <cell r="A2443" t="str">
            <v>PROSERV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282</v>
          </cell>
          <cell r="J2443" t="str">
            <v>PROSERV</v>
          </cell>
          <cell r="M2443"/>
          <cell r="N2443">
            <v>467</v>
          </cell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</row>
        <row r="2444">
          <cell r="A2444" t="str">
            <v>PROSERV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467</v>
          </cell>
          <cell r="J2444" t="str">
            <v>PROSERV</v>
          </cell>
          <cell r="M2444"/>
          <cell r="N2444">
            <v>881</v>
          </cell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</row>
        <row r="2445">
          <cell r="A2445" t="str">
            <v>PROSERV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881</v>
          </cell>
          <cell r="J2445" t="str">
            <v>PROSERV</v>
          </cell>
          <cell r="M2445"/>
          <cell r="N2445">
            <v>38</v>
          </cell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</row>
        <row r="2446">
          <cell r="A2446" t="str">
            <v>PROSERV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38</v>
          </cell>
          <cell r="J2446" t="str">
            <v>PROSERV</v>
          </cell>
          <cell r="M2446"/>
          <cell r="N2446">
            <v>70</v>
          </cell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</row>
        <row r="2447">
          <cell r="A2447" t="str">
            <v>PROSERV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70</v>
          </cell>
          <cell r="J2447" t="str">
            <v>PROSERV</v>
          </cell>
          <cell r="M2447"/>
          <cell r="N2447">
            <v>60</v>
          </cell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</row>
        <row r="2448">
          <cell r="A2448" t="str">
            <v>PROSERV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60</v>
          </cell>
          <cell r="J2448" t="str">
            <v>PROSERV</v>
          </cell>
          <cell r="M2448"/>
          <cell r="N2448">
            <v>243</v>
          </cell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</row>
        <row r="2449">
          <cell r="A2449" t="str">
            <v>PROSERV</v>
          </cell>
          <cell r="C2449">
            <v>0</v>
          </cell>
          <cell r="D2449">
            <v>13</v>
          </cell>
          <cell r="E2449">
            <v>37</v>
          </cell>
          <cell r="F2449">
            <v>28</v>
          </cell>
          <cell r="G2449">
            <v>243</v>
          </cell>
          <cell r="J2449" t="str">
            <v>PROSERV</v>
          </cell>
          <cell r="M2449"/>
          <cell r="N2449">
            <v>62</v>
          </cell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</row>
        <row r="2450">
          <cell r="A2450" t="str">
            <v>PROSERV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62</v>
          </cell>
          <cell r="J2450" t="str">
            <v>PROSERV</v>
          </cell>
          <cell r="M2450"/>
          <cell r="N2450"/>
          <cell r="O2450">
            <v>116</v>
          </cell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</row>
        <row r="2451">
          <cell r="A2451" t="str">
            <v>PROSERV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116</v>
          </cell>
          <cell r="J2451" t="str">
            <v>PROSERV</v>
          </cell>
          <cell r="M2451"/>
          <cell r="N2451">
            <v>542</v>
          </cell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</row>
        <row r="2452">
          <cell r="A2452" t="str">
            <v>PROSERV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542</v>
          </cell>
          <cell r="J2452" t="str">
            <v>PROSERV</v>
          </cell>
          <cell r="M2452"/>
          <cell r="N2452"/>
          <cell r="O2452"/>
          <cell r="P2452"/>
          <cell r="Q2452"/>
          <cell r="R2452"/>
          <cell r="S2452">
            <v>52</v>
          </cell>
          <cell r="T2452"/>
          <cell r="U2452"/>
          <cell r="V2452"/>
          <cell r="W2452"/>
          <cell r="X2452"/>
          <cell r="Y2452"/>
        </row>
        <row r="2453">
          <cell r="A2453" t="str">
            <v>PROSERV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52</v>
          </cell>
          <cell r="J2453" t="str">
            <v>PROSERV</v>
          </cell>
          <cell r="M2453">
            <v>500</v>
          </cell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</row>
        <row r="2454">
          <cell r="A2454" t="str">
            <v>PROSERV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500</v>
          </cell>
          <cell r="J2454" t="str">
            <v>PROSERV</v>
          </cell>
          <cell r="M2454"/>
          <cell r="N2454">
            <v>62</v>
          </cell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</row>
        <row r="2455">
          <cell r="A2455" t="str">
            <v>PROSERV</v>
          </cell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G2455">
            <v>62</v>
          </cell>
          <cell r="J2455" t="str">
            <v>PROSERV</v>
          </cell>
          <cell r="M2455">
            <v>100</v>
          </cell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</row>
        <row r="2456">
          <cell r="A2456" t="str">
            <v>PROSERV</v>
          </cell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G2456">
            <v>100</v>
          </cell>
          <cell r="J2456" t="str">
            <v>PROSERV</v>
          </cell>
          <cell r="M2456"/>
          <cell r="N2456">
            <v>264</v>
          </cell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</row>
        <row r="2457">
          <cell r="A2457" t="str">
            <v>PROSERV</v>
          </cell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G2457">
            <v>264</v>
          </cell>
          <cell r="J2457" t="str">
            <v>PROSERV</v>
          </cell>
          <cell r="M2457"/>
          <cell r="N2457"/>
          <cell r="O2457">
            <v>60</v>
          </cell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</row>
        <row r="2458">
          <cell r="A2458" t="str">
            <v>PROSERV</v>
          </cell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G2458">
            <v>60</v>
          </cell>
          <cell r="J2458" t="str">
            <v>PROSERV</v>
          </cell>
          <cell r="M2458"/>
          <cell r="N2458"/>
          <cell r="O2458"/>
          <cell r="P2458"/>
          <cell r="Q2458"/>
          <cell r="R2458"/>
          <cell r="S2458"/>
          <cell r="T2458">
            <v>115</v>
          </cell>
          <cell r="U2458"/>
          <cell r="V2458"/>
          <cell r="W2458"/>
          <cell r="X2458"/>
          <cell r="Y2458"/>
        </row>
        <row r="2459">
          <cell r="A2459" t="str">
            <v>PROSERV</v>
          </cell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G2459">
            <v>115</v>
          </cell>
          <cell r="J2459" t="str">
            <v>PROSERV</v>
          </cell>
          <cell r="M2459"/>
          <cell r="N2459"/>
          <cell r="O2459"/>
          <cell r="P2459"/>
          <cell r="Q2459"/>
          <cell r="R2459"/>
          <cell r="S2459">
            <v>179</v>
          </cell>
          <cell r="T2459"/>
          <cell r="U2459"/>
          <cell r="V2459"/>
          <cell r="W2459"/>
          <cell r="X2459"/>
          <cell r="Y2459"/>
        </row>
        <row r="2460">
          <cell r="A2460" t="str">
            <v>PROSERV</v>
          </cell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G2460">
            <v>179</v>
          </cell>
          <cell r="J2460" t="str">
            <v>PROSERV</v>
          </cell>
          <cell r="M2460"/>
          <cell r="N2460">
            <v>50</v>
          </cell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</row>
        <row r="2461">
          <cell r="A2461" t="str">
            <v>PROSERV</v>
          </cell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G2461">
            <v>50</v>
          </cell>
          <cell r="J2461" t="str">
            <v>PROSERV</v>
          </cell>
          <cell r="M2461"/>
          <cell r="N2461">
            <v>162</v>
          </cell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</row>
        <row r="2462">
          <cell r="A2462" t="str">
            <v>PROSERV</v>
          </cell>
          <cell r="C2462">
            <v>162</v>
          </cell>
          <cell r="D2462">
            <v>0</v>
          </cell>
          <cell r="E2462">
            <v>0</v>
          </cell>
          <cell r="F2462">
            <v>0</v>
          </cell>
          <cell r="G2462">
            <v>162</v>
          </cell>
          <cell r="J2462" t="str">
            <v>PROSERV</v>
          </cell>
          <cell r="M2462">
            <v>201</v>
          </cell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</row>
        <row r="2463">
          <cell r="A2463" t="str">
            <v>PROSERV</v>
          </cell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G2463">
            <v>201</v>
          </cell>
          <cell r="J2463" t="str">
            <v>PROSERV</v>
          </cell>
          <cell r="M2463"/>
          <cell r="N2463">
            <v>0</v>
          </cell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</row>
        <row r="2464">
          <cell r="A2464" t="str">
            <v>PROSERV</v>
          </cell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J2464" t="str">
            <v>PROSERV</v>
          </cell>
          <cell r="M2464"/>
          <cell r="N2464">
            <v>284</v>
          </cell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</row>
        <row r="2465">
          <cell r="A2465" t="str">
            <v>PROSERV</v>
          </cell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G2465">
            <v>284</v>
          </cell>
          <cell r="J2465" t="str">
            <v>PROSERV</v>
          </cell>
          <cell r="M2465">
            <v>150</v>
          </cell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</row>
        <row r="2466">
          <cell r="A2466" t="str">
            <v>PROSERV</v>
          </cell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G2466">
            <v>150</v>
          </cell>
          <cell r="J2466" t="str">
            <v>PROSERV</v>
          </cell>
          <cell r="M2466">
            <v>390</v>
          </cell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</row>
        <row r="2467">
          <cell r="A2467" t="str">
            <v>PROSERV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390</v>
          </cell>
          <cell r="J2467" t="str">
            <v>PROSERV</v>
          </cell>
          <cell r="M2467"/>
          <cell r="N2467">
            <v>120</v>
          </cell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</row>
        <row r="2468">
          <cell r="A2468" t="str">
            <v>PROSERV</v>
          </cell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G2468">
            <v>120</v>
          </cell>
          <cell r="J2468" t="str">
            <v>PROSERV</v>
          </cell>
          <cell r="M2468"/>
          <cell r="N2468">
            <v>90</v>
          </cell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</row>
        <row r="2469">
          <cell r="A2469" t="str">
            <v>PROSERV</v>
          </cell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G2469">
            <v>90</v>
          </cell>
          <cell r="J2469" t="str">
            <v>PROSERV</v>
          </cell>
          <cell r="M2469"/>
          <cell r="N2469">
            <v>205</v>
          </cell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</row>
        <row r="2470">
          <cell r="A2470" t="str">
            <v>PROSERV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205</v>
          </cell>
          <cell r="J2470" t="str">
            <v>PROSERV</v>
          </cell>
          <cell r="M2470"/>
          <cell r="N2470">
            <v>0</v>
          </cell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</row>
        <row r="2471">
          <cell r="A2471" t="str">
            <v>PROSERV</v>
          </cell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J2471" t="str">
            <v>PROSERV</v>
          </cell>
          <cell r="M2471"/>
          <cell r="N2471">
            <v>165</v>
          </cell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</row>
        <row r="2472">
          <cell r="A2472" t="str">
            <v>PROSERV</v>
          </cell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G2472">
            <v>165</v>
          </cell>
          <cell r="J2472" t="str">
            <v>PROSERV</v>
          </cell>
          <cell r="M2472"/>
          <cell r="N2472">
            <v>456</v>
          </cell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</row>
        <row r="2473">
          <cell r="A2473" t="str">
            <v>PROSERV</v>
          </cell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G2473">
            <v>456</v>
          </cell>
          <cell r="J2473" t="str">
            <v>PROSERV</v>
          </cell>
          <cell r="M2473"/>
          <cell r="N2473">
            <v>251</v>
          </cell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</row>
        <row r="2474">
          <cell r="A2474" t="str">
            <v>PROSERV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251</v>
          </cell>
          <cell r="J2474" t="str">
            <v>PROSERV</v>
          </cell>
          <cell r="M2474"/>
          <cell r="N2474">
            <v>60</v>
          </cell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</row>
        <row r="2475">
          <cell r="A2475" t="str">
            <v>PROSERV</v>
          </cell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G2475">
            <v>60</v>
          </cell>
          <cell r="J2475" t="str">
            <v>PROSERV</v>
          </cell>
          <cell r="M2475">
            <v>175</v>
          </cell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</row>
        <row r="2476">
          <cell r="A2476" t="str">
            <v>PROSERV</v>
          </cell>
          <cell r="C2476">
            <v>0</v>
          </cell>
          <cell r="D2476">
            <v>10</v>
          </cell>
          <cell r="E2476">
            <v>20</v>
          </cell>
          <cell r="F2476">
            <v>25</v>
          </cell>
          <cell r="G2476">
            <v>175</v>
          </cell>
          <cell r="J2476" t="str">
            <v>PROSERV</v>
          </cell>
          <cell r="M2476"/>
          <cell r="N2476"/>
          <cell r="O2476"/>
          <cell r="P2476"/>
          <cell r="Q2476">
            <v>4560</v>
          </cell>
          <cell r="R2476"/>
          <cell r="S2476"/>
          <cell r="T2476"/>
          <cell r="U2476"/>
          <cell r="V2476"/>
          <cell r="W2476"/>
          <cell r="X2476"/>
          <cell r="Y2476"/>
        </row>
        <row r="2477">
          <cell r="A2477" t="str">
            <v>PROSERV</v>
          </cell>
          <cell r="C2477">
            <v>0</v>
          </cell>
          <cell r="D2477">
            <v>680</v>
          </cell>
          <cell r="E2477">
            <v>450</v>
          </cell>
          <cell r="F2477">
            <v>450</v>
          </cell>
          <cell r="G2477">
            <v>4560</v>
          </cell>
          <cell r="J2477" t="str">
            <v>PROSERV</v>
          </cell>
          <cell r="M2477"/>
          <cell r="N2477">
            <v>0</v>
          </cell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</row>
        <row r="2478">
          <cell r="A2478" t="str">
            <v>PROSERV</v>
          </cell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J2478" t="str">
            <v>PROSERV</v>
          </cell>
          <cell r="M2478">
            <v>400</v>
          </cell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</row>
        <row r="2479">
          <cell r="A2479" t="str">
            <v>PROSERV</v>
          </cell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G2479">
            <v>400</v>
          </cell>
          <cell r="J2479" t="str">
            <v>PROSERV</v>
          </cell>
          <cell r="M2479">
            <v>100</v>
          </cell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</row>
        <row r="2480">
          <cell r="A2480" t="str">
            <v>PROSERV</v>
          </cell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G2480">
            <v>100</v>
          </cell>
          <cell r="J2480" t="str">
            <v>PROSERV</v>
          </cell>
          <cell r="M2480">
            <v>350</v>
          </cell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</row>
        <row r="2481">
          <cell r="A2481" t="str">
            <v>PROSERV</v>
          </cell>
          <cell r="C2481">
            <v>200</v>
          </cell>
          <cell r="D2481">
            <v>25</v>
          </cell>
          <cell r="E2481">
            <v>100</v>
          </cell>
          <cell r="F2481">
            <v>25</v>
          </cell>
          <cell r="G2481">
            <v>350</v>
          </cell>
          <cell r="J2481" t="str">
            <v>PROSERV</v>
          </cell>
          <cell r="M2481">
            <v>352</v>
          </cell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</row>
        <row r="2482">
          <cell r="A2482" t="str">
            <v>PROSERV</v>
          </cell>
          <cell r="C2482">
            <v>225</v>
          </cell>
          <cell r="D2482">
            <v>0</v>
          </cell>
          <cell r="E2482">
            <v>0</v>
          </cell>
          <cell r="F2482">
            <v>0</v>
          </cell>
          <cell r="G2482">
            <v>352</v>
          </cell>
          <cell r="J2482" t="str">
            <v>PROSERV</v>
          </cell>
          <cell r="M2482"/>
          <cell r="N2482">
            <v>97</v>
          </cell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</row>
        <row r="2483">
          <cell r="A2483" t="str">
            <v>PROSERV</v>
          </cell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G2483">
            <v>97</v>
          </cell>
          <cell r="J2483" t="str">
            <v>PROSERV</v>
          </cell>
          <cell r="M2483">
            <v>40</v>
          </cell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</row>
        <row r="2484">
          <cell r="A2484" t="str">
            <v>PROSERV</v>
          </cell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G2484">
            <v>40</v>
          </cell>
          <cell r="J2484" t="str">
            <v>PROSERV</v>
          </cell>
          <cell r="M2484">
            <v>77</v>
          </cell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</row>
        <row r="2485">
          <cell r="A2485" t="str">
            <v>PROSERV</v>
          </cell>
          <cell r="C2485">
            <v>0</v>
          </cell>
          <cell r="D2485">
            <v>0</v>
          </cell>
          <cell r="E2485">
            <v>0</v>
          </cell>
          <cell r="F2485">
            <v>0</v>
          </cell>
          <cell r="G2485">
            <v>77</v>
          </cell>
          <cell r="J2485" t="str">
            <v>PROSERV</v>
          </cell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>
            <v>0</v>
          </cell>
          <cell r="X2485"/>
          <cell r="Y2485"/>
        </row>
        <row r="2486">
          <cell r="A2486" t="str">
            <v>PROSERV</v>
          </cell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J2486" t="str">
            <v>PROSERV</v>
          </cell>
          <cell r="M2486"/>
          <cell r="N2486"/>
          <cell r="O2486"/>
          <cell r="P2486"/>
          <cell r="Q2486"/>
          <cell r="R2486"/>
          <cell r="S2486"/>
          <cell r="T2486"/>
          <cell r="U2486">
            <v>251</v>
          </cell>
          <cell r="V2486"/>
          <cell r="W2486"/>
          <cell r="X2486"/>
          <cell r="Y2486"/>
        </row>
        <row r="2487">
          <cell r="A2487" t="str">
            <v>PROSERV</v>
          </cell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G2487">
            <v>251</v>
          </cell>
          <cell r="J2487" t="str">
            <v>PROSERV</v>
          </cell>
          <cell r="M2487"/>
          <cell r="N2487"/>
          <cell r="O2487"/>
          <cell r="P2487"/>
          <cell r="Q2487"/>
          <cell r="R2487">
            <v>130</v>
          </cell>
          <cell r="S2487"/>
          <cell r="T2487"/>
          <cell r="U2487"/>
          <cell r="V2487"/>
          <cell r="W2487"/>
          <cell r="X2487"/>
          <cell r="Y2487"/>
        </row>
        <row r="2488">
          <cell r="A2488" t="str">
            <v>PROSERV</v>
          </cell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G2488">
            <v>130</v>
          </cell>
          <cell r="J2488" t="str">
            <v>PROSERV</v>
          </cell>
          <cell r="M2488"/>
          <cell r="N2488">
            <v>120</v>
          </cell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</row>
        <row r="2489">
          <cell r="A2489" t="str">
            <v>PROSERV</v>
          </cell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G2489">
            <v>120</v>
          </cell>
          <cell r="J2489" t="str">
            <v>PROSERV</v>
          </cell>
          <cell r="M2489"/>
          <cell r="N2489"/>
          <cell r="O2489"/>
          <cell r="P2489"/>
          <cell r="Q2489"/>
          <cell r="R2489"/>
          <cell r="S2489"/>
          <cell r="T2489"/>
          <cell r="U2489"/>
          <cell r="V2489">
            <v>0</v>
          </cell>
          <cell r="W2489"/>
          <cell r="X2489"/>
          <cell r="Y2489"/>
        </row>
        <row r="2490">
          <cell r="A2490" t="str">
            <v>PROSERV</v>
          </cell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J2490" t="str">
            <v>PROSERV</v>
          </cell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>
            <v>0</v>
          </cell>
        </row>
        <row r="2491">
          <cell r="A2491" t="str">
            <v>PROSERV</v>
          </cell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J2491" t="str">
            <v>PROSERV</v>
          </cell>
          <cell r="M2491"/>
          <cell r="N2491"/>
          <cell r="O2491">
            <v>0</v>
          </cell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</row>
        <row r="2492">
          <cell r="A2492" t="str">
            <v>PROSERV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J2492" t="str">
            <v>PROSERV</v>
          </cell>
          <cell r="M2492">
            <v>0</v>
          </cell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</row>
        <row r="2493">
          <cell r="A2493" t="str">
            <v>PROSERV</v>
          </cell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J2493" t="str">
            <v>PROSERV</v>
          </cell>
          <cell r="M2493"/>
          <cell r="N2493"/>
          <cell r="O2493"/>
          <cell r="P2493"/>
          <cell r="Q2493"/>
          <cell r="R2493"/>
          <cell r="S2493">
            <v>200</v>
          </cell>
          <cell r="T2493"/>
          <cell r="U2493"/>
          <cell r="V2493"/>
          <cell r="W2493"/>
          <cell r="X2493"/>
          <cell r="Y2493"/>
        </row>
        <row r="2494">
          <cell r="A2494" t="str">
            <v>PROSERV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200</v>
          </cell>
          <cell r="J2494" t="str">
            <v>PROSERV</v>
          </cell>
          <cell r="M2494"/>
          <cell r="N2494"/>
          <cell r="O2494"/>
          <cell r="P2494">
            <v>173</v>
          </cell>
          <cell r="Q2494"/>
          <cell r="R2494"/>
          <cell r="S2494"/>
          <cell r="T2494"/>
          <cell r="U2494"/>
          <cell r="V2494"/>
          <cell r="W2494"/>
          <cell r="X2494"/>
          <cell r="Y2494"/>
        </row>
        <row r="2495">
          <cell r="A2495" t="str">
            <v>PROSERV</v>
          </cell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G2495">
            <v>173</v>
          </cell>
          <cell r="J2495" t="str">
            <v>PROSERV</v>
          </cell>
          <cell r="M2495">
            <v>265</v>
          </cell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</row>
        <row r="2496">
          <cell r="A2496" t="str">
            <v>PROSERV</v>
          </cell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G2496">
            <v>265</v>
          </cell>
          <cell r="J2496" t="str">
            <v>PROSERV</v>
          </cell>
          <cell r="M2496"/>
          <cell r="N2496">
            <v>130</v>
          </cell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</row>
        <row r="2497">
          <cell r="A2497" t="str">
            <v>PROSERV</v>
          </cell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G2497">
            <v>130</v>
          </cell>
          <cell r="J2497" t="str">
            <v>PROSERV</v>
          </cell>
          <cell r="M2497"/>
          <cell r="N2497"/>
          <cell r="O2497"/>
          <cell r="P2497"/>
          <cell r="Q2497"/>
          <cell r="R2497"/>
          <cell r="S2497"/>
          <cell r="T2497">
            <v>0</v>
          </cell>
          <cell r="U2497"/>
          <cell r="V2497"/>
          <cell r="W2497"/>
          <cell r="X2497"/>
          <cell r="Y2497"/>
        </row>
        <row r="2498">
          <cell r="A2498" t="str">
            <v>PROSERV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J2498" t="str">
            <v>PROSERV</v>
          </cell>
          <cell r="M2498"/>
          <cell r="N2498"/>
          <cell r="O2498"/>
          <cell r="P2498"/>
          <cell r="Q2498"/>
          <cell r="R2498"/>
          <cell r="S2498"/>
          <cell r="T2498"/>
          <cell r="U2498">
            <v>0</v>
          </cell>
          <cell r="V2498"/>
          <cell r="W2498"/>
          <cell r="X2498"/>
          <cell r="Y2498"/>
        </row>
        <row r="2499">
          <cell r="A2499" t="str">
            <v>PROSERV</v>
          </cell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J2499" t="str">
            <v>PROSERV</v>
          </cell>
          <cell r="M2499"/>
          <cell r="N2499"/>
          <cell r="O2499">
            <v>346</v>
          </cell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</row>
        <row r="2500">
          <cell r="A2500" t="str">
            <v>PROSERV</v>
          </cell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G2500">
            <v>346</v>
          </cell>
          <cell r="J2500" t="str">
            <v>PROCESADORA MONICA, S.A</v>
          </cell>
          <cell r="M2500"/>
          <cell r="N2500"/>
          <cell r="O2500"/>
          <cell r="P2500"/>
          <cell r="Q2500"/>
          <cell r="R2500"/>
          <cell r="S2500"/>
          <cell r="T2500">
            <v>73</v>
          </cell>
          <cell r="U2500"/>
          <cell r="V2500"/>
          <cell r="W2500"/>
          <cell r="X2500"/>
          <cell r="Y2500"/>
        </row>
        <row r="2501">
          <cell r="A2501" t="str">
            <v>PROCESADORA MONICA, S.A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73</v>
          </cell>
          <cell r="J2501" t="str">
            <v>PROCESADORA MONICA, S.A</v>
          </cell>
          <cell r="M2501"/>
          <cell r="N2501"/>
          <cell r="O2501"/>
          <cell r="P2501"/>
          <cell r="Q2501"/>
          <cell r="R2501"/>
          <cell r="S2501"/>
          <cell r="T2501">
            <v>635</v>
          </cell>
          <cell r="U2501"/>
          <cell r="V2501"/>
          <cell r="W2501"/>
          <cell r="X2501"/>
          <cell r="Y2501"/>
        </row>
        <row r="2502">
          <cell r="A2502" t="str">
            <v>PROCESADORA MONICA, S.A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635</v>
          </cell>
          <cell r="J2502" t="str">
            <v>PROCESADORA MONICA, S.A</v>
          </cell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>
            <v>0</v>
          </cell>
          <cell r="X2502"/>
          <cell r="Y2502"/>
        </row>
        <row r="2503">
          <cell r="A2503" t="str">
            <v>PROCESADORA MONICA, S.A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J2503" t="str">
            <v>PROCESADORA MONICA, S.A</v>
          </cell>
          <cell r="M2503"/>
          <cell r="N2503"/>
          <cell r="O2503"/>
          <cell r="P2503"/>
          <cell r="Q2503"/>
          <cell r="R2503"/>
          <cell r="S2503"/>
          <cell r="T2503"/>
          <cell r="U2503">
            <v>251</v>
          </cell>
          <cell r="V2503"/>
          <cell r="W2503"/>
          <cell r="X2503"/>
          <cell r="Y2503"/>
        </row>
        <row r="2504">
          <cell r="A2504" t="str">
            <v>PROCESADORA MONICA, S.A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251</v>
          </cell>
          <cell r="J2504" t="str">
            <v>PROCESADORA MONICA, S.A</v>
          </cell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>
            <v>0</v>
          </cell>
        </row>
        <row r="2505">
          <cell r="A2505" t="str">
            <v>PROCESADORA MONICA, S.A</v>
          </cell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J2505" t="str">
            <v>PROCESADORA MONICA, S.A</v>
          </cell>
          <cell r="M2505"/>
          <cell r="N2505"/>
          <cell r="O2505"/>
          <cell r="P2505"/>
          <cell r="Q2505"/>
          <cell r="R2505"/>
          <cell r="S2505"/>
          <cell r="T2505"/>
          <cell r="U2505"/>
          <cell r="V2505">
            <v>0</v>
          </cell>
          <cell r="W2505"/>
          <cell r="X2505"/>
          <cell r="Y2505"/>
        </row>
        <row r="2506">
          <cell r="A2506" t="str">
            <v>PROCESADORA MONICA, S.A</v>
          </cell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J2506" t="str">
            <v>SAMBU ARTISAN FOOD, S.A.</v>
          </cell>
          <cell r="M2506"/>
          <cell r="N2506"/>
          <cell r="O2506">
            <v>30</v>
          </cell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</row>
        <row r="2507">
          <cell r="A2507" t="str">
            <v>SAMBU ARTISAN FOOD, S.A.</v>
          </cell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G2507">
            <v>30</v>
          </cell>
          <cell r="J2507" t="str">
            <v>SAMBU ARTISAN FOOD, S.A.</v>
          </cell>
          <cell r="M2507"/>
          <cell r="N2507"/>
          <cell r="O2507"/>
          <cell r="P2507">
            <v>102</v>
          </cell>
          <cell r="Q2507"/>
          <cell r="R2507"/>
          <cell r="S2507"/>
          <cell r="T2507"/>
          <cell r="U2507"/>
          <cell r="V2507"/>
          <cell r="W2507"/>
          <cell r="X2507"/>
          <cell r="Y2507"/>
        </row>
        <row r="2508">
          <cell r="A2508" t="str">
            <v>SAMBU ARTISAN FOOD, S.A.</v>
          </cell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G2508">
            <v>102</v>
          </cell>
          <cell r="J2508" t="str">
            <v>SAMBU ARTISAN FOOD, S.A.</v>
          </cell>
          <cell r="M2508"/>
          <cell r="N2508"/>
          <cell r="O2508"/>
          <cell r="P2508"/>
          <cell r="Q2508">
            <v>1060</v>
          </cell>
          <cell r="R2508"/>
          <cell r="S2508"/>
          <cell r="T2508"/>
          <cell r="U2508"/>
          <cell r="V2508"/>
          <cell r="W2508"/>
          <cell r="X2508"/>
          <cell r="Y2508"/>
        </row>
        <row r="2509">
          <cell r="A2509" t="str">
            <v>SAMBU ARTISAN FOOD, S.A.</v>
          </cell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G2509">
            <v>1060</v>
          </cell>
          <cell r="J2509" t="str">
            <v>SAMBU ARTISAN FOOD, S.A.</v>
          </cell>
          <cell r="M2509"/>
          <cell r="N2509">
            <v>100</v>
          </cell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</row>
        <row r="2510">
          <cell r="A2510" t="str">
            <v>SAMBU ARTISAN FOOD, S.A.</v>
          </cell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G2510">
            <v>100</v>
          </cell>
          <cell r="J2510" t="str">
            <v>SAMBU ARTISAN FOOD, S.A.</v>
          </cell>
          <cell r="M2510"/>
          <cell r="N2510"/>
          <cell r="O2510"/>
          <cell r="P2510"/>
          <cell r="Q2510"/>
          <cell r="R2510">
            <v>180</v>
          </cell>
          <cell r="S2510"/>
          <cell r="T2510"/>
          <cell r="U2510"/>
          <cell r="V2510"/>
          <cell r="W2510"/>
          <cell r="X2510"/>
          <cell r="Y2510"/>
        </row>
        <row r="2511">
          <cell r="A2511" t="str">
            <v>SAMBU ARTISAN FOOD, S.A.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G2511">
            <v>180</v>
          </cell>
          <cell r="J2511" t="str">
            <v>SAMBU ARTISAN FOOD, S.A.</v>
          </cell>
          <cell r="M2511"/>
          <cell r="N2511"/>
          <cell r="O2511"/>
          <cell r="P2511"/>
          <cell r="Q2511"/>
          <cell r="R2511"/>
          <cell r="S2511">
            <v>73</v>
          </cell>
          <cell r="T2511"/>
          <cell r="U2511"/>
          <cell r="V2511"/>
          <cell r="W2511"/>
          <cell r="X2511"/>
          <cell r="Y2511"/>
        </row>
        <row r="2512">
          <cell r="A2512" t="str">
            <v>SAMBU ARTISAN FOOD, S.A.</v>
          </cell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G2512">
            <v>73</v>
          </cell>
          <cell r="J2512" t="str">
            <v>SAMBU ARTISAN FOOD, S.A.</v>
          </cell>
          <cell r="M2512"/>
          <cell r="N2512"/>
          <cell r="O2512">
            <v>65</v>
          </cell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</row>
        <row r="2513">
          <cell r="A2513" t="str">
            <v>SAMBU ARTISAN FOOD, S.A.</v>
          </cell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G2513">
            <v>65</v>
          </cell>
          <cell r="J2513" t="str">
            <v>SAMBU ARTISAN FOOD, S.A.</v>
          </cell>
          <cell r="M2513"/>
          <cell r="N2513"/>
          <cell r="O2513">
            <v>1090</v>
          </cell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</row>
        <row r="2514">
          <cell r="A2514" t="str">
            <v>SAMBU ARTISAN FOOD, S.A.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1090</v>
          </cell>
          <cell r="J2514" t="str">
            <v>SAMBU ARTISAN FOOD, S.A.</v>
          </cell>
          <cell r="M2514"/>
          <cell r="N2514">
            <v>282</v>
          </cell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</row>
        <row r="2515">
          <cell r="A2515" t="str">
            <v>SAMBU ARTISAN FOOD, S.A.</v>
          </cell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G2515">
            <v>282</v>
          </cell>
          <cell r="J2515" t="str">
            <v>SAMBU ARTISAN FOOD, S.A.</v>
          </cell>
          <cell r="M2515"/>
          <cell r="N2515">
            <v>62</v>
          </cell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</row>
        <row r="2516">
          <cell r="A2516" t="str">
            <v>SAMBU ARTISAN FOOD, S.A.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62</v>
          </cell>
          <cell r="J2516" t="str">
            <v>SAMBU ARTISAN FOOD, S.A.</v>
          </cell>
          <cell r="M2516"/>
          <cell r="N2516"/>
          <cell r="O2516">
            <v>116</v>
          </cell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</row>
        <row r="2517">
          <cell r="A2517" t="str">
            <v>SAMBU ARTISAN FOOD, S.A.</v>
          </cell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G2517">
            <v>116</v>
          </cell>
          <cell r="J2517" t="str">
            <v>SAMBU ARTISAN FOOD, S.A.</v>
          </cell>
          <cell r="M2517">
            <v>155</v>
          </cell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</row>
        <row r="2518">
          <cell r="A2518" t="str">
            <v>SAMBU ARTISAN FOOD, S.A.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155</v>
          </cell>
          <cell r="J2518" t="str">
            <v>SAMBU ARTISAN FOOD, S.A.</v>
          </cell>
          <cell r="M2518">
            <v>100</v>
          </cell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</row>
        <row r="2519">
          <cell r="A2519" t="str">
            <v>SAMBU ARTISAN FOOD, S.A.</v>
          </cell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G2519">
            <v>100</v>
          </cell>
          <cell r="J2519" t="str">
            <v>SAMBU ARTISAN FOOD, S.A.</v>
          </cell>
          <cell r="M2519"/>
          <cell r="N2519"/>
          <cell r="O2519">
            <v>60</v>
          </cell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</row>
        <row r="2520">
          <cell r="A2520" t="str">
            <v>SAMBU ARTISAN FOOD, S.A.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60</v>
          </cell>
          <cell r="J2520" t="str">
            <v>SAMBU ARTISAN FOOD, S.A.</v>
          </cell>
          <cell r="M2520"/>
          <cell r="N2520"/>
          <cell r="O2520"/>
          <cell r="P2520"/>
          <cell r="Q2520"/>
          <cell r="R2520"/>
          <cell r="S2520">
            <v>179</v>
          </cell>
          <cell r="T2520"/>
          <cell r="U2520"/>
          <cell r="V2520"/>
          <cell r="W2520"/>
          <cell r="X2520"/>
          <cell r="Y2520"/>
        </row>
        <row r="2521">
          <cell r="A2521" t="str">
            <v>SAMBU ARTISAN FOOD, S.A.</v>
          </cell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G2521">
            <v>179</v>
          </cell>
          <cell r="J2521" t="str">
            <v>SAMBU ARTISAN FOOD, S.A.</v>
          </cell>
          <cell r="M2521"/>
          <cell r="N2521">
            <v>162</v>
          </cell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</row>
        <row r="2522">
          <cell r="A2522" t="str">
            <v>SAMBU ARTISAN FOOD, S.A.</v>
          </cell>
          <cell r="C2522">
            <v>162</v>
          </cell>
          <cell r="D2522">
            <v>0</v>
          </cell>
          <cell r="E2522">
            <v>0</v>
          </cell>
          <cell r="F2522">
            <v>0</v>
          </cell>
          <cell r="G2522">
            <v>162</v>
          </cell>
          <cell r="J2522" t="str">
            <v>SAMBU ARTISAN FOOD, S.A.</v>
          </cell>
          <cell r="M2522">
            <v>201</v>
          </cell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</row>
        <row r="2523">
          <cell r="A2523" t="str">
            <v>SAMBU ARTISAN FOOD, S.A.</v>
          </cell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G2523">
            <v>201</v>
          </cell>
          <cell r="J2523" t="str">
            <v>SAMBU ARTISAN FOOD, S.A.</v>
          </cell>
          <cell r="M2523"/>
          <cell r="N2523">
            <v>284</v>
          </cell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</row>
        <row r="2524">
          <cell r="A2524" t="str">
            <v>SAMBU ARTISAN FOOD, S.A.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284</v>
          </cell>
          <cell r="J2524" t="str">
            <v>SAMBU ARTISAN FOOD, S.A.</v>
          </cell>
          <cell r="M2524">
            <v>150</v>
          </cell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</row>
        <row r="2525">
          <cell r="A2525" t="str">
            <v>SAMBU ARTISAN FOOD, S.A.</v>
          </cell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G2525">
            <v>150</v>
          </cell>
          <cell r="J2525" t="str">
            <v>SAMBU ARTISAN FOOD, S.A.</v>
          </cell>
          <cell r="M2525"/>
          <cell r="N2525">
            <v>50</v>
          </cell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</row>
        <row r="2526">
          <cell r="A2526" t="str">
            <v>SAMBU ARTISAN FOOD, S.A.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50</v>
          </cell>
          <cell r="J2526" t="str">
            <v>SAMBU ARTISAN FOOD, S.A.</v>
          </cell>
          <cell r="M2526"/>
          <cell r="N2526"/>
          <cell r="O2526"/>
          <cell r="P2526"/>
          <cell r="Q2526">
            <v>83</v>
          </cell>
          <cell r="R2526"/>
          <cell r="S2526"/>
          <cell r="T2526"/>
          <cell r="U2526"/>
          <cell r="V2526"/>
          <cell r="W2526"/>
          <cell r="X2526"/>
          <cell r="Y2526"/>
        </row>
        <row r="2527">
          <cell r="A2527" t="str">
            <v>SAMBU ARTISAN FOOD, S.A.</v>
          </cell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G2527">
            <v>83</v>
          </cell>
          <cell r="J2527" t="str">
            <v>SAMBU ARTISAN FOOD, S.A.</v>
          </cell>
          <cell r="M2527"/>
          <cell r="N2527"/>
          <cell r="O2527">
            <v>256</v>
          </cell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</row>
        <row r="2528">
          <cell r="A2528" t="str">
            <v>SAMBU ARTISAN FOOD, S.A.</v>
          </cell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G2528">
            <v>256</v>
          </cell>
          <cell r="J2528" t="str">
            <v>SAMBU ARTISAN FOOD, S.A.</v>
          </cell>
          <cell r="M2528">
            <v>400</v>
          </cell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</row>
        <row r="2529">
          <cell r="A2529" t="str">
            <v>SAMBU ARTISAN FOOD, S.A.</v>
          </cell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G2529">
            <v>400</v>
          </cell>
          <cell r="J2529" t="str">
            <v>SAMBU ARTISAN FOOD, S.A.</v>
          </cell>
          <cell r="M2529">
            <v>100</v>
          </cell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</row>
        <row r="2530">
          <cell r="A2530" t="str">
            <v>SAMBU ARTISAN FOOD, S.A.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100</v>
          </cell>
          <cell r="J2530" t="str">
            <v>SAMBU ARTISAN FOOD, S.A.</v>
          </cell>
          <cell r="M2530">
            <v>352</v>
          </cell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</row>
        <row r="2531">
          <cell r="A2531" t="str">
            <v>SAMBU ARTISAN FOOD, S.A.</v>
          </cell>
          <cell r="C2531">
            <v>225</v>
          </cell>
          <cell r="D2531">
            <v>0</v>
          </cell>
          <cell r="E2531">
            <v>0</v>
          </cell>
          <cell r="F2531">
            <v>0</v>
          </cell>
          <cell r="G2531">
            <v>352</v>
          </cell>
          <cell r="J2531" t="str">
            <v>SAMBU ARTISAN FOOD, S.A.</v>
          </cell>
          <cell r="M2531"/>
          <cell r="N2531">
            <v>97</v>
          </cell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</row>
        <row r="2532">
          <cell r="A2532" t="str">
            <v>SAMBU ARTISAN FOOD, S.A.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97</v>
          </cell>
          <cell r="J2532" t="str">
            <v>SAMBU ARTISAN FOOD, S.A.</v>
          </cell>
          <cell r="M2532">
            <v>77</v>
          </cell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</row>
        <row r="2533">
          <cell r="A2533" t="str">
            <v>SAMBU ARTISAN FOOD, S.A.</v>
          </cell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G2533">
            <v>77</v>
          </cell>
          <cell r="J2533" t="str">
            <v>SAMBU ARTISAN FOOD, S.A.</v>
          </cell>
          <cell r="M2533"/>
          <cell r="N2533"/>
          <cell r="O2533"/>
          <cell r="P2533"/>
          <cell r="Q2533"/>
          <cell r="R2533"/>
          <cell r="S2533">
            <v>150</v>
          </cell>
          <cell r="T2533"/>
          <cell r="U2533"/>
          <cell r="V2533"/>
          <cell r="W2533"/>
          <cell r="X2533"/>
          <cell r="Y2533"/>
        </row>
        <row r="2534">
          <cell r="A2534" t="str">
            <v>SAMBU ARTISAN FOOD, S.A.</v>
          </cell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G2534">
            <v>150</v>
          </cell>
          <cell r="J2534" t="str">
            <v>SAMBU ARTISAN FOOD, S.A.</v>
          </cell>
          <cell r="M2534"/>
          <cell r="N2534"/>
          <cell r="O2534"/>
          <cell r="P2534">
            <v>173</v>
          </cell>
          <cell r="Q2534"/>
          <cell r="R2534"/>
          <cell r="S2534"/>
          <cell r="T2534"/>
          <cell r="U2534"/>
          <cell r="V2534"/>
          <cell r="W2534"/>
          <cell r="X2534"/>
          <cell r="Y2534"/>
        </row>
        <row r="2535">
          <cell r="A2535" t="str">
            <v>SAMBU ARTISAN FOOD, S.A.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173</v>
          </cell>
          <cell r="J2535" t="str">
            <v>SAMBU ARTISAN FOOD, S.A.</v>
          </cell>
          <cell r="M2535">
            <v>52</v>
          </cell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</row>
        <row r="2536">
          <cell r="A2536" t="str">
            <v>SAMBU ARTISAN FOOD, S.A.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52</v>
          </cell>
          <cell r="J2536" t="str">
            <v>SAMBU ARTISAN FOOD, S.A.</v>
          </cell>
          <cell r="M2536"/>
          <cell r="N2536"/>
          <cell r="O2536"/>
          <cell r="P2536">
            <v>150</v>
          </cell>
          <cell r="Q2536"/>
          <cell r="R2536"/>
          <cell r="S2536"/>
          <cell r="T2536"/>
          <cell r="U2536"/>
          <cell r="V2536"/>
          <cell r="W2536"/>
          <cell r="X2536"/>
          <cell r="Y2536"/>
        </row>
        <row r="2537">
          <cell r="A2537" t="str">
            <v>SAMBU ARTISAN FOOD, S.A.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150</v>
          </cell>
          <cell r="J2537" t="str">
            <v>SAMBU ARTISAN FOOD, S.A.</v>
          </cell>
          <cell r="M2537">
            <v>630</v>
          </cell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</row>
        <row r="2538">
          <cell r="A2538" t="str">
            <v>SAMBU ARTISAN FOOD, S.A.</v>
          </cell>
          <cell r="C2538">
            <v>0</v>
          </cell>
          <cell r="D2538">
            <v>120</v>
          </cell>
          <cell r="E2538">
            <v>180</v>
          </cell>
          <cell r="F2538">
            <v>60</v>
          </cell>
          <cell r="G2538">
            <v>630</v>
          </cell>
          <cell r="J2538" t="str">
            <v>SAMBU ARTISAN FOOD, S.A.</v>
          </cell>
          <cell r="M2538"/>
          <cell r="N2538">
            <v>0</v>
          </cell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</row>
        <row r="2539">
          <cell r="A2539" t="str">
            <v>SAMBU ARTISAN FOOD, S.A.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J2539" t="str">
            <v>NUEVO HUNG SHENG</v>
          </cell>
          <cell r="M2539">
            <v>325</v>
          </cell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</row>
        <row r="2540">
          <cell r="A2540" t="str">
            <v>NUEVO HUNG SHENG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325</v>
          </cell>
          <cell r="J2540" t="str">
            <v>NUEVO HUNG SHENG</v>
          </cell>
          <cell r="M2540"/>
          <cell r="N2540"/>
          <cell r="O2540"/>
          <cell r="P2540">
            <v>102</v>
          </cell>
          <cell r="Q2540"/>
          <cell r="R2540"/>
          <cell r="S2540"/>
          <cell r="T2540"/>
          <cell r="U2540"/>
          <cell r="V2540"/>
          <cell r="W2540"/>
          <cell r="X2540"/>
          <cell r="Y2540"/>
        </row>
        <row r="2541">
          <cell r="A2541" t="str">
            <v>NUEVO HUNG SHENG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102</v>
          </cell>
          <cell r="J2541" t="str">
            <v>NUEVO HUNG SHENG</v>
          </cell>
          <cell r="M2541"/>
          <cell r="N2541">
            <v>100</v>
          </cell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</row>
        <row r="2542">
          <cell r="A2542" t="str">
            <v>NUEVO HUNG SHENG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100</v>
          </cell>
          <cell r="J2542" t="str">
            <v>NUEVO HUNG SHENG</v>
          </cell>
          <cell r="M2542"/>
          <cell r="N2542"/>
          <cell r="O2542">
            <v>180</v>
          </cell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</row>
        <row r="2543">
          <cell r="A2543" t="str">
            <v>NUEVO HUNG SHENG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180</v>
          </cell>
          <cell r="J2543" t="str">
            <v>NUEVO HUNG SHENG</v>
          </cell>
          <cell r="M2543"/>
          <cell r="N2543">
            <v>100</v>
          </cell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</row>
        <row r="2544">
          <cell r="A2544" t="str">
            <v>NUEVO HUNG SHENG</v>
          </cell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G2544">
            <v>100</v>
          </cell>
          <cell r="J2544" t="str">
            <v>NUEVO HUNG SHENG</v>
          </cell>
          <cell r="M2544"/>
          <cell r="N2544"/>
          <cell r="O2544"/>
          <cell r="P2544"/>
          <cell r="Q2544"/>
          <cell r="R2544">
            <v>180</v>
          </cell>
          <cell r="S2544"/>
          <cell r="T2544"/>
          <cell r="U2544"/>
          <cell r="V2544"/>
          <cell r="W2544"/>
          <cell r="X2544"/>
          <cell r="Y2544"/>
        </row>
        <row r="2545">
          <cell r="A2545" t="str">
            <v>NUEVO HUNG SHENG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180</v>
          </cell>
          <cell r="J2545" t="str">
            <v>NUEVO HUNG SHENG</v>
          </cell>
          <cell r="M2545"/>
          <cell r="N2545"/>
          <cell r="O2545">
            <v>1090</v>
          </cell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</row>
        <row r="2546">
          <cell r="A2546" t="str">
            <v>NUEVO HUNG SHENG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1090</v>
          </cell>
          <cell r="J2546" t="str">
            <v>NUEVO HUNG SHENG</v>
          </cell>
          <cell r="M2546"/>
          <cell r="N2546">
            <v>282</v>
          </cell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</row>
        <row r="2547">
          <cell r="A2547" t="str">
            <v>NUEVO HUNG SHENG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282</v>
          </cell>
          <cell r="J2547" t="str">
            <v>NUEVO HUNG SHENG</v>
          </cell>
          <cell r="M2547"/>
          <cell r="N2547">
            <v>70</v>
          </cell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</row>
        <row r="2548">
          <cell r="A2548" t="str">
            <v>NUEVO HUNG SHENG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70</v>
          </cell>
          <cell r="J2548" t="str">
            <v>NUEVO HUNG SHENG</v>
          </cell>
          <cell r="M2548"/>
          <cell r="N2548">
            <v>542</v>
          </cell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</row>
        <row r="2549">
          <cell r="A2549" t="str">
            <v>NUEVO HUNG SHENG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542</v>
          </cell>
          <cell r="J2549" t="str">
            <v>NUEVO HUNG SHENG</v>
          </cell>
          <cell r="M2549"/>
          <cell r="N2549"/>
          <cell r="O2549"/>
          <cell r="P2549"/>
          <cell r="Q2549"/>
          <cell r="R2549"/>
          <cell r="S2549">
            <v>211</v>
          </cell>
          <cell r="T2549"/>
          <cell r="U2549"/>
          <cell r="V2549"/>
          <cell r="W2549"/>
          <cell r="X2549"/>
          <cell r="Y2549"/>
        </row>
        <row r="2550">
          <cell r="A2550" t="str">
            <v>NUEVO HUNG SHENG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211</v>
          </cell>
          <cell r="J2550" t="str">
            <v>NUEVO HUNG SHENG</v>
          </cell>
          <cell r="M2550">
            <v>215</v>
          </cell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</row>
        <row r="2551">
          <cell r="A2551" t="str">
            <v>NUEVO HUNG SHENG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215</v>
          </cell>
          <cell r="J2551" t="str">
            <v>NUEVO HUNG SHENG</v>
          </cell>
          <cell r="M2551"/>
          <cell r="N2551">
            <v>264</v>
          </cell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</row>
        <row r="2552">
          <cell r="A2552" t="str">
            <v>NUEVO HUNG SHENG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264</v>
          </cell>
          <cell r="J2552" t="str">
            <v>NUEVO HUNG SHENG</v>
          </cell>
          <cell r="M2552"/>
          <cell r="N2552"/>
          <cell r="O2552">
            <v>60</v>
          </cell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</row>
        <row r="2553">
          <cell r="A2553" t="str">
            <v>NUEVO HUNG SHENG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60</v>
          </cell>
          <cell r="J2553" t="str">
            <v>NUEVO HUNG SHENG</v>
          </cell>
          <cell r="M2553"/>
          <cell r="N2553">
            <v>50</v>
          </cell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</row>
        <row r="2554">
          <cell r="A2554" t="str">
            <v>NUEVO HUNG SHENG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50</v>
          </cell>
          <cell r="J2554" t="str">
            <v>NUEVO HUNG SHENG</v>
          </cell>
          <cell r="M2554"/>
          <cell r="N2554">
            <v>162</v>
          </cell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</row>
        <row r="2555">
          <cell r="A2555" t="str">
            <v>NUEVO HUNG SHENG</v>
          </cell>
          <cell r="C2555">
            <v>162</v>
          </cell>
          <cell r="D2555">
            <v>0</v>
          </cell>
          <cell r="E2555">
            <v>0</v>
          </cell>
          <cell r="F2555">
            <v>0</v>
          </cell>
          <cell r="G2555">
            <v>162</v>
          </cell>
          <cell r="J2555" t="str">
            <v>NUEVO HUNG SHENG</v>
          </cell>
          <cell r="M2555"/>
          <cell r="N2555">
            <v>86</v>
          </cell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</row>
        <row r="2556">
          <cell r="A2556" t="str">
            <v>NUEVO HUNG SHENG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86</v>
          </cell>
          <cell r="J2556" t="str">
            <v>NUEVO HUNG SHENG</v>
          </cell>
          <cell r="M2556">
            <v>201</v>
          </cell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</row>
        <row r="2557">
          <cell r="A2557" t="str">
            <v>NUEVO HUNG SHENG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>
            <v>201</v>
          </cell>
          <cell r="J2557" t="str">
            <v>NUEVO HUNG SHENG</v>
          </cell>
          <cell r="M2557"/>
          <cell r="N2557">
            <v>201</v>
          </cell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</row>
        <row r="2558">
          <cell r="A2558" t="str">
            <v>NUEVO HUNG SHENG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>
            <v>201</v>
          </cell>
          <cell r="J2558" t="str">
            <v>NUEVO HUNG SHENG</v>
          </cell>
          <cell r="M2558"/>
          <cell r="N2558">
            <v>0</v>
          </cell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</row>
        <row r="2559">
          <cell r="A2559" t="str">
            <v>NUEVO HUNG SHENG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J2559" t="str">
            <v>NUEVO HUNG SHENG</v>
          </cell>
          <cell r="M2559"/>
          <cell r="N2559"/>
          <cell r="O2559">
            <v>1200</v>
          </cell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</row>
        <row r="2560">
          <cell r="A2560" t="str">
            <v>NUEVO HUNG SHENG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>
            <v>1200</v>
          </cell>
          <cell r="J2560" t="str">
            <v>NUEVO HUNG SHENG</v>
          </cell>
          <cell r="M2560">
            <v>390</v>
          </cell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</row>
        <row r="2561">
          <cell r="A2561" t="str">
            <v>NUEVO HUNG SHENG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>
            <v>390</v>
          </cell>
          <cell r="J2561" t="str">
            <v>NUEVO HUNG SHENG</v>
          </cell>
          <cell r="M2561"/>
          <cell r="N2561"/>
          <cell r="O2561">
            <v>410</v>
          </cell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</row>
        <row r="2562">
          <cell r="A2562" t="str">
            <v>NUEVO HUNG SHENG</v>
          </cell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G2562">
            <v>410</v>
          </cell>
          <cell r="J2562" t="str">
            <v>NUEVO HUNG SHENG</v>
          </cell>
          <cell r="M2562"/>
          <cell r="N2562"/>
          <cell r="O2562">
            <v>140</v>
          </cell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</row>
        <row r="2563">
          <cell r="A2563" t="str">
            <v>NUEVO HUNG SHENG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140</v>
          </cell>
          <cell r="J2563" t="str">
            <v>NUEVO HUNG SHENG</v>
          </cell>
          <cell r="M2563"/>
          <cell r="N2563">
            <v>250</v>
          </cell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</row>
        <row r="2564">
          <cell r="A2564" t="str">
            <v>NUEVO HUNG SHENG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G2564">
            <v>250</v>
          </cell>
          <cell r="J2564" t="str">
            <v>NUEVO HUNG SHENG</v>
          </cell>
          <cell r="M2564"/>
          <cell r="N2564">
            <v>230</v>
          </cell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</row>
        <row r="2565">
          <cell r="A2565" t="str">
            <v>NUEVO HUNG SHENG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>
            <v>230</v>
          </cell>
          <cell r="J2565" t="str">
            <v>NUEVO HUNG SHENG</v>
          </cell>
          <cell r="M2565"/>
          <cell r="N2565">
            <v>0</v>
          </cell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</row>
        <row r="2566">
          <cell r="A2566" t="str">
            <v>NUEVO HUNG SHENG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J2566" t="str">
            <v>NUEVO HUNG SHENG</v>
          </cell>
          <cell r="M2566"/>
          <cell r="N2566">
            <v>251</v>
          </cell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</row>
        <row r="2567">
          <cell r="A2567" t="str">
            <v>NUEVO HUNG SHENG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251</v>
          </cell>
          <cell r="J2567" t="str">
            <v>NUEVO HUNG SHENG</v>
          </cell>
          <cell r="M2567"/>
          <cell r="N2567">
            <v>60</v>
          </cell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</row>
        <row r="2568">
          <cell r="A2568" t="str">
            <v>NUEVO HUNG SHENG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60</v>
          </cell>
          <cell r="J2568" t="str">
            <v>NUEVO HUNG SHENG</v>
          </cell>
          <cell r="M2568"/>
          <cell r="N2568"/>
          <cell r="O2568">
            <v>219</v>
          </cell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</row>
        <row r="2569">
          <cell r="A2569" t="str">
            <v>NUEVO HUNG SHENG</v>
          </cell>
          <cell r="C2569">
            <v>0</v>
          </cell>
          <cell r="D2569">
            <v>16</v>
          </cell>
          <cell r="E2569">
            <v>19</v>
          </cell>
          <cell r="F2569">
            <v>19</v>
          </cell>
          <cell r="G2569">
            <v>219</v>
          </cell>
          <cell r="J2569" t="str">
            <v>NUEVO HUNG SHENG</v>
          </cell>
          <cell r="M2569"/>
          <cell r="N2569"/>
          <cell r="O2569"/>
          <cell r="P2569"/>
          <cell r="Q2569">
            <v>83</v>
          </cell>
          <cell r="R2569"/>
          <cell r="S2569"/>
          <cell r="T2569"/>
          <cell r="U2569"/>
          <cell r="V2569"/>
          <cell r="W2569"/>
          <cell r="X2569"/>
          <cell r="Y2569"/>
        </row>
        <row r="2570">
          <cell r="A2570" t="str">
            <v>NUEVO HUNG SHENG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83</v>
          </cell>
          <cell r="J2570" t="str">
            <v>NUEVO HUNG SHENG</v>
          </cell>
          <cell r="M2570">
            <v>265</v>
          </cell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</row>
        <row r="2571">
          <cell r="A2571" t="str">
            <v>NUEVO HUNG SHENG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265</v>
          </cell>
          <cell r="J2571" t="str">
            <v>NUEVO HUNG SHENG</v>
          </cell>
          <cell r="M2571"/>
          <cell r="N2571"/>
          <cell r="O2571"/>
          <cell r="P2571"/>
          <cell r="Q2571"/>
          <cell r="R2571"/>
          <cell r="S2571">
            <v>152</v>
          </cell>
          <cell r="T2571"/>
          <cell r="U2571"/>
          <cell r="V2571"/>
          <cell r="W2571"/>
          <cell r="X2571"/>
          <cell r="Y2571"/>
        </row>
        <row r="2572">
          <cell r="A2572" t="str">
            <v>NUEVO HUNG SHENG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>
            <v>152</v>
          </cell>
          <cell r="J2572" t="str">
            <v>NUEVO HUNG SHENG</v>
          </cell>
          <cell r="M2572"/>
          <cell r="N2572"/>
          <cell r="O2572"/>
          <cell r="P2572"/>
          <cell r="Q2572">
            <v>60</v>
          </cell>
          <cell r="R2572"/>
          <cell r="S2572"/>
          <cell r="T2572"/>
          <cell r="U2572"/>
          <cell r="V2572"/>
          <cell r="W2572"/>
          <cell r="X2572"/>
          <cell r="Y2572"/>
        </row>
        <row r="2573">
          <cell r="A2573" t="str">
            <v>NUEVO HUNG SHENG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60</v>
          </cell>
          <cell r="J2573" t="str">
            <v>NUEVO HUNG SHENG</v>
          </cell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</row>
        <row r="2574">
          <cell r="A2574" t="str">
            <v>NUEVO HUNG SHENG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J2574" t="str">
            <v>NUEVO HUNG SHENG</v>
          </cell>
          <cell r="M2574"/>
          <cell r="N2574"/>
          <cell r="O2574"/>
          <cell r="P2574"/>
          <cell r="Q2574">
            <v>496</v>
          </cell>
          <cell r="R2574"/>
          <cell r="S2574"/>
          <cell r="T2574"/>
          <cell r="U2574"/>
          <cell r="V2574"/>
          <cell r="W2574"/>
          <cell r="X2574"/>
          <cell r="Y2574"/>
        </row>
        <row r="2575">
          <cell r="A2575" t="str">
            <v>NUEVO HUNG SHENG</v>
          </cell>
          <cell r="C2575">
            <v>73</v>
          </cell>
          <cell r="D2575">
            <v>0</v>
          </cell>
          <cell r="E2575">
            <v>0</v>
          </cell>
          <cell r="F2575">
            <v>0</v>
          </cell>
          <cell r="G2575">
            <v>496</v>
          </cell>
          <cell r="J2575" t="str">
            <v>NUEVO HUNG SHENG</v>
          </cell>
          <cell r="M2575">
            <v>400</v>
          </cell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</row>
        <row r="2576">
          <cell r="A2576" t="str">
            <v>NUEVO HUNG SHENG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400</v>
          </cell>
          <cell r="J2576" t="str">
            <v>NUEVO HUNG SHENG</v>
          </cell>
          <cell r="M2576">
            <v>100</v>
          </cell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</row>
        <row r="2577">
          <cell r="A2577" t="str">
            <v>NUEVO HUNG SHENG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100</v>
          </cell>
          <cell r="J2577" t="str">
            <v>NUEVO HUNG SHENG</v>
          </cell>
          <cell r="M2577"/>
          <cell r="N2577"/>
          <cell r="O2577"/>
          <cell r="P2577"/>
          <cell r="Q2577"/>
          <cell r="R2577"/>
          <cell r="S2577">
            <v>96</v>
          </cell>
          <cell r="T2577"/>
          <cell r="U2577"/>
          <cell r="V2577"/>
          <cell r="W2577"/>
          <cell r="X2577"/>
          <cell r="Y2577"/>
        </row>
        <row r="2578">
          <cell r="A2578" t="str">
            <v>NUEVO HUNG SHENG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>
            <v>96</v>
          </cell>
          <cell r="J2578" t="str">
            <v>NUEVO HUNG SHENG</v>
          </cell>
          <cell r="M2578"/>
          <cell r="N2578">
            <v>203.6</v>
          </cell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</row>
        <row r="2579">
          <cell r="A2579" t="str">
            <v>NUEVO HUNG SHENG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98</v>
          </cell>
          <cell r="J2579" t="str">
            <v>NUEVO HUNG SHENG</v>
          </cell>
          <cell r="M2579"/>
          <cell r="N2579">
            <v>97</v>
          </cell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</row>
        <row r="2580">
          <cell r="A2580" t="str">
            <v>NUEVO HUNG SHENG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>
            <v>230</v>
          </cell>
          <cell r="J2580" t="str">
            <v>NUEVO HUNG SHENG</v>
          </cell>
          <cell r="M2580">
            <v>77</v>
          </cell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</row>
        <row r="2581">
          <cell r="A2581" t="str">
            <v>NUEVO HUNG SHENG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97</v>
          </cell>
          <cell r="J2581" t="str">
            <v>NUEVO HUNG SHENG</v>
          </cell>
          <cell r="M2581"/>
          <cell r="N2581"/>
          <cell r="O2581"/>
          <cell r="P2581"/>
          <cell r="Q2581"/>
          <cell r="R2581"/>
          <cell r="S2581">
            <v>40</v>
          </cell>
          <cell r="T2581"/>
          <cell r="U2581"/>
          <cell r="V2581"/>
          <cell r="W2581"/>
          <cell r="X2581"/>
          <cell r="Y2581"/>
        </row>
        <row r="2582">
          <cell r="A2582" t="str">
            <v>NUEVO HUNG SHENG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>
            <v>77</v>
          </cell>
          <cell r="J2582" t="str">
            <v>NUEVO HUNG SHENG</v>
          </cell>
          <cell r="M2582"/>
          <cell r="N2582"/>
          <cell r="O2582"/>
          <cell r="P2582"/>
          <cell r="Q2582"/>
          <cell r="R2582"/>
          <cell r="S2582">
            <v>50</v>
          </cell>
          <cell r="T2582"/>
          <cell r="U2582"/>
          <cell r="V2582"/>
          <cell r="W2582"/>
          <cell r="X2582"/>
          <cell r="Y2582"/>
        </row>
        <row r="2583">
          <cell r="A2583" t="str">
            <v>NUEVO HUNG SHENG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40</v>
          </cell>
          <cell r="J2583" t="str">
            <v>NUEVO HUNG SHENG</v>
          </cell>
          <cell r="M2583"/>
          <cell r="N2583"/>
          <cell r="O2583">
            <v>0</v>
          </cell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</row>
        <row r="2584">
          <cell r="A2584" t="str">
            <v>NUEVO HUNG SHENG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>
            <v>50</v>
          </cell>
          <cell r="J2584" t="str">
            <v>NUEVO HUNG SHENG</v>
          </cell>
          <cell r="M2584">
            <v>209</v>
          </cell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</row>
        <row r="2585">
          <cell r="A2585" t="str">
            <v>NUEVO HUNG SHENG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J2585" t="str">
            <v>NUEVO HUNG SHENG</v>
          </cell>
          <cell r="M2585"/>
          <cell r="N2585"/>
          <cell r="O2585"/>
          <cell r="P2585"/>
          <cell r="Q2585"/>
          <cell r="R2585"/>
          <cell r="S2585">
            <v>150</v>
          </cell>
          <cell r="T2585"/>
          <cell r="U2585"/>
          <cell r="V2585"/>
          <cell r="W2585"/>
          <cell r="X2585"/>
          <cell r="Y2585"/>
        </row>
        <row r="2586">
          <cell r="A2586" t="str">
            <v>NUEVO HUNG SHENG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209</v>
          </cell>
          <cell r="J2586" t="str">
            <v>NUEVO HUNG SHENG</v>
          </cell>
          <cell r="M2586"/>
          <cell r="N2586">
            <v>6</v>
          </cell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</row>
        <row r="2587">
          <cell r="A2587" t="str">
            <v>NUEVO HUNG SHENG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150</v>
          </cell>
          <cell r="J2587" t="str">
            <v>NUEVO HUNG SHENG</v>
          </cell>
          <cell r="M2587">
            <v>1300</v>
          </cell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</row>
        <row r="2588">
          <cell r="A2588" t="str">
            <v>NUEVO HUNG SHENG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6</v>
          </cell>
          <cell r="J2588" t="str">
            <v>NUEVO HUNG SHENG</v>
          </cell>
          <cell r="M2588">
            <v>630</v>
          </cell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</row>
        <row r="2589">
          <cell r="A2589" t="str">
            <v>NUEVO HUNG SHENG</v>
          </cell>
          <cell r="C2589">
            <v>100</v>
          </cell>
          <cell r="D2589">
            <v>0</v>
          </cell>
          <cell r="E2589">
            <v>0</v>
          </cell>
          <cell r="F2589">
            <v>0</v>
          </cell>
          <cell r="G2589">
            <v>1300</v>
          </cell>
          <cell r="J2589" t="str">
            <v>NUEVO HUNG SHENG</v>
          </cell>
          <cell r="M2589"/>
          <cell r="N2589"/>
          <cell r="O2589"/>
          <cell r="P2589"/>
          <cell r="Q2589"/>
          <cell r="R2589"/>
          <cell r="S2589">
            <v>40</v>
          </cell>
          <cell r="T2589"/>
          <cell r="U2589"/>
          <cell r="V2589"/>
          <cell r="W2589"/>
          <cell r="X2589"/>
          <cell r="Y2589"/>
        </row>
        <row r="2590">
          <cell r="A2590" t="str">
            <v>NUEVO HUNG SHENG</v>
          </cell>
          <cell r="C2590">
            <v>0</v>
          </cell>
          <cell r="D2590">
            <v>120</v>
          </cell>
          <cell r="E2590">
            <v>180</v>
          </cell>
          <cell r="F2590">
            <v>60</v>
          </cell>
          <cell r="G2590">
            <v>630</v>
          </cell>
          <cell r="J2590" t="str">
            <v>IMPORTADORA Y EXPORTADORA NIMAR</v>
          </cell>
          <cell r="M2590"/>
          <cell r="N2590"/>
          <cell r="O2590"/>
          <cell r="P2590"/>
          <cell r="Q2590"/>
          <cell r="R2590">
            <v>180</v>
          </cell>
          <cell r="S2590"/>
          <cell r="T2590"/>
          <cell r="U2590"/>
          <cell r="V2590"/>
          <cell r="W2590"/>
          <cell r="X2590"/>
          <cell r="Y2590"/>
        </row>
        <row r="2591">
          <cell r="A2591" t="str">
            <v>NUEVO HUNG SHENG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40</v>
          </cell>
          <cell r="J2591" t="str">
            <v>IMPORTADORA Y EXPORTADORA NIMAR</v>
          </cell>
          <cell r="M2591"/>
          <cell r="N2591"/>
          <cell r="O2591">
            <v>65</v>
          </cell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</row>
        <row r="2592">
          <cell r="A2592" t="str">
            <v>IMPORTADORA Y EXPORTADORA NIMAR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>
            <v>180</v>
          </cell>
          <cell r="J2592" t="str">
            <v>IMPORTADORA Y EXPORTADORA NIMAR</v>
          </cell>
          <cell r="M2592"/>
          <cell r="N2592"/>
          <cell r="O2592">
            <v>1090</v>
          </cell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</row>
        <row r="2593">
          <cell r="A2593" t="str">
            <v>IMPORTADORA Y EXPORTADORA NIMAR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65</v>
          </cell>
          <cell r="J2593" t="str">
            <v>IMPORTADORA Y EXPORTADORA NIMAR</v>
          </cell>
          <cell r="M2593">
            <v>0</v>
          </cell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</row>
        <row r="2594">
          <cell r="A2594" t="str">
            <v>IMPORTADORA Y EXPORTADORA NIMAR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>
            <v>1090</v>
          </cell>
          <cell r="J2594" t="str">
            <v>IMPORTADORA Y EXPORTADORA NIMAR</v>
          </cell>
          <cell r="M2594"/>
          <cell r="N2594">
            <v>282</v>
          </cell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</row>
        <row r="2595">
          <cell r="A2595" t="str">
            <v>IMPORTADORA Y EXPORTADORA NIMAR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J2595" t="str">
            <v>IMPORTADORA Y EXPORTADORA NIMAR</v>
          </cell>
          <cell r="M2595"/>
          <cell r="N2595">
            <v>62</v>
          </cell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</row>
        <row r="2596">
          <cell r="A2596" t="str">
            <v>IMPORTADORA Y EXPORTADORA NIMAR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282</v>
          </cell>
          <cell r="J2596" t="str">
            <v>IMPORTADORA Y EXPORTADORA NIMAR</v>
          </cell>
          <cell r="M2596"/>
          <cell r="N2596"/>
          <cell r="O2596">
            <v>116</v>
          </cell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</row>
        <row r="2597">
          <cell r="A2597" t="str">
            <v>IMPORTADORA Y EXPORTADORA NIMAR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>
            <v>62</v>
          </cell>
          <cell r="J2597" t="str">
            <v>IMPORTADORA Y EXPORTADORA NIMAR</v>
          </cell>
          <cell r="M2597"/>
          <cell r="N2597">
            <v>542</v>
          </cell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</row>
        <row r="2598">
          <cell r="A2598" t="str">
            <v>IMPORTADORA Y EXPORTADORA NIMAR</v>
          </cell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G2598">
            <v>116</v>
          </cell>
          <cell r="J2598" t="str">
            <v>IMPORTADORA Y EXPORTADORA NIMAR</v>
          </cell>
          <cell r="M2598"/>
          <cell r="N2598"/>
          <cell r="O2598">
            <v>138</v>
          </cell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</row>
        <row r="2599">
          <cell r="A2599" t="str">
            <v>IMPORTADORA Y EXPORTADORA NIMAR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>
            <v>542</v>
          </cell>
          <cell r="J2599" t="str">
            <v>IMPORTADORA Y EXPORTADORA NIMAR</v>
          </cell>
          <cell r="M2599"/>
          <cell r="N2599">
            <v>147</v>
          </cell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</row>
        <row r="2600">
          <cell r="A2600" t="str">
            <v>IMPORTADORA Y EXPORTADORA NIMAR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138</v>
          </cell>
          <cell r="J2600" t="str">
            <v>IMPORTADORA Y EXPORTADORA NIMAR</v>
          </cell>
          <cell r="M2600"/>
          <cell r="N2600">
            <v>62</v>
          </cell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</row>
        <row r="2601">
          <cell r="A2601" t="str">
            <v>IMPORTADORA Y EXPORTADORA NIMAR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147</v>
          </cell>
          <cell r="J2601" t="str">
            <v>IMPORTADORA Y EXPORTADORA NIMAR</v>
          </cell>
          <cell r="M2601"/>
          <cell r="N2601">
            <v>50</v>
          </cell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</row>
        <row r="2602">
          <cell r="A2602" t="str">
            <v>IMPORTADORA Y EXPORTADORA NIMAR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62</v>
          </cell>
          <cell r="J2602" t="str">
            <v>IMPORTADORA Y EXPORTADORA NIMAR</v>
          </cell>
          <cell r="M2602"/>
          <cell r="N2602">
            <v>86</v>
          </cell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</row>
        <row r="2603">
          <cell r="A2603" t="str">
            <v>IMPORTADORA Y EXPORTADORA NIMAR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50</v>
          </cell>
          <cell r="J2603" t="str">
            <v>IMPORTADORA Y EXPORTADORA NIMAR</v>
          </cell>
          <cell r="M2603">
            <v>201</v>
          </cell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</row>
        <row r="2604">
          <cell r="A2604" t="str">
            <v>IMPORTADORA Y EXPORTADORA NIMAR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86</v>
          </cell>
          <cell r="J2604" t="str">
            <v>IMPORTADORA Y EXPORTADORA NIMAR</v>
          </cell>
          <cell r="M2604">
            <v>150</v>
          </cell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</row>
        <row r="2605">
          <cell r="A2605" t="str">
            <v>IMPORTADORA Y EXPORTADORA NIMAR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201</v>
          </cell>
          <cell r="J2605" t="str">
            <v>IMPORTADORA Y EXPORTADORA NIMAR</v>
          </cell>
          <cell r="M2605">
            <v>390</v>
          </cell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</row>
        <row r="2606">
          <cell r="A2606" t="str">
            <v>IMPORTADORA Y EXPORTADORA NIMAR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>
            <v>150</v>
          </cell>
          <cell r="J2606" t="str">
            <v>IMPORTADORA Y EXPORTADORA NIMAR</v>
          </cell>
          <cell r="M2606"/>
          <cell r="N2606">
            <v>120</v>
          </cell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</row>
        <row r="2607">
          <cell r="A2607" t="str">
            <v>IMPORTADORA Y EXPORTADORA NIMAR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>
            <v>390</v>
          </cell>
          <cell r="J2607" t="str">
            <v>IMPORTADORA Y EXPORTADORA NIMAR</v>
          </cell>
          <cell r="M2607"/>
          <cell r="N2607">
            <v>90</v>
          </cell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</row>
        <row r="2608">
          <cell r="A2608" t="str">
            <v>IMPORTADORA Y EXPORTADORA NIMAR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>
            <v>120</v>
          </cell>
          <cell r="J2608" t="str">
            <v>IMPORTADORA Y EXPORTADORA NIMAR</v>
          </cell>
          <cell r="M2608"/>
          <cell r="N2608">
            <v>456</v>
          </cell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</row>
        <row r="2609">
          <cell r="A2609" t="str">
            <v>IMPORTADORA Y EXPORTADORA NIMAR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>
            <v>90</v>
          </cell>
          <cell r="J2609" t="str">
            <v>IMPORTADORA Y EXPORTADORA NIMAR</v>
          </cell>
          <cell r="M2609"/>
          <cell r="N2609">
            <v>60</v>
          </cell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</row>
        <row r="2610">
          <cell r="A2610" t="str">
            <v>IMPORTADORA Y EXPORTADORA NIMAR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456</v>
          </cell>
          <cell r="J2610" t="str">
            <v>IMPORTADORA Y EXPORTADORA NIMAR</v>
          </cell>
          <cell r="M2610"/>
          <cell r="N2610">
            <v>75</v>
          </cell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</row>
        <row r="2611">
          <cell r="A2611" t="str">
            <v>IMPORTADORA Y EXPORTADORA NIMAR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60</v>
          </cell>
          <cell r="J2611" t="str">
            <v>IMPORTADORA Y EXPORTADORA NIMAR</v>
          </cell>
          <cell r="M2611"/>
          <cell r="N2611"/>
          <cell r="O2611"/>
          <cell r="P2611"/>
          <cell r="Q2611">
            <v>60</v>
          </cell>
          <cell r="R2611"/>
          <cell r="S2611"/>
          <cell r="T2611"/>
          <cell r="U2611"/>
          <cell r="V2611"/>
          <cell r="W2611"/>
          <cell r="X2611"/>
          <cell r="Y2611"/>
        </row>
        <row r="2612">
          <cell r="A2612" t="str">
            <v>IMPORTADORA Y EXPORTADORA NIMAR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>
            <v>75</v>
          </cell>
          <cell r="J2612" t="str">
            <v>IMPORTADORA Y EXPORTADORA NIMAR</v>
          </cell>
          <cell r="M2612">
            <v>400</v>
          </cell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</row>
        <row r="2613">
          <cell r="A2613" t="str">
            <v>IMPORTADORA Y EXPORTADORA NIMAR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>
            <v>60</v>
          </cell>
          <cell r="J2613" t="str">
            <v>IMPORTADORA Y EXPORTADORA NIMAR</v>
          </cell>
          <cell r="M2613"/>
          <cell r="N2613"/>
          <cell r="O2613">
            <v>34</v>
          </cell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</row>
        <row r="2614">
          <cell r="A2614" t="str">
            <v>IMPORTADORA Y EXPORTADORA NIMAR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400</v>
          </cell>
          <cell r="J2614" t="str">
            <v>IMPORTADORA Y EXPORTADORA NIMAR</v>
          </cell>
          <cell r="M2614"/>
          <cell r="N2614"/>
          <cell r="O2614"/>
          <cell r="P2614"/>
          <cell r="Q2614"/>
          <cell r="R2614"/>
          <cell r="S2614">
            <v>96</v>
          </cell>
          <cell r="T2614"/>
          <cell r="U2614"/>
          <cell r="V2614"/>
          <cell r="W2614"/>
          <cell r="X2614"/>
          <cell r="Y2614"/>
        </row>
        <row r="2615">
          <cell r="A2615" t="str">
            <v>IMPORTADORA Y EXPORTADORA NIMAR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34</v>
          </cell>
          <cell r="J2615" t="str">
            <v>IMPORTADORA Y EXPORTADORA NIMAR</v>
          </cell>
          <cell r="M2615"/>
          <cell r="N2615">
            <v>230</v>
          </cell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</row>
        <row r="2616">
          <cell r="A2616" t="str">
            <v>IMPORTADORA Y EXPORTADORA NIMAR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96</v>
          </cell>
          <cell r="J2616" t="str">
            <v>IMPORTADORA Y EXPORTADORA NIMAR</v>
          </cell>
          <cell r="M2616">
            <v>1350</v>
          </cell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</row>
        <row r="2617">
          <cell r="A2617" t="str">
            <v>IMPORTADORA Y EXPORTADORA NIMAR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230</v>
          </cell>
          <cell r="J2617" t="str">
            <v>IMPORTADORA Y EXPORTADORA NIMAR</v>
          </cell>
          <cell r="M2617"/>
          <cell r="N2617"/>
          <cell r="O2617"/>
          <cell r="P2617"/>
          <cell r="Q2617"/>
          <cell r="R2617">
            <v>130</v>
          </cell>
          <cell r="S2617"/>
          <cell r="T2617"/>
          <cell r="U2617"/>
          <cell r="V2617"/>
          <cell r="W2617"/>
          <cell r="X2617"/>
          <cell r="Y2617"/>
        </row>
        <row r="2618">
          <cell r="A2618" t="str">
            <v>IMPORTADORA Y EXPORTADORA NIMAR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1350</v>
          </cell>
          <cell r="J2618" t="str">
            <v>IMPORTADORA Y EXPORTADORA NIMAR</v>
          </cell>
          <cell r="M2618">
            <v>125</v>
          </cell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</row>
        <row r="2619">
          <cell r="A2619" t="str">
            <v>IMPORTADORA Y EXPORTADORA NIMAR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130</v>
          </cell>
          <cell r="J2619" t="str">
            <v>IMPORTADORA Y EXPORTADORA NIMAR</v>
          </cell>
          <cell r="M2619"/>
          <cell r="N2619">
            <v>6</v>
          </cell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</row>
        <row r="2620">
          <cell r="A2620" t="str">
            <v>IMPORTADORA Y EXPORTADORA NIMAR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>
            <v>125</v>
          </cell>
          <cell r="J2620" t="str">
            <v>IMPORTADORA Y EXPORTADORA NIMAR</v>
          </cell>
          <cell r="M2620">
            <v>265</v>
          </cell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</row>
        <row r="2621">
          <cell r="A2621" t="str">
            <v>IMPORTADORA Y EXPORTADORA NIMAR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6</v>
          </cell>
          <cell r="J2621" t="str">
            <v>IMPORTADORA Y EXPORTADORA NIMAR</v>
          </cell>
          <cell r="M2621">
            <v>600</v>
          </cell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</row>
        <row r="2622">
          <cell r="A2622" t="str">
            <v>IMPORTADORA Y EXPORTADORA NIMAR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>
            <v>265</v>
          </cell>
          <cell r="J2622" t="str">
            <v>IMPORTADORA Y EXPORTADORA NIMAR</v>
          </cell>
          <cell r="M2622"/>
          <cell r="N2622"/>
          <cell r="O2622">
            <v>480</v>
          </cell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</row>
        <row r="2623">
          <cell r="A2623" t="str">
            <v>IMPORTADORA Y EXPORTADORA NIMAR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600</v>
          </cell>
          <cell r="J2623" t="str">
            <v>IMPORTADORA Y EXPORTADORA NIMAR</v>
          </cell>
          <cell r="M2623">
            <v>740</v>
          </cell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</row>
        <row r="2624">
          <cell r="A2624" t="str">
            <v>IMPORTADORA Y EXPORTADORA NIMAR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>
            <v>480</v>
          </cell>
          <cell r="J2624" t="str">
            <v>IMPORTADORA Y EXPORTADORA NIMAR</v>
          </cell>
          <cell r="M2624"/>
          <cell r="N2624"/>
          <cell r="O2624">
            <v>346</v>
          </cell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</row>
        <row r="2625">
          <cell r="A2625" t="str">
            <v>IMPORTADORA Y EXPORTADORA NIMAR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740</v>
          </cell>
          <cell r="J2625" t="str">
            <v>IMPORTADORA Y EXPORTADORA NIMAR</v>
          </cell>
          <cell r="M2625">
            <v>0</v>
          </cell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</row>
        <row r="2626">
          <cell r="A2626" t="str">
            <v>IMPORTADORA Y EXPORTADORA NIMAR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>
            <v>346</v>
          </cell>
          <cell r="J2626" t="str">
            <v>KERRY PANAMA, S.A.</v>
          </cell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</row>
        <row r="2627">
          <cell r="A2627" t="str">
            <v>IMPORTADORA Y EXPORTADORA NIMAR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J2627" t="str">
            <v>KERRY PANAMA, S.A.</v>
          </cell>
          <cell r="M2627">
            <v>400</v>
          </cell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</row>
        <row r="2628">
          <cell r="A2628" t="str">
            <v>KERRY PANAMA, S.A.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J2628" t="str">
            <v>CENTRAL AZUCARERO LA VICTORIA</v>
          </cell>
          <cell r="M2628"/>
          <cell r="N2628"/>
          <cell r="O2628"/>
          <cell r="P2628"/>
          <cell r="Q2628"/>
          <cell r="R2628"/>
          <cell r="S2628"/>
          <cell r="T2628">
            <v>115</v>
          </cell>
          <cell r="U2628"/>
          <cell r="V2628"/>
          <cell r="W2628"/>
          <cell r="X2628"/>
          <cell r="Y2628"/>
        </row>
        <row r="2629">
          <cell r="A2629" t="str">
            <v>KERRY PANAMA, S.A.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400</v>
          </cell>
          <cell r="J2629" t="str">
            <v>CENTRAL AZUCARERO LA VICTORIA</v>
          </cell>
          <cell r="M2629"/>
          <cell r="N2629"/>
          <cell r="O2629"/>
          <cell r="P2629"/>
          <cell r="Q2629"/>
          <cell r="R2629"/>
          <cell r="S2629"/>
          <cell r="T2629">
            <v>73</v>
          </cell>
          <cell r="U2629"/>
          <cell r="V2629"/>
          <cell r="W2629"/>
          <cell r="X2629"/>
          <cell r="Y2629"/>
        </row>
        <row r="2630">
          <cell r="A2630" t="str">
            <v>CENTRAL AZUCARERO LA VICTORIA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>
            <v>115</v>
          </cell>
          <cell r="J2630" t="str">
            <v>CENTRAL AZUCARERO LA VICTORIA</v>
          </cell>
          <cell r="M2630"/>
          <cell r="N2630"/>
          <cell r="O2630"/>
          <cell r="P2630"/>
          <cell r="Q2630"/>
          <cell r="R2630"/>
          <cell r="S2630"/>
          <cell r="T2630">
            <v>635</v>
          </cell>
          <cell r="U2630"/>
          <cell r="V2630"/>
          <cell r="W2630"/>
          <cell r="X2630"/>
          <cell r="Y2630"/>
        </row>
        <row r="2631">
          <cell r="A2631" t="str">
            <v>CENTRAL AZUCARERO LA VICTORIA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>
            <v>73</v>
          </cell>
          <cell r="J2631" t="str">
            <v>CENTRAL AZUCARERO LA VICTORIA</v>
          </cell>
          <cell r="M2631"/>
          <cell r="N2631"/>
          <cell r="O2631"/>
          <cell r="P2631"/>
          <cell r="Q2631"/>
          <cell r="R2631"/>
          <cell r="S2631"/>
          <cell r="T2631">
            <v>0</v>
          </cell>
          <cell r="U2631"/>
          <cell r="V2631"/>
          <cell r="W2631"/>
          <cell r="X2631"/>
          <cell r="Y2631"/>
        </row>
        <row r="2632">
          <cell r="A2632" t="str">
            <v>CENTRAL AZUCARERO LA VICTORIA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635</v>
          </cell>
          <cell r="J2632" t="str">
            <v>Agro Export Pacific, S.A</v>
          </cell>
          <cell r="M2632"/>
          <cell r="N2632"/>
          <cell r="O2632"/>
          <cell r="P2632"/>
          <cell r="Q2632">
            <v>1060</v>
          </cell>
          <cell r="R2632"/>
          <cell r="S2632"/>
          <cell r="T2632"/>
          <cell r="U2632"/>
          <cell r="V2632"/>
          <cell r="W2632"/>
          <cell r="X2632"/>
          <cell r="Y2632"/>
        </row>
        <row r="2633">
          <cell r="A2633" t="str">
            <v>CENTRAL AZUCARERO LA VICTORIA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J2633" t="str">
            <v>Agro Export Pacific, S.A</v>
          </cell>
          <cell r="M2633"/>
          <cell r="N2633">
            <v>250</v>
          </cell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</row>
        <row r="2634">
          <cell r="A2634" t="str">
            <v>Agro Export Pacific, S.A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>
            <v>1060</v>
          </cell>
          <cell r="J2634" t="str">
            <v>Agro Export Pacific, S.A</v>
          </cell>
          <cell r="M2634"/>
          <cell r="N2634"/>
          <cell r="O2634"/>
          <cell r="P2634"/>
          <cell r="Q2634"/>
          <cell r="R2634">
            <v>180</v>
          </cell>
          <cell r="S2634"/>
          <cell r="T2634"/>
          <cell r="U2634"/>
          <cell r="V2634"/>
          <cell r="W2634"/>
          <cell r="X2634"/>
          <cell r="Y2634"/>
        </row>
        <row r="2635">
          <cell r="A2635" t="str">
            <v>Agro Export Pacific, S.A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250</v>
          </cell>
          <cell r="J2635" t="str">
            <v>Agro Export Pacific, S.A</v>
          </cell>
          <cell r="M2635"/>
          <cell r="N2635"/>
          <cell r="O2635"/>
          <cell r="P2635"/>
          <cell r="Q2635"/>
          <cell r="R2635">
            <v>40</v>
          </cell>
          <cell r="S2635"/>
          <cell r="T2635"/>
          <cell r="U2635"/>
          <cell r="V2635"/>
          <cell r="W2635"/>
          <cell r="X2635"/>
          <cell r="Y2635"/>
        </row>
        <row r="2636">
          <cell r="A2636" t="str">
            <v>Agro Export Pacific, S.A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>
            <v>180</v>
          </cell>
          <cell r="J2636" t="str">
            <v>Agro Export Pacific, S.A</v>
          </cell>
          <cell r="M2636"/>
          <cell r="N2636"/>
          <cell r="O2636"/>
          <cell r="P2636"/>
          <cell r="Q2636"/>
          <cell r="R2636"/>
          <cell r="S2636">
            <v>73</v>
          </cell>
          <cell r="T2636"/>
          <cell r="U2636"/>
          <cell r="V2636"/>
          <cell r="W2636"/>
          <cell r="X2636"/>
          <cell r="Y2636"/>
        </row>
        <row r="2637">
          <cell r="A2637" t="str">
            <v>Agro Export Pacific, S.A</v>
          </cell>
          <cell r="C2637">
            <v>40</v>
          </cell>
          <cell r="D2637">
            <v>0</v>
          </cell>
          <cell r="E2637">
            <v>0</v>
          </cell>
          <cell r="F2637">
            <v>0</v>
          </cell>
          <cell r="G2637">
            <v>40</v>
          </cell>
          <cell r="J2637" t="str">
            <v>Agro Export Pacific, S.A</v>
          </cell>
          <cell r="M2637"/>
          <cell r="N2637"/>
          <cell r="O2637">
            <v>65</v>
          </cell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</row>
        <row r="2638">
          <cell r="A2638" t="str">
            <v>Agro Export Pacific, S.A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>
            <v>73</v>
          </cell>
          <cell r="J2638" t="str">
            <v>Agro Export Pacific, S.A</v>
          </cell>
          <cell r="M2638"/>
          <cell r="N2638"/>
          <cell r="O2638">
            <v>1090</v>
          </cell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</row>
        <row r="2639">
          <cell r="A2639" t="str">
            <v>Agro Export Pacific, S.A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65</v>
          </cell>
          <cell r="J2639" t="str">
            <v>Agro Export Pacific, S.A</v>
          </cell>
          <cell r="M2639">
            <v>0</v>
          </cell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</row>
        <row r="2640">
          <cell r="A2640" t="str">
            <v>Agro Export Pacific, S.A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1090</v>
          </cell>
          <cell r="J2640" t="str">
            <v>Agro Export Pacific, S.A</v>
          </cell>
          <cell r="M2640"/>
          <cell r="N2640">
            <v>282</v>
          </cell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</row>
        <row r="2641">
          <cell r="A2641" t="str">
            <v>Agro Export Pacific, S.A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J2641" t="str">
            <v>Agro Export Pacific, S.A</v>
          </cell>
          <cell r="M2641"/>
          <cell r="N2641">
            <v>467</v>
          </cell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</row>
        <row r="2642">
          <cell r="A2642" t="str">
            <v>Agro Export Pacific, S.A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282</v>
          </cell>
          <cell r="J2642" t="str">
            <v>Agro Export Pacific, S.A</v>
          </cell>
          <cell r="M2642"/>
          <cell r="N2642"/>
          <cell r="O2642"/>
          <cell r="P2642"/>
          <cell r="Q2642"/>
          <cell r="R2642"/>
          <cell r="S2642"/>
          <cell r="T2642">
            <v>82</v>
          </cell>
          <cell r="U2642"/>
          <cell r="V2642"/>
          <cell r="W2642"/>
          <cell r="X2642"/>
          <cell r="Y2642"/>
        </row>
        <row r="2643">
          <cell r="A2643" t="str">
            <v>Agro Export Pacific, S.A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467</v>
          </cell>
          <cell r="J2643" t="str">
            <v>Agro Export Pacific, S.A</v>
          </cell>
          <cell r="M2643"/>
          <cell r="N2643">
            <v>38</v>
          </cell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</row>
        <row r="2644">
          <cell r="A2644" t="str">
            <v>Agro Export Pacific, S.A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82</v>
          </cell>
          <cell r="J2644" t="str">
            <v>Agro Export Pacific, S.A</v>
          </cell>
          <cell r="M2644"/>
          <cell r="N2644">
            <v>70</v>
          </cell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</row>
        <row r="2645">
          <cell r="A2645" t="str">
            <v>Agro Export Pacific, S.A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38</v>
          </cell>
          <cell r="J2645" t="str">
            <v>Agro Export Pacific, S.A</v>
          </cell>
          <cell r="M2645"/>
          <cell r="N2645">
            <v>62</v>
          </cell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</row>
        <row r="2646">
          <cell r="A2646" t="str">
            <v>Agro Export Pacific, S.A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70</v>
          </cell>
          <cell r="J2646" t="str">
            <v>Agro Export Pacific, S.A</v>
          </cell>
          <cell r="M2646"/>
          <cell r="N2646"/>
          <cell r="O2646">
            <v>116</v>
          </cell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</row>
        <row r="2647">
          <cell r="A2647" t="str">
            <v>Agro Export Pacific, S.A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62</v>
          </cell>
          <cell r="J2647" t="str">
            <v>Agro Export Pacific, S.A</v>
          </cell>
          <cell r="M2647"/>
          <cell r="N2647">
            <v>542</v>
          </cell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</row>
        <row r="2648">
          <cell r="A2648" t="str">
            <v>Agro Export Pacific, S.A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>
            <v>116</v>
          </cell>
          <cell r="J2648" t="str">
            <v>Agro Export Pacific, S.A</v>
          </cell>
          <cell r="M2648"/>
          <cell r="N2648">
            <v>147</v>
          </cell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</row>
        <row r="2649">
          <cell r="A2649" t="str">
            <v>Agro Export Pacific, S.A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542</v>
          </cell>
          <cell r="J2649" t="str">
            <v>Agro Export Pacific, S.A</v>
          </cell>
          <cell r="M2649">
            <v>500</v>
          </cell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</row>
        <row r="2650">
          <cell r="A2650" t="str">
            <v>Agro Export Pacific, S.A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>
            <v>147</v>
          </cell>
          <cell r="J2650" t="str">
            <v>Agro Export Pacific, S.A</v>
          </cell>
          <cell r="M2650"/>
          <cell r="N2650"/>
          <cell r="O2650"/>
          <cell r="P2650"/>
          <cell r="Q2650"/>
          <cell r="R2650"/>
          <cell r="S2650"/>
          <cell r="T2650">
            <v>84</v>
          </cell>
          <cell r="U2650"/>
          <cell r="V2650"/>
          <cell r="W2650"/>
          <cell r="X2650"/>
          <cell r="Y2650"/>
        </row>
        <row r="2651">
          <cell r="A2651" t="str">
            <v>Agro Export Pacific, S.A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>
            <v>500</v>
          </cell>
          <cell r="J2651" t="str">
            <v>Agro Export Pacific, S.A</v>
          </cell>
          <cell r="M2651">
            <v>100</v>
          </cell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</row>
        <row r="2652">
          <cell r="A2652" t="str">
            <v>Agro Export Pacific, S.A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84</v>
          </cell>
          <cell r="J2652" t="str">
            <v>Agro Export Pacific, S.A</v>
          </cell>
          <cell r="M2652"/>
          <cell r="N2652"/>
          <cell r="O2652">
            <v>60</v>
          </cell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</row>
        <row r="2653">
          <cell r="A2653" t="str">
            <v>Agro Export Pacific, S.A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100</v>
          </cell>
          <cell r="J2653" t="str">
            <v>Agro Export Pacific, S.A</v>
          </cell>
          <cell r="M2653"/>
          <cell r="N2653"/>
          <cell r="O2653"/>
          <cell r="P2653"/>
          <cell r="Q2653"/>
          <cell r="R2653"/>
          <cell r="S2653"/>
          <cell r="T2653">
            <v>115</v>
          </cell>
          <cell r="U2653"/>
          <cell r="V2653"/>
          <cell r="W2653"/>
          <cell r="X2653"/>
          <cell r="Y2653"/>
        </row>
        <row r="2654">
          <cell r="A2654" t="str">
            <v>Agro Export Pacific, S.A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>
            <v>60</v>
          </cell>
          <cell r="J2654" t="str">
            <v>Agro Export Pacific, S.A</v>
          </cell>
          <cell r="M2654"/>
          <cell r="N2654">
            <v>86</v>
          </cell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</row>
        <row r="2655">
          <cell r="A2655" t="str">
            <v>Agro Export Pacific, S.A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115</v>
          </cell>
          <cell r="J2655" t="str">
            <v>Agro Export Pacific, S.A</v>
          </cell>
          <cell r="M2655">
            <v>201</v>
          </cell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</row>
        <row r="2656">
          <cell r="A2656" t="str">
            <v>Agro Export Pacific, S.A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86</v>
          </cell>
          <cell r="J2656" t="str">
            <v>Agro Export Pacific, S.A</v>
          </cell>
          <cell r="M2656"/>
          <cell r="N2656"/>
          <cell r="O2656"/>
          <cell r="P2656"/>
          <cell r="Q2656"/>
          <cell r="R2656"/>
          <cell r="S2656"/>
          <cell r="T2656">
            <v>73</v>
          </cell>
          <cell r="U2656"/>
          <cell r="V2656"/>
          <cell r="W2656"/>
          <cell r="X2656"/>
          <cell r="Y2656"/>
        </row>
        <row r="2657">
          <cell r="A2657" t="str">
            <v>Agro Export Pacific, S.A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201</v>
          </cell>
          <cell r="J2657" t="str">
            <v>Agro Export Pacific, S.A</v>
          </cell>
          <cell r="M2657"/>
          <cell r="N2657"/>
          <cell r="O2657"/>
          <cell r="P2657"/>
          <cell r="Q2657"/>
          <cell r="R2657">
            <v>181</v>
          </cell>
          <cell r="S2657"/>
          <cell r="T2657"/>
          <cell r="U2657"/>
          <cell r="V2657"/>
          <cell r="W2657"/>
          <cell r="X2657"/>
          <cell r="Y2657"/>
        </row>
        <row r="2658">
          <cell r="A2658" t="str">
            <v>Agro Export Pacific, S.A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>
            <v>73</v>
          </cell>
          <cell r="J2658" t="str">
            <v>Agro Export Pacific, S.A</v>
          </cell>
          <cell r="M2658"/>
          <cell r="N2658">
            <v>0</v>
          </cell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</row>
        <row r="2659">
          <cell r="A2659" t="str">
            <v>Agro Export Pacific, S.A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>
            <v>181</v>
          </cell>
          <cell r="J2659" t="str">
            <v>Agro Export Pacific, S.A</v>
          </cell>
          <cell r="M2659">
            <v>150</v>
          </cell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</row>
        <row r="2660">
          <cell r="A2660" t="str">
            <v>Agro Export Pacific, S.A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J2660" t="str">
            <v>Agro Export Pacific, S.A</v>
          </cell>
          <cell r="M2660"/>
          <cell r="N2660">
            <v>250</v>
          </cell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</row>
        <row r="2661">
          <cell r="A2661" t="str">
            <v>Agro Export Pacific, S.A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150</v>
          </cell>
          <cell r="J2661" t="str">
            <v>Agro Export Pacific, S.A</v>
          </cell>
          <cell r="M2661"/>
          <cell r="N2661"/>
          <cell r="O2661">
            <v>1200</v>
          </cell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</row>
        <row r="2662">
          <cell r="A2662" t="str">
            <v>Agro Export Pacific, S.A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250</v>
          </cell>
          <cell r="J2662" t="str">
            <v>Agro Export Pacific, S.A</v>
          </cell>
          <cell r="M2662"/>
          <cell r="N2662">
            <v>356</v>
          </cell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</row>
        <row r="2663">
          <cell r="A2663" t="str">
            <v>Agro Export Pacific, S.A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1200</v>
          </cell>
          <cell r="J2663" t="str">
            <v>Agro Export Pacific, S.A</v>
          </cell>
          <cell r="M2663"/>
          <cell r="N2663">
            <v>90</v>
          </cell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</row>
        <row r="2664">
          <cell r="A2664" t="str">
            <v>Agro Export Pacific, S.A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356</v>
          </cell>
          <cell r="J2664" t="str">
            <v>Agro Export Pacific, S.A</v>
          </cell>
          <cell r="M2664"/>
          <cell r="N2664">
            <v>22</v>
          </cell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</row>
        <row r="2665">
          <cell r="A2665" t="str">
            <v>Agro Export Pacific, S.A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90</v>
          </cell>
          <cell r="J2665" t="str">
            <v>Agro Export Pacific, S.A</v>
          </cell>
          <cell r="M2665"/>
          <cell r="N2665">
            <v>230</v>
          </cell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</row>
        <row r="2666">
          <cell r="A2666" t="str">
            <v>Agro Export Pacific, S.A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>
            <v>22</v>
          </cell>
          <cell r="J2666" t="str">
            <v>Agro Export Pacific, S.A</v>
          </cell>
          <cell r="M2666"/>
          <cell r="N2666">
            <v>103</v>
          </cell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</row>
        <row r="2667">
          <cell r="A2667" t="str">
            <v>Agro Export Pacific, S.A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>
            <v>230</v>
          </cell>
          <cell r="J2667" t="str">
            <v>Agro Export Pacific, S.A</v>
          </cell>
          <cell r="M2667"/>
          <cell r="N2667">
            <v>165</v>
          </cell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</row>
        <row r="2668">
          <cell r="A2668" t="str">
            <v>Agro Export Pacific, S.A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103</v>
          </cell>
          <cell r="J2668" t="str">
            <v>Agro Export Pacific, S.A</v>
          </cell>
          <cell r="M2668"/>
          <cell r="N2668">
            <v>456</v>
          </cell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</row>
        <row r="2669">
          <cell r="A2669" t="str">
            <v>Agro Export Pacific, S.A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>
            <v>165</v>
          </cell>
          <cell r="J2669" t="str">
            <v>Agro Export Pacific, S.A</v>
          </cell>
          <cell r="M2669"/>
          <cell r="N2669">
            <v>251</v>
          </cell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</row>
        <row r="2670">
          <cell r="A2670" t="str">
            <v>Agro Export Pacific, S.A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>
            <v>456</v>
          </cell>
          <cell r="J2670" t="str">
            <v>Agro Export Pacific, S.A</v>
          </cell>
          <cell r="M2670"/>
          <cell r="N2670">
            <v>75</v>
          </cell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</row>
        <row r="2671">
          <cell r="A2671" t="str">
            <v>Agro Export Pacific, S.A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251</v>
          </cell>
          <cell r="J2671" t="str">
            <v>Agro Export Pacific, S.A</v>
          </cell>
          <cell r="M2671"/>
          <cell r="N2671"/>
          <cell r="O2671"/>
          <cell r="P2671"/>
          <cell r="Q2671"/>
          <cell r="R2671"/>
          <cell r="S2671"/>
          <cell r="T2671">
            <v>37</v>
          </cell>
          <cell r="U2671"/>
          <cell r="V2671"/>
          <cell r="W2671"/>
          <cell r="X2671"/>
          <cell r="Y2671"/>
        </row>
        <row r="2672">
          <cell r="A2672" t="str">
            <v>Agro Export Pacific, S.A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75</v>
          </cell>
          <cell r="J2672" t="str">
            <v>Agro Export Pacific, S.A</v>
          </cell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</row>
        <row r="2673">
          <cell r="A2673" t="str">
            <v>Agro Export Pacific, S.A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37</v>
          </cell>
          <cell r="J2673" t="str">
            <v>Agro Export Pacific, S.A</v>
          </cell>
          <cell r="M2673"/>
          <cell r="N2673"/>
          <cell r="O2673"/>
          <cell r="P2673"/>
          <cell r="Q2673"/>
          <cell r="R2673"/>
          <cell r="S2673"/>
          <cell r="T2673"/>
          <cell r="U2673">
            <v>305</v>
          </cell>
          <cell r="V2673"/>
          <cell r="W2673"/>
          <cell r="X2673"/>
          <cell r="Y2673"/>
        </row>
        <row r="2674">
          <cell r="A2674" t="str">
            <v>Agro Export Pacific, S.A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J2674" t="str">
            <v>Agro Export Pacific, S.A</v>
          </cell>
          <cell r="M2674">
            <v>175</v>
          </cell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</row>
        <row r="2675">
          <cell r="A2675" t="str">
            <v>Agro Export Pacific, S.A</v>
          </cell>
          <cell r="C2675">
            <v>0</v>
          </cell>
          <cell r="D2675">
            <v>40</v>
          </cell>
          <cell r="E2675">
            <v>60</v>
          </cell>
          <cell r="F2675">
            <v>40</v>
          </cell>
          <cell r="G2675">
            <v>305</v>
          </cell>
          <cell r="J2675" t="str">
            <v>Agro Export Pacific, S.A</v>
          </cell>
          <cell r="M2675"/>
          <cell r="N2675"/>
          <cell r="O2675"/>
          <cell r="P2675"/>
          <cell r="Q2675">
            <v>496</v>
          </cell>
          <cell r="R2675"/>
          <cell r="S2675"/>
          <cell r="T2675"/>
          <cell r="U2675"/>
          <cell r="V2675"/>
          <cell r="W2675"/>
          <cell r="X2675"/>
          <cell r="Y2675"/>
        </row>
        <row r="2676">
          <cell r="A2676" t="str">
            <v>Agro Export Pacific, S.A</v>
          </cell>
          <cell r="C2676">
            <v>0</v>
          </cell>
          <cell r="D2676">
            <v>10</v>
          </cell>
          <cell r="E2676">
            <v>20</v>
          </cell>
          <cell r="F2676">
            <v>25</v>
          </cell>
          <cell r="G2676">
            <v>175</v>
          </cell>
          <cell r="J2676" t="str">
            <v>Agro Export Pacific, S.A</v>
          </cell>
          <cell r="M2676"/>
          <cell r="N2676"/>
          <cell r="O2676"/>
          <cell r="P2676"/>
          <cell r="Q2676"/>
          <cell r="R2676"/>
          <cell r="S2676"/>
          <cell r="T2676">
            <v>30</v>
          </cell>
          <cell r="U2676"/>
          <cell r="V2676"/>
          <cell r="W2676"/>
          <cell r="X2676"/>
          <cell r="Y2676"/>
        </row>
        <row r="2677">
          <cell r="A2677" t="str">
            <v>Agro Export Pacific, S.A</v>
          </cell>
          <cell r="C2677">
            <v>73</v>
          </cell>
          <cell r="D2677">
            <v>0</v>
          </cell>
          <cell r="E2677">
            <v>0</v>
          </cell>
          <cell r="F2677">
            <v>0</v>
          </cell>
          <cell r="G2677">
            <v>496</v>
          </cell>
          <cell r="J2677" t="str">
            <v>Agro Export Pacific, S.A</v>
          </cell>
          <cell r="M2677"/>
          <cell r="N2677"/>
          <cell r="O2677"/>
          <cell r="P2677"/>
          <cell r="Q2677">
            <v>4560</v>
          </cell>
          <cell r="R2677"/>
          <cell r="S2677"/>
          <cell r="T2677"/>
          <cell r="U2677"/>
          <cell r="V2677"/>
          <cell r="W2677"/>
          <cell r="X2677"/>
          <cell r="Y2677"/>
        </row>
        <row r="2678">
          <cell r="A2678" t="str">
            <v>Agro Export Pacific, S.A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30</v>
          </cell>
          <cell r="J2678" t="str">
            <v>Agro Export Pacific, S.A</v>
          </cell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>
            <v>0</v>
          </cell>
          <cell r="X2678"/>
          <cell r="Y2678"/>
        </row>
        <row r="2679">
          <cell r="A2679" t="str">
            <v>Agro Export Pacific, S.A</v>
          </cell>
          <cell r="C2679">
            <v>0</v>
          </cell>
          <cell r="D2679">
            <v>680</v>
          </cell>
          <cell r="E2679">
            <v>450</v>
          </cell>
          <cell r="F2679">
            <v>450</v>
          </cell>
          <cell r="G2679">
            <v>4560</v>
          </cell>
          <cell r="J2679" t="str">
            <v>Agro Export Pacific, S.A</v>
          </cell>
          <cell r="M2679">
            <v>400</v>
          </cell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</row>
        <row r="2680">
          <cell r="A2680" t="str">
            <v>Agro Export Pacific, S.A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J2680" t="str">
            <v>Agro Export Pacific, S.A</v>
          </cell>
          <cell r="M2680"/>
          <cell r="N2680">
            <v>230</v>
          </cell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</row>
        <row r="2681">
          <cell r="A2681" t="str">
            <v>Agro Export Pacific, S.A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400</v>
          </cell>
          <cell r="J2681" t="str">
            <v>Agro Export Pacific, S.A</v>
          </cell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>
            <v>628</v>
          </cell>
          <cell r="X2681"/>
          <cell r="Y2681"/>
        </row>
        <row r="2682">
          <cell r="A2682" t="str">
            <v>Agro Export Pacific, S.A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230</v>
          </cell>
          <cell r="J2682" t="str">
            <v>Agro Export Pacific, S.A</v>
          </cell>
          <cell r="M2682"/>
          <cell r="N2682"/>
          <cell r="O2682"/>
          <cell r="P2682"/>
          <cell r="Q2682"/>
          <cell r="R2682"/>
          <cell r="S2682"/>
          <cell r="T2682">
            <v>50</v>
          </cell>
          <cell r="U2682"/>
          <cell r="V2682"/>
          <cell r="W2682"/>
          <cell r="X2682"/>
          <cell r="Y2682"/>
        </row>
        <row r="2683">
          <cell r="A2683" t="str">
            <v>Agro Export Pacific, S.A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628</v>
          </cell>
          <cell r="J2683" t="str">
            <v>Agro Export Pacific, S.A</v>
          </cell>
          <cell r="M2683"/>
          <cell r="N2683"/>
          <cell r="O2683"/>
          <cell r="P2683"/>
          <cell r="Q2683"/>
          <cell r="R2683"/>
          <cell r="S2683"/>
          <cell r="T2683">
            <v>192</v>
          </cell>
          <cell r="U2683"/>
          <cell r="V2683"/>
          <cell r="W2683"/>
          <cell r="X2683"/>
          <cell r="Y2683"/>
        </row>
        <row r="2684">
          <cell r="A2684" t="str">
            <v>Agro Export Pacific, S.A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50</v>
          </cell>
          <cell r="J2684" t="str">
            <v>Agro Export Pacific, S.A</v>
          </cell>
          <cell r="M2684"/>
          <cell r="N2684">
            <v>97</v>
          </cell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</row>
        <row r="2685">
          <cell r="A2685" t="str">
            <v>Agro Export Pacific, S.A</v>
          </cell>
          <cell r="C2685">
            <v>85</v>
          </cell>
          <cell r="D2685">
            <v>22</v>
          </cell>
          <cell r="E2685">
            <v>25</v>
          </cell>
          <cell r="F2685">
            <v>29</v>
          </cell>
          <cell r="G2685">
            <v>192</v>
          </cell>
          <cell r="J2685" t="str">
            <v>Agro Export Pacific, S.A</v>
          </cell>
          <cell r="M2685">
            <v>40</v>
          </cell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</row>
        <row r="2686">
          <cell r="A2686" t="str">
            <v>Agro Export Pacific, S.A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97</v>
          </cell>
          <cell r="J2686" t="str">
            <v>Agro Export Pacific, S.A</v>
          </cell>
          <cell r="M2686"/>
          <cell r="N2686">
            <v>130</v>
          </cell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</row>
        <row r="2687">
          <cell r="A2687" t="str">
            <v>Agro Export Pacific, S.A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40</v>
          </cell>
          <cell r="J2687" t="str">
            <v>Agro Export Pacific, S.A</v>
          </cell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>
            <v>0</v>
          </cell>
          <cell r="X2687"/>
          <cell r="Y2687"/>
        </row>
        <row r="2688">
          <cell r="A2688" t="str">
            <v>Agro Export Pacific, S.A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130</v>
          </cell>
          <cell r="J2688" t="str">
            <v>Agro Export Pacific, S.A</v>
          </cell>
          <cell r="M2688"/>
          <cell r="N2688"/>
          <cell r="O2688"/>
          <cell r="P2688"/>
          <cell r="Q2688"/>
          <cell r="R2688"/>
          <cell r="S2688"/>
          <cell r="T2688"/>
          <cell r="U2688">
            <v>251</v>
          </cell>
          <cell r="V2688"/>
          <cell r="W2688"/>
          <cell r="X2688"/>
          <cell r="Y2688"/>
        </row>
        <row r="2689">
          <cell r="A2689" t="str">
            <v>Agro Export Pacific, S.A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J2689" t="str">
            <v>Agro Export Pacific, S.A</v>
          </cell>
          <cell r="M2689">
            <v>125</v>
          </cell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</row>
        <row r="2690">
          <cell r="A2690" t="str">
            <v>Agro Export Pacific, S.A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251</v>
          </cell>
          <cell r="J2690" t="str">
            <v>Agro Export Pacific, S.A</v>
          </cell>
          <cell r="M2690"/>
          <cell r="N2690"/>
          <cell r="O2690"/>
          <cell r="P2690"/>
          <cell r="Q2690"/>
          <cell r="R2690"/>
          <cell r="S2690">
            <v>50</v>
          </cell>
          <cell r="T2690"/>
          <cell r="U2690"/>
          <cell r="V2690"/>
          <cell r="W2690"/>
          <cell r="X2690"/>
          <cell r="Y2690"/>
        </row>
        <row r="2691">
          <cell r="A2691" t="str">
            <v>Agro Export Pacific, S.A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125</v>
          </cell>
          <cell r="J2691" t="str">
            <v>Agro Export Pacific, S.A</v>
          </cell>
          <cell r="M2691"/>
          <cell r="N2691"/>
          <cell r="O2691"/>
          <cell r="P2691"/>
          <cell r="Q2691"/>
          <cell r="R2691"/>
          <cell r="S2691"/>
          <cell r="T2691"/>
          <cell r="U2691"/>
          <cell r="V2691">
            <v>0</v>
          </cell>
          <cell r="W2691"/>
          <cell r="X2691"/>
          <cell r="Y2691"/>
        </row>
        <row r="2692">
          <cell r="A2692" t="str">
            <v>Agro Export Pacific, S.A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50</v>
          </cell>
          <cell r="J2692" t="str">
            <v>Agro Export Pacific, S.A</v>
          </cell>
          <cell r="M2692">
            <v>209</v>
          </cell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</row>
        <row r="2693">
          <cell r="A2693" t="str">
            <v>Agro Export Pacific, S.A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J2693" t="str">
            <v>Agro Export Pacific, S.A</v>
          </cell>
          <cell r="M2693">
            <v>0</v>
          </cell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</row>
        <row r="2694">
          <cell r="A2694" t="str">
            <v>Agro Export Pacific, S.A</v>
          </cell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G2694">
            <v>209</v>
          </cell>
          <cell r="J2694" t="str">
            <v>Agro Export Pacific, S.A</v>
          </cell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</row>
        <row r="2695">
          <cell r="A2695" t="str">
            <v>Agro Export Pacific, S.A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J2695" t="str">
            <v>Agro Export Pacific, S.A</v>
          </cell>
          <cell r="M2695"/>
          <cell r="N2695"/>
          <cell r="O2695"/>
          <cell r="P2695"/>
          <cell r="Q2695"/>
          <cell r="R2695"/>
          <cell r="S2695"/>
          <cell r="T2695"/>
          <cell r="U2695"/>
          <cell r="V2695">
            <v>200</v>
          </cell>
          <cell r="W2695"/>
          <cell r="X2695"/>
          <cell r="Y2695"/>
        </row>
        <row r="2696">
          <cell r="A2696" t="str">
            <v>Agro Export Pacific, S.A</v>
          </cell>
          <cell r="C2696">
            <v>0</v>
          </cell>
          <cell r="D2696">
            <v>10</v>
          </cell>
          <cell r="E2696">
            <v>20</v>
          </cell>
          <cell r="F2696">
            <v>32</v>
          </cell>
          <cell r="G2696">
            <v>83</v>
          </cell>
          <cell r="J2696" t="str">
            <v>Agro Export Pacific, S.A</v>
          </cell>
          <cell r="M2696">
            <v>265</v>
          </cell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</row>
        <row r="2697">
          <cell r="A2697" t="str">
            <v>Agro Export Pacific, S.A</v>
          </cell>
          <cell r="C2697">
            <v>200</v>
          </cell>
          <cell r="D2697">
            <v>0</v>
          </cell>
          <cell r="E2697">
            <v>0</v>
          </cell>
          <cell r="F2697">
            <v>0</v>
          </cell>
          <cell r="G2697">
            <v>200</v>
          </cell>
          <cell r="J2697" t="str">
            <v>Agro Export Pacific, S.A</v>
          </cell>
          <cell r="M2697"/>
          <cell r="N2697">
            <v>110</v>
          </cell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</row>
        <row r="2698">
          <cell r="A2698" t="str">
            <v>Agro Export Pacific, S.A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265</v>
          </cell>
          <cell r="J2698" t="str">
            <v>Agro Export Pacific, S.A</v>
          </cell>
          <cell r="M2698"/>
          <cell r="N2698"/>
          <cell r="O2698"/>
          <cell r="P2698">
            <v>150</v>
          </cell>
          <cell r="Q2698"/>
          <cell r="R2698"/>
          <cell r="S2698"/>
          <cell r="T2698"/>
          <cell r="U2698"/>
          <cell r="V2698"/>
          <cell r="W2698"/>
          <cell r="X2698"/>
          <cell r="Y2698"/>
        </row>
        <row r="2699">
          <cell r="A2699" t="str">
            <v>Agro Export Pacific, S.A</v>
          </cell>
          <cell r="C2699">
            <v>0</v>
          </cell>
          <cell r="D2699">
            <v>35</v>
          </cell>
          <cell r="E2699">
            <v>0</v>
          </cell>
          <cell r="F2699">
            <v>0</v>
          </cell>
          <cell r="G2699">
            <v>110</v>
          </cell>
          <cell r="J2699" t="str">
            <v>Agro Export Pacific, S.A</v>
          </cell>
          <cell r="M2699"/>
          <cell r="N2699"/>
          <cell r="O2699"/>
          <cell r="P2699"/>
          <cell r="Q2699"/>
          <cell r="R2699"/>
          <cell r="S2699">
            <v>40</v>
          </cell>
          <cell r="T2699"/>
          <cell r="U2699"/>
          <cell r="V2699"/>
          <cell r="W2699"/>
          <cell r="X2699"/>
          <cell r="Y2699"/>
        </row>
        <row r="2700">
          <cell r="A2700" t="str">
            <v>Agro Export Pacific, S.A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150</v>
          </cell>
          <cell r="J2700" t="str">
            <v>Agro Export Pacific, S.A</v>
          </cell>
          <cell r="M2700"/>
          <cell r="N2700"/>
          <cell r="O2700">
            <v>105</v>
          </cell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</row>
        <row r="2701">
          <cell r="A2701" t="str">
            <v>Agro Export Pacific, S.A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>
            <v>40</v>
          </cell>
          <cell r="J2701" t="str">
            <v>Agro Export Pacific, S.A</v>
          </cell>
          <cell r="M2701"/>
          <cell r="N2701"/>
          <cell r="O2701"/>
          <cell r="P2701"/>
          <cell r="Q2701"/>
          <cell r="R2701"/>
          <cell r="S2701"/>
          <cell r="T2701">
            <v>0</v>
          </cell>
          <cell r="U2701"/>
          <cell r="V2701"/>
          <cell r="W2701"/>
          <cell r="X2701"/>
          <cell r="Y2701"/>
        </row>
        <row r="2702">
          <cell r="A2702" t="str">
            <v>Agro Export Pacific, S.A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>
            <v>105</v>
          </cell>
          <cell r="J2702" t="str">
            <v>Agro Export Pacific, S.A</v>
          </cell>
          <cell r="M2702"/>
          <cell r="N2702"/>
          <cell r="O2702"/>
          <cell r="P2702"/>
          <cell r="Q2702"/>
          <cell r="R2702"/>
          <cell r="S2702"/>
          <cell r="T2702">
            <v>1800</v>
          </cell>
          <cell r="U2702"/>
          <cell r="V2702"/>
          <cell r="W2702"/>
          <cell r="X2702"/>
          <cell r="Y2702"/>
        </row>
        <row r="2703">
          <cell r="A2703" t="str">
            <v>Agro Export Pacific, S.A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J2703" t="str">
            <v>Agro Export Pacific, S.A</v>
          </cell>
          <cell r="M2703"/>
          <cell r="N2703"/>
          <cell r="O2703"/>
          <cell r="P2703"/>
          <cell r="Q2703"/>
          <cell r="R2703"/>
          <cell r="S2703"/>
          <cell r="T2703"/>
          <cell r="U2703">
            <v>80</v>
          </cell>
          <cell r="V2703"/>
          <cell r="W2703"/>
          <cell r="X2703"/>
          <cell r="Y2703"/>
        </row>
        <row r="2704">
          <cell r="A2704" t="str">
            <v>Agro Export Pacific, S.A</v>
          </cell>
          <cell r="C2704">
            <v>1200</v>
          </cell>
          <cell r="D2704">
            <v>0</v>
          </cell>
          <cell r="E2704">
            <v>0</v>
          </cell>
          <cell r="F2704">
            <v>0</v>
          </cell>
          <cell r="G2704">
            <v>1800</v>
          </cell>
          <cell r="J2704" t="str">
            <v>Agro Export Pacific, S.A</v>
          </cell>
          <cell r="M2704"/>
          <cell r="N2704"/>
          <cell r="O2704"/>
          <cell r="P2704"/>
          <cell r="Q2704"/>
          <cell r="R2704"/>
          <cell r="S2704"/>
          <cell r="T2704"/>
          <cell r="U2704">
            <v>0</v>
          </cell>
          <cell r="V2704"/>
          <cell r="W2704"/>
          <cell r="X2704"/>
          <cell r="Y2704"/>
        </row>
        <row r="2705">
          <cell r="A2705" t="str">
            <v>Agro Export Pacific, S.A</v>
          </cell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G2705">
            <v>80</v>
          </cell>
          <cell r="J2705" t="str">
            <v>Agro Export Pacific, S.A</v>
          </cell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>
            <v>200</v>
          </cell>
          <cell r="X2705"/>
          <cell r="Y2705"/>
        </row>
        <row r="2706">
          <cell r="A2706" t="str">
            <v>Agro Export Pacific, S.A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J2706" t="str">
            <v>Agro Export Pacific, S.A</v>
          </cell>
          <cell r="M2706"/>
          <cell r="N2706">
            <v>0</v>
          </cell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</row>
        <row r="2707">
          <cell r="A2707" t="str">
            <v>Agro Export Pacific, S.A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>
            <v>200</v>
          </cell>
          <cell r="J2707" t="str">
            <v>MELO FARMA, S.A.</v>
          </cell>
          <cell r="M2707"/>
          <cell r="N2707"/>
          <cell r="O2707">
            <v>180</v>
          </cell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</row>
        <row r="2708">
          <cell r="A2708" t="str">
            <v>Agro Export Pacific, S.A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J2708" t="str">
            <v>MELO FARMA, S.A.</v>
          </cell>
          <cell r="M2708"/>
          <cell r="N2708"/>
          <cell r="O2708"/>
          <cell r="P2708"/>
          <cell r="Q2708"/>
          <cell r="R2708">
            <v>180</v>
          </cell>
          <cell r="S2708"/>
          <cell r="T2708"/>
          <cell r="U2708"/>
          <cell r="V2708"/>
          <cell r="W2708"/>
          <cell r="X2708"/>
          <cell r="Y2708"/>
        </row>
        <row r="2709">
          <cell r="A2709" t="str">
            <v>MELO FARMA, S.A.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>
            <v>180</v>
          </cell>
          <cell r="J2709" t="str">
            <v>MELO FARMA, S.A.</v>
          </cell>
          <cell r="M2709"/>
          <cell r="N2709"/>
          <cell r="O2709"/>
          <cell r="P2709"/>
          <cell r="Q2709"/>
          <cell r="R2709"/>
          <cell r="S2709">
            <v>73</v>
          </cell>
          <cell r="T2709"/>
          <cell r="U2709"/>
          <cell r="V2709"/>
          <cell r="W2709"/>
          <cell r="X2709"/>
          <cell r="Y2709"/>
        </row>
        <row r="2710">
          <cell r="A2710" t="str">
            <v>MELO FARMA, S.A.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180</v>
          </cell>
          <cell r="J2710" t="str">
            <v>MELO FARMA, S.A.</v>
          </cell>
          <cell r="M2710"/>
          <cell r="N2710"/>
          <cell r="O2710">
            <v>65</v>
          </cell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</row>
        <row r="2711">
          <cell r="A2711" t="str">
            <v>MELO FARMA, S.A.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>
            <v>73</v>
          </cell>
          <cell r="J2711" t="str">
            <v>MELO FARMA, S.A.</v>
          </cell>
          <cell r="M2711">
            <v>0</v>
          </cell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</row>
        <row r="2712">
          <cell r="A2712" t="str">
            <v>MELO FARMA, S.A.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65</v>
          </cell>
          <cell r="J2712" t="str">
            <v>MELO FARMA, S.A.</v>
          </cell>
          <cell r="M2712"/>
          <cell r="N2712">
            <v>282</v>
          </cell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</row>
        <row r="2713">
          <cell r="A2713" t="str">
            <v>MELO FARMA, S.A.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J2713" t="str">
            <v>MELO FARMA, S.A.</v>
          </cell>
          <cell r="M2713"/>
          <cell r="N2713">
            <v>70</v>
          </cell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</row>
        <row r="2714">
          <cell r="A2714" t="str">
            <v>MELO FARMA, S.A.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282</v>
          </cell>
          <cell r="J2714" t="str">
            <v>MELO FARMA, S.A.</v>
          </cell>
          <cell r="M2714"/>
          <cell r="N2714">
            <v>62</v>
          </cell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</row>
        <row r="2715">
          <cell r="A2715" t="str">
            <v>MELO FARMA, S.A.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70</v>
          </cell>
          <cell r="J2715" t="str">
            <v>MELO FARMA, S.A.</v>
          </cell>
          <cell r="M2715">
            <v>150</v>
          </cell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</row>
        <row r="2716">
          <cell r="A2716" t="str">
            <v>MELO FARMA, S.A.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62</v>
          </cell>
          <cell r="J2716" t="str">
            <v>MELO FARMA, S.A.</v>
          </cell>
          <cell r="M2716">
            <v>390</v>
          </cell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</row>
        <row r="2717">
          <cell r="A2717" t="str">
            <v>MELO FARMA, S.A.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>
            <v>150</v>
          </cell>
          <cell r="J2717" t="str">
            <v>MELO FARMA, S.A.</v>
          </cell>
          <cell r="M2717"/>
          <cell r="N2717">
            <v>456</v>
          </cell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</row>
        <row r="2718">
          <cell r="A2718" t="str">
            <v>MELO FARMA, S.A.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390</v>
          </cell>
          <cell r="J2718" t="str">
            <v>MELO FARMA, S.A.</v>
          </cell>
          <cell r="M2718"/>
          <cell r="N2718"/>
          <cell r="O2718"/>
          <cell r="P2718"/>
          <cell r="Q2718"/>
          <cell r="R2718"/>
          <cell r="S2718">
            <v>305</v>
          </cell>
          <cell r="T2718"/>
          <cell r="U2718"/>
          <cell r="V2718"/>
          <cell r="W2718"/>
          <cell r="X2718"/>
          <cell r="Y2718"/>
        </row>
        <row r="2719">
          <cell r="A2719" t="str">
            <v>MELO FARMA, S.A.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>
            <v>456</v>
          </cell>
          <cell r="J2719" t="str">
            <v>MELO FARMA, S.A.</v>
          </cell>
          <cell r="M2719">
            <v>400</v>
          </cell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</row>
        <row r="2720">
          <cell r="A2720" t="str">
            <v>MELO FARMA, S.A.</v>
          </cell>
          <cell r="C2720">
            <v>100</v>
          </cell>
          <cell r="D2720">
            <v>0</v>
          </cell>
          <cell r="E2720">
            <v>0</v>
          </cell>
          <cell r="F2720">
            <v>0</v>
          </cell>
          <cell r="G2720">
            <v>305</v>
          </cell>
          <cell r="J2720" t="str">
            <v>MELO FARMA, S.A.</v>
          </cell>
          <cell r="M2720">
            <v>350</v>
          </cell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</row>
        <row r="2721">
          <cell r="A2721" t="str">
            <v>MELO FARMA, S.A.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400</v>
          </cell>
          <cell r="J2721" t="str">
            <v>MELO FARMA, S.A.</v>
          </cell>
          <cell r="M2721"/>
          <cell r="N2721">
            <v>510</v>
          </cell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</row>
        <row r="2722">
          <cell r="A2722" t="str">
            <v>MELO FARMA, S.A.</v>
          </cell>
          <cell r="C2722">
            <v>200</v>
          </cell>
          <cell r="D2722">
            <v>25</v>
          </cell>
          <cell r="E2722">
            <v>100</v>
          </cell>
          <cell r="F2722">
            <v>25</v>
          </cell>
          <cell r="G2722">
            <v>350</v>
          </cell>
          <cell r="J2722" t="str">
            <v>MELO FARMA, S.A.</v>
          </cell>
          <cell r="M2722">
            <v>25</v>
          </cell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</row>
        <row r="2723">
          <cell r="A2723" t="str">
            <v>MELO FARMA, S.A.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510</v>
          </cell>
          <cell r="J2723" t="str">
            <v>MELO FARMA, S.A.</v>
          </cell>
          <cell r="M2723"/>
          <cell r="N2723"/>
          <cell r="O2723">
            <v>0</v>
          </cell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</row>
        <row r="2724">
          <cell r="A2724" t="str">
            <v>MELO FARMA, S.A.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>
            <v>25</v>
          </cell>
          <cell r="J2724" t="str">
            <v>MELO FARMA, S.A.</v>
          </cell>
          <cell r="M2724">
            <v>209</v>
          </cell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</row>
        <row r="2725">
          <cell r="A2725" t="str">
            <v>MELO FARMA, S.A.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J2725" t="str">
            <v>MELO FARMA, S.A.</v>
          </cell>
          <cell r="M2725"/>
          <cell r="N2725"/>
          <cell r="O2725"/>
          <cell r="P2725"/>
          <cell r="Q2725"/>
          <cell r="R2725"/>
          <cell r="S2725">
            <v>40</v>
          </cell>
          <cell r="T2725"/>
          <cell r="U2725"/>
          <cell r="V2725"/>
          <cell r="W2725"/>
          <cell r="X2725"/>
          <cell r="Y2725"/>
        </row>
        <row r="2726">
          <cell r="A2726" t="str">
            <v>MELO FARMA, S.A.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>
            <v>209</v>
          </cell>
          <cell r="J2726" t="str">
            <v>NEGOCIOS CENTROAMERICANOS, S.A</v>
          </cell>
          <cell r="M2726"/>
          <cell r="N2726"/>
          <cell r="O2726"/>
          <cell r="P2726"/>
          <cell r="Q2726">
            <v>1060</v>
          </cell>
          <cell r="R2726"/>
          <cell r="S2726"/>
          <cell r="T2726"/>
          <cell r="U2726"/>
          <cell r="V2726"/>
          <cell r="W2726"/>
          <cell r="X2726"/>
          <cell r="Y2726"/>
        </row>
        <row r="2727">
          <cell r="A2727" t="str">
            <v>MELO FARMA, S.A.</v>
          </cell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G2727">
            <v>40</v>
          </cell>
          <cell r="J2727" t="str">
            <v>NEGOCIOS CENTROAMERICANOS, S.A</v>
          </cell>
          <cell r="M2727"/>
          <cell r="N2727">
            <v>100</v>
          </cell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</row>
        <row r="2728">
          <cell r="A2728" t="str">
            <v>NEGOCIOS CENTROAMERICANOS, S.A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1060</v>
          </cell>
          <cell r="J2728" t="str">
            <v>NEGOCIOS CENTROAMERICANOS, S.A</v>
          </cell>
          <cell r="M2728"/>
          <cell r="N2728"/>
          <cell r="O2728"/>
          <cell r="P2728"/>
          <cell r="Q2728"/>
          <cell r="R2728">
            <v>180</v>
          </cell>
          <cell r="S2728"/>
          <cell r="T2728"/>
          <cell r="U2728"/>
          <cell r="V2728"/>
          <cell r="W2728"/>
          <cell r="X2728"/>
          <cell r="Y2728"/>
        </row>
        <row r="2729">
          <cell r="A2729" t="str">
            <v>NEGOCIOS CENTROAMERICANOS, S.A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100</v>
          </cell>
          <cell r="J2729" t="str">
            <v>NEGOCIOS CENTROAMERICANOS, S.A</v>
          </cell>
          <cell r="M2729"/>
          <cell r="N2729">
            <v>70</v>
          </cell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</row>
        <row r="2730">
          <cell r="A2730" t="str">
            <v>NEGOCIOS CENTROAMERICANOS, S.A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180</v>
          </cell>
          <cell r="J2730" t="str">
            <v>NEGOCIOS CENTROAMERICANOS, S.A</v>
          </cell>
          <cell r="M2730"/>
          <cell r="N2730"/>
          <cell r="O2730">
            <v>1090</v>
          </cell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</row>
        <row r="2731">
          <cell r="A2731" t="str">
            <v>NEGOCIOS CENTROAMERICANOS, S.A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>
            <v>70</v>
          </cell>
          <cell r="J2731" t="str">
            <v>NEGOCIOS CENTROAMERICANOS, S.A</v>
          </cell>
          <cell r="M2731">
            <v>0</v>
          </cell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</row>
        <row r="2732">
          <cell r="A2732" t="str">
            <v>NEGOCIOS CENTROAMERICANOS, S.A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>
            <v>1090</v>
          </cell>
          <cell r="J2732" t="str">
            <v>NEGOCIOS CENTROAMERICANOS, S.A</v>
          </cell>
          <cell r="M2732"/>
          <cell r="N2732">
            <v>282</v>
          </cell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</row>
        <row r="2733">
          <cell r="A2733" t="str">
            <v>NEGOCIOS CENTROAMERICANOS, S.A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J2733" t="str">
            <v>NEGOCIOS CENTROAMERICANOS, S.A</v>
          </cell>
          <cell r="M2733"/>
          <cell r="N2733">
            <v>467</v>
          </cell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</row>
        <row r="2734">
          <cell r="A2734" t="str">
            <v>NEGOCIOS CENTROAMERICANOS, S.A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>
            <v>282</v>
          </cell>
          <cell r="J2734" t="str">
            <v>NEGOCIOS CENTROAMERICANOS, S.A</v>
          </cell>
          <cell r="M2734"/>
          <cell r="N2734">
            <v>70</v>
          </cell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</row>
        <row r="2735">
          <cell r="A2735" t="str">
            <v>NEGOCIOS CENTROAMERICANOS, S.A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467</v>
          </cell>
          <cell r="J2735" t="str">
            <v>NEGOCIOS CENTROAMERICANOS, S.A</v>
          </cell>
          <cell r="M2735"/>
          <cell r="N2735">
            <v>62</v>
          </cell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</row>
        <row r="2736">
          <cell r="A2736" t="str">
            <v>NEGOCIOS CENTROAMERICANOS, S.A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>
            <v>70</v>
          </cell>
          <cell r="J2736" t="str">
            <v>NEGOCIOS CENTROAMERICANOS, S.A</v>
          </cell>
          <cell r="M2736"/>
          <cell r="N2736"/>
          <cell r="O2736">
            <v>116</v>
          </cell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</row>
        <row r="2737">
          <cell r="A2737" t="str">
            <v>NEGOCIOS CENTROAMERICANOS, S.A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>
            <v>62</v>
          </cell>
          <cell r="J2737" t="str">
            <v>NEGOCIOS CENTROAMERICANOS, S.A</v>
          </cell>
          <cell r="M2737"/>
          <cell r="N2737">
            <v>542</v>
          </cell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</row>
        <row r="2738">
          <cell r="A2738" t="str">
            <v>NEGOCIOS CENTROAMERICANOS, S.A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>
            <v>116</v>
          </cell>
          <cell r="J2738" t="str">
            <v>NEGOCIOS CENTROAMERICANOS, S.A</v>
          </cell>
          <cell r="M2738"/>
          <cell r="N2738"/>
          <cell r="O2738"/>
          <cell r="P2738"/>
          <cell r="Q2738"/>
          <cell r="R2738"/>
          <cell r="S2738">
            <v>211</v>
          </cell>
          <cell r="T2738"/>
          <cell r="U2738"/>
          <cell r="V2738"/>
          <cell r="W2738"/>
          <cell r="X2738"/>
          <cell r="Y2738"/>
        </row>
        <row r="2739">
          <cell r="A2739" t="str">
            <v>NEGOCIOS CENTROAMERICANOS, S.A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542</v>
          </cell>
          <cell r="J2739" t="str">
            <v>NEGOCIOS CENTROAMERICANOS, S.A</v>
          </cell>
          <cell r="M2739"/>
          <cell r="N2739">
            <v>264</v>
          </cell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</row>
        <row r="2740">
          <cell r="A2740" t="str">
            <v>NEGOCIOS CENTROAMERICANOS, S.A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>
            <v>211</v>
          </cell>
          <cell r="J2740" t="str">
            <v>NEGOCIOS CENTROAMERICANOS, S.A</v>
          </cell>
          <cell r="M2740"/>
          <cell r="N2740"/>
          <cell r="O2740"/>
          <cell r="P2740"/>
          <cell r="Q2740">
            <v>57</v>
          </cell>
          <cell r="R2740"/>
          <cell r="S2740"/>
          <cell r="T2740"/>
          <cell r="U2740"/>
          <cell r="V2740"/>
          <cell r="W2740"/>
          <cell r="X2740"/>
          <cell r="Y2740"/>
        </row>
        <row r="2741">
          <cell r="A2741" t="str">
            <v>NEGOCIOS CENTROAMERICANOS, S.A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264</v>
          </cell>
          <cell r="J2741" t="str">
            <v>NEGOCIOS CENTROAMERICANOS, S.A</v>
          </cell>
          <cell r="M2741">
            <v>201</v>
          </cell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</row>
        <row r="2742">
          <cell r="A2742" t="str">
            <v>NEGOCIOS CENTROAMERICANOS, S.A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57</v>
          </cell>
          <cell r="J2742" t="str">
            <v>NEGOCIOS CENTROAMERICANOS, S.A</v>
          </cell>
          <cell r="M2742">
            <v>150</v>
          </cell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</row>
        <row r="2743">
          <cell r="A2743" t="str">
            <v>NEGOCIOS CENTROAMERICANOS, S.A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>
            <v>201</v>
          </cell>
          <cell r="J2743" t="str">
            <v>NEGOCIOS CENTROAMERICANOS, S.A</v>
          </cell>
          <cell r="M2743"/>
          <cell r="N2743">
            <v>250</v>
          </cell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</row>
        <row r="2744">
          <cell r="A2744" t="str">
            <v>NEGOCIOS CENTROAMERICANOS, S.A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150</v>
          </cell>
          <cell r="J2744" t="str">
            <v>NEGOCIOS CENTROAMERICANOS, S.A</v>
          </cell>
          <cell r="M2744"/>
          <cell r="N2744">
            <v>90</v>
          </cell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</row>
        <row r="2745">
          <cell r="A2745" t="str">
            <v>NEGOCIOS CENTROAMERICANOS, S.A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250</v>
          </cell>
          <cell r="J2745" t="str">
            <v>NEGOCIOS CENTROAMERICANOS, S.A</v>
          </cell>
          <cell r="M2745"/>
          <cell r="N2745">
            <v>0</v>
          </cell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</row>
        <row r="2746">
          <cell r="A2746" t="str">
            <v>NEGOCIOS CENTROAMERICANOS, S.A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90</v>
          </cell>
          <cell r="J2746" t="str">
            <v>NEGOCIOS CENTROAMERICANOS, S.A</v>
          </cell>
          <cell r="M2746"/>
          <cell r="N2746">
            <v>456</v>
          </cell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</row>
        <row r="2747">
          <cell r="A2747" t="str">
            <v>NEGOCIOS CENTROAMERICANOS, S.A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J2747" t="str">
            <v>NEGOCIOS CENTROAMERICANOS, S.A</v>
          </cell>
          <cell r="M2747"/>
          <cell r="N2747">
            <v>75</v>
          </cell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</row>
        <row r="2748">
          <cell r="A2748" t="str">
            <v>NEGOCIOS CENTROAMERICANOS, S.A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456</v>
          </cell>
          <cell r="J2748" t="str">
            <v>NEGOCIOS CENTROAMERICANOS, S.A</v>
          </cell>
          <cell r="M2748"/>
          <cell r="N2748"/>
          <cell r="O2748">
            <v>219</v>
          </cell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</row>
        <row r="2749">
          <cell r="A2749" t="str">
            <v>NEGOCIOS CENTROAMERICANOS, S.A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75</v>
          </cell>
          <cell r="J2749" t="str">
            <v>NEGOCIOS CENTROAMERICANOS, S.A</v>
          </cell>
          <cell r="M2749"/>
          <cell r="N2749"/>
          <cell r="O2749"/>
          <cell r="P2749"/>
          <cell r="Q2749"/>
          <cell r="R2749"/>
          <cell r="S2749">
            <v>152</v>
          </cell>
          <cell r="T2749"/>
          <cell r="U2749"/>
          <cell r="V2749"/>
          <cell r="W2749"/>
          <cell r="X2749"/>
          <cell r="Y2749"/>
        </row>
        <row r="2750">
          <cell r="A2750" t="str">
            <v>NEGOCIOS CENTROAMERICANOS, S.A</v>
          </cell>
          <cell r="C2750">
            <v>0</v>
          </cell>
          <cell r="D2750">
            <v>16</v>
          </cell>
          <cell r="E2750">
            <v>19</v>
          </cell>
          <cell r="F2750">
            <v>19</v>
          </cell>
          <cell r="G2750">
            <v>219</v>
          </cell>
          <cell r="J2750" t="str">
            <v>NEGOCIOS CENTROAMERICANOS, S.A</v>
          </cell>
          <cell r="M2750"/>
          <cell r="N2750"/>
          <cell r="O2750"/>
          <cell r="P2750"/>
          <cell r="Q2750">
            <v>496</v>
          </cell>
          <cell r="R2750"/>
          <cell r="S2750"/>
          <cell r="T2750"/>
          <cell r="U2750"/>
          <cell r="V2750"/>
          <cell r="W2750"/>
          <cell r="X2750"/>
          <cell r="Y2750"/>
        </row>
        <row r="2751">
          <cell r="A2751" t="str">
            <v>NEGOCIOS CENTROAMERICANOS, S.A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152</v>
          </cell>
          <cell r="J2751" t="str">
            <v>NEGOCIOS CENTROAMERICANOS, S.A</v>
          </cell>
          <cell r="M2751">
            <v>400</v>
          </cell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</row>
        <row r="2752">
          <cell r="A2752" t="str">
            <v>NEGOCIOS CENTROAMERICANOS, S.A</v>
          </cell>
          <cell r="C2752">
            <v>73</v>
          </cell>
          <cell r="D2752">
            <v>0</v>
          </cell>
          <cell r="E2752">
            <v>0</v>
          </cell>
          <cell r="F2752">
            <v>0</v>
          </cell>
          <cell r="G2752">
            <v>496</v>
          </cell>
          <cell r="J2752" t="str">
            <v>NEGOCIOS CENTROAMERICANOS, S.A</v>
          </cell>
          <cell r="M2752"/>
          <cell r="N2752">
            <v>230</v>
          </cell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</row>
        <row r="2753">
          <cell r="A2753" t="str">
            <v>NEGOCIOS CENTROAMERICANOS, S.A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400</v>
          </cell>
          <cell r="J2753" t="str">
            <v>NEGOCIOS CENTROAMERICANOS, S.A</v>
          </cell>
          <cell r="M2753"/>
          <cell r="N2753">
            <v>510</v>
          </cell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</row>
        <row r="2754">
          <cell r="A2754" t="str">
            <v>NEGOCIOS CENTROAMERICANOS, S.A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230</v>
          </cell>
          <cell r="J2754" t="str">
            <v>NEGOCIOS CENTROAMERICANOS, S.A</v>
          </cell>
          <cell r="M2754"/>
          <cell r="N2754"/>
          <cell r="O2754"/>
          <cell r="P2754"/>
          <cell r="Q2754"/>
          <cell r="R2754"/>
          <cell r="S2754">
            <v>40</v>
          </cell>
          <cell r="T2754"/>
          <cell r="U2754"/>
          <cell r="V2754"/>
          <cell r="W2754"/>
          <cell r="X2754"/>
          <cell r="Y2754"/>
        </row>
        <row r="2755">
          <cell r="A2755" t="str">
            <v>NEGOCIOS CENTROAMERICANOS, S.A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510</v>
          </cell>
          <cell r="J2755" t="str">
            <v>NEGOCIOS CENTROAMERICANOS, S.A</v>
          </cell>
          <cell r="M2755"/>
          <cell r="N2755"/>
          <cell r="O2755"/>
          <cell r="P2755"/>
          <cell r="Q2755"/>
          <cell r="R2755">
            <v>130</v>
          </cell>
          <cell r="S2755"/>
          <cell r="T2755"/>
          <cell r="U2755"/>
          <cell r="V2755"/>
          <cell r="W2755"/>
          <cell r="X2755"/>
          <cell r="Y2755"/>
        </row>
        <row r="2756">
          <cell r="A2756" t="str">
            <v>NEGOCIOS CENTROAMERICANOS, S.A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>
            <v>40</v>
          </cell>
          <cell r="J2756" t="str">
            <v>NEGOCIOS CENTROAMERICANOS, S.A</v>
          </cell>
          <cell r="M2756">
            <v>25</v>
          </cell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</row>
        <row r="2757">
          <cell r="A2757" t="str">
            <v>NEGOCIOS CENTROAMERICANOS, S.A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G2757">
            <v>130</v>
          </cell>
          <cell r="J2757" t="str">
            <v>NEGOCIOS CENTROAMERICANOS, S.A</v>
          </cell>
          <cell r="M2757"/>
          <cell r="N2757"/>
          <cell r="O2757">
            <v>0</v>
          </cell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</row>
        <row r="2758">
          <cell r="A2758" t="str">
            <v>NEGOCIOS CENTROAMERICANOS, S.A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>
            <v>25</v>
          </cell>
          <cell r="J2758" t="str">
            <v>NEGOCIOS CENTROAMERICANOS, S.A</v>
          </cell>
          <cell r="M2758"/>
          <cell r="N2758">
            <v>0</v>
          </cell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</row>
        <row r="2759">
          <cell r="A2759" t="str">
            <v>NEGOCIOS CENTROAMERICANOS, S.A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J2759" t="str">
            <v>NEGOCIOS CENTROAMERICANOS, S.A</v>
          </cell>
          <cell r="M2759">
            <v>265</v>
          </cell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</row>
        <row r="2760">
          <cell r="A2760" t="str">
            <v>NEGOCIOS CENTROAMERICANOS, S.A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J2760" t="str">
            <v>COOLBOX FRESIA CORP.</v>
          </cell>
          <cell r="M2760"/>
          <cell r="N2760"/>
          <cell r="O2760">
            <v>1090</v>
          </cell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</row>
        <row r="2761">
          <cell r="A2761" t="str">
            <v>NEGOCIOS CENTROAMERICANOS, S.A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>
            <v>265</v>
          </cell>
          <cell r="J2761" t="str">
            <v>COOLBOX FRESIA CORP.</v>
          </cell>
          <cell r="M2761"/>
          <cell r="N2761">
            <v>50</v>
          </cell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</row>
        <row r="2762">
          <cell r="A2762" t="str">
            <v>COOLBOX FRESIA CORP.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1090</v>
          </cell>
          <cell r="J2762" t="str">
            <v>COOLBOX FRESIA CORP.</v>
          </cell>
          <cell r="M2762"/>
          <cell r="N2762"/>
          <cell r="O2762">
            <v>219</v>
          </cell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</row>
        <row r="2763">
          <cell r="A2763" t="str">
            <v>COOLBOX FRESIA CORP.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50</v>
          </cell>
          <cell r="J2763" t="str">
            <v>COOLBOX FRESIA CORP.</v>
          </cell>
          <cell r="M2763"/>
          <cell r="N2763">
            <v>130</v>
          </cell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</row>
        <row r="2764">
          <cell r="A2764" t="str">
            <v>COOLBOX FRESIA CORP.</v>
          </cell>
          <cell r="C2764">
            <v>0</v>
          </cell>
          <cell r="D2764">
            <v>16</v>
          </cell>
          <cell r="E2764">
            <v>19</v>
          </cell>
          <cell r="F2764">
            <v>19</v>
          </cell>
          <cell r="G2764">
            <v>219</v>
          </cell>
          <cell r="J2764" t="str">
            <v>GOLD MILLS</v>
          </cell>
          <cell r="M2764"/>
          <cell r="N2764">
            <v>212</v>
          </cell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</row>
        <row r="2765">
          <cell r="A2765" t="str">
            <v>COOLBOX FRESIA CORP.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130</v>
          </cell>
          <cell r="J2765" t="str">
            <v>GOLD MILLS</v>
          </cell>
          <cell r="M2765"/>
          <cell r="N2765"/>
          <cell r="O2765"/>
          <cell r="P2765"/>
          <cell r="Q2765">
            <v>1060</v>
          </cell>
          <cell r="R2765"/>
          <cell r="S2765"/>
          <cell r="T2765"/>
          <cell r="U2765"/>
          <cell r="V2765"/>
          <cell r="W2765"/>
          <cell r="X2765"/>
          <cell r="Y2765"/>
        </row>
        <row r="2766">
          <cell r="A2766" t="str">
            <v>GOLD MILLS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212</v>
          </cell>
          <cell r="J2766" t="str">
            <v>GOLD MILLS</v>
          </cell>
          <cell r="M2766"/>
          <cell r="N2766"/>
          <cell r="O2766"/>
          <cell r="P2766"/>
          <cell r="Q2766"/>
          <cell r="R2766">
            <v>180</v>
          </cell>
          <cell r="S2766"/>
          <cell r="T2766"/>
          <cell r="U2766"/>
          <cell r="V2766"/>
          <cell r="W2766"/>
          <cell r="X2766"/>
          <cell r="Y2766"/>
        </row>
        <row r="2767">
          <cell r="A2767" t="str">
            <v>GOLD MILLS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1060</v>
          </cell>
          <cell r="J2767" t="str">
            <v>GOLD MILLS</v>
          </cell>
          <cell r="M2767"/>
          <cell r="N2767"/>
          <cell r="O2767"/>
          <cell r="P2767"/>
          <cell r="Q2767"/>
          <cell r="R2767"/>
          <cell r="S2767">
            <v>73</v>
          </cell>
          <cell r="T2767"/>
          <cell r="U2767"/>
          <cell r="V2767"/>
          <cell r="W2767"/>
          <cell r="X2767"/>
          <cell r="Y2767"/>
        </row>
        <row r="2768">
          <cell r="A2768" t="str">
            <v>GOLD MILLS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>
            <v>180</v>
          </cell>
          <cell r="J2768" t="str">
            <v>GOLD MILLS</v>
          </cell>
          <cell r="M2768"/>
          <cell r="N2768"/>
          <cell r="O2768">
            <v>1090</v>
          </cell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</row>
        <row r="2769">
          <cell r="A2769" t="str">
            <v>GOLD MILLS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>
            <v>73</v>
          </cell>
          <cell r="J2769" t="str">
            <v>GOLD MILLS</v>
          </cell>
          <cell r="M2769">
            <v>0</v>
          </cell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</row>
        <row r="2770">
          <cell r="A2770" t="str">
            <v>GOLD MILLS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1090</v>
          </cell>
          <cell r="J2770" t="str">
            <v>GOLD MILLS</v>
          </cell>
          <cell r="M2770"/>
          <cell r="N2770">
            <v>282</v>
          </cell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</row>
        <row r="2771">
          <cell r="A2771" t="str">
            <v>GOLD MILLS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J2771" t="str">
            <v>GOLD MILLS</v>
          </cell>
          <cell r="M2771"/>
          <cell r="N2771">
            <v>467</v>
          </cell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</row>
        <row r="2772">
          <cell r="A2772" t="str">
            <v>GOLD MILLS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282</v>
          </cell>
          <cell r="J2772" t="str">
            <v>GOLD MILLS</v>
          </cell>
          <cell r="M2772"/>
          <cell r="N2772">
            <v>38</v>
          </cell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</row>
        <row r="2773">
          <cell r="A2773" t="str">
            <v>GOLD MILLS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467</v>
          </cell>
          <cell r="J2773" t="str">
            <v>GOLD MILLS</v>
          </cell>
          <cell r="M2773"/>
          <cell r="N2773">
            <v>70</v>
          </cell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</row>
        <row r="2774">
          <cell r="A2774" t="str">
            <v>GOLD MILLS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38</v>
          </cell>
          <cell r="J2774" t="str">
            <v>GOLD MILLS</v>
          </cell>
          <cell r="M2774"/>
          <cell r="N2774">
            <v>62</v>
          </cell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</row>
        <row r="2775">
          <cell r="A2775" t="str">
            <v>GOLD MILLS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70</v>
          </cell>
          <cell r="J2775" t="str">
            <v>GOLD MILLS</v>
          </cell>
          <cell r="M2775"/>
          <cell r="N2775"/>
          <cell r="O2775">
            <v>116</v>
          </cell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</row>
        <row r="2776">
          <cell r="A2776" t="str">
            <v>GOLD MILLS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62</v>
          </cell>
          <cell r="J2776" t="str">
            <v>GOLD MILLS</v>
          </cell>
          <cell r="M2776"/>
          <cell r="N2776">
            <v>542</v>
          </cell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</row>
        <row r="2777">
          <cell r="A2777" t="str">
            <v>GOLD MILLS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116</v>
          </cell>
          <cell r="J2777" t="str">
            <v>GOLD MILLS</v>
          </cell>
          <cell r="M2777"/>
          <cell r="N2777">
            <v>62</v>
          </cell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</row>
        <row r="2778">
          <cell r="A2778" t="str">
            <v>GOLD MILLS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542</v>
          </cell>
          <cell r="J2778" t="str">
            <v>GOLD MILLS</v>
          </cell>
          <cell r="M2778">
            <v>100</v>
          </cell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</row>
        <row r="2779">
          <cell r="A2779" t="str">
            <v>GOLD MILLS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62</v>
          </cell>
          <cell r="J2779" t="str">
            <v>GOLD MILLS</v>
          </cell>
          <cell r="M2779"/>
          <cell r="N2779"/>
          <cell r="O2779">
            <v>60</v>
          </cell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</row>
        <row r="2780">
          <cell r="A2780" t="str">
            <v>GOLD MILLS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100</v>
          </cell>
          <cell r="J2780" t="str">
            <v>GOLD MILLS</v>
          </cell>
          <cell r="M2780"/>
          <cell r="N2780">
            <v>86</v>
          </cell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</row>
        <row r="2781">
          <cell r="A2781" t="str">
            <v>GOLD MILLS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60</v>
          </cell>
          <cell r="J2781" t="str">
            <v>GOLD MILLS</v>
          </cell>
          <cell r="M2781"/>
          <cell r="N2781"/>
          <cell r="O2781"/>
          <cell r="P2781"/>
          <cell r="Q2781"/>
          <cell r="R2781">
            <v>181</v>
          </cell>
          <cell r="S2781"/>
          <cell r="T2781"/>
          <cell r="U2781"/>
          <cell r="V2781"/>
          <cell r="W2781"/>
          <cell r="X2781"/>
          <cell r="Y2781"/>
        </row>
        <row r="2782">
          <cell r="A2782" t="str">
            <v>GOLD MILLS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86</v>
          </cell>
          <cell r="J2782" t="str">
            <v>GOLD MILLS</v>
          </cell>
          <cell r="M2782">
            <v>150</v>
          </cell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</row>
        <row r="2783">
          <cell r="A2783" t="str">
            <v>GOLD MILLS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181</v>
          </cell>
          <cell r="J2783" t="str">
            <v>GOLD MILLS</v>
          </cell>
          <cell r="M2783"/>
          <cell r="N2783">
            <v>356</v>
          </cell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</row>
        <row r="2784">
          <cell r="A2784" t="str">
            <v>GOLD MILLS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150</v>
          </cell>
          <cell r="J2784" t="str">
            <v>GOLD MILLS</v>
          </cell>
          <cell r="M2784"/>
          <cell r="N2784">
            <v>22</v>
          </cell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</row>
        <row r="2785">
          <cell r="A2785" t="str">
            <v>GOLD MILLS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356</v>
          </cell>
          <cell r="J2785" t="str">
            <v>GOLD MILLS</v>
          </cell>
          <cell r="M2785"/>
          <cell r="N2785">
            <v>75</v>
          </cell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</row>
        <row r="2786">
          <cell r="A2786" t="str">
            <v>GOLD MILLS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>
            <v>22</v>
          </cell>
          <cell r="J2786" t="str">
            <v>GOLD MILLS</v>
          </cell>
          <cell r="M2786">
            <v>175</v>
          </cell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</row>
        <row r="2787">
          <cell r="A2787" t="str">
            <v>GOLD MILLS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75</v>
          </cell>
          <cell r="J2787" t="str">
            <v>GOLD MILLS</v>
          </cell>
          <cell r="M2787"/>
          <cell r="N2787"/>
          <cell r="O2787"/>
          <cell r="P2787"/>
          <cell r="Q2787">
            <v>4560</v>
          </cell>
          <cell r="R2787"/>
          <cell r="S2787"/>
          <cell r="T2787"/>
          <cell r="U2787"/>
          <cell r="V2787"/>
          <cell r="W2787"/>
          <cell r="X2787"/>
          <cell r="Y2787"/>
        </row>
        <row r="2788">
          <cell r="A2788" t="str">
            <v>GOLD MILLS</v>
          </cell>
          <cell r="C2788">
            <v>0</v>
          </cell>
          <cell r="D2788">
            <v>10</v>
          </cell>
          <cell r="E2788">
            <v>20</v>
          </cell>
          <cell r="F2788">
            <v>25</v>
          </cell>
          <cell r="G2788">
            <v>175</v>
          </cell>
          <cell r="J2788" t="str">
            <v>GOLD MILLS</v>
          </cell>
          <cell r="M2788"/>
          <cell r="N2788">
            <v>0</v>
          </cell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</row>
        <row r="2789">
          <cell r="A2789" t="str">
            <v>GOLD MILLS</v>
          </cell>
          <cell r="C2789">
            <v>0</v>
          </cell>
          <cell r="D2789">
            <v>680</v>
          </cell>
          <cell r="E2789">
            <v>450</v>
          </cell>
          <cell r="F2789">
            <v>450</v>
          </cell>
          <cell r="G2789">
            <v>4560</v>
          </cell>
          <cell r="J2789" t="str">
            <v>GOLD MILLS</v>
          </cell>
          <cell r="M2789">
            <v>400</v>
          </cell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</row>
        <row r="2790">
          <cell r="A2790" t="str">
            <v>GOLD MILLS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J2790" t="str">
            <v>GOLD MILLS</v>
          </cell>
          <cell r="M2790"/>
          <cell r="N2790">
            <v>130</v>
          </cell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</row>
        <row r="2791">
          <cell r="A2791" t="str">
            <v>GOLD MILLS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400</v>
          </cell>
          <cell r="J2791" t="str">
            <v>GOLD MILLS</v>
          </cell>
          <cell r="M2791">
            <v>125</v>
          </cell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</row>
        <row r="2792">
          <cell r="A2792" t="str">
            <v>GOLD MILLS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>
            <v>130</v>
          </cell>
          <cell r="J2792" t="str">
            <v>GOLD MILLS</v>
          </cell>
          <cell r="M2792">
            <v>265</v>
          </cell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</row>
        <row r="2793">
          <cell r="A2793" t="str">
            <v>GOLD MILLS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>
            <v>125</v>
          </cell>
          <cell r="J2793" t="str">
            <v>GOLD MILLS</v>
          </cell>
          <cell r="M2793"/>
          <cell r="N2793"/>
          <cell r="O2793">
            <v>105</v>
          </cell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</row>
        <row r="2794">
          <cell r="A2794" t="str">
            <v>GOLD MILLS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265</v>
          </cell>
          <cell r="J2794" t="str">
            <v>CERRO PUNTA, S.A</v>
          </cell>
          <cell r="M2794"/>
          <cell r="N2794"/>
          <cell r="O2794"/>
          <cell r="P2794"/>
          <cell r="Q2794">
            <v>1060</v>
          </cell>
          <cell r="R2794"/>
          <cell r="S2794"/>
          <cell r="T2794"/>
          <cell r="U2794"/>
          <cell r="V2794"/>
          <cell r="W2794"/>
          <cell r="X2794"/>
          <cell r="Y2794"/>
        </row>
        <row r="2795">
          <cell r="A2795" t="str">
            <v>GOLD MILLS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105</v>
          </cell>
          <cell r="J2795" t="str">
            <v>CERRO PUNTA, S.A</v>
          </cell>
          <cell r="M2795"/>
          <cell r="N2795"/>
          <cell r="O2795"/>
          <cell r="P2795"/>
          <cell r="Q2795"/>
          <cell r="R2795">
            <v>180</v>
          </cell>
          <cell r="S2795"/>
          <cell r="T2795"/>
          <cell r="U2795"/>
          <cell r="V2795"/>
          <cell r="W2795"/>
          <cell r="X2795"/>
          <cell r="Y2795"/>
        </row>
        <row r="2796">
          <cell r="A2796" t="str">
            <v>CERRO PUNTA, S.A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1060</v>
          </cell>
          <cell r="J2796" t="str">
            <v>CERRO PUNTA, S.A</v>
          </cell>
          <cell r="M2796"/>
          <cell r="N2796"/>
          <cell r="O2796"/>
          <cell r="P2796"/>
          <cell r="Q2796"/>
          <cell r="R2796"/>
          <cell r="S2796">
            <v>73</v>
          </cell>
          <cell r="T2796"/>
          <cell r="U2796"/>
          <cell r="V2796"/>
          <cell r="W2796"/>
          <cell r="X2796"/>
          <cell r="Y2796"/>
        </row>
        <row r="2797">
          <cell r="A2797" t="str">
            <v>CERRO PUNTA, S.A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180</v>
          </cell>
          <cell r="J2797" t="str">
            <v>CERRO PUNTA, S.A</v>
          </cell>
          <cell r="M2797"/>
          <cell r="N2797"/>
          <cell r="O2797">
            <v>65</v>
          </cell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</row>
        <row r="2798">
          <cell r="A2798" t="str">
            <v>CERRO PUNTA, S.A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73</v>
          </cell>
          <cell r="J2798" t="str">
            <v>CERRO PUNTA, S.A</v>
          </cell>
          <cell r="M2798"/>
          <cell r="N2798">
            <v>70</v>
          </cell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</row>
        <row r="2799">
          <cell r="A2799" t="str">
            <v>CERRO PUNTA, S.A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65</v>
          </cell>
          <cell r="J2799" t="str">
            <v>CERRO PUNTA, S.A</v>
          </cell>
          <cell r="M2799"/>
          <cell r="N2799"/>
          <cell r="O2799">
            <v>1090</v>
          </cell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</row>
        <row r="2800">
          <cell r="A2800" t="str">
            <v>CERRO PUNTA, S.A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70</v>
          </cell>
          <cell r="J2800" t="str">
            <v>CERRO PUNTA, S.A</v>
          </cell>
          <cell r="M2800">
            <v>0</v>
          </cell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</row>
        <row r="2801">
          <cell r="A2801" t="str">
            <v>CERRO PUNTA, S.A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>
            <v>1090</v>
          </cell>
          <cell r="J2801" t="str">
            <v>CERRO PUNTA, S.A</v>
          </cell>
          <cell r="M2801"/>
          <cell r="N2801">
            <v>282</v>
          </cell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</row>
        <row r="2802">
          <cell r="A2802" t="str">
            <v>CERRO PUNTA, S.A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J2802" t="str">
            <v>CERRO PUNTA, S.A</v>
          </cell>
          <cell r="M2802"/>
          <cell r="N2802">
            <v>467</v>
          </cell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</row>
        <row r="2803">
          <cell r="A2803" t="str">
            <v>CERRO PUNTA, S.A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>
            <v>282</v>
          </cell>
          <cell r="J2803" t="str">
            <v>CERRO PUNTA, S.A</v>
          </cell>
          <cell r="M2803"/>
          <cell r="N2803">
            <v>62</v>
          </cell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</row>
        <row r="2804">
          <cell r="A2804" t="str">
            <v>CERRO PUNTA, S.A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467</v>
          </cell>
          <cell r="J2804" t="str">
            <v>CERRO PUNTA, S.A</v>
          </cell>
          <cell r="M2804"/>
          <cell r="N2804"/>
          <cell r="O2804">
            <v>116</v>
          </cell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</row>
        <row r="2805">
          <cell r="A2805" t="str">
            <v>CERRO PUNTA, S.A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>
            <v>62</v>
          </cell>
          <cell r="J2805" t="str">
            <v>CERRO PUNTA, S.A</v>
          </cell>
          <cell r="M2805"/>
          <cell r="N2805"/>
          <cell r="O2805">
            <v>138</v>
          </cell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</row>
        <row r="2806">
          <cell r="A2806" t="str">
            <v>CERRO PUNTA, S.A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116</v>
          </cell>
          <cell r="J2806" t="str">
            <v>CERRO PUNTA, S.A</v>
          </cell>
          <cell r="M2806"/>
          <cell r="N2806">
            <v>147</v>
          </cell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</row>
        <row r="2807">
          <cell r="A2807" t="str">
            <v>CERRO PUNTA, S.A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>
            <v>138</v>
          </cell>
          <cell r="J2807" t="str">
            <v>CERRO PUNTA, S.A</v>
          </cell>
          <cell r="M2807"/>
          <cell r="N2807"/>
          <cell r="O2807"/>
          <cell r="P2807"/>
          <cell r="Q2807"/>
          <cell r="R2807"/>
          <cell r="S2807"/>
          <cell r="T2807">
            <v>73</v>
          </cell>
          <cell r="U2807"/>
          <cell r="V2807"/>
          <cell r="W2807"/>
          <cell r="X2807"/>
          <cell r="Y2807"/>
        </row>
        <row r="2808">
          <cell r="A2808" t="str">
            <v>CERRO PUNTA, S.A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147</v>
          </cell>
          <cell r="J2808" t="str">
            <v>CERRO PUNTA, S.A</v>
          </cell>
          <cell r="M2808">
            <v>150</v>
          </cell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</row>
        <row r="2809">
          <cell r="A2809" t="str">
            <v>CERRO PUNTA, S.A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73</v>
          </cell>
          <cell r="J2809" t="str">
            <v>CERRO PUNTA, S.A</v>
          </cell>
          <cell r="M2809"/>
          <cell r="N2809">
            <v>103</v>
          </cell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</row>
        <row r="2810">
          <cell r="A2810" t="str">
            <v>CERRO PUNTA, S.A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150</v>
          </cell>
          <cell r="J2810" t="str">
            <v>CERRO PUNTA, S.A</v>
          </cell>
          <cell r="M2810"/>
          <cell r="N2810">
            <v>75</v>
          </cell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</row>
        <row r="2811">
          <cell r="A2811" t="str">
            <v>CERRO PUNTA, S.A</v>
          </cell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G2811">
            <v>103</v>
          </cell>
          <cell r="J2811" t="str">
            <v>CERRO PUNTA, S.A</v>
          </cell>
          <cell r="M2811"/>
          <cell r="N2811"/>
          <cell r="O2811"/>
          <cell r="P2811"/>
          <cell r="Q2811"/>
          <cell r="R2811"/>
          <cell r="S2811">
            <v>152</v>
          </cell>
          <cell r="T2811"/>
          <cell r="U2811"/>
          <cell r="V2811"/>
          <cell r="W2811"/>
          <cell r="X2811"/>
          <cell r="Y2811"/>
        </row>
        <row r="2812">
          <cell r="A2812" t="str">
            <v>CERRO PUNTA, S.A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75</v>
          </cell>
          <cell r="J2812" t="str">
            <v>CERRO PUNTA, S.A</v>
          </cell>
          <cell r="M2812">
            <v>910</v>
          </cell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</row>
        <row r="2813">
          <cell r="A2813" t="str">
            <v>CERRO PUNTA, S.A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>
            <v>152</v>
          </cell>
          <cell r="J2813" t="str">
            <v>CERRO PUNTA, S.A</v>
          </cell>
          <cell r="M2813">
            <v>400</v>
          </cell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</row>
        <row r="2814">
          <cell r="A2814" t="str">
            <v>CERRO PUNTA, S.A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910</v>
          </cell>
          <cell r="J2814" t="str">
            <v>CERRO PUNTA, S.A</v>
          </cell>
          <cell r="M2814"/>
          <cell r="N2814">
            <v>230</v>
          </cell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</row>
        <row r="2815">
          <cell r="A2815" t="str">
            <v>CERRO PUNTA, S.A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>
            <v>400</v>
          </cell>
          <cell r="J2815" t="str">
            <v>CERRO PUNTA, S.A</v>
          </cell>
          <cell r="M2815"/>
          <cell r="N2815">
            <v>510</v>
          </cell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</row>
        <row r="2816">
          <cell r="A2816" t="str">
            <v>CERRO PUNTA, S.A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230</v>
          </cell>
          <cell r="J2816" t="str">
            <v>CERRO PUNTA, S.A</v>
          </cell>
          <cell r="M2816"/>
          <cell r="N2816">
            <v>97</v>
          </cell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</row>
        <row r="2817">
          <cell r="A2817" t="str">
            <v>CERRO PUNTA, S.A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>
            <v>510</v>
          </cell>
          <cell r="J2817" t="str">
            <v>CERRO PUNTA, S.A</v>
          </cell>
          <cell r="M2817">
            <v>25</v>
          </cell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</row>
        <row r="2818">
          <cell r="A2818" t="str">
            <v>CERRO PUNTA, S.A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>
            <v>97</v>
          </cell>
          <cell r="J2818" t="str">
            <v>CERRO PUNTA, S.A</v>
          </cell>
          <cell r="M2818"/>
          <cell r="N2818"/>
          <cell r="O2818">
            <v>240</v>
          </cell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</row>
        <row r="2819">
          <cell r="A2819" t="str">
            <v>CERRO PUNTA, S.A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>
            <v>25</v>
          </cell>
          <cell r="J2819" t="str">
            <v>MARTIN BROWER</v>
          </cell>
          <cell r="M2819"/>
          <cell r="N2819">
            <v>100</v>
          </cell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</row>
        <row r="2820">
          <cell r="A2820" t="str">
            <v>CERRO PUNTA, S.A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>
            <v>240</v>
          </cell>
          <cell r="J2820" t="str">
            <v>MARTIN BROWER</v>
          </cell>
          <cell r="M2820"/>
          <cell r="N2820"/>
          <cell r="O2820"/>
          <cell r="P2820"/>
          <cell r="Q2820">
            <v>1060</v>
          </cell>
          <cell r="R2820"/>
          <cell r="S2820"/>
          <cell r="T2820"/>
          <cell r="U2820"/>
          <cell r="V2820"/>
          <cell r="W2820"/>
          <cell r="X2820"/>
          <cell r="Y2820"/>
        </row>
        <row r="2821">
          <cell r="A2821" t="str">
            <v>MARTIN BROWER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>
            <v>100</v>
          </cell>
          <cell r="J2821" t="str">
            <v>MARTIN BROWER</v>
          </cell>
          <cell r="M2821"/>
          <cell r="N2821">
            <v>100</v>
          </cell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</row>
        <row r="2822">
          <cell r="A2822" t="str">
            <v>MARTIN BROWER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>
            <v>1060</v>
          </cell>
          <cell r="J2822" t="str">
            <v>MARTIN BROWER</v>
          </cell>
          <cell r="M2822"/>
          <cell r="N2822">
            <v>250</v>
          </cell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</row>
        <row r="2823">
          <cell r="A2823" t="str">
            <v>MARTIN BROWER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100</v>
          </cell>
          <cell r="J2823" t="str">
            <v>MARTIN BROWER</v>
          </cell>
          <cell r="M2823"/>
          <cell r="N2823"/>
          <cell r="O2823"/>
          <cell r="P2823"/>
          <cell r="Q2823"/>
          <cell r="R2823">
            <v>180</v>
          </cell>
          <cell r="S2823"/>
          <cell r="T2823"/>
          <cell r="U2823"/>
          <cell r="V2823"/>
          <cell r="W2823"/>
          <cell r="X2823"/>
          <cell r="Y2823"/>
        </row>
        <row r="2824">
          <cell r="A2824" t="str">
            <v>MARTIN BROWER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250</v>
          </cell>
          <cell r="J2824" t="str">
            <v>MARTIN BROWER</v>
          </cell>
          <cell r="M2824"/>
          <cell r="N2824"/>
          <cell r="O2824">
            <v>65</v>
          </cell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</row>
        <row r="2825">
          <cell r="A2825" t="str">
            <v>MARTIN BROWER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>
            <v>180</v>
          </cell>
          <cell r="J2825" t="str">
            <v>MARTIN BROWER</v>
          </cell>
          <cell r="M2825"/>
          <cell r="N2825">
            <v>70</v>
          </cell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</row>
        <row r="2826">
          <cell r="A2826" t="str">
            <v>MARTIN BROWER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>
            <v>65</v>
          </cell>
          <cell r="J2826" t="str">
            <v>MARTIN BROWER</v>
          </cell>
          <cell r="M2826"/>
          <cell r="N2826"/>
          <cell r="O2826">
            <v>1090</v>
          </cell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</row>
        <row r="2827">
          <cell r="A2827" t="str">
            <v>MARTIN BROWER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70</v>
          </cell>
          <cell r="J2827" t="str">
            <v>MARTIN BROWER</v>
          </cell>
          <cell r="M2827">
            <v>0</v>
          </cell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</row>
        <row r="2828">
          <cell r="A2828" t="str">
            <v>MARTIN BROWER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1090</v>
          </cell>
          <cell r="J2828" t="str">
            <v>MARTIN BROWER</v>
          </cell>
          <cell r="M2828"/>
          <cell r="N2828">
            <v>282</v>
          </cell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</row>
        <row r="2829">
          <cell r="A2829" t="str">
            <v>MARTIN BROWER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J2829" t="str">
            <v>MARTIN BROWER</v>
          </cell>
          <cell r="M2829"/>
          <cell r="N2829">
            <v>467</v>
          </cell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</row>
        <row r="2830">
          <cell r="A2830" t="str">
            <v>MARTIN BROWER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282</v>
          </cell>
          <cell r="J2830" t="str">
            <v>MARTIN BROWER</v>
          </cell>
          <cell r="M2830"/>
          <cell r="N2830">
            <v>38</v>
          </cell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</row>
        <row r="2831">
          <cell r="A2831" t="str">
            <v>MARTIN BROWER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467</v>
          </cell>
          <cell r="J2831" t="str">
            <v>MARTIN BROWER</v>
          </cell>
          <cell r="M2831"/>
          <cell r="N2831">
            <v>70</v>
          </cell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</row>
        <row r="2832">
          <cell r="A2832" t="str">
            <v>MARTIN BROWER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>
            <v>38</v>
          </cell>
          <cell r="J2832" t="str">
            <v>MARTIN BROWER</v>
          </cell>
          <cell r="M2832"/>
          <cell r="N2832">
            <v>243</v>
          </cell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</row>
        <row r="2833">
          <cell r="A2833" t="str">
            <v>MARTIN BROWER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>
            <v>70</v>
          </cell>
          <cell r="J2833" t="str">
            <v>MARTIN BROWER</v>
          </cell>
          <cell r="M2833"/>
          <cell r="N2833">
            <v>62</v>
          </cell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</row>
        <row r="2834">
          <cell r="A2834" t="str">
            <v>MARTIN BROWER</v>
          </cell>
          <cell r="C2834">
            <v>0</v>
          </cell>
          <cell r="D2834">
            <v>13</v>
          </cell>
          <cell r="E2834">
            <v>37</v>
          </cell>
          <cell r="F2834">
            <v>28</v>
          </cell>
          <cell r="G2834">
            <v>243</v>
          </cell>
          <cell r="J2834" t="str">
            <v>MARTIN BROWER</v>
          </cell>
          <cell r="M2834"/>
          <cell r="N2834"/>
          <cell r="O2834">
            <v>116</v>
          </cell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</row>
        <row r="2835">
          <cell r="A2835" t="str">
            <v>MARTIN BROWER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>
            <v>62</v>
          </cell>
          <cell r="J2835" t="str">
            <v>MARTIN BROWER</v>
          </cell>
          <cell r="M2835"/>
          <cell r="N2835">
            <v>542</v>
          </cell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</row>
        <row r="2836">
          <cell r="A2836" t="str">
            <v>MARTIN BROWER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116</v>
          </cell>
          <cell r="J2836" t="str">
            <v>MARTIN BROWER</v>
          </cell>
          <cell r="M2836"/>
          <cell r="N2836"/>
          <cell r="O2836"/>
          <cell r="P2836"/>
          <cell r="Q2836"/>
          <cell r="R2836"/>
          <cell r="S2836">
            <v>211</v>
          </cell>
          <cell r="T2836"/>
          <cell r="U2836"/>
          <cell r="V2836"/>
          <cell r="W2836"/>
          <cell r="X2836"/>
          <cell r="Y2836"/>
        </row>
        <row r="2837">
          <cell r="A2837" t="str">
            <v>MARTIN BROWER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>
            <v>542</v>
          </cell>
          <cell r="J2837" t="str">
            <v>MARTIN BROWER</v>
          </cell>
          <cell r="M2837"/>
          <cell r="N2837">
            <v>147</v>
          </cell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</row>
        <row r="2838">
          <cell r="A2838" t="str">
            <v>MARTIN BROWER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>
            <v>211</v>
          </cell>
          <cell r="J2838" t="str">
            <v>MARTIN BROWER</v>
          </cell>
          <cell r="M2838">
            <v>155</v>
          </cell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</row>
        <row r="2839">
          <cell r="A2839" t="str">
            <v>MARTIN BROWER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>
            <v>147</v>
          </cell>
          <cell r="J2839" t="str">
            <v>MARTIN BROWER</v>
          </cell>
          <cell r="M2839">
            <v>100</v>
          </cell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</row>
        <row r="2840">
          <cell r="A2840" t="str">
            <v>MARTIN BROWER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>
            <v>155</v>
          </cell>
          <cell r="J2840" t="str">
            <v>MARTIN BROWER</v>
          </cell>
          <cell r="M2840"/>
          <cell r="N2840"/>
          <cell r="O2840"/>
          <cell r="P2840"/>
          <cell r="Q2840">
            <v>57</v>
          </cell>
          <cell r="R2840"/>
          <cell r="S2840"/>
          <cell r="T2840"/>
          <cell r="U2840"/>
          <cell r="V2840"/>
          <cell r="W2840"/>
          <cell r="X2840"/>
          <cell r="Y2840"/>
        </row>
        <row r="2841">
          <cell r="A2841" t="str">
            <v>MARTIN BROWER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>
            <v>100</v>
          </cell>
          <cell r="J2841" t="str">
            <v>MARTIN BROWER</v>
          </cell>
          <cell r="M2841"/>
          <cell r="N2841"/>
          <cell r="O2841"/>
          <cell r="P2841"/>
          <cell r="Q2841"/>
          <cell r="R2841"/>
          <cell r="S2841">
            <v>179</v>
          </cell>
          <cell r="T2841"/>
          <cell r="U2841"/>
          <cell r="V2841"/>
          <cell r="W2841"/>
          <cell r="X2841"/>
          <cell r="Y2841"/>
        </row>
        <row r="2842">
          <cell r="A2842" t="str">
            <v>MARTIN BROWER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57</v>
          </cell>
          <cell r="J2842" t="str">
            <v>MARTIN BROWER</v>
          </cell>
          <cell r="M2842"/>
          <cell r="N2842">
            <v>50</v>
          </cell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</row>
        <row r="2843">
          <cell r="A2843" t="str">
            <v>MARTIN BROWER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>
            <v>179</v>
          </cell>
          <cell r="J2843" t="str">
            <v>MARTIN BROWER</v>
          </cell>
          <cell r="M2843"/>
          <cell r="N2843">
            <v>86</v>
          </cell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</row>
        <row r="2844">
          <cell r="A2844" t="str">
            <v>MARTIN BROWER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>
            <v>50</v>
          </cell>
          <cell r="J2844" t="str">
            <v>MARTIN BROWER</v>
          </cell>
          <cell r="M2844">
            <v>201</v>
          </cell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</row>
        <row r="2845">
          <cell r="A2845" t="str">
            <v>MARTIN BROWER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>
            <v>86</v>
          </cell>
          <cell r="J2845" t="str">
            <v>MARTIN BROWER</v>
          </cell>
          <cell r="M2845"/>
          <cell r="N2845"/>
          <cell r="O2845"/>
          <cell r="P2845"/>
          <cell r="Q2845"/>
          <cell r="R2845">
            <v>181</v>
          </cell>
          <cell r="S2845"/>
          <cell r="T2845"/>
          <cell r="U2845"/>
          <cell r="V2845"/>
          <cell r="W2845"/>
          <cell r="X2845"/>
          <cell r="Y2845"/>
        </row>
        <row r="2846">
          <cell r="A2846" t="str">
            <v>MARTIN BROWER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201</v>
          </cell>
          <cell r="J2846" t="str">
            <v>MARTIN BROWER</v>
          </cell>
          <cell r="M2846"/>
          <cell r="N2846">
            <v>201</v>
          </cell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</row>
        <row r="2847">
          <cell r="A2847" t="str">
            <v>MARTIN BROWER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>
            <v>181</v>
          </cell>
          <cell r="J2847" t="str">
            <v>MARTIN BROWER</v>
          </cell>
          <cell r="M2847"/>
          <cell r="N2847">
            <v>0</v>
          </cell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</row>
        <row r="2848">
          <cell r="A2848" t="str">
            <v>MARTIN BROWER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>
            <v>201</v>
          </cell>
          <cell r="J2848" t="str">
            <v>MARTIN BROWER</v>
          </cell>
          <cell r="M2848"/>
          <cell r="N2848">
            <v>284</v>
          </cell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</row>
        <row r="2849">
          <cell r="A2849" t="str">
            <v>MARTIN BROWER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J2849" t="str">
            <v>MARTIN BROWER</v>
          </cell>
          <cell r="M2849">
            <v>150</v>
          </cell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</row>
        <row r="2850">
          <cell r="A2850" t="str">
            <v>MARTIN BROWER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>
            <v>284</v>
          </cell>
          <cell r="J2850" t="str">
            <v>MARTIN BROWER</v>
          </cell>
          <cell r="M2850"/>
          <cell r="N2850"/>
          <cell r="O2850">
            <v>1200</v>
          </cell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</row>
        <row r="2851">
          <cell r="A2851" t="str">
            <v>MARTIN BROWER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150</v>
          </cell>
          <cell r="J2851" t="str">
            <v>MARTIN BROWER</v>
          </cell>
          <cell r="M2851"/>
          <cell r="N2851">
            <v>20</v>
          </cell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</row>
        <row r="2852">
          <cell r="A2852" t="str">
            <v>MARTIN BROWER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>
            <v>1200</v>
          </cell>
          <cell r="J2852" t="str">
            <v>MARTIN BROWER</v>
          </cell>
          <cell r="M2852">
            <v>390</v>
          </cell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</row>
        <row r="2853">
          <cell r="A2853" t="str">
            <v>MARTIN BROWER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>
            <v>20</v>
          </cell>
          <cell r="J2853" t="str">
            <v>MARTIN BROWER</v>
          </cell>
          <cell r="M2853"/>
          <cell r="N2853">
            <v>90</v>
          </cell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</row>
        <row r="2854">
          <cell r="A2854" t="str">
            <v>MARTIN BROWER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G2854">
            <v>390</v>
          </cell>
          <cell r="J2854" t="str">
            <v>MARTIN BROWER</v>
          </cell>
          <cell r="M2854"/>
          <cell r="N2854">
            <v>84</v>
          </cell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</row>
        <row r="2855">
          <cell r="A2855" t="str">
            <v>MARTIN BROWER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>
            <v>90</v>
          </cell>
          <cell r="J2855" t="str">
            <v>MARTIN BROWER</v>
          </cell>
          <cell r="M2855"/>
          <cell r="N2855">
            <v>205</v>
          </cell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</row>
        <row r="2856">
          <cell r="A2856" t="str">
            <v>MARTIN BROWER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84</v>
          </cell>
          <cell r="J2856" t="str">
            <v>MARTIN BROWER</v>
          </cell>
          <cell r="M2856"/>
          <cell r="N2856">
            <v>0</v>
          </cell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</row>
        <row r="2857">
          <cell r="A2857" t="str">
            <v>MARTIN BROWER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205</v>
          </cell>
          <cell r="J2857" t="str">
            <v>MARTIN BROWER</v>
          </cell>
          <cell r="M2857"/>
          <cell r="N2857">
            <v>165</v>
          </cell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</row>
        <row r="2858">
          <cell r="A2858" t="str">
            <v>MARTIN BROWER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J2858" t="str">
            <v>MARTIN BROWER</v>
          </cell>
          <cell r="M2858"/>
          <cell r="N2858">
            <v>60</v>
          </cell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</row>
        <row r="2859">
          <cell r="A2859" t="str">
            <v>MARTIN BROWER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165</v>
          </cell>
          <cell r="J2859" t="str">
            <v>MARTIN BROWER</v>
          </cell>
          <cell r="M2859"/>
          <cell r="N2859"/>
          <cell r="O2859">
            <v>219</v>
          </cell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</row>
        <row r="2860">
          <cell r="A2860" t="str">
            <v>MARTIN BROWER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60</v>
          </cell>
          <cell r="J2860" t="str">
            <v>MARTIN BROWER</v>
          </cell>
          <cell r="M2860"/>
          <cell r="N2860"/>
          <cell r="O2860"/>
          <cell r="P2860"/>
          <cell r="Q2860">
            <v>83</v>
          </cell>
          <cell r="R2860"/>
          <cell r="S2860"/>
          <cell r="T2860"/>
          <cell r="U2860"/>
          <cell r="V2860"/>
          <cell r="W2860"/>
          <cell r="X2860"/>
          <cell r="Y2860"/>
        </row>
        <row r="2861">
          <cell r="A2861" t="str">
            <v>MARTIN BROWER</v>
          </cell>
          <cell r="C2861">
            <v>0</v>
          </cell>
          <cell r="D2861">
            <v>16</v>
          </cell>
          <cell r="E2861">
            <v>19</v>
          </cell>
          <cell r="F2861">
            <v>19</v>
          </cell>
          <cell r="G2861">
            <v>219</v>
          </cell>
          <cell r="J2861" t="str">
            <v>MARTIN BROWER</v>
          </cell>
          <cell r="M2861"/>
          <cell r="N2861"/>
          <cell r="O2861"/>
          <cell r="P2861"/>
          <cell r="Q2861">
            <v>60</v>
          </cell>
          <cell r="R2861"/>
          <cell r="S2861"/>
          <cell r="T2861"/>
          <cell r="U2861"/>
          <cell r="V2861"/>
          <cell r="W2861"/>
          <cell r="X2861"/>
          <cell r="Y2861"/>
        </row>
        <row r="2862">
          <cell r="A2862" t="str">
            <v>MARTIN BROWER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>
            <v>83</v>
          </cell>
          <cell r="J2862" t="str">
            <v>MARTIN BROWER</v>
          </cell>
          <cell r="M2862"/>
          <cell r="N2862"/>
          <cell r="O2862"/>
          <cell r="P2862"/>
          <cell r="Q2862">
            <v>496</v>
          </cell>
          <cell r="R2862"/>
          <cell r="S2862"/>
          <cell r="T2862"/>
          <cell r="U2862"/>
          <cell r="V2862"/>
          <cell r="W2862"/>
          <cell r="X2862"/>
          <cell r="Y2862"/>
        </row>
        <row r="2863">
          <cell r="A2863" t="str">
            <v>MARTIN BROWER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>
            <v>60</v>
          </cell>
          <cell r="J2863" t="str">
            <v>MARTIN BROWER</v>
          </cell>
          <cell r="M2863">
            <v>400</v>
          </cell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</row>
        <row r="2864">
          <cell r="A2864" t="str">
            <v>MARTIN BROWER</v>
          </cell>
          <cell r="C2864">
            <v>73</v>
          </cell>
          <cell r="D2864">
            <v>0</v>
          </cell>
          <cell r="E2864">
            <v>0</v>
          </cell>
          <cell r="F2864">
            <v>0</v>
          </cell>
          <cell r="G2864">
            <v>496</v>
          </cell>
          <cell r="J2864" t="str">
            <v>MARTIN BROWER</v>
          </cell>
          <cell r="M2864"/>
          <cell r="N2864"/>
          <cell r="O2864">
            <v>34</v>
          </cell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</row>
        <row r="2865">
          <cell r="A2865" t="str">
            <v>MARTIN BROWER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400</v>
          </cell>
          <cell r="J2865" t="str">
            <v>MARTIN BROWER</v>
          </cell>
          <cell r="M2865"/>
          <cell r="N2865">
            <v>230</v>
          </cell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</row>
        <row r="2866">
          <cell r="A2866" t="str">
            <v>MARTIN BROWER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34</v>
          </cell>
          <cell r="J2866" t="str">
            <v>MARTIN BROWER</v>
          </cell>
          <cell r="M2866">
            <v>352</v>
          </cell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</row>
        <row r="2867">
          <cell r="A2867" t="str">
            <v>MARTIN BROWER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>
            <v>230</v>
          </cell>
          <cell r="J2867" t="str">
            <v>MARTIN BROWER</v>
          </cell>
          <cell r="M2867"/>
          <cell r="N2867">
            <v>510</v>
          </cell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</row>
        <row r="2868">
          <cell r="A2868" t="str">
            <v>MARTIN BROWER</v>
          </cell>
          <cell r="C2868">
            <v>225</v>
          </cell>
          <cell r="D2868">
            <v>0</v>
          </cell>
          <cell r="E2868">
            <v>0</v>
          </cell>
          <cell r="F2868">
            <v>0</v>
          </cell>
          <cell r="G2868">
            <v>352</v>
          </cell>
          <cell r="J2868" t="str">
            <v>MARTIN BROWER</v>
          </cell>
          <cell r="M2868"/>
          <cell r="N2868">
            <v>97</v>
          </cell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</row>
        <row r="2869">
          <cell r="A2869" t="str">
            <v>MARTIN BROWER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>
            <v>510</v>
          </cell>
          <cell r="J2869" t="str">
            <v>MARTIN BROWER</v>
          </cell>
          <cell r="M2869">
            <v>1350</v>
          </cell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</row>
        <row r="2870">
          <cell r="A2870" t="str">
            <v>MARTIN BROWER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>
            <v>97</v>
          </cell>
          <cell r="J2870" t="str">
            <v>MARTIN BROWER</v>
          </cell>
          <cell r="M2870">
            <v>77</v>
          </cell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</row>
        <row r="2871">
          <cell r="A2871" t="str">
            <v>MARTIN BROWER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>
            <v>1350</v>
          </cell>
          <cell r="J2871" t="str">
            <v>MARTIN BROWER</v>
          </cell>
          <cell r="M2871"/>
          <cell r="N2871">
            <v>130</v>
          </cell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</row>
        <row r="2872">
          <cell r="A2872" t="str">
            <v>MARTIN BROWER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>
            <v>77</v>
          </cell>
          <cell r="J2872" t="str">
            <v>MARTIN BROWER</v>
          </cell>
          <cell r="M2872">
            <v>125</v>
          </cell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</row>
        <row r="2873">
          <cell r="A2873" t="str">
            <v>MARTIN BROWER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130</v>
          </cell>
          <cell r="J2873" t="str">
            <v>MARTIN BROWER</v>
          </cell>
          <cell r="M2873"/>
          <cell r="N2873"/>
          <cell r="O2873">
            <v>0</v>
          </cell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</row>
        <row r="2874">
          <cell r="A2874" t="str">
            <v>MARTIN BROWER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125</v>
          </cell>
          <cell r="J2874" t="str">
            <v>MARTIN BROWER</v>
          </cell>
          <cell r="M2874">
            <v>209</v>
          </cell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</row>
        <row r="2875">
          <cell r="A2875" t="str">
            <v>MARTIN BROWER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J2875" t="str">
            <v>MARTIN BROWER</v>
          </cell>
          <cell r="M2875">
            <v>0</v>
          </cell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</row>
        <row r="2876">
          <cell r="A2876" t="str">
            <v>MARTIN BROWER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209</v>
          </cell>
          <cell r="J2876" t="str">
            <v>MARTIN BROWER</v>
          </cell>
          <cell r="M2876"/>
          <cell r="N2876"/>
          <cell r="O2876"/>
          <cell r="P2876"/>
          <cell r="Q2876"/>
          <cell r="R2876"/>
          <cell r="S2876">
            <v>150</v>
          </cell>
          <cell r="T2876"/>
          <cell r="U2876"/>
          <cell r="V2876"/>
          <cell r="W2876"/>
          <cell r="X2876"/>
          <cell r="Y2876"/>
        </row>
        <row r="2877">
          <cell r="A2877" t="str">
            <v>MARTIN BROWER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J2877" t="str">
            <v>MARTIN BROWER</v>
          </cell>
          <cell r="M2877"/>
          <cell r="N2877">
            <v>6</v>
          </cell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</row>
        <row r="2878">
          <cell r="A2878" t="str">
            <v>MARTIN BROWER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>
            <v>150</v>
          </cell>
          <cell r="J2878" t="str">
            <v>MARTIN BROWER</v>
          </cell>
          <cell r="M2878"/>
          <cell r="N2878"/>
          <cell r="O2878"/>
          <cell r="P2878"/>
          <cell r="Q2878"/>
          <cell r="R2878">
            <v>0</v>
          </cell>
          <cell r="S2878"/>
          <cell r="T2878"/>
          <cell r="U2878"/>
          <cell r="V2878"/>
          <cell r="W2878"/>
          <cell r="X2878"/>
          <cell r="Y2878"/>
        </row>
        <row r="2879">
          <cell r="A2879" t="str">
            <v>MARTIN BROWER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6</v>
          </cell>
          <cell r="J2879" t="str">
            <v>MARTIN BROWER</v>
          </cell>
          <cell r="M2879"/>
          <cell r="N2879"/>
          <cell r="O2879"/>
          <cell r="P2879">
            <v>173</v>
          </cell>
          <cell r="Q2879"/>
          <cell r="R2879"/>
          <cell r="S2879"/>
          <cell r="T2879"/>
          <cell r="U2879"/>
          <cell r="V2879"/>
          <cell r="W2879"/>
          <cell r="X2879"/>
          <cell r="Y2879"/>
        </row>
        <row r="2880">
          <cell r="A2880" t="str">
            <v>MARTIN BROWER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J2880" t="str">
            <v>MARTIN BROWER</v>
          </cell>
          <cell r="M2880"/>
          <cell r="N2880"/>
          <cell r="O2880"/>
          <cell r="P2880"/>
          <cell r="Q2880"/>
          <cell r="R2880"/>
          <cell r="S2880"/>
          <cell r="T2880"/>
          <cell r="U2880"/>
          <cell r="V2880">
            <v>0</v>
          </cell>
          <cell r="W2880"/>
          <cell r="X2880"/>
          <cell r="Y2880"/>
        </row>
        <row r="2881">
          <cell r="A2881" t="str">
            <v>MARTIN BROWER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173</v>
          </cell>
          <cell r="J2881" t="str">
            <v>MARTIN BROWER</v>
          </cell>
          <cell r="M2881"/>
          <cell r="N2881">
            <v>110</v>
          </cell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</row>
        <row r="2882">
          <cell r="A2882" t="str">
            <v>MARTIN BROWER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J2882" t="str">
            <v>MARTIN BROWER</v>
          </cell>
          <cell r="M2882">
            <v>52</v>
          </cell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</row>
        <row r="2883">
          <cell r="A2883" t="str">
            <v>MARTIN BROWER</v>
          </cell>
          <cell r="C2883">
            <v>0</v>
          </cell>
          <cell r="D2883">
            <v>35</v>
          </cell>
          <cell r="E2883">
            <v>0</v>
          </cell>
          <cell r="F2883">
            <v>0</v>
          </cell>
          <cell r="G2883">
            <v>110</v>
          </cell>
          <cell r="J2883" t="str">
            <v>MERCALIMENTOS PANAMA, S.A</v>
          </cell>
          <cell r="M2883">
            <v>325</v>
          </cell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</row>
        <row r="2884">
          <cell r="A2884" t="str">
            <v>MARTIN BROWER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>
            <v>52</v>
          </cell>
          <cell r="J2884" t="str">
            <v>MERCALIMENTOS PANAMA, S.A</v>
          </cell>
          <cell r="M2884"/>
          <cell r="N2884"/>
          <cell r="O2884">
            <v>30</v>
          </cell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</row>
        <row r="2885">
          <cell r="A2885" t="str">
            <v>MERCALIMENTOS PANAMA, S.A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325</v>
          </cell>
          <cell r="J2885" t="str">
            <v>MERCALIMENTOS PANAMA, S.A</v>
          </cell>
          <cell r="M2885"/>
          <cell r="N2885"/>
          <cell r="O2885"/>
          <cell r="P2885">
            <v>102</v>
          </cell>
          <cell r="Q2885"/>
          <cell r="R2885"/>
          <cell r="S2885"/>
          <cell r="T2885"/>
          <cell r="U2885"/>
          <cell r="V2885"/>
          <cell r="W2885"/>
          <cell r="X2885"/>
          <cell r="Y2885"/>
        </row>
        <row r="2886">
          <cell r="A2886" t="str">
            <v>MERCALIMENTOS PANAMA, S.A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30</v>
          </cell>
          <cell r="J2886" t="str">
            <v>MERCALIMENTOS PANAMA, S.A</v>
          </cell>
          <cell r="M2886"/>
          <cell r="N2886"/>
          <cell r="O2886">
            <v>180</v>
          </cell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</row>
        <row r="2887">
          <cell r="A2887" t="str">
            <v>MERCALIMENTOS PANAMA, S.A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102</v>
          </cell>
          <cell r="J2887" t="str">
            <v>MERCALIMENTOS PANAMA, S.A</v>
          </cell>
          <cell r="M2887"/>
          <cell r="N2887">
            <v>70</v>
          </cell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</row>
        <row r="2888">
          <cell r="A2888" t="str">
            <v>MERCALIMENTOS PANAMA, S.A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180</v>
          </cell>
          <cell r="J2888" t="str">
            <v>MERCALIMENTOS PANAMA, S.A</v>
          </cell>
          <cell r="M2888"/>
          <cell r="N2888"/>
          <cell r="O2888"/>
          <cell r="P2888"/>
          <cell r="Q2888">
            <v>1060</v>
          </cell>
          <cell r="R2888"/>
          <cell r="S2888"/>
          <cell r="T2888"/>
          <cell r="U2888"/>
          <cell r="V2888"/>
          <cell r="W2888"/>
          <cell r="X2888"/>
          <cell r="Y2888"/>
        </row>
        <row r="2889">
          <cell r="A2889" t="str">
            <v>MERCALIMENTOS PANAMA, S.A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>
            <v>70</v>
          </cell>
          <cell r="J2889" t="str">
            <v>MERCALIMENTOS PANAMA, S.A</v>
          </cell>
          <cell r="M2889"/>
          <cell r="N2889">
            <v>100</v>
          </cell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</row>
        <row r="2890">
          <cell r="A2890" t="str">
            <v>MERCALIMENTOS PANAMA, S.A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1060</v>
          </cell>
          <cell r="J2890" t="str">
            <v>MERCALIMENTOS PANAMA, S.A</v>
          </cell>
          <cell r="M2890"/>
          <cell r="N2890"/>
          <cell r="O2890"/>
          <cell r="P2890"/>
          <cell r="Q2890"/>
          <cell r="R2890">
            <v>180</v>
          </cell>
          <cell r="S2890"/>
          <cell r="T2890"/>
          <cell r="U2890"/>
          <cell r="V2890"/>
          <cell r="W2890"/>
          <cell r="X2890"/>
          <cell r="Y2890"/>
        </row>
        <row r="2891">
          <cell r="A2891" t="str">
            <v>MERCALIMENTOS PANAMA, S.A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100</v>
          </cell>
          <cell r="J2891" t="str">
            <v>MERCALIMENTOS PANAMA, S.A</v>
          </cell>
          <cell r="M2891"/>
          <cell r="N2891"/>
          <cell r="O2891"/>
          <cell r="P2891"/>
          <cell r="Q2891"/>
          <cell r="R2891">
            <v>40</v>
          </cell>
          <cell r="S2891"/>
          <cell r="T2891"/>
          <cell r="U2891"/>
          <cell r="V2891"/>
          <cell r="W2891"/>
          <cell r="X2891"/>
          <cell r="Y2891"/>
        </row>
        <row r="2892">
          <cell r="A2892" t="str">
            <v>MERCALIMENTOS PANAMA, S.A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180</v>
          </cell>
          <cell r="J2892" t="str">
            <v>MERCALIMENTOS PANAMA, S.A</v>
          </cell>
          <cell r="M2892"/>
          <cell r="N2892"/>
          <cell r="O2892"/>
          <cell r="P2892"/>
          <cell r="Q2892"/>
          <cell r="R2892"/>
          <cell r="S2892">
            <v>73</v>
          </cell>
          <cell r="T2892"/>
          <cell r="U2892"/>
          <cell r="V2892"/>
          <cell r="W2892"/>
          <cell r="X2892"/>
          <cell r="Y2892"/>
        </row>
        <row r="2893">
          <cell r="A2893" t="str">
            <v>MERCALIMENTOS PANAMA, S.A</v>
          </cell>
          <cell r="C2893">
            <v>40</v>
          </cell>
          <cell r="D2893">
            <v>0</v>
          </cell>
          <cell r="E2893">
            <v>0</v>
          </cell>
          <cell r="F2893">
            <v>0</v>
          </cell>
          <cell r="G2893">
            <v>40</v>
          </cell>
          <cell r="J2893" t="str">
            <v>MERCALIMENTOS PANAMA, S.A</v>
          </cell>
          <cell r="M2893"/>
          <cell r="N2893"/>
          <cell r="O2893">
            <v>65</v>
          </cell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</row>
        <row r="2894">
          <cell r="A2894" t="str">
            <v>MERCALIMENTOS PANAMA, S.A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>
            <v>73</v>
          </cell>
          <cell r="J2894" t="str">
            <v>MERCALIMENTOS PANAMA, S.A</v>
          </cell>
          <cell r="M2894"/>
          <cell r="N2894">
            <v>70</v>
          </cell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</row>
        <row r="2895">
          <cell r="A2895" t="str">
            <v>MERCALIMENTOS PANAMA, S.A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65</v>
          </cell>
          <cell r="J2895" t="str">
            <v>MERCALIMENTOS PANAMA, S.A</v>
          </cell>
          <cell r="M2895"/>
          <cell r="N2895"/>
          <cell r="O2895">
            <v>1090</v>
          </cell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</row>
        <row r="2896">
          <cell r="A2896" t="str">
            <v>MERCALIMENTOS PANAMA, S.A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70</v>
          </cell>
          <cell r="J2896" t="str">
            <v>MERCALIMENTOS PANAMA, S.A</v>
          </cell>
          <cell r="M2896">
            <v>0</v>
          </cell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</row>
        <row r="2897">
          <cell r="A2897" t="str">
            <v>MERCALIMENTOS PANAMA, S.A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1090</v>
          </cell>
          <cell r="J2897" t="str">
            <v>MERCALIMENTOS PANAMA, S.A</v>
          </cell>
          <cell r="M2897"/>
          <cell r="N2897">
            <v>282</v>
          </cell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</row>
        <row r="2898">
          <cell r="A2898" t="str">
            <v>MERCALIMENTOS PANAMA, S.A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J2898" t="str">
            <v>MERCALIMENTOS PANAMA, S.A</v>
          </cell>
          <cell r="M2898"/>
          <cell r="N2898">
            <v>467</v>
          </cell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</row>
        <row r="2899">
          <cell r="A2899" t="str">
            <v>MERCALIMENTOS PANAMA, S.A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>
            <v>282</v>
          </cell>
          <cell r="J2899" t="str">
            <v>MERCALIMENTOS PANAMA, S.A</v>
          </cell>
          <cell r="M2899"/>
          <cell r="N2899">
            <v>881</v>
          </cell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</row>
        <row r="2900">
          <cell r="A2900" t="str">
            <v>MERCALIMENTOS PANAMA, S.A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>
            <v>467</v>
          </cell>
          <cell r="J2900" t="str">
            <v>MERCALIMENTOS PANAMA, S.A</v>
          </cell>
          <cell r="M2900"/>
          <cell r="N2900">
            <v>38</v>
          </cell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</row>
        <row r="2901">
          <cell r="A2901" t="str">
            <v>MERCALIMENTOS PANAMA, S.A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881</v>
          </cell>
          <cell r="J2901" t="str">
            <v>MERCALIMENTOS PANAMA, S.A</v>
          </cell>
          <cell r="M2901"/>
          <cell r="N2901">
            <v>70</v>
          </cell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</row>
        <row r="2902">
          <cell r="A2902" t="str">
            <v>MERCALIMENTOS PANAMA, S.A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>
            <v>38</v>
          </cell>
          <cell r="J2902" t="str">
            <v>MERCALIMENTOS PANAMA, S.A</v>
          </cell>
          <cell r="M2902"/>
          <cell r="N2902">
            <v>62</v>
          </cell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</row>
        <row r="2903">
          <cell r="A2903" t="str">
            <v>MERCALIMENTOS PANAMA, S.A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>
            <v>70</v>
          </cell>
          <cell r="J2903" t="str">
            <v>MERCALIMENTOS PANAMA, S.A</v>
          </cell>
          <cell r="M2903"/>
          <cell r="N2903"/>
          <cell r="O2903">
            <v>116</v>
          </cell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</row>
        <row r="2904">
          <cell r="A2904" t="str">
            <v>MERCALIMENTOS PANAMA, S.A</v>
          </cell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G2904">
            <v>62</v>
          </cell>
          <cell r="J2904" t="str">
            <v>MERCALIMENTOS PANAMA, S.A</v>
          </cell>
          <cell r="M2904"/>
          <cell r="N2904">
            <v>542</v>
          </cell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</row>
        <row r="2905">
          <cell r="A2905" t="str">
            <v>MERCALIMENTOS PANAMA, S.A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>
            <v>116</v>
          </cell>
          <cell r="J2905" t="str">
            <v>MERCALIMENTOS PANAMA, S.A</v>
          </cell>
          <cell r="M2905"/>
          <cell r="N2905"/>
          <cell r="O2905"/>
          <cell r="P2905"/>
          <cell r="Q2905"/>
          <cell r="R2905"/>
          <cell r="S2905">
            <v>211</v>
          </cell>
          <cell r="T2905"/>
          <cell r="U2905"/>
          <cell r="V2905"/>
          <cell r="W2905"/>
          <cell r="X2905"/>
          <cell r="Y2905"/>
        </row>
        <row r="2906">
          <cell r="A2906" t="str">
            <v>MERCALIMENTOS PANAMA, S.A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542</v>
          </cell>
          <cell r="J2906" t="str">
            <v>MERCALIMENTOS PANAMA, S.A</v>
          </cell>
          <cell r="M2906"/>
          <cell r="N2906"/>
          <cell r="O2906">
            <v>138</v>
          </cell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</row>
        <row r="2907">
          <cell r="A2907" t="str">
            <v>MERCALIMENTOS PANAMA, S.A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211</v>
          </cell>
          <cell r="J2907" t="str">
            <v>MERCALIMENTOS PANAMA, S.A</v>
          </cell>
          <cell r="M2907"/>
          <cell r="N2907">
            <v>147</v>
          </cell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</row>
        <row r="2908">
          <cell r="A2908" t="str">
            <v>MERCALIMENTOS PANAMA, S.A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>
            <v>138</v>
          </cell>
          <cell r="J2908" t="str">
            <v>MERCALIMENTOS PANAMA, S.A</v>
          </cell>
          <cell r="M2908"/>
          <cell r="N2908">
            <v>62</v>
          </cell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</row>
        <row r="2909">
          <cell r="A2909" t="str">
            <v>MERCALIMENTOS PANAMA, S.A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G2909">
            <v>147</v>
          </cell>
          <cell r="J2909" t="str">
            <v>MERCALIMENTOS PANAMA, S.A</v>
          </cell>
          <cell r="M2909"/>
          <cell r="N2909"/>
          <cell r="O2909"/>
          <cell r="P2909"/>
          <cell r="Q2909"/>
          <cell r="R2909"/>
          <cell r="S2909"/>
          <cell r="T2909">
            <v>84</v>
          </cell>
          <cell r="U2909"/>
          <cell r="V2909"/>
          <cell r="W2909"/>
          <cell r="X2909"/>
          <cell r="Y2909"/>
        </row>
        <row r="2910">
          <cell r="A2910" t="str">
            <v>MERCALIMENTOS PANAMA, S.A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>
            <v>62</v>
          </cell>
          <cell r="J2910" t="str">
            <v>MERCALIMENTOS PANAMA, S.A</v>
          </cell>
          <cell r="M2910">
            <v>100</v>
          </cell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</row>
        <row r="2911">
          <cell r="A2911" t="str">
            <v>MERCALIMENTOS PANAMA, S.A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84</v>
          </cell>
          <cell r="J2911" t="str">
            <v>MERCALIMENTOS PANAMA, S.A</v>
          </cell>
          <cell r="M2911"/>
          <cell r="N2911">
            <v>264</v>
          </cell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</row>
        <row r="2912">
          <cell r="A2912" t="str">
            <v>MERCALIMENTOS PANAMA, S.A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100</v>
          </cell>
          <cell r="J2912" t="str">
            <v>MERCALIMENTOS PANAMA, S.A</v>
          </cell>
          <cell r="M2912"/>
          <cell r="N2912"/>
          <cell r="O2912">
            <v>60</v>
          </cell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</row>
        <row r="2913">
          <cell r="A2913" t="str">
            <v>MERCALIMENTOS PANAMA, S.A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264</v>
          </cell>
          <cell r="J2913" t="str">
            <v>MERCALIMENTOS PANAMA, S.A</v>
          </cell>
          <cell r="M2913"/>
          <cell r="N2913">
            <v>50</v>
          </cell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</row>
        <row r="2914">
          <cell r="A2914" t="str">
            <v>MERCALIMENTOS PANAMA, S.A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60</v>
          </cell>
          <cell r="J2914" t="str">
            <v>MERCALIMENTOS PANAMA, S.A</v>
          </cell>
          <cell r="M2914"/>
          <cell r="N2914">
            <v>86</v>
          </cell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</row>
        <row r="2915">
          <cell r="A2915" t="str">
            <v>MERCALIMENTOS PANAMA, S.A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50</v>
          </cell>
          <cell r="J2915" t="str">
            <v>MERCALIMENTOS PANAMA, S.A</v>
          </cell>
          <cell r="M2915">
            <v>201</v>
          </cell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</row>
        <row r="2916">
          <cell r="A2916" t="str">
            <v>MERCALIMENTOS PANAMA, S.A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86</v>
          </cell>
          <cell r="J2916" t="str">
            <v>MERCALIMENTOS PANAMA, S.A</v>
          </cell>
          <cell r="M2916"/>
          <cell r="N2916"/>
          <cell r="O2916"/>
          <cell r="P2916"/>
          <cell r="Q2916"/>
          <cell r="R2916">
            <v>181</v>
          </cell>
          <cell r="S2916"/>
          <cell r="T2916"/>
          <cell r="U2916"/>
          <cell r="V2916"/>
          <cell r="W2916"/>
          <cell r="X2916"/>
          <cell r="Y2916"/>
        </row>
        <row r="2917">
          <cell r="A2917" t="str">
            <v>MERCALIMENTOS PANAMA, S.A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>
            <v>201</v>
          </cell>
          <cell r="J2917" t="str">
            <v>MERCALIMENTOS PANAMA, S.A</v>
          </cell>
          <cell r="M2917"/>
          <cell r="N2917"/>
          <cell r="O2917"/>
          <cell r="P2917"/>
          <cell r="Q2917"/>
          <cell r="R2917"/>
          <cell r="S2917"/>
          <cell r="T2917">
            <v>635</v>
          </cell>
          <cell r="U2917"/>
          <cell r="V2917"/>
          <cell r="W2917"/>
          <cell r="X2917"/>
          <cell r="Y2917"/>
        </row>
        <row r="2918">
          <cell r="A2918" t="str">
            <v>MERCALIMENTOS PANAMA, S.A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>
            <v>181</v>
          </cell>
          <cell r="J2918" t="str">
            <v>MERCALIMENTOS PANAMA, S.A</v>
          </cell>
          <cell r="M2918"/>
          <cell r="N2918">
            <v>201</v>
          </cell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</row>
        <row r="2919">
          <cell r="A2919" t="str">
            <v>MERCALIMENTOS PANAMA, S.A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635</v>
          </cell>
          <cell r="J2919" t="str">
            <v>MERCALIMENTOS PANAMA, S.A</v>
          </cell>
          <cell r="M2919"/>
          <cell r="N2919">
            <v>0</v>
          </cell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</row>
        <row r="2920">
          <cell r="A2920" t="str">
            <v>MERCALIMENTOS PANAMA, S.A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201</v>
          </cell>
          <cell r="J2920" t="str">
            <v>MERCALIMENTOS PANAMA, S.A</v>
          </cell>
          <cell r="M2920"/>
          <cell r="N2920">
            <v>284</v>
          </cell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</row>
        <row r="2921">
          <cell r="A2921" t="str">
            <v>MERCALIMENTOS PANAMA, S.A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J2921" t="str">
            <v>MERCALIMENTOS PANAMA, S.A</v>
          </cell>
          <cell r="M2921">
            <v>150</v>
          </cell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</row>
        <row r="2922">
          <cell r="A2922" t="str">
            <v>MERCALIMENTOS PANAMA, S.A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284</v>
          </cell>
          <cell r="J2922" t="str">
            <v>MERCALIMENTOS PANAMA, S.A</v>
          </cell>
          <cell r="M2922"/>
          <cell r="N2922"/>
          <cell r="O2922">
            <v>1200</v>
          </cell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</row>
        <row r="2923">
          <cell r="A2923" t="str">
            <v>MERCALIMENTOS PANAMA, S.A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>
            <v>150</v>
          </cell>
          <cell r="J2923" t="str">
            <v>MERCALIMENTOS PANAMA, S.A</v>
          </cell>
          <cell r="M2923"/>
          <cell r="N2923">
            <v>20</v>
          </cell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</row>
        <row r="2924">
          <cell r="A2924" t="str">
            <v>MERCALIMENTOS PANAMA, S.A</v>
          </cell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G2924">
            <v>1200</v>
          </cell>
          <cell r="J2924" t="str">
            <v>MERCALIMENTOS PANAMA, S.A</v>
          </cell>
          <cell r="M2924">
            <v>390</v>
          </cell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</row>
        <row r="2925">
          <cell r="A2925" t="str">
            <v>MERCALIMENTOS PANAMA, S.A</v>
          </cell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G2925">
            <v>20</v>
          </cell>
          <cell r="J2925" t="str">
            <v>MERCALIMENTOS PANAMA, S.A</v>
          </cell>
          <cell r="M2925"/>
          <cell r="N2925">
            <v>250</v>
          </cell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</row>
        <row r="2926">
          <cell r="A2926" t="str">
            <v>MERCALIMENTOS PANAMA, S.A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390</v>
          </cell>
          <cell r="J2926" t="str">
            <v>MERCALIMENTOS PANAMA, S.A</v>
          </cell>
          <cell r="M2926"/>
          <cell r="N2926">
            <v>356</v>
          </cell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</row>
        <row r="2927">
          <cell r="A2927" t="str">
            <v>MERCALIMENTOS PANAMA, S.A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250</v>
          </cell>
          <cell r="J2927" t="str">
            <v>MERCALIMENTOS PANAMA, S.A</v>
          </cell>
          <cell r="M2927"/>
          <cell r="N2927">
            <v>90</v>
          </cell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</row>
        <row r="2928">
          <cell r="A2928" t="str">
            <v>MERCALIMENTOS PANAMA, S.A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356</v>
          </cell>
          <cell r="J2928" t="str">
            <v>MERCALIMENTOS PANAMA, S.A</v>
          </cell>
          <cell r="M2928"/>
          <cell r="N2928">
            <v>84</v>
          </cell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</row>
        <row r="2929">
          <cell r="A2929" t="str">
            <v>MERCALIMENTOS PANAMA, S.A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90</v>
          </cell>
          <cell r="J2929" t="str">
            <v>MERCALIMENTOS PANAMA, S.A</v>
          </cell>
          <cell r="M2929"/>
          <cell r="N2929">
            <v>22</v>
          </cell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</row>
        <row r="2930">
          <cell r="A2930" t="str">
            <v>MERCALIMENTOS PANAMA, S.A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>
            <v>84</v>
          </cell>
          <cell r="J2930" t="str">
            <v>MERCALIMENTOS PANAMA, S.A</v>
          </cell>
          <cell r="M2930"/>
          <cell r="N2930">
            <v>456</v>
          </cell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</row>
        <row r="2931">
          <cell r="A2931" t="str">
            <v>MERCALIMENTOS PANAMA, S.A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>
            <v>22</v>
          </cell>
          <cell r="J2931" t="str">
            <v>MERCALIMENTOS PANAMA, S.A</v>
          </cell>
          <cell r="M2931"/>
          <cell r="N2931">
            <v>251</v>
          </cell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</row>
        <row r="2932">
          <cell r="A2932" t="str">
            <v>MERCALIMENTOS PANAMA, S.A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456</v>
          </cell>
          <cell r="J2932" t="str">
            <v>MERCALIMENTOS PANAMA, S.A</v>
          </cell>
          <cell r="M2932"/>
          <cell r="N2932">
            <v>60</v>
          </cell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</row>
        <row r="2933">
          <cell r="A2933" t="str">
            <v>MERCALIMENTOS PANAMA, S.A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251</v>
          </cell>
          <cell r="J2933" t="str">
            <v>MERCALIMENTOS PANAMA, S.A</v>
          </cell>
          <cell r="M2933"/>
          <cell r="N2933">
            <v>75</v>
          </cell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</row>
        <row r="2934">
          <cell r="A2934" t="str">
            <v>MERCALIMENTOS PANAMA, S.A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60</v>
          </cell>
          <cell r="J2934" t="str">
            <v>MERCALIMENTOS PANAMA, S.A</v>
          </cell>
          <cell r="M2934"/>
          <cell r="N2934"/>
          <cell r="O2934">
            <v>1017</v>
          </cell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</row>
        <row r="2935">
          <cell r="A2935" t="str">
            <v>MERCALIMENTOS PANAMA, S.A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75</v>
          </cell>
          <cell r="J2935" t="str">
            <v>MERCALIMENTOS PANAMA, S.A</v>
          </cell>
          <cell r="M2935"/>
          <cell r="N2935">
            <v>107</v>
          </cell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</row>
        <row r="2936">
          <cell r="A2936" t="str">
            <v>MERCALIMENTOS PANAMA, S.A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1017</v>
          </cell>
          <cell r="J2936" t="str">
            <v>MERCALIMENTOS PANAMA, S.A</v>
          </cell>
          <cell r="M2936"/>
          <cell r="N2936">
            <v>50</v>
          </cell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</row>
        <row r="2937">
          <cell r="A2937" t="str">
            <v>MERCALIMENTOS PANAMA, S.A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107</v>
          </cell>
          <cell r="J2937" t="str">
            <v>MERCALIMENTOS PANAMA, S.A</v>
          </cell>
          <cell r="M2937"/>
          <cell r="N2937"/>
          <cell r="O2937"/>
          <cell r="P2937"/>
          <cell r="Q2937">
            <v>60</v>
          </cell>
          <cell r="R2937"/>
          <cell r="S2937"/>
          <cell r="T2937"/>
          <cell r="U2937"/>
          <cell r="V2937"/>
          <cell r="W2937"/>
          <cell r="X2937"/>
          <cell r="Y2937"/>
        </row>
        <row r="2938">
          <cell r="A2938" t="str">
            <v>MERCALIMENTOS PANAMA, S.A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50</v>
          </cell>
          <cell r="J2938" t="str">
            <v>MERCALIMENTOS PANAMA, S.A</v>
          </cell>
          <cell r="M2938">
            <v>910</v>
          </cell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</row>
        <row r="2939">
          <cell r="A2939" t="str">
            <v>MERCALIMENTOS PANAMA, S.A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>
            <v>60</v>
          </cell>
          <cell r="J2939" t="str">
            <v>MERCALIMENTOS PANAMA, S.A</v>
          </cell>
          <cell r="M2939">
            <v>400</v>
          </cell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</row>
        <row r="2940">
          <cell r="A2940" t="str">
            <v>MERCALIMENTOS PANAMA, S.A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910</v>
          </cell>
          <cell r="J2940" t="str">
            <v>MERCALIMENTOS PANAMA, S.A</v>
          </cell>
          <cell r="M2940"/>
          <cell r="N2940"/>
          <cell r="O2940">
            <v>256</v>
          </cell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</row>
        <row r="2941">
          <cell r="A2941" t="str">
            <v>MERCALIMENTOS PANAMA, S.A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400</v>
          </cell>
          <cell r="J2941" t="str">
            <v>MERCALIMENTOS PANAMA, S.A</v>
          </cell>
          <cell r="M2941"/>
          <cell r="N2941"/>
          <cell r="O2941"/>
          <cell r="P2941"/>
          <cell r="Q2941">
            <v>496</v>
          </cell>
          <cell r="R2941"/>
          <cell r="S2941"/>
          <cell r="T2941"/>
          <cell r="U2941"/>
          <cell r="V2941"/>
          <cell r="W2941"/>
          <cell r="X2941"/>
          <cell r="Y2941"/>
        </row>
        <row r="2942">
          <cell r="A2942" t="str">
            <v>MERCALIMENTOS PANAMA, S.A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>
            <v>256</v>
          </cell>
          <cell r="J2942" t="str">
            <v>MERCALIMENTOS PANAMA, S.A</v>
          </cell>
          <cell r="M2942"/>
          <cell r="N2942"/>
          <cell r="O2942"/>
          <cell r="P2942"/>
          <cell r="Q2942">
            <v>4560</v>
          </cell>
          <cell r="R2942"/>
          <cell r="S2942"/>
          <cell r="T2942"/>
          <cell r="U2942"/>
          <cell r="V2942"/>
          <cell r="W2942"/>
          <cell r="X2942"/>
          <cell r="Y2942"/>
        </row>
        <row r="2943">
          <cell r="A2943" t="str">
            <v>MERCALIMENTOS PANAMA, S.A</v>
          </cell>
          <cell r="C2943">
            <v>73</v>
          </cell>
          <cell r="D2943">
            <v>0</v>
          </cell>
          <cell r="E2943">
            <v>0</v>
          </cell>
          <cell r="F2943">
            <v>0</v>
          </cell>
          <cell r="G2943">
            <v>496</v>
          </cell>
          <cell r="J2943" t="str">
            <v>MERCALIMENTOS PANAMA, S.A</v>
          </cell>
          <cell r="M2943">
            <v>400</v>
          </cell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</row>
        <row r="2944">
          <cell r="A2944" t="str">
            <v>MERCALIMENTOS PANAMA, S.A</v>
          </cell>
          <cell r="C2944">
            <v>0</v>
          </cell>
          <cell r="D2944">
            <v>680</v>
          </cell>
          <cell r="E2944">
            <v>450</v>
          </cell>
          <cell r="F2944">
            <v>450</v>
          </cell>
          <cell r="G2944">
            <v>4560</v>
          </cell>
          <cell r="J2944" t="str">
            <v>MERCALIMENTOS PANAMA, S.A</v>
          </cell>
          <cell r="M2944"/>
          <cell r="N2944"/>
          <cell r="O2944">
            <v>34</v>
          </cell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</row>
        <row r="2945">
          <cell r="A2945" t="str">
            <v>MERCALIMENTOS PANAMA, S.A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400</v>
          </cell>
          <cell r="J2945" t="str">
            <v>MERCALIMENTOS PANAMA, S.A</v>
          </cell>
          <cell r="M2945"/>
          <cell r="N2945">
            <v>230</v>
          </cell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</row>
        <row r="2946">
          <cell r="A2946" t="str">
            <v>MERCALIMENTOS PANAMA, S.A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34</v>
          </cell>
          <cell r="J2946" t="str">
            <v>MERCALIMENTOS PANAMA, S.A</v>
          </cell>
          <cell r="M2946">
            <v>350</v>
          </cell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</row>
        <row r="2947">
          <cell r="A2947" t="str">
            <v>MERCALIMENTOS PANAMA, S.A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G2947">
            <v>230</v>
          </cell>
          <cell r="J2947" t="str">
            <v>MERCALIMENTOS PANAMA, S.A</v>
          </cell>
          <cell r="M2947"/>
          <cell r="N2947"/>
          <cell r="O2947"/>
          <cell r="P2947"/>
          <cell r="Q2947"/>
          <cell r="R2947"/>
          <cell r="S2947"/>
          <cell r="T2947">
            <v>50</v>
          </cell>
          <cell r="U2947"/>
          <cell r="V2947"/>
          <cell r="W2947"/>
          <cell r="X2947"/>
          <cell r="Y2947"/>
        </row>
        <row r="2948">
          <cell r="A2948" t="str">
            <v>MERCALIMENTOS PANAMA, S.A</v>
          </cell>
          <cell r="C2948">
            <v>200</v>
          </cell>
          <cell r="D2948">
            <v>25</v>
          </cell>
          <cell r="E2948">
            <v>100</v>
          </cell>
          <cell r="F2948">
            <v>25</v>
          </cell>
          <cell r="G2948">
            <v>350</v>
          </cell>
          <cell r="J2948" t="str">
            <v>MERCALIMENTOS PANAMA, S.A</v>
          </cell>
          <cell r="M2948"/>
          <cell r="N2948"/>
          <cell r="O2948"/>
          <cell r="P2948"/>
          <cell r="Q2948"/>
          <cell r="R2948"/>
          <cell r="S2948"/>
          <cell r="T2948">
            <v>192</v>
          </cell>
          <cell r="U2948"/>
          <cell r="V2948"/>
          <cell r="W2948"/>
          <cell r="X2948"/>
          <cell r="Y2948"/>
        </row>
        <row r="2949">
          <cell r="A2949" t="str">
            <v>MERCALIMENTOS PANAMA, S.A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50</v>
          </cell>
          <cell r="J2949" t="str">
            <v>MERCALIMENTOS PANAMA, S.A</v>
          </cell>
          <cell r="M2949"/>
          <cell r="N2949">
            <v>510</v>
          </cell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</row>
        <row r="2950">
          <cell r="A2950" t="str">
            <v>MERCALIMENTOS PANAMA, S.A</v>
          </cell>
          <cell r="C2950">
            <v>85</v>
          </cell>
          <cell r="D2950">
            <v>22</v>
          </cell>
          <cell r="E2950">
            <v>25</v>
          </cell>
          <cell r="F2950">
            <v>29</v>
          </cell>
          <cell r="G2950">
            <v>192</v>
          </cell>
          <cell r="J2950" t="str">
            <v>MERCALIMENTOS PANAMA, S.A</v>
          </cell>
          <cell r="M2950"/>
          <cell r="N2950">
            <v>97</v>
          </cell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</row>
        <row r="2951">
          <cell r="A2951" t="str">
            <v>MERCALIMENTOS PANAMA, S.A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510</v>
          </cell>
          <cell r="J2951" t="str">
            <v>MERCALIMENTOS PANAMA, S.A</v>
          </cell>
          <cell r="M2951">
            <v>40</v>
          </cell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</row>
        <row r="2952">
          <cell r="A2952" t="str">
            <v>MERCALIMENTOS PANAMA, S.A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>
            <v>97</v>
          </cell>
          <cell r="J2952" t="str">
            <v>MERCALIMENTOS PANAMA, S.A</v>
          </cell>
          <cell r="M2952">
            <v>1350</v>
          </cell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</row>
        <row r="2953">
          <cell r="A2953" t="str">
            <v>MERCALIMENTOS PANAMA, S.A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>
            <v>40</v>
          </cell>
          <cell r="J2953" t="str">
            <v>MERCALIMENTOS PANAMA, S.A</v>
          </cell>
          <cell r="M2953"/>
          <cell r="N2953"/>
          <cell r="O2953"/>
          <cell r="P2953"/>
          <cell r="Q2953"/>
          <cell r="R2953">
            <v>130</v>
          </cell>
          <cell r="S2953"/>
          <cell r="T2953"/>
          <cell r="U2953"/>
          <cell r="V2953"/>
          <cell r="W2953"/>
          <cell r="X2953"/>
          <cell r="Y2953"/>
        </row>
        <row r="2954">
          <cell r="A2954" t="str">
            <v>MERCALIMENTOS PANAMA, S.A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1350</v>
          </cell>
          <cell r="J2954" t="str">
            <v>MERCALIMENTOS PANAMA, S.A</v>
          </cell>
          <cell r="M2954">
            <v>125</v>
          </cell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</row>
        <row r="2955">
          <cell r="A2955" t="str">
            <v>MERCALIMENTOS PANAMA, S.A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130</v>
          </cell>
          <cell r="J2955" t="str">
            <v>MERCALIMENTOS PANAMA, S.A</v>
          </cell>
          <cell r="M2955"/>
          <cell r="N2955"/>
          <cell r="O2955"/>
          <cell r="P2955"/>
          <cell r="Q2955"/>
          <cell r="R2955"/>
          <cell r="S2955"/>
          <cell r="T2955"/>
          <cell r="U2955"/>
          <cell r="V2955">
            <v>0</v>
          </cell>
          <cell r="W2955"/>
          <cell r="X2955"/>
          <cell r="Y2955"/>
        </row>
        <row r="2956">
          <cell r="A2956" t="str">
            <v>MERCALIMENTOS PANAMA, S.A</v>
          </cell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G2956">
            <v>125</v>
          </cell>
          <cell r="J2956" t="str">
            <v>MERCALIMENTOS PANAMA, S.A</v>
          </cell>
          <cell r="M2956"/>
          <cell r="N2956"/>
          <cell r="O2956"/>
          <cell r="P2956"/>
          <cell r="Q2956"/>
          <cell r="R2956"/>
          <cell r="S2956">
            <v>50</v>
          </cell>
          <cell r="T2956"/>
          <cell r="U2956"/>
          <cell r="V2956"/>
          <cell r="W2956"/>
          <cell r="X2956"/>
          <cell r="Y2956"/>
        </row>
        <row r="2957">
          <cell r="A2957" t="str">
            <v>MERCALIMENTOS PANAMA, S.A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J2957" t="str">
            <v>MERCALIMENTOS PANAMA, S.A</v>
          </cell>
          <cell r="M2957">
            <v>25</v>
          </cell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</row>
        <row r="2958">
          <cell r="A2958" t="str">
            <v>MERCALIMENTOS PANAMA, S.A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>
            <v>50</v>
          </cell>
          <cell r="J2958" t="str">
            <v>MERCALIMENTOS PANAMA, S.A</v>
          </cell>
          <cell r="M2958"/>
          <cell r="N2958"/>
          <cell r="O2958"/>
          <cell r="P2958"/>
          <cell r="Q2958"/>
          <cell r="R2958"/>
          <cell r="S2958"/>
          <cell r="T2958"/>
          <cell r="U2958"/>
          <cell r="V2958">
            <v>0</v>
          </cell>
          <cell r="W2958"/>
          <cell r="X2958"/>
          <cell r="Y2958"/>
        </row>
        <row r="2959">
          <cell r="A2959" t="str">
            <v>MERCALIMENTOS PANAMA, S.A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25</v>
          </cell>
          <cell r="J2959" t="str">
            <v>MERCALIMENTOS PANAMA, S.A</v>
          </cell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>
            <v>0</v>
          </cell>
        </row>
        <row r="2960">
          <cell r="A2960" t="str">
            <v>MERCALIMENTOS PANAMA, S.A</v>
          </cell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J2960" t="str">
            <v>MERCALIMENTOS PANAMA, S.A</v>
          </cell>
          <cell r="M2960">
            <v>209</v>
          </cell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</row>
        <row r="2961">
          <cell r="A2961" t="str">
            <v>MERCALIMENTOS PANAMA, S.A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J2961" t="str">
            <v>MERCALIMENTOS PANAMA, S.A</v>
          </cell>
          <cell r="M2961">
            <v>0</v>
          </cell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</row>
        <row r="2962">
          <cell r="A2962" t="str">
            <v>MERCALIMENTOS PANAMA, S.A</v>
          </cell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G2962">
            <v>209</v>
          </cell>
          <cell r="J2962" t="str">
            <v>MERCALIMENTOS PANAMA, S.A</v>
          </cell>
          <cell r="M2962"/>
          <cell r="N2962"/>
          <cell r="O2962"/>
          <cell r="P2962"/>
          <cell r="Q2962"/>
          <cell r="R2962"/>
          <cell r="S2962">
            <v>150</v>
          </cell>
          <cell r="T2962"/>
          <cell r="U2962"/>
          <cell r="V2962"/>
          <cell r="W2962"/>
          <cell r="X2962"/>
          <cell r="Y2962"/>
        </row>
        <row r="2963">
          <cell r="A2963" t="str">
            <v>MERCALIMENTOS PANAMA, S.A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J2963" t="str">
            <v>MERCALIMENTOS PANAMA, S.A</v>
          </cell>
          <cell r="M2963">
            <v>200</v>
          </cell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</row>
        <row r="2964">
          <cell r="A2964" t="str">
            <v>MERCALIMENTOS PANAMA, S.A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150</v>
          </cell>
          <cell r="J2964" t="str">
            <v>MERCALIMENTOS PANAMA, S.A</v>
          </cell>
          <cell r="M2964"/>
          <cell r="N2964"/>
          <cell r="O2964"/>
          <cell r="P2964"/>
          <cell r="Q2964"/>
          <cell r="R2964">
            <v>0</v>
          </cell>
          <cell r="S2964"/>
          <cell r="T2964"/>
          <cell r="U2964"/>
          <cell r="V2964"/>
          <cell r="W2964"/>
          <cell r="X2964"/>
          <cell r="Y2964"/>
        </row>
        <row r="2965">
          <cell r="A2965" t="str">
            <v>MERCALIMENTOS PANAMA, S.A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200</v>
          </cell>
          <cell r="J2965" t="str">
            <v>MERCALIMENTOS PANAMA, S.A</v>
          </cell>
          <cell r="M2965"/>
          <cell r="N2965"/>
          <cell r="O2965">
            <v>421</v>
          </cell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</row>
        <row r="2966">
          <cell r="A2966" t="str">
            <v>MERCALIMENTOS PANAMA, S.A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J2966" t="str">
            <v>MERCALIMENTOS PANAMA, S.A</v>
          </cell>
          <cell r="M2966"/>
          <cell r="N2966"/>
          <cell r="O2966"/>
          <cell r="P2966"/>
          <cell r="Q2966"/>
          <cell r="R2966"/>
          <cell r="S2966">
            <v>1190</v>
          </cell>
          <cell r="T2966"/>
          <cell r="U2966"/>
          <cell r="V2966"/>
          <cell r="W2966"/>
          <cell r="X2966"/>
          <cell r="Y2966"/>
        </row>
        <row r="2967">
          <cell r="A2967" t="str">
            <v>MERCALIMENTOS PANAMA, S.A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421</v>
          </cell>
          <cell r="J2967" t="str">
            <v>MERCALIMENTOS PANAMA, S.A</v>
          </cell>
          <cell r="M2967">
            <v>265</v>
          </cell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</row>
        <row r="2968">
          <cell r="A2968" t="str">
            <v>MERCALIMENTOS PANAMA, S.A</v>
          </cell>
          <cell r="C2968">
            <v>1190</v>
          </cell>
          <cell r="D2968">
            <v>0</v>
          </cell>
          <cell r="E2968">
            <v>0</v>
          </cell>
          <cell r="F2968">
            <v>0</v>
          </cell>
          <cell r="G2968">
            <v>1190</v>
          </cell>
          <cell r="J2968" t="str">
            <v>MERCALIMENTOS PANAMA, S.A</v>
          </cell>
          <cell r="M2968"/>
          <cell r="N2968">
            <v>110</v>
          </cell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</row>
        <row r="2969">
          <cell r="A2969" t="str">
            <v>MERCALIMENTOS PANAMA, S.A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265</v>
          </cell>
          <cell r="J2969" t="str">
            <v>MERCALIMENTOS PANAMA, S.A</v>
          </cell>
          <cell r="M2969"/>
          <cell r="N2969">
            <v>130</v>
          </cell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</row>
        <row r="2970">
          <cell r="A2970" t="str">
            <v>MERCALIMENTOS PANAMA, S.A</v>
          </cell>
          <cell r="C2970">
            <v>0</v>
          </cell>
          <cell r="D2970">
            <v>35</v>
          </cell>
          <cell r="E2970">
            <v>0</v>
          </cell>
          <cell r="F2970">
            <v>0</v>
          </cell>
          <cell r="G2970">
            <v>110</v>
          </cell>
          <cell r="J2970" t="str">
            <v>MERCALIMENTOS PANAMA, S.A</v>
          </cell>
          <cell r="M2970">
            <v>1300</v>
          </cell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</row>
        <row r="2971">
          <cell r="A2971" t="str">
            <v>MERCALIMENTOS PANAMA, S.A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130</v>
          </cell>
          <cell r="J2971" t="str">
            <v>MERCALIMENTOS PANAMA, S.A</v>
          </cell>
          <cell r="M2971">
            <v>52</v>
          </cell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</row>
        <row r="2972">
          <cell r="A2972" t="str">
            <v>MERCALIMENTOS PANAMA, S.A</v>
          </cell>
          <cell r="C2972">
            <v>100</v>
          </cell>
          <cell r="D2972">
            <v>0</v>
          </cell>
          <cell r="E2972">
            <v>0</v>
          </cell>
          <cell r="F2972">
            <v>0</v>
          </cell>
          <cell r="G2972">
            <v>1300</v>
          </cell>
          <cell r="J2972" t="str">
            <v>MERCALIMENTOS PANAMA, S.A</v>
          </cell>
          <cell r="M2972"/>
          <cell r="N2972"/>
          <cell r="O2972"/>
          <cell r="P2972">
            <v>150</v>
          </cell>
          <cell r="Q2972"/>
          <cell r="R2972"/>
          <cell r="S2972"/>
          <cell r="T2972"/>
          <cell r="U2972"/>
          <cell r="V2972"/>
          <cell r="W2972"/>
          <cell r="X2972"/>
          <cell r="Y2972"/>
        </row>
        <row r="2973">
          <cell r="A2973" t="str">
            <v>MERCALIMENTOS PANAMA, S.A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>
            <v>52</v>
          </cell>
          <cell r="J2973" t="str">
            <v>MERCALIMENTOS PANAMA, S.A</v>
          </cell>
          <cell r="M2973">
            <v>600</v>
          </cell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</row>
        <row r="2974">
          <cell r="A2974" t="str">
            <v>MERCALIMENTOS PANAMA, S.A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150</v>
          </cell>
          <cell r="J2974" t="str">
            <v>MERCALIMENTOS PANAMA, S.A</v>
          </cell>
          <cell r="M2974"/>
          <cell r="N2974"/>
          <cell r="O2974">
            <v>105</v>
          </cell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</row>
        <row r="2975">
          <cell r="A2975" t="str">
            <v>MERCALIMENTOS PANAMA, S.A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600</v>
          </cell>
          <cell r="J2975" t="str">
            <v>MERCALIMENTOS PANAMA, S.A</v>
          </cell>
          <cell r="M2975"/>
          <cell r="N2975">
            <v>490</v>
          </cell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</row>
        <row r="2976">
          <cell r="A2976" t="str">
            <v>MERCALIMENTOS PANAMA, S.A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105</v>
          </cell>
          <cell r="J2976" t="str">
            <v>MERCALIMENTOS PANAMA, S.A</v>
          </cell>
          <cell r="M2976"/>
          <cell r="N2976"/>
          <cell r="O2976">
            <v>480</v>
          </cell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</row>
        <row r="2977">
          <cell r="A2977" t="str">
            <v>MERCALIMENTOS PANAMA, S.A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490</v>
          </cell>
          <cell r="J2977" t="str">
            <v>MERCALIMENTOS PANAMA, S.A</v>
          </cell>
          <cell r="M2977">
            <v>740</v>
          </cell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</row>
        <row r="2978">
          <cell r="A2978" t="str">
            <v>MERCALIMENTOS PANAMA, S.A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480</v>
          </cell>
          <cell r="J2978" t="str">
            <v>MERCALIMENTOS PANAMA, S.A</v>
          </cell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>
            <v>50</v>
          </cell>
        </row>
        <row r="2979">
          <cell r="A2979" t="str">
            <v>MERCALIMENTOS PANAMA, S.A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740</v>
          </cell>
          <cell r="J2979" t="str">
            <v>MERCALIMENTOS PANAMA, S.A</v>
          </cell>
          <cell r="M2979">
            <v>0</v>
          </cell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</row>
        <row r="2980">
          <cell r="A2980" t="str">
            <v>MERCALIMENTOS PANAMA, S.A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50</v>
          </cell>
          <cell r="J2980" t="str">
            <v>FRESCAFHISH, S.A</v>
          </cell>
          <cell r="M2980"/>
          <cell r="N2980"/>
          <cell r="O2980"/>
          <cell r="P2980"/>
          <cell r="Q2980"/>
          <cell r="R2980"/>
          <cell r="S2980">
            <v>73</v>
          </cell>
          <cell r="T2980"/>
          <cell r="U2980"/>
          <cell r="V2980"/>
          <cell r="W2980"/>
          <cell r="X2980"/>
          <cell r="Y2980"/>
        </row>
        <row r="2981">
          <cell r="A2981" t="str">
            <v>MERCALIMENTOS PANAMA, S.A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J2981" t="str">
            <v>FRESCAFHISH, S.A</v>
          </cell>
          <cell r="M2981"/>
          <cell r="N2981"/>
          <cell r="O2981">
            <v>65</v>
          </cell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</row>
        <row r="2982">
          <cell r="A2982" t="str">
            <v>FRESCAFHISH, S.A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>
            <v>73</v>
          </cell>
          <cell r="J2982" t="str">
            <v>FRESCAFHISH, S.A</v>
          </cell>
          <cell r="M2982">
            <v>0</v>
          </cell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</row>
        <row r="2983">
          <cell r="A2983" t="str">
            <v>FRESCAFHISH, S.A</v>
          </cell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G2983">
            <v>65</v>
          </cell>
          <cell r="J2983" t="str">
            <v>FRESCAFHISH, S.A</v>
          </cell>
          <cell r="M2983"/>
          <cell r="N2983">
            <v>282</v>
          </cell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</row>
        <row r="2984">
          <cell r="A2984" t="str">
            <v>FRESCAFHISH, S.A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J2984" t="str">
            <v>FRESCAFHISH, S.A</v>
          </cell>
          <cell r="M2984"/>
          <cell r="N2984"/>
          <cell r="O2984">
            <v>138</v>
          </cell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</row>
        <row r="2985">
          <cell r="A2985" t="str">
            <v>FRESCAFHISH, S.A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>
            <v>282</v>
          </cell>
          <cell r="J2985" t="str">
            <v>FRESCAFHISH, S.A</v>
          </cell>
          <cell r="M2985"/>
          <cell r="N2985">
            <v>62</v>
          </cell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</row>
        <row r="2986">
          <cell r="A2986" t="str">
            <v>FRESCAFHISH, S.A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>
            <v>138</v>
          </cell>
          <cell r="J2986" t="str">
            <v>FRESCAFHISH, S.A</v>
          </cell>
          <cell r="M2986"/>
          <cell r="N2986"/>
          <cell r="O2986"/>
          <cell r="P2986"/>
          <cell r="Q2986"/>
          <cell r="R2986"/>
          <cell r="S2986"/>
          <cell r="T2986">
            <v>84</v>
          </cell>
          <cell r="U2986"/>
          <cell r="V2986"/>
          <cell r="W2986"/>
          <cell r="X2986"/>
          <cell r="Y2986"/>
        </row>
        <row r="2987">
          <cell r="A2987" t="str">
            <v>FRESCAFHISH, S.A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62</v>
          </cell>
          <cell r="J2987" t="str">
            <v>FRESCAFHISH, S.A</v>
          </cell>
          <cell r="M2987"/>
          <cell r="N2987"/>
          <cell r="O2987"/>
          <cell r="P2987"/>
          <cell r="Q2987"/>
          <cell r="R2987"/>
          <cell r="S2987"/>
          <cell r="T2987">
            <v>73</v>
          </cell>
          <cell r="U2987"/>
          <cell r="V2987"/>
          <cell r="W2987"/>
          <cell r="X2987"/>
          <cell r="Y2987"/>
        </row>
        <row r="2988">
          <cell r="A2988" t="str">
            <v>FRESCAFHISH, S.A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84</v>
          </cell>
          <cell r="J2988" t="str">
            <v>FRESCAFHISH, S.A</v>
          </cell>
          <cell r="M2988"/>
          <cell r="N2988"/>
          <cell r="O2988"/>
          <cell r="P2988"/>
          <cell r="Q2988"/>
          <cell r="R2988"/>
          <cell r="S2988"/>
          <cell r="T2988">
            <v>635</v>
          </cell>
          <cell r="U2988"/>
          <cell r="V2988"/>
          <cell r="W2988"/>
          <cell r="X2988"/>
          <cell r="Y2988"/>
        </row>
        <row r="2989">
          <cell r="A2989" t="str">
            <v>FRESCAFHISH, S.A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73</v>
          </cell>
          <cell r="J2989" t="str">
            <v>FRESCAFHISH, S.A</v>
          </cell>
          <cell r="M2989"/>
          <cell r="N2989">
            <v>0</v>
          </cell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</row>
        <row r="2990">
          <cell r="A2990" t="str">
            <v>FRESCAFHISH, S.A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635</v>
          </cell>
          <cell r="J2990" t="str">
            <v>FRESCAFHISH, S.A</v>
          </cell>
          <cell r="M2990"/>
          <cell r="N2990"/>
          <cell r="O2990"/>
          <cell r="P2990"/>
          <cell r="Q2990"/>
          <cell r="R2990"/>
          <cell r="S2990"/>
          <cell r="T2990">
            <v>30</v>
          </cell>
          <cell r="U2990"/>
          <cell r="V2990"/>
          <cell r="W2990"/>
          <cell r="X2990"/>
          <cell r="Y2990"/>
        </row>
        <row r="2991">
          <cell r="A2991" t="str">
            <v>FRESCAFHISH, S.A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J2991" t="str">
            <v>FRESCAFHISH, S.A</v>
          </cell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>
            <v>0</v>
          </cell>
          <cell r="X2991"/>
          <cell r="Y2991"/>
        </row>
        <row r="2992">
          <cell r="A2992" t="str">
            <v>FRESCAFHISH, S.A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30</v>
          </cell>
          <cell r="J2992" t="str">
            <v>FRESCAFHISH, S.A</v>
          </cell>
          <cell r="M2992"/>
          <cell r="N2992"/>
          <cell r="O2992"/>
          <cell r="P2992"/>
          <cell r="Q2992"/>
          <cell r="R2992"/>
          <cell r="S2992"/>
          <cell r="T2992"/>
          <cell r="U2992">
            <v>251</v>
          </cell>
          <cell r="V2992"/>
          <cell r="W2992"/>
          <cell r="X2992"/>
          <cell r="Y2992"/>
        </row>
        <row r="2993">
          <cell r="A2993" t="str">
            <v>FRESCAFHISH, S.A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J2993" t="str">
            <v>FRESCAFHISH, S.A</v>
          </cell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>
            <v>0</v>
          </cell>
        </row>
        <row r="2994">
          <cell r="A2994" t="str">
            <v>FRESCAFHISH, S.A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>
            <v>251</v>
          </cell>
          <cell r="J2994" t="str">
            <v>FRESCAFHISH, S.A</v>
          </cell>
          <cell r="M2994"/>
          <cell r="N2994"/>
          <cell r="O2994"/>
          <cell r="P2994"/>
          <cell r="Q2994"/>
          <cell r="R2994"/>
          <cell r="S2994">
            <v>40</v>
          </cell>
          <cell r="T2994"/>
          <cell r="U2994"/>
          <cell r="V2994"/>
          <cell r="W2994"/>
          <cell r="X2994"/>
          <cell r="Y2994"/>
        </row>
        <row r="2995">
          <cell r="A2995" t="str">
            <v>FRESCAFHISH, S.A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J2995" t="str">
            <v>FRESCAFHISH, S.A</v>
          </cell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>
            <v>50</v>
          </cell>
        </row>
        <row r="2996">
          <cell r="A2996" t="str">
            <v>FRESCAFHISH, S.A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40</v>
          </cell>
          <cell r="J2996" t="str">
            <v>FRESCAFHISH, S.A</v>
          </cell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>
            <v>200</v>
          </cell>
          <cell r="X2996"/>
          <cell r="Y2996"/>
        </row>
        <row r="2997">
          <cell r="A2997" t="str">
            <v>FRESCAFHISH, S.A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50</v>
          </cell>
          <cell r="J2997" t="str">
            <v>FRESCAFHISH, S.A</v>
          </cell>
          <cell r="M2997"/>
          <cell r="N2997"/>
          <cell r="O2997"/>
          <cell r="P2997"/>
          <cell r="Q2997"/>
          <cell r="R2997"/>
          <cell r="S2997"/>
          <cell r="T2997"/>
          <cell r="U2997"/>
          <cell r="V2997">
            <v>39</v>
          </cell>
          <cell r="W2997"/>
          <cell r="X2997"/>
          <cell r="Y2997"/>
        </row>
        <row r="2998">
          <cell r="A2998" t="str">
            <v>FRESCAFHISH, S.A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200</v>
          </cell>
          <cell r="J2998" t="str">
            <v>Federación Nacional de Cooperativas Salineras de Panamá (FENCOSPA, R.L.)</v>
          </cell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>
            <v>0</v>
          </cell>
        </row>
        <row r="2999">
          <cell r="A2999" t="str">
            <v>FRESCAFHISH, S.A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39</v>
          </cell>
          <cell r="J2999" t="str">
            <v>IMPORTADORA RICAMAR - SUPER 99</v>
          </cell>
          <cell r="M2999">
            <v>325</v>
          </cell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</row>
        <row r="3000">
          <cell r="A3000" t="str">
            <v>Federación Nacional de Cooperativas Salineras de Panamá (FENCOSPA, R.L.)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J3000" t="str">
            <v>IMPORTADORA RICAMAR - SUPER 99</v>
          </cell>
          <cell r="M3000"/>
          <cell r="N3000"/>
          <cell r="O3000">
            <v>180</v>
          </cell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</row>
        <row r="3001">
          <cell r="A3001" t="str">
            <v>IMPORTADORA RICAMAR - SUPER 99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325</v>
          </cell>
          <cell r="J3001" t="str">
            <v>IMPORTADORA RICAMAR - SUPER 99</v>
          </cell>
          <cell r="M3001"/>
          <cell r="N3001"/>
          <cell r="O3001">
            <v>325</v>
          </cell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</row>
        <row r="3002">
          <cell r="A3002" t="str">
            <v>IMPORTADORA RICAMAR - SUPER 99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180</v>
          </cell>
          <cell r="J3002" t="str">
            <v>IMPORTADORA RICAMAR - SUPER 99</v>
          </cell>
          <cell r="M3002"/>
          <cell r="N3002">
            <v>38</v>
          </cell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</row>
        <row r="3003">
          <cell r="A3003" t="str">
            <v>IMPORTADORA RICAMAR - SUPER 99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325</v>
          </cell>
          <cell r="J3003" t="str">
            <v>IMPORTADORA RICAMAR - SUPER 99</v>
          </cell>
          <cell r="M3003"/>
          <cell r="N3003">
            <v>243</v>
          </cell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</row>
        <row r="3004">
          <cell r="A3004" t="str">
            <v>IMPORTADORA RICAMAR - SUPER 99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38</v>
          </cell>
          <cell r="J3004" t="str">
            <v>IMPORTADORA RICAMAR - SUPER 99</v>
          </cell>
          <cell r="M3004"/>
          <cell r="N3004">
            <v>542</v>
          </cell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</row>
        <row r="3005">
          <cell r="A3005" t="str">
            <v>IMPORTADORA RICAMAR - SUPER 99</v>
          </cell>
          <cell r="C3005">
            <v>0</v>
          </cell>
          <cell r="D3005">
            <v>13</v>
          </cell>
          <cell r="E3005">
            <v>37</v>
          </cell>
          <cell r="F3005">
            <v>28</v>
          </cell>
          <cell r="G3005">
            <v>243</v>
          </cell>
          <cell r="J3005" t="str">
            <v>IMPORTADORA RICAMAR - SUPER 99</v>
          </cell>
          <cell r="M3005"/>
          <cell r="N3005"/>
          <cell r="O3005"/>
          <cell r="P3005"/>
          <cell r="Q3005"/>
          <cell r="R3005"/>
          <cell r="S3005">
            <v>211</v>
          </cell>
          <cell r="T3005"/>
          <cell r="U3005"/>
          <cell r="V3005"/>
          <cell r="W3005"/>
          <cell r="X3005"/>
          <cell r="Y3005"/>
        </row>
        <row r="3006">
          <cell r="A3006" t="str">
            <v>IMPORTADORA RICAMAR - SUPER 99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542</v>
          </cell>
          <cell r="J3006" t="str">
            <v>IMPORTADORA RICAMAR - SUPER 99</v>
          </cell>
          <cell r="M3006"/>
          <cell r="N3006">
            <v>264</v>
          </cell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</row>
        <row r="3007">
          <cell r="A3007" t="str">
            <v>IMPORTADORA RICAMAR - SUPER 99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211</v>
          </cell>
          <cell r="J3007" t="str">
            <v>IMPORTADORA RICAMAR - SUPER 99</v>
          </cell>
          <cell r="M3007"/>
          <cell r="N3007"/>
          <cell r="O3007"/>
          <cell r="P3007"/>
          <cell r="Q3007"/>
          <cell r="R3007"/>
          <cell r="S3007">
            <v>179</v>
          </cell>
          <cell r="T3007"/>
          <cell r="U3007"/>
          <cell r="V3007"/>
          <cell r="W3007"/>
          <cell r="X3007"/>
          <cell r="Y3007"/>
        </row>
        <row r="3008">
          <cell r="A3008" t="str">
            <v>IMPORTADORA RICAMAR - SUPER 99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264</v>
          </cell>
          <cell r="J3008" t="str">
            <v>IMPORTADORA RICAMAR - SUPER 99</v>
          </cell>
          <cell r="M3008"/>
          <cell r="N3008">
            <v>162</v>
          </cell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</row>
        <row r="3009">
          <cell r="A3009" t="str">
            <v>IMPORTADORA RICAMAR - SUPER 99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179</v>
          </cell>
          <cell r="J3009" t="str">
            <v>IMPORTADORA RICAMAR - SUPER 99</v>
          </cell>
          <cell r="M3009">
            <v>201</v>
          </cell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</row>
        <row r="3010">
          <cell r="A3010" t="str">
            <v>IMPORTADORA RICAMAR - SUPER 99</v>
          </cell>
          <cell r="C3010">
            <v>162</v>
          </cell>
          <cell r="D3010">
            <v>0</v>
          </cell>
          <cell r="E3010">
            <v>0</v>
          </cell>
          <cell r="F3010">
            <v>0</v>
          </cell>
          <cell r="G3010">
            <v>162</v>
          </cell>
          <cell r="J3010" t="str">
            <v>IMPORTADORA RICAMAR - SUPER 99</v>
          </cell>
          <cell r="M3010"/>
          <cell r="N3010"/>
          <cell r="O3010">
            <v>1200</v>
          </cell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</row>
        <row r="3011">
          <cell r="A3011" t="str">
            <v>IMPORTADORA RICAMAR - SUPER 99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201</v>
          </cell>
          <cell r="J3011" t="str">
            <v>IMPORTADORA RICAMAR - SUPER 99</v>
          </cell>
          <cell r="M3011"/>
          <cell r="N3011">
            <v>60</v>
          </cell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</row>
        <row r="3012">
          <cell r="A3012" t="str">
            <v>IMPORTADORA RICAMAR - SUPER 99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1200</v>
          </cell>
          <cell r="J3012" t="str">
            <v>IMPORTADORA RICAMAR - SUPER 99</v>
          </cell>
          <cell r="M3012"/>
          <cell r="N3012"/>
          <cell r="O3012">
            <v>219</v>
          </cell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</row>
        <row r="3013">
          <cell r="A3013" t="str">
            <v>IMPORTADORA RICAMAR - SUPER 99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60</v>
          </cell>
          <cell r="J3013" t="str">
            <v>IMPORTADORA RICAMAR - SUPER 99</v>
          </cell>
          <cell r="M3013"/>
          <cell r="N3013"/>
          <cell r="O3013"/>
          <cell r="P3013"/>
          <cell r="Q3013">
            <v>60</v>
          </cell>
          <cell r="R3013"/>
          <cell r="S3013"/>
          <cell r="T3013"/>
          <cell r="U3013"/>
          <cell r="V3013"/>
          <cell r="W3013"/>
          <cell r="X3013"/>
          <cell r="Y3013"/>
        </row>
        <row r="3014">
          <cell r="A3014" t="str">
            <v>IMPORTADORA RICAMAR - SUPER 99</v>
          </cell>
          <cell r="C3014">
            <v>0</v>
          </cell>
          <cell r="D3014">
            <v>16</v>
          </cell>
          <cell r="E3014">
            <v>19</v>
          </cell>
          <cell r="F3014">
            <v>19</v>
          </cell>
          <cell r="G3014">
            <v>219</v>
          </cell>
          <cell r="J3014" t="str">
            <v>IMPORTADORA RICAMAR - SUPER 99</v>
          </cell>
          <cell r="M3014">
            <v>400</v>
          </cell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</row>
        <row r="3015">
          <cell r="A3015" t="str">
            <v>IMPORTADORA RICAMAR - SUPER 99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60</v>
          </cell>
          <cell r="J3015" t="str">
            <v>IMPORTADORA RICAMAR - SUPER 99</v>
          </cell>
          <cell r="M3015"/>
          <cell r="N3015"/>
          <cell r="O3015"/>
          <cell r="P3015"/>
          <cell r="Q3015">
            <v>496</v>
          </cell>
          <cell r="R3015"/>
          <cell r="S3015"/>
          <cell r="T3015"/>
          <cell r="U3015"/>
          <cell r="V3015"/>
          <cell r="W3015"/>
          <cell r="X3015"/>
          <cell r="Y3015"/>
        </row>
        <row r="3016">
          <cell r="A3016" t="str">
            <v>IMPORTADORA RICAMAR - SUPER 99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400</v>
          </cell>
          <cell r="J3016" t="str">
            <v>IMPORTADORA RICAMAR - SUPER 99</v>
          </cell>
          <cell r="M3016"/>
          <cell r="N3016"/>
          <cell r="O3016">
            <v>34</v>
          </cell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</row>
        <row r="3017">
          <cell r="A3017" t="str">
            <v>IMPORTADORA RICAMAR - SUPER 99</v>
          </cell>
          <cell r="C3017">
            <v>73</v>
          </cell>
          <cell r="D3017">
            <v>0</v>
          </cell>
          <cell r="E3017">
            <v>0</v>
          </cell>
          <cell r="F3017">
            <v>0</v>
          </cell>
          <cell r="G3017">
            <v>496</v>
          </cell>
          <cell r="J3017" t="str">
            <v>IMPORTADORA RICAMAR - SUPER 99</v>
          </cell>
          <cell r="M3017">
            <v>352</v>
          </cell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</row>
        <row r="3018">
          <cell r="A3018" t="str">
            <v>IMPORTADORA RICAMAR - SUPER 99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34</v>
          </cell>
          <cell r="J3018" t="str">
            <v>IMPORTADORA RICAMAR - SUPER 99</v>
          </cell>
          <cell r="M3018"/>
          <cell r="N3018">
            <v>97</v>
          </cell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</row>
        <row r="3019">
          <cell r="A3019" t="str">
            <v>IMPORTADORA RICAMAR - SUPER 99</v>
          </cell>
          <cell r="C3019">
            <v>225</v>
          </cell>
          <cell r="D3019">
            <v>0</v>
          </cell>
          <cell r="E3019">
            <v>0</v>
          </cell>
          <cell r="F3019">
            <v>0</v>
          </cell>
          <cell r="G3019">
            <v>352</v>
          </cell>
          <cell r="J3019" t="str">
            <v>IMPORTADORA RICAMAR - SUPER 99</v>
          </cell>
          <cell r="M3019">
            <v>77</v>
          </cell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</row>
        <row r="3020">
          <cell r="A3020" t="str">
            <v>IMPORTADORA RICAMAR - SUPER 99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97</v>
          </cell>
          <cell r="J3020" t="str">
            <v>IMPORTADORA RICAMAR - SUPER 99</v>
          </cell>
          <cell r="M3020">
            <v>0</v>
          </cell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</row>
        <row r="3021">
          <cell r="A3021" t="str">
            <v>IMPORTADORA RICAMAR - SUPER 99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77</v>
          </cell>
          <cell r="J3021" t="str">
            <v>IMPORTADORA RICAMAR - SUPER 99</v>
          </cell>
          <cell r="M3021"/>
          <cell r="N3021"/>
          <cell r="O3021">
            <v>421</v>
          </cell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</row>
        <row r="3022">
          <cell r="A3022" t="str">
            <v>IMPORTADORA RICAMAR - SUPER 99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J3022" t="str">
            <v>IMPORTADORA RICAMAR - SUPER 99</v>
          </cell>
          <cell r="M3022"/>
          <cell r="N3022"/>
          <cell r="O3022"/>
          <cell r="P3022">
            <v>173</v>
          </cell>
          <cell r="Q3022"/>
          <cell r="R3022"/>
          <cell r="S3022"/>
          <cell r="T3022"/>
          <cell r="U3022"/>
          <cell r="V3022"/>
          <cell r="W3022"/>
          <cell r="X3022"/>
          <cell r="Y3022"/>
        </row>
        <row r="3023">
          <cell r="A3023" t="str">
            <v>IMPORTADORA RICAMAR - SUPER 99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421</v>
          </cell>
          <cell r="J3023" t="str">
            <v>AGENCIAS ESCOFFERY, S.A</v>
          </cell>
          <cell r="M3023"/>
          <cell r="N3023">
            <v>100</v>
          </cell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</row>
        <row r="3024">
          <cell r="A3024" t="str">
            <v>IMPORTADORA RICAMAR - SUPER 99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173</v>
          </cell>
          <cell r="J3024" t="str">
            <v>AGENCIAS ESCOFFERY, S.A</v>
          </cell>
          <cell r="M3024"/>
          <cell r="N3024"/>
          <cell r="O3024"/>
          <cell r="P3024"/>
          <cell r="Q3024"/>
          <cell r="R3024">
            <v>180</v>
          </cell>
          <cell r="S3024"/>
          <cell r="T3024"/>
          <cell r="U3024"/>
          <cell r="V3024"/>
          <cell r="W3024"/>
          <cell r="X3024"/>
          <cell r="Y3024"/>
        </row>
        <row r="3025">
          <cell r="A3025" t="str">
            <v>AGENCIAS ESCOFFERY, S.A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100</v>
          </cell>
          <cell r="J3025" t="str">
            <v>AGENCIAS ESCOFFERY, S.A</v>
          </cell>
          <cell r="M3025">
            <v>0</v>
          </cell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</row>
        <row r="3026">
          <cell r="A3026" t="str">
            <v>AGENCIAS ESCOFFERY, S.A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180</v>
          </cell>
          <cell r="J3026" t="str">
            <v>AGENCIAS ESCOFFERY, S.A</v>
          </cell>
          <cell r="M3026"/>
          <cell r="N3026">
            <v>282</v>
          </cell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</row>
        <row r="3027">
          <cell r="A3027" t="str">
            <v>AGENCIAS ESCOFFERY, S.A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J3027" t="str">
            <v>AGENCIAS ESCOFFERY, S.A</v>
          </cell>
          <cell r="M3027"/>
          <cell r="N3027">
            <v>38</v>
          </cell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</row>
        <row r="3028">
          <cell r="A3028" t="str">
            <v>AGENCIAS ESCOFFERY, S.A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282</v>
          </cell>
          <cell r="J3028" t="str">
            <v>AGENCIAS ESCOFFERY, S.A</v>
          </cell>
          <cell r="M3028"/>
          <cell r="N3028">
            <v>62</v>
          </cell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</row>
        <row r="3029">
          <cell r="A3029" t="str">
            <v>AGENCIAS ESCOFFERY, S.A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38</v>
          </cell>
          <cell r="J3029" t="str">
            <v>AGENCIAS ESCOFFERY, S.A</v>
          </cell>
          <cell r="M3029"/>
          <cell r="N3029">
            <v>542</v>
          </cell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</row>
        <row r="3030">
          <cell r="A3030" t="str">
            <v>AGENCIAS ESCOFFERY, S.A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62</v>
          </cell>
          <cell r="J3030" t="str">
            <v>AGENCIAS ESCOFFERY, S.A</v>
          </cell>
          <cell r="M3030"/>
          <cell r="N3030"/>
          <cell r="O3030">
            <v>138</v>
          </cell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</row>
        <row r="3031">
          <cell r="A3031" t="str">
            <v>AGENCIAS ESCOFFERY, S.A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542</v>
          </cell>
          <cell r="J3031" t="str">
            <v>AGENCIAS ESCOFFERY, S.A</v>
          </cell>
          <cell r="M3031"/>
          <cell r="N3031">
            <v>62</v>
          </cell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</row>
        <row r="3032">
          <cell r="A3032" t="str">
            <v>AGENCIAS ESCOFFERY, S.A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138</v>
          </cell>
          <cell r="J3032" t="str">
            <v>AGENCIAS ESCOFFERY, S.A</v>
          </cell>
          <cell r="M3032"/>
          <cell r="N3032">
            <v>86</v>
          </cell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</row>
        <row r="3033">
          <cell r="A3033" t="str">
            <v>AGENCIAS ESCOFFERY, S.A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62</v>
          </cell>
          <cell r="J3033" t="str">
            <v>AGENCIAS ESCOFFERY, S.A</v>
          </cell>
          <cell r="M3033"/>
          <cell r="N3033">
            <v>0</v>
          </cell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</row>
        <row r="3034">
          <cell r="A3034" t="str">
            <v>AGENCIAS ESCOFFERY, S.A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86</v>
          </cell>
          <cell r="J3034" t="str">
            <v>AGENCIAS ESCOFFERY, S.A</v>
          </cell>
          <cell r="M3034">
            <v>150</v>
          </cell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</row>
        <row r="3035">
          <cell r="A3035" t="str">
            <v>AGENCIAS ESCOFFERY, S.A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J3035" t="str">
            <v>AGENCIAS ESCOFFERY, S.A</v>
          </cell>
          <cell r="M3035"/>
          <cell r="N3035"/>
          <cell r="O3035">
            <v>1200</v>
          </cell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</row>
        <row r="3036">
          <cell r="A3036" t="str">
            <v>AGENCIAS ESCOFFERY, S.A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150</v>
          </cell>
          <cell r="J3036" t="str">
            <v>AGENCIAS ESCOFFERY, S.A</v>
          </cell>
          <cell r="M3036"/>
          <cell r="N3036">
            <v>120</v>
          </cell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</row>
        <row r="3037">
          <cell r="A3037" t="str">
            <v>AGENCIAS ESCOFFERY, S.A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1200</v>
          </cell>
          <cell r="J3037" t="str">
            <v>AGENCIAS ESCOFFERY, S.A</v>
          </cell>
          <cell r="M3037"/>
          <cell r="N3037">
            <v>90</v>
          </cell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</row>
        <row r="3038">
          <cell r="A3038" t="str">
            <v>AGENCIAS ESCOFFERY, S.A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>
            <v>120</v>
          </cell>
          <cell r="J3038" t="str">
            <v>AGENCIAS ESCOFFERY, S.A</v>
          </cell>
          <cell r="M3038"/>
          <cell r="N3038">
            <v>165</v>
          </cell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</row>
        <row r="3039">
          <cell r="A3039" t="str">
            <v>AGENCIAS ESCOFFERY, S.A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90</v>
          </cell>
          <cell r="J3039" t="str">
            <v>AGENCIAS ESCOFFERY, S.A</v>
          </cell>
          <cell r="M3039"/>
          <cell r="N3039">
            <v>456</v>
          </cell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</row>
        <row r="3040">
          <cell r="A3040" t="str">
            <v>AGENCIAS ESCOFFERY, S.A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>
            <v>165</v>
          </cell>
          <cell r="J3040" t="str">
            <v>AGENCIAS ESCOFFERY, S.A</v>
          </cell>
          <cell r="M3040"/>
          <cell r="N3040">
            <v>75</v>
          </cell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</row>
        <row r="3041">
          <cell r="A3041" t="str">
            <v>AGENCIAS ESCOFFERY, S.A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456</v>
          </cell>
          <cell r="J3041" t="str">
            <v>AGENCIAS ESCOFFERY, S.A</v>
          </cell>
          <cell r="M3041"/>
          <cell r="N3041"/>
          <cell r="O3041">
            <v>219</v>
          </cell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</row>
        <row r="3042">
          <cell r="A3042" t="str">
            <v>AGENCIAS ESCOFFERY, S.A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>
            <v>75</v>
          </cell>
          <cell r="J3042" t="str">
            <v>AGENCIAS ESCOFFERY, S.A</v>
          </cell>
          <cell r="M3042">
            <v>400</v>
          </cell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</row>
        <row r="3043">
          <cell r="A3043" t="str">
            <v>AGENCIAS ESCOFFERY, S.A</v>
          </cell>
          <cell r="C3043">
            <v>0</v>
          </cell>
          <cell r="D3043">
            <v>16</v>
          </cell>
          <cell r="E3043">
            <v>19</v>
          </cell>
          <cell r="F3043">
            <v>19</v>
          </cell>
          <cell r="G3043">
            <v>219</v>
          </cell>
          <cell r="J3043" t="str">
            <v>AGENCIAS ESCOFFERY, S.A</v>
          </cell>
          <cell r="M3043"/>
          <cell r="N3043">
            <v>230</v>
          </cell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</row>
        <row r="3044">
          <cell r="A3044" t="str">
            <v>AGENCIAS ESCOFFERY, S.A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G3044">
            <v>400</v>
          </cell>
          <cell r="J3044" t="str">
            <v>AGENCIAS ESCOFFERY, S.A</v>
          </cell>
          <cell r="M3044"/>
          <cell r="N3044"/>
          <cell r="O3044"/>
          <cell r="P3044"/>
          <cell r="Q3044"/>
          <cell r="R3044">
            <v>130</v>
          </cell>
          <cell r="S3044"/>
          <cell r="T3044"/>
          <cell r="U3044"/>
          <cell r="V3044"/>
          <cell r="W3044"/>
          <cell r="X3044"/>
          <cell r="Y3044"/>
        </row>
        <row r="3045">
          <cell r="A3045" t="str">
            <v>AGENCIAS ESCOFFERY, S.A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230</v>
          </cell>
          <cell r="J3045" t="str">
            <v>AGENCIAS ESCOFFERY, S.A</v>
          </cell>
          <cell r="M3045">
            <v>125</v>
          </cell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</row>
        <row r="3046">
          <cell r="A3046" t="str">
            <v>AGENCIAS ESCOFFERY, S.A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130</v>
          </cell>
          <cell r="J3046" t="str">
            <v>AGENCIAS ESCOFFERY, S.A</v>
          </cell>
          <cell r="M3046">
            <v>209</v>
          </cell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</row>
        <row r="3047">
          <cell r="A3047" t="str">
            <v>AGENCIAS ESCOFFERY, S.A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>
            <v>125</v>
          </cell>
          <cell r="J3047" t="str">
            <v>AGENCIAS ESCOFFERY, S.A</v>
          </cell>
          <cell r="M3047">
            <v>265</v>
          </cell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</row>
        <row r="3048">
          <cell r="A3048" t="str">
            <v>AGENCIAS ESCOFFERY, S.A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>
            <v>209</v>
          </cell>
          <cell r="J3048" t="str">
            <v>AGENCIAS ESCOFFERY, S.A</v>
          </cell>
          <cell r="M3048">
            <v>600</v>
          </cell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</row>
        <row r="3049">
          <cell r="A3049" t="str">
            <v>AGENCIAS ESCOFFERY, S.A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265</v>
          </cell>
          <cell r="J3049" t="str">
            <v>AGENCIAS ESCOFFERY, S.A</v>
          </cell>
          <cell r="M3049"/>
          <cell r="N3049"/>
          <cell r="O3049">
            <v>480</v>
          </cell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</row>
        <row r="3050">
          <cell r="A3050" t="str">
            <v>AGENCIAS ESCOFFERY, S.A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600</v>
          </cell>
          <cell r="J3050" t="str">
            <v>AGENCIAS ESCOFFERY, S.A</v>
          </cell>
          <cell r="M3050">
            <v>740</v>
          </cell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</row>
        <row r="3051">
          <cell r="A3051" t="str">
            <v>AGENCIAS ESCOFFERY, S.A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480</v>
          </cell>
          <cell r="J3051" t="str">
            <v>AGENCIAS ESCOFFERY, S.A</v>
          </cell>
          <cell r="M3051"/>
          <cell r="N3051"/>
          <cell r="O3051">
            <v>346</v>
          </cell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</row>
        <row r="3052">
          <cell r="A3052" t="str">
            <v>AGENCIAS ESCOFFERY, S.A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740</v>
          </cell>
          <cell r="J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</row>
        <row r="3053">
          <cell r="A3053" t="str">
            <v>AGENCIAS ESCOFFERY, S.A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346</v>
          </cell>
          <cell r="J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</row>
        <row r="3054">
          <cell r="A3054"/>
          <cell r="C3054"/>
          <cell r="D3054"/>
          <cell r="E3054"/>
          <cell r="F3054"/>
          <cell r="G3054"/>
          <cell r="J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</row>
        <row r="3055">
          <cell r="A3055"/>
          <cell r="C3055"/>
          <cell r="D3055"/>
          <cell r="E3055"/>
          <cell r="F3055"/>
          <cell r="G3055"/>
          <cell r="J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</row>
        <row r="3056">
          <cell r="A3056"/>
          <cell r="C3056"/>
          <cell r="D3056"/>
          <cell r="E3056"/>
          <cell r="F3056"/>
          <cell r="G3056"/>
          <cell r="J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</row>
        <row r="7825">
          <cell r="A7825"/>
          <cell r="C7825"/>
          <cell r="D7825"/>
          <cell r="E7825"/>
          <cell r="F7825"/>
          <cell r="G7825"/>
          <cell r="J7825"/>
          <cell r="M7825"/>
          <cell r="N7825"/>
          <cell r="O7825"/>
          <cell r="P7825"/>
          <cell r="Q7825"/>
          <cell r="R7825"/>
          <cell r="S7825"/>
          <cell r="T7825"/>
          <cell r="U7825"/>
          <cell r="V7825"/>
          <cell r="W7825"/>
          <cell r="X7825"/>
        </row>
        <row r="7826">
          <cell r="A7826"/>
          <cell r="C7826"/>
          <cell r="D7826"/>
          <cell r="E7826"/>
          <cell r="F7826"/>
          <cell r="G7826"/>
          <cell r="J7826"/>
          <cell r="M7826"/>
          <cell r="N7826"/>
          <cell r="O7826"/>
          <cell r="P7826"/>
          <cell r="Q7826"/>
          <cell r="R7826"/>
          <cell r="S7826"/>
          <cell r="T7826"/>
          <cell r="U7826"/>
          <cell r="V7826"/>
          <cell r="W7826"/>
          <cell r="X7826"/>
        </row>
        <row r="7827">
          <cell r="A7827"/>
          <cell r="C7827"/>
          <cell r="D7827"/>
          <cell r="E7827"/>
          <cell r="F7827"/>
          <cell r="G7827"/>
          <cell r="J7827"/>
          <cell r="M7827"/>
          <cell r="N7827"/>
          <cell r="O7827"/>
          <cell r="P7827"/>
          <cell r="Q7827"/>
          <cell r="R7827"/>
          <cell r="S7827"/>
          <cell r="T7827"/>
          <cell r="U7827"/>
          <cell r="V7827"/>
          <cell r="W7827"/>
          <cell r="X7827"/>
        </row>
        <row r="7828">
          <cell r="A7828"/>
          <cell r="C7828"/>
          <cell r="D7828"/>
          <cell r="E7828"/>
          <cell r="F7828"/>
          <cell r="G7828"/>
          <cell r="J7828"/>
        </row>
        <row r="7829">
          <cell r="A7829"/>
          <cell r="C7829"/>
          <cell r="D7829"/>
          <cell r="E7829"/>
          <cell r="F7829"/>
          <cell r="G7829"/>
          <cell r="J7829"/>
        </row>
        <row r="7830">
          <cell r="A7830"/>
          <cell r="C7830"/>
          <cell r="D7830"/>
          <cell r="E7830"/>
          <cell r="F7830"/>
          <cell r="G7830"/>
          <cell r="J7830"/>
        </row>
        <row r="7831">
          <cell r="A7831"/>
          <cell r="C7831"/>
          <cell r="D7831"/>
          <cell r="E7831"/>
          <cell r="F7831"/>
          <cell r="G7831"/>
          <cell r="J7831"/>
        </row>
        <row r="7832">
          <cell r="A7832"/>
          <cell r="C7832"/>
          <cell r="D7832"/>
          <cell r="E7832"/>
          <cell r="F7832"/>
          <cell r="G7832"/>
          <cell r="J7832"/>
        </row>
        <row r="7833">
          <cell r="A7833"/>
          <cell r="C7833"/>
          <cell r="D7833"/>
          <cell r="E7833"/>
          <cell r="F7833"/>
          <cell r="G7833"/>
          <cell r="J7833"/>
        </row>
        <row r="7834">
          <cell r="A7834"/>
          <cell r="C7834"/>
          <cell r="D7834"/>
          <cell r="E7834"/>
          <cell r="F7834"/>
          <cell r="G7834"/>
          <cell r="J7834"/>
        </row>
        <row r="7835">
          <cell r="A7835"/>
          <cell r="C7835"/>
          <cell r="D7835"/>
          <cell r="E7835"/>
          <cell r="F7835"/>
          <cell r="G7835"/>
          <cell r="J7835"/>
        </row>
        <row r="7836">
          <cell r="A7836"/>
          <cell r="C7836"/>
          <cell r="D7836"/>
          <cell r="E7836"/>
          <cell r="F7836"/>
          <cell r="G7836"/>
          <cell r="J7836"/>
        </row>
        <row r="7837">
          <cell r="A7837"/>
          <cell r="C7837"/>
          <cell r="D7837"/>
          <cell r="E7837"/>
          <cell r="F7837"/>
          <cell r="G7837"/>
          <cell r="J7837"/>
        </row>
        <row r="7838">
          <cell r="A7838"/>
          <cell r="C7838"/>
          <cell r="D7838"/>
          <cell r="E7838"/>
          <cell r="F7838"/>
          <cell r="G7838"/>
          <cell r="J7838"/>
        </row>
        <row r="7839">
          <cell r="A7839"/>
          <cell r="C7839"/>
          <cell r="D7839"/>
          <cell r="E7839"/>
          <cell r="F7839"/>
          <cell r="G7839"/>
          <cell r="J7839"/>
        </row>
        <row r="7840">
          <cell r="A7840"/>
          <cell r="C7840"/>
          <cell r="D7840"/>
          <cell r="E7840"/>
          <cell r="F7840"/>
          <cell r="G7840"/>
          <cell r="J7840"/>
        </row>
        <row r="7841">
          <cell r="A7841"/>
          <cell r="C7841"/>
          <cell r="D7841"/>
          <cell r="E7841"/>
          <cell r="F7841"/>
          <cell r="G7841"/>
          <cell r="J7841"/>
        </row>
        <row r="7842">
          <cell r="A7842"/>
          <cell r="C7842"/>
          <cell r="D7842"/>
          <cell r="E7842"/>
          <cell r="F7842"/>
          <cell r="G7842"/>
          <cell r="J7842"/>
        </row>
        <row r="7843">
          <cell r="A7843"/>
          <cell r="C7843"/>
          <cell r="D7843"/>
          <cell r="E7843"/>
          <cell r="F7843"/>
          <cell r="G7843"/>
          <cell r="J7843"/>
        </row>
        <row r="7844">
          <cell r="A7844"/>
          <cell r="C7844"/>
          <cell r="D7844"/>
          <cell r="E7844"/>
          <cell r="F7844"/>
          <cell r="G7844"/>
          <cell r="J7844"/>
        </row>
        <row r="7845">
          <cell r="A7845"/>
          <cell r="C7845"/>
          <cell r="D7845"/>
          <cell r="E7845"/>
          <cell r="F7845"/>
          <cell r="G7845"/>
          <cell r="J7845"/>
        </row>
        <row r="7846">
          <cell r="A7846"/>
          <cell r="C7846"/>
          <cell r="D7846"/>
          <cell r="E7846"/>
          <cell r="F7846"/>
          <cell r="G7846"/>
          <cell r="J7846"/>
        </row>
        <row r="7847">
          <cell r="A7847"/>
          <cell r="C7847"/>
          <cell r="D7847"/>
          <cell r="E7847"/>
          <cell r="F7847"/>
          <cell r="G7847"/>
          <cell r="J7847"/>
        </row>
        <row r="7848">
          <cell r="A7848"/>
          <cell r="C7848"/>
          <cell r="D7848"/>
          <cell r="E7848"/>
          <cell r="F7848"/>
          <cell r="G7848"/>
          <cell r="J7848"/>
        </row>
        <row r="7849">
          <cell r="A7849"/>
          <cell r="C7849"/>
          <cell r="D7849"/>
          <cell r="E7849"/>
          <cell r="F7849"/>
          <cell r="G7849"/>
          <cell r="J7849"/>
        </row>
        <row r="7850">
          <cell r="A7850"/>
          <cell r="C7850"/>
          <cell r="D7850"/>
          <cell r="E7850"/>
          <cell r="F7850"/>
          <cell r="G7850"/>
          <cell r="J7850"/>
        </row>
        <row r="7851">
          <cell r="A7851"/>
          <cell r="C7851"/>
          <cell r="D7851"/>
          <cell r="E7851"/>
          <cell r="F7851"/>
          <cell r="G7851"/>
          <cell r="J7851"/>
        </row>
        <row r="7852">
          <cell r="A7852"/>
          <cell r="C7852"/>
          <cell r="D7852"/>
          <cell r="E7852"/>
          <cell r="F7852"/>
          <cell r="G7852"/>
          <cell r="J7852"/>
        </row>
        <row r="7853">
          <cell r="A7853"/>
          <cell r="C7853"/>
          <cell r="D7853"/>
          <cell r="E7853"/>
          <cell r="F7853"/>
          <cell r="G7853"/>
          <cell r="J7853"/>
        </row>
        <row r="7854">
          <cell r="A7854"/>
          <cell r="C7854"/>
          <cell r="D7854"/>
          <cell r="E7854"/>
          <cell r="F7854"/>
          <cell r="G7854"/>
          <cell r="J7854"/>
        </row>
        <row r="7855">
          <cell r="A7855"/>
          <cell r="C7855"/>
          <cell r="D7855"/>
          <cell r="E7855"/>
          <cell r="F7855"/>
          <cell r="G7855"/>
          <cell r="J7855"/>
        </row>
        <row r="7856">
          <cell r="A7856"/>
          <cell r="C7856"/>
          <cell r="D7856"/>
          <cell r="E7856"/>
          <cell r="F7856"/>
          <cell r="G7856"/>
          <cell r="J7856"/>
        </row>
        <row r="7857">
          <cell r="A7857"/>
          <cell r="C7857"/>
          <cell r="D7857"/>
          <cell r="E7857"/>
          <cell r="F7857"/>
          <cell r="G7857"/>
          <cell r="J7857"/>
        </row>
        <row r="7858">
          <cell r="A7858"/>
          <cell r="C7858"/>
          <cell r="D7858"/>
          <cell r="E7858"/>
          <cell r="F7858"/>
          <cell r="G7858"/>
          <cell r="J7858"/>
        </row>
        <row r="7859">
          <cell r="A7859"/>
          <cell r="C7859"/>
          <cell r="D7859"/>
          <cell r="E7859"/>
          <cell r="F7859"/>
          <cell r="G7859"/>
          <cell r="J7859"/>
        </row>
        <row r="7860">
          <cell r="A7860"/>
          <cell r="C7860"/>
          <cell r="D7860"/>
          <cell r="E7860"/>
          <cell r="F7860"/>
          <cell r="G7860"/>
          <cell r="J7860"/>
        </row>
        <row r="7861">
          <cell r="A7861"/>
          <cell r="C7861"/>
          <cell r="D7861"/>
          <cell r="E7861"/>
          <cell r="F7861"/>
          <cell r="G7861"/>
          <cell r="J7861"/>
        </row>
        <row r="7862">
          <cell r="A7862"/>
          <cell r="C7862"/>
          <cell r="D7862"/>
          <cell r="E7862"/>
          <cell r="F7862"/>
          <cell r="G7862"/>
          <cell r="J7862"/>
        </row>
        <row r="7863">
          <cell r="A7863"/>
          <cell r="C7863"/>
          <cell r="D7863"/>
          <cell r="E7863"/>
          <cell r="F7863"/>
          <cell r="G7863"/>
          <cell r="J7863"/>
        </row>
        <row r="7864">
          <cell r="A7864"/>
          <cell r="C7864"/>
          <cell r="D7864"/>
          <cell r="E7864"/>
          <cell r="F7864"/>
          <cell r="G7864"/>
          <cell r="J7864"/>
        </row>
        <row r="7865">
          <cell r="A7865"/>
          <cell r="C7865"/>
          <cell r="D7865"/>
          <cell r="E7865"/>
          <cell r="F7865"/>
          <cell r="G7865"/>
          <cell r="J7865"/>
        </row>
        <row r="7866">
          <cell r="A7866"/>
          <cell r="C7866"/>
          <cell r="D7866"/>
          <cell r="E7866"/>
          <cell r="F7866"/>
          <cell r="G7866"/>
          <cell r="J7866"/>
        </row>
        <row r="7867">
          <cell r="A7867"/>
          <cell r="C7867"/>
          <cell r="D7867"/>
          <cell r="E7867"/>
          <cell r="F7867"/>
          <cell r="G7867"/>
          <cell r="J7867"/>
        </row>
        <row r="7868">
          <cell r="A7868"/>
          <cell r="C7868"/>
          <cell r="D7868"/>
          <cell r="E7868"/>
          <cell r="F7868"/>
          <cell r="G7868"/>
          <cell r="J7868"/>
        </row>
        <row r="7869">
          <cell r="A7869"/>
          <cell r="C7869"/>
          <cell r="D7869"/>
          <cell r="E7869"/>
          <cell r="F7869"/>
          <cell r="G7869"/>
          <cell r="J7869"/>
        </row>
        <row r="7870">
          <cell r="A7870"/>
          <cell r="C7870"/>
          <cell r="D7870"/>
          <cell r="E7870"/>
          <cell r="F7870"/>
          <cell r="G7870"/>
          <cell r="J7870"/>
        </row>
        <row r="7871">
          <cell r="A7871"/>
          <cell r="C7871"/>
          <cell r="D7871"/>
          <cell r="E7871"/>
          <cell r="F7871"/>
          <cell r="G7871"/>
          <cell r="J7871"/>
        </row>
        <row r="7872">
          <cell r="A7872"/>
          <cell r="C7872"/>
          <cell r="D7872"/>
          <cell r="E7872"/>
          <cell r="F7872"/>
          <cell r="G7872"/>
          <cell r="J7872"/>
        </row>
        <row r="7873">
          <cell r="A7873"/>
          <cell r="C7873"/>
          <cell r="D7873"/>
          <cell r="E7873"/>
          <cell r="F7873"/>
          <cell r="G7873"/>
          <cell r="J7873"/>
        </row>
        <row r="7874">
          <cell r="A7874"/>
          <cell r="C7874"/>
          <cell r="D7874"/>
          <cell r="E7874"/>
          <cell r="F7874"/>
          <cell r="G7874"/>
          <cell r="J7874"/>
        </row>
        <row r="7875">
          <cell r="A7875"/>
          <cell r="C7875"/>
          <cell r="D7875"/>
          <cell r="E7875"/>
          <cell r="F7875"/>
          <cell r="G7875"/>
          <cell r="J7875"/>
        </row>
        <row r="7876">
          <cell r="A7876"/>
          <cell r="C7876"/>
          <cell r="D7876"/>
          <cell r="E7876"/>
          <cell r="F7876"/>
          <cell r="G7876"/>
          <cell r="J7876"/>
        </row>
        <row r="7877">
          <cell r="A7877"/>
          <cell r="C7877"/>
          <cell r="D7877"/>
          <cell r="E7877"/>
          <cell r="F7877"/>
          <cell r="G7877"/>
          <cell r="J7877"/>
        </row>
        <row r="7878">
          <cell r="A7878"/>
          <cell r="C7878"/>
          <cell r="D7878"/>
          <cell r="E7878"/>
          <cell r="F7878"/>
          <cell r="G7878"/>
          <cell r="J7878"/>
        </row>
        <row r="7879">
          <cell r="A7879"/>
          <cell r="C7879"/>
          <cell r="D7879"/>
          <cell r="E7879"/>
          <cell r="F7879"/>
          <cell r="G7879"/>
          <cell r="J7879"/>
        </row>
        <row r="7880">
          <cell r="A7880"/>
          <cell r="C7880"/>
          <cell r="D7880"/>
          <cell r="E7880"/>
          <cell r="F7880"/>
          <cell r="G7880"/>
          <cell r="J7880"/>
        </row>
        <row r="7881">
          <cell r="A7881"/>
          <cell r="C7881"/>
          <cell r="D7881"/>
          <cell r="E7881"/>
          <cell r="F7881"/>
          <cell r="G7881"/>
          <cell r="J7881"/>
        </row>
        <row r="7882">
          <cell r="A7882"/>
          <cell r="C7882"/>
          <cell r="D7882"/>
          <cell r="E7882"/>
          <cell r="F7882"/>
          <cell r="G7882"/>
          <cell r="J7882"/>
        </row>
        <row r="7883">
          <cell r="A7883"/>
          <cell r="C7883"/>
          <cell r="D7883"/>
          <cell r="E7883"/>
          <cell r="F7883"/>
          <cell r="G7883"/>
          <cell r="J7883"/>
        </row>
        <row r="7884">
          <cell r="A7884"/>
          <cell r="C7884"/>
          <cell r="D7884"/>
          <cell r="E7884"/>
          <cell r="F7884"/>
          <cell r="G7884"/>
          <cell r="J7884"/>
        </row>
        <row r="7885">
          <cell r="A7885"/>
          <cell r="C7885"/>
          <cell r="D7885"/>
          <cell r="E7885"/>
          <cell r="F7885"/>
          <cell r="G7885"/>
          <cell r="J7885"/>
        </row>
        <row r="7886">
          <cell r="A7886"/>
          <cell r="C7886"/>
          <cell r="D7886"/>
          <cell r="E7886"/>
          <cell r="F7886"/>
          <cell r="G7886"/>
          <cell r="J7886"/>
        </row>
        <row r="7887">
          <cell r="A7887"/>
          <cell r="C7887"/>
          <cell r="D7887"/>
          <cell r="E7887"/>
          <cell r="F7887"/>
          <cell r="G7887"/>
          <cell r="J7887"/>
        </row>
        <row r="7888">
          <cell r="A7888"/>
          <cell r="C7888"/>
          <cell r="D7888"/>
          <cell r="E7888"/>
          <cell r="F7888"/>
          <cell r="G7888"/>
          <cell r="J7888"/>
        </row>
        <row r="7889">
          <cell r="A7889"/>
          <cell r="C7889"/>
          <cell r="D7889"/>
          <cell r="E7889"/>
          <cell r="F7889"/>
          <cell r="G7889"/>
          <cell r="J7889"/>
        </row>
        <row r="7890">
          <cell r="A7890"/>
          <cell r="C7890"/>
          <cell r="D7890"/>
          <cell r="E7890"/>
          <cell r="F7890"/>
          <cell r="G7890"/>
          <cell r="J7890"/>
        </row>
        <row r="7891">
          <cell r="A7891"/>
          <cell r="C7891"/>
          <cell r="D7891"/>
          <cell r="E7891"/>
          <cell r="F7891"/>
          <cell r="G7891"/>
          <cell r="J7891"/>
        </row>
        <row r="7892">
          <cell r="A7892"/>
          <cell r="C7892"/>
          <cell r="D7892"/>
          <cell r="E7892"/>
          <cell r="F7892"/>
          <cell r="G7892"/>
          <cell r="J7892"/>
        </row>
        <row r="7893">
          <cell r="A7893"/>
          <cell r="C7893"/>
          <cell r="D7893"/>
          <cell r="E7893"/>
          <cell r="F7893"/>
          <cell r="G7893"/>
          <cell r="J7893"/>
        </row>
        <row r="7894">
          <cell r="A7894"/>
          <cell r="C7894"/>
          <cell r="D7894"/>
          <cell r="E7894"/>
          <cell r="F7894"/>
          <cell r="G7894"/>
          <cell r="J7894"/>
        </row>
        <row r="7895">
          <cell r="A7895"/>
          <cell r="C7895"/>
          <cell r="D7895"/>
          <cell r="E7895"/>
          <cell r="F7895"/>
          <cell r="G7895"/>
          <cell r="J7895"/>
        </row>
        <row r="7896">
          <cell r="A7896"/>
          <cell r="C7896"/>
          <cell r="D7896"/>
          <cell r="E7896"/>
          <cell r="F7896"/>
          <cell r="G7896"/>
          <cell r="J7896"/>
        </row>
        <row r="7897">
          <cell r="A7897"/>
          <cell r="C7897"/>
          <cell r="D7897"/>
          <cell r="E7897"/>
          <cell r="F7897"/>
          <cell r="G7897"/>
          <cell r="J7897"/>
        </row>
        <row r="7898">
          <cell r="A7898"/>
          <cell r="J7898"/>
        </row>
        <row r="7899">
          <cell r="A7899"/>
          <cell r="J7899"/>
        </row>
        <row r="7900">
          <cell r="A7900"/>
          <cell r="J7900"/>
        </row>
        <row r="7901">
          <cell r="A7901"/>
          <cell r="J7901"/>
        </row>
        <row r="7902">
          <cell r="A7902"/>
          <cell r="J7902"/>
        </row>
        <row r="7903">
          <cell r="A7903"/>
          <cell r="J7903"/>
        </row>
        <row r="7904">
          <cell r="A7904"/>
          <cell r="J7904"/>
        </row>
        <row r="7905">
          <cell r="A7905"/>
          <cell r="J7905"/>
        </row>
        <row r="7906">
          <cell r="A7906"/>
          <cell r="J7906"/>
        </row>
        <row r="7907">
          <cell r="A7907"/>
          <cell r="J7907"/>
        </row>
        <row r="7908">
          <cell r="A7908"/>
          <cell r="J7908"/>
        </row>
        <row r="7909">
          <cell r="A7909"/>
          <cell r="J7909"/>
        </row>
        <row r="7910">
          <cell r="A7910"/>
          <cell r="J7910"/>
        </row>
        <row r="7911">
          <cell r="A7911"/>
          <cell r="J7911"/>
        </row>
        <row r="7912">
          <cell r="A7912"/>
          <cell r="J7912"/>
        </row>
        <row r="7913">
          <cell r="A7913"/>
          <cell r="J7913"/>
        </row>
        <row r="7914">
          <cell r="A7914"/>
          <cell r="J7914"/>
        </row>
        <row r="7915">
          <cell r="A7915"/>
          <cell r="J7915"/>
        </row>
        <row r="7916">
          <cell r="A7916"/>
          <cell r="J7916"/>
        </row>
        <row r="7917">
          <cell r="A7917"/>
          <cell r="J7917"/>
        </row>
        <row r="7918">
          <cell r="A7918"/>
          <cell r="J7918"/>
        </row>
        <row r="7919">
          <cell r="A7919"/>
          <cell r="J7919"/>
        </row>
        <row r="7920">
          <cell r="A7920"/>
          <cell r="J7920"/>
        </row>
        <row r="7921">
          <cell r="A7921"/>
          <cell r="J7921"/>
        </row>
        <row r="7922">
          <cell r="A7922"/>
          <cell r="J7922"/>
        </row>
        <row r="7923">
          <cell r="A7923"/>
          <cell r="J7923"/>
        </row>
        <row r="7924">
          <cell r="A7924"/>
          <cell r="J7924"/>
        </row>
        <row r="7925">
          <cell r="A7925"/>
          <cell r="J7925"/>
        </row>
        <row r="7926">
          <cell r="A7926"/>
          <cell r="J7926"/>
        </row>
        <row r="7927">
          <cell r="A7927"/>
          <cell r="J7927"/>
        </row>
        <row r="7928">
          <cell r="A7928"/>
          <cell r="J7928"/>
        </row>
        <row r="7929">
          <cell r="A7929"/>
          <cell r="J7929"/>
        </row>
        <row r="7930">
          <cell r="A7930"/>
          <cell r="J7930"/>
        </row>
        <row r="7931">
          <cell r="A7931"/>
          <cell r="J7931"/>
        </row>
        <row r="7932">
          <cell r="A7932"/>
          <cell r="J7932"/>
        </row>
        <row r="7933">
          <cell r="A7933"/>
          <cell r="J7933"/>
        </row>
        <row r="7934">
          <cell r="A7934"/>
          <cell r="J7934"/>
        </row>
        <row r="7935">
          <cell r="A7935"/>
          <cell r="J7935"/>
        </row>
        <row r="7936">
          <cell r="A7936"/>
          <cell r="J7936"/>
        </row>
        <row r="7937">
          <cell r="A7937"/>
          <cell r="J7937"/>
        </row>
        <row r="7938">
          <cell r="A7938"/>
          <cell r="J7938"/>
        </row>
        <row r="7939">
          <cell r="A7939"/>
          <cell r="J7939"/>
        </row>
        <row r="7940">
          <cell r="A7940"/>
          <cell r="J7940"/>
        </row>
        <row r="7941">
          <cell r="A7941"/>
          <cell r="J7941"/>
        </row>
        <row r="7942">
          <cell r="A7942"/>
          <cell r="J7942"/>
        </row>
        <row r="7943">
          <cell r="A7943"/>
          <cell r="J7943"/>
        </row>
        <row r="7944">
          <cell r="A7944"/>
          <cell r="J7944"/>
        </row>
        <row r="7945">
          <cell r="A7945"/>
          <cell r="J7945"/>
        </row>
        <row r="7946">
          <cell r="A7946"/>
          <cell r="J7946"/>
        </row>
        <row r="7947">
          <cell r="A7947"/>
          <cell r="J7947"/>
        </row>
        <row r="7948">
          <cell r="A7948"/>
          <cell r="J7948"/>
        </row>
        <row r="7949">
          <cell r="A7949"/>
          <cell r="J7949"/>
        </row>
        <row r="7950">
          <cell r="A7950"/>
          <cell r="J7950"/>
        </row>
        <row r="7951">
          <cell r="A7951"/>
          <cell r="J7951"/>
        </row>
        <row r="7952">
          <cell r="A7952"/>
          <cell r="J7952"/>
        </row>
        <row r="7953">
          <cell r="A7953"/>
          <cell r="J7953"/>
        </row>
        <row r="7954">
          <cell r="A7954"/>
          <cell r="J7954"/>
        </row>
        <row r="7955">
          <cell r="A7955"/>
          <cell r="J7955"/>
        </row>
        <row r="7956">
          <cell r="A7956"/>
          <cell r="J7956"/>
        </row>
        <row r="7957">
          <cell r="A7957"/>
          <cell r="J7957"/>
        </row>
        <row r="7958">
          <cell r="A7958"/>
          <cell r="J7958"/>
        </row>
        <row r="7959">
          <cell r="A7959"/>
          <cell r="J7959"/>
        </row>
        <row r="7960">
          <cell r="A7960"/>
          <cell r="J7960"/>
        </row>
        <row r="7961">
          <cell r="A7961"/>
          <cell r="J7961"/>
        </row>
        <row r="7962">
          <cell r="A7962"/>
          <cell r="J7962"/>
        </row>
        <row r="7963">
          <cell r="A7963"/>
          <cell r="J7963"/>
        </row>
        <row r="7964">
          <cell r="A7964"/>
          <cell r="J7964"/>
        </row>
        <row r="7965">
          <cell r="A7965"/>
          <cell r="J7965"/>
        </row>
        <row r="7966">
          <cell r="A7966"/>
          <cell r="J7966"/>
        </row>
        <row r="7967">
          <cell r="A7967"/>
          <cell r="J7967"/>
        </row>
        <row r="7968">
          <cell r="A7968"/>
          <cell r="J7968"/>
        </row>
        <row r="7969">
          <cell r="A7969"/>
          <cell r="J7969"/>
        </row>
        <row r="7970">
          <cell r="A7970"/>
          <cell r="J7970"/>
        </row>
        <row r="7971">
          <cell r="A7971"/>
          <cell r="J7971"/>
        </row>
        <row r="7972">
          <cell r="A7972"/>
          <cell r="J7972"/>
        </row>
        <row r="7973">
          <cell r="A7973"/>
          <cell r="J7973"/>
        </row>
        <row r="7974">
          <cell r="A7974"/>
          <cell r="J7974"/>
        </row>
        <row r="7975">
          <cell r="A7975"/>
          <cell r="J7975"/>
        </row>
        <row r="7976">
          <cell r="A7976"/>
          <cell r="J7976"/>
        </row>
        <row r="7977">
          <cell r="A7977"/>
          <cell r="J7977"/>
        </row>
        <row r="7978">
          <cell r="A7978"/>
          <cell r="J7978"/>
        </row>
        <row r="7979">
          <cell r="A7979"/>
          <cell r="J7979"/>
        </row>
        <row r="7980">
          <cell r="A7980"/>
          <cell r="J7980"/>
        </row>
        <row r="7981">
          <cell r="A7981"/>
          <cell r="J7981"/>
        </row>
        <row r="7982">
          <cell r="A7982"/>
          <cell r="J7982"/>
        </row>
        <row r="7983">
          <cell r="A7983"/>
          <cell r="J7983"/>
        </row>
        <row r="7984">
          <cell r="A7984"/>
          <cell r="J7984"/>
        </row>
        <row r="7985">
          <cell r="A7985"/>
          <cell r="J7985"/>
        </row>
        <row r="7986">
          <cell r="A7986"/>
          <cell r="J7986"/>
        </row>
        <row r="7987">
          <cell r="A7987"/>
          <cell r="J7987"/>
        </row>
        <row r="7988">
          <cell r="A7988"/>
          <cell r="J7988"/>
        </row>
        <row r="7989">
          <cell r="A7989"/>
          <cell r="J7989"/>
        </row>
        <row r="7990">
          <cell r="A7990"/>
          <cell r="J7990"/>
        </row>
        <row r="7991">
          <cell r="A7991"/>
          <cell r="J7991"/>
        </row>
        <row r="7992">
          <cell r="A7992"/>
          <cell r="J7992"/>
        </row>
        <row r="7993">
          <cell r="A7993"/>
          <cell r="J7993"/>
        </row>
        <row r="7994">
          <cell r="A7994"/>
          <cell r="J7994"/>
        </row>
        <row r="7995">
          <cell r="A7995"/>
          <cell r="J7995"/>
        </row>
        <row r="7996">
          <cell r="A7996"/>
          <cell r="J7996"/>
        </row>
        <row r="7997">
          <cell r="A7997"/>
          <cell r="J7997"/>
        </row>
        <row r="7998">
          <cell r="A7998"/>
          <cell r="J7998"/>
        </row>
        <row r="7999">
          <cell r="A7999"/>
          <cell r="J7999"/>
        </row>
        <row r="8000">
          <cell r="A8000"/>
          <cell r="J8000"/>
        </row>
        <row r="8001">
          <cell r="A8001"/>
          <cell r="J8001"/>
        </row>
        <row r="8002">
          <cell r="A8002"/>
          <cell r="J8002"/>
        </row>
        <row r="8003">
          <cell r="A8003"/>
          <cell r="J8003"/>
        </row>
        <row r="8004">
          <cell r="A8004"/>
          <cell r="J8004"/>
        </row>
        <row r="8005">
          <cell r="A8005"/>
          <cell r="J8005"/>
        </row>
        <row r="8006">
          <cell r="A8006"/>
          <cell r="J8006"/>
        </row>
        <row r="8007">
          <cell r="A8007"/>
          <cell r="J8007"/>
        </row>
        <row r="8008">
          <cell r="A8008"/>
          <cell r="J8008"/>
        </row>
        <row r="8009">
          <cell r="A8009"/>
          <cell r="J8009"/>
        </row>
        <row r="8010">
          <cell r="A8010"/>
          <cell r="J8010"/>
        </row>
        <row r="8011">
          <cell r="A8011"/>
          <cell r="J8011"/>
        </row>
        <row r="8012">
          <cell r="A8012"/>
          <cell r="J8012"/>
        </row>
        <row r="8013">
          <cell r="A8013"/>
          <cell r="J8013"/>
        </row>
        <row r="8014">
          <cell r="A8014"/>
          <cell r="J8014"/>
        </row>
        <row r="8015">
          <cell r="A8015"/>
          <cell r="J8015"/>
        </row>
        <row r="8016">
          <cell r="A8016"/>
          <cell r="J8016"/>
        </row>
        <row r="8017">
          <cell r="A8017"/>
          <cell r="J8017"/>
        </row>
        <row r="8018">
          <cell r="A8018"/>
          <cell r="J8018"/>
        </row>
        <row r="8019">
          <cell r="A8019"/>
          <cell r="J8019"/>
        </row>
        <row r="8020">
          <cell r="A8020"/>
          <cell r="J8020"/>
        </row>
        <row r="8021">
          <cell r="A8021"/>
          <cell r="J8021"/>
        </row>
        <row r="8022">
          <cell r="A8022"/>
          <cell r="J8022"/>
        </row>
        <row r="8023">
          <cell r="A8023"/>
          <cell r="J8023"/>
        </row>
        <row r="8024">
          <cell r="A8024"/>
          <cell r="J8024"/>
        </row>
        <row r="8025">
          <cell r="A8025"/>
          <cell r="J8025"/>
        </row>
        <row r="8026">
          <cell r="A8026"/>
          <cell r="J8026"/>
        </row>
        <row r="8027">
          <cell r="A8027"/>
          <cell r="J8027"/>
        </row>
        <row r="8028">
          <cell r="A8028"/>
          <cell r="J8028"/>
        </row>
        <row r="8029">
          <cell r="A8029"/>
          <cell r="J8029"/>
        </row>
        <row r="8030">
          <cell r="A8030"/>
          <cell r="J8030"/>
        </row>
        <row r="8031">
          <cell r="A8031"/>
          <cell r="J8031"/>
        </row>
        <row r="8032">
          <cell r="A8032"/>
          <cell r="J8032"/>
        </row>
        <row r="8033">
          <cell r="A8033"/>
          <cell r="J8033"/>
        </row>
        <row r="8034">
          <cell r="A8034"/>
          <cell r="J8034"/>
        </row>
        <row r="8035">
          <cell r="A8035"/>
          <cell r="J8035"/>
        </row>
        <row r="8036">
          <cell r="A8036"/>
          <cell r="J8036"/>
        </row>
        <row r="8037">
          <cell r="A8037"/>
          <cell r="J8037"/>
        </row>
        <row r="8038">
          <cell r="A8038"/>
          <cell r="J8038"/>
        </row>
        <row r="8039">
          <cell r="A8039"/>
          <cell r="J8039"/>
        </row>
        <row r="8040">
          <cell r="A8040"/>
          <cell r="J8040"/>
        </row>
        <row r="8041">
          <cell r="A8041"/>
          <cell r="J8041"/>
        </row>
        <row r="8042">
          <cell r="A8042"/>
          <cell r="J8042"/>
        </row>
        <row r="8043">
          <cell r="A8043"/>
          <cell r="J8043"/>
        </row>
        <row r="8044">
          <cell r="A8044"/>
          <cell r="J8044"/>
        </row>
        <row r="8045">
          <cell r="A8045"/>
          <cell r="J8045"/>
        </row>
        <row r="8046">
          <cell r="A8046"/>
          <cell r="J8046"/>
        </row>
        <row r="8047">
          <cell r="A8047"/>
          <cell r="J8047"/>
        </row>
        <row r="8048">
          <cell r="A8048"/>
          <cell r="J8048"/>
        </row>
        <row r="8049">
          <cell r="A8049"/>
          <cell r="J8049"/>
        </row>
        <row r="8050">
          <cell r="A8050"/>
          <cell r="J8050"/>
        </row>
        <row r="8051">
          <cell r="A8051"/>
          <cell r="J8051"/>
        </row>
        <row r="8052">
          <cell r="A8052"/>
          <cell r="J8052"/>
        </row>
        <row r="8053">
          <cell r="A8053"/>
          <cell r="J8053"/>
        </row>
        <row r="8054">
          <cell r="A8054"/>
          <cell r="J8054"/>
        </row>
        <row r="8055">
          <cell r="A8055"/>
          <cell r="J8055"/>
        </row>
        <row r="8056">
          <cell r="A8056"/>
          <cell r="J8056"/>
        </row>
        <row r="8057">
          <cell r="A8057"/>
          <cell r="J8057"/>
        </row>
        <row r="8058">
          <cell r="A8058"/>
          <cell r="J8058"/>
        </row>
        <row r="8059">
          <cell r="A8059"/>
          <cell r="J8059"/>
        </row>
        <row r="8060">
          <cell r="A8060"/>
          <cell r="J8060"/>
        </row>
        <row r="8061">
          <cell r="A8061"/>
          <cell r="J8061"/>
        </row>
        <row r="8062">
          <cell r="A8062"/>
          <cell r="J8062"/>
        </row>
        <row r="8063">
          <cell r="A8063"/>
          <cell r="J8063"/>
        </row>
        <row r="8064">
          <cell r="A8064"/>
          <cell r="J8064"/>
        </row>
        <row r="8065">
          <cell r="A8065"/>
          <cell r="J8065"/>
        </row>
        <row r="8066">
          <cell r="A8066"/>
          <cell r="J8066"/>
        </row>
        <row r="8067">
          <cell r="A8067"/>
          <cell r="J8067"/>
        </row>
        <row r="8068">
          <cell r="A8068"/>
          <cell r="J8068"/>
        </row>
        <row r="8069">
          <cell r="A8069"/>
          <cell r="J8069"/>
        </row>
        <row r="8070">
          <cell r="A8070"/>
          <cell r="J8070"/>
        </row>
        <row r="8071">
          <cell r="A8071"/>
          <cell r="J8071"/>
        </row>
        <row r="8072">
          <cell r="A8072"/>
          <cell r="J8072"/>
        </row>
        <row r="8073">
          <cell r="A8073"/>
          <cell r="J8073"/>
        </row>
        <row r="8074">
          <cell r="A8074"/>
          <cell r="J8074"/>
        </row>
        <row r="8075">
          <cell r="A8075"/>
          <cell r="J8075"/>
        </row>
        <row r="8076">
          <cell r="A8076"/>
          <cell r="J8076"/>
        </row>
        <row r="8077">
          <cell r="A8077"/>
          <cell r="J8077"/>
        </row>
        <row r="8078">
          <cell r="A8078"/>
          <cell r="J8078"/>
        </row>
        <row r="8079">
          <cell r="A8079"/>
          <cell r="J8079"/>
        </row>
        <row r="8080">
          <cell r="A8080"/>
          <cell r="J8080"/>
        </row>
        <row r="8081">
          <cell r="A8081"/>
          <cell r="J8081"/>
        </row>
        <row r="8082">
          <cell r="A8082"/>
          <cell r="J8082"/>
        </row>
        <row r="8083">
          <cell r="A8083"/>
          <cell r="J8083"/>
        </row>
        <row r="8084">
          <cell r="A8084"/>
          <cell r="J8084"/>
        </row>
        <row r="8085">
          <cell r="A8085"/>
          <cell r="J8085"/>
        </row>
        <row r="8086">
          <cell r="A8086"/>
          <cell r="J8086"/>
        </row>
        <row r="8087">
          <cell r="A8087"/>
          <cell r="J8087"/>
        </row>
        <row r="8088">
          <cell r="A8088"/>
          <cell r="J8088"/>
        </row>
        <row r="8089">
          <cell r="A8089"/>
          <cell r="J8089"/>
        </row>
        <row r="8090">
          <cell r="A8090"/>
          <cell r="J8090"/>
        </row>
        <row r="8091">
          <cell r="A8091"/>
          <cell r="J8091"/>
        </row>
        <row r="8092">
          <cell r="A8092"/>
          <cell r="J8092"/>
        </row>
        <row r="8093">
          <cell r="A8093"/>
          <cell r="J8093"/>
        </row>
        <row r="8094">
          <cell r="A8094"/>
          <cell r="J8094"/>
        </row>
        <row r="8095">
          <cell r="A8095"/>
          <cell r="J8095"/>
        </row>
        <row r="8096">
          <cell r="A8096"/>
          <cell r="J8096"/>
        </row>
        <row r="8097">
          <cell r="A8097"/>
          <cell r="J8097"/>
        </row>
        <row r="8098">
          <cell r="A8098"/>
          <cell r="J8098"/>
        </row>
        <row r="8099">
          <cell r="A8099"/>
          <cell r="J8099"/>
        </row>
        <row r="8100">
          <cell r="A8100"/>
          <cell r="J8100"/>
        </row>
        <row r="8101">
          <cell r="A8101"/>
          <cell r="J8101"/>
        </row>
        <row r="8102">
          <cell r="A8102"/>
          <cell r="J8102"/>
        </row>
        <row r="8103">
          <cell r="A8103"/>
          <cell r="J8103"/>
        </row>
        <row r="8104">
          <cell r="A8104"/>
          <cell r="J8104"/>
        </row>
        <row r="8105">
          <cell r="A8105"/>
          <cell r="J8105"/>
        </row>
        <row r="8106">
          <cell r="A8106"/>
          <cell r="J8106"/>
        </row>
        <row r="8107">
          <cell r="A8107"/>
          <cell r="J8107"/>
        </row>
        <row r="8108">
          <cell r="A8108"/>
          <cell r="J8108"/>
        </row>
        <row r="8109">
          <cell r="A8109"/>
          <cell r="J8109"/>
        </row>
        <row r="8110">
          <cell r="A8110"/>
          <cell r="J8110"/>
        </row>
        <row r="8111">
          <cell r="A8111"/>
          <cell r="J8111"/>
        </row>
        <row r="8112">
          <cell r="A8112"/>
          <cell r="J8112"/>
        </row>
        <row r="8113">
          <cell r="A8113"/>
          <cell r="J8113"/>
        </row>
        <row r="8114">
          <cell r="A8114"/>
          <cell r="J8114"/>
        </row>
        <row r="8115">
          <cell r="A8115"/>
          <cell r="J8115"/>
        </row>
        <row r="8116">
          <cell r="A8116"/>
          <cell r="J8116"/>
        </row>
        <row r="8117">
          <cell r="A8117"/>
          <cell r="J8117"/>
        </row>
        <row r="8118">
          <cell r="A8118"/>
          <cell r="J8118"/>
        </row>
        <row r="8119">
          <cell r="A8119"/>
          <cell r="J8119"/>
        </row>
        <row r="8120">
          <cell r="A8120"/>
          <cell r="J8120"/>
        </row>
        <row r="8121">
          <cell r="A8121"/>
          <cell r="J8121"/>
        </row>
        <row r="8122">
          <cell r="A8122"/>
          <cell r="J8122"/>
        </row>
        <row r="8123">
          <cell r="A8123"/>
          <cell r="J8123"/>
        </row>
        <row r="8124">
          <cell r="A8124"/>
          <cell r="J8124"/>
        </row>
        <row r="8125">
          <cell r="A8125"/>
          <cell r="J8125"/>
        </row>
        <row r="8126">
          <cell r="A8126"/>
          <cell r="J8126"/>
        </row>
        <row r="8127">
          <cell r="A8127"/>
          <cell r="J8127"/>
        </row>
        <row r="8128">
          <cell r="A8128"/>
          <cell r="J8128"/>
        </row>
        <row r="8129">
          <cell r="A8129"/>
          <cell r="J8129"/>
        </row>
        <row r="8130">
          <cell r="A8130"/>
          <cell r="J8130"/>
        </row>
        <row r="8131">
          <cell r="A8131"/>
          <cell r="J8131"/>
        </row>
        <row r="8132">
          <cell r="A8132"/>
          <cell r="J8132"/>
        </row>
        <row r="8133">
          <cell r="A8133"/>
          <cell r="J8133"/>
        </row>
        <row r="8134">
          <cell r="A8134"/>
          <cell r="J8134"/>
        </row>
        <row r="8135">
          <cell r="A8135"/>
          <cell r="J8135"/>
        </row>
        <row r="8136">
          <cell r="A8136"/>
          <cell r="J8136"/>
        </row>
        <row r="8137">
          <cell r="A8137"/>
          <cell r="J8137"/>
        </row>
        <row r="8138">
          <cell r="A8138"/>
          <cell r="J8138"/>
        </row>
        <row r="8139">
          <cell r="A8139"/>
          <cell r="J8139"/>
        </row>
        <row r="8140">
          <cell r="A8140"/>
          <cell r="J8140"/>
        </row>
        <row r="8141">
          <cell r="A8141"/>
          <cell r="J8141"/>
        </row>
        <row r="8142">
          <cell r="A8142"/>
          <cell r="J8142"/>
        </row>
        <row r="8143">
          <cell r="A8143"/>
          <cell r="J8143"/>
        </row>
        <row r="8144">
          <cell r="A8144"/>
          <cell r="J8144"/>
        </row>
        <row r="8145">
          <cell r="A8145"/>
          <cell r="J8145"/>
        </row>
        <row r="8146">
          <cell r="A8146"/>
          <cell r="J8146"/>
        </row>
        <row r="8147">
          <cell r="A8147"/>
          <cell r="J8147"/>
        </row>
        <row r="8148">
          <cell r="A8148"/>
          <cell r="J8148"/>
        </row>
        <row r="8149">
          <cell r="A8149"/>
          <cell r="J8149"/>
        </row>
        <row r="8150">
          <cell r="A8150"/>
          <cell r="J8150"/>
        </row>
        <row r="8151">
          <cell r="A8151"/>
          <cell r="J8151"/>
        </row>
        <row r="8152">
          <cell r="A8152"/>
          <cell r="J8152"/>
        </row>
        <row r="8153">
          <cell r="A8153"/>
          <cell r="J8153"/>
        </row>
        <row r="8154">
          <cell r="A8154"/>
          <cell r="J8154"/>
        </row>
        <row r="8155">
          <cell r="A8155"/>
          <cell r="J8155"/>
        </row>
        <row r="8156">
          <cell r="A8156"/>
          <cell r="J8156"/>
        </row>
        <row r="8157">
          <cell r="A8157"/>
          <cell r="J8157"/>
        </row>
        <row r="8158">
          <cell r="A8158"/>
          <cell r="J8158"/>
        </row>
        <row r="8159">
          <cell r="A8159"/>
          <cell r="J8159"/>
        </row>
        <row r="8160">
          <cell r="A8160"/>
          <cell r="J8160"/>
        </row>
        <row r="8161">
          <cell r="A8161"/>
          <cell r="J8161"/>
        </row>
        <row r="8162">
          <cell r="A8162"/>
          <cell r="J8162"/>
        </row>
        <row r="8163">
          <cell r="A8163"/>
          <cell r="J8163"/>
        </row>
        <row r="8164">
          <cell r="A8164"/>
          <cell r="J8164"/>
        </row>
        <row r="8165">
          <cell r="A8165"/>
          <cell r="J8165"/>
        </row>
        <row r="8166">
          <cell r="A8166"/>
          <cell r="J8166"/>
        </row>
        <row r="8167">
          <cell r="A8167"/>
          <cell r="J8167"/>
        </row>
        <row r="8168">
          <cell r="A8168"/>
          <cell r="J8168"/>
        </row>
        <row r="8169">
          <cell r="A8169"/>
          <cell r="J8169"/>
        </row>
        <row r="8170">
          <cell r="A8170"/>
          <cell r="J8170"/>
        </row>
        <row r="8171">
          <cell r="A8171"/>
          <cell r="J8171"/>
        </row>
        <row r="8172">
          <cell r="A8172"/>
          <cell r="J8172"/>
        </row>
        <row r="8173">
          <cell r="A8173"/>
          <cell r="J8173"/>
        </row>
        <row r="8174">
          <cell r="A8174"/>
          <cell r="J8174"/>
        </row>
        <row r="8175">
          <cell r="A8175"/>
          <cell r="J8175"/>
        </row>
        <row r="8176">
          <cell r="A8176"/>
          <cell r="J8176"/>
        </row>
        <row r="8177">
          <cell r="A8177"/>
          <cell r="J8177"/>
        </row>
        <row r="8178">
          <cell r="A8178"/>
          <cell r="J8178"/>
        </row>
        <row r="8179">
          <cell r="A8179"/>
          <cell r="J8179"/>
        </row>
        <row r="8180">
          <cell r="A8180"/>
          <cell r="J8180"/>
        </row>
        <row r="8181">
          <cell r="A8181"/>
          <cell r="J8181"/>
        </row>
        <row r="8182">
          <cell r="A8182"/>
          <cell r="J8182"/>
        </row>
        <row r="8183">
          <cell r="A8183"/>
          <cell r="J8183"/>
        </row>
        <row r="8184">
          <cell r="A8184"/>
          <cell r="J8184"/>
        </row>
        <row r="8185">
          <cell r="A8185"/>
          <cell r="J8185"/>
        </row>
        <row r="8186">
          <cell r="A8186"/>
          <cell r="J8186"/>
        </row>
        <row r="8187">
          <cell r="A8187"/>
          <cell r="J8187"/>
        </row>
        <row r="8188">
          <cell r="A8188"/>
          <cell r="J8188"/>
        </row>
        <row r="8189">
          <cell r="A8189"/>
          <cell r="J8189"/>
        </row>
        <row r="8190">
          <cell r="A8190"/>
          <cell r="J8190"/>
        </row>
        <row r="8191">
          <cell r="A8191"/>
          <cell r="J8191"/>
        </row>
        <row r="8192">
          <cell r="A8192"/>
          <cell r="J8192"/>
        </row>
        <row r="8193">
          <cell r="A8193"/>
          <cell r="J8193"/>
        </row>
        <row r="8194">
          <cell r="A8194"/>
          <cell r="J8194"/>
        </row>
        <row r="8195">
          <cell r="A8195"/>
          <cell r="J8195"/>
        </row>
        <row r="8196">
          <cell r="A8196"/>
          <cell r="J8196"/>
        </row>
        <row r="8197">
          <cell r="A8197"/>
          <cell r="J8197"/>
        </row>
        <row r="8198">
          <cell r="A8198"/>
          <cell r="J8198"/>
        </row>
        <row r="8199">
          <cell r="A8199"/>
          <cell r="J8199"/>
        </row>
        <row r="8200">
          <cell r="A8200"/>
          <cell r="J8200"/>
        </row>
        <row r="8201">
          <cell r="A8201"/>
          <cell r="J8201"/>
        </row>
        <row r="8202">
          <cell r="A8202"/>
          <cell r="J8202"/>
        </row>
        <row r="8203">
          <cell r="A8203"/>
          <cell r="J8203"/>
        </row>
        <row r="8204">
          <cell r="A8204"/>
          <cell r="J8204"/>
        </row>
        <row r="8205">
          <cell r="A8205"/>
          <cell r="J8205"/>
        </row>
        <row r="8206">
          <cell r="A8206"/>
          <cell r="J8206"/>
        </row>
        <row r="8207">
          <cell r="A8207"/>
          <cell r="J8207"/>
        </row>
        <row r="8208">
          <cell r="A8208"/>
          <cell r="J8208"/>
        </row>
        <row r="8209">
          <cell r="A8209"/>
          <cell r="J8209"/>
        </row>
        <row r="8210">
          <cell r="A8210"/>
          <cell r="J8210"/>
        </row>
        <row r="8211">
          <cell r="A8211"/>
          <cell r="J8211"/>
        </row>
        <row r="8212">
          <cell r="A8212"/>
          <cell r="J8212"/>
        </row>
        <row r="8213">
          <cell r="A8213"/>
          <cell r="J8213"/>
        </row>
        <row r="8214">
          <cell r="A8214"/>
          <cell r="J8214"/>
        </row>
        <row r="8215">
          <cell r="A8215"/>
          <cell r="J8215"/>
        </row>
        <row r="8216">
          <cell r="A8216"/>
          <cell r="J8216"/>
        </row>
        <row r="8217">
          <cell r="A8217"/>
          <cell r="J8217"/>
        </row>
        <row r="8218">
          <cell r="A8218"/>
          <cell r="J8218"/>
        </row>
        <row r="8219">
          <cell r="A8219"/>
          <cell r="J8219"/>
        </row>
        <row r="8220">
          <cell r="A8220"/>
          <cell r="J8220"/>
        </row>
        <row r="8221">
          <cell r="A8221"/>
          <cell r="J8221"/>
        </row>
        <row r="8222">
          <cell r="A8222"/>
          <cell r="J8222"/>
        </row>
        <row r="8223">
          <cell r="A8223"/>
          <cell r="J8223"/>
        </row>
        <row r="8224">
          <cell r="A8224"/>
          <cell r="J8224"/>
        </row>
        <row r="8225">
          <cell r="A8225"/>
          <cell r="J8225"/>
        </row>
        <row r="8226">
          <cell r="A8226"/>
          <cell r="J8226"/>
        </row>
        <row r="8227">
          <cell r="A8227"/>
          <cell r="J8227"/>
        </row>
        <row r="8228">
          <cell r="A8228"/>
          <cell r="J8228"/>
        </row>
        <row r="8229">
          <cell r="A8229"/>
          <cell r="J8229"/>
        </row>
        <row r="8230">
          <cell r="A8230"/>
          <cell r="J8230"/>
        </row>
        <row r="8231">
          <cell r="A8231"/>
          <cell r="J8231"/>
        </row>
        <row r="8232">
          <cell r="A8232"/>
          <cell r="J8232"/>
        </row>
        <row r="8233">
          <cell r="A8233"/>
          <cell r="J8233"/>
        </row>
        <row r="8234">
          <cell r="A8234"/>
          <cell r="J8234"/>
        </row>
        <row r="8235">
          <cell r="A8235"/>
          <cell r="J8235"/>
        </row>
        <row r="8236">
          <cell r="A8236"/>
          <cell r="J8236"/>
        </row>
        <row r="8237">
          <cell r="A8237"/>
          <cell r="J8237"/>
        </row>
        <row r="8238">
          <cell r="A8238"/>
          <cell r="J8238"/>
        </row>
        <row r="8239">
          <cell r="A8239"/>
          <cell r="J8239"/>
        </row>
        <row r="8240">
          <cell r="A8240"/>
          <cell r="J8240"/>
        </row>
        <row r="8241">
          <cell r="A8241"/>
          <cell r="J8241"/>
        </row>
        <row r="8242">
          <cell r="A8242"/>
          <cell r="J8242"/>
        </row>
        <row r="8243">
          <cell r="A8243"/>
          <cell r="J8243"/>
        </row>
        <row r="8244">
          <cell r="A8244"/>
          <cell r="J8244"/>
        </row>
        <row r="8245">
          <cell r="A8245"/>
          <cell r="J8245"/>
        </row>
        <row r="8246">
          <cell r="A8246"/>
          <cell r="J8246"/>
        </row>
        <row r="8247">
          <cell r="A8247"/>
          <cell r="J8247"/>
        </row>
        <row r="8248">
          <cell r="A8248"/>
          <cell r="J8248"/>
        </row>
        <row r="8249">
          <cell r="A8249"/>
          <cell r="J8249"/>
        </row>
        <row r="8250">
          <cell r="A8250"/>
          <cell r="J8250"/>
        </row>
        <row r="8251">
          <cell r="A8251"/>
          <cell r="J8251"/>
        </row>
        <row r="8252">
          <cell r="A8252"/>
          <cell r="J8252"/>
        </row>
        <row r="8253">
          <cell r="A8253"/>
          <cell r="J8253"/>
        </row>
        <row r="8254">
          <cell r="A8254"/>
          <cell r="J8254"/>
        </row>
        <row r="8255">
          <cell r="A8255"/>
          <cell r="J8255"/>
        </row>
        <row r="8256">
          <cell r="A8256"/>
          <cell r="J8256"/>
        </row>
        <row r="8257">
          <cell r="A8257"/>
          <cell r="J8257"/>
        </row>
        <row r="8258">
          <cell r="A8258"/>
          <cell r="J8258"/>
        </row>
        <row r="8259">
          <cell r="A8259"/>
          <cell r="J8259"/>
        </row>
        <row r="8260">
          <cell r="A8260"/>
          <cell r="J8260"/>
        </row>
        <row r="8261">
          <cell r="A8261"/>
          <cell r="J8261"/>
        </row>
        <row r="8262">
          <cell r="A8262"/>
          <cell r="J8262"/>
        </row>
        <row r="8263">
          <cell r="A8263"/>
          <cell r="J8263"/>
        </row>
        <row r="8264">
          <cell r="A8264"/>
          <cell r="J8264"/>
        </row>
        <row r="8265">
          <cell r="A8265"/>
          <cell r="J8265"/>
        </row>
        <row r="8266">
          <cell r="A8266"/>
          <cell r="J8266"/>
        </row>
        <row r="8267">
          <cell r="A8267"/>
          <cell r="J8267"/>
        </row>
        <row r="8268">
          <cell r="A8268"/>
          <cell r="J8268"/>
        </row>
        <row r="8269">
          <cell r="A8269"/>
          <cell r="J8269"/>
        </row>
        <row r="8270">
          <cell r="A8270"/>
          <cell r="J8270"/>
        </row>
        <row r="8271">
          <cell r="A8271"/>
          <cell r="J8271"/>
        </row>
        <row r="8272">
          <cell r="A8272"/>
          <cell r="J8272"/>
        </row>
        <row r="8273">
          <cell r="A8273"/>
          <cell r="J8273"/>
        </row>
        <row r="8274">
          <cell r="A8274"/>
          <cell r="J8274"/>
        </row>
        <row r="8275">
          <cell r="A8275"/>
          <cell r="J8275"/>
        </row>
        <row r="8276">
          <cell r="A8276"/>
          <cell r="J8276"/>
        </row>
        <row r="8277">
          <cell r="A8277"/>
          <cell r="J8277"/>
        </row>
        <row r="8278">
          <cell r="A8278"/>
          <cell r="J8278"/>
        </row>
        <row r="8279">
          <cell r="A8279"/>
          <cell r="J8279"/>
        </row>
        <row r="8280">
          <cell r="A8280"/>
          <cell r="J8280"/>
        </row>
        <row r="8281">
          <cell r="A8281"/>
          <cell r="J8281"/>
        </row>
        <row r="8282">
          <cell r="A8282"/>
          <cell r="J8282"/>
        </row>
        <row r="8283">
          <cell r="A8283"/>
          <cell r="J8283"/>
        </row>
        <row r="8284">
          <cell r="A8284"/>
          <cell r="J8284"/>
        </row>
        <row r="8285">
          <cell r="A8285"/>
          <cell r="J8285"/>
        </row>
        <row r="8286">
          <cell r="A8286"/>
          <cell r="J8286"/>
        </row>
        <row r="8287">
          <cell r="A8287"/>
          <cell r="J8287"/>
        </row>
        <row r="8288">
          <cell r="A8288"/>
          <cell r="J8288"/>
        </row>
        <row r="8289">
          <cell r="A8289"/>
          <cell r="J8289"/>
        </row>
        <row r="8290">
          <cell r="A8290"/>
          <cell r="J8290"/>
        </row>
        <row r="8291">
          <cell r="A8291"/>
          <cell r="J8291"/>
        </row>
        <row r="8292">
          <cell r="A8292"/>
          <cell r="J8292"/>
        </row>
        <row r="8293">
          <cell r="A8293"/>
          <cell r="J8293"/>
        </row>
        <row r="8294">
          <cell r="A8294"/>
          <cell r="J8294"/>
        </row>
        <row r="8295">
          <cell r="A8295"/>
          <cell r="J8295"/>
        </row>
        <row r="8296">
          <cell r="A8296"/>
          <cell r="J8296"/>
        </row>
        <row r="8297">
          <cell r="A8297"/>
          <cell r="J8297"/>
        </row>
        <row r="8298">
          <cell r="A8298"/>
          <cell r="J8298"/>
        </row>
        <row r="8299">
          <cell r="A8299"/>
          <cell r="J8299"/>
        </row>
        <row r="8300">
          <cell r="A8300"/>
          <cell r="J8300"/>
        </row>
        <row r="8301">
          <cell r="A8301"/>
          <cell r="J8301"/>
        </row>
        <row r="8302">
          <cell r="A8302"/>
          <cell r="J8302"/>
        </row>
        <row r="8303">
          <cell r="A8303"/>
          <cell r="J8303"/>
        </row>
        <row r="8304">
          <cell r="A8304"/>
          <cell r="J8304"/>
        </row>
        <row r="8305">
          <cell r="A8305"/>
          <cell r="J8305"/>
        </row>
        <row r="8306">
          <cell r="A8306"/>
          <cell r="J8306"/>
        </row>
        <row r="8307">
          <cell r="A8307"/>
          <cell r="J8307"/>
        </row>
        <row r="8308">
          <cell r="A8308"/>
          <cell r="J8308"/>
        </row>
        <row r="8309">
          <cell r="A8309"/>
          <cell r="J8309"/>
        </row>
        <row r="8310">
          <cell r="A8310"/>
          <cell r="J8310"/>
        </row>
        <row r="8311">
          <cell r="A8311"/>
          <cell r="J8311"/>
        </row>
        <row r="8312">
          <cell r="A8312"/>
          <cell r="J8312"/>
        </row>
        <row r="8313">
          <cell r="A8313"/>
          <cell r="J8313"/>
        </row>
        <row r="8314">
          <cell r="A8314"/>
          <cell r="J8314"/>
        </row>
        <row r="8315">
          <cell r="A8315"/>
          <cell r="J8315"/>
        </row>
        <row r="8316">
          <cell r="A8316"/>
          <cell r="J8316"/>
        </row>
        <row r="8317">
          <cell r="A8317"/>
          <cell r="J8317"/>
        </row>
        <row r="8318">
          <cell r="A8318"/>
          <cell r="J8318"/>
        </row>
        <row r="8319">
          <cell r="A8319"/>
          <cell r="J8319"/>
        </row>
        <row r="8320">
          <cell r="A8320"/>
          <cell r="J8320"/>
        </row>
        <row r="8321">
          <cell r="A8321"/>
          <cell r="J8321"/>
        </row>
        <row r="8322">
          <cell r="A8322"/>
          <cell r="J8322"/>
        </row>
        <row r="8323">
          <cell r="A8323"/>
          <cell r="J8323"/>
        </row>
        <row r="8324">
          <cell r="A8324"/>
          <cell r="J8324"/>
        </row>
        <row r="8325">
          <cell r="A8325"/>
          <cell r="J8325"/>
        </row>
        <row r="8326">
          <cell r="A8326"/>
          <cell r="J8326"/>
        </row>
        <row r="8327">
          <cell r="A8327"/>
          <cell r="J8327"/>
        </row>
        <row r="8328">
          <cell r="A8328"/>
          <cell r="J8328"/>
        </row>
        <row r="8329">
          <cell r="A8329"/>
          <cell r="J8329"/>
        </row>
        <row r="8330">
          <cell r="A8330"/>
          <cell r="J8330"/>
        </row>
        <row r="8331">
          <cell r="A8331"/>
          <cell r="J8331"/>
        </row>
        <row r="8332">
          <cell r="A8332"/>
          <cell r="J8332"/>
        </row>
        <row r="8333">
          <cell r="A8333"/>
          <cell r="J8333"/>
        </row>
        <row r="8334">
          <cell r="A8334"/>
          <cell r="J8334"/>
        </row>
        <row r="8335">
          <cell r="A8335"/>
          <cell r="J8335"/>
        </row>
        <row r="8336">
          <cell r="A8336"/>
          <cell r="J8336"/>
        </row>
        <row r="8337">
          <cell r="A8337"/>
          <cell r="J8337"/>
        </row>
        <row r="8338">
          <cell r="A8338"/>
          <cell r="J8338"/>
        </row>
        <row r="8339">
          <cell r="A8339"/>
          <cell r="J8339"/>
        </row>
        <row r="8340">
          <cell r="A8340"/>
          <cell r="J8340"/>
        </row>
        <row r="8341">
          <cell r="A8341"/>
          <cell r="J8341"/>
        </row>
        <row r="8342">
          <cell r="A8342"/>
          <cell r="J8342"/>
        </row>
        <row r="8343">
          <cell r="A8343"/>
          <cell r="J8343"/>
        </row>
        <row r="8344">
          <cell r="A8344"/>
          <cell r="J8344"/>
        </row>
        <row r="8345">
          <cell r="A8345"/>
          <cell r="J8345"/>
        </row>
        <row r="8346">
          <cell r="A8346"/>
          <cell r="J8346"/>
        </row>
        <row r="8347">
          <cell r="A8347"/>
          <cell r="J8347"/>
        </row>
        <row r="8348">
          <cell r="A8348"/>
          <cell r="J8348"/>
        </row>
        <row r="8349">
          <cell r="A8349"/>
          <cell r="J8349"/>
        </row>
        <row r="8350">
          <cell r="A8350"/>
          <cell r="J8350"/>
        </row>
        <row r="8351">
          <cell r="A8351"/>
          <cell r="J8351"/>
        </row>
        <row r="8352">
          <cell r="A8352"/>
          <cell r="J8352"/>
        </row>
        <row r="8353">
          <cell r="A8353"/>
          <cell r="J8353"/>
        </row>
        <row r="8354">
          <cell r="A8354"/>
          <cell r="J8354"/>
        </row>
        <row r="8355">
          <cell r="A8355"/>
          <cell r="J8355"/>
        </row>
        <row r="8356">
          <cell r="A8356"/>
          <cell r="J8356"/>
        </row>
        <row r="8357">
          <cell r="A8357"/>
          <cell r="J8357"/>
        </row>
        <row r="8358">
          <cell r="A8358"/>
          <cell r="J8358"/>
        </row>
        <row r="8359">
          <cell r="A8359"/>
          <cell r="J8359"/>
        </row>
        <row r="8360">
          <cell r="A8360"/>
          <cell r="J8360"/>
        </row>
        <row r="8361">
          <cell r="A8361"/>
          <cell r="J8361"/>
        </row>
        <row r="8362">
          <cell r="A8362"/>
          <cell r="J8362"/>
        </row>
        <row r="8363">
          <cell r="A8363"/>
          <cell r="J8363"/>
        </row>
        <row r="8364">
          <cell r="A8364"/>
          <cell r="J8364"/>
        </row>
        <row r="8365">
          <cell r="A8365"/>
          <cell r="J8365"/>
        </row>
        <row r="8366">
          <cell r="A8366"/>
          <cell r="J8366"/>
        </row>
        <row r="8367">
          <cell r="A8367"/>
          <cell r="J8367"/>
        </row>
        <row r="8368">
          <cell r="A8368"/>
          <cell r="J8368"/>
        </row>
        <row r="8369">
          <cell r="A8369"/>
          <cell r="J8369"/>
        </row>
        <row r="8370">
          <cell r="A8370"/>
          <cell r="J8370"/>
        </row>
        <row r="8371">
          <cell r="A8371"/>
          <cell r="J8371"/>
        </row>
        <row r="8372">
          <cell r="A8372"/>
          <cell r="J8372"/>
        </row>
        <row r="8373">
          <cell r="A8373"/>
          <cell r="J8373"/>
        </row>
        <row r="8374">
          <cell r="A8374"/>
          <cell r="J8374"/>
        </row>
        <row r="8375">
          <cell r="A8375"/>
          <cell r="J8375"/>
        </row>
        <row r="8376">
          <cell r="A8376"/>
          <cell r="J8376"/>
        </row>
        <row r="8377">
          <cell r="A8377"/>
          <cell r="J8377"/>
        </row>
        <row r="8378">
          <cell r="A8378"/>
          <cell r="J8378"/>
        </row>
        <row r="8379">
          <cell r="A8379"/>
          <cell r="J8379"/>
        </row>
        <row r="8380">
          <cell r="A8380"/>
          <cell r="J8380"/>
        </row>
        <row r="8381">
          <cell r="A8381"/>
          <cell r="J8381"/>
        </row>
        <row r="8382">
          <cell r="A8382"/>
          <cell r="J8382"/>
        </row>
        <row r="8383">
          <cell r="A8383"/>
          <cell r="J8383"/>
        </row>
        <row r="8384">
          <cell r="A8384"/>
          <cell r="J8384"/>
        </row>
        <row r="8385">
          <cell r="A8385"/>
          <cell r="J8385"/>
        </row>
        <row r="8386">
          <cell r="A8386"/>
          <cell r="J8386"/>
        </row>
        <row r="8387">
          <cell r="A8387"/>
          <cell r="J8387"/>
        </row>
        <row r="8388">
          <cell r="A8388"/>
          <cell r="J8388"/>
        </row>
        <row r="8389">
          <cell r="A8389"/>
          <cell r="J8389"/>
        </row>
        <row r="8390">
          <cell r="A8390"/>
          <cell r="J8390"/>
        </row>
        <row r="8391">
          <cell r="A8391"/>
          <cell r="J8391"/>
        </row>
        <row r="8392">
          <cell r="A8392"/>
          <cell r="J8392"/>
        </row>
        <row r="8393">
          <cell r="A8393"/>
          <cell r="J8393"/>
        </row>
        <row r="8394">
          <cell r="A8394"/>
          <cell r="J8394"/>
        </row>
        <row r="8395">
          <cell r="A8395"/>
          <cell r="J8395"/>
        </row>
        <row r="8396">
          <cell r="A8396"/>
          <cell r="J8396"/>
        </row>
        <row r="8397">
          <cell r="A8397"/>
          <cell r="J8397"/>
        </row>
        <row r="8398">
          <cell r="A8398"/>
          <cell r="J8398"/>
        </row>
        <row r="8399">
          <cell r="A8399"/>
          <cell r="J8399"/>
        </row>
        <row r="8400">
          <cell r="A8400"/>
          <cell r="J8400"/>
        </row>
        <row r="8401">
          <cell r="A8401"/>
          <cell r="J8401"/>
        </row>
        <row r="8402">
          <cell r="A8402"/>
          <cell r="J8402"/>
        </row>
        <row r="8403">
          <cell r="A8403"/>
          <cell r="J8403"/>
        </row>
        <row r="8404">
          <cell r="A8404"/>
          <cell r="J8404"/>
        </row>
        <row r="8405">
          <cell r="A8405"/>
          <cell r="J8405"/>
        </row>
        <row r="8406">
          <cell r="A8406"/>
          <cell r="J8406"/>
        </row>
        <row r="8407">
          <cell r="A8407"/>
          <cell r="J8407"/>
        </row>
        <row r="8408">
          <cell r="A8408"/>
          <cell r="J8408"/>
        </row>
        <row r="8409">
          <cell r="A8409"/>
          <cell r="J8409"/>
        </row>
        <row r="8410">
          <cell r="A8410"/>
          <cell r="J8410"/>
        </row>
        <row r="8411">
          <cell r="A8411"/>
          <cell r="J8411"/>
        </row>
        <row r="8412">
          <cell r="A8412"/>
          <cell r="J8412"/>
        </row>
        <row r="8413">
          <cell r="A8413"/>
          <cell r="J8413"/>
        </row>
        <row r="8414">
          <cell r="A8414"/>
          <cell r="J8414"/>
        </row>
        <row r="8415">
          <cell r="A8415"/>
          <cell r="J8415"/>
        </row>
        <row r="8416">
          <cell r="A8416"/>
          <cell r="J8416"/>
        </row>
        <row r="8417">
          <cell r="A8417"/>
          <cell r="J8417"/>
        </row>
        <row r="8418">
          <cell r="A8418"/>
          <cell r="J8418"/>
        </row>
        <row r="8419">
          <cell r="A8419"/>
          <cell r="J8419"/>
        </row>
        <row r="8420">
          <cell r="A8420"/>
          <cell r="J8420"/>
        </row>
        <row r="8421">
          <cell r="A8421"/>
          <cell r="J8421"/>
        </row>
        <row r="8422">
          <cell r="A8422"/>
          <cell r="J8422"/>
        </row>
        <row r="8423">
          <cell r="A8423"/>
          <cell r="J8423"/>
        </row>
        <row r="8424">
          <cell r="A8424"/>
          <cell r="J8424"/>
        </row>
        <row r="8425">
          <cell r="A8425"/>
          <cell r="J8425"/>
        </row>
        <row r="8426">
          <cell r="A8426"/>
          <cell r="J8426"/>
        </row>
        <row r="8427">
          <cell r="A8427"/>
          <cell r="J8427"/>
        </row>
        <row r="8428">
          <cell r="A8428"/>
          <cell r="J8428"/>
        </row>
        <row r="8429">
          <cell r="A8429"/>
          <cell r="J8429"/>
        </row>
        <row r="8430">
          <cell r="A8430"/>
          <cell r="J8430"/>
        </row>
        <row r="8431">
          <cell r="A8431"/>
          <cell r="J8431"/>
        </row>
        <row r="8432">
          <cell r="A8432"/>
          <cell r="J8432"/>
        </row>
        <row r="8433">
          <cell r="A8433"/>
          <cell r="J8433"/>
        </row>
        <row r="8434">
          <cell r="A8434"/>
          <cell r="J8434"/>
        </row>
        <row r="8435">
          <cell r="A8435"/>
          <cell r="J8435"/>
        </row>
        <row r="8436">
          <cell r="A8436"/>
          <cell r="J8436"/>
        </row>
        <row r="8437">
          <cell r="A8437"/>
          <cell r="J8437"/>
        </row>
        <row r="8438">
          <cell r="A8438"/>
          <cell r="J8438"/>
        </row>
        <row r="8439">
          <cell r="A8439"/>
          <cell r="J8439"/>
        </row>
        <row r="8440">
          <cell r="A8440"/>
          <cell r="J8440"/>
        </row>
        <row r="8441">
          <cell r="A8441"/>
          <cell r="J8441"/>
        </row>
        <row r="8442">
          <cell r="A8442"/>
          <cell r="J8442"/>
        </row>
        <row r="8443">
          <cell r="A8443"/>
          <cell r="J8443"/>
        </row>
        <row r="8444">
          <cell r="A8444"/>
          <cell r="J8444"/>
        </row>
        <row r="8445">
          <cell r="A8445"/>
          <cell r="J8445"/>
        </row>
        <row r="8446">
          <cell r="A8446"/>
          <cell r="J8446"/>
        </row>
        <row r="8447">
          <cell r="A8447"/>
          <cell r="J8447"/>
        </row>
        <row r="8448">
          <cell r="A8448"/>
          <cell r="J8448"/>
        </row>
        <row r="8449">
          <cell r="A8449"/>
          <cell r="J8449"/>
        </row>
        <row r="8450">
          <cell r="A8450"/>
          <cell r="J8450"/>
        </row>
        <row r="8451">
          <cell r="A8451"/>
          <cell r="J8451"/>
        </row>
        <row r="8452">
          <cell r="A8452"/>
          <cell r="J8452"/>
        </row>
        <row r="8453">
          <cell r="A8453"/>
          <cell r="J8453"/>
        </row>
        <row r="8454">
          <cell r="A8454"/>
          <cell r="J8454"/>
        </row>
        <row r="8455">
          <cell r="A8455"/>
          <cell r="J8455"/>
        </row>
        <row r="8456">
          <cell r="A8456"/>
          <cell r="J8456"/>
        </row>
        <row r="8457">
          <cell r="A8457"/>
          <cell r="J8457"/>
        </row>
        <row r="8458">
          <cell r="A8458"/>
          <cell r="J8458"/>
        </row>
        <row r="8459">
          <cell r="A8459"/>
          <cell r="J8459"/>
        </row>
        <row r="8460">
          <cell r="A8460"/>
          <cell r="J8460"/>
        </row>
        <row r="8461">
          <cell r="A8461"/>
          <cell r="J8461"/>
        </row>
        <row r="8462">
          <cell r="A8462"/>
          <cell r="J8462"/>
        </row>
        <row r="8463">
          <cell r="A8463"/>
          <cell r="J8463"/>
        </row>
        <row r="8464">
          <cell r="A8464"/>
          <cell r="J8464"/>
        </row>
        <row r="8465">
          <cell r="A8465"/>
          <cell r="J8465"/>
        </row>
        <row r="8466">
          <cell r="A8466"/>
          <cell r="J8466"/>
        </row>
        <row r="8467">
          <cell r="A8467"/>
          <cell r="J8467"/>
        </row>
        <row r="8468">
          <cell r="A8468"/>
          <cell r="J8468"/>
        </row>
        <row r="8469">
          <cell r="A8469"/>
          <cell r="J8469"/>
        </row>
        <row r="8470">
          <cell r="A8470"/>
          <cell r="J8470"/>
        </row>
        <row r="8471">
          <cell r="A8471"/>
          <cell r="J8471"/>
        </row>
        <row r="8472">
          <cell r="A8472"/>
          <cell r="J8472"/>
        </row>
        <row r="8473">
          <cell r="A8473"/>
          <cell r="J8473"/>
        </row>
        <row r="8474">
          <cell r="A8474"/>
          <cell r="J8474"/>
        </row>
        <row r="8475">
          <cell r="A8475"/>
          <cell r="J8475"/>
        </row>
        <row r="8476">
          <cell r="A8476"/>
          <cell r="J8476"/>
        </row>
        <row r="8477">
          <cell r="A8477"/>
          <cell r="J8477"/>
        </row>
        <row r="8478">
          <cell r="A8478"/>
          <cell r="J8478"/>
        </row>
        <row r="8479">
          <cell r="A8479"/>
          <cell r="J8479"/>
        </row>
        <row r="8480">
          <cell r="A8480"/>
          <cell r="J8480"/>
        </row>
        <row r="8481">
          <cell r="A8481"/>
          <cell r="J8481"/>
        </row>
        <row r="8482">
          <cell r="A8482"/>
          <cell r="J8482"/>
        </row>
        <row r="8483">
          <cell r="A8483"/>
          <cell r="J8483"/>
        </row>
        <row r="8484">
          <cell r="A8484"/>
          <cell r="J8484"/>
        </row>
        <row r="8485">
          <cell r="A8485"/>
          <cell r="J8485"/>
        </row>
        <row r="8486">
          <cell r="A8486"/>
          <cell r="J8486"/>
        </row>
        <row r="8487">
          <cell r="A8487"/>
          <cell r="J8487"/>
        </row>
        <row r="8488">
          <cell r="A8488"/>
          <cell r="J8488"/>
        </row>
        <row r="8489">
          <cell r="A8489"/>
          <cell r="J8489"/>
        </row>
        <row r="8490">
          <cell r="A8490"/>
          <cell r="J8490"/>
        </row>
        <row r="8491">
          <cell r="A8491"/>
          <cell r="J8491"/>
        </row>
        <row r="8492">
          <cell r="A8492"/>
          <cell r="J8492"/>
        </row>
        <row r="8493">
          <cell r="A8493"/>
          <cell r="J8493"/>
        </row>
        <row r="8494">
          <cell r="A8494"/>
          <cell r="J8494"/>
        </row>
        <row r="8495">
          <cell r="A8495"/>
          <cell r="J8495"/>
        </row>
        <row r="8496">
          <cell r="A8496"/>
          <cell r="J8496"/>
        </row>
        <row r="8497">
          <cell r="A8497"/>
          <cell r="J8497"/>
        </row>
        <row r="8498">
          <cell r="A8498"/>
          <cell r="J8498"/>
        </row>
        <row r="8499">
          <cell r="A8499"/>
          <cell r="J8499"/>
        </row>
        <row r="8500">
          <cell r="A8500"/>
          <cell r="J8500"/>
        </row>
        <row r="8501">
          <cell r="A8501"/>
          <cell r="J8501"/>
        </row>
        <row r="8502">
          <cell r="A8502"/>
          <cell r="J8502"/>
        </row>
        <row r="8503">
          <cell r="A8503"/>
          <cell r="J8503"/>
        </row>
        <row r="8504">
          <cell r="A8504"/>
          <cell r="J8504"/>
        </row>
        <row r="8505">
          <cell r="A8505"/>
          <cell r="J8505"/>
        </row>
        <row r="8506">
          <cell r="A8506"/>
          <cell r="J8506"/>
        </row>
        <row r="8507">
          <cell r="A8507"/>
          <cell r="J8507"/>
        </row>
        <row r="8508">
          <cell r="A8508"/>
          <cell r="J8508"/>
        </row>
        <row r="8509">
          <cell r="A8509"/>
          <cell r="J8509"/>
        </row>
        <row r="8510">
          <cell r="A8510"/>
          <cell r="J8510"/>
        </row>
        <row r="8511">
          <cell r="A8511"/>
          <cell r="J8511"/>
        </row>
        <row r="8512">
          <cell r="A8512"/>
          <cell r="J8512"/>
        </row>
        <row r="8513">
          <cell r="A8513"/>
          <cell r="J8513"/>
        </row>
        <row r="8514">
          <cell r="A8514"/>
          <cell r="J8514"/>
        </row>
        <row r="8515">
          <cell r="A8515"/>
          <cell r="J8515"/>
        </row>
        <row r="8516">
          <cell r="A8516"/>
          <cell r="J8516"/>
        </row>
        <row r="8517">
          <cell r="A8517"/>
          <cell r="J8517"/>
        </row>
        <row r="8518">
          <cell r="A8518"/>
          <cell r="J8518"/>
        </row>
        <row r="8519">
          <cell r="A8519"/>
          <cell r="J8519"/>
        </row>
        <row r="8520">
          <cell r="A8520"/>
          <cell r="J8520"/>
        </row>
        <row r="8521">
          <cell r="A8521"/>
          <cell r="J8521"/>
        </row>
        <row r="8522">
          <cell r="A8522"/>
          <cell r="J8522"/>
        </row>
        <row r="8523">
          <cell r="A8523"/>
          <cell r="J8523"/>
        </row>
        <row r="8524">
          <cell r="A8524"/>
          <cell r="J8524"/>
        </row>
        <row r="8525">
          <cell r="A8525"/>
          <cell r="J8525"/>
        </row>
        <row r="8526">
          <cell r="A8526"/>
          <cell r="J8526"/>
        </row>
        <row r="8527">
          <cell r="A8527"/>
          <cell r="J8527"/>
        </row>
        <row r="8528">
          <cell r="A8528"/>
          <cell r="J8528"/>
        </row>
        <row r="8529">
          <cell r="A8529"/>
          <cell r="J8529"/>
        </row>
        <row r="8530">
          <cell r="A8530"/>
          <cell r="J8530"/>
        </row>
        <row r="8531">
          <cell r="A8531"/>
          <cell r="J8531"/>
        </row>
        <row r="8532">
          <cell r="A8532"/>
          <cell r="J8532"/>
        </row>
        <row r="8533">
          <cell r="A8533"/>
          <cell r="J8533"/>
        </row>
        <row r="8534">
          <cell r="A8534"/>
          <cell r="J8534"/>
        </row>
        <row r="8535">
          <cell r="A8535"/>
          <cell r="J8535"/>
        </row>
        <row r="8536">
          <cell r="A8536"/>
          <cell r="J8536"/>
        </row>
        <row r="8537">
          <cell r="A8537"/>
          <cell r="J8537"/>
        </row>
        <row r="8538">
          <cell r="A8538"/>
          <cell r="J8538"/>
        </row>
        <row r="8539">
          <cell r="A8539"/>
          <cell r="J8539"/>
        </row>
        <row r="8540">
          <cell r="A8540"/>
          <cell r="J8540"/>
        </row>
        <row r="8541">
          <cell r="A8541"/>
          <cell r="J8541"/>
        </row>
        <row r="8542">
          <cell r="A8542"/>
          <cell r="J8542"/>
        </row>
        <row r="8543">
          <cell r="A8543"/>
          <cell r="J8543"/>
        </row>
        <row r="8544">
          <cell r="A8544"/>
          <cell r="J8544"/>
        </row>
        <row r="8545">
          <cell r="A8545"/>
          <cell r="J8545"/>
        </row>
        <row r="8546">
          <cell r="A8546"/>
          <cell r="J8546"/>
        </row>
        <row r="8547">
          <cell r="A8547"/>
          <cell r="J8547"/>
        </row>
        <row r="8548">
          <cell r="A8548"/>
          <cell r="J8548"/>
        </row>
        <row r="8549">
          <cell r="A8549"/>
          <cell r="J8549"/>
        </row>
        <row r="8550">
          <cell r="A8550"/>
          <cell r="J8550"/>
        </row>
        <row r="8551">
          <cell r="A8551"/>
          <cell r="J8551"/>
        </row>
        <row r="8552">
          <cell r="A8552"/>
          <cell r="J8552"/>
        </row>
        <row r="8553">
          <cell r="A8553"/>
          <cell r="J8553"/>
        </row>
        <row r="8554">
          <cell r="A8554"/>
          <cell r="J8554"/>
        </row>
        <row r="8555">
          <cell r="A8555"/>
          <cell r="J8555"/>
        </row>
        <row r="8556">
          <cell r="A8556"/>
          <cell r="J8556"/>
        </row>
        <row r="8557">
          <cell r="A8557"/>
          <cell r="J8557"/>
        </row>
        <row r="8558">
          <cell r="A8558"/>
          <cell r="J8558"/>
        </row>
        <row r="8559">
          <cell r="A8559"/>
          <cell r="J8559"/>
        </row>
        <row r="8560">
          <cell r="A8560"/>
          <cell r="J8560"/>
        </row>
        <row r="8561">
          <cell r="A8561"/>
          <cell r="J8561"/>
        </row>
        <row r="8562">
          <cell r="A8562"/>
          <cell r="J8562"/>
        </row>
        <row r="8563">
          <cell r="A8563"/>
          <cell r="J8563"/>
        </row>
        <row r="8564">
          <cell r="A8564"/>
          <cell r="J8564"/>
        </row>
        <row r="8565">
          <cell r="A8565"/>
          <cell r="J8565"/>
        </row>
        <row r="8566">
          <cell r="A8566"/>
          <cell r="J8566"/>
        </row>
        <row r="8567">
          <cell r="A8567"/>
          <cell r="J8567"/>
        </row>
        <row r="8568">
          <cell r="A8568"/>
          <cell r="J8568"/>
        </row>
        <row r="8569">
          <cell r="A8569"/>
          <cell r="J8569"/>
        </row>
        <row r="8570">
          <cell r="A8570"/>
          <cell r="J8570"/>
        </row>
        <row r="8571">
          <cell r="A8571"/>
          <cell r="J8571"/>
        </row>
        <row r="8572">
          <cell r="A8572"/>
          <cell r="J8572"/>
        </row>
        <row r="8573">
          <cell r="A8573"/>
          <cell r="J8573"/>
        </row>
        <row r="8574">
          <cell r="A8574"/>
          <cell r="J8574"/>
        </row>
        <row r="8575">
          <cell r="A8575"/>
          <cell r="J8575"/>
        </row>
        <row r="8576">
          <cell r="A8576"/>
          <cell r="J8576"/>
        </row>
        <row r="8577">
          <cell r="A8577"/>
          <cell r="J8577"/>
        </row>
        <row r="8578">
          <cell r="A8578"/>
          <cell r="J8578"/>
        </row>
        <row r="8579">
          <cell r="A8579"/>
          <cell r="J8579"/>
        </row>
        <row r="8580">
          <cell r="A8580"/>
          <cell r="J8580"/>
        </row>
        <row r="8581">
          <cell r="A8581"/>
          <cell r="J8581"/>
        </row>
        <row r="8582">
          <cell r="A8582"/>
          <cell r="J8582"/>
        </row>
        <row r="8583">
          <cell r="A8583"/>
          <cell r="J8583"/>
        </row>
        <row r="8584">
          <cell r="A8584"/>
          <cell r="J8584"/>
        </row>
        <row r="8585">
          <cell r="A8585"/>
          <cell r="J8585"/>
        </row>
        <row r="8586">
          <cell r="A8586"/>
          <cell r="J8586"/>
        </row>
        <row r="8587">
          <cell r="A8587"/>
          <cell r="J8587"/>
        </row>
        <row r="8588">
          <cell r="A8588"/>
          <cell r="J8588"/>
        </row>
        <row r="8589">
          <cell r="A8589"/>
          <cell r="J8589"/>
        </row>
        <row r="8590">
          <cell r="A8590"/>
          <cell r="J8590"/>
        </row>
        <row r="8591">
          <cell r="A8591"/>
          <cell r="J8591"/>
        </row>
        <row r="8592">
          <cell r="A8592"/>
          <cell r="J8592"/>
        </row>
        <row r="8593">
          <cell r="A8593"/>
          <cell r="J8593"/>
        </row>
        <row r="8594">
          <cell r="A8594"/>
          <cell r="J8594"/>
        </row>
        <row r="8595">
          <cell r="A8595"/>
          <cell r="J8595"/>
        </row>
        <row r="8596">
          <cell r="A8596"/>
          <cell r="J8596"/>
        </row>
        <row r="8597">
          <cell r="A8597"/>
          <cell r="J8597"/>
        </row>
        <row r="8598">
          <cell r="A8598"/>
          <cell r="J8598"/>
        </row>
        <row r="8599">
          <cell r="A8599"/>
          <cell r="J8599"/>
        </row>
        <row r="8600">
          <cell r="A8600"/>
          <cell r="J8600"/>
        </row>
        <row r="8601">
          <cell r="A8601"/>
          <cell r="J8601"/>
        </row>
        <row r="8602">
          <cell r="A8602"/>
          <cell r="J8602"/>
        </row>
        <row r="8603">
          <cell r="A8603"/>
          <cell r="J8603"/>
        </row>
        <row r="8604">
          <cell r="A8604"/>
          <cell r="J8604"/>
        </row>
        <row r="8605">
          <cell r="A8605"/>
          <cell r="J8605"/>
        </row>
        <row r="8606">
          <cell r="A8606"/>
          <cell r="J8606"/>
        </row>
        <row r="8607">
          <cell r="A8607"/>
          <cell r="J8607"/>
        </row>
        <row r="8608">
          <cell r="A8608"/>
          <cell r="J8608"/>
        </row>
        <row r="8609">
          <cell r="A8609"/>
          <cell r="J8609"/>
        </row>
        <row r="8610">
          <cell r="A8610"/>
          <cell r="J8610"/>
        </row>
        <row r="8611">
          <cell r="A8611"/>
          <cell r="J8611"/>
        </row>
        <row r="8612">
          <cell r="A8612"/>
          <cell r="J8612"/>
        </row>
        <row r="8613">
          <cell r="A8613"/>
          <cell r="J8613"/>
        </row>
        <row r="8614">
          <cell r="A8614"/>
          <cell r="J8614"/>
        </row>
        <row r="8615">
          <cell r="A8615"/>
          <cell r="J8615"/>
        </row>
        <row r="8616">
          <cell r="A8616"/>
          <cell r="J8616"/>
        </row>
        <row r="8617">
          <cell r="A8617"/>
          <cell r="J8617"/>
        </row>
        <row r="8618">
          <cell r="A8618"/>
          <cell r="J8618"/>
        </row>
        <row r="8619">
          <cell r="A8619"/>
          <cell r="J8619"/>
        </row>
        <row r="8620">
          <cell r="A8620"/>
          <cell r="J8620"/>
        </row>
        <row r="8621">
          <cell r="A8621"/>
          <cell r="J8621"/>
        </row>
        <row r="8622">
          <cell r="A8622"/>
          <cell r="J8622"/>
        </row>
        <row r="8623">
          <cell r="A8623"/>
          <cell r="J8623"/>
        </row>
        <row r="8624">
          <cell r="A8624"/>
          <cell r="J8624"/>
        </row>
        <row r="8625">
          <cell r="A8625"/>
          <cell r="J8625"/>
        </row>
        <row r="8626">
          <cell r="A8626"/>
          <cell r="J8626"/>
        </row>
        <row r="8627">
          <cell r="A8627"/>
          <cell r="J8627"/>
        </row>
        <row r="8628">
          <cell r="A8628"/>
          <cell r="J8628"/>
        </row>
        <row r="8629">
          <cell r="A8629"/>
          <cell r="J8629"/>
        </row>
        <row r="8630">
          <cell r="A8630"/>
          <cell r="J8630"/>
        </row>
        <row r="8631">
          <cell r="A8631"/>
          <cell r="J8631"/>
        </row>
        <row r="8632">
          <cell r="A8632"/>
          <cell r="J8632"/>
        </row>
        <row r="8633">
          <cell r="A8633"/>
          <cell r="J8633"/>
        </row>
        <row r="8634">
          <cell r="A8634"/>
          <cell r="J8634"/>
        </row>
        <row r="8635">
          <cell r="A8635"/>
          <cell r="J8635"/>
        </row>
        <row r="8636">
          <cell r="A8636"/>
          <cell r="J8636"/>
        </row>
        <row r="8637">
          <cell r="A8637"/>
          <cell r="J8637"/>
        </row>
        <row r="8638">
          <cell r="A8638"/>
          <cell r="J8638"/>
        </row>
        <row r="8639">
          <cell r="A8639"/>
          <cell r="J8639"/>
        </row>
        <row r="8640">
          <cell r="A8640"/>
          <cell r="J8640"/>
        </row>
        <row r="8641">
          <cell r="A8641"/>
          <cell r="J8641"/>
        </row>
        <row r="8642">
          <cell r="A8642"/>
          <cell r="J8642"/>
        </row>
        <row r="8643">
          <cell r="A8643"/>
          <cell r="J8643"/>
        </row>
        <row r="8644">
          <cell r="A8644"/>
          <cell r="J8644"/>
        </row>
        <row r="8645">
          <cell r="A8645"/>
          <cell r="J8645"/>
        </row>
        <row r="8646">
          <cell r="A8646"/>
          <cell r="J8646"/>
        </row>
        <row r="8647">
          <cell r="A8647"/>
          <cell r="J8647"/>
        </row>
        <row r="8648">
          <cell r="A8648"/>
          <cell r="J8648"/>
        </row>
        <row r="8649">
          <cell r="A8649"/>
          <cell r="J8649"/>
        </row>
        <row r="8650">
          <cell r="A8650"/>
          <cell r="J8650"/>
        </row>
        <row r="8651">
          <cell r="A8651"/>
          <cell r="J8651"/>
        </row>
        <row r="8652">
          <cell r="A8652"/>
          <cell r="J8652"/>
        </row>
        <row r="8653">
          <cell r="A8653"/>
          <cell r="J8653"/>
        </row>
        <row r="8654">
          <cell r="A8654"/>
          <cell r="J8654"/>
        </row>
        <row r="8655">
          <cell r="A8655"/>
          <cell r="J8655"/>
        </row>
        <row r="8656">
          <cell r="A8656"/>
          <cell r="J8656"/>
        </row>
        <row r="8657">
          <cell r="A8657"/>
          <cell r="J8657"/>
        </row>
        <row r="8658">
          <cell r="A8658"/>
          <cell r="J8658"/>
        </row>
        <row r="8659">
          <cell r="A8659"/>
          <cell r="J8659"/>
        </row>
        <row r="8660">
          <cell r="A8660"/>
          <cell r="J8660"/>
        </row>
        <row r="8661">
          <cell r="A8661"/>
          <cell r="J8661"/>
        </row>
        <row r="8662">
          <cell r="A8662"/>
          <cell r="J8662"/>
        </row>
        <row r="8663">
          <cell r="A8663"/>
          <cell r="J8663"/>
        </row>
        <row r="8664">
          <cell r="A8664"/>
          <cell r="J8664"/>
        </row>
        <row r="8665">
          <cell r="A8665"/>
          <cell r="J8665"/>
        </row>
        <row r="8666">
          <cell r="A8666"/>
          <cell r="J8666"/>
        </row>
        <row r="8667">
          <cell r="A8667"/>
          <cell r="J8667"/>
        </row>
        <row r="8668">
          <cell r="A8668"/>
          <cell r="J8668"/>
        </row>
        <row r="8669">
          <cell r="A8669"/>
          <cell r="J8669"/>
        </row>
        <row r="8670">
          <cell r="A8670"/>
          <cell r="J8670"/>
        </row>
        <row r="8671">
          <cell r="A8671"/>
          <cell r="J8671"/>
        </row>
        <row r="8672">
          <cell r="A8672"/>
          <cell r="J8672"/>
        </row>
        <row r="8673">
          <cell r="A8673"/>
          <cell r="J8673"/>
        </row>
        <row r="8674">
          <cell r="A8674"/>
          <cell r="J8674"/>
        </row>
        <row r="8675">
          <cell r="A8675"/>
          <cell r="J8675"/>
        </row>
        <row r="8676">
          <cell r="A8676"/>
          <cell r="J8676"/>
        </row>
        <row r="8677">
          <cell r="A8677"/>
          <cell r="J8677"/>
        </row>
        <row r="8678">
          <cell r="A8678"/>
          <cell r="J8678"/>
        </row>
        <row r="8679">
          <cell r="A8679"/>
          <cell r="J8679"/>
        </row>
        <row r="8680">
          <cell r="A8680"/>
          <cell r="J8680"/>
        </row>
        <row r="8681">
          <cell r="A8681"/>
          <cell r="J8681"/>
        </row>
        <row r="8682">
          <cell r="A8682"/>
          <cell r="J8682"/>
        </row>
        <row r="8683">
          <cell r="A8683"/>
          <cell r="J8683"/>
        </row>
        <row r="8684">
          <cell r="A8684"/>
          <cell r="J8684"/>
        </row>
        <row r="8685">
          <cell r="A8685"/>
          <cell r="J8685"/>
        </row>
        <row r="8686">
          <cell r="A8686"/>
          <cell r="J8686"/>
        </row>
        <row r="8687">
          <cell r="A8687"/>
          <cell r="J8687"/>
        </row>
        <row r="8688">
          <cell r="A8688"/>
          <cell r="J8688"/>
        </row>
        <row r="8689">
          <cell r="A8689"/>
          <cell r="J8689"/>
        </row>
        <row r="8690">
          <cell r="A8690"/>
          <cell r="J8690"/>
        </row>
        <row r="8691">
          <cell r="A8691"/>
          <cell r="J8691"/>
        </row>
        <row r="8692">
          <cell r="A8692"/>
          <cell r="J8692"/>
        </row>
        <row r="8693">
          <cell r="A8693"/>
          <cell r="J8693"/>
        </row>
        <row r="8694">
          <cell r="A8694"/>
          <cell r="J8694"/>
        </row>
        <row r="8695">
          <cell r="A8695"/>
          <cell r="J8695"/>
        </row>
        <row r="8696">
          <cell r="A8696"/>
          <cell r="J8696"/>
        </row>
        <row r="8697">
          <cell r="A8697"/>
          <cell r="J8697"/>
        </row>
        <row r="8698">
          <cell r="A8698"/>
          <cell r="J8698"/>
        </row>
        <row r="8699">
          <cell r="A8699"/>
          <cell r="J8699"/>
        </row>
        <row r="8700">
          <cell r="A8700"/>
          <cell r="J8700"/>
        </row>
        <row r="8701">
          <cell r="A8701"/>
          <cell r="J8701"/>
        </row>
        <row r="8702">
          <cell r="A8702"/>
          <cell r="J8702"/>
        </row>
        <row r="8703">
          <cell r="A8703"/>
          <cell r="J8703"/>
        </row>
        <row r="8704">
          <cell r="A8704"/>
          <cell r="J8704"/>
        </row>
        <row r="8705">
          <cell r="A8705"/>
          <cell r="J8705"/>
        </row>
        <row r="8706">
          <cell r="A8706"/>
          <cell r="J8706"/>
        </row>
        <row r="8707">
          <cell r="A8707"/>
          <cell r="J8707"/>
        </row>
        <row r="8708">
          <cell r="A8708"/>
          <cell r="J8708"/>
        </row>
        <row r="8709">
          <cell r="A8709"/>
          <cell r="J8709"/>
        </row>
        <row r="8710">
          <cell r="A8710"/>
          <cell r="J8710"/>
        </row>
        <row r="8711">
          <cell r="A8711"/>
          <cell r="J8711"/>
        </row>
        <row r="8712">
          <cell r="A8712"/>
          <cell r="J8712"/>
        </row>
        <row r="8713">
          <cell r="A8713"/>
          <cell r="J8713"/>
        </row>
        <row r="8714">
          <cell r="A8714"/>
          <cell r="J8714"/>
        </row>
        <row r="8715">
          <cell r="A8715"/>
          <cell r="J8715"/>
        </row>
        <row r="8716">
          <cell r="A8716"/>
          <cell r="J8716"/>
        </row>
        <row r="8717">
          <cell r="A8717"/>
          <cell r="J8717"/>
        </row>
        <row r="8718">
          <cell r="A8718"/>
          <cell r="J8718"/>
        </row>
        <row r="8719">
          <cell r="A8719"/>
          <cell r="J8719"/>
        </row>
        <row r="8720">
          <cell r="A8720"/>
          <cell r="J8720"/>
        </row>
        <row r="8721">
          <cell r="A8721"/>
          <cell r="J8721"/>
        </row>
        <row r="8722">
          <cell r="A8722"/>
          <cell r="J8722"/>
        </row>
        <row r="8723">
          <cell r="A8723"/>
          <cell r="J8723"/>
        </row>
        <row r="8724">
          <cell r="A8724"/>
          <cell r="J8724"/>
        </row>
        <row r="8725">
          <cell r="A8725"/>
          <cell r="J8725"/>
        </row>
        <row r="8726">
          <cell r="A8726"/>
          <cell r="J8726"/>
        </row>
        <row r="8727">
          <cell r="A8727"/>
          <cell r="J8727"/>
        </row>
        <row r="8728">
          <cell r="A8728"/>
          <cell r="J8728"/>
        </row>
        <row r="8729">
          <cell r="A8729"/>
          <cell r="J8729"/>
        </row>
        <row r="8730">
          <cell r="A8730"/>
          <cell r="J8730"/>
        </row>
        <row r="8731">
          <cell r="A8731"/>
          <cell r="J8731"/>
        </row>
        <row r="8732">
          <cell r="A8732"/>
          <cell r="J8732"/>
        </row>
        <row r="8733">
          <cell r="A8733"/>
          <cell r="J8733"/>
        </row>
        <row r="8734">
          <cell r="A8734"/>
          <cell r="J8734"/>
        </row>
        <row r="8735">
          <cell r="A8735"/>
          <cell r="J8735"/>
        </row>
        <row r="8736">
          <cell r="A8736"/>
          <cell r="J8736"/>
        </row>
        <row r="8737">
          <cell r="A8737"/>
          <cell r="J8737"/>
        </row>
        <row r="8738">
          <cell r="A8738"/>
          <cell r="J8738"/>
        </row>
        <row r="8739">
          <cell r="A8739"/>
          <cell r="J8739"/>
        </row>
        <row r="8740">
          <cell r="A8740"/>
          <cell r="J8740"/>
        </row>
        <row r="8741">
          <cell r="A8741"/>
          <cell r="J8741"/>
        </row>
        <row r="8742">
          <cell r="A8742"/>
          <cell r="J8742"/>
        </row>
        <row r="8743">
          <cell r="A8743"/>
          <cell r="J8743"/>
        </row>
        <row r="8744">
          <cell r="A8744"/>
          <cell r="J8744"/>
        </row>
        <row r="8745">
          <cell r="A8745"/>
          <cell r="J8745"/>
        </row>
        <row r="8746">
          <cell r="A8746"/>
          <cell r="J8746"/>
        </row>
        <row r="8747">
          <cell r="A8747"/>
          <cell r="J8747"/>
        </row>
        <row r="8748">
          <cell r="A8748"/>
          <cell r="J8748"/>
        </row>
        <row r="8749">
          <cell r="A8749"/>
          <cell r="J8749"/>
        </row>
        <row r="8750">
          <cell r="A8750"/>
          <cell r="J8750"/>
        </row>
        <row r="8751">
          <cell r="A8751"/>
          <cell r="J8751"/>
        </row>
        <row r="8752">
          <cell r="A8752"/>
          <cell r="J8752"/>
        </row>
        <row r="8753">
          <cell r="A8753"/>
          <cell r="J8753"/>
        </row>
        <row r="8754">
          <cell r="A8754"/>
          <cell r="J8754"/>
        </row>
        <row r="8755">
          <cell r="A8755"/>
          <cell r="J8755"/>
        </row>
        <row r="8756">
          <cell r="A8756"/>
          <cell r="J8756"/>
        </row>
        <row r="8757">
          <cell r="A8757"/>
          <cell r="J8757"/>
        </row>
        <row r="8758">
          <cell r="A8758"/>
          <cell r="J8758"/>
        </row>
        <row r="8759">
          <cell r="A8759"/>
          <cell r="J8759"/>
        </row>
        <row r="8760">
          <cell r="A8760"/>
          <cell r="J8760"/>
        </row>
        <row r="8761">
          <cell r="A8761"/>
          <cell r="J8761"/>
        </row>
        <row r="8762">
          <cell r="A8762"/>
          <cell r="J8762"/>
        </row>
        <row r="8763">
          <cell r="A8763"/>
          <cell r="J8763"/>
        </row>
        <row r="8764">
          <cell r="A8764"/>
          <cell r="J8764"/>
        </row>
        <row r="8765">
          <cell r="A8765"/>
          <cell r="J8765"/>
        </row>
        <row r="8766">
          <cell r="A8766"/>
          <cell r="J8766"/>
        </row>
        <row r="8767">
          <cell r="A8767"/>
          <cell r="J8767"/>
        </row>
        <row r="8768">
          <cell r="A8768"/>
          <cell r="J8768"/>
        </row>
        <row r="8769">
          <cell r="A8769"/>
          <cell r="J8769"/>
        </row>
        <row r="8770">
          <cell r="A8770"/>
          <cell r="J8770"/>
        </row>
        <row r="8771">
          <cell r="A8771"/>
          <cell r="J8771"/>
        </row>
        <row r="8772">
          <cell r="A8772"/>
          <cell r="J8772"/>
        </row>
        <row r="8773">
          <cell r="A8773"/>
          <cell r="J8773"/>
        </row>
        <row r="8774">
          <cell r="A8774"/>
          <cell r="J8774"/>
        </row>
        <row r="8775">
          <cell r="A8775"/>
          <cell r="J8775"/>
        </row>
        <row r="8776">
          <cell r="A8776"/>
          <cell r="J8776"/>
        </row>
        <row r="8777">
          <cell r="A8777"/>
          <cell r="J8777"/>
        </row>
        <row r="8778">
          <cell r="A8778"/>
          <cell r="J8778"/>
        </row>
        <row r="8779">
          <cell r="A8779"/>
          <cell r="J8779"/>
        </row>
        <row r="8780">
          <cell r="A8780"/>
          <cell r="J8780"/>
        </row>
        <row r="8781">
          <cell r="A8781"/>
          <cell r="J8781"/>
        </row>
        <row r="8782">
          <cell r="A8782"/>
          <cell r="J8782"/>
        </row>
        <row r="8783">
          <cell r="A8783"/>
          <cell r="J8783"/>
        </row>
        <row r="8784">
          <cell r="A8784"/>
          <cell r="J8784"/>
        </row>
        <row r="8785">
          <cell r="A8785"/>
          <cell r="J8785"/>
        </row>
        <row r="8786">
          <cell r="A8786"/>
          <cell r="J8786"/>
        </row>
        <row r="8787">
          <cell r="A8787"/>
          <cell r="J8787"/>
        </row>
        <row r="8788">
          <cell r="A8788"/>
          <cell r="J8788"/>
        </row>
        <row r="8789">
          <cell r="A8789"/>
          <cell r="J8789"/>
        </row>
        <row r="8790">
          <cell r="A8790"/>
          <cell r="J8790"/>
        </row>
        <row r="8791">
          <cell r="A8791"/>
          <cell r="J8791"/>
        </row>
        <row r="8792">
          <cell r="A8792"/>
          <cell r="J8792"/>
        </row>
        <row r="8793">
          <cell r="A8793"/>
          <cell r="J8793"/>
        </row>
        <row r="8794">
          <cell r="A8794"/>
          <cell r="J8794"/>
        </row>
        <row r="8795">
          <cell r="A8795"/>
          <cell r="J8795"/>
        </row>
        <row r="8796">
          <cell r="A8796"/>
          <cell r="J8796"/>
        </row>
        <row r="8797">
          <cell r="A8797"/>
          <cell r="J8797"/>
        </row>
        <row r="8798">
          <cell r="A8798"/>
          <cell r="J8798"/>
        </row>
        <row r="8799">
          <cell r="A8799"/>
          <cell r="J8799"/>
        </row>
        <row r="8800">
          <cell r="A8800"/>
          <cell r="J8800"/>
        </row>
        <row r="8801">
          <cell r="A8801"/>
          <cell r="J8801"/>
        </row>
        <row r="8802">
          <cell r="A8802"/>
          <cell r="J8802"/>
        </row>
        <row r="8803">
          <cell r="A8803"/>
          <cell r="J8803"/>
        </row>
        <row r="8804">
          <cell r="A8804"/>
          <cell r="J8804"/>
        </row>
        <row r="8805">
          <cell r="A8805"/>
          <cell r="J8805"/>
        </row>
        <row r="8806">
          <cell r="A8806"/>
          <cell r="J8806"/>
        </row>
        <row r="8807">
          <cell r="A8807"/>
          <cell r="J8807"/>
        </row>
        <row r="8808">
          <cell r="A8808"/>
          <cell r="J8808"/>
        </row>
        <row r="8809">
          <cell r="A8809"/>
          <cell r="J8809"/>
        </row>
        <row r="8810">
          <cell r="A8810"/>
          <cell r="J8810"/>
        </row>
        <row r="8811">
          <cell r="A8811"/>
          <cell r="J8811"/>
        </row>
        <row r="8812">
          <cell r="A8812"/>
          <cell r="J8812"/>
        </row>
        <row r="8813">
          <cell r="A8813"/>
          <cell r="J8813"/>
        </row>
        <row r="8814">
          <cell r="A8814"/>
          <cell r="J8814"/>
        </row>
        <row r="8815">
          <cell r="A8815"/>
          <cell r="J8815"/>
        </row>
        <row r="8816">
          <cell r="A8816"/>
          <cell r="J8816"/>
        </row>
        <row r="8817">
          <cell r="A8817"/>
          <cell r="J8817"/>
        </row>
        <row r="8818">
          <cell r="A8818"/>
          <cell r="J8818"/>
        </row>
        <row r="8819">
          <cell r="A8819"/>
          <cell r="J8819"/>
        </row>
        <row r="8820">
          <cell r="A8820"/>
          <cell r="J8820"/>
        </row>
        <row r="8821">
          <cell r="A8821"/>
          <cell r="J8821"/>
        </row>
        <row r="8822">
          <cell r="A8822"/>
          <cell r="J8822"/>
        </row>
        <row r="8823">
          <cell r="A8823"/>
          <cell r="J8823"/>
        </row>
        <row r="8824">
          <cell r="A8824"/>
          <cell r="J8824"/>
        </row>
        <row r="8825">
          <cell r="A8825"/>
          <cell r="J8825"/>
        </row>
        <row r="8826">
          <cell r="A8826"/>
          <cell r="J8826"/>
        </row>
        <row r="8827">
          <cell r="A8827"/>
          <cell r="J8827"/>
        </row>
        <row r="8828">
          <cell r="A8828"/>
          <cell r="J8828"/>
        </row>
        <row r="8829">
          <cell r="A8829"/>
          <cell r="J8829"/>
        </row>
        <row r="8830">
          <cell r="A8830"/>
          <cell r="J8830"/>
        </row>
        <row r="8831">
          <cell r="A8831"/>
          <cell r="J8831"/>
        </row>
        <row r="8832">
          <cell r="A8832"/>
          <cell r="J8832"/>
        </row>
        <row r="8833">
          <cell r="A8833"/>
          <cell r="J8833"/>
        </row>
        <row r="8834">
          <cell r="A8834"/>
          <cell r="J8834"/>
        </row>
        <row r="8835">
          <cell r="A8835"/>
          <cell r="J8835"/>
        </row>
        <row r="8836">
          <cell r="A8836"/>
          <cell r="J8836"/>
        </row>
        <row r="8837">
          <cell r="A8837"/>
          <cell r="J8837"/>
        </row>
        <row r="8838">
          <cell r="A8838"/>
          <cell r="J8838"/>
        </row>
        <row r="8839">
          <cell r="A8839"/>
          <cell r="J8839"/>
        </row>
        <row r="8840">
          <cell r="A8840"/>
          <cell r="J8840"/>
        </row>
        <row r="8841">
          <cell r="A8841"/>
          <cell r="J8841"/>
        </row>
        <row r="8842">
          <cell r="A8842"/>
          <cell r="J8842"/>
        </row>
        <row r="8843">
          <cell r="A8843"/>
          <cell r="J8843"/>
        </row>
        <row r="8844">
          <cell r="A8844"/>
          <cell r="J8844"/>
        </row>
        <row r="8845">
          <cell r="A8845"/>
          <cell r="J8845"/>
        </row>
        <row r="8846">
          <cell r="A8846"/>
          <cell r="J8846"/>
        </row>
        <row r="8847">
          <cell r="A8847"/>
          <cell r="J8847"/>
        </row>
        <row r="8848">
          <cell r="A8848"/>
          <cell r="J8848"/>
        </row>
        <row r="8849">
          <cell r="A8849"/>
          <cell r="J8849"/>
        </row>
        <row r="8850">
          <cell r="A8850"/>
          <cell r="J8850"/>
        </row>
        <row r="8851">
          <cell r="A8851"/>
          <cell r="J8851"/>
        </row>
        <row r="8852">
          <cell r="A8852"/>
          <cell r="J8852"/>
        </row>
        <row r="8853">
          <cell r="A8853"/>
          <cell r="J8853"/>
        </row>
        <row r="8854">
          <cell r="A8854"/>
          <cell r="J8854"/>
        </row>
        <row r="8855">
          <cell r="A8855"/>
          <cell r="J8855"/>
        </row>
        <row r="8856">
          <cell r="A8856"/>
          <cell r="J8856"/>
        </row>
        <row r="8857">
          <cell r="A8857"/>
          <cell r="J8857"/>
        </row>
        <row r="8858">
          <cell r="A8858"/>
          <cell r="J8858"/>
        </row>
        <row r="8859">
          <cell r="A8859"/>
          <cell r="J8859"/>
        </row>
        <row r="8860">
          <cell r="A8860"/>
          <cell r="J8860"/>
        </row>
        <row r="8861">
          <cell r="A8861"/>
          <cell r="J8861"/>
        </row>
        <row r="8862">
          <cell r="A8862"/>
          <cell r="J8862"/>
        </row>
        <row r="8863">
          <cell r="A8863"/>
          <cell r="J8863"/>
        </row>
        <row r="8864">
          <cell r="A8864"/>
          <cell r="J8864"/>
        </row>
        <row r="8865">
          <cell r="A8865"/>
          <cell r="J8865"/>
        </row>
        <row r="8866">
          <cell r="A8866"/>
          <cell r="J8866"/>
        </row>
        <row r="8867">
          <cell r="A8867"/>
          <cell r="J8867"/>
        </row>
        <row r="8868">
          <cell r="A8868"/>
          <cell r="J8868"/>
        </row>
        <row r="8869">
          <cell r="A8869"/>
          <cell r="J8869"/>
        </row>
        <row r="8870">
          <cell r="A8870"/>
          <cell r="J8870"/>
        </row>
        <row r="8871">
          <cell r="A8871"/>
          <cell r="J8871"/>
        </row>
        <row r="8872">
          <cell r="A8872"/>
          <cell r="J8872"/>
        </row>
        <row r="8873">
          <cell r="A8873"/>
          <cell r="J8873"/>
        </row>
        <row r="8874">
          <cell r="A8874"/>
          <cell r="J8874"/>
        </row>
        <row r="8875">
          <cell r="A8875"/>
          <cell r="J8875"/>
        </row>
        <row r="8876">
          <cell r="A8876"/>
          <cell r="J8876"/>
        </row>
        <row r="8877">
          <cell r="A8877"/>
          <cell r="J8877"/>
        </row>
        <row r="8878">
          <cell r="A8878"/>
          <cell r="J8878"/>
        </row>
        <row r="8879">
          <cell r="A8879"/>
          <cell r="J8879"/>
        </row>
        <row r="8880">
          <cell r="A8880"/>
          <cell r="J8880"/>
        </row>
        <row r="8881">
          <cell r="A8881"/>
          <cell r="J8881"/>
        </row>
        <row r="8882">
          <cell r="A8882"/>
          <cell r="J8882"/>
        </row>
        <row r="8883">
          <cell r="A8883"/>
          <cell r="J8883"/>
        </row>
        <row r="8884">
          <cell r="A8884"/>
          <cell r="J8884"/>
        </row>
        <row r="8885">
          <cell r="A8885"/>
          <cell r="J8885"/>
        </row>
        <row r="8886">
          <cell r="A8886"/>
          <cell r="J8886"/>
        </row>
        <row r="8887">
          <cell r="A8887"/>
          <cell r="J8887"/>
        </row>
        <row r="8888">
          <cell r="A8888"/>
          <cell r="J8888"/>
        </row>
        <row r="8889">
          <cell r="A8889"/>
          <cell r="J8889"/>
        </row>
        <row r="8890">
          <cell r="A8890"/>
          <cell r="J8890"/>
        </row>
        <row r="8891">
          <cell r="A8891"/>
          <cell r="J8891"/>
        </row>
        <row r="8892">
          <cell r="A8892"/>
          <cell r="J8892"/>
        </row>
        <row r="8893">
          <cell r="A8893"/>
          <cell r="J8893"/>
        </row>
        <row r="8894">
          <cell r="A8894"/>
          <cell r="J8894"/>
        </row>
        <row r="8895">
          <cell r="A8895"/>
          <cell r="J8895"/>
        </row>
        <row r="8896">
          <cell r="A8896"/>
          <cell r="J8896"/>
        </row>
        <row r="8897">
          <cell r="A8897"/>
          <cell r="J8897"/>
        </row>
        <row r="8898">
          <cell r="A8898"/>
          <cell r="J8898"/>
        </row>
        <row r="8899">
          <cell r="A8899"/>
          <cell r="J8899"/>
        </row>
        <row r="8900">
          <cell r="A8900"/>
          <cell r="J8900"/>
        </row>
        <row r="8901">
          <cell r="A8901"/>
          <cell r="J8901"/>
        </row>
        <row r="8902">
          <cell r="A8902"/>
          <cell r="J8902"/>
        </row>
        <row r="8903">
          <cell r="A8903"/>
          <cell r="J8903"/>
        </row>
        <row r="8904">
          <cell r="A8904"/>
          <cell r="J8904"/>
        </row>
        <row r="8905">
          <cell r="A8905"/>
          <cell r="J8905"/>
        </row>
        <row r="8906">
          <cell r="A8906"/>
          <cell r="J8906"/>
        </row>
        <row r="8907">
          <cell r="A8907"/>
          <cell r="J8907"/>
        </row>
        <row r="8908">
          <cell r="A8908"/>
          <cell r="J8908"/>
        </row>
        <row r="8909">
          <cell r="A8909"/>
          <cell r="J8909"/>
        </row>
        <row r="8910">
          <cell r="A8910"/>
          <cell r="J8910"/>
        </row>
        <row r="8911">
          <cell r="A8911"/>
          <cell r="J8911"/>
        </row>
        <row r="8912">
          <cell r="A8912"/>
          <cell r="J8912"/>
        </row>
        <row r="8913">
          <cell r="A8913"/>
          <cell r="J8913"/>
        </row>
        <row r="8914">
          <cell r="A8914"/>
          <cell r="J8914"/>
        </row>
        <row r="8915">
          <cell r="A8915"/>
          <cell r="J8915"/>
        </row>
        <row r="8916">
          <cell r="A8916"/>
          <cell r="J8916"/>
        </row>
        <row r="8917">
          <cell r="A8917"/>
          <cell r="J8917"/>
        </row>
        <row r="8918">
          <cell r="A8918"/>
          <cell r="J8918"/>
        </row>
        <row r="8919">
          <cell r="A8919"/>
          <cell r="J8919"/>
        </row>
        <row r="8920">
          <cell r="A8920"/>
          <cell r="J8920"/>
        </row>
        <row r="8921">
          <cell r="A8921"/>
          <cell r="J8921"/>
        </row>
        <row r="8922">
          <cell r="A8922"/>
          <cell r="J8922"/>
        </row>
        <row r="8923">
          <cell r="A8923"/>
          <cell r="J8923"/>
        </row>
        <row r="8924">
          <cell r="A8924"/>
          <cell r="J8924"/>
        </row>
        <row r="8925">
          <cell r="A8925"/>
          <cell r="J8925"/>
        </row>
        <row r="8926">
          <cell r="A8926"/>
          <cell r="J8926"/>
        </row>
        <row r="8927">
          <cell r="A8927"/>
          <cell r="J8927"/>
        </row>
        <row r="8928">
          <cell r="A8928"/>
          <cell r="J8928"/>
        </row>
        <row r="8929">
          <cell r="A8929"/>
          <cell r="J8929"/>
        </row>
        <row r="8930">
          <cell r="A8930"/>
          <cell r="J8930"/>
        </row>
        <row r="8931">
          <cell r="A8931"/>
          <cell r="J8931"/>
        </row>
        <row r="8932">
          <cell r="A8932"/>
          <cell r="J8932"/>
        </row>
        <row r="8933">
          <cell r="A8933"/>
          <cell r="J8933"/>
        </row>
        <row r="8934">
          <cell r="A8934"/>
          <cell r="J8934"/>
        </row>
        <row r="8935">
          <cell r="A8935"/>
          <cell r="J8935"/>
        </row>
        <row r="8936">
          <cell r="A8936"/>
          <cell r="J8936"/>
        </row>
        <row r="8937">
          <cell r="A8937"/>
          <cell r="J8937"/>
        </row>
        <row r="8938">
          <cell r="A8938"/>
          <cell r="J8938"/>
        </row>
        <row r="8939">
          <cell r="A8939"/>
          <cell r="J8939"/>
        </row>
        <row r="8940">
          <cell r="A8940"/>
          <cell r="J8940"/>
        </row>
        <row r="8941">
          <cell r="A8941"/>
          <cell r="J8941"/>
        </row>
        <row r="8942">
          <cell r="A8942"/>
          <cell r="J8942"/>
        </row>
        <row r="8943">
          <cell r="A8943"/>
          <cell r="J8943"/>
        </row>
        <row r="8944">
          <cell r="A8944"/>
          <cell r="J8944"/>
        </row>
        <row r="8945">
          <cell r="A8945"/>
          <cell r="J8945"/>
        </row>
        <row r="8946">
          <cell r="A8946"/>
          <cell r="J8946"/>
        </row>
        <row r="8947">
          <cell r="A8947"/>
          <cell r="J8947"/>
        </row>
        <row r="8948">
          <cell r="A8948"/>
          <cell r="J8948"/>
        </row>
        <row r="8949">
          <cell r="A8949"/>
          <cell r="J8949"/>
        </row>
        <row r="8950">
          <cell r="A8950"/>
          <cell r="J8950"/>
        </row>
        <row r="8951">
          <cell r="A8951"/>
          <cell r="J8951"/>
        </row>
        <row r="8952">
          <cell r="A8952"/>
          <cell r="J8952"/>
        </row>
        <row r="8953">
          <cell r="A8953"/>
          <cell r="J8953"/>
        </row>
        <row r="8954">
          <cell r="A8954"/>
          <cell r="J8954"/>
        </row>
        <row r="8955">
          <cell r="A8955"/>
          <cell r="J8955"/>
        </row>
        <row r="8956">
          <cell r="A8956"/>
          <cell r="J8956"/>
        </row>
        <row r="8957">
          <cell r="A8957"/>
          <cell r="J8957"/>
        </row>
        <row r="8958">
          <cell r="A8958"/>
          <cell r="J8958"/>
        </row>
        <row r="8959">
          <cell r="A8959"/>
          <cell r="J8959"/>
        </row>
        <row r="8960">
          <cell r="A8960"/>
          <cell r="J8960"/>
        </row>
        <row r="8961">
          <cell r="A8961"/>
          <cell r="J8961"/>
        </row>
        <row r="8962">
          <cell r="A8962"/>
          <cell r="J8962"/>
        </row>
        <row r="8963">
          <cell r="A8963"/>
          <cell r="J8963"/>
        </row>
        <row r="8964">
          <cell r="A8964"/>
          <cell r="J8964"/>
        </row>
        <row r="8965">
          <cell r="A8965"/>
          <cell r="J8965"/>
        </row>
        <row r="8966">
          <cell r="A8966"/>
          <cell r="J8966"/>
        </row>
        <row r="8967">
          <cell r="A8967"/>
          <cell r="J8967"/>
        </row>
        <row r="8968">
          <cell r="A8968"/>
          <cell r="J8968"/>
        </row>
        <row r="8969">
          <cell r="A8969"/>
          <cell r="J8969"/>
        </row>
        <row r="8970">
          <cell r="A8970"/>
          <cell r="J8970"/>
        </row>
        <row r="8971">
          <cell r="A8971"/>
          <cell r="J8971"/>
        </row>
        <row r="8972">
          <cell r="A8972"/>
          <cell r="J8972"/>
        </row>
        <row r="8973">
          <cell r="A8973"/>
          <cell r="J8973"/>
        </row>
        <row r="8974">
          <cell r="A8974"/>
          <cell r="J8974"/>
        </row>
        <row r="8975">
          <cell r="A8975"/>
          <cell r="J8975"/>
        </row>
        <row r="8976">
          <cell r="A8976"/>
          <cell r="J8976"/>
        </row>
        <row r="8977">
          <cell r="A8977"/>
          <cell r="J8977"/>
        </row>
        <row r="8978">
          <cell r="A8978"/>
          <cell r="J8978"/>
        </row>
        <row r="8979">
          <cell r="A8979"/>
          <cell r="J8979"/>
        </row>
        <row r="8980">
          <cell r="A8980"/>
          <cell r="J8980"/>
        </row>
        <row r="8981">
          <cell r="A8981"/>
          <cell r="J8981"/>
        </row>
        <row r="8982">
          <cell r="A8982"/>
          <cell r="J8982"/>
        </row>
        <row r="8983">
          <cell r="A8983"/>
          <cell r="J8983"/>
        </row>
        <row r="8984">
          <cell r="A8984"/>
          <cell r="J8984"/>
        </row>
        <row r="8985">
          <cell r="A8985"/>
          <cell r="J8985"/>
        </row>
        <row r="8986">
          <cell r="A8986"/>
          <cell r="J8986"/>
        </row>
        <row r="8987">
          <cell r="A8987"/>
          <cell r="J8987"/>
        </row>
        <row r="8988">
          <cell r="A8988"/>
          <cell r="J8988"/>
        </row>
        <row r="8989">
          <cell r="A8989"/>
          <cell r="J8989"/>
        </row>
        <row r="8990">
          <cell r="A8990"/>
          <cell r="J8990"/>
        </row>
        <row r="8991">
          <cell r="A8991"/>
          <cell r="J8991"/>
        </row>
        <row r="8992">
          <cell r="A8992"/>
          <cell r="J8992"/>
        </row>
        <row r="8993">
          <cell r="A8993"/>
          <cell r="J8993"/>
        </row>
        <row r="8994">
          <cell r="A8994"/>
          <cell r="J8994"/>
        </row>
        <row r="8995">
          <cell r="A8995"/>
          <cell r="J8995"/>
        </row>
        <row r="8996">
          <cell r="A8996"/>
          <cell r="J8996"/>
        </row>
        <row r="8997">
          <cell r="A8997"/>
          <cell r="J8997"/>
        </row>
        <row r="8998">
          <cell r="A8998"/>
          <cell r="J8998"/>
        </row>
        <row r="8999">
          <cell r="A8999"/>
          <cell r="J8999"/>
        </row>
        <row r="9000">
          <cell r="A9000"/>
          <cell r="J9000"/>
        </row>
        <row r="9001">
          <cell r="A9001"/>
          <cell r="J9001"/>
        </row>
        <row r="9002">
          <cell r="A9002"/>
          <cell r="J9002"/>
        </row>
        <row r="9003">
          <cell r="A9003"/>
          <cell r="J9003"/>
        </row>
        <row r="9004">
          <cell r="A9004"/>
          <cell r="J9004"/>
        </row>
        <row r="9005">
          <cell r="A9005"/>
          <cell r="J9005"/>
        </row>
        <row r="9006">
          <cell r="A9006"/>
          <cell r="J9006"/>
        </row>
        <row r="9007">
          <cell r="A9007"/>
          <cell r="J9007"/>
        </row>
        <row r="9008">
          <cell r="A9008"/>
          <cell r="J9008"/>
        </row>
        <row r="9009">
          <cell r="A9009"/>
          <cell r="J9009"/>
        </row>
        <row r="9010">
          <cell r="A9010"/>
          <cell r="J9010"/>
        </row>
        <row r="9011">
          <cell r="A9011"/>
          <cell r="J9011"/>
        </row>
        <row r="9012">
          <cell r="A9012"/>
          <cell r="J9012"/>
        </row>
        <row r="9013">
          <cell r="A9013"/>
          <cell r="J9013"/>
        </row>
        <row r="9014">
          <cell r="A9014"/>
          <cell r="J9014"/>
        </row>
        <row r="9015">
          <cell r="A9015"/>
          <cell r="J9015"/>
        </row>
        <row r="9016">
          <cell r="A9016"/>
          <cell r="J9016"/>
        </row>
        <row r="9017">
          <cell r="A9017"/>
          <cell r="J9017"/>
        </row>
        <row r="9018">
          <cell r="A9018"/>
          <cell r="J9018"/>
        </row>
        <row r="9019">
          <cell r="A9019"/>
          <cell r="J9019"/>
        </row>
        <row r="9020">
          <cell r="A9020"/>
          <cell r="J9020"/>
        </row>
        <row r="9021">
          <cell r="A9021"/>
          <cell r="J9021"/>
        </row>
        <row r="9022">
          <cell r="A9022"/>
          <cell r="J9022"/>
        </row>
        <row r="9023">
          <cell r="A9023"/>
          <cell r="J9023"/>
        </row>
        <row r="9024">
          <cell r="A9024"/>
          <cell r="J9024"/>
        </row>
        <row r="9025">
          <cell r="A9025"/>
          <cell r="J9025"/>
        </row>
        <row r="9026">
          <cell r="A9026"/>
          <cell r="J9026"/>
        </row>
        <row r="9027">
          <cell r="A9027"/>
          <cell r="J9027"/>
        </row>
        <row r="9028">
          <cell r="A9028"/>
          <cell r="J9028"/>
        </row>
        <row r="9029">
          <cell r="A9029"/>
          <cell r="J9029"/>
        </row>
        <row r="9030">
          <cell r="A9030"/>
          <cell r="J9030"/>
        </row>
        <row r="9031">
          <cell r="A9031"/>
          <cell r="J9031"/>
        </row>
        <row r="9032">
          <cell r="A9032"/>
          <cell r="J9032"/>
        </row>
        <row r="9033">
          <cell r="A9033"/>
          <cell r="J9033"/>
        </row>
        <row r="9034">
          <cell r="A9034"/>
          <cell r="J9034"/>
        </row>
        <row r="9035">
          <cell r="A9035"/>
          <cell r="J9035"/>
        </row>
        <row r="9036">
          <cell r="A9036"/>
          <cell r="J9036"/>
        </row>
        <row r="9037">
          <cell r="A9037"/>
          <cell r="J9037"/>
        </row>
        <row r="9038">
          <cell r="A9038"/>
          <cell r="J9038"/>
        </row>
        <row r="9039">
          <cell r="A9039"/>
          <cell r="J9039"/>
        </row>
        <row r="9040">
          <cell r="A9040"/>
          <cell r="J9040"/>
        </row>
        <row r="9041">
          <cell r="A9041"/>
          <cell r="J9041"/>
        </row>
        <row r="9042">
          <cell r="A9042"/>
          <cell r="J9042"/>
        </row>
        <row r="9043">
          <cell r="A9043"/>
          <cell r="J9043"/>
        </row>
        <row r="9044">
          <cell r="A9044"/>
          <cell r="J9044"/>
        </row>
        <row r="9045">
          <cell r="A9045"/>
          <cell r="J9045"/>
        </row>
        <row r="9046">
          <cell r="A9046"/>
          <cell r="J9046"/>
        </row>
        <row r="9047">
          <cell r="A9047"/>
          <cell r="J9047"/>
        </row>
        <row r="9048">
          <cell r="A9048"/>
          <cell r="J9048"/>
        </row>
        <row r="9049">
          <cell r="A9049"/>
          <cell r="J9049"/>
        </row>
        <row r="9050">
          <cell r="A9050"/>
          <cell r="J9050"/>
        </row>
        <row r="9051">
          <cell r="A9051"/>
          <cell r="J9051"/>
        </row>
        <row r="9052">
          <cell r="A9052"/>
          <cell r="J9052"/>
        </row>
        <row r="9053">
          <cell r="A9053"/>
          <cell r="J9053"/>
        </row>
        <row r="9054">
          <cell r="A9054"/>
          <cell r="J9054"/>
        </row>
        <row r="9055">
          <cell r="A9055"/>
          <cell r="J9055"/>
        </row>
        <row r="9056">
          <cell r="A9056"/>
          <cell r="J9056"/>
        </row>
        <row r="9057">
          <cell r="A9057"/>
          <cell r="J9057"/>
        </row>
        <row r="9058">
          <cell r="A9058"/>
          <cell r="J9058"/>
        </row>
        <row r="9059">
          <cell r="A9059"/>
          <cell r="J9059"/>
        </row>
        <row r="9060">
          <cell r="A9060"/>
          <cell r="J9060"/>
        </row>
        <row r="9061">
          <cell r="A9061"/>
          <cell r="J9061"/>
        </row>
        <row r="9062">
          <cell r="A9062"/>
          <cell r="J9062"/>
        </row>
        <row r="9063">
          <cell r="A9063"/>
          <cell r="J9063"/>
        </row>
        <row r="9064">
          <cell r="A9064"/>
          <cell r="J9064"/>
        </row>
        <row r="9065">
          <cell r="A9065"/>
          <cell r="J9065"/>
        </row>
        <row r="9066">
          <cell r="A9066"/>
          <cell r="J9066"/>
        </row>
        <row r="9067">
          <cell r="A9067"/>
          <cell r="J9067"/>
        </row>
        <row r="9068">
          <cell r="A9068"/>
          <cell r="J9068"/>
        </row>
        <row r="9069">
          <cell r="A9069"/>
          <cell r="J9069"/>
        </row>
        <row r="9070">
          <cell r="A9070"/>
          <cell r="J9070"/>
        </row>
        <row r="9071">
          <cell r="A9071"/>
          <cell r="J9071"/>
        </row>
        <row r="9072">
          <cell r="A9072"/>
          <cell r="J9072"/>
        </row>
        <row r="9073">
          <cell r="A9073"/>
          <cell r="J9073"/>
        </row>
        <row r="9074">
          <cell r="A9074"/>
          <cell r="J9074"/>
        </row>
        <row r="9075">
          <cell r="A9075"/>
          <cell r="J9075"/>
        </row>
        <row r="9076">
          <cell r="A9076"/>
          <cell r="J9076"/>
        </row>
        <row r="9077">
          <cell r="A9077"/>
          <cell r="J9077"/>
        </row>
        <row r="9078">
          <cell r="A9078"/>
          <cell r="J9078"/>
        </row>
        <row r="9079">
          <cell r="A9079"/>
          <cell r="J9079"/>
        </row>
        <row r="9080">
          <cell r="A9080"/>
          <cell r="J9080"/>
        </row>
        <row r="9081">
          <cell r="A9081"/>
          <cell r="J9081"/>
        </row>
        <row r="9082">
          <cell r="A9082"/>
          <cell r="J9082"/>
        </row>
        <row r="9083">
          <cell r="A9083"/>
          <cell r="J9083"/>
        </row>
        <row r="9084">
          <cell r="A9084"/>
          <cell r="J9084"/>
        </row>
        <row r="9085">
          <cell r="A9085"/>
          <cell r="J9085"/>
        </row>
        <row r="9086">
          <cell r="A9086"/>
          <cell r="J9086"/>
        </row>
        <row r="9087">
          <cell r="A9087"/>
          <cell r="J9087"/>
        </row>
        <row r="9088">
          <cell r="A9088"/>
          <cell r="J9088"/>
        </row>
        <row r="9089">
          <cell r="A9089"/>
          <cell r="J9089"/>
        </row>
        <row r="9090">
          <cell r="A9090"/>
          <cell r="J9090"/>
        </row>
        <row r="9091">
          <cell r="A9091"/>
          <cell r="J9091"/>
        </row>
        <row r="9092">
          <cell r="A9092"/>
          <cell r="J9092"/>
        </row>
        <row r="9093">
          <cell r="A9093"/>
          <cell r="J9093"/>
        </row>
        <row r="9094">
          <cell r="A9094"/>
          <cell r="J9094"/>
        </row>
        <row r="9095">
          <cell r="A9095"/>
          <cell r="J9095"/>
        </row>
        <row r="9096">
          <cell r="A9096"/>
          <cell r="J9096"/>
        </row>
        <row r="9097">
          <cell r="A9097"/>
          <cell r="J9097"/>
        </row>
        <row r="9098">
          <cell r="A9098"/>
          <cell r="J9098"/>
        </row>
        <row r="9099">
          <cell r="A9099"/>
          <cell r="J9099"/>
        </row>
        <row r="9100">
          <cell r="A9100"/>
          <cell r="J9100"/>
        </row>
        <row r="9101">
          <cell r="A9101"/>
          <cell r="J9101"/>
        </row>
        <row r="9102">
          <cell r="A9102"/>
          <cell r="J9102"/>
        </row>
        <row r="9103">
          <cell r="A9103"/>
          <cell r="J9103"/>
        </row>
        <row r="9104">
          <cell r="A9104"/>
          <cell r="J9104"/>
        </row>
        <row r="9105">
          <cell r="A9105"/>
          <cell r="J9105"/>
        </row>
        <row r="9106">
          <cell r="A9106"/>
          <cell r="J9106"/>
        </row>
        <row r="9107">
          <cell r="A9107"/>
          <cell r="J9107"/>
        </row>
        <row r="9108">
          <cell r="A9108"/>
          <cell r="J9108"/>
        </row>
        <row r="9109">
          <cell r="A9109"/>
          <cell r="J9109"/>
        </row>
        <row r="9110">
          <cell r="A9110"/>
          <cell r="J9110"/>
        </row>
        <row r="9111">
          <cell r="A9111"/>
          <cell r="J9111"/>
        </row>
        <row r="9112">
          <cell r="A9112"/>
          <cell r="J9112"/>
        </row>
        <row r="9113">
          <cell r="A9113"/>
          <cell r="J9113"/>
        </row>
        <row r="9114">
          <cell r="A9114"/>
          <cell r="J9114"/>
        </row>
        <row r="9115">
          <cell r="A9115"/>
          <cell r="J9115"/>
        </row>
        <row r="9116">
          <cell r="A9116"/>
          <cell r="J9116"/>
        </row>
        <row r="9117">
          <cell r="A9117"/>
          <cell r="J9117"/>
        </row>
        <row r="9118">
          <cell r="A9118"/>
          <cell r="J9118"/>
        </row>
        <row r="9119">
          <cell r="A9119"/>
          <cell r="J9119"/>
        </row>
        <row r="9120">
          <cell r="A9120"/>
          <cell r="J9120"/>
        </row>
        <row r="9121">
          <cell r="A9121"/>
          <cell r="J9121"/>
        </row>
        <row r="9122">
          <cell r="A9122"/>
          <cell r="J9122"/>
        </row>
        <row r="9123">
          <cell r="A9123"/>
          <cell r="J9123"/>
        </row>
        <row r="9124">
          <cell r="A9124"/>
          <cell r="J9124"/>
        </row>
        <row r="9125">
          <cell r="A9125"/>
          <cell r="J9125"/>
        </row>
        <row r="9126">
          <cell r="A9126"/>
          <cell r="J9126"/>
        </row>
        <row r="9127">
          <cell r="A9127"/>
          <cell r="J9127"/>
        </row>
        <row r="9128">
          <cell r="A9128"/>
          <cell r="J9128"/>
        </row>
        <row r="9129">
          <cell r="A9129"/>
          <cell r="J9129"/>
        </row>
        <row r="9130">
          <cell r="A9130"/>
          <cell r="J9130"/>
        </row>
        <row r="9131">
          <cell r="A9131"/>
          <cell r="J9131"/>
        </row>
        <row r="9132">
          <cell r="A9132"/>
          <cell r="J9132"/>
        </row>
        <row r="9133">
          <cell r="A9133"/>
          <cell r="J9133"/>
        </row>
        <row r="9134">
          <cell r="A9134"/>
          <cell r="J9134"/>
        </row>
        <row r="9135">
          <cell r="A9135"/>
          <cell r="J9135"/>
        </row>
        <row r="9136">
          <cell r="A9136"/>
          <cell r="J9136"/>
        </row>
        <row r="9137">
          <cell r="A9137"/>
          <cell r="J9137"/>
        </row>
        <row r="9138">
          <cell r="A9138"/>
          <cell r="J9138"/>
        </row>
        <row r="9139">
          <cell r="A9139"/>
          <cell r="J9139"/>
        </row>
        <row r="9140">
          <cell r="A9140"/>
          <cell r="J9140"/>
        </row>
        <row r="9141">
          <cell r="A9141"/>
          <cell r="J9141"/>
        </row>
        <row r="9142">
          <cell r="A9142"/>
          <cell r="J9142"/>
        </row>
        <row r="9143">
          <cell r="A9143"/>
          <cell r="J9143"/>
        </row>
        <row r="9144">
          <cell r="A9144"/>
          <cell r="J9144"/>
        </row>
        <row r="9145">
          <cell r="A9145"/>
          <cell r="J9145"/>
        </row>
        <row r="9146">
          <cell r="A9146"/>
          <cell r="J9146"/>
        </row>
        <row r="9147">
          <cell r="A9147"/>
          <cell r="J9147"/>
        </row>
        <row r="9148">
          <cell r="A9148"/>
          <cell r="J9148"/>
        </row>
        <row r="9149">
          <cell r="A9149"/>
          <cell r="J9149"/>
        </row>
        <row r="9150">
          <cell r="A9150"/>
          <cell r="J9150"/>
        </row>
        <row r="9151">
          <cell r="A9151"/>
          <cell r="J9151"/>
        </row>
        <row r="9152">
          <cell r="A9152"/>
          <cell r="J9152"/>
        </row>
        <row r="9153">
          <cell r="A9153"/>
          <cell r="J9153"/>
        </row>
        <row r="9154">
          <cell r="A9154"/>
          <cell r="J9154"/>
        </row>
        <row r="9155">
          <cell r="A9155"/>
          <cell r="J9155"/>
        </row>
        <row r="9156">
          <cell r="A9156"/>
          <cell r="J9156"/>
        </row>
        <row r="9157">
          <cell r="A9157"/>
          <cell r="J9157"/>
        </row>
        <row r="9158">
          <cell r="A9158"/>
          <cell r="J9158"/>
        </row>
        <row r="9159">
          <cell r="A9159"/>
          <cell r="J9159"/>
        </row>
        <row r="9160">
          <cell r="A9160"/>
          <cell r="J9160"/>
        </row>
        <row r="9161">
          <cell r="A9161"/>
          <cell r="J9161"/>
        </row>
        <row r="9162">
          <cell r="A9162"/>
          <cell r="J9162"/>
        </row>
        <row r="9163">
          <cell r="A9163"/>
          <cell r="J9163"/>
        </row>
        <row r="9164">
          <cell r="A9164"/>
          <cell r="J9164"/>
        </row>
        <row r="9165">
          <cell r="A9165"/>
          <cell r="J9165"/>
        </row>
        <row r="9166">
          <cell r="A9166"/>
          <cell r="J9166"/>
        </row>
        <row r="9167">
          <cell r="A9167"/>
          <cell r="J9167"/>
        </row>
        <row r="9168">
          <cell r="A9168"/>
          <cell r="J9168"/>
        </row>
        <row r="9169">
          <cell r="A9169"/>
          <cell r="J9169"/>
        </row>
        <row r="9170">
          <cell r="A9170"/>
          <cell r="J9170"/>
        </row>
        <row r="9171">
          <cell r="A9171"/>
          <cell r="J9171"/>
        </row>
        <row r="9172">
          <cell r="A9172"/>
          <cell r="J9172"/>
        </row>
        <row r="9173">
          <cell r="A9173"/>
          <cell r="J9173"/>
        </row>
        <row r="9174">
          <cell r="A9174"/>
          <cell r="J9174"/>
        </row>
        <row r="9175">
          <cell r="A9175"/>
          <cell r="J9175"/>
        </row>
        <row r="9176">
          <cell r="A9176"/>
          <cell r="J9176"/>
        </row>
        <row r="9177">
          <cell r="A9177"/>
          <cell r="J9177"/>
        </row>
        <row r="9178">
          <cell r="A9178"/>
          <cell r="J9178"/>
        </row>
        <row r="9179">
          <cell r="A9179"/>
          <cell r="J9179"/>
        </row>
        <row r="9180">
          <cell r="A9180"/>
          <cell r="J9180"/>
        </row>
        <row r="9181">
          <cell r="A9181"/>
          <cell r="J9181"/>
        </row>
        <row r="9182">
          <cell r="A9182"/>
          <cell r="J9182"/>
        </row>
        <row r="9183">
          <cell r="A9183"/>
          <cell r="J9183"/>
        </row>
        <row r="9184">
          <cell r="A9184"/>
          <cell r="J9184"/>
        </row>
        <row r="9185">
          <cell r="A9185"/>
          <cell r="J9185"/>
        </row>
        <row r="9186">
          <cell r="A9186"/>
          <cell r="J9186"/>
        </row>
        <row r="9187">
          <cell r="A9187"/>
          <cell r="J9187"/>
        </row>
        <row r="9188">
          <cell r="A9188"/>
          <cell r="J9188"/>
        </row>
        <row r="9189">
          <cell r="A9189"/>
          <cell r="J9189"/>
        </row>
        <row r="9190">
          <cell r="A9190"/>
          <cell r="J9190"/>
        </row>
        <row r="9191">
          <cell r="A9191"/>
          <cell r="J9191"/>
        </row>
        <row r="9192">
          <cell r="A9192"/>
          <cell r="J9192"/>
        </row>
        <row r="9193">
          <cell r="A9193"/>
          <cell r="J9193"/>
        </row>
        <row r="9194">
          <cell r="A9194"/>
          <cell r="J9194"/>
        </row>
        <row r="9195">
          <cell r="A9195"/>
          <cell r="J9195"/>
        </row>
        <row r="9196">
          <cell r="A9196"/>
          <cell r="J9196"/>
        </row>
        <row r="9197">
          <cell r="A9197"/>
          <cell r="J9197"/>
        </row>
        <row r="9198">
          <cell r="A9198"/>
          <cell r="J9198"/>
        </row>
        <row r="9199">
          <cell r="A9199"/>
          <cell r="J9199"/>
        </row>
        <row r="9200">
          <cell r="A9200"/>
          <cell r="J9200"/>
        </row>
        <row r="9201">
          <cell r="A9201"/>
          <cell r="J9201"/>
        </row>
        <row r="9202">
          <cell r="A9202"/>
          <cell r="J9202"/>
        </row>
        <row r="9203">
          <cell r="A9203"/>
          <cell r="J9203"/>
        </row>
        <row r="9204">
          <cell r="A9204"/>
          <cell r="J9204"/>
        </row>
        <row r="9205">
          <cell r="A9205"/>
          <cell r="J9205"/>
        </row>
        <row r="9206">
          <cell r="A9206"/>
          <cell r="J9206"/>
        </row>
        <row r="9207">
          <cell r="A9207"/>
          <cell r="J9207"/>
        </row>
        <row r="9208">
          <cell r="A9208"/>
          <cell r="J9208"/>
        </row>
        <row r="9209">
          <cell r="A9209"/>
          <cell r="J9209"/>
        </row>
        <row r="9210">
          <cell r="A9210"/>
          <cell r="J9210"/>
        </row>
        <row r="9211">
          <cell r="A9211"/>
          <cell r="J9211"/>
        </row>
        <row r="9212">
          <cell r="A9212"/>
          <cell r="J9212"/>
        </row>
        <row r="9213">
          <cell r="A9213"/>
          <cell r="J9213"/>
        </row>
        <row r="9214">
          <cell r="A9214"/>
          <cell r="J9214"/>
        </row>
        <row r="9215">
          <cell r="A9215"/>
          <cell r="J9215"/>
        </row>
        <row r="9216">
          <cell r="A9216"/>
          <cell r="J9216"/>
        </row>
        <row r="9217">
          <cell r="A9217"/>
          <cell r="J9217"/>
        </row>
        <row r="9218">
          <cell r="A9218"/>
          <cell r="J9218"/>
        </row>
        <row r="9219">
          <cell r="A9219"/>
          <cell r="J9219"/>
        </row>
        <row r="9220">
          <cell r="A9220"/>
          <cell r="J9220"/>
        </row>
        <row r="9221">
          <cell r="A9221"/>
          <cell r="J9221"/>
        </row>
        <row r="9222">
          <cell r="A9222"/>
          <cell r="J9222"/>
        </row>
        <row r="9223">
          <cell r="A9223"/>
          <cell r="J9223"/>
        </row>
        <row r="9224">
          <cell r="A9224"/>
          <cell r="J9224"/>
        </row>
        <row r="9225">
          <cell r="A9225"/>
          <cell r="J9225"/>
        </row>
        <row r="9226">
          <cell r="A9226"/>
          <cell r="J9226"/>
        </row>
        <row r="9227">
          <cell r="A9227"/>
          <cell r="J9227"/>
        </row>
        <row r="9228">
          <cell r="A9228"/>
          <cell r="J9228"/>
        </row>
        <row r="9229">
          <cell r="A9229"/>
          <cell r="J9229"/>
        </row>
        <row r="9230">
          <cell r="A9230"/>
          <cell r="J9230"/>
        </row>
        <row r="9231">
          <cell r="A9231"/>
          <cell r="J9231"/>
        </row>
        <row r="9232">
          <cell r="A9232"/>
          <cell r="J9232"/>
        </row>
        <row r="9233">
          <cell r="A9233"/>
          <cell r="J9233"/>
        </row>
        <row r="9234">
          <cell r="A9234"/>
          <cell r="J9234"/>
        </row>
        <row r="9235">
          <cell r="A9235"/>
          <cell r="J9235"/>
        </row>
        <row r="9236">
          <cell r="A9236"/>
          <cell r="J9236"/>
        </row>
        <row r="9237">
          <cell r="A9237"/>
          <cell r="J9237"/>
        </row>
        <row r="9238">
          <cell r="A9238"/>
          <cell r="J9238"/>
        </row>
        <row r="9239">
          <cell r="A9239"/>
          <cell r="J9239"/>
        </row>
        <row r="9240">
          <cell r="A9240"/>
          <cell r="J9240"/>
        </row>
        <row r="9241">
          <cell r="A9241"/>
          <cell r="J9241"/>
        </row>
        <row r="9242">
          <cell r="A9242"/>
          <cell r="J9242"/>
        </row>
        <row r="9243">
          <cell r="A9243"/>
          <cell r="J9243"/>
        </row>
        <row r="9244">
          <cell r="A9244"/>
          <cell r="J9244"/>
        </row>
        <row r="9245">
          <cell r="A9245"/>
          <cell r="J9245"/>
        </row>
        <row r="9246">
          <cell r="A9246"/>
          <cell r="J9246"/>
        </row>
        <row r="9247">
          <cell r="A9247"/>
          <cell r="J9247"/>
        </row>
        <row r="9248">
          <cell r="A9248"/>
          <cell r="J9248"/>
        </row>
        <row r="9249">
          <cell r="A9249"/>
          <cell r="J9249"/>
        </row>
        <row r="9250">
          <cell r="A9250"/>
          <cell r="J9250"/>
        </row>
        <row r="9251">
          <cell r="A9251"/>
          <cell r="J9251"/>
        </row>
        <row r="9252">
          <cell r="A9252"/>
          <cell r="J9252"/>
        </row>
        <row r="9253">
          <cell r="A9253"/>
          <cell r="J9253"/>
        </row>
        <row r="9254">
          <cell r="A9254"/>
          <cell r="J9254"/>
        </row>
        <row r="9255">
          <cell r="A9255"/>
          <cell r="J9255"/>
        </row>
        <row r="9256">
          <cell r="A9256"/>
          <cell r="J9256"/>
        </row>
        <row r="9257">
          <cell r="A9257"/>
          <cell r="J9257"/>
        </row>
        <row r="9258">
          <cell r="A9258"/>
          <cell r="J9258"/>
        </row>
        <row r="9259">
          <cell r="A9259"/>
          <cell r="J9259"/>
        </row>
        <row r="9260">
          <cell r="A9260"/>
          <cell r="J9260"/>
        </row>
        <row r="9261">
          <cell r="A9261"/>
          <cell r="J9261"/>
        </row>
        <row r="9262">
          <cell r="A9262"/>
          <cell r="J9262"/>
        </row>
        <row r="9263">
          <cell r="A9263"/>
          <cell r="J9263"/>
        </row>
        <row r="9264">
          <cell r="A9264"/>
          <cell r="J9264"/>
        </row>
        <row r="9265">
          <cell r="A9265"/>
          <cell r="J9265"/>
        </row>
        <row r="9266">
          <cell r="A9266"/>
          <cell r="J9266"/>
        </row>
        <row r="9267">
          <cell r="A9267"/>
          <cell r="J9267"/>
        </row>
        <row r="9268">
          <cell r="A9268"/>
          <cell r="J9268"/>
        </row>
        <row r="9269">
          <cell r="A9269"/>
          <cell r="J9269"/>
        </row>
        <row r="9270">
          <cell r="A9270"/>
          <cell r="J9270"/>
        </row>
        <row r="9271">
          <cell r="A9271"/>
          <cell r="J9271"/>
        </row>
        <row r="9272">
          <cell r="A9272"/>
          <cell r="J9272"/>
        </row>
        <row r="9273">
          <cell r="A9273"/>
          <cell r="J9273"/>
        </row>
        <row r="9274">
          <cell r="A9274"/>
          <cell r="J9274"/>
        </row>
        <row r="9275">
          <cell r="A9275"/>
          <cell r="J9275"/>
        </row>
        <row r="9276">
          <cell r="A9276"/>
          <cell r="J9276"/>
        </row>
        <row r="9277">
          <cell r="A9277"/>
          <cell r="J9277"/>
        </row>
        <row r="9278">
          <cell r="A9278"/>
          <cell r="J9278"/>
        </row>
        <row r="9279">
          <cell r="A9279"/>
          <cell r="J9279"/>
        </row>
        <row r="9280">
          <cell r="A9280"/>
          <cell r="J9280"/>
        </row>
        <row r="9281">
          <cell r="A9281"/>
          <cell r="J9281"/>
        </row>
        <row r="9282">
          <cell r="A9282"/>
          <cell r="J9282"/>
        </row>
        <row r="9283">
          <cell r="A9283"/>
          <cell r="J9283"/>
        </row>
        <row r="9284">
          <cell r="A9284"/>
          <cell r="J9284"/>
        </row>
        <row r="9285">
          <cell r="A9285"/>
          <cell r="J9285"/>
        </row>
        <row r="9286">
          <cell r="A9286"/>
          <cell r="J9286"/>
        </row>
        <row r="9287">
          <cell r="A9287"/>
          <cell r="J9287"/>
        </row>
        <row r="9288">
          <cell r="A9288"/>
          <cell r="J9288"/>
        </row>
        <row r="9289">
          <cell r="A9289"/>
          <cell r="J9289"/>
        </row>
        <row r="9290">
          <cell r="A9290"/>
          <cell r="J9290"/>
        </row>
        <row r="9291">
          <cell r="A9291"/>
          <cell r="J9291"/>
        </row>
        <row r="9292">
          <cell r="A9292"/>
          <cell r="J9292"/>
        </row>
        <row r="9293">
          <cell r="A9293"/>
          <cell r="J9293"/>
        </row>
        <row r="9294">
          <cell r="A9294"/>
          <cell r="J9294"/>
        </row>
        <row r="9295">
          <cell r="A9295"/>
          <cell r="J9295"/>
        </row>
        <row r="9296">
          <cell r="A9296"/>
          <cell r="J9296"/>
        </row>
        <row r="9297">
          <cell r="A9297"/>
          <cell r="J9297"/>
        </row>
        <row r="9298">
          <cell r="A9298"/>
          <cell r="J9298"/>
        </row>
        <row r="9299">
          <cell r="A9299"/>
          <cell r="J9299"/>
        </row>
        <row r="9300">
          <cell r="A9300"/>
          <cell r="J9300"/>
        </row>
        <row r="9301">
          <cell r="A9301"/>
          <cell r="J9301"/>
        </row>
        <row r="9302">
          <cell r="A9302"/>
          <cell r="J9302"/>
        </row>
        <row r="9303">
          <cell r="A9303"/>
          <cell r="J9303"/>
        </row>
        <row r="9304">
          <cell r="A9304"/>
          <cell r="J9304"/>
        </row>
        <row r="9305">
          <cell r="A9305"/>
          <cell r="J9305"/>
        </row>
        <row r="9306">
          <cell r="A9306"/>
          <cell r="J9306"/>
        </row>
        <row r="9307">
          <cell r="A9307"/>
          <cell r="J9307"/>
        </row>
        <row r="9308">
          <cell r="A9308"/>
          <cell r="J9308"/>
        </row>
        <row r="9309">
          <cell r="A9309"/>
          <cell r="J9309"/>
        </row>
        <row r="9310">
          <cell r="A9310"/>
          <cell r="J9310"/>
        </row>
        <row r="9311">
          <cell r="A9311"/>
          <cell r="J9311"/>
        </row>
        <row r="9312">
          <cell r="A9312"/>
          <cell r="J9312"/>
        </row>
        <row r="9313">
          <cell r="A9313"/>
          <cell r="J9313"/>
        </row>
        <row r="9314">
          <cell r="A9314"/>
          <cell r="J9314"/>
        </row>
        <row r="9315">
          <cell r="A9315"/>
          <cell r="J9315"/>
        </row>
        <row r="9316">
          <cell r="A9316"/>
          <cell r="J9316"/>
        </row>
        <row r="9317">
          <cell r="A9317"/>
          <cell r="J9317"/>
        </row>
        <row r="9318">
          <cell r="A9318"/>
          <cell r="J9318"/>
        </row>
        <row r="9319">
          <cell r="A9319"/>
          <cell r="J9319"/>
        </row>
        <row r="9320">
          <cell r="A9320"/>
          <cell r="J9320"/>
        </row>
        <row r="9321">
          <cell r="A9321"/>
          <cell r="J9321"/>
        </row>
        <row r="9322">
          <cell r="A9322"/>
          <cell r="J9322"/>
        </row>
        <row r="9323">
          <cell r="A9323"/>
          <cell r="J9323"/>
        </row>
        <row r="9324">
          <cell r="A9324"/>
          <cell r="J9324"/>
        </row>
        <row r="9325">
          <cell r="A9325"/>
          <cell r="J9325"/>
        </row>
        <row r="9326">
          <cell r="A9326"/>
          <cell r="J9326"/>
        </row>
        <row r="9327">
          <cell r="A9327"/>
          <cell r="J9327"/>
        </row>
        <row r="9328">
          <cell r="A9328"/>
          <cell r="J9328"/>
        </row>
        <row r="9329">
          <cell r="A9329"/>
          <cell r="J9329"/>
        </row>
        <row r="9330">
          <cell r="A9330"/>
          <cell r="J9330"/>
        </row>
        <row r="9331">
          <cell r="A9331"/>
          <cell r="J9331"/>
        </row>
        <row r="9332">
          <cell r="A9332"/>
          <cell r="J9332"/>
        </row>
        <row r="9333">
          <cell r="A9333"/>
          <cell r="J9333"/>
        </row>
        <row r="9334">
          <cell r="A9334"/>
          <cell r="J9334"/>
        </row>
        <row r="9335">
          <cell r="A9335"/>
          <cell r="J9335"/>
        </row>
        <row r="9336">
          <cell r="A9336"/>
          <cell r="J9336"/>
        </row>
        <row r="9337">
          <cell r="A9337"/>
          <cell r="J9337"/>
        </row>
        <row r="9338">
          <cell r="A9338"/>
          <cell r="J9338"/>
        </row>
        <row r="9339">
          <cell r="A9339"/>
          <cell r="J9339"/>
        </row>
        <row r="9340">
          <cell r="A9340"/>
          <cell r="J9340"/>
        </row>
        <row r="9341">
          <cell r="A9341"/>
          <cell r="J9341"/>
        </row>
        <row r="9342">
          <cell r="A9342"/>
          <cell r="J9342"/>
        </row>
        <row r="9343">
          <cell r="A9343"/>
          <cell r="J9343"/>
        </row>
        <row r="9344">
          <cell r="A9344"/>
          <cell r="J9344"/>
        </row>
        <row r="9345">
          <cell r="A9345"/>
          <cell r="J9345"/>
        </row>
        <row r="9346">
          <cell r="A9346"/>
          <cell r="J9346"/>
        </row>
        <row r="9347">
          <cell r="A9347"/>
          <cell r="J9347"/>
        </row>
        <row r="9348">
          <cell r="A9348"/>
          <cell r="J9348"/>
        </row>
        <row r="9349">
          <cell r="A9349"/>
          <cell r="J9349"/>
        </row>
        <row r="9350">
          <cell r="A9350"/>
          <cell r="J9350"/>
        </row>
        <row r="9351">
          <cell r="A9351"/>
          <cell r="J9351"/>
        </row>
        <row r="9352">
          <cell r="A9352"/>
          <cell r="J9352"/>
        </row>
        <row r="9353">
          <cell r="A9353"/>
          <cell r="J9353"/>
        </row>
        <row r="9354">
          <cell r="A9354"/>
          <cell r="J9354"/>
        </row>
        <row r="9355">
          <cell r="A9355"/>
          <cell r="J9355"/>
        </row>
        <row r="9356">
          <cell r="A9356"/>
          <cell r="J9356"/>
        </row>
        <row r="9357">
          <cell r="A9357"/>
          <cell r="J9357"/>
        </row>
        <row r="9358">
          <cell r="A9358"/>
          <cell r="J9358"/>
        </row>
        <row r="9359">
          <cell r="A9359"/>
          <cell r="J9359"/>
        </row>
        <row r="9360">
          <cell r="A9360"/>
          <cell r="J9360"/>
        </row>
        <row r="9361">
          <cell r="A9361"/>
          <cell r="J9361"/>
        </row>
        <row r="9362">
          <cell r="A9362"/>
          <cell r="J9362"/>
        </row>
        <row r="9363">
          <cell r="A9363"/>
          <cell r="J9363"/>
        </row>
        <row r="9364">
          <cell r="A9364"/>
          <cell r="J9364"/>
        </row>
        <row r="9365">
          <cell r="A9365"/>
          <cell r="J9365"/>
        </row>
        <row r="9366">
          <cell r="A9366"/>
          <cell r="J9366"/>
        </row>
        <row r="9367">
          <cell r="A9367"/>
          <cell r="J9367"/>
        </row>
        <row r="9368">
          <cell r="A9368"/>
          <cell r="J9368"/>
        </row>
        <row r="9369">
          <cell r="A9369"/>
          <cell r="J9369"/>
        </row>
        <row r="9370">
          <cell r="A9370"/>
          <cell r="J9370"/>
        </row>
        <row r="9371">
          <cell r="A9371"/>
          <cell r="J9371"/>
        </row>
        <row r="9372">
          <cell r="A9372"/>
          <cell r="J9372"/>
        </row>
        <row r="9373">
          <cell r="A9373"/>
          <cell r="J9373"/>
        </row>
        <row r="9374">
          <cell r="A9374"/>
          <cell r="J9374"/>
        </row>
        <row r="9375">
          <cell r="A9375"/>
          <cell r="J9375"/>
        </row>
        <row r="9376">
          <cell r="A9376"/>
          <cell r="J9376"/>
        </row>
        <row r="9377">
          <cell r="A9377"/>
          <cell r="J9377"/>
        </row>
        <row r="9378">
          <cell r="A9378"/>
          <cell r="J9378"/>
        </row>
        <row r="9379">
          <cell r="A9379"/>
          <cell r="J9379"/>
        </row>
        <row r="9380">
          <cell r="A9380"/>
          <cell r="J9380"/>
        </row>
        <row r="9381">
          <cell r="A9381"/>
          <cell r="J9381"/>
        </row>
        <row r="9382">
          <cell r="A9382"/>
          <cell r="J9382"/>
        </row>
        <row r="9383">
          <cell r="A9383"/>
          <cell r="J9383"/>
        </row>
        <row r="9384">
          <cell r="A9384"/>
          <cell r="J9384"/>
        </row>
        <row r="9385">
          <cell r="A9385"/>
          <cell r="J9385"/>
        </row>
        <row r="9386">
          <cell r="A9386"/>
          <cell r="J9386"/>
        </row>
        <row r="9387">
          <cell r="A9387"/>
          <cell r="J9387"/>
        </row>
        <row r="9388">
          <cell r="A9388"/>
          <cell r="J9388"/>
        </row>
        <row r="9389">
          <cell r="A9389"/>
          <cell r="J9389"/>
        </row>
        <row r="9390">
          <cell r="A9390"/>
          <cell r="J9390"/>
        </row>
        <row r="9391">
          <cell r="A9391"/>
          <cell r="J9391"/>
        </row>
        <row r="9392">
          <cell r="A9392"/>
          <cell r="J9392"/>
        </row>
        <row r="9393">
          <cell r="A9393"/>
          <cell r="J9393"/>
        </row>
        <row r="9394">
          <cell r="A9394"/>
          <cell r="J9394"/>
        </row>
        <row r="9395">
          <cell r="A9395"/>
          <cell r="J9395"/>
        </row>
        <row r="9396">
          <cell r="A9396"/>
          <cell r="J9396"/>
        </row>
        <row r="9397">
          <cell r="A9397"/>
          <cell r="J9397"/>
        </row>
        <row r="9398">
          <cell r="A9398"/>
          <cell r="J9398"/>
        </row>
        <row r="9399">
          <cell r="A9399"/>
          <cell r="J9399"/>
        </row>
        <row r="9400">
          <cell r="A9400"/>
          <cell r="J9400"/>
        </row>
        <row r="9401">
          <cell r="A9401"/>
          <cell r="J9401"/>
        </row>
        <row r="9402">
          <cell r="A9402"/>
          <cell r="J9402"/>
        </row>
        <row r="9403">
          <cell r="A9403"/>
          <cell r="J9403"/>
        </row>
        <row r="9404">
          <cell r="A9404"/>
          <cell r="J9404"/>
        </row>
        <row r="9405">
          <cell r="A9405"/>
          <cell r="J9405"/>
        </row>
        <row r="9406">
          <cell r="A9406"/>
          <cell r="J9406"/>
        </row>
        <row r="9407">
          <cell r="A9407"/>
          <cell r="J9407"/>
        </row>
        <row r="9408">
          <cell r="A9408"/>
          <cell r="J9408"/>
        </row>
        <row r="9409">
          <cell r="A9409"/>
          <cell r="J9409"/>
        </row>
        <row r="9410">
          <cell r="A9410"/>
          <cell r="J9410"/>
        </row>
        <row r="9411">
          <cell r="A9411"/>
          <cell r="J9411"/>
        </row>
        <row r="9412">
          <cell r="A9412"/>
          <cell r="J9412"/>
        </row>
        <row r="9413">
          <cell r="A9413"/>
          <cell r="J9413"/>
        </row>
        <row r="9414">
          <cell r="A9414"/>
          <cell r="J9414"/>
        </row>
        <row r="9415">
          <cell r="A9415"/>
          <cell r="J9415"/>
        </row>
        <row r="9416">
          <cell r="A9416"/>
          <cell r="J9416"/>
        </row>
        <row r="9417">
          <cell r="A9417"/>
          <cell r="J9417"/>
        </row>
        <row r="9418">
          <cell r="A9418"/>
          <cell r="J9418"/>
        </row>
        <row r="9419">
          <cell r="A9419"/>
          <cell r="J9419"/>
        </row>
        <row r="9420">
          <cell r="A9420"/>
          <cell r="J9420"/>
        </row>
        <row r="9421">
          <cell r="A9421"/>
          <cell r="J9421"/>
        </row>
        <row r="9422">
          <cell r="A9422"/>
          <cell r="J9422"/>
        </row>
        <row r="9423">
          <cell r="A9423"/>
          <cell r="J9423"/>
        </row>
        <row r="9424">
          <cell r="A9424"/>
          <cell r="J9424"/>
        </row>
        <row r="9425">
          <cell r="A9425"/>
          <cell r="J9425"/>
        </row>
        <row r="9426">
          <cell r="A9426"/>
          <cell r="J9426"/>
        </row>
        <row r="9427">
          <cell r="A9427"/>
          <cell r="J9427"/>
        </row>
        <row r="9428">
          <cell r="A9428"/>
          <cell r="J9428"/>
        </row>
        <row r="9429">
          <cell r="A9429"/>
          <cell r="J9429"/>
        </row>
        <row r="9430">
          <cell r="A9430"/>
          <cell r="J9430"/>
        </row>
        <row r="9431">
          <cell r="A9431"/>
          <cell r="J9431"/>
        </row>
        <row r="9432">
          <cell r="A9432"/>
          <cell r="J9432"/>
        </row>
        <row r="9433">
          <cell r="A9433"/>
          <cell r="J9433"/>
        </row>
        <row r="9434">
          <cell r="A9434"/>
          <cell r="J9434"/>
        </row>
        <row r="9435">
          <cell r="A9435"/>
          <cell r="J9435"/>
        </row>
        <row r="9436">
          <cell r="A9436"/>
          <cell r="J9436"/>
        </row>
        <row r="9437">
          <cell r="A9437"/>
          <cell r="J9437"/>
        </row>
        <row r="9438">
          <cell r="A9438"/>
          <cell r="J9438"/>
        </row>
        <row r="9439">
          <cell r="A9439"/>
          <cell r="J9439"/>
        </row>
        <row r="9440">
          <cell r="A9440"/>
          <cell r="J9440"/>
        </row>
        <row r="9441">
          <cell r="A9441"/>
          <cell r="J9441"/>
        </row>
        <row r="9442">
          <cell r="A9442"/>
          <cell r="J9442"/>
        </row>
        <row r="9443">
          <cell r="A9443"/>
          <cell r="J9443"/>
        </row>
        <row r="9444">
          <cell r="A9444"/>
          <cell r="J9444"/>
        </row>
        <row r="9445">
          <cell r="A9445"/>
          <cell r="J9445"/>
        </row>
        <row r="9446">
          <cell r="A9446"/>
          <cell r="J9446"/>
        </row>
        <row r="9447">
          <cell r="A9447"/>
          <cell r="J9447"/>
        </row>
        <row r="9448">
          <cell r="A9448"/>
          <cell r="J9448"/>
        </row>
        <row r="9449">
          <cell r="A9449"/>
          <cell r="J9449"/>
        </row>
        <row r="9450">
          <cell r="A9450"/>
          <cell r="J9450"/>
        </row>
        <row r="9451">
          <cell r="A9451"/>
          <cell r="J9451"/>
        </row>
        <row r="9452">
          <cell r="A9452"/>
          <cell r="J9452"/>
        </row>
        <row r="9453">
          <cell r="A9453"/>
          <cell r="J9453"/>
        </row>
        <row r="9454">
          <cell r="A9454"/>
          <cell r="J9454"/>
        </row>
        <row r="9455">
          <cell r="A9455"/>
          <cell r="J9455"/>
        </row>
        <row r="9456">
          <cell r="A9456"/>
          <cell r="J9456"/>
        </row>
        <row r="9457">
          <cell r="A9457"/>
          <cell r="J9457"/>
        </row>
        <row r="9458">
          <cell r="A9458"/>
          <cell r="J9458"/>
        </row>
        <row r="9459">
          <cell r="A9459"/>
          <cell r="J9459"/>
        </row>
        <row r="9460">
          <cell r="A9460"/>
          <cell r="J9460"/>
        </row>
        <row r="9461">
          <cell r="A9461"/>
          <cell r="J9461"/>
        </row>
        <row r="9462">
          <cell r="A9462"/>
          <cell r="J9462"/>
        </row>
        <row r="9463">
          <cell r="A9463"/>
          <cell r="J9463"/>
        </row>
        <row r="9464">
          <cell r="A9464"/>
          <cell r="J9464"/>
        </row>
        <row r="9465">
          <cell r="A9465"/>
          <cell r="J9465"/>
        </row>
        <row r="9466">
          <cell r="A9466"/>
          <cell r="J9466"/>
        </row>
        <row r="9467">
          <cell r="A9467"/>
          <cell r="J9467"/>
        </row>
        <row r="9468">
          <cell r="A9468"/>
          <cell r="J9468"/>
        </row>
        <row r="9469">
          <cell r="A9469"/>
          <cell r="J9469"/>
        </row>
        <row r="9470">
          <cell r="A9470"/>
          <cell r="J9470"/>
        </row>
        <row r="9471">
          <cell r="A9471"/>
          <cell r="J9471"/>
        </row>
        <row r="9472">
          <cell r="A9472"/>
          <cell r="J9472"/>
        </row>
        <row r="9473">
          <cell r="A9473"/>
          <cell r="J9473"/>
        </row>
        <row r="9474">
          <cell r="A9474"/>
          <cell r="J9474"/>
        </row>
        <row r="9475">
          <cell r="A9475"/>
          <cell r="J9475"/>
        </row>
        <row r="9476">
          <cell r="A9476"/>
          <cell r="J9476"/>
        </row>
        <row r="9477">
          <cell r="A9477"/>
          <cell r="J9477"/>
        </row>
        <row r="9478">
          <cell r="A9478"/>
          <cell r="J9478"/>
        </row>
        <row r="9479">
          <cell r="A9479"/>
          <cell r="J9479"/>
        </row>
        <row r="9480">
          <cell r="A9480"/>
          <cell r="J9480"/>
        </row>
        <row r="9481">
          <cell r="A9481"/>
          <cell r="J9481"/>
        </row>
        <row r="9482">
          <cell r="A9482"/>
          <cell r="J9482"/>
        </row>
        <row r="9483">
          <cell r="A9483"/>
          <cell r="J9483"/>
        </row>
        <row r="9484">
          <cell r="A9484"/>
          <cell r="J9484"/>
        </row>
        <row r="9485">
          <cell r="A9485"/>
          <cell r="J9485"/>
        </row>
        <row r="9486">
          <cell r="A9486"/>
          <cell r="J9486"/>
        </row>
        <row r="9487">
          <cell r="A9487"/>
          <cell r="J9487"/>
        </row>
        <row r="9488">
          <cell r="A9488"/>
          <cell r="J9488"/>
        </row>
        <row r="9489">
          <cell r="A9489"/>
          <cell r="J9489"/>
        </row>
        <row r="9490">
          <cell r="A9490"/>
          <cell r="J9490"/>
        </row>
        <row r="9491">
          <cell r="A9491"/>
          <cell r="J9491"/>
        </row>
        <row r="9492">
          <cell r="A9492"/>
          <cell r="J9492"/>
        </row>
        <row r="9493">
          <cell r="A9493"/>
          <cell r="J9493"/>
        </row>
        <row r="9494">
          <cell r="A9494"/>
          <cell r="J9494"/>
        </row>
        <row r="9495">
          <cell r="A9495"/>
          <cell r="J9495"/>
        </row>
        <row r="9496">
          <cell r="A9496"/>
          <cell r="J9496"/>
        </row>
        <row r="9497">
          <cell r="A9497"/>
          <cell r="J9497"/>
        </row>
        <row r="9498">
          <cell r="A9498"/>
          <cell r="J9498"/>
        </row>
        <row r="9499">
          <cell r="A9499"/>
          <cell r="J9499"/>
        </row>
        <row r="9500">
          <cell r="A9500"/>
          <cell r="J9500"/>
        </row>
        <row r="9501">
          <cell r="A9501"/>
          <cell r="J9501"/>
        </row>
        <row r="9502">
          <cell r="A9502"/>
          <cell r="J9502"/>
        </row>
        <row r="9503">
          <cell r="A9503"/>
          <cell r="J9503"/>
        </row>
        <row r="9504">
          <cell r="A9504"/>
          <cell r="J9504"/>
        </row>
        <row r="9505">
          <cell r="A9505"/>
          <cell r="J9505"/>
        </row>
        <row r="9506">
          <cell r="A9506"/>
          <cell r="J9506"/>
        </row>
        <row r="9507">
          <cell r="A9507"/>
          <cell r="J9507"/>
        </row>
        <row r="9508">
          <cell r="A9508"/>
          <cell r="J9508"/>
        </row>
        <row r="9509">
          <cell r="A9509"/>
          <cell r="J9509"/>
        </row>
        <row r="9510">
          <cell r="A9510"/>
          <cell r="J9510"/>
        </row>
        <row r="9511">
          <cell r="A9511"/>
          <cell r="J9511"/>
        </row>
        <row r="9512">
          <cell r="A9512"/>
          <cell r="J9512"/>
        </row>
        <row r="9513">
          <cell r="A9513"/>
          <cell r="J9513"/>
        </row>
        <row r="9514">
          <cell r="A9514"/>
          <cell r="J9514"/>
        </row>
        <row r="9515">
          <cell r="A9515"/>
          <cell r="J9515"/>
        </row>
        <row r="9516">
          <cell r="A9516"/>
          <cell r="J9516"/>
        </row>
        <row r="9517">
          <cell r="A9517"/>
          <cell r="J9517"/>
        </row>
        <row r="9518">
          <cell r="A9518"/>
          <cell r="J9518"/>
        </row>
        <row r="9519">
          <cell r="A9519"/>
          <cell r="J9519"/>
        </row>
        <row r="9520">
          <cell r="A9520"/>
          <cell r="J9520"/>
        </row>
        <row r="9521">
          <cell r="A9521"/>
          <cell r="J9521"/>
        </row>
        <row r="9522">
          <cell r="A9522"/>
          <cell r="J9522"/>
        </row>
        <row r="9523">
          <cell r="A9523"/>
          <cell r="J9523"/>
        </row>
        <row r="9524">
          <cell r="A9524"/>
          <cell r="J9524"/>
        </row>
        <row r="9525">
          <cell r="A9525"/>
          <cell r="J9525"/>
        </row>
        <row r="9526">
          <cell r="A9526"/>
          <cell r="J9526"/>
        </row>
        <row r="9527">
          <cell r="A9527"/>
          <cell r="J9527"/>
        </row>
        <row r="9528">
          <cell r="A9528"/>
          <cell r="J9528"/>
        </row>
        <row r="9529">
          <cell r="A9529"/>
          <cell r="J9529"/>
        </row>
        <row r="9530">
          <cell r="A9530"/>
          <cell r="J9530"/>
        </row>
        <row r="9531">
          <cell r="A9531"/>
          <cell r="J9531"/>
        </row>
        <row r="9532">
          <cell r="A9532"/>
          <cell r="J9532"/>
        </row>
        <row r="9533">
          <cell r="A9533"/>
          <cell r="J9533"/>
        </row>
        <row r="9534">
          <cell r="A9534"/>
          <cell r="J9534"/>
        </row>
        <row r="9535">
          <cell r="A9535"/>
          <cell r="J9535"/>
        </row>
        <row r="9536">
          <cell r="A9536"/>
          <cell r="J9536"/>
        </row>
        <row r="9537">
          <cell r="A9537"/>
          <cell r="J9537"/>
        </row>
        <row r="9538">
          <cell r="A9538"/>
          <cell r="J9538"/>
        </row>
        <row r="9539">
          <cell r="A9539"/>
          <cell r="J9539"/>
        </row>
        <row r="9540">
          <cell r="A9540"/>
          <cell r="J9540"/>
        </row>
        <row r="9541">
          <cell r="A9541"/>
          <cell r="J9541"/>
        </row>
        <row r="9542">
          <cell r="A9542"/>
          <cell r="J9542"/>
        </row>
        <row r="9543">
          <cell r="A9543"/>
          <cell r="J9543"/>
        </row>
        <row r="9544">
          <cell r="A9544"/>
          <cell r="J9544"/>
        </row>
        <row r="9545">
          <cell r="A9545"/>
          <cell r="J9545"/>
        </row>
        <row r="9546">
          <cell r="A9546"/>
          <cell r="J9546"/>
        </row>
        <row r="9547">
          <cell r="A9547"/>
          <cell r="J9547"/>
        </row>
        <row r="9548">
          <cell r="A9548"/>
          <cell r="J9548"/>
        </row>
        <row r="9549">
          <cell r="A9549"/>
          <cell r="J9549"/>
        </row>
        <row r="9550">
          <cell r="A9550"/>
          <cell r="J9550"/>
        </row>
        <row r="9551">
          <cell r="A9551"/>
          <cell r="J9551"/>
        </row>
        <row r="9552">
          <cell r="A9552"/>
          <cell r="J9552"/>
        </row>
        <row r="9553">
          <cell r="A9553"/>
          <cell r="J9553"/>
        </row>
        <row r="9554">
          <cell r="A9554"/>
          <cell r="J9554"/>
        </row>
        <row r="9555">
          <cell r="A9555"/>
          <cell r="J9555"/>
        </row>
        <row r="9556">
          <cell r="A9556"/>
          <cell r="J9556"/>
        </row>
        <row r="9557">
          <cell r="A9557"/>
          <cell r="J9557"/>
        </row>
        <row r="9558">
          <cell r="A9558"/>
          <cell r="J9558"/>
        </row>
        <row r="9559">
          <cell r="A9559"/>
          <cell r="J9559"/>
        </row>
        <row r="9560">
          <cell r="A9560"/>
          <cell r="J9560"/>
        </row>
        <row r="9561">
          <cell r="A9561"/>
          <cell r="J9561"/>
        </row>
        <row r="9562">
          <cell r="A9562"/>
          <cell r="J9562"/>
        </row>
        <row r="9563">
          <cell r="A9563"/>
          <cell r="J9563"/>
        </row>
        <row r="9564">
          <cell r="A9564"/>
          <cell r="J9564"/>
        </row>
        <row r="9565">
          <cell r="A9565"/>
          <cell r="J9565"/>
        </row>
        <row r="9566">
          <cell r="A9566"/>
          <cell r="J9566"/>
        </row>
        <row r="9567">
          <cell r="A9567"/>
          <cell r="J9567"/>
        </row>
        <row r="9568">
          <cell r="A9568"/>
          <cell r="J9568"/>
        </row>
        <row r="9569">
          <cell r="A9569"/>
          <cell r="J9569"/>
        </row>
        <row r="9570">
          <cell r="A9570"/>
          <cell r="J9570"/>
        </row>
        <row r="9571">
          <cell r="A9571"/>
          <cell r="J9571"/>
        </row>
        <row r="9572">
          <cell r="A9572"/>
          <cell r="J9572"/>
        </row>
        <row r="9573">
          <cell r="A9573"/>
          <cell r="J9573"/>
        </row>
        <row r="9574">
          <cell r="A9574"/>
          <cell r="J9574"/>
        </row>
        <row r="9575">
          <cell r="A9575"/>
          <cell r="J9575"/>
        </row>
        <row r="9576">
          <cell r="A9576"/>
          <cell r="J9576"/>
        </row>
        <row r="9577">
          <cell r="A9577"/>
          <cell r="J9577"/>
        </row>
        <row r="9578">
          <cell r="A9578"/>
          <cell r="J9578"/>
        </row>
        <row r="9579">
          <cell r="A9579"/>
          <cell r="J9579"/>
        </row>
        <row r="9580">
          <cell r="A9580"/>
          <cell r="J9580"/>
        </row>
        <row r="9581">
          <cell r="A9581"/>
          <cell r="J9581"/>
        </row>
        <row r="9582">
          <cell r="A9582"/>
          <cell r="J9582"/>
        </row>
        <row r="9583">
          <cell r="A9583"/>
          <cell r="J9583"/>
        </row>
        <row r="9584">
          <cell r="A9584"/>
          <cell r="J9584"/>
        </row>
        <row r="9585">
          <cell r="A9585"/>
          <cell r="J9585"/>
        </row>
        <row r="9586">
          <cell r="A9586"/>
          <cell r="J9586"/>
        </row>
        <row r="9587">
          <cell r="A9587"/>
          <cell r="J9587"/>
        </row>
        <row r="9588">
          <cell r="A9588"/>
          <cell r="J9588"/>
        </row>
        <row r="9589">
          <cell r="A9589"/>
          <cell r="J9589"/>
        </row>
        <row r="9590">
          <cell r="A9590"/>
          <cell r="J9590"/>
        </row>
        <row r="9591">
          <cell r="A9591"/>
          <cell r="J9591"/>
        </row>
        <row r="9592">
          <cell r="A9592"/>
          <cell r="J9592"/>
        </row>
        <row r="9593">
          <cell r="A9593"/>
          <cell r="J9593"/>
        </row>
        <row r="9594">
          <cell r="A9594"/>
          <cell r="J9594"/>
        </row>
        <row r="9595">
          <cell r="A9595"/>
          <cell r="J9595"/>
        </row>
        <row r="9596">
          <cell r="A9596"/>
          <cell r="J9596"/>
        </row>
        <row r="9597">
          <cell r="A9597"/>
          <cell r="J9597"/>
        </row>
        <row r="9598">
          <cell r="A9598"/>
          <cell r="J9598"/>
        </row>
        <row r="9599">
          <cell r="A9599"/>
          <cell r="J9599"/>
        </row>
        <row r="9600">
          <cell r="A9600"/>
          <cell r="J9600"/>
        </row>
        <row r="9601">
          <cell r="A9601"/>
          <cell r="J9601"/>
        </row>
        <row r="9602">
          <cell r="A9602"/>
          <cell r="J9602"/>
        </row>
        <row r="9603">
          <cell r="A9603"/>
          <cell r="J9603"/>
        </row>
        <row r="9604">
          <cell r="A9604"/>
          <cell r="J9604"/>
        </row>
        <row r="9605">
          <cell r="A9605"/>
          <cell r="J9605"/>
        </row>
        <row r="9606">
          <cell r="A9606"/>
          <cell r="J9606"/>
        </row>
        <row r="9607">
          <cell r="A9607"/>
          <cell r="J9607"/>
        </row>
        <row r="9608">
          <cell r="A9608"/>
          <cell r="J9608"/>
        </row>
        <row r="9609">
          <cell r="A9609"/>
          <cell r="J9609"/>
        </row>
        <row r="9610">
          <cell r="A9610"/>
          <cell r="J9610"/>
        </row>
        <row r="9611">
          <cell r="A9611"/>
          <cell r="J9611"/>
        </row>
        <row r="9612">
          <cell r="A9612"/>
          <cell r="J9612"/>
        </row>
        <row r="9613">
          <cell r="A9613"/>
          <cell r="J9613"/>
        </row>
        <row r="9614">
          <cell r="A9614"/>
          <cell r="J9614"/>
        </row>
        <row r="9615">
          <cell r="A9615"/>
          <cell r="J9615"/>
        </row>
        <row r="9616">
          <cell r="A9616"/>
          <cell r="J9616"/>
        </row>
        <row r="9617">
          <cell r="A9617"/>
          <cell r="J9617"/>
        </row>
        <row r="9618">
          <cell r="A9618"/>
          <cell r="J9618"/>
        </row>
        <row r="9619">
          <cell r="A9619"/>
          <cell r="J9619"/>
        </row>
        <row r="9620">
          <cell r="A9620"/>
          <cell r="J9620"/>
        </row>
        <row r="9621">
          <cell r="A9621"/>
          <cell r="J9621"/>
        </row>
        <row r="9622">
          <cell r="A9622"/>
          <cell r="J9622"/>
        </row>
        <row r="9623">
          <cell r="A9623"/>
          <cell r="J9623"/>
        </row>
        <row r="9624">
          <cell r="A9624"/>
          <cell r="J9624"/>
        </row>
        <row r="9625">
          <cell r="A9625"/>
          <cell r="J9625"/>
        </row>
        <row r="9626">
          <cell r="A9626"/>
          <cell r="J9626"/>
        </row>
        <row r="9627">
          <cell r="A9627"/>
          <cell r="J9627"/>
        </row>
        <row r="9628">
          <cell r="A9628"/>
          <cell r="J9628"/>
        </row>
        <row r="9629">
          <cell r="A9629"/>
          <cell r="J9629"/>
        </row>
        <row r="9630">
          <cell r="A9630"/>
          <cell r="J9630"/>
        </row>
        <row r="9631">
          <cell r="A9631"/>
          <cell r="J9631"/>
        </row>
        <row r="9632">
          <cell r="A9632"/>
          <cell r="J9632"/>
        </row>
        <row r="9633">
          <cell r="A9633"/>
          <cell r="J9633"/>
        </row>
        <row r="9634">
          <cell r="A9634"/>
          <cell r="J9634"/>
        </row>
        <row r="9635">
          <cell r="A9635"/>
          <cell r="J9635"/>
        </row>
        <row r="9636">
          <cell r="A9636"/>
          <cell r="J9636"/>
        </row>
        <row r="9637">
          <cell r="A9637"/>
          <cell r="J9637"/>
        </row>
        <row r="9638">
          <cell r="A9638"/>
          <cell r="J9638"/>
        </row>
        <row r="9639">
          <cell r="A9639"/>
          <cell r="J9639"/>
        </row>
        <row r="9640">
          <cell r="A9640"/>
          <cell r="J9640"/>
        </row>
        <row r="9641">
          <cell r="A9641"/>
          <cell r="J9641"/>
        </row>
        <row r="9642">
          <cell r="A9642"/>
          <cell r="J9642"/>
        </row>
        <row r="9643">
          <cell r="A9643"/>
          <cell r="J9643"/>
        </row>
        <row r="9644">
          <cell r="A9644"/>
          <cell r="J9644"/>
        </row>
        <row r="9645">
          <cell r="A9645"/>
          <cell r="J9645"/>
        </row>
        <row r="9646">
          <cell r="A9646"/>
          <cell r="J9646"/>
        </row>
        <row r="9647">
          <cell r="A9647"/>
          <cell r="J9647"/>
        </row>
        <row r="9648">
          <cell r="A9648"/>
          <cell r="J9648"/>
        </row>
        <row r="9649">
          <cell r="A9649"/>
          <cell r="J9649"/>
        </row>
        <row r="9650">
          <cell r="A9650"/>
          <cell r="J9650"/>
        </row>
        <row r="9651">
          <cell r="A9651"/>
          <cell r="J9651"/>
        </row>
        <row r="9652">
          <cell r="A9652"/>
          <cell r="J9652"/>
        </row>
        <row r="9653">
          <cell r="A9653"/>
          <cell r="J9653"/>
        </row>
        <row r="9654">
          <cell r="A9654"/>
          <cell r="J9654"/>
        </row>
        <row r="9655">
          <cell r="A9655"/>
          <cell r="J9655"/>
        </row>
        <row r="9656">
          <cell r="A9656"/>
          <cell r="J9656"/>
        </row>
        <row r="9657">
          <cell r="A9657"/>
          <cell r="J9657"/>
        </row>
        <row r="9658">
          <cell r="A9658"/>
          <cell r="J9658"/>
        </row>
        <row r="9659">
          <cell r="A9659"/>
          <cell r="J9659"/>
        </row>
        <row r="9660">
          <cell r="A9660"/>
          <cell r="J9660"/>
        </row>
        <row r="9661">
          <cell r="A9661"/>
          <cell r="J9661"/>
        </row>
        <row r="9662">
          <cell r="A9662"/>
          <cell r="J9662"/>
        </row>
        <row r="9663">
          <cell r="A9663"/>
          <cell r="J9663"/>
        </row>
        <row r="9664">
          <cell r="A9664"/>
          <cell r="J9664"/>
        </row>
        <row r="9665">
          <cell r="A9665"/>
          <cell r="J9665"/>
        </row>
        <row r="9666">
          <cell r="A9666"/>
          <cell r="J9666"/>
        </row>
        <row r="9667">
          <cell r="A9667"/>
          <cell r="J9667"/>
        </row>
        <row r="9668">
          <cell r="A9668"/>
          <cell r="J9668"/>
        </row>
        <row r="9669">
          <cell r="A9669"/>
          <cell r="J9669"/>
        </row>
        <row r="9670">
          <cell r="A9670"/>
          <cell r="J9670"/>
        </row>
        <row r="9671">
          <cell r="A9671"/>
          <cell r="J9671"/>
        </row>
        <row r="9672">
          <cell r="A9672"/>
          <cell r="J9672"/>
        </row>
        <row r="9673">
          <cell r="A9673"/>
          <cell r="J9673"/>
        </row>
        <row r="9674">
          <cell r="A9674"/>
          <cell r="J9674"/>
        </row>
        <row r="9675">
          <cell r="A9675"/>
          <cell r="J9675"/>
        </row>
        <row r="9676">
          <cell r="A9676"/>
          <cell r="J9676"/>
        </row>
        <row r="9677">
          <cell r="A9677"/>
          <cell r="J9677"/>
        </row>
        <row r="9678">
          <cell r="A9678"/>
          <cell r="J9678"/>
        </row>
        <row r="9679">
          <cell r="A9679"/>
          <cell r="J9679"/>
        </row>
        <row r="9680">
          <cell r="A9680"/>
          <cell r="J9680"/>
        </row>
        <row r="9681">
          <cell r="A9681"/>
          <cell r="J9681"/>
        </row>
        <row r="9682">
          <cell r="A9682"/>
          <cell r="J9682"/>
        </row>
        <row r="9683">
          <cell r="A9683"/>
          <cell r="J9683"/>
        </row>
        <row r="9684">
          <cell r="A9684"/>
          <cell r="J9684"/>
        </row>
        <row r="9685">
          <cell r="A9685"/>
          <cell r="J9685"/>
        </row>
        <row r="9686">
          <cell r="A9686"/>
          <cell r="J9686"/>
        </row>
        <row r="9687">
          <cell r="A9687"/>
          <cell r="J9687"/>
        </row>
        <row r="9688">
          <cell r="A9688"/>
          <cell r="J9688"/>
        </row>
        <row r="9689">
          <cell r="A9689"/>
          <cell r="J9689"/>
        </row>
        <row r="9690">
          <cell r="A9690"/>
          <cell r="J9690"/>
        </row>
        <row r="9691">
          <cell r="A9691"/>
          <cell r="J9691"/>
        </row>
        <row r="9692">
          <cell r="A9692"/>
          <cell r="J9692"/>
        </row>
        <row r="9693">
          <cell r="A9693"/>
          <cell r="J9693"/>
        </row>
        <row r="9694">
          <cell r="A9694"/>
          <cell r="J9694"/>
        </row>
        <row r="9695">
          <cell r="A9695"/>
          <cell r="J9695"/>
        </row>
        <row r="9696">
          <cell r="A9696"/>
          <cell r="J9696"/>
        </row>
        <row r="9697">
          <cell r="A9697"/>
          <cell r="J9697"/>
        </row>
        <row r="9698">
          <cell r="A9698"/>
          <cell r="J9698"/>
        </row>
        <row r="9699">
          <cell r="A9699"/>
          <cell r="J9699"/>
        </row>
        <row r="9700">
          <cell r="A9700"/>
          <cell r="J9700"/>
        </row>
        <row r="9701">
          <cell r="A9701"/>
          <cell r="J9701"/>
        </row>
        <row r="9702">
          <cell r="A9702"/>
          <cell r="J9702"/>
        </row>
        <row r="9703">
          <cell r="A9703"/>
          <cell r="J9703"/>
        </row>
        <row r="9704">
          <cell r="A9704"/>
          <cell r="J9704"/>
        </row>
        <row r="9705">
          <cell r="A9705"/>
          <cell r="J9705"/>
        </row>
        <row r="9706">
          <cell r="A9706"/>
          <cell r="J9706"/>
        </row>
        <row r="9707">
          <cell r="A9707"/>
          <cell r="J9707"/>
        </row>
        <row r="9708">
          <cell r="A9708"/>
          <cell r="J9708"/>
        </row>
        <row r="9709">
          <cell r="A9709"/>
          <cell r="J9709"/>
        </row>
        <row r="9710">
          <cell r="A9710"/>
          <cell r="J9710"/>
        </row>
        <row r="9711">
          <cell r="A9711"/>
          <cell r="J9711"/>
        </row>
        <row r="9712">
          <cell r="A9712"/>
          <cell r="J9712"/>
        </row>
        <row r="9713">
          <cell r="A9713"/>
          <cell r="J9713"/>
        </row>
        <row r="9714">
          <cell r="A9714"/>
          <cell r="J9714"/>
        </row>
        <row r="9715">
          <cell r="A9715"/>
          <cell r="J9715"/>
        </row>
        <row r="9716">
          <cell r="A9716"/>
          <cell r="J9716"/>
        </row>
        <row r="9717">
          <cell r="A9717"/>
          <cell r="J9717"/>
        </row>
        <row r="9718">
          <cell r="A9718"/>
          <cell r="J9718"/>
        </row>
        <row r="9719">
          <cell r="A9719"/>
          <cell r="J9719"/>
        </row>
        <row r="9720">
          <cell r="A9720"/>
          <cell r="J9720"/>
        </row>
        <row r="9721">
          <cell r="A9721"/>
          <cell r="J9721"/>
        </row>
        <row r="9722">
          <cell r="A9722"/>
          <cell r="J9722"/>
        </row>
        <row r="9723">
          <cell r="A9723"/>
          <cell r="J9723"/>
        </row>
        <row r="9724">
          <cell r="A9724"/>
          <cell r="J9724"/>
        </row>
        <row r="9725">
          <cell r="A9725"/>
          <cell r="J9725"/>
        </row>
        <row r="9726">
          <cell r="A9726"/>
          <cell r="J9726"/>
        </row>
        <row r="9727">
          <cell r="A9727"/>
          <cell r="J9727"/>
        </row>
        <row r="9728">
          <cell r="A9728"/>
          <cell r="J9728"/>
        </row>
        <row r="9729">
          <cell r="A9729"/>
          <cell r="J9729"/>
        </row>
        <row r="9730">
          <cell r="A9730"/>
          <cell r="J9730"/>
        </row>
        <row r="9731">
          <cell r="A9731"/>
          <cell r="J9731"/>
        </row>
        <row r="9732">
          <cell r="A9732"/>
          <cell r="J9732"/>
        </row>
        <row r="9733">
          <cell r="A9733"/>
          <cell r="J9733"/>
        </row>
        <row r="9734">
          <cell r="A9734"/>
          <cell r="J9734"/>
        </row>
        <row r="9735">
          <cell r="A9735"/>
          <cell r="J9735"/>
        </row>
        <row r="9736">
          <cell r="A9736"/>
          <cell r="J9736"/>
        </row>
        <row r="9737">
          <cell r="A9737"/>
          <cell r="J9737"/>
        </row>
        <row r="9738">
          <cell r="A9738"/>
          <cell r="J9738"/>
        </row>
        <row r="9739">
          <cell r="A9739"/>
          <cell r="J9739"/>
        </row>
        <row r="9740">
          <cell r="A9740"/>
          <cell r="J9740"/>
        </row>
        <row r="9741">
          <cell r="A9741"/>
          <cell r="J9741"/>
        </row>
        <row r="9742">
          <cell r="A9742"/>
          <cell r="J9742"/>
        </row>
        <row r="9743">
          <cell r="A9743"/>
          <cell r="J9743"/>
        </row>
        <row r="9744">
          <cell r="A9744"/>
          <cell r="J9744"/>
        </row>
        <row r="9745">
          <cell r="A9745"/>
          <cell r="J9745"/>
        </row>
        <row r="9746">
          <cell r="A9746"/>
          <cell r="J9746"/>
        </row>
        <row r="9747">
          <cell r="A9747"/>
          <cell r="J9747"/>
        </row>
        <row r="9748">
          <cell r="A9748"/>
          <cell r="J9748"/>
        </row>
        <row r="9749">
          <cell r="A9749"/>
          <cell r="J9749"/>
        </row>
        <row r="9750">
          <cell r="A9750"/>
          <cell r="J9750"/>
        </row>
        <row r="9751">
          <cell r="A9751"/>
          <cell r="J9751"/>
        </row>
        <row r="9752">
          <cell r="A9752"/>
          <cell r="J9752"/>
        </row>
        <row r="9753">
          <cell r="A9753"/>
          <cell r="J9753"/>
        </row>
        <row r="9754">
          <cell r="A9754"/>
          <cell r="J9754"/>
        </row>
        <row r="9755">
          <cell r="A9755"/>
          <cell r="J9755"/>
        </row>
        <row r="9756">
          <cell r="A9756"/>
          <cell r="J9756"/>
        </row>
        <row r="9757">
          <cell r="A9757"/>
          <cell r="J9757"/>
        </row>
        <row r="9758">
          <cell r="A9758"/>
          <cell r="J9758"/>
        </row>
        <row r="9759">
          <cell r="A9759"/>
          <cell r="J9759"/>
        </row>
        <row r="9760">
          <cell r="A9760"/>
          <cell r="J9760"/>
        </row>
        <row r="9761">
          <cell r="A9761"/>
          <cell r="J9761"/>
        </row>
        <row r="9762">
          <cell r="A9762"/>
          <cell r="J9762"/>
        </row>
        <row r="9763">
          <cell r="A9763"/>
          <cell r="J9763"/>
        </row>
        <row r="9764">
          <cell r="A9764"/>
          <cell r="J9764"/>
        </row>
        <row r="9765">
          <cell r="A9765"/>
          <cell r="J9765"/>
        </row>
        <row r="9766">
          <cell r="A9766"/>
          <cell r="J9766"/>
        </row>
        <row r="9767">
          <cell r="A9767"/>
          <cell r="J9767"/>
        </row>
        <row r="9768">
          <cell r="A9768"/>
          <cell r="J9768"/>
        </row>
        <row r="9769">
          <cell r="A9769"/>
          <cell r="J9769"/>
        </row>
        <row r="9770">
          <cell r="A9770"/>
          <cell r="J9770"/>
        </row>
        <row r="9771">
          <cell r="A9771"/>
          <cell r="J9771"/>
        </row>
        <row r="9772">
          <cell r="A9772"/>
          <cell r="J9772"/>
        </row>
        <row r="9773">
          <cell r="A9773"/>
          <cell r="J9773"/>
        </row>
        <row r="9774">
          <cell r="A9774"/>
          <cell r="J9774"/>
        </row>
        <row r="9775">
          <cell r="A9775"/>
          <cell r="J9775"/>
        </row>
        <row r="9776">
          <cell r="A9776"/>
          <cell r="J9776"/>
        </row>
        <row r="9777">
          <cell r="A9777"/>
          <cell r="J9777"/>
        </row>
        <row r="9778">
          <cell r="A9778"/>
          <cell r="J9778"/>
        </row>
        <row r="9779">
          <cell r="A9779"/>
          <cell r="J9779"/>
        </row>
        <row r="9780">
          <cell r="A9780"/>
          <cell r="J9780"/>
        </row>
        <row r="9781">
          <cell r="A9781"/>
          <cell r="J9781"/>
        </row>
        <row r="9782">
          <cell r="A9782"/>
          <cell r="J9782"/>
        </row>
        <row r="9783">
          <cell r="A9783"/>
          <cell r="J9783"/>
        </row>
        <row r="9784">
          <cell r="A9784"/>
          <cell r="J9784"/>
        </row>
        <row r="9785">
          <cell r="A9785"/>
          <cell r="J9785"/>
        </row>
        <row r="9786">
          <cell r="A9786"/>
          <cell r="J9786"/>
        </row>
        <row r="9787">
          <cell r="A9787"/>
          <cell r="J9787"/>
        </row>
        <row r="9788">
          <cell r="A9788"/>
          <cell r="J9788"/>
        </row>
        <row r="9789">
          <cell r="A9789"/>
          <cell r="J9789"/>
        </row>
        <row r="9790">
          <cell r="A9790"/>
          <cell r="J9790"/>
        </row>
        <row r="9791">
          <cell r="A9791"/>
          <cell r="J9791"/>
        </row>
        <row r="9792">
          <cell r="A9792"/>
          <cell r="J9792"/>
        </row>
        <row r="9793">
          <cell r="A9793"/>
          <cell r="J9793"/>
        </row>
        <row r="9794">
          <cell r="A9794"/>
          <cell r="J9794"/>
        </row>
        <row r="9795">
          <cell r="A9795"/>
          <cell r="J9795"/>
        </row>
        <row r="9796">
          <cell r="A9796"/>
          <cell r="J9796"/>
        </row>
        <row r="9797">
          <cell r="A9797"/>
          <cell r="J9797"/>
        </row>
        <row r="9798">
          <cell r="A9798"/>
          <cell r="J9798"/>
        </row>
        <row r="9799">
          <cell r="A9799"/>
          <cell r="J9799"/>
        </row>
        <row r="9800">
          <cell r="A9800"/>
          <cell r="J9800"/>
        </row>
        <row r="9801">
          <cell r="A9801"/>
          <cell r="J9801"/>
        </row>
        <row r="9802">
          <cell r="A9802"/>
          <cell r="J9802"/>
        </row>
        <row r="9803">
          <cell r="A9803"/>
          <cell r="J9803"/>
        </row>
        <row r="9804">
          <cell r="A9804"/>
          <cell r="J9804"/>
        </row>
        <row r="9805">
          <cell r="A9805"/>
          <cell r="J9805"/>
        </row>
        <row r="9806">
          <cell r="A9806"/>
          <cell r="J9806"/>
        </row>
        <row r="9807">
          <cell r="A9807"/>
          <cell r="J9807"/>
        </row>
        <row r="9808">
          <cell r="A9808"/>
          <cell r="J9808"/>
        </row>
        <row r="9809">
          <cell r="A9809"/>
          <cell r="J9809"/>
        </row>
        <row r="9810">
          <cell r="A9810"/>
          <cell r="J9810"/>
        </row>
        <row r="9811">
          <cell r="A9811"/>
          <cell r="J9811"/>
        </row>
        <row r="9812">
          <cell r="A9812"/>
          <cell r="J9812"/>
        </row>
        <row r="9813">
          <cell r="A9813"/>
          <cell r="J9813"/>
        </row>
        <row r="9814">
          <cell r="A9814"/>
          <cell r="J9814"/>
        </row>
        <row r="9815">
          <cell r="A9815"/>
          <cell r="J9815"/>
        </row>
        <row r="9816">
          <cell r="A9816"/>
          <cell r="J9816"/>
        </row>
        <row r="9817">
          <cell r="A9817"/>
          <cell r="J9817"/>
        </row>
        <row r="9818">
          <cell r="A9818"/>
          <cell r="J9818"/>
        </row>
        <row r="9819">
          <cell r="A9819"/>
          <cell r="J9819"/>
        </row>
        <row r="9820">
          <cell r="A9820"/>
          <cell r="J9820"/>
        </row>
        <row r="9821">
          <cell r="A9821"/>
          <cell r="J9821"/>
        </row>
        <row r="9822">
          <cell r="A9822"/>
          <cell r="J9822"/>
        </row>
        <row r="9823">
          <cell r="A9823"/>
          <cell r="J9823"/>
        </row>
        <row r="9824">
          <cell r="A9824"/>
          <cell r="J9824"/>
        </row>
        <row r="9825">
          <cell r="A9825"/>
          <cell r="J9825"/>
        </row>
        <row r="9826">
          <cell r="A9826"/>
          <cell r="J9826"/>
        </row>
        <row r="9827">
          <cell r="A9827"/>
          <cell r="J9827"/>
        </row>
        <row r="9828">
          <cell r="A9828"/>
          <cell r="J9828"/>
        </row>
        <row r="9829">
          <cell r="A9829"/>
          <cell r="J9829"/>
        </row>
        <row r="9830">
          <cell r="A9830"/>
          <cell r="J9830"/>
        </row>
        <row r="9831">
          <cell r="A9831"/>
          <cell r="J9831"/>
        </row>
        <row r="9832">
          <cell r="A9832"/>
          <cell r="J9832"/>
        </row>
        <row r="9833">
          <cell r="A9833"/>
          <cell r="J9833"/>
        </row>
        <row r="9834">
          <cell r="A9834"/>
          <cell r="J9834"/>
        </row>
        <row r="9835">
          <cell r="A9835"/>
          <cell r="J9835"/>
        </row>
        <row r="9836">
          <cell r="A9836"/>
          <cell r="J9836"/>
        </row>
        <row r="9837">
          <cell r="A9837"/>
          <cell r="J9837"/>
        </row>
        <row r="9838">
          <cell r="A9838"/>
          <cell r="J9838"/>
        </row>
        <row r="9839">
          <cell r="A9839"/>
          <cell r="J9839"/>
        </row>
        <row r="9840">
          <cell r="A9840"/>
          <cell r="J9840"/>
        </row>
        <row r="9841">
          <cell r="A9841"/>
          <cell r="J9841"/>
        </row>
        <row r="9842">
          <cell r="A9842"/>
          <cell r="J9842"/>
        </row>
        <row r="9843">
          <cell r="A9843"/>
          <cell r="J9843"/>
        </row>
        <row r="9844">
          <cell r="A9844"/>
          <cell r="J9844"/>
        </row>
        <row r="9845">
          <cell r="A9845"/>
          <cell r="J9845"/>
        </row>
        <row r="9846">
          <cell r="A9846"/>
          <cell r="J9846"/>
        </row>
        <row r="9847">
          <cell r="A9847"/>
          <cell r="J9847"/>
        </row>
        <row r="9848">
          <cell r="A9848"/>
          <cell r="J9848"/>
        </row>
        <row r="9849">
          <cell r="A9849"/>
          <cell r="J9849"/>
        </row>
        <row r="9850">
          <cell r="A9850"/>
          <cell r="J9850"/>
        </row>
        <row r="9851">
          <cell r="A9851"/>
          <cell r="J9851"/>
        </row>
        <row r="9852">
          <cell r="A9852"/>
          <cell r="J9852"/>
        </row>
        <row r="9853">
          <cell r="A9853"/>
          <cell r="J9853"/>
        </row>
        <row r="9854">
          <cell r="A9854"/>
          <cell r="J9854"/>
        </row>
        <row r="9855">
          <cell r="A9855"/>
          <cell r="J9855"/>
        </row>
        <row r="9856">
          <cell r="A9856"/>
          <cell r="J9856"/>
        </row>
        <row r="9857">
          <cell r="A9857"/>
          <cell r="J9857"/>
        </row>
        <row r="9858">
          <cell r="A9858"/>
          <cell r="J9858"/>
        </row>
        <row r="9859">
          <cell r="A9859"/>
          <cell r="J9859"/>
        </row>
        <row r="9860">
          <cell r="A9860"/>
          <cell r="J9860"/>
        </row>
        <row r="9861">
          <cell r="A9861"/>
          <cell r="J9861"/>
        </row>
        <row r="9862">
          <cell r="A9862"/>
          <cell r="J9862"/>
        </row>
        <row r="9863">
          <cell r="A9863"/>
          <cell r="J9863"/>
        </row>
        <row r="9864">
          <cell r="A9864"/>
          <cell r="J9864"/>
        </row>
        <row r="9865">
          <cell r="A9865"/>
          <cell r="J9865"/>
        </row>
        <row r="9866">
          <cell r="A9866"/>
          <cell r="J9866"/>
        </row>
        <row r="9867">
          <cell r="A9867"/>
          <cell r="J9867"/>
        </row>
        <row r="9868">
          <cell r="A9868"/>
          <cell r="J9868"/>
        </row>
        <row r="9869">
          <cell r="A9869"/>
          <cell r="J9869"/>
        </row>
        <row r="9870">
          <cell r="A9870"/>
          <cell r="J9870"/>
        </row>
        <row r="9871">
          <cell r="A9871"/>
          <cell r="J9871"/>
        </row>
        <row r="9872">
          <cell r="A9872"/>
          <cell r="J9872"/>
        </row>
        <row r="9873">
          <cell r="A9873"/>
          <cell r="J9873"/>
        </row>
        <row r="9874">
          <cell r="A9874"/>
          <cell r="J9874"/>
        </row>
        <row r="9875">
          <cell r="A9875"/>
          <cell r="J9875"/>
        </row>
        <row r="9876">
          <cell r="A9876"/>
          <cell r="J9876"/>
        </row>
        <row r="9877">
          <cell r="A9877"/>
          <cell r="J9877"/>
        </row>
        <row r="9878">
          <cell r="A9878"/>
          <cell r="J9878"/>
        </row>
        <row r="9879">
          <cell r="A9879"/>
          <cell r="J9879"/>
        </row>
        <row r="9880">
          <cell r="A9880"/>
          <cell r="J9880"/>
        </row>
        <row r="9881">
          <cell r="A9881"/>
          <cell r="J9881"/>
        </row>
        <row r="9882">
          <cell r="A9882"/>
          <cell r="J9882"/>
        </row>
        <row r="9883">
          <cell r="A9883"/>
          <cell r="J9883"/>
        </row>
        <row r="9884">
          <cell r="A9884"/>
          <cell r="J9884"/>
        </row>
        <row r="9885">
          <cell r="A9885"/>
          <cell r="J9885"/>
        </row>
        <row r="9886">
          <cell r="A9886"/>
          <cell r="J9886"/>
        </row>
        <row r="9887">
          <cell r="A9887"/>
          <cell r="J9887"/>
        </row>
        <row r="9888">
          <cell r="A9888"/>
          <cell r="J9888"/>
        </row>
        <row r="9889">
          <cell r="A9889"/>
          <cell r="J9889"/>
        </row>
        <row r="9890">
          <cell r="A9890"/>
          <cell r="J9890"/>
        </row>
        <row r="9891">
          <cell r="A9891"/>
          <cell r="J9891"/>
        </row>
        <row r="9892">
          <cell r="A9892"/>
          <cell r="J9892"/>
        </row>
        <row r="9893">
          <cell r="A9893"/>
          <cell r="J9893"/>
        </row>
        <row r="9894">
          <cell r="A9894"/>
          <cell r="J9894"/>
        </row>
        <row r="9895">
          <cell r="A9895"/>
          <cell r="J9895"/>
        </row>
        <row r="9896">
          <cell r="A9896"/>
          <cell r="J9896"/>
        </row>
        <row r="9897">
          <cell r="A9897"/>
          <cell r="J9897"/>
        </row>
        <row r="9898">
          <cell r="A9898"/>
          <cell r="J9898"/>
        </row>
        <row r="9899">
          <cell r="A9899"/>
          <cell r="J9899"/>
        </row>
        <row r="9900">
          <cell r="A9900"/>
          <cell r="J9900"/>
        </row>
        <row r="9901">
          <cell r="A9901"/>
          <cell r="J9901"/>
        </row>
        <row r="9902">
          <cell r="A9902"/>
          <cell r="J9902"/>
        </row>
        <row r="9903">
          <cell r="A9903"/>
          <cell r="J9903"/>
        </row>
        <row r="9904">
          <cell r="A9904"/>
          <cell r="J9904"/>
        </row>
        <row r="9905">
          <cell r="A9905"/>
          <cell r="J9905"/>
        </row>
        <row r="9906">
          <cell r="A9906"/>
          <cell r="J9906"/>
        </row>
        <row r="9907">
          <cell r="A9907"/>
          <cell r="J9907"/>
        </row>
        <row r="9908">
          <cell r="A9908"/>
          <cell r="J9908"/>
        </row>
        <row r="9909">
          <cell r="A9909"/>
          <cell r="J9909"/>
        </row>
        <row r="9910">
          <cell r="A9910"/>
          <cell r="J9910"/>
        </row>
        <row r="9911">
          <cell r="A9911"/>
          <cell r="J9911"/>
        </row>
        <row r="9912">
          <cell r="A9912"/>
          <cell r="J9912"/>
        </row>
        <row r="9913">
          <cell r="A9913"/>
          <cell r="J9913"/>
        </row>
        <row r="9914">
          <cell r="A9914"/>
          <cell r="J9914"/>
        </row>
        <row r="9915">
          <cell r="A9915"/>
          <cell r="J9915"/>
        </row>
        <row r="9916">
          <cell r="A9916"/>
          <cell r="J9916"/>
        </row>
        <row r="9917">
          <cell r="A9917"/>
          <cell r="J9917"/>
        </row>
        <row r="9918">
          <cell r="A9918"/>
          <cell r="J9918"/>
        </row>
        <row r="9919">
          <cell r="A9919"/>
          <cell r="J9919"/>
        </row>
        <row r="9920">
          <cell r="A9920"/>
          <cell r="J9920"/>
        </row>
        <row r="9921">
          <cell r="A9921"/>
          <cell r="J9921"/>
        </row>
        <row r="9922">
          <cell r="A9922"/>
          <cell r="J9922"/>
        </row>
        <row r="9923">
          <cell r="A9923"/>
          <cell r="J9923"/>
        </row>
        <row r="9924">
          <cell r="A9924"/>
          <cell r="J9924"/>
        </row>
        <row r="9925">
          <cell r="A9925"/>
          <cell r="J9925"/>
        </row>
        <row r="9926">
          <cell r="A9926"/>
          <cell r="J9926"/>
        </row>
        <row r="9927">
          <cell r="A9927"/>
          <cell r="J9927"/>
        </row>
        <row r="9928">
          <cell r="A9928"/>
          <cell r="J9928"/>
        </row>
        <row r="9929">
          <cell r="A9929"/>
          <cell r="J9929"/>
        </row>
        <row r="9930">
          <cell r="A9930"/>
          <cell r="J9930"/>
        </row>
        <row r="9931">
          <cell r="A9931"/>
          <cell r="J9931"/>
        </row>
        <row r="9932">
          <cell r="A9932"/>
          <cell r="J9932"/>
        </row>
        <row r="9933">
          <cell r="A9933"/>
          <cell r="J9933"/>
        </row>
        <row r="9934">
          <cell r="A9934"/>
          <cell r="J9934"/>
        </row>
        <row r="9935">
          <cell r="A9935"/>
          <cell r="J9935"/>
        </row>
        <row r="9936">
          <cell r="A9936"/>
          <cell r="J9936"/>
        </row>
        <row r="9937">
          <cell r="A9937"/>
          <cell r="J9937"/>
        </row>
        <row r="9938">
          <cell r="A9938"/>
          <cell r="J9938"/>
        </row>
        <row r="9939">
          <cell r="A9939"/>
          <cell r="J9939"/>
        </row>
        <row r="9940">
          <cell r="A9940"/>
          <cell r="J9940"/>
        </row>
        <row r="9941">
          <cell r="A9941"/>
          <cell r="J9941"/>
        </row>
        <row r="9942">
          <cell r="A9942"/>
          <cell r="J9942"/>
        </row>
        <row r="9943">
          <cell r="A9943"/>
          <cell r="J9943"/>
        </row>
        <row r="9944">
          <cell r="A9944"/>
          <cell r="J9944"/>
        </row>
        <row r="9945">
          <cell r="A9945"/>
          <cell r="J9945"/>
        </row>
        <row r="9946">
          <cell r="A9946"/>
          <cell r="J9946"/>
        </row>
        <row r="9947">
          <cell r="A9947"/>
          <cell r="J9947"/>
        </row>
        <row r="9948">
          <cell r="A9948"/>
          <cell r="J9948"/>
        </row>
        <row r="9949">
          <cell r="A9949"/>
          <cell r="J9949"/>
        </row>
        <row r="9950">
          <cell r="A9950"/>
          <cell r="J9950"/>
        </row>
        <row r="9951">
          <cell r="A9951"/>
          <cell r="J9951"/>
        </row>
        <row r="9952">
          <cell r="A9952"/>
          <cell r="J9952"/>
        </row>
        <row r="9953">
          <cell r="A9953"/>
          <cell r="J9953"/>
        </row>
        <row r="9954">
          <cell r="A9954"/>
          <cell r="J9954"/>
        </row>
        <row r="9955">
          <cell r="A9955"/>
          <cell r="J9955"/>
        </row>
        <row r="9956">
          <cell r="A9956"/>
          <cell r="J9956"/>
        </row>
        <row r="9957">
          <cell r="A9957"/>
          <cell r="J9957"/>
        </row>
        <row r="9958">
          <cell r="A9958"/>
          <cell r="J9958"/>
        </row>
        <row r="9959">
          <cell r="A9959"/>
          <cell r="J9959"/>
        </row>
        <row r="9960">
          <cell r="A9960"/>
          <cell r="J9960"/>
        </row>
        <row r="9961">
          <cell r="A9961"/>
          <cell r="J9961"/>
        </row>
        <row r="9962">
          <cell r="A9962"/>
          <cell r="J9962"/>
        </row>
        <row r="9963">
          <cell r="A9963"/>
          <cell r="J9963"/>
        </row>
        <row r="9964">
          <cell r="A9964"/>
          <cell r="J9964"/>
        </row>
        <row r="9965">
          <cell r="A9965"/>
          <cell r="J9965"/>
        </row>
        <row r="9966">
          <cell r="A9966"/>
          <cell r="J9966"/>
        </row>
        <row r="9967">
          <cell r="A9967"/>
          <cell r="J9967"/>
        </row>
        <row r="9968">
          <cell r="A9968"/>
          <cell r="J9968"/>
        </row>
        <row r="9969">
          <cell r="A9969"/>
          <cell r="J9969"/>
        </row>
        <row r="9970">
          <cell r="A9970"/>
          <cell r="J9970"/>
        </row>
        <row r="9971">
          <cell r="A9971"/>
          <cell r="J9971"/>
        </row>
        <row r="9972">
          <cell r="A9972"/>
          <cell r="J9972"/>
        </row>
        <row r="9973">
          <cell r="A9973"/>
          <cell r="J9973"/>
        </row>
        <row r="9974">
          <cell r="A9974"/>
          <cell r="J9974"/>
        </row>
        <row r="9975">
          <cell r="A9975"/>
          <cell r="J9975"/>
        </row>
        <row r="9976">
          <cell r="A9976"/>
          <cell r="J9976"/>
        </row>
        <row r="9977">
          <cell r="A9977"/>
          <cell r="J9977"/>
        </row>
        <row r="9978">
          <cell r="A9978"/>
          <cell r="J9978"/>
        </row>
        <row r="9979">
          <cell r="A9979"/>
          <cell r="J9979"/>
        </row>
        <row r="9980">
          <cell r="A9980"/>
          <cell r="J9980"/>
        </row>
        <row r="9981">
          <cell r="A9981"/>
          <cell r="J9981"/>
        </row>
        <row r="9982">
          <cell r="A9982"/>
          <cell r="J9982"/>
        </row>
        <row r="9983">
          <cell r="A9983"/>
          <cell r="J9983"/>
        </row>
        <row r="9984">
          <cell r="A9984"/>
          <cell r="J9984"/>
        </row>
        <row r="9985">
          <cell r="A9985"/>
          <cell r="J9985"/>
        </row>
        <row r="9986">
          <cell r="A9986"/>
          <cell r="J9986"/>
        </row>
        <row r="9987">
          <cell r="A9987"/>
          <cell r="J9987"/>
        </row>
        <row r="9988">
          <cell r="A9988"/>
          <cell r="J9988"/>
        </row>
        <row r="9989">
          <cell r="A9989"/>
          <cell r="J9989"/>
        </row>
        <row r="9990">
          <cell r="A9990"/>
          <cell r="J9990"/>
        </row>
        <row r="9991">
          <cell r="A9991"/>
          <cell r="J9991"/>
        </row>
        <row r="9992">
          <cell r="A9992"/>
          <cell r="J9992"/>
        </row>
        <row r="9993">
          <cell r="A9993"/>
          <cell r="J9993"/>
        </row>
        <row r="9994">
          <cell r="A9994"/>
          <cell r="J9994"/>
        </row>
        <row r="9995">
          <cell r="A9995"/>
          <cell r="J9995"/>
        </row>
        <row r="9996">
          <cell r="A9996"/>
          <cell r="J9996"/>
        </row>
        <row r="9997">
          <cell r="A9997"/>
          <cell r="J9997"/>
        </row>
        <row r="9998">
          <cell r="A9998"/>
          <cell r="J9998"/>
        </row>
        <row r="9999">
          <cell r="A9999"/>
          <cell r="J9999"/>
        </row>
        <row r="10000">
          <cell r="A10000"/>
          <cell r="J10000"/>
        </row>
        <row r="10001">
          <cell r="A10001"/>
          <cell r="J10001"/>
        </row>
        <row r="10002">
          <cell r="A10002"/>
          <cell r="J10002"/>
        </row>
        <row r="10003">
          <cell r="A10003"/>
          <cell r="J10003"/>
        </row>
        <row r="10004">
          <cell r="A10004"/>
          <cell r="J10004"/>
        </row>
        <row r="10005">
          <cell r="A10005"/>
          <cell r="J10005"/>
        </row>
        <row r="10006">
          <cell r="A10006"/>
          <cell r="J10006"/>
        </row>
        <row r="10007">
          <cell r="A10007"/>
          <cell r="J10007"/>
        </row>
        <row r="10008">
          <cell r="A10008"/>
          <cell r="J10008"/>
        </row>
        <row r="10009">
          <cell r="A10009"/>
          <cell r="J10009"/>
        </row>
        <row r="10010">
          <cell r="A10010"/>
          <cell r="J10010"/>
        </row>
        <row r="10011">
          <cell r="A10011"/>
          <cell r="J10011"/>
        </row>
        <row r="10012">
          <cell r="A10012"/>
          <cell r="J10012"/>
        </row>
        <row r="10013">
          <cell r="A10013"/>
          <cell r="J10013"/>
        </row>
        <row r="10014">
          <cell r="A10014"/>
          <cell r="J10014"/>
        </row>
        <row r="10015">
          <cell r="A10015"/>
          <cell r="J10015"/>
        </row>
        <row r="10016">
          <cell r="A10016"/>
          <cell r="J10016"/>
        </row>
        <row r="10017">
          <cell r="A10017"/>
          <cell r="J10017"/>
        </row>
        <row r="10018">
          <cell r="A10018"/>
          <cell r="J10018"/>
        </row>
        <row r="10019">
          <cell r="A10019"/>
          <cell r="J10019"/>
        </row>
        <row r="10020">
          <cell r="A10020"/>
          <cell r="J10020"/>
        </row>
        <row r="10021">
          <cell r="A10021"/>
          <cell r="J10021"/>
        </row>
        <row r="10022">
          <cell r="A10022"/>
          <cell r="J10022"/>
        </row>
        <row r="10023">
          <cell r="A10023"/>
          <cell r="J10023"/>
        </row>
        <row r="10024">
          <cell r="A10024"/>
          <cell r="J10024"/>
        </row>
        <row r="10025">
          <cell r="A10025"/>
          <cell r="J10025"/>
        </row>
        <row r="10026">
          <cell r="A10026"/>
          <cell r="J10026"/>
        </row>
        <row r="10027">
          <cell r="A10027"/>
          <cell r="J10027"/>
        </row>
        <row r="10028">
          <cell r="A10028"/>
          <cell r="J10028"/>
        </row>
        <row r="10029">
          <cell r="A10029"/>
          <cell r="J10029"/>
        </row>
        <row r="10030">
          <cell r="A10030"/>
          <cell r="J10030"/>
        </row>
        <row r="10031">
          <cell r="A10031"/>
          <cell r="J10031"/>
        </row>
        <row r="10032">
          <cell r="A10032"/>
          <cell r="J10032"/>
        </row>
        <row r="10033">
          <cell r="A10033"/>
          <cell r="J10033"/>
        </row>
        <row r="10034">
          <cell r="A10034"/>
          <cell r="J10034"/>
        </row>
        <row r="10035">
          <cell r="A10035"/>
          <cell r="J10035"/>
        </row>
        <row r="10036">
          <cell r="A10036"/>
          <cell r="J10036"/>
        </row>
        <row r="10037">
          <cell r="A10037"/>
          <cell r="J10037"/>
        </row>
        <row r="10038">
          <cell r="A10038"/>
          <cell r="J10038"/>
        </row>
        <row r="10039">
          <cell r="A10039"/>
          <cell r="J10039"/>
        </row>
        <row r="10040">
          <cell r="A10040"/>
          <cell r="J10040"/>
        </row>
        <row r="10041">
          <cell r="A10041"/>
          <cell r="J10041"/>
        </row>
        <row r="10042">
          <cell r="A10042"/>
          <cell r="J10042"/>
        </row>
        <row r="10043">
          <cell r="A10043"/>
          <cell r="J10043"/>
        </row>
        <row r="10044">
          <cell r="A10044"/>
          <cell r="J10044"/>
        </row>
        <row r="10045">
          <cell r="A10045"/>
          <cell r="J10045"/>
        </row>
        <row r="10046">
          <cell r="A10046"/>
          <cell r="J10046"/>
        </row>
        <row r="10047">
          <cell r="A10047"/>
          <cell r="J10047"/>
        </row>
        <row r="10048">
          <cell r="A10048"/>
          <cell r="J10048"/>
        </row>
        <row r="10049">
          <cell r="A10049"/>
          <cell r="J10049"/>
        </row>
        <row r="10050">
          <cell r="A10050"/>
          <cell r="J10050"/>
        </row>
        <row r="10051">
          <cell r="A10051"/>
          <cell r="J10051"/>
        </row>
        <row r="10052">
          <cell r="A10052"/>
          <cell r="J10052"/>
        </row>
        <row r="10053">
          <cell r="A10053"/>
          <cell r="J10053"/>
        </row>
        <row r="10054">
          <cell r="A10054"/>
          <cell r="J10054"/>
        </row>
        <row r="10055">
          <cell r="A10055"/>
          <cell r="J10055"/>
        </row>
        <row r="10056">
          <cell r="A10056"/>
          <cell r="J10056"/>
        </row>
        <row r="10057">
          <cell r="A10057"/>
          <cell r="J10057"/>
        </row>
        <row r="10058">
          <cell r="A10058"/>
          <cell r="J10058"/>
        </row>
        <row r="10059">
          <cell r="A10059"/>
          <cell r="J10059"/>
        </row>
        <row r="10060">
          <cell r="A10060"/>
          <cell r="J10060"/>
        </row>
        <row r="10061">
          <cell r="A10061"/>
          <cell r="J10061"/>
        </row>
        <row r="10062">
          <cell r="A10062"/>
          <cell r="J10062"/>
        </row>
        <row r="10063">
          <cell r="A10063"/>
          <cell r="J10063"/>
        </row>
        <row r="10064">
          <cell r="A10064"/>
          <cell r="J10064"/>
        </row>
        <row r="10065">
          <cell r="A10065"/>
          <cell r="J10065"/>
        </row>
        <row r="10066">
          <cell r="A10066"/>
          <cell r="J10066"/>
        </row>
        <row r="10067">
          <cell r="A10067"/>
          <cell r="J10067"/>
        </row>
        <row r="10068">
          <cell r="A10068"/>
          <cell r="J10068"/>
        </row>
        <row r="10069">
          <cell r="A10069"/>
          <cell r="J10069"/>
        </row>
        <row r="10070">
          <cell r="A10070"/>
          <cell r="J10070"/>
        </row>
        <row r="10071">
          <cell r="A10071"/>
          <cell r="J10071"/>
        </row>
        <row r="10072">
          <cell r="A10072"/>
          <cell r="J10072"/>
        </row>
        <row r="10073">
          <cell r="A10073"/>
          <cell r="J10073"/>
        </row>
        <row r="10074">
          <cell r="A10074"/>
          <cell r="J10074"/>
        </row>
        <row r="10075">
          <cell r="A10075"/>
          <cell r="J10075"/>
        </row>
        <row r="10076">
          <cell r="A10076"/>
          <cell r="J10076"/>
        </row>
        <row r="10077">
          <cell r="A10077"/>
          <cell r="J10077"/>
        </row>
        <row r="10078">
          <cell r="A10078"/>
          <cell r="J10078"/>
        </row>
        <row r="10079">
          <cell r="A10079"/>
          <cell r="J10079"/>
        </row>
        <row r="10080">
          <cell r="A10080"/>
          <cell r="J10080"/>
        </row>
        <row r="10081">
          <cell r="A10081"/>
          <cell r="J10081"/>
        </row>
        <row r="10082">
          <cell r="A10082"/>
          <cell r="J10082"/>
        </row>
        <row r="10083">
          <cell r="A10083"/>
          <cell r="J10083"/>
        </row>
        <row r="10084">
          <cell r="A10084"/>
          <cell r="J10084"/>
        </row>
        <row r="10085">
          <cell r="A10085"/>
          <cell r="J10085"/>
        </row>
        <row r="10086">
          <cell r="A10086"/>
          <cell r="J10086"/>
        </row>
        <row r="10087">
          <cell r="A10087"/>
          <cell r="J10087"/>
        </row>
        <row r="10088">
          <cell r="A10088"/>
          <cell r="J10088"/>
        </row>
        <row r="10089">
          <cell r="A10089"/>
          <cell r="J10089"/>
        </row>
        <row r="10090">
          <cell r="A10090"/>
          <cell r="J10090"/>
        </row>
        <row r="10091">
          <cell r="A10091"/>
          <cell r="J10091"/>
        </row>
        <row r="10092">
          <cell r="A10092"/>
          <cell r="J10092"/>
        </row>
        <row r="10093">
          <cell r="A10093"/>
          <cell r="J10093"/>
        </row>
        <row r="10094">
          <cell r="A10094"/>
          <cell r="J10094"/>
        </row>
        <row r="10095">
          <cell r="A10095"/>
          <cell r="J10095"/>
        </row>
        <row r="10096">
          <cell r="A10096"/>
          <cell r="J10096"/>
        </row>
        <row r="10097">
          <cell r="A10097"/>
          <cell r="J10097"/>
        </row>
        <row r="10098">
          <cell r="A10098"/>
          <cell r="J10098"/>
        </row>
        <row r="10099">
          <cell r="A10099"/>
          <cell r="J10099"/>
        </row>
        <row r="10100">
          <cell r="A10100"/>
          <cell r="J10100"/>
        </row>
        <row r="10101">
          <cell r="A10101"/>
          <cell r="J10101"/>
        </row>
        <row r="10102">
          <cell r="A10102"/>
          <cell r="J10102"/>
        </row>
        <row r="10103">
          <cell r="A10103"/>
          <cell r="J10103"/>
        </row>
        <row r="10104">
          <cell r="A10104"/>
          <cell r="J10104"/>
        </row>
        <row r="10105">
          <cell r="A10105"/>
          <cell r="J10105"/>
        </row>
        <row r="10106">
          <cell r="A10106"/>
          <cell r="J10106"/>
        </row>
        <row r="10107">
          <cell r="A10107"/>
          <cell r="J10107"/>
        </row>
        <row r="10108">
          <cell r="A10108"/>
          <cell r="J10108"/>
        </row>
        <row r="10109">
          <cell r="A10109"/>
          <cell r="J10109"/>
        </row>
        <row r="10110">
          <cell r="A10110"/>
          <cell r="J10110"/>
        </row>
        <row r="10111">
          <cell r="A10111"/>
          <cell r="J10111"/>
        </row>
        <row r="10112">
          <cell r="A10112"/>
          <cell r="J10112"/>
        </row>
        <row r="10113">
          <cell r="A10113"/>
          <cell r="J10113"/>
        </row>
        <row r="10114">
          <cell r="A10114"/>
          <cell r="J10114"/>
        </row>
        <row r="10115">
          <cell r="A10115"/>
          <cell r="J10115"/>
        </row>
        <row r="10116">
          <cell r="A10116"/>
          <cell r="J10116"/>
        </row>
        <row r="10117">
          <cell r="A10117"/>
          <cell r="J10117"/>
        </row>
        <row r="10118">
          <cell r="A10118"/>
          <cell r="J10118"/>
        </row>
        <row r="10119">
          <cell r="A10119"/>
          <cell r="J10119"/>
        </row>
        <row r="10120">
          <cell r="A10120"/>
          <cell r="J10120"/>
        </row>
        <row r="10121">
          <cell r="A10121"/>
          <cell r="J10121"/>
        </row>
        <row r="10122">
          <cell r="A10122"/>
          <cell r="J10122"/>
        </row>
        <row r="10123">
          <cell r="A10123"/>
          <cell r="J10123"/>
        </row>
        <row r="10124">
          <cell r="A10124"/>
          <cell r="J10124"/>
        </row>
        <row r="10125">
          <cell r="A10125"/>
          <cell r="J10125"/>
        </row>
        <row r="10126">
          <cell r="A10126"/>
          <cell r="J10126"/>
        </row>
        <row r="10127">
          <cell r="A10127"/>
          <cell r="J10127"/>
        </row>
        <row r="10128">
          <cell r="A10128"/>
          <cell r="J10128"/>
        </row>
        <row r="10129">
          <cell r="A10129"/>
          <cell r="J10129"/>
        </row>
        <row r="10130">
          <cell r="A10130"/>
          <cell r="J10130"/>
        </row>
        <row r="10131">
          <cell r="A10131"/>
          <cell r="J10131"/>
        </row>
        <row r="10132">
          <cell r="A10132"/>
          <cell r="J10132"/>
        </row>
        <row r="10133">
          <cell r="A10133"/>
          <cell r="J10133"/>
        </row>
        <row r="10134">
          <cell r="A10134"/>
          <cell r="J10134"/>
        </row>
        <row r="10135">
          <cell r="A10135"/>
          <cell r="J10135"/>
        </row>
        <row r="10136">
          <cell r="A10136"/>
          <cell r="J10136"/>
        </row>
        <row r="10137">
          <cell r="A10137"/>
          <cell r="J10137"/>
        </row>
        <row r="10138">
          <cell r="A10138"/>
          <cell r="J10138"/>
        </row>
        <row r="10139">
          <cell r="A10139"/>
          <cell r="J10139"/>
        </row>
        <row r="10140">
          <cell r="A10140"/>
          <cell r="J10140"/>
        </row>
        <row r="10141">
          <cell r="A10141"/>
          <cell r="J10141"/>
        </row>
        <row r="10142">
          <cell r="A10142"/>
          <cell r="J10142"/>
        </row>
        <row r="10143">
          <cell r="A10143"/>
          <cell r="J10143"/>
        </row>
        <row r="10144">
          <cell r="A10144"/>
          <cell r="J10144"/>
        </row>
        <row r="10145">
          <cell r="A10145"/>
          <cell r="J10145"/>
        </row>
        <row r="10146">
          <cell r="A10146"/>
          <cell r="J10146"/>
        </row>
        <row r="10147">
          <cell r="A10147"/>
          <cell r="J10147"/>
        </row>
        <row r="10148">
          <cell r="A10148"/>
          <cell r="J10148"/>
        </row>
        <row r="10149">
          <cell r="A10149"/>
          <cell r="J10149"/>
        </row>
        <row r="10150">
          <cell r="A10150"/>
          <cell r="J10150"/>
        </row>
        <row r="10151">
          <cell r="A10151"/>
          <cell r="J10151"/>
        </row>
        <row r="10152">
          <cell r="A10152"/>
          <cell r="J10152"/>
        </row>
        <row r="10153">
          <cell r="A10153"/>
          <cell r="J10153"/>
        </row>
        <row r="10154">
          <cell r="A10154"/>
          <cell r="J10154"/>
        </row>
        <row r="10155">
          <cell r="A10155"/>
          <cell r="J10155"/>
        </row>
        <row r="10156">
          <cell r="A10156"/>
          <cell r="J10156"/>
        </row>
        <row r="10157">
          <cell r="A10157"/>
          <cell r="J10157"/>
        </row>
        <row r="10158">
          <cell r="A10158"/>
          <cell r="J10158"/>
        </row>
        <row r="10159">
          <cell r="A10159"/>
          <cell r="J10159"/>
        </row>
        <row r="10160">
          <cell r="A10160"/>
          <cell r="J10160"/>
        </row>
        <row r="10161">
          <cell r="A10161"/>
          <cell r="J10161"/>
        </row>
        <row r="10162">
          <cell r="A10162"/>
          <cell r="J10162"/>
        </row>
        <row r="10163">
          <cell r="A10163"/>
          <cell r="J10163"/>
        </row>
        <row r="10164">
          <cell r="A10164"/>
          <cell r="J10164"/>
        </row>
        <row r="10165">
          <cell r="A10165"/>
          <cell r="J10165"/>
        </row>
        <row r="10166">
          <cell r="A10166"/>
          <cell r="J10166"/>
        </row>
        <row r="10167">
          <cell r="A10167"/>
          <cell r="J10167"/>
        </row>
        <row r="10168">
          <cell r="A10168"/>
          <cell r="J10168"/>
        </row>
        <row r="10169">
          <cell r="A10169"/>
          <cell r="J10169"/>
        </row>
        <row r="10170">
          <cell r="A10170"/>
          <cell r="J10170"/>
        </row>
        <row r="10171">
          <cell r="A10171"/>
          <cell r="J10171"/>
        </row>
        <row r="10172">
          <cell r="A10172"/>
          <cell r="J10172"/>
        </row>
        <row r="10173">
          <cell r="A10173"/>
          <cell r="J10173"/>
        </row>
        <row r="10174">
          <cell r="A10174"/>
          <cell r="J10174"/>
        </row>
        <row r="10175">
          <cell r="A10175"/>
          <cell r="J10175"/>
        </row>
        <row r="10176">
          <cell r="A10176"/>
          <cell r="J10176"/>
        </row>
        <row r="10177">
          <cell r="A10177"/>
          <cell r="J10177"/>
        </row>
        <row r="10178">
          <cell r="A10178"/>
          <cell r="J10178"/>
        </row>
        <row r="10179">
          <cell r="A10179"/>
          <cell r="J10179"/>
        </row>
        <row r="10180">
          <cell r="A10180"/>
          <cell r="J10180"/>
        </row>
        <row r="10181">
          <cell r="A10181"/>
          <cell r="J10181"/>
        </row>
        <row r="10182">
          <cell r="A10182"/>
          <cell r="J10182"/>
        </row>
        <row r="10183">
          <cell r="A10183"/>
          <cell r="J10183"/>
        </row>
        <row r="10184">
          <cell r="A10184"/>
          <cell r="J10184"/>
        </row>
        <row r="10185">
          <cell r="A10185"/>
          <cell r="J10185"/>
        </row>
        <row r="10186">
          <cell r="A10186"/>
          <cell r="J10186"/>
        </row>
        <row r="10187">
          <cell r="A10187"/>
          <cell r="J10187"/>
        </row>
        <row r="10188">
          <cell r="A10188"/>
          <cell r="J10188"/>
        </row>
        <row r="10189">
          <cell r="A10189"/>
          <cell r="J10189"/>
        </row>
        <row r="10190">
          <cell r="A10190"/>
          <cell r="J10190"/>
        </row>
        <row r="10191">
          <cell r="A10191"/>
          <cell r="J10191"/>
        </row>
        <row r="10192">
          <cell r="A10192"/>
          <cell r="J10192"/>
        </row>
        <row r="10193">
          <cell r="A10193"/>
          <cell r="J10193"/>
        </row>
        <row r="10194">
          <cell r="A10194"/>
          <cell r="J10194"/>
        </row>
        <row r="10195">
          <cell r="A10195"/>
          <cell r="J10195"/>
        </row>
        <row r="10196">
          <cell r="A10196"/>
          <cell r="J10196"/>
        </row>
        <row r="10197">
          <cell r="A10197"/>
          <cell r="J10197"/>
        </row>
        <row r="10198">
          <cell r="A10198"/>
          <cell r="J10198"/>
        </row>
        <row r="10199">
          <cell r="A10199"/>
          <cell r="J10199"/>
        </row>
        <row r="10200">
          <cell r="A10200"/>
          <cell r="J10200"/>
        </row>
        <row r="10201">
          <cell r="A10201"/>
          <cell r="J10201"/>
        </row>
        <row r="10202">
          <cell r="A10202"/>
          <cell r="J10202"/>
        </row>
        <row r="10203">
          <cell r="A10203"/>
          <cell r="J10203"/>
        </row>
        <row r="10204">
          <cell r="A10204"/>
          <cell r="J10204"/>
        </row>
        <row r="10205">
          <cell r="A10205"/>
          <cell r="J10205"/>
        </row>
        <row r="10206">
          <cell r="A10206"/>
          <cell r="J10206"/>
        </row>
        <row r="10207">
          <cell r="A10207"/>
          <cell r="J10207"/>
        </row>
        <row r="10208">
          <cell r="A10208"/>
          <cell r="J10208"/>
        </row>
        <row r="10209">
          <cell r="A10209"/>
          <cell r="J10209"/>
        </row>
        <row r="10210">
          <cell r="A10210"/>
          <cell r="J10210"/>
        </row>
        <row r="10211">
          <cell r="A10211"/>
          <cell r="J10211"/>
        </row>
        <row r="10212">
          <cell r="A10212"/>
          <cell r="J10212"/>
        </row>
        <row r="10213">
          <cell r="A10213"/>
          <cell r="J10213"/>
        </row>
        <row r="10214">
          <cell r="A10214"/>
          <cell r="J10214"/>
        </row>
        <row r="10215">
          <cell r="A10215"/>
          <cell r="J10215"/>
        </row>
        <row r="10216">
          <cell r="A10216"/>
          <cell r="J10216"/>
        </row>
        <row r="10217">
          <cell r="A10217"/>
          <cell r="J10217"/>
        </row>
        <row r="10218">
          <cell r="A10218"/>
          <cell r="J10218"/>
        </row>
        <row r="10219">
          <cell r="A10219"/>
          <cell r="J10219"/>
        </row>
        <row r="10220">
          <cell r="A10220"/>
          <cell r="J10220"/>
        </row>
        <row r="10221">
          <cell r="A10221"/>
          <cell r="J10221"/>
        </row>
        <row r="10222">
          <cell r="A10222"/>
          <cell r="J10222"/>
        </row>
        <row r="10223">
          <cell r="A10223"/>
          <cell r="J10223"/>
        </row>
        <row r="10224">
          <cell r="A10224"/>
          <cell r="J10224"/>
        </row>
        <row r="10225">
          <cell r="A10225"/>
          <cell r="J10225"/>
        </row>
        <row r="10226">
          <cell r="A10226"/>
          <cell r="J10226"/>
        </row>
        <row r="10227">
          <cell r="A10227"/>
          <cell r="J10227"/>
        </row>
        <row r="10228">
          <cell r="A10228"/>
          <cell r="J10228"/>
        </row>
        <row r="10229">
          <cell r="A10229"/>
          <cell r="J10229"/>
        </row>
        <row r="10230">
          <cell r="A10230"/>
          <cell r="J10230"/>
        </row>
        <row r="10231">
          <cell r="A10231"/>
          <cell r="J10231"/>
        </row>
        <row r="10232">
          <cell r="A10232"/>
          <cell r="J10232"/>
        </row>
        <row r="10233">
          <cell r="A10233"/>
          <cell r="J10233"/>
        </row>
        <row r="10234">
          <cell r="A10234"/>
          <cell r="J10234"/>
        </row>
        <row r="10235">
          <cell r="A10235"/>
          <cell r="J10235"/>
        </row>
        <row r="10236">
          <cell r="A10236"/>
          <cell r="J10236"/>
        </row>
        <row r="10237">
          <cell r="A10237"/>
          <cell r="J10237"/>
        </row>
        <row r="10238">
          <cell r="A10238"/>
          <cell r="J10238"/>
        </row>
        <row r="10239">
          <cell r="A10239"/>
          <cell r="J10239"/>
        </row>
        <row r="10240">
          <cell r="A10240"/>
          <cell r="J10240"/>
        </row>
        <row r="10241">
          <cell r="A10241"/>
          <cell r="J10241"/>
        </row>
        <row r="10242">
          <cell r="A10242"/>
          <cell r="J10242"/>
        </row>
        <row r="10243">
          <cell r="A10243"/>
          <cell r="J10243"/>
        </row>
        <row r="10244">
          <cell r="A10244"/>
          <cell r="J10244"/>
        </row>
        <row r="10245">
          <cell r="A10245"/>
          <cell r="J10245"/>
        </row>
        <row r="10246">
          <cell r="A10246"/>
          <cell r="J10246"/>
        </row>
        <row r="10247">
          <cell r="A10247"/>
          <cell r="J10247"/>
        </row>
        <row r="10248">
          <cell r="A10248"/>
          <cell r="J10248"/>
        </row>
        <row r="10249">
          <cell r="A10249"/>
          <cell r="J10249"/>
        </row>
        <row r="10250">
          <cell r="A10250"/>
          <cell r="J10250"/>
        </row>
        <row r="10251">
          <cell r="A10251"/>
          <cell r="J10251"/>
        </row>
        <row r="10252">
          <cell r="A10252"/>
          <cell r="J10252"/>
        </row>
        <row r="10253">
          <cell r="A10253"/>
          <cell r="J10253"/>
        </row>
        <row r="10254">
          <cell r="A10254"/>
          <cell r="J10254"/>
        </row>
        <row r="10255">
          <cell r="A10255"/>
          <cell r="J10255"/>
        </row>
        <row r="10256">
          <cell r="A10256"/>
          <cell r="J10256"/>
        </row>
        <row r="10257">
          <cell r="A10257"/>
          <cell r="J10257"/>
        </row>
        <row r="10258">
          <cell r="A10258"/>
          <cell r="J10258"/>
        </row>
        <row r="10259">
          <cell r="A10259"/>
          <cell r="J10259"/>
        </row>
        <row r="10260">
          <cell r="A10260"/>
          <cell r="J10260"/>
        </row>
        <row r="10261">
          <cell r="A10261"/>
          <cell r="J10261"/>
        </row>
        <row r="10262">
          <cell r="A10262"/>
          <cell r="J10262"/>
        </row>
        <row r="10263">
          <cell r="A10263"/>
          <cell r="J10263"/>
        </row>
        <row r="10264">
          <cell r="A10264"/>
          <cell r="J10264"/>
        </row>
        <row r="10265">
          <cell r="A10265"/>
          <cell r="J10265"/>
        </row>
        <row r="10266">
          <cell r="A10266"/>
          <cell r="J10266"/>
        </row>
        <row r="10267">
          <cell r="A10267"/>
          <cell r="J10267"/>
        </row>
        <row r="10268">
          <cell r="A10268"/>
          <cell r="J10268"/>
        </row>
        <row r="10269">
          <cell r="A10269"/>
          <cell r="J10269"/>
        </row>
        <row r="10270">
          <cell r="A10270"/>
          <cell r="J10270"/>
        </row>
        <row r="10271">
          <cell r="A10271"/>
          <cell r="J10271"/>
        </row>
        <row r="10272">
          <cell r="A10272"/>
          <cell r="J10272"/>
        </row>
        <row r="10273">
          <cell r="A10273"/>
          <cell r="J10273"/>
        </row>
        <row r="10274">
          <cell r="A10274"/>
          <cell r="J10274"/>
        </row>
        <row r="10275">
          <cell r="A10275"/>
          <cell r="J10275"/>
        </row>
        <row r="10276">
          <cell r="A10276"/>
          <cell r="J10276"/>
        </row>
        <row r="10277">
          <cell r="A10277"/>
          <cell r="J10277"/>
        </row>
        <row r="10278">
          <cell r="A10278"/>
          <cell r="J10278"/>
        </row>
        <row r="10279">
          <cell r="A10279"/>
          <cell r="J10279"/>
        </row>
        <row r="10280">
          <cell r="A10280"/>
          <cell r="J10280"/>
        </row>
        <row r="10281">
          <cell r="A10281"/>
          <cell r="J10281"/>
        </row>
        <row r="10282">
          <cell r="A10282"/>
          <cell r="J10282"/>
        </row>
        <row r="10283">
          <cell r="A10283"/>
          <cell r="J10283"/>
        </row>
        <row r="10284">
          <cell r="A10284"/>
          <cell r="J10284"/>
        </row>
        <row r="10285">
          <cell r="A10285"/>
          <cell r="J10285"/>
        </row>
        <row r="10286">
          <cell r="A10286"/>
          <cell r="J10286"/>
        </row>
        <row r="10287">
          <cell r="A10287"/>
          <cell r="J10287"/>
        </row>
        <row r="10288">
          <cell r="A10288"/>
          <cell r="J10288"/>
        </row>
        <row r="10289">
          <cell r="A10289"/>
          <cell r="J10289"/>
        </row>
        <row r="10290">
          <cell r="A10290"/>
          <cell r="J10290"/>
        </row>
        <row r="10291">
          <cell r="A10291"/>
          <cell r="J10291"/>
        </row>
        <row r="10292">
          <cell r="A10292"/>
          <cell r="J10292"/>
        </row>
        <row r="10293">
          <cell r="A10293"/>
          <cell r="J10293"/>
        </row>
        <row r="10294">
          <cell r="A10294"/>
          <cell r="J10294"/>
        </row>
        <row r="10295">
          <cell r="A10295"/>
          <cell r="J10295"/>
        </row>
        <row r="10296">
          <cell r="A10296"/>
          <cell r="J10296"/>
        </row>
        <row r="10297">
          <cell r="A10297"/>
          <cell r="J10297"/>
        </row>
        <row r="10298">
          <cell r="A10298"/>
          <cell r="J10298"/>
        </row>
        <row r="10299">
          <cell r="A10299"/>
          <cell r="J10299"/>
        </row>
        <row r="10300">
          <cell r="A10300"/>
          <cell r="J10300"/>
        </row>
        <row r="10301">
          <cell r="A10301"/>
          <cell r="J10301"/>
        </row>
        <row r="10302">
          <cell r="A10302"/>
          <cell r="J10302"/>
        </row>
        <row r="10303">
          <cell r="A10303"/>
          <cell r="J10303"/>
        </row>
        <row r="10304">
          <cell r="A10304"/>
          <cell r="J10304"/>
        </row>
        <row r="10305">
          <cell r="A10305"/>
          <cell r="J10305"/>
        </row>
        <row r="10306">
          <cell r="A10306"/>
          <cell r="J10306"/>
        </row>
        <row r="10307">
          <cell r="A10307"/>
          <cell r="J10307"/>
        </row>
        <row r="10308">
          <cell r="A10308"/>
          <cell r="J10308"/>
        </row>
        <row r="10309">
          <cell r="A10309"/>
          <cell r="J10309"/>
        </row>
        <row r="10310">
          <cell r="A10310"/>
          <cell r="J10310"/>
        </row>
        <row r="10311">
          <cell r="A10311"/>
          <cell r="J10311"/>
        </row>
        <row r="10312">
          <cell r="A10312"/>
          <cell r="J10312"/>
        </row>
        <row r="10313">
          <cell r="A10313"/>
          <cell r="J10313"/>
        </row>
        <row r="10314">
          <cell r="A10314"/>
          <cell r="J10314"/>
        </row>
        <row r="10315">
          <cell r="A10315"/>
          <cell r="J10315"/>
        </row>
        <row r="10316">
          <cell r="A10316"/>
          <cell r="J10316"/>
        </row>
        <row r="10317">
          <cell r="A10317"/>
          <cell r="J10317"/>
        </row>
        <row r="10318">
          <cell r="A10318"/>
          <cell r="J10318"/>
        </row>
        <row r="10319">
          <cell r="A10319"/>
          <cell r="J10319"/>
        </row>
        <row r="10320">
          <cell r="A10320"/>
          <cell r="J10320"/>
        </row>
        <row r="10321">
          <cell r="A10321"/>
          <cell r="J10321"/>
        </row>
        <row r="10322">
          <cell r="A10322"/>
          <cell r="J10322"/>
        </row>
        <row r="10323">
          <cell r="A10323"/>
          <cell r="J10323"/>
        </row>
        <row r="10324">
          <cell r="A10324"/>
          <cell r="J10324"/>
        </row>
        <row r="10325">
          <cell r="A10325"/>
          <cell r="J10325"/>
        </row>
        <row r="10326">
          <cell r="A10326"/>
          <cell r="J10326"/>
        </row>
        <row r="10327">
          <cell r="A10327"/>
          <cell r="J10327"/>
        </row>
        <row r="10328">
          <cell r="A10328"/>
          <cell r="J10328"/>
        </row>
        <row r="10329">
          <cell r="A10329"/>
          <cell r="J10329"/>
        </row>
        <row r="10330">
          <cell r="A10330"/>
          <cell r="J10330"/>
        </row>
        <row r="10331">
          <cell r="A10331"/>
          <cell r="J10331"/>
        </row>
        <row r="10332">
          <cell r="A10332"/>
          <cell r="J10332"/>
        </row>
        <row r="10333">
          <cell r="A10333"/>
          <cell r="J10333"/>
        </row>
        <row r="10334">
          <cell r="A10334"/>
          <cell r="J10334"/>
        </row>
        <row r="10335">
          <cell r="A10335"/>
          <cell r="J10335"/>
        </row>
        <row r="10336">
          <cell r="A10336"/>
          <cell r="J10336"/>
        </row>
        <row r="10337">
          <cell r="A10337"/>
          <cell r="J10337"/>
        </row>
        <row r="10338">
          <cell r="A10338"/>
          <cell r="J10338"/>
        </row>
        <row r="10339">
          <cell r="A10339"/>
          <cell r="J10339"/>
        </row>
        <row r="10340">
          <cell r="A10340"/>
          <cell r="J10340"/>
        </row>
        <row r="10341">
          <cell r="A10341"/>
          <cell r="J10341"/>
        </row>
        <row r="10342">
          <cell r="A10342"/>
          <cell r="J10342"/>
        </row>
        <row r="10343">
          <cell r="A10343"/>
          <cell r="J10343"/>
        </row>
        <row r="10344">
          <cell r="A10344"/>
          <cell r="J10344"/>
        </row>
        <row r="10345">
          <cell r="A10345"/>
          <cell r="J10345"/>
        </row>
        <row r="10346">
          <cell r="A10346"/>
          <cell r="J10346"/>
        </row>
        <row r="10347">
          <cell r="A10347"/>
          <cell r="J10347"/>
        </row>
        <row r="10348">
          <cell r="A10348"/>
          <cell r="J10348"/>
        </row>
        <row r="10349">
          <cell r="A10349"/>
          <cell r="J10349"/>
        </row>
        <row r="10350">
          <cell r="A10350"/>
          <cell r="J10350"/>
        </row>
        <row r="10351">
          <cell r="A10351"/>
          <cell r="J10351"/>
        </row>
        <row r="10352">
          <cell r="A10352"/>
          <cell r="J10352"/>
        </row>
        <row r="10353">
          <cell r="A10353"/>
          <cell r="J10353"/>
        </row>
        <row r="10354">
          <cell r="A10354"/>
          <cell r="J10354"/>
        </row>
        <row r="10355">
          <cell r="A10355"/>
          <cell r="J10355"/>
        </row>
        <row r="10356">
          <cell r="A10356"/>
          <cell r="J10356"/>
        </row>
        <row r="10357">
          <cell r="A10357"/>
          <cell r="J10357"/>
        </row>
        <row r="10358">
          <cell r="A10358"/>
          <cell r="J10358"/>
        </row>
        <row r="10359">
          <cell r="A10359"/>
          <cell r="J10359"/>
        </row>
        <row r="10360">
          <cell r="A10360"/>
          <cell r="J10360"/>
        </row>
        <row r="10361">
          <cell r="A10361"/>
          <cell r="J10361"/>
        </row>
        <row r="10362">
          <cell r="A10362"/>
          <cell r="J10362"/>
        </row>
        <row r="10363">
          <cell r="A10363"/>
          <cell r="J10363"/>
        </row>
        <row r="10364">
          <cell r="A10364"/>
          <cell r="J10364"/>
        </row>
        <row r="10365">
          <cell r="A10365"/>
          <cell r="J10365"/>
        </row>
        <row r="10366">
          <cell r="A10366"/>
          <cell r="J10366"/>
        </row>
        <row r="10367">
          <cell r="A10367"/>
          <cell r="J10367"/>
        </row>
        <row r="10368">
          <cell r="A10368"/>
          <cell r="J10368"/>
        </row>
        <row r="10369">
          <cell r="A10369"/>
          <cell r="J10369"/>
        </row>
        <row r="10370">
          <cell r="A10370"/>
          <cell r="J10370"/>
        </row>
        <row r="10371">
          <cell r="A10371"/>
          <cell r="J10371"/>
        </row>
        <row r="10372">
          <cell r="A10372"/>
          <cell r="J10372"/>
        </row>
        <row r="10373">
          <cell r="A10373"/>
          <cell r="J10373"/>
        </row>
        <row r="10374">
          <cell r="A10374"/>
          <cell r="J10374"/>
        </row>
        <row r="10375">
          <cell r="A10375"/>
          <cell r="J10375"/>
        </row>
        <row r="10376">
          <cell r="A10376"/>
          <cell r="J10376"/>
        </row>
        <row r="10377">
          <cell r="A10377"/>
          <cell r="J10377"/>
        </row>
        <row r="10378">
          <cell r="A10378"/>
          <cell r="J10378"/>
        </row>
        <row r="10379">
          <cell r="A10379"/>
          <cell r="J10379"/>
        </row>
        <row r="10380">
          <cell r="A10380"/>
          <cell r="J10380"/>
        </row>
        <row r="10381">
          <cell r="A10381"/>
          <cell r="J10381"/>
        </row>
        <row r="10382">
          <cell r="A10382"/>
          <cell r="J10382"/>
        </row>
        <row r="10383">
          <cell r="A10383"/>
          <cell r="J10383"/>
        </row>
        <row r="10384">
          <cell r="A10384"/>
          <cell r="J10384"/>
        </row>
        <row r="10385">
          <cell r="A10385"/>
          <cell r="J10385"/>
        </row>
        <row r="10386">
          <cell r="A10386"/>
          <cell r="J10386"/>
        </row>
        <row r="10387">
          <cell r="A10387"/>
          <cell r="J10387"/>
        </row>
        <row r="10388">
          <cell r="A10388"/>
          <cell r="J10388"/>
        </row>
        <row r="10389">
          <cell r="A10389"/>
          <cell r="J10389"/>
        </row>
        <row r="10390">
          <cell r="A10390"/>
          <cell r="J10390"/>
        </row>
        <row r="10391">
          <cell r="A10391"/>
          <cell r="J10391"/>
        </row>
        <row r="10392">
          <cell r="A10392"/>
          <cell r="J10392"/>
        </row>
        <row r="10393">
          <cell r="A10393"/>
          <cell r="J10393"/>
        </row>
        <row r="10394">
          <cell r="A10394"/>
          <cell r="J10394"/>
        </row>
        <row r="10395">
          <cell r="A10395"/>
          <cell r="J10395"/>
        </row>
        <row r="10396">
          <cell r="A10396"/>
          <cell r="J10396"/>
        </row>
        <row r="10397">
          <cell r="A10397"/>
          <cell r="J10397"/>
        </row>
        <row r="10398">
          <cell r="A10398"/>
          <cell r="J10398"/>
        </row>
        <row r="10399">
          <cell r="A10399"/>
          <cell r="J10399"/>
        </row>
        <row r="10400">
          <cell r="A10400"/>
          <cell r="J10400"/>
        </row>
        <row r="10401">
          <cell r="A10401"/>
          <cell r="J10401"/>
        </row>
        <row r="10402">
          <cell r="A10402"/>
          <cell r="J10402"/>
        </row>
        <row r="10403">
          <cell r="A10403"/>
          <cell r="J10403"/>
        </row>
        <row r="10404">
          <cell r="A10404"/>
          <cell r="J10404"/>
        </row>
        <row r="10405">
          <cell r="A10405"/>
          <cell r="J10405"/>
        </row>
        <row r="10406">
          <cell r="A10406"/>
          <cell r="J10406"/>
        </row>
        <row r="10407">
          <cell r="A10407"/>
          <cell r="J10407"/>
        </row>
        <row r="10408">
          <cell r="A10408"/>
          <cell r="J10408"/>
        </row>
        <row r="10409">
          <cell r="A10409"/>
          <cell r="J10409"/>
        </row>
        <row r="10410">
          <cell r="A10410"/>
          <cell r="J10410"/>
        </row>
        <row r="10411">
          <cell r="A10411"/>
          <cell r="J10411"/>
        </row>
        <row r="10412">
          <cell r="A10412"/>
          <cell r="J10412"/>
        </row>
        <row r="10413">
          <cell r="A10413"/>
          <cell r="J10413"/>
        </row>
        <row r="10414">
          <cell r="A10414"/>
          <cell r="J10414"/>
        </row>
        <row r="10415">
          <cell r="A10415"/>
          <cell r="J10415"/>
        </row>
        <row r="10416">
          <cell r="A10416"/>
          <cell r="J10416"/>
        </row>
        <row r="10417">
          <cell r="A10417"/>
          <cell r="J10417"/>
        </row>
        <row r="10418">
          <cell r="A10418"/>
          <cell r="J10418"/>
        </row>
        <row r="10419">
          <cell r="A10419"/>
          <cell r="J10419"/>
        </row>
        <row r="10420">
          <cell r="A10420"/>
          <cell r="J10420"/>
        </row>
        <row r="10421">
          <cell r="A10421"/>
          <cell r="J10421"/>
        </row>
        <row r="10422">
          <cell r="A10422"/>
          <cell r="J10422"/>
        </row>
        <row r="10423">
          <cell r="A10423"/>
          <cell r="J10423"/>
        </row>
        <row r="10424">
          <cell r="A10424"/>
          <cell r="J10424"/>
        </row>
        <row r="10425">
          <cell r="A10425"/>
          <cell r="J10425"/>
        </row>
        <row r="10426">
          <cell r="A10426"/>
          <cell r="J10426"/>
        </row>
        <row r="10427">
          <cell r="A10427"/>
          <cell r="J10427"/>
        </row>
        <row r="10428">
          <cell r="A10428"/>
          <cell r="J10428"/>
        </row>
        <row r="10429">
          <cell r="A10429"/>
          <cell r="J10429"/>
        </row>
        <row r="10430">
          <cell r="A10430"/>
          <cell r="J10430"/>
        </row>
        <row r="10431">
          <cell r="A10431"/>
          <cell r="J10431"/>
        </row>
        <row r="10432">
          <cell r="A10432"/>
          <cell r="J10432"/>
        </row>
        <row r="10433">
          <cell r="A10433"/>
          <cell r="J10433"/>
        </row>
        <row r="10434">
          <cell r="A10434"/>
          <cell r="J10434"/>
        </row>
        <row r="10435">
          <cell r="A10435"/>
          <cell r="J10435"/>
        </row>
        <row r="10436">
          <cell r="A10436"/>
          <cell r="J10436"/>
        </row>
        <row r="10437">
          <cell r="A10437"/>
          <cell r="J10437"/>
        </row>
        <row r="10438">
          <cell r="A10438"/>
          <cell r="J10438"/>
        </row>
        <row r="10439">
          <cell r="A10439"/>
          <cell r="J10439"/>
        </row>
        <row r="10440">
          <cell r="A10440"/>
          <cell r="J10440"/>
        </row>
        <row r="10441">
          <cell r="A10441"/>
          <cell r="J10441"/>
        </row>
        <row r="10442">
          <cell r="A10442"/>
          <cell r="J10442"/>
        </row>
        <row r="10443">
          <cell r="A10443"/>
          <cell r="J10443"/>
        </row>
        <row r="10444">
          <cell r="A10444"/>
          <cell r="J10444"/>
        </row>
        <row r="10445">
          <cell r="A10445"/>
          <cell r="J10445"/>
        </row>
        <row r="10446">
          <cell r="A10446"/>
          <cell r="J10446"/>
        </row>
        <row r="10447">
          <cell r="A10447"/>
          <cell r="J10447"/>
        </row>
        <row r="10448">
          <cell r="A10448"/>
          <cell r="J10448"/>
        </row>
        <row r="10449">
          <cell r="A10449"/>
          <cell r="J10449"/>
        </row>
        <row r="10450">
          <cell r="A10450"/>
          <cell r="J10450"/>
        </row>
        <row r="10451">
          <cell r="A10451"/>
          <cell r="J10451"/>
        </row>
        <row r="10452">
          <cell r="A10452"/>
          <cell r="J10452"/>
        </row>
        <row r="10453">
          <cell r="A10453"/>
          <cell r="J10453"/>
        </row>
        <row r="10454">
          <cell r="A10454"/>
          <cell r="J10454"/>
        </row>
        <row r="10455">
          <cell r="A10455"/>
          <cell r="J10455"/>
        </row>
        <row r="10456">
          <cell r="A10456"/>
          <cell r="J10456"/>
        </row>
        <row r="10457">
          <cell r="A10457"/>
          <cell r="J10457"/>
        </row>
        <row r="10458">
          <cell r="A10458"/>
          <cell r="J10458"/>
        </row>
        <row r="10459">
          <cell r="A10459"/>
          <cell r="J10459"/>
        </row>
        <row r="10460">
          <cell r="A10460"/>
          <cell r="J10460"/>
        </row>
        <row r="10461">
          <cell r="A10461"/>
          <cell r="J10461"/>
        </row>
        <row r="10462">
          <cell r="A10462"/>
          <cell r="J10462"/>
        </row>
        <row r="10463">
          <cell r="A10463"/>
          <cell r="J10463"/>
        </row>
        <row r="10464">
          <cell r="A10464"/>
          <cell r="J10464"/>
        </row>
        <row r="10465">
          <cell r="A10465"/>
          <cell r="J10465"/>
        </row>
        <row r="10466">
          <cell r="A10466"/>
          <cell r="J10466"/>
        </row>
        <row r="10467">
          <cell r="A10467"/>
          <cell r="J10467"/>
        </row>
        <row r="10468">
          <cell r="A10468"/>
          <cell r="J10468"/>
        </row>
        <row r="10469">
          <cell r="A10469"/>
          <cell r="J10469"/>
        </row>
        <row r="10470">
          <cell r="A10470"/>
          <cell r="J10470"/>
        </row>
        <row r="10471">
          <cell r="A10471"/>
          <cell r="J10471"/>
        </row>
        <row r="10472">
          <cell r="A10472"/>
          <cell r="J10472"/>
        </row>
        <row r="10473">
          <cell r="A10473"/>
          <cell r="J10473"/>
        </row>
        <row r="10474">
          <cell r="A10474"/>
          <cell r="J10474"/>
        </row>
        <row r="10475">
          <cell r="A10475"/>
          <cell r="J10475"/>
        </row>
        <row r="10476">
          <cell r="A10476"/>
          <cell r="J10476"/>
        </row>
        <row r="10477">
          <cell r="A10477"/>
          <cell r="J10477"/>
        </row>
        <row r="10478">
          <cell r="A10478"/>
          <cell r="J10478"/>
        </row>
        <row r="10479">
          <cell r="A10479"/>
          <cell r="J10479"/>
        </row>
        <row r="10480">
          <cell r="A10480"/>
          <cell r="J10480"/>
        </row>
        <row r="10481">
          <cell r="A10481"/>
          <cell r="J10481"/>
        </row>
        <row r="10482">
          <cell r="A10482"/>
          <cell r="J10482"/>
        </row>
        <row r="10483">
          <cell r="A10483"/>
          <cell r="J10483"/>
        </row>
        <row r="10484">
          <cell r="A10484"/>
          <cell r="J10484"/>
        </row>
        <row r="10485">
          <cell r="A10485"/>
          <cell r="J10485"/>
        </row>
        <row r="10486">
          <cell r="A10486"/>
          <cell r="J10486"/>
        </row>
        <row r="10487">
          <cell r="A10487"/>
          <cell r="J10487"/>
        </row>
        <row r="10488">
          <cell r="A10488"/>
          <cell r="J10488"/>
        </row>
        <row r="10489">
          <cell r="A10489"/>
          <cell r="J10489"/>
        </row>
        <row r="10490">
          <cell r="A10490"/>
          <cell r="J10490"/>
        </row>
        <row r="10491">
          <cell r="A10491"/>
          <cell r="J10491"/>
        </row>
        <row r="10492">
          <cell r="A10492"/>
          <cell r="J10492"/>
        </row>
        <row r="10493">
          <cell r="A10493"/>
          <cell r="J10493"/>
        </row>
        <row r="10494">
          <cell r="A10494"/>
          <cell r="J10494"/>
        </row>
        <row r="10495">
          <cell r="A10495"/>
          <cell r="J10495"/>
        </row>
        <row r="10496">
          <cell r="A10496"/>
          <cell r="J10496"/>
        </row>
        <row r="10497">
          <cell r="A10497"/>
          <cell r="J10497"/>
        </row>
        <row r="10498">
          <cell r="A10498"/>
          <cell r="J10498"/>
        </row>
        <row r="10499">
          <cell r="A10499"/>
          <cell r="J10499"/>
        </row>
        <row r="10500">
          <cell r="A10500"/>
          <cell r="J10500"/>
        </row>
        <row r="10501">
          <cell r="A10501"/>
          <cell r="J10501"/>
        </row>
        <row r="10502">
          <cell r="A10502"/>
          <cell r="J10502"/>
        </row>
        <row r="10503">
          <cell r="A10503"/>
          <cell r="J10503"/>
        </row>
        <row r="10504">
          <cell r="A10504"/>
          <cell r="J10504"/>
        </row>
        <row r="10505">
          <cell r="A10505"/>
          <cell r="J10505"/>
        </row>
        <row r="10506">
          <cell r="A10506"/>
          <cell r="J10506"/>
        </row>
        <row r="10507">
          <cell r="A10507"/>
          <cell r="J10507"/>
        </row>
        <row r="10508">
          <cell r="A10508"/>
          <cell r="J10508"/>
        </row>
        <row r="10509">
          <cell r="A10509"/>
          <cell r="J10509"/>
        </row>
        <row r="10510">
          <cell r="A10510"/>
          <cell r="J10510"/>
        </row>
        <row r="10511">
          <cell r="A10511"/>
          <cell r="J10511"/>
        </row>
        <row r="10512">
          <cell r="A10512"/>
          <cell r="J10512"/>
        </row>
        <row r="10513">
          <cell r="A10513"/>
          <cell r="J10513"/>
        </row>
        <row r="10514">
          <cell r="A10514"/>
          <cell r="J10514"/>
        </row>
        <row r="10515">
          <cell r="A10515"/>
          <cell r="J10515"/>
        </row>
        <row r="10516">
          <cell r="A10516"/>
          <cell r="J10516"/>
        </row>
        <row r="10517">
          <cell r="A10517"/>
          <cell r="J10517"/>
        </row>
        <row r="10518">
          <cell r="A10518"/>
          <cell r="J10518"/>
        </row>
        <row r="10519">
          <cell r="A10519"/>
          <cell r="J10519"/>
        </row>
        <row r="10520">
          <cell r="A10520"/>
          <cell r="J10520"/>
        </row>
        <row r="10521">
          <cell r="A10521"/>
          <cell r="J10521"/>
        </row>
        <row r="10522">
          <cell r="A10522"/>
          <cell r="J10522"/>
        </row>
      </sheetData>
      <sheetData sheetId="11"/>
      <sheetData sheetId="12">
        <row r="1">
          <cell r="A1" t="str">
            <v>DONANTES</v>
          </cell>
          <cell r="B1" t="str">
            <v>Buscar OB</v>
          </cell>
          <cell r="C1" t="str">
            <v>OB_Ene</v>
          </cell>
          <cell r="D1" t="str">
            <v>OB_Feb</v>
          </cell>
          <cell r="E1" t="str">
            <v>OB_Mar</v>
          </cell>
          <cell r="F1" t="str">
            <v>OB_Abr</v>
          </cell>
          <cell r="G1" t="str">
            <v>OB_May</v>
          </cell>
          <cell r="H1" t="str">
            <v>OB_Jun</v>
          </cell>
          <cell r="I1" t="str">
            <v>OB_Jul</v>
          </cell>
          <cell r="J1" t="str">
            <v>OB_Ago</v>
          </cell>
          <cell r="K1" t="str">
            <v>OB_Sep</v>
          </cell>
          <cell r="L1" t="str">
            <v>OB_Oct</v>
          </cell>
          <cell r="M1" t="str">
            <v>OB_Nov</v>
          </cell>
          <cell r="N1" t="str">
            <v>OB_Dic</v>
          </cell>
          <cell r="O1" t="str">
            <v>OB_Total</v>
          </cell>
          <cell r="P1" t="str">
            <v>Buscar Kilos</v>
          </cell>
          <cell r="Q1" t="str">
            <v>Kilos_Ene</v>
          </cell>
          <cell r="R1" t="str">
            <v>Kilos_Feb</v>
          </cell>
          <cell r="S1" t="str">
            <v>Kilos_Mar</v>
          </cell>
          <cell r="T1" t="str">
            <v>Kilos_Abr</v>
          </cell>
          <cell r="U1" t="str">
            <v>Kilos_May</v>
          </cell>
          <cell r="V1" t="str">
            <v>Kilos_Jun</v>
          </cell>
          <cell r="W1" t="str">
            <v>Kilos_Jul</v>
          </cell>
          <cell r="X1" t="str">
            <v>Kilos_Ago</v>
          </cell>
          <cell r="Y1" t="str">
            <v>Kilos_Sep</v>
          </cell>
          <cell r="Z1" t="str">
            <v>Kilos_Oct</v>
          </cell>
          <cell r="AA1" t="str">
            <v>Kilos_Nov</v>
          </cell>
          <cell r="AB1" t="str">
            <v>Kilos_Dic</v>
          </cell>
          <cell r="AC1" t="str">
            <v>Kilos_Total</v>
          </cell>
          <cell r="AD1" t="str">
            <v>Buscar Problacion</v>
          </cell>
          <cell r="AE1" t="str">
            <v>Poblacion_Ene</v>
          </cell>
          <cell r="AF1" t="str">
            <v>Poblacion_Feb</v>
          </cell>
          <cell r="AG1" t="str">
            <v>Poblacion_Mar</v>
          </cell>
          <cell r="AH1" t="str">
            <v>Poblacion_Abr</v>
          </cell>
          <cell r="AI1" t="str">
            <v>Poblacion_May</v>
          </cell>
          <cell r="AJ1" t="str">
            <v>Poblacion_Jun</v>
          </cell>
          <cell r="AK1" t="str">
            <v>Poblacion_Jul</v>
          </cell>
          <cell r="AL1" t="str">
            <v>Poblacion_Ago</v>
          </cell>
          <cell r="AM1" t="str">
            <v>Poblacion_Sep</v>
          </cell>
          <cell r="AN1" t="str">
            <v>Poblacion_Oct</v>
          </cell>
          <cell r="AO1" t="str">
            <v>Poblacion_Nov</v>
          </cell>
          <cell r="AP1" t="str">
            <v>Poblacion_Dic</v>
          </cell>
          <cell r="AQ1" t="str">
            <v>Poblacion_Total</v>
          </cell>
        </row>
        <row r="2">
          <cell r="A2" t="str">
            <v>AGENCIAS FEDURO</v>
          </cell>
          <cell r="B2">
            <v>88</v>
          </cell>
          <cell r="C2">
            <v>60</v>
          </cell>
          <cell r="D2">
            <v>53</v>
          </cell>
          <cell r="E2">
            <v>88</v>
          </cell>
          <cell r="F2"/>
          <cell r="G2"/>
          <cell r="H2"/>
          <cell r="I2"/>
          <cell r="J2"/>
          <cell r="K2"/>
          <cell r="L2"/>
          <cell r="M2"/>
          <cell r="N2"/>
          <cell r="O2"/>
          <cell r="P2">
            <v>2508</v>
          </cell>
          <cell r="Q2">
            <v>6112</v>
          </cell>
          <cell r="R2">
            <v>752</v>
          </cell>
          <cell r="S2">
            <v>2508</v>
          </cell>
          <cell r="T2"/>
          <cell r="U2"/>
          <cell r="V2"/>
          <cell r="W2"/>
          <cell r="X2"/>
          <cell r="Y2"/>
          <cell r="Z2"/>
          <cell r="AA2"/>
          <cell r="AB2"/>
          <cell r="AC2"/>
          <cell r="AD2">
            <v>26002</v>
          </cell>
          <cell r="AE2">
            <v>19341</v>
          </cell>
          <cell r="AF2">
            <v>16959</v>
          </cell>
          <cell r="AG2">
            <v>26002</v>
          </cell>
          <cell r="AH2"/>
          <cell r="AI2"/>
          <cell r="AJ2"/>
          <cell r="AK2"/>
          <cell r="AL2"/>
          <cell r="AM2"/>
          <cell r="AN2"/>
          <cell r="AO2"/>
          <cell r="AP2"/>
          <cell r="AQ2">
            <v>62302</v>
          </cell>
        </row>
        <row r="3">
          <cell r="A3" t="str">
            <v>Agrícola La Lomita, S.A.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/>
          <cell r="G3"/>
          <cell r="H3"/>
          <cell r="I3"/>
          <cell r="J3"/>
          <cell r="K3"/>
          <cell r="L3"/>
          <cell r="M3"/>
          <cell r="N3"/>
          <cell r="O3"/>
          <cell r="P3">
            <v>0</v>
          </cell>
          <cell r="Q3">
            <v>0</v>
          </cell>
          <cell r="R3">
            <v>0</v>
          </cell>
          <cell r="S3">
            <v>0</v>
          </cell>
          <cell r="T3"/>
          <cell r="U3"/>
          <cell r="V3"/>
          <cell r="W3"/>
          <cell r="X3"/>
          <cell r="Y3"/>
          <cell r="Z3"/>
          <cell r="AA3"/>
          <cell r="AB3"/>
          <cell r="AC3"/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/>
          <cell r="AI3"/>
          <cell r="AJ3"/>
          <cell r="AK3"/>
          <cell r="AL3"/>
          <cell r="AM3"/>
          <cell r="AN3"/>
          <cell r="AO3"/>
          <cell r="AP3"/>
          <cell r="AQ3">
            <v>0</v>
          </cell>
        </row>
        <row r="4">
          <cell r="A4" t="str">
            <v>ALIMENTOS CÁRNICOS DE PANAMA ,S.A</v>
          </cell>
          <cell r="B4">
            <v>13</v>
          </cell>
          <cell r="C4">
            <v>34</v>
          </cell>
          <cell r="D4">
            <v>0</v>
          </cell>
          <cell r="E4">
            <v>13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>
            <v>108</v>
          </cell>
          <cell r="Q4">
            <v>1045</v>
          </cell>
          <cell r="R4">
            <v>0</v>
          </cell>
          <cell r="S4">
            <v>108</v>
          </cell>
          <cell r="T4"/>
          <cell r="U4"/>
          <cell r="V4"/>
          <cell r="W4"/>
          <cell r="X4"/>
          <cell r="Y4"/>
          <cell r="Z4"/>
          <cell r="AA4"/>
          <cell r="AB4"/>
          <cell r="AC4"/>
          <cell r="AD4">
            <v>3455</v>
          </cell>
          <cell r="AE4">
            <v>11762</v>
          </cell>
          <cell r="AF4">
            <v>0</v>
          </cell>
          <cell r="AG4">
            <v>3455</v>
          </cell>
          <cell r="AH4"/>
          <cell r="AI4"/>
          <cell r="AJ4"/>
          <cell r="AK4"/>
          <cell r="AL4"/>
          <cell r="AM4"/>
          <cell r="AN4"/>
          <cell r="AO4"/>
          <cell r="AP4"/>
          <cell r="AQ4">
            <v>15217</v>
          </cell>
        </row>
        <row r="5">
          <cell r="A5" t="str">
            <v>Bienes y Raices Metalicas S.A.</v>
          </cell>
          <cell r="B5">
            <v>2</v>
          </cell>
          <cell r="C5">
            <v>0</v>
          </cell>
          <cell r="D5">
            <v>3</v>
          </cell>
          <cell r="E5">
            <v>2</v>
          </cell>
          <cell r="F5"/>
          <cell r="G5"/>
          <cell r="H5"/>
          <cell r="I5"/>
          <cell r="J5"/>
          <cell r="K5"/>
          <cell r="L5"/>
          <cell r="M5"/>
          <cell r="N5"/>
          <cell r="O5"/>
          <cell r="P5">
            <v>45</v>
          </cell>
          <cell r="Q5">
            <v>45</v>
          </cell>
          <cell r="R5">
            <v>45</v>
          </cell>
          <cell r="S5">
            <v>45</v>
          </cell>
          <cell r="T5"/>
          <cell r="U5"/>
          <cell r="V5"/>
          <cell r="W5"/>
          <cell r="X5"/>
          <cell r="Y5"/>
          <cell r="Z5"/>
          <cell r="AA5"/>
          <cell r="AB5"/>
          <cell r="AC5"/>
          <cell r="AD5">
            <v>340</v>
          </cell>
          <cell r="AE5">
            <v>0</v>
          </cell>
          <cell r="AF5">
            <v>333</v>
          </cell>
          <cell r="AG5">
            <v>340</v>
          </cell>
          <cell r="AH5"/>
          <cell r="AI5"/>
          <cell r="AJ5"/>
          <cell r="AK5"/>
          <cell r="AL5"/>
          <cell r="AM5"/>
          <cell r="AN5"/>
          <cell r="AO5"/>
          <cell r="AP5"/>
          <cell r="AQ5">
            <v>673</v>
          </cell>
        </row>
        <row r="6">
          <cell r="A6" t="str">
            <v>CAMPAÑA NUTRIENDO VIDAS</v>
          </cell>
          <cell r="B6">
            <v>36</v>
          </cell>
          <cell r="C6">
            <v>33</v>
          </cell>
          <cell r="D6">
            <v>34</v>
          </cell>
          <cell r="E6">
            <v>36</v>
          </cell>
          <cell r="F6"/>
          <cell r="G6"/>
          <cell r="H6"/>
          <cell r="I6"/>
          <cell r="J6"/>
          <cell r="K6"/>
          <cell r="L6"/>
          <cell r="M6"/>
          <cell r="N6"/>
          <cell r="O6"/>
          <cell r="P6">
            <v>0</v>
          </cell>
          <cell r="Q6">
            <v>0</v>
          </cell>
          <cell r="R6">
            <v>0</v>
          </cell>
          <cell r="S6">
            <v>0</v>
          </cell>
          <cell r="T6"/>
          <cell r="U6"/>
          <cell r="V6"/>
          <cell r="W6"/>
          <cell r="X6"/>
          <cell r="Y6"/>
          <cell r="Z6"/>
          <cell r="AA6"/>
          <cell r="AB6"/>
          <cell r="AC6"/>
          <cell r="AD6">
            <v>1830</v>
          </cell>
          <cell r="AE6">
            <v>1635</v>
          </cell>
          <cell r="AF6">
            <v>1635</v>
          </cell>
          <cell r="AG6">
            <v>1830</v>
          </cell>
          <cell r="AH6"/>
          <cell r="AI6"/>
          <cell r="AJ6"/>
          <cell r="AK6"/>
          <cell r="AL6"/>
          <cell r="AM6"/>
          <cell r="AN6"/>
          <cell r="AO6"/>
          <cell r="AP6"/>
          <cell r="AQ6">
            <v>5100</v>
          </cell>
        </row>
        <row r="7">
          <cell r="A7" t="str">
            <v>CERRO PUNTA, S.A</v>
          </cell>
          <cell r="B7">
            <v>25</v>
          </cell>
          <cell r="C7">
            <v>0</v>
          </cell>
          <cell r="D7">
            <v>22</v>
          </cell>
          <cell r="E7">
            <v>25</v>
          </cell>
          <cell r="F7"/>
          <cell r="G7"/>
          <cell r="H7"/>
          <cell r="I7"/>
          <cell r="J7"/>
          <cell r="K7"/>
          <cell r="L7"/>
          <cell r="M7"/>
          <cell r="N7"/>
          <cell r="O7"/>
          <cell r="P7">
            <v>738</v>
          </cell>
          <cell r="Q7">
            <v>0</v>
          </cell>
          <cell r="R7">
            <v>710</v>
          </cell>
          <cell r="S7">
            <v>738</v>
          </cell>
          <cell r="T7"/>
          <cell r="U7"/>
          <cell r="V7"/>
          <cell r="W7"/>
          <cell r="X7"/>
          <cell r="Y7"/>
          <cell r="Z7"/>
          <cell r="AA7"/>
          <cell r="AB7"/>
          <cell r="AC7"/>
          <cell r="AD7">
            <v>6715</v>
          </cell>
          <cell r="AE7">
            <v>0</v>
          </cell>
          <cell r="AF7">
            <v>5335</v>
          </cell>
          <cell r="AG7">
            <v>6715</v>
          </cell>
          <cell r="AH7"/>
          <cell r="AI7"/>
          <cell r="AJ7"/>
          <cell r="AK7"/>
          <cell r="AL7"/>
          <cell r="AM7"/>
          <cell r="AN7"/>
          <cell r="AO7"/>
          <cell r="AP7"/>
          <cell r="AQ7">
            <v>12050</v>
          </cell>
        </row>
        <row r="8">
          <cell r="A8" t="str">
            <v>CERVECERIA NACIONAL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/>
          <cell r="G8"/>
          <cell r="H8"/>
          <cell r="I8"/>
          <cell r="J8"/>
          <cell r="K8"/>
          <cell r="L8"/>
          <cell r="M8"/>
          <cell r="N8"/>
          <cell r="O8"/>
          <cell r="P8">
            <v>0</v>
          </cell>
          <cell r="Q8">
            <v>0</v>
          </cell>
          <cell r="R8">
            <v>0</v>
          </cell>
          <cell r="S8">
            <v>0</v>
          </cell>
          <cell r="T8"/>
          <cell r="U8"/>
          <cell r="V8"/>
          <cell r="W8"/>
          <cell r="X8"/>
          <cell r="Y8"/>
          <cell r="Z8"/>
          <cell r="AA8"/>
          <cell r="AB8"/>
          <cell r="AC8"/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</row>
        <row r="9">
          <cell r="A9" t="str">
            <v>Colgate Palmolive (CENTRAL AMERICA) INC</v>
          </cell>
          <cell r="B9">
            <v>66</v>
          </cell>
          <cell r="C9">
            <v>92</v>
          </cell>
          <cell r="D9">
            <v>88</v>
          </cell>
          <cell r="E9">
            <v>66</v>
          </cell>
          <cell r="F9"/>
          <cell r="G9"/>
          <cell r="H9"/>
          <cell r="I9"/>
          <cell r="J9"/>
          <cell r="K9"/>
          <cell r="L9"/>
          <cell r="M9"/>
          <cell r="N9"/>
          <cell r="O9"/>
          <cell r="P9">
            <v>2464</v>
          </cell>
          <cell r="Q9">
            <v>4741</v>
          </cell>
          <cell r="R9">
            <v>1030</v>
          </cell>
          <cell r="S9">
            <v>2464</v>
          </cell>
          <cell r="T9"/>
          <cell r="U9"/>
          <cell r="V9"/>
          <cell r="W9"/>
          <cell r="X9"/>
          <cell r="Y9"/>
          <cell r="Z9"/>
          <cell r="AA9"/>
          <cell r="AB9"/>
          <cell r="AC9"/>
          <cell r="AD9">
            <v>16281</v>
          </cell>
          <cell r="AE9">
            <v>24800</v>
          </cell>
          <cell r="AF9">
            <v>24370</v>
          </cell>
          <cell r="AG9">
            <v>16281</v>
          </cell>
          <cell r="AH9"/>
          <cell r="AI9"/>
          <cell r="AJ9"/>
          <cell r="AK9"/>
          <cell r="AL9"/>
          <cell r="AM9"/>
          <cell r="AN9"/>
          <cell r="AO9"/>
          <cell r="AP9"/>
          <cell r="AQ9">
            <v>65451</v>
          </cell>
        </row>
        <row r="10">
          <cell r="A10" t="str">
            <v>COMPAÑIA LEVAPAN DE PANAMA, S.A.</v>
          </cell>
          <cell r="B10">
            <v>0</v>
          </cell>
          <cell r="C10">
            <v>8</v>
          </cell>
          <cell r="D10">
            <v>15</v>
          </cell>
          <cell r="E10">
            <v>0</v>
          </cell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>
            <v>0</v>
          </cell>
          <cell r="Q10">
            <v>785</v>
          </cell>
          <cell r="R10">
            <v>1175</v>
          </cell>
          <cell r="S10">
            <v>0</v>
          </cell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>
            <v>0</v>
          </cell>
          <cell r="AE10">
            <v>1218</v>
          </cell>
          <cell r="AF10">
            <v>3066</v>
          </cell>
          <cell r="AG10">
            <v>0</v>
          </cell>
          <cell r="AH10"/>
          <cell r="AI10"/>
          <cell r="AJ10"/>
          <cell r="AK10"/>
          <cell r="AL10"/>
          <cell r="AM10"/>
          <cell r="AN10"/>
          <cell r="AO10"/>
          <cell r="AP10"/>
          <cell r="AQ10">
            <v>4284</v>
          </cell>
        </row>
        <row r="11">
          <cell r="A11" t="str">
            <v>CONGREGACION DE HERMANDAD KOL SHEARITH ISRAEL</v>
          </cell>
          <cell r="B11">
            <v>23</v>
          </cell>
          <cell r="C11">
            <v>33</v>
          </cell>
          <cell r="D11">
            <v>33</v>
          </cell>
          <cell r="E11">
            <v>23</v>
          </cell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>
            <v>663</v>
          </cell>
          <cell r="Q11">
            <v>678</v>
          </cell>
          <cell r="R11">
            <v>663</v>
          </cell>
          <cell r="S11">
            <v>663</v>
          </cell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>
            <v>6241</v>
          </cell>
          <cell r="AE11">
            <v>14845</v>
          </cell>
          <cell r="AF11">
            <v>8298</v>
          </cell>
          <cell r="AG11">
            <v>6241</v>
          </cell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29384</v>
          </cell>
        </row>
        <row r="12">
          <cell r="A12" t="str">
            <v>CORPORACION INTERNACIONAL DE ALIMENTOS, S.A.</v>
          </cell>
          <cell r="B12">
            <v>148</v>
          </cell>
          <cell r="C12">
            <v>100</v>
          </cell>
          <cell r="D12">
            <v>117</v>
          </cell>
          <cell r="E12">
            <v>148</v>
          </cell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>
            <v>60995</v>
          </cell>
          <cell r="Q12">
            <v>26159</v>
          </cell>
          <cell r="R12">
            <v>21470</v>
          </cell>
          <cell r="S12">
            <v>60995</v>
          </cell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>
            <v>44724</v>
          </cell>
          <cell r="AE12">
            <v>33000</v>
          </cell>
          <cell r="AF12">
            <v>35637</v>
          </cell>
          <cell r="AG12">
            <v>44724</v>
          </cell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113361</v>
          </cell>
        </row>
        <row r="13">
          <cell r="A13" t="str">
            <v>DICSA PANAMA</v>
          </cell>
          <cell r="B13">
            <v>27</v>
          </cell>
          <cell r="C13">
            <v>25</v>
          </cell>
          <cell r="D13">
            <v>50</v>
          </cell>
          <cell r="E13">
            <v>27</v>
          </cell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>
            <v>442</v>
          </cell>
          <cell r="Q13">
            <v>800</v>
          </cell>
          <cell r="R13">
            <v>2216</v>
          </cell>
          <cell r="S13">
            <v>442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>
            <v>7073</v>
          </cell>
          <cell r="AE13">
            <v>4183</v>
          </cell>
          <cell r="AF13">
            <v>17751</v>
          </cell>
          <cell r="AG13">
            <v>7073</v>
          </cell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29007</v>
          </cell>
        </row>
        <row r="14">
          <cell r="A14" t="str">
            <v>Empresa Panameña de Alimentos, S. A.</v>
          </cell>
          <cell r="B14">
            <v>111</v>
          </cell>
          <cell r="C14">
            <v>42</v>
          </cell>
          <cell r="D14">
            <v>87</v>
          </cell>
          <cell r="E14">
            <v>111</v>
          </cell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>
            <v>6413</v>
          </cell>
          <cell r="Q14">
            <v>6842</v>
          </cell>
          <cell r="R14">
            <v>5690</v>
          </cell>
          <cell r="S14">
            <v>6413</v>
          </cell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>
            <v>31867</v>
          </cell>
          <cell r="AE14">
            <v>14846</v>
          </cell>
          <cell r="AF14">
            <v>24125</v>
          </cell>
          <cell r="AG14">
            <v>31867</v>
          </cell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70838</v>
          </cell>
        </row>
        <row r="15">
          <cell r="A15" t="str">
            <v>FELIPE MOTTA, S.A</v>
          </cell>
          <cell r="B15">
            <v>33</v>
          </cell>
          <cell r="C15">
            <v>41</v>
          </cell>
          <cell r="D15">
            <v>33</v>
          </cell>
          <cell r="E15">
            <v>33</v>
          </cell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>
            <v>388</v>
          </cell>
          <cell r="Q15">
            <v>650</v>
          </cell>
          <cell r="R15">
            <v>1596</v>
          </cell>
          <cell r="S15">
            <v>388</v>
          </cell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>
            <v>13490</v>
          </cell>
          <cell r="AE15">
            <v>10195</v>
          </cell>
          <cell r="AF15">
            <v>11526</v>
          </cell>
          <cell r="AG15">
            <v>13490</v>
          </cell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35211</v>
          </cell>
        </row>
        <row r="16">
          <cell r="A16" t="str">
            <v>FRANQUICIAS PANAMEÑAS</v>
          </cell>
          <cell r="B16">
            <v>64</v>
          </cell>
          <cell r="C16">
            <v>77</v>
          </cell>
          <cell r="D16">
            <v>62</v>
          </cell>
          <cell r="E16">
            <v>64</v>
          </cell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>
            <v>446</v>
          </cell>
          <cell r="Q16">
            <v>492</v>
          </cell>
          <cell r="R16">
            <v>340</v>
          </cell>
          <cell r="S16">
            <v>446</v>
          </cell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>
            <v>21155</v>
          </cell>
          <cell r="AE16">
            <v>22206</v>
          </cell>
          <cell r="AF16">
            <v>14083</v>
          </cell>
          <cell r="AG16">
            <v>21155</v>
          </cell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57444</v>
          </cell>
        </row>
        <row r="17">
          <cell r="A17" t="str">
            <v>GC DEV, S.A.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/>
          <cell r="AI17"/>
          <cell r="AJ17"/>
          <cell r="AK17"/>
          <cell r="AL17"/>
          <cell r="AM17"/>
          <cell r="AN17"/>
          <cell r="AO17"/>
          <cell r="AP17"/>
          <cell r="AQ17">
            <v>0</v>
          </cell>
        </row>
        <row r="18">
          <cell r="A18" t="str">
            <v>GENTILE - G &amp; H. S.A.</v>
          </cell>
          <cell r="B18">
            <v>3</v>
          </cell>
          <cell r="C18">
            <v>6</v>
          </cell>
          <cell r="D18">
            <v>4</v>
          </cell>
          <cell r="E18">
            <v>3</v>
          </cell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>
            <v>15</v>
          </cell>
          <cell r="Q18">
            <v>11</v>
          </cell>
          <cell r="R18">
            <v>9</v>
          </cell>
          <cell r="S18">
            <v>15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>
            <v>1205</v>
          </cell>
          <cell r="AE18">
            <v>756</v>
          </cell>
          <cell r="AF18">
            <v>782</v>
          </cell>
          <cell r="AG18">
            <v>1205</v>
          </cell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2743</v>
          </cell>
        </row>
        <row r="19">
          <cell r="A19" t="str">
            <v>Grupo Calesa</v>
          </cell>
          <cell r="B19">
            <v>28</v>
          </cell>
          <cell r="C19">
            <v>2</v>
          </cell>
          <cell r="D19">
            <v>20</v>
          </cell>
          <cell r="E19">
            <v>28</v>
          </cell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>
            <v>125</v>
          </cell>
          <cell r="Q19">
            <v>124</v>
          </cell>
          <cell r="R19">
            <v>0</v>
          </cell>
          <cell r="S19">
            <v>125</v>
          </cell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>
            <v>7178</v>
          </cell>
          <cell r="AE19">
            <v>1892</v>
          </cell>
          <cell r="AF19">
            <v>7708</v>
          </cell>
          <cell r="AG19">
            <v>7178</v>
          </cell>
          <cell r="AH19"/>
          <cell r="AI19"/>
          <cell r="AJ19"/>
          <cell r="AK19"/>
          <cell r="AL19"/>
          <cell r="AM19"/>
          <cell r="AN19"/>
          <cell r="AO19"/>
          <cell r="AP19"/>
          <cell r="AQ19">
            <v>16778</v>
          </cell>
        </row>
        <row r="20">
          <cell r="A20" t="str">
            <v>Grupo Denis, S.A.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</row>
        <row r="21">
          <cell r="A21" t="str">
            <v>GRUPO REY</v>
          </cell>
          <cell r="B21">
            <v>119</v>
          </cell>
          <cell r="C21">
            <v>110</v>
          </cell>
          <cell r="D21">
            <v>102</v>
          </cell>
          <cell r="E21">
            <v>119</v>
          </cell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>
            <v>6400</v>
          </cell>
          <cell r="Q21">
            <v>8400</v>
          </cell>
          <cell r="R21">
            <v>4255</v>
          </cell>
          <cell r="S21">
            <v>6400</v>
          </cell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>
            <v>34777.71428571429</v>
          </cell>
          <cell r="AE21">
            <v>35737</v>
          </cell>
          <cell r="AF21">
            <v>30269</v>
          </cell>
          <cell r="AG21">
            <v>34778</v>
          </cell>
          <cell r="AH21"/>
          <cell r="AI21"/>
          <cell r="AJ21"/>
          <cell r="AK21"/>
          <cell r="AL21"/>
          <cell r="AM21"/>
          <cell r="AN21"/>
          <cell r="AO21"/>
          <cell r="AP21"/>
          <cell r="AQ21">
            <v>100784</v>
          </cell>
        </row>
        <row r="22">
          <cell r="A22" t="str">
            <v>HT ZANETATO INC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>
            <v>0</v>
          </cell>
        </row>
        <row r="23">
          <cell r="A23" t="str">
            <v>IMPORTADORA FRUTA INTERNACIONAL PANAMÁ, S.A.</v>
          </cell>
          <cell r="B23">
            <v>41</v>
          </cell>
          <cell r="C23">
            <v>7</v>
          </cell>
          <cell r="D23">
            <v>7</v>
          </cell>
          <cell r="E23">
            <v>41</v>
          </cell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>
            <v>3940</v>
          </cell>
          <cell r="Q23">
            <v>560</v>
          </cell>
          <cell r="R23">
            <v>168</v>
          </cell>
          <cell r="S23">
            <v>3940</v>
          </cell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>
            <v>10535</v>
          </cell>
          <cell r="AE23">
            <v>1207</v>
          </cell>
          <cell r="AF23">
            <v>2068</v>
          </cell>
          <cell r="AG23">
            <v>10535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13810</v>
          </cell>
        </row>
        <row r="24">
          <cell r="A24" t="str">
            <v>IMPORTADORA TRANSMUNDI, S.A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/>
          <cell r="AI24"/>
          <cell r="AJ24"/>
          <cell r="AK24"/>
          <cell r="AL24"/>
          <cell r="AM24"/>
          <cell r="AN24"/>
          <cell r="AO24"/>
          <cell r="AP24"/>
          <cell r="AQ24">
            <v>0</v>
          </cell>
        </row>
        <row r="25">
          <cell r="A25" t="str">
            <v>IMPORTADORA Y EXPORTADORA NIMAR</v>
          </cell>
          <cell r="B25">
            <v>34</v>
          </cell>
          <cell r="C25">
            <v>0</v>
          </cell>
          <cell r="D25">
            <v>43</v>
          </cell>
          <cell r="E25">
            <v>34</v>
          </cell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>
            <v>189</v>
          </cell>
          <cell r="Q25">
            <v>0</v>
          </cell>
          <cell r="R25">
            <v>335</v>
          </cell>
          <cell r="S25">
            <v>189</v>
          </cell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>
            <v>9224</v>
          </cell>
          <cell r="AE25">
            <v>0</v>
          </cell>
          <cell r="AF25">
            <v>14862</v>
          </cell>
          <cell r="AG25">
            <v>9224</v>
          </cell>
          <cell r="AH25"/>
          <cell r="AI25"/>
          <cell r="AJ25"/>
          <cell r="AK25"/>
          <cell r="AL25"/>
          <cell r="AM25"/>
          <cell r="AN25"/>
          <cell r="AO25"/>
          <cell r="AP25"/>
          <cell r="AQ25">
            <v>24086</v>
          </cell>
        </row>
        <row r="26">
          <cell r="A26" t="str">
            <v>INVERSIONES MAKAPANA, S.A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/>
          <cell r="AI26"/>
          <cell r="AJ26"/>
          <cell r="AK26"/>
          <cell r="AL26"/>
          <cell r="AM26"/>
          <cell r="AN26"/>
          <cell r="AO26"/>
          <cell r="AP26"/>
          <cell r="AQ26">
            <v>0</v>
          </cell>
        </row>
        <row r="27">
          <cell r="A27" t="str">
            <v>KERRY PANAMA, S.A.</v>
          </cell>
          <cell r="B27">
            <v>1</v>
          </cell>
          <cell r="C27">
            <v>0</v>
          </cell>
          <cell r="D27">
            <v>42</v>
          </cell>
          <cell r="E27">
            <v>1</v>
          </cell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>
            <v>833</v>
          </cell>
          <cell r="Q27">
            <v>0</v>
          </cell>
          <cell r="R27">
            <v>559</v>
          </cell>
          <cell r="S27">
            <v>833</v>
          </cell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>
            <v>400</v>
          </cell>
          <cell r="AE27">
            <v>0</v>
          </cell>
          <cell r="AF27">
            <v>13212</v>
          </cell>
          <cell r="AG27">
            <v>400</v>
          </cell>
          <cell r="AH27"/>
          <cell r="AI27"/>
          <cell r="AJ27"/>
          <cell r="AK27"/>
          <cell r="AL27"/>
          <cell r="AM27"/>
          <cell r="AN27"/>
          <cell r="AO27"/>
          <cell r="AP27"/>
          <cell r="AQ27">
            <v>13612</v>
          </cell>
        </row>
        <row r="28">
          <cell r="A28" t="str">
            <v>LINA CORPORATION INC (LINA)</v>
          </cell>
          <cell r="B28">
            <v>0</v>
          </cell>
          <cell r="C28">
            <v>2</v>
          </cell>
          <cell r="D28">
            <v>0</v>
          </cell>
          <cell r="E28">
            <v>0</v>
          </cell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>
            <v>0</v>
          </cell>
          <cell r="Q28">
            <v>63</v>
          </cell>
          <cell r="R28">
            <v>0</v>
          </cell>
          <cell r="S28">
            <v>0</v>
          </cell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>
            <v>0</v>
          </cell>
          <cell r="AE28">
            <v>251</v>
          </cell>
          <cell r="AF28">
            <v>0</v>
          </cell>
          <cell r="AG28">
            <v>0</v>
          </cell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251</v>
          </cell>
        </row>
        <row r="29">
          <cell r="A29" t="str">
            <v>MARTÍN BROWER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</row>
        <row r="30">
          <cell r="A30" t="str">
            <v>MEDIA ITEMS, INC</v>
          </cell>
          <cell r="B30">
            <v>0</v>
          </cell>
          <cell r="C30">
            <v>35</v>
          </cell>
          <cell r="D30">
            <v>1</v>
          </cell>
          <cell r="E30">
            <v>0</v>
          </cell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>
            <v>0</v>
          </cell>
          <cell r="Q30">
            <v>950</v>
          </cell>
          <cell r="R30">
            <v>0</v>
          </cell>
          <cell r="S30">
            <v>0</v>
          </cell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>
            <v>0</v>
          </cell>
          <cell r="AE30">
            <v>12637</v>
          </cell>
          <cell r="AF30">
            <v>400</v>
          </cell>
          <cell r="AG30">
            <v>0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>
            <v>13037</v>
          </cell>
        </row>
        <row r="31">
          <cell r="A31" t="str">
            <v>MELO FARMA, S.A.</v>
          </cell>
          <cell r="B31">
            <v>19</v>
          </cell>
          <cell r="C31">
            <v>0</v>
          </cell>
          <cell r="D31">
            <v>0</v>
          </cell>
          <cell r="E31">
            <v>19</v>
          </cell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>
            <v>64</v>
          </cell>
          <cell r="Q31">
            <v>0</v>
          </cell>
          <cell r="R31">
            <v>61</v>
          </cell>
          <cell r="S31">
            <v>64</v>
          </cell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>
            <v>3747</v>
          </cell>
          <cell r="AE31">
            <v>0</v>
          </cell>
          <cell r="AF31">
            <v>0</v>
          </cell>
          <cell r="AG31">
            <v>3747</v>
          </cell>
          <cell r="AH31"/>
          <cell r="AI31"/>
          <cell r="AJ31"/>
          <cell r="AK31"/>
          <cell r="AL31"/>
          <cell r="AM31"/>
          <cell r="AN31"/>
          <cell r="AO31"/>
          <cell r="AP31"/>
          <cell r="AQ31">
            <v>3747</v>
          </cell>
        </row>
        <row r="32">
          <cell r="A32" t="str">
            <v>MERCA PANAMA</v>
          </cell>
          <cell r="B32">
            <v>58</v>
          </cell>
          <cell r="C32">
            <v>57</v>
          </cell>
          <cell r="D32">
            <v>63</v>
          </cell>
          <cell r="E32">
            <v>58</v>
          </cell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>
            <v>13264</v>
          </cell>
          <cell r="Q32">
            <v>6710</v>
          </cell>
          <cell r="R32">
            <v>7498</v>
          </cell>
          <cell r="S32">
            <v>13264</v>
          </cell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>
            <v>14825</v>
          </cell>
          <cell r="AE32">
            <v>18178</v>
          </cell>
          <cell r="AF32">
            <v>23417</v>
          </cell>
          <cell r="AG32">
            <v>14825</v>
          </cell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56420</v>
          </cell>
        </row>
        <row r="33">
          <cell r="A33" t="str">
            <v>MERCALIMENTOS PANAMA, S.A</v>
          </cell>
          <cell r="B33">
            <v>87</v>
          </cell>
          <cell r="C33">
            <v>0</v>
          </cell>
          <cell r="D33">
            <v>0</v>
          </cell>
          <cell r="E33">
            <v>87</v>
          </cell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>
            <v>3483</v>
          </cell>
          <cell r="Q33">
            <v>0</v>
          </cell>
          <cell r="R33">
            <v>0</v>
          </cell>
          <cell r="S33">
            <v>3483</v>
          </cell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>
            <v>30032</v>
          </cell>
          <cell r="AE33">
            <v>0</v>
          </cell>
          <cell r="AF33">
            <v>0</v>
          </cell>
          <cell r="AG33">
            <v>30032</v>
          </cell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30032</v>
          </cell>
        </row>
        <row r="34">
          <cell r="A34" t="str">
            <v>NATHAN FOODS CORPORATION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/>
          <cell r="AI34"/>
          <cell r="AJ34"/>
          <cell r="AK34"/>
          <cell r="AL34"/>
          <cell r="AM34"/>
          <cell r="AN34"/>
          <cell r="AO34"/>
          <cell r="AP34"/>
          <cell r="AQ34">
            <v>0</v>
          </cell>
        </row>
        <row r="35">
          <cell r="A35" t="str">
            <v>NEGOCIOS CENTROAMERICANOS, S.A</v>
          </cell>
          <cell r="B35">
            <v>32</v>
          </cell>
          <cell r="C35">
            <v>0</v>
          </cell>
          <cell r="D35">
            <v>15</v>
          </cell>
          <cell r="E35">
            <v>32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>
            <v>195</v>
          </cell>
          <cell r="Q35">
            <v>0</v>
          </cell>
          <cell r="R35">
            <v>163</v>
          </cell>
          <cell r="S35">
            <v>195</v>
          </cell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>
            <v>8260</v>
          </cell>
          <cell r="AE35">
            <v>0</v>
          </cell>
          <cell r="AF35">
            <v>3339</v>
          </cell>
          <cell r="AG35">
            <v>8260</v>
          </cell>
          <cell r="AH35"/>
          <cell r="AI35"/>
          <cell r="AJ35"/>
          <cell r="AK35"/>
          <cell r="AL35"/>
          <cell r="AM35"/>
          <cell r="AN35"/>
          <cell r="AO35"/>
          <cell r="AP35"/>
          <cell r="AQ35">
            <v>11599</v>
          </cell>
        </row>
        <row r="36">
          <cell r="A36" t="str">
            <v>NESTLE PANAMA</v>
          </cell>
          <cell r="B36">
            <v>118</v>
          </cell>
          <cell r="C36">
            <v>119</v>
          </cell>
          <cell r="D36">
            <v>116</v>
          </cell>
          <cell r="E36">
            <v>118</v>
          </cell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>
            <v>12986</v>
          </cell>
          <cell r="Q36">
            <v>64580</v>
          </cell>
          <cell r="R36">
            <v>27360</v>
          </cell>
          <cell r="S36">
            <v>12986</v>
          </cell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>
            <v>34296</v>
          </cell>
          <cell r="AE36">
            <v>35910</v>
          </cell>
          <cell r="AF36">
            <v>33480</v>
          </cell>
          <cell r="AG36">
            <v>34296</v>
          </cell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103686</v>
          </cell>
        </row>
        <row r="37">
          <cell r="A37" t="str">
            <v>ORDEN DE MALTA PANAMA ASOCIACION PANAMEÑA</v>
          </cell>
          <cell r="B37">
            <v>32</v>
          </cell>
          <cell r="C37">
            <v>34</v>
          </cell>
          <cell r="D37">
            <v>49</v>
          </cell>
          <cell r="E37">
            <v>32</v>
          </cell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>
            <v>8126</v>
          </cell>
          <cell r="Q37">
            <v>4842</v>
          </cell>
          <cell r="R37">
            <v>4059</v>
          </cell>
          <cell r="S37">
            <v>8126</v>
          </cell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>
            <v>13644</v>
          </cell>
          <cell r="AE37">
            <v>9935</v>
          </cell>
          <cell r="AF37">
            <v>18038</v>
          </cell>
          <cell r="AG37">
            <v>13644</v>
          </cell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41617</v>
          </cell>
        </row>
        <row r="38">
          <cell r="A38" t="str">
            <v>PANASAL</v>
          </cell>
          <cell r="B38">
            <v>23</v>
          </cell>
          <cell r="C38">
            <v>11</v>
          </cell>
          <cell r="D38">
            <v>17</v>
          </cell>
          <cell r="E38">
            <v>23</v>
          </cell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>
            <v>60</v>
          </cell>
          <cell r="Q38">
            <v>60</v>
          </cell>
          <cell r="R38">
            <v>60</v>
          </cell>
          <cell r="S38">
            <v>60</v>
          </cell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>
            <v>8108</v>
          </cell>
          <cell r="AE38">
            <v>6410</v>
          </cell>
          <cell r="AF38">
            <v>6617</v>
          </cell>
          <cell r="AG38">
            <v>8108</v>
          </cell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21135</v>
          </cell>
        </row>
        <row r="39">
          <cell r="A39" t="str">
            <v>PEDERSEN FINE FOODS, S.A</v>
          </cell>
          <cell r="B39">
            <v>19</v>
          </cell>
          <cell r="C39">
            <v>17</v>
          </cell>
          <cell r="D39">
            <v>36</v>
          </cell>
          <cell r="E39">
            <v>19</v>
          </cell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>
            <v>0</v>
          </cell>
          <cell r="Q39">
            <v>141</v>
          </cell>
          <cell r="R39">
            <v>500</v>
          </cell>
          <cell r="S39">
            <v>0</v>
          </cell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>
            <v>2793</v>
          </cell>
          <cell r="AE39">
            <v>5006</v>
          </cell>
          <cell r="AF39">
            <v>13004</v>
          </cell>
          <cell r="AG39">
            <v>2793</v>
          </cell>
          <cell r="AH39"/>
          <cell r="AI39"/>
          <cell r="AJ39"/>
          <cell r="AK39"/>
          <cell r="AL39"/>
          <cell r="AM39"/>
          <cell r="AN39"/>
          <cell r="AO39"/>
          <cell r="AP39"/>
          <cell r="AQ39">
            <v>20803</v>
          </cell>
        </row>
        <row r="40">
          <cell r="A40" t="str">
            <v>Price-Smart-Panama S.A</v>
          </cell>
          <cell r="B40">
            <v>105</v>
          </cell>
          <cell r="C40">
            <v>83</v>
          </cell>
          <cell r="D40">
            <v>96</v>
          </cell>
          <cell r="E40">
            <v>105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>
            <v>6631</v>
          </cell>
          <cell r="Q40">
            <v>7423</v>
          </cell>
          <cell r="R40">
            <v>6052</v>
          </cell>
          <cell r="S40">
            <v>6631</v>
          </cell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>
            <v>25606</v>
          </cell>
          <cell r="AE40">
            <v>27876</v>
          </cell>
          <cell r="AF40">
            <v>31318</v>
          </cell>
          <cell r="AG40">
            <v>25606</v>
          </cell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84800</v>
          </cell>
        </row>
        <row r="41">
          <cell r="A41" t="str">
            <v>PRODUCTOS LA DOÑA, S.A</v>
          </cell>
          <cell r="B41">
            <v>113</v>
          </cell>
          <cell r="C41">
            <v>86</v>
          </cell>
          <cell r="D41">
            <v>76</v>
          </cell>
          <cell r="E41">
            <v>113</v>
          </cell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>
            <v>4696</v>
          </cell>
          <cell r="Q41">
            <v>2914</v>
          </cell>
          <cell r="R41">
            <v>2081</v>
          </cell>
          <cell r="S41">
            <v>4696</v>
          </cell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>
            <v>35885</v>
          </cell>
          <cell r="AE41">
            <v>26281</v>
          </cell>
          <cell r="AF41">
            <v>19039</v>
          </cell>
          <cell r="AG41">
            <v>35885</v>
          </cell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81205</v>
          </cell>
        </row>
        <row r="42">
          <cell r="A42" t="str">
            <v>PRODUCTOS NEVADA S.A</v>
          </cell>
          <cell r="B42">
            <v>26</v>
          </cell>
          <cell r="C42">
            <v>0</v>
          </cell>
          <cell r="D42">
            <v>68</v>
          </cell>
          <cell r="E42">
            <v>26</v>
          </cell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>
            <v>0</v>
          </cell>
          <cell r="Q42">
            <v>520</v>
          </cell>
          <cell r="R42">
            <v>1484</v>
          </cell>
          <cell r="S42">
            <v>0</v>
          </cell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>
            <v>6216</v>
          </cell>
          <cell r="AE42">
            <v>0</v>
          </cell>
          <cell r="AF42">
            <v>22889</v>
          </cell>
          <cell r="AG42">
            <v>6216</v>
          </cell>
          <cell r="AH42"/>
          <cell r="AI42"/>
          <cell r="AJ42"/>
          <cell r="AK42"/>
          <cell r="AL42"/>
          <cell r="AM42"/>
          <cell r="AN42"/>
          <cell r="AO42"/>
          <cell r="AP42"/>
          <cell r="AQ42">
            <v>29105</v>
          </cell>
        </row>
        <row r="43">
          <cell r="A43" t="str">
            <v>PRODUCTOS TOLEDANO</v>
          </cell>
          <cell r="B43">
            <v>91</v>
          </cell>
          <cell r="C43">
            <v>108</v>
          </cell>
          <cell r="D43">
            <v>111</v>
          </cell>
          <cell r="E43">
            <v>91</v>
          </cell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>
            <v>5231</v>
          </cell>
          <cell r="Q43">
            <v>17272</v>
          </cell>
          <cell r="R43">
            <v>6230</v>
          </cell>
          <cell r="S43">
            <v>5231</v>
          </cell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>
            <v>26104</v>
          </cell>
          <cell r="AE43">
            <v>33883</v>
          </cell>
          <cell r="AF43">
            <v>35343</v>
          </cell>
          <cell r="AG43">
            <v>26104</v>
          </cell>
          <cell r="AH43"/>
          <cell r="AI43"/>
          <cell r="AJ43"/>
          <cell r="AK43"/>
          <cell r="AL43"/>
          <cell r="AM43"/>
          <cell r="AN43"/>
          <cell r="AO43"/>
          <cell r="AP43"/>
          <cell r="AQ43">
            <v>95330</v>
          </cell>
        </row>
        <row r="44">
          <cell r="A44" t="str">
            <v>PROGRAMA KILOS DE ESPERANZA</v>
          </cell>
          <cell r="B44">
            <v>52</v>
          </cell>
          <cell r="C44">
            <v>9</v>
          </cell>
          <cell r="D44">
            <v>30</v>
          </cell>
          <cell r="E44">
            <v>52</v>
          </cell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>
            <v>673</v>
          </cell>
          <cell r="Q44">
            <v>231</v>
          </cell>
          <cell r="R44">
            <v>190</v>
          </cell>
          <cell r="S44">
            <v>673</v>
          </cell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>
            <v>20817</v>
          </cell>
          <cell r="AE44">
            <v>6572</v>
          </cell>
          <cell r="AF44">
            <v>7619</v>
          </cell>
          <cell r="AG44">
            <v>20817</v>
          </cell>
          <cell r="AH44"/>
          <cell r="AI44"/>
          <cell r="AJ44"/>
          <cell r="AK44"/>
          <cell r="AL44"/>
          <cell r="AM44"/>
          <cell r="AN44"/>
          <cell r="AO44"/>
          <cell r="AP44"/>
          <cell r="AQ44">
            <v>35008</v>
          </cell>
        </row>
        <row r="45">
          <cell r="A45" t="str">
            <v>PROSERV</v>
          </cell>
          <cell r="B45">
            <v>58</v>
          </cell>
          <cell r="C45">
            <v>78</v>
          </cell>
          <cell r="D45">
            <v>50</v>
          </cell>
          <cell r="E45">
            <v>58</v>
          </cell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>
            <v>2100</v>
          </cell>
          <cell r="Q45">
            <v>1940</v>
          </cell>
          <cell r="R45">
            <v>1150</v>
          </cell>
          <cell r="S45">
            <v>2100</v>
          </cell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>
            <v>17263</v>
          </cell>
          <cell r="AE45">
            <v>23569</v>
          </cell>
          <cell r="AF45">
            <v>16081</v>
          </cell>
          <cell r="AG45">
            <v>17263</v>
          </cell>
          <cell r="AH45"/>
          <cell r="AI45"/>
          <cell r="AJ45"/>
          <cell r="AK45"/>
          <cell r="AL45"/>
          <cell r="AM45"/>
          <cell r="AN45"/>
          <cell r="AO45"/>
          <cell r="AP45"/>
          <cell r="AQ45">
            <v>56913</v>
          </cell>
        </row>
        <row r="46">
          <cell r="A46" t="str">
            <v>PURISSIMA, S.A</v>
          </cell>
          <cell r="B46">
            <v>26</v>
          </cell>
          <cell r="C46">
            <v>41</v>
          </cell>
          <cell r="D46">
            <v>10</v>
          </cell>
          <cell r="E46">
            <v>26</v>
          </cell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>
            <v>3465</v>
          </cell>
          <cell r="Q46">
            <v>6399</v>
          </cell>
          <cell r="R46">
            <v>0</v>
          </cell>
          <cell r="S46">
            <v>3465</v>
          </cell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>
            <v>4717</v>
          </cell>
          <cell r="AE46">
            <v>12270</v>
          </cell>
          <cell r="AF46">
            <v>1588</v>
          </cell>
          <cell r="AG46">
            <v>4717</v>
          </cell>
          <cell r="AH46"/>
          <cell r="AI46"/>
          <cell r="AJ46"/>
          <cell r="AK46"/>
          <cell r="AL46"/>
          <cell r="AM46"/>
          <cell r="AN46"/>
          <cell r="AO46"/>
          <cell r="AP46"/>
          <cell r="AQ46">
            <v>18575</v>
          </cell>
        </row>
        <row r="47">
          <cell r="A47" t="str">
            <v>SALVA - MAR,</v>
          </cell>
          <cell r="B47">
            <v>43</v>
          </cell>
          <cell r="C47">
            <v>64</v>
          </cell>
          <cell r="D47">
            <v>26</v>
          </cell>
          <cell r="E47">
            <v>43</v>
          </cell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>
            <v>1021</v>
          </cell>
          <cell r="Q47">
            <v>1040</v>
          </cell>
          <cell r="R47">
            <v>1007</v>
          </cell>
          <cell r="S47">
            <v>1021</v>
          </cell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>
            <v>12682</v>
          </cell>
          <cell r="AE47">
            <v>9401</v>
          </cell>
          <cell r="AF47">
            <v>5731</v>
          </cell>
          <cell r="AG47">
            <v>12682</v>
          </cell>
          <cell r="AH47"/>
          <cell r="AI47"/>
          <cell r="AJ47"/>
          <cell r="AK47"/>
          <cell r="AL47"/>
          <cell r="AM47"/>
          <cell r="AN47"/>
          <cell r="AO47"/>
          <cell r="AP47"/>
          <cell r="AQ47">
            <v>27814</v>
          </cell>
        </row>
        <row r="48">
          <cell r="A48" t="str">
            <v>San Gregorio Trading and Transport S.A.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/>
          <cell r="AI48"/>
          <cell r="AJ48"/>
          <cell r="AK48"/>
          <cell r="AL48"/>
          <cell r="AM48"/>
          <cell r="AN48"/>
          <cell r="AO48"/>
          <cell r="AP48"/>
          <cell r="AQ48">
            <v>0</v>
          </cell>
        </row>
        <row r="49">
          <cell r="A49" t="str">
            <v>UNILEVER DE CENTROAMERICA S.A.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/>
          <cell r="AI49"/>
          <cell r="AJ49"/>
          <cell r="AK49"/>
          <cell r="AL49"/>
          <cell r="AM49"/>
          <cell r="AN49"/>
          <cell r="AO49"/>
          <cell r="AP49"/>
          <cell r="AQ49">
            <v>0</v>
          </cell>
        </row>
        <row r="50">
          <cell r="A50" t="str">
            <v>VARELA HERMANOS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/>
          <cell r="AI50"/>
          <cell r="AJ50"/>
          <cell r="AK50"/>
          <cell r="AL50"/>
          <cell r="AM50"/>
          <cell r="AN50"/>
          <cell r="AO50"/>
          <cell r="AP50"/>
          <cell r="AQ50">
            <v>0</v>
          </cell>
        </row>
        <row r="51">
          <cell r="A51" t="str">
            <v>VENTAS Y MERCADEO, S.A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/>
          <cell r="AI51"/>
          <cell r="AJ51"/>
          <cell r="AK51"/>
          <cell r="AL51"/>
          <cell r="AM51"/>
          <cell r="AN51"/>
          <cell r="AO51"/>
          <cell r="AP51"/>
          <cell r="AQ51">
            <v>0</v>
          </cell>
        </row>
        <row r="52">
          <cell r="A52" t="str">
            <v>GOLD MILLS</v>
          </cell>
          <cell r="B52">
            <v>29</v>
          </cell>
          <cell r="C52">
            <v>0</v>
          </cell>
          <cell r="D52">
            <v>44</v>
          </cell>
          <cell r="E52">
            <v>29</v>
          </cell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>
            <v>458</v>
          </cell>
          <cell r="Q52">
            <v>0</v>
          </cell>
          <cell r="R52">
            <v>432</v>
          </cell>
          <cell r="S52">
            <v>458</v>
          </cell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>
            <v>11044</v>
          </cell>
          <cell r="AE52">
            <v>0</v>
          </cell>
          <cell r="AF52">
            <v>14691</v>
          </cell>
          <cell r="AG52">
            <v>11044</v>
          </cell>
          <cell r="AH52"/>
          <cell r="AI52"/>
          <cell r="AJ52"/>
          <cell r="AK52"/>
          <cell r="AL52"/>
          <cell r="AM52"/>
          <cell r="AN52"/>
          <cell r="AO52"/>
          <cell r="AP52"/>
          <cell r="AQ52">
            <v>25735</v>
          </cell>
        </row>
        <row r="53">
          <cell r="A53" t="str">
            <v>International Franchise Food Service/Subway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/>
          <cell r="AI53"/>
          <cell r="AJ53"/>
          <cell r="AK53"/>
          <cell r="AL53"/>
          <cell r="AM53"/>
          <cell r="AN53"/>
          <cell r="AO53"/>
          <cell r="AP53"/>
          <cell r="AQ53">
            <v>0</v>
          </cell>
        </row>
        <row r="54">
          <cell r="A54" t="str">
            <v>KIMBERLY-CLARK CENTRAL AMERICAN HOLDING, S.A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/>
          <cell r="AI54"/>
          <cell r="AJ54"/>
          <cell r="AK54"/>
          <cell r="AL54"/>
          <cell r="AM54"/>
          <cell r="AN54"/>
          <cell r="AO54"/>
          <cell r="AP54"/>
          <cell r="AQ54">
            <v>0</v>
          </cell>
        </row>
        <row r="55">
          <cell r="A55" t="str">
            <v>PRODISA TRADING S.A.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>
            <v>144</v>
          </cell>
          <cell r="Q55">
            <v>0</v>
          </cell>
          <cell r="R55">
            <v>0</v>
          </cell>
          <cell r="S55">
            <v>144</v>
          </cell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/>
          <cell r="AI55"/>
          <cell r="AJ55"/>
          <cell r="AK55"/>
          <cell r="AL55"/>
          <cell r="AM55"/>
          <cell r="AN55"/>
          <cell r="AO55"/>
          <cell r="AP55"/>
          <cell r="AQ55">
            <v>0</v>
          </cell>
        </row>
        <row r="56">
          <cell r="A56" t="str">
            <v>PRODUCTOS LUX, S.A ( Proluxa)</v>
          </cell>
          <cell r="B56">
            <v>60</v>
          </cell>
          <cell r="C56">
            <v>0</v>
          </cell>
          <cell r="D56">
            <v>45</v>
          </cell>
          <cell r="E56">
            <v>60</v>
          </cell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>
            <v>818</v>
          </cell>
          <cell r="Q56">
            <v>1409</v>
          </cell>
          <cell r="R56">
            <v>987</v>
          </cell>
          <cell r="S56">
            <v>818</v>
          </cell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>
            <v>15214</v>
          </cell>
          <cell r="AE56">
            <v>0</v>
          </cell>
          <cell r="AF56">
            <v>12662</v>
          </cell>
          <cell r="AG56">
            <v>15214</v>
          </cell>
          <cell r="AH56"/>
          <cell r="AI56"/>
          <cell r="AJ56"/>
          <cell r="AK56"/>
          <cell r="AL56"/>
          <cell r="AM56"/>
          <cell r="AN56"/>
          <cell r="AO56"/>
          <cell r="AP56"/>
          <cell r="AQ56">
            <v>27876</v>
          </cell>
        </row>
        <row r="57">
          <cell r="A57" t="str">
            <v>VERDES &amp; CO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/>
          <cell r="AI57"/>
          <cell r="AJ57"/>
          <cell r="AK57"/>
          <cell r="AL57"/>
          <cell r="AM57"/>
          <cell r="AN57"/>
          <cell r="AO57"/>
          <cell r="AP57"/>
          <cell r="AQ57">
            <v>0</v>
          </cell>
        </row>
        <row r="58">
          <cell r="A58" t="str">
            <v>RIBA SMITH, S.A.</v>
          </cell>
          <cell r="B58">
            <v>51</v>
          </cell>
          <cell r="C58">
            <v>20</v>
          </cell>
          <cell r="D58">
            <v>30</v>
          </cell>
          <cell r="E58">
            <v>51</v>
          </cell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>
            <v>602</v>
          </cell>
          <cell r="Q58">
            <v>865</v>
          </cell>
          <cell r="R58">
            <v>0</v>
          </cell>
          <cell r="S58">
            <v>602</v>
          </cell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>
            <v>13370</v>
          </cell>
          <cell r="AE58">
            <v>8064</v>
          </cell>
          <cell r="AF58">
            <v>7023</v>
          </cell>
          <cell r="AG58">
            <v>13370</v>
          </cell>
          <cell r="AH58"/>
          <cell r="AI58"/>
          <cell r="AJ58"/>
          <cell r="AK58"/>
          <cell r="AL58"/>
          <cell r="AM58"/>
          <cell r="AN58"/>
          <cell r="AO58"/>
          <cell r="AP58"/>
          <cell r="AQ58">
            <v>28457</v>
          </cell>
        </row>
        <row r="59">
          <cell r="A59" t="str">
            <v>AGENCIA PALM LOPEZ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/>
          <cell r="AI59"/>
          <cell r="AJ59"/>
          <cell r="AK59"/>
          <cell r="AL59"/>
          <cell r="AM59"/>
          <cell r="AN59"/>
          <cell r="AO59"/>
          <cell r="AP59"/>
          <cell r="AQ59">
            <v>0</v>
          </cell>
        </row>
        <row r="60">
          <cell r="A60" t="str">
            <v>REPRESENTACIONES TEJEIRA, S.A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/>
          <cell r="AI60"/>
          <cell r="AJ60"/>
          <cell r="AK60"/>
          <cell r="AL60"/>
          <cell r="AM60"/>
          <cell r="AN60"/>
          <cell r="AO60"/>
          <cell r="AP60"/>
          <cell r="AQ60">
            <v>0</v>
          </cell>
        </row>
        <row r="61">
          <cell r="A61" t="str">
            <v>AGROINVESA - Agroindustrias Alimenticias de Veraguas, S.A. - La Parmigiana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/>
          <cell r="AI61"/>
          <cell r="AJ61"/>
          <cell r="AK61"/>
          <cell r="AL61"/>
          <cell r="AM61"/>
          <cell r="AN61"/>
          <cell r="AO61"/>
          <cell r="AP61"/>
          <cell r="AQ61">
            <v>0</v>
          </cell>
        </row>
        <row r="62">
          <cell r="A62" t="str">
            <v>ALIMENTOS NICO, S.A, (ANICSA)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/>
          <cell r="AI62"/>
          <cell r="AJ62"/>
          <cell r="AK62"/>
          <cell r="AL62"/>
          <cell r="AM62"/>
          <cell r="AN62"/>
          <cell r="AO62"/>
          <cell r="AP62"/>
          <cell r="AQ62">
            <v>0</v>
          </cell>
        </row>
        <row r="63">
          <cell r="A63" t="str">
            <v>IMPORTADORA RICAMAR - SUPER 99</v>
          </cell>
          <cell r="B63">
            <v>24</v>
          </cell>
          <cell r="C63">
            <v>0</v>
          </cell>
          <cell r="D63">
            <v>0</v>
          </cell>
          <cell r="E63">
            <v>24</v>
          </cell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>
            <v>46</v>
          </cell>
          <cell r="Q63">
            <v>0</v>
          </cell>
          <cell r="R63">
            <v>0</v>
          </cell>
          <cell r="S63">
            <v>46</v>
          </cell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>
            <v>6259</v>
          </cell>
          <cell r="AE63">
            <v>0</v>
          </cell>
          <cell r="AF63">
            <v>0</v>
          </cell>
          <cell r="AG63">
            <v>6259</v>
          </cell>
          <cell r="AH63"/>
          <cell r="AI63"/>
          <cell r="AJ63"/>
          <cell r="AK63"/>
          <cell r="AL63"/>
          <cell r="AM63"/>
          <cell r="AN63"/>
          <cell r="AO63"/>
          <cell r="AP63"/>
          <cell r="AQ63">
            <v>6259</v>
          </cell>
        </row>
        <row r="64">
          <cell r="A64" t="str">
            <v>NUEVO HUNG SHENG</v>
          </cell>
          <cell r="B64">
            <v>47</v>
          </cell>
          <cell r="C64">
            <v>0</v>
          </cell>
          <cell r="D64">
            <v>26</v>
          </cell>
          <cell r="E64">
            <v>47</v>
          </cell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>
            <v>90</v>
          </cell>
          <cell r="Q64">
            <v>0</v>
          </cell>
          <cell r="R64">
            <v>606</v>
          </cell>
          <cell r="S64">
            <v>90</v>
          </cell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>
            <v>12025.6</v>
          </cell>
          <cell r="AE64">
            <v>0</v>
          </cell>
          <cell r="AF64">
            <v>13497</v>
          </cell>
          <cell r="AG64">
            <v>12025.6</v>
          </cell>
          <cell r="AH64"/>
          <cell r="AI64"/>
          <cell r="AJ64"/>
          <cell r="AK64"/>
          <cell r="AL64"/>
          <cell r="AM64"/>
          <cell r="AN64"/>
          <cell r="AO64"/>
          <cell r="AP64"/>
          <cell r="AQ64">
            <v>25522.6</v>
          </cell>
        </row>
        <row r="65">
          <cell r="A65" t="str">
            <v>PRODUCTOS DE PRESTIGIO, S.A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/>
          <cell r="AI65"/>
          <cell r="AJ65"/>
          <cell r="AK65"/>
          <cell r="AL65"/>
          <cell r="AM65"/>
          <cell r="AN65"/>
          <cell r="AO65"/>
          <cell r="AP65"/>
          <cell r="AQ65">
            <v>0</v>
          </cell>
        </row>
        <row r="66">
          <cell r="A66" t="str">
            <v>PRODUCTOS KIENER</v>
          </cell>
          <cell r="B66">
            <v>87</v>
          </cell>
          <cell r="C66">
            <v>32</v>
          </cell>
          <cell r="D66">
            <v>64</v>
          </cell>
          <cell r="E66">
            <v>87</v>
          </cell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>
            <v>627</v>
          </cell>
          <cell r="Q66">
            <v>264</v>
          </cell>
          <cell r="R66">
            <v>480</v>
          </cell>
          <cell r="S66">
            <v>627</v>
          </cell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>
            <v>28022</v>
          </cell>
          <cell r="AE66">
            <v>10837</v>
          </cell>
          <cell r="AF66">
            <v>19409</v>
          </cell>
          <cell r="AG66">
            <v>28022</v>
          </cell>
          <cell r="AH66"/>
          <cell r="AI66"/>
          <cell r="AJ66"/>
          <cell r="AK66"/>
          <cell r="AL66"/>
          <cell r="AM66"/>
          <cell r="AN66"/>
          <cell r="AO66"/>
          <cell r="AP66"/>
          <cell r="AQ66">
            <v>58268</v>
          </cell>
        </row>
        <row r="67">
          <cell r="A67" t="str">
            <v>COMERCIALIZADORA ANCAR, S.A.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/>
          <cell r="AI67"/>
          <cell r="AJ67"/>
          <cell r="AK67"/>
          <cell r="AL67"/>
          <cell r="AM67"/>
          <cell r="AN67"/>
          <cell r="AO67"/>
          <cell r="AP67"/>
          <cell r="AQ67">
            <v>0</v>
          </cell>
        </row>
        <row r="68">
          <cell r="A68" t="str">
            <v>FOREVER OCEANS PANAMÁ, S.A.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/>
          <cell r="AI68"/>
          <cell r="AJ68"/>
          <cell r="AK68"/>
          <cell r="AL68"/>
          <cell r="AM68"/>
          <cell r="AN68"/>
          <cell r="AO68"/>
          <cell r="AP68"/>
          <cell r="AQ68">
            <v>0</v>
          </cell>
        </row>
        <row r="69">
          <cell r="A69" t="str">
            <v>CAMPANA K-WORLD ENTERTAIMENT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/>
          <cell r="AI69"/>
          <cell r="AJ69"/>
          <cell r="AK69"/>
          <cell r="AL69"/>
          <cell r="AM69"/>
          <cell r="AN69"/>
          <cell r="AO69"/>
          <cell r="AP69"/>
          <cell r="AQ69">
            <v>0</v>
          </cell>
        </row>
        <row r="70">
          <cell r="A70" t="str">
            <v>Puratos de Panamá, S.A.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/>
          <cell r="AI70"/>
          <cell r="AJ70"/>
          <cell r="AK70"/>
          <cell r="AL70"/>
          <cell r="AM70"/>
          <cell r="AN70"/>
          <cell r="AO70"/>
          <cell r="AP70"/>
          <cell r="AQ70">
            <v>0</v>
          </cell>
        </row>
        <row r="71">
          <cell r="A71" t="str">
            <v>UNITED WAY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/>
          <cell r="AI71"/>
          <cell r="AJ71"/>
          <cell r="AK71"/>
          <cell r="AL71"/>
          <cell r="AM71"/>
          <cell r="AN71"/>
          <cell r="AO71"/>
          <cell r="AP71"/>
          <cell r="AQ71">
            <v>0</v>
          </cell>
        </row>
        <row r="72">
          <cell r="A72" t="str">
            <v>IMPORTADORA VIRZI S.A.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/>
          <cell r="AI72"/>
          <cell r="AJ72"/>
          <cell r="AK72"/>
          <cell r="AL72"/>
          <cell r="AM72"/>
          <cell r="AN72"/>
          <cell r="AO72"/>
          <cell r="AP72"/>
          <cell r="AQ72">
            <v>0</v>
          </cell>
        </row>
        <row r="73">
          <cell r="A73" t="str">
            <v>Inversiones Naturalia , S.A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/>
          <cell r="AI73"/>
          <cell r="AJ73"/>
          <cell r="AK73"/>
          <cell r="AL73"/>
          <cell r="AM73"/>
          <cell r="AN73"/>
          <cell r="AO73"/>
          <cell r="AP73"/>
          <cell r="AQ73">
            <v>0</v>
          </cell>
        </row>
        <row r="74">
          <cell r="A74" t="str">
            <v>GOURMET IMPORTS, S.A.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/>
          <cell r="AI74"/>
          <cell r="AJ74"/>
          <cell r="AK74"/>
          <cell r="AL74"/>
          <cell r="AM74"/>
          <cell r="AN74"/>
          <cell r="AO74"/>
          <cell r="AP74"/>
          <cell r="AQ74">
            <v>0</v>
          </cell>
        </row>
        <row r="75">
          <cell r="A75" t="str">
            <v>PANAMA CONVENTION CENTER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/>
          <cell r="AI75"/>
          <cell r="AJ75"/>
          <cell r="AK75"/>
          <cell r="AL75"/>
          <cell r="AM75"/>
          <cell r="AN75"/>
          <cell r="AO75"/>
          <cell r="AP75"/>
          <cell r="AQ75">
            <v>0</v>
          </cell>
        </row>
        <row r="76">
          <cell r="A76" t="str">
            <v>SUPER BRANDS CORPORATION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/>
          <cell r="AI76"/>
          <cell r="AJ76"/>
          <cell r="AK76"/>
          <cell r="AL76"/>
          <cell r="AM76"/>
          <cell r="AN76"/>
          <cell r="AO76"/>
          <cell r="AP76"/>
          <cell r="AQ76">
            <v>0</v>
          </cell>
        </row>
        <row r="77">
          <cell r="A77" t="str">
            <v>Delivery Hero Dmart Panamá S.A. (Pedidos Ya)</v>
          </cell>
          <cell r="B77">
            <v>26</v>
          </cell>
          <cell r="C77">
            <v>24</v>
          </cell>
          <cell r="D77">
            <v>30</v>
          </cell>
          <cell r="E77">
            <v>26</v>
          </cell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>
            <v>334</v>
          </cell>
          <cell r="Q77">
            <v>242</v>
          </cell>
          <cell r="R77">
            <v>384</v>
          </cell>
          <cell r="S77">
            <v>334</v>
          </cell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>
            <v>7257</v>
          </cell>
          <cell r="AE77">
            <v>7458</v>
          </cell>
          <cell r="AF77">
            <v>7006</v>
          </cell>
          <cell r="AG77">
            <v>7257</v>
          </cell>
          <cell r="AH77"/>
          <cell r="AI77"/>
          <cell r="AJ77"/>
          <cell r="AK77"/>
          <cell r="AL77"/>
          <cell r="AM77"/>
          <cell r="AN77"/>
          <cell r="AO77"/>
          <cell r="AP77"/>
          <cell r="AQ77">
            <v>21721</v>
          </cell>
        </row>
        <row r="78">
          <cell r="A78" t="str">
            <v>Distribuidora Italo Hispana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/>
          <cell r="AI78"/>
          <cell r="AJ78"/>
          <cell r="AK78"/>
          <cell r="AL78"/>
          <cell r="AM78"/>
          <cell r="AN78"/>
          <cell r="AO78"/>
          <cell r="AP78"/>
          <cell r="AQ78">
            <v>0</v>
          </cell>
        </row>
        <row r="79">
          <cell r="A79" t="str">
            <v>GLOBAL PRODUCTS AND LOGISTIC SERVICES, INC. (Dicarina)</v>
          </cell>
          <cell r="B79">
            <v>48</v>
          </cell>
          <cell r="C79">
            <v>21</v>
          </cell>
          <cell r="D79">
            <v>34</v>
          </cell>
          <cell r="E79">
            <v>48</v>
          </cell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>
            <v>1797</v>
          </cell>
          <cell r="Q79">
            <v>376</v>
          </cell>
          <cell r="R79">
            <v>233</v>
          </cell>
          <cell r="S79">
            <v>1797</v>
          </cell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>
            <v>12950</v>
          </cell>
          <cell r="AE79">
            <v>5593</v>
          </cell>
          <cell r="AF79">
            <v>7802</v>
          </cell>
          <cell r="AG79">
            <v>12950</v>
          </cell>
          <cell r="AH79"/>
          <cell r="AI79"/>
          <cell r="AJ79"/>
          <cell r="AK79"/>
          <cell r="AL79"/>
          <cell r="AM79"/>
          <cell r="AN79"/>
          <cell r="AO79"/>
          <cell r="AP79"/>
          <cell r="AQ79">
            <v>26345</v>
          </cell>
        </row>
        <row r="80">
          <cell r="A80" t="str">
            <v>NUTRISERVI PANAMA S.A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>
            <v>0</v>
          </cell>
        </row>
        <row r="81">
          <cell r="A81" t="str">
            <v>BIMBO DE PANAMA , S.A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>
            <v>0</v>
          </cell>
        </row>
        <row r="82">
          <cell r="A82" t="str">
            <v>SG Foods Latinoamérica, S.A.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/>
          <cell r="AI82"/>
          <cell r="AJ82"/>
          <cell r="AK82"/>
          <cell r="AL82"/>
          <cell r="AM82"/>
          <cell r="AN82"/>
          <cell r="AO82"/>
          <cell r="AP82"/>
          <cell r="AQ82">
            <v>0</v>
          </cell>
        </row>
        <row r="83">
          <cell r="A83" t="str">
            <v>Jacach S.A.</v>
          </cell>
          <cell r="B83">
            <v>0</v>
          </cell>
          <cell r="C83">
            <v>27</v>
          </cell>
          <cell r="D83">
            <v>32</v>
          </cell>
          <cell r="E83">
            <v>0</v>
          </cell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>
            <v>0</v>
          </cell>
          <cell r="Q83">
            <v>1198</v>
          </cell>
          <cell r="R83">
            <v>0</v>
          </cell>
          <cell r="S83">
            <v>0</v>
          </cell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>
            <v>0</v>
          </cell>
          <cell r="AE83">
            <v>7518</v>
          </cell>
          <cell r="AF83">
            <v>6534</v>
          </cell>
          <cell r="AG83">
            <v>0</v>
          </cell>
          <cell r="AH83"/>
          <cell r="AI83"/>
          <cell r="AJ83"/>
          <cell r="AK83"/>
          <cell r="AL83"/>
          <cell r="AM83"/>
          <cell r="AN83"/>
          <cell r="AO83"/>
          <cell r="AP83"/>
          <cell r="AQ83">
            <v>14052</v>
          </cell>
        </row>
        <row r="84">
          <cell r="A84" t="str">
            <v>Marketing Roots Inc.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/>
          <cell r="AI84"/>
          <cell r="AJ84"/>
          <cell r="AK84"/>
          <cell r="AL84"/>
          <cell r="AM84"/>
          <cell r="AN84"/>
          <cell r="AO84"/>
          <cell r="AP84"/>
          <cell r="AQ84">
            <v>0</v>
          </cell>
        </row>
        <row r="85">
          <cell r="A85" t="str">
            <v>Vima Foods Panamá S.A.</v>
          </cell>
          <cell r="B85">
            <v>19</v>
          </cell>
          <cell r="C85">
            <v>0</v>
          </cell>
          <cell r="D85">
            <v>43</v>
          </cell>
          <cell r="E85">
            <v>19</v>
          </cell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>
            <v>39</v>
          </cell>
          <cell r="Q85">
            <v>600</v>
          </cell>
          <cell r="R85">
            <v>0</v>
          </cell>
          <cell r="S85">
            <v>39</v>
          </cell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>
            <v>4968</v>
          </cell>
          <cell r="AE85">
            <v>0</v>
          </cell>
          <cell r="AF85">
            <v>17158</v>
          </cell>
          <cell r="AG85">
            <v>4968</v>
          </cell>
          <cell r="AH85"/>
          <cell r="AI85"/>
          <cell r="AJ85"/>
          <cell r="AK85"/>
          <cell r="AL85"/>
          <cell r="AM85"/>
          <cell r="AN85"/>
          <cell r="AO85"/>
          <cell r="AP85"/>
          <cell r="AQ85">
            <v>22126</v>
          </cell>
        </row>
        <row r="86">
          <cell r="A86" t="str">
            <v>SUPER CARNES</v>
          </cell>
          <cell r="B86">
            <v>18</v>
          </cell>
          <cell r="C86">
            <v>14</v>
          </cell>
          <cell r="D86">
            <v>16</v>
          </cell>
          <cell r="E86">
            <v>18</v>
          </cell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>
            <v>3799</v>
          </cell>
          <cell r="Q86">
            <v>3130</v>
          </cell>
          <cell r="R86">
            <v>2993</v>
          </cell>
          <cell r="S86">
            <v>3799</v>
          </cell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>
            <v>2155</v>
          </cell>
          <cell r="AE86">
            <v>1750</v>
          </cell>
          <cell r="AF86">
            <v>2418</v>
          </cell>
          <cell r="AG86">
            <v>2155</v>
          </cell>
          <cell r="AH86"/>
          <cell r="AI86"/>
          <cell r="AJ86"/>
          <cell r="AK86"/>
          <cell r="AL86"/>
          <cell r="AM86"/>
          <cell r="AN86"/>
          <cell r="AO86"/>
          <cell r="AP86"/>
          <cell r="AQ86">
            <v>6323</v>
          </cell>
        </row>
        <row r="87">
          <cell r="A87" t="str">
            <v>MARTIN BROWER</v>
          </cell>
          <cell r="B87">
            <v>60</v>
          </cell>
          <cell r="C87">
            <v>0</v>
          </cell>
          <cell r="D87">
            <v>0</v>
          </cell>
          <cell r="E87">
            <v>60</v>
          </cell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>
            <v>826</v>
          </cell>
          <cell r="Q87">
            <v>0</v>
          </cell>
          <cell r="R87">
            <v>0</v>
          </cell>
          <cell r="S87">
            <v>826</v>
          </cell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>
            <v>13814</v>
          </cell>
          <cell r="AE87">
            <v>0</v>
          </cell>
          <cell r="AF87">
            <v>0</v>
          </cell>
          <cell r="AG87">
            <v>13814</v>
          </cell>
          <cell r="AH87"/>
          <cell r="AI87"/>
          <cell r="AJ87"/>
          <cell r="AK87"/>
          <cell r="AL87"/>
          <cell r="AM87"/>
          <cell r="AN87"/>
          <cell r="AO87"/>
          <cell r="AP87"/>
          <cell r="AQ87">
            <v>13814</v>
          </cell>
        </row>
        <row r="88">
          <cell r="A88" t="str">
            <v>FOREVER OCEANS PANAMA, S.A.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/>
          <cell r="AI88"/>
          <cell r="AJ88"/>
          <cell r="AK88"/>
          <cell r="AL88"/>
          <cell r="AM88"/>
          <cell r="AN88"/>
          <cell r="AO88"/>
          <cell r="AP88"/>
          <cell r="AQ88">
            <v>0</v>
          </cell>
        </row>
        <row r="89">
          <cell r="A89" t="str">
            <v>CESAR ARROCHA GRAELL Y CIA, S.A (Arrocha)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/>
          <cell r="AI89"/>
          <cell r="AJ89"/>
          <cell r="AK89"/>
          <cell r="AL89"/>
          <cell r="AM89"/>
          <cell r="AN89"/>
          <cell r="AO89"/>
          <cell r="AP89"/>
          <cell r="AQ89">
            <v>0</v>
          </cell>
        </row>
        <row r="90">
          <cell r="A90" t="str">
            <v>ALIMENTOS DEL ISTMO (PEPSICO)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/>
          <cell r="AI90"/>
          <cell r="AJ90"/>
          <cell r="AK90"/>
          <cell r="AL90"/>
          <cell r="AM90"/>
          <cell r="AN90"/>
          <cell r="AO90"/>
          <cell r="AP90"/>
          <cell r="AQ90">
            <v>0</v>
          </cell>
        </row>
        <row r="91">
          <cell r="A91" t="str">
            <v>Grupo BIO, S.A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/>
          <cell r="AI91"/>
          <cell r="AJ91"/>
          <cell r="AK91"/>
          <cell r="AL91"/>
          <cell r="AM91"/>
          <cell r="AN91"/>
          <cell r="AO91"/>
          <cell r="AP91"/>
          <cell r="AQ91">
            <v>0</v>
          </cell>
        </row>
        <row r="92">
          <cell r="A92" t="str">
            <v>Panama Ship Warehouse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>
            <v>30</v>
          </cell>
          <cell r="Q92">
            <v>0</v>
          </cell>
          <cell r="R92">
            <v>0</v>
          </cell>
          <cell r="S92">
            <v>30</v>
          </cell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/>
          <cell r="AI92"/>
          <cell r="AJ92"/>
          <cell r="AK92"/>
          <cell r="AL92"/>
          <cell r="AM92"/>
          <cell r="AN92"/>
          <cell r="AO92"/>
          <cell r="AP92"/>
          <cell r="AQ92">
            <v>0</v>
          </cell>
        </row>
        <row r="93">
          <cell r="A93" t="str">
            <v>Comercializadora Continental Santana S.A. (Costa Group)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/>
          <cell r="AI93"/>
          <cell r="AJ93"/>
          <cell r="AK93"/>
          <cell r="AL93"/>
          <cell r="AM93"/>
          <cell r="AN93"/>
          <cell r="AO93"/>
          <cell r="AP93"/>
          <cell r="AQ93">
            <v>0</v>
          </cell>
        </row>
        <row r="94">
          <cell r="A94" t="str">
            <v>GRUPO BARSASH, S.A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/>
          <cell r="AI94"/>
          <cell r="AJ94"/>
          <cell r="AK94"/>
          <cell r="AL94"/>
          <cell r="AM94"/>
          <cell r="AN94"/>
          <cell r="AO94"/>
          <cell r="AP94"/>
          <cell r="AQ94">
            <v>0</v>
          </cell>
        </row>
        <row r="95">
          <cell r="A95" t="str">
            <v>POTUGA FRUIT COMPANY S.A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/>
          <cell r="AI95"/>
          <cell r="AJ95"/>
          <cell r="AK95"/>
          <cell r="AL95"/>
          <cell r="AM95"/>
          <cell r="AN95"/>
          <cell r="AO95"/>
          <cell r="AP95"/>
          <cell r="AQ95">
            <v>0</v>
          </cell>
        </row>
        <row r="96">
          <cell r="A96" t="str">
            <v>DROGUERIA RAMON GONZALEZ REVILLA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/>
          <cell r="AI96"/>
          <cell r="AJ96"/>
          <cell r="AK96"/>
          <cell r="AL96"/>
          <cell r="AM96"/>
          <cell r="AN96"/>
          <cell r="AO96"/>
          <cell r="AP96"/>
          <cell r="AQ96">
            <v>0</v>
          </cell>
        </row>
        <row r="97">
          <cell r="A97" t="str">
            <v>DULCERIA MOMI, S.A.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/>
          <cell r="AI97"/>
          <cell r="AJ97"/>
          <cell r="AK97"/>
          <cell r="AL97"/>
          <cell r="AM97"/>
          <cell r="AN97"/>
          <cell r="AO97"/>
          <cell r="AP97"/>
          <cell r="AQ97">
            <v>0</v>
          </cell>
        </row>
        <row r="98">
          <cell r="A98" t="str">
            <v>MINERA PANAMÁ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/>
          <cell r="AI98"/>
          <cell r="AJ98"/>
          <cell r="AK98"/>
          <cell r="AL98"/>
          <cell r="AM98"/>
          <cell r="AN98"/>
          <cell r="AO98"/>
          <cell r="AP98"/>
          <cell r="AQ98">
            <v>0</v>
          </cell>
        </row>
        <row r="99">
          <cell r="A99" t="str">
            <v>EMPAQUES DE COLON S.A.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>
            <v>0</v>
          </cell>
          <cell r="Q99">
            <v>0</v>
          </cell>
          <cell r="R99">
            <v>1497</v>
          </cell>
          <cell r="S99">
            <v>0</v>
          </cell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/>
          <cell r="AI99"/>
          <cell r="AJ99"/>
          <cell r="AK99"/>
          <cell r="AL99"/>
          <cell r="AM99"/>
          <cell r="AN99"/>
          <cell r="AO99"/>
          <cell r="AP99"/>
          <cell r="AQ99">
            <v>0</v>
          </cell>
        </row>
        <row r="100">
          <cell r="A100" t="str">
            <v>H. TZANETATO INC</v>
          </cell>
          <cell r="B100">
            <v>65</v>
          </cell>
          <cell r="C100">
            <v>0</v>
          </cell>
          <cell r="D100">
            <v>39</v>
          </cell>
          <cell r="E100">
            <v>65</v>
          </cell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>
            <v>1274</v>
          </cell>
          <cell r="Q100">
            <v>214</v>
          </cell>
          <cell r="R100">
            <v>341</v>
          </cell>
          <cell r="S100">
            <v>1274</v>
          </cell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>
            <v>19347</v>
          </cell>
          <cell r="AE100">
            <v>0</v>
          </cell>
          <cell r="AF100">
            <v>8100</v>
          </cell>
          <cell r="AG100">
            <v>19347</v>
          </cell>
          <cell r="AH100"/>
          <cell r="AI100"/>
          <cell r="AJ100"/>
          <cell r="AK100"/>
          <cell r="AL100"/>
          <cell r="AM100"/>
          <cell r="AN100"/>
          <cell r="AO100"/>
          <cell r="AP100"/>
          <cell r="AQ100">
            <v>27447</v>
          </cell>
        </row>
        <row r="101">
          <cell r="A101" t="str">
            <v>INTERLIGHT INDUSTRIES, S.A.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/>
          <cell r="AI101"/>
          <cell r="AJ101"/>
          <cell r="AK101"/>
          <cell r="AL101"/>
          <cell r="AM101"/>
          <cell r="AN101"/>
          <cell r="AO101"/>
          <cell r="AP101"/>
          <cell r="AQ101">
            <v>0</v>
          </cell>
        </row>
        <row r="102">
          <cell r="A102" t="str">
            <v>PRODUCTORES BALBOA INTERNACIONALES INC.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/>
          <cell r="AI102"/>
          <cell r="AJ102"/>
          <cell r="AK102"/>
          <cell r="AL102"/>
          <cell r="AM102"/>
          <cell r="AN102"/>
          <cell r="AO102"/>
          <cell r="AP102"/>
          <cell r="AQ102">
            <v>0</v>
          </cell>
        </row>
        <row r="103">
          <cell r="A103" t="str">
            <v>PAN. CESARIN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/>
          <cell r="AI103"/>
          <cell r="AJ103"/>
          <cell r="AK103"/>
          <cell r="AL103"/>
          <cell r="AM103"/>
          <cell r="AN103"/>
          <cell r="AO103"/>
          <cell r="AP103"/>
          <cell r="AQ103">
            <v>0</v>
          </cell>
        </row>
        <row r="104">
          <cell r="A104" t="str">
            <v>ECO FOOD &amp; HEALTH S.A.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/>
          <cell r="AI104"/>
          <cell r="AJ104"/>
          <cell r="AK104"/>
          <cell r="AL104"/>
          <cell r="AM104"/>
          <cell r="AN104"/>
          <cell r="AO104"/>
          <cell r="AP104"/>
          <cell r="AQ104">
            <v>0</v>
          </cell>
        </row>
        <row r="105">
          <cell r="A105" t="str">
            <v>CORONADO ACL S.A. (LEUDO PANADERÍA)</v>
          </cell>
          <cell r="B105">
            <v>1</v>
          </cell>
          <cell r="C105">
            <v>6</v>
          </cell>
          <cell r="D105">
            <v>4</v>
          </cell>
          <cell r="E105">
            <v>1</v>
          </cell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>
            <v>30</v>
          </cell>
          <cell r="Q105">
            <v>46</v>
          </cell>
          <cell r="R105">
            <v>31</v>
          </cell>
          <cell r="S105">
            <v>30</v>
          </cell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>
            <v>180</v>
          </cell>
          <cell r="AE105">
            <v>1342</v>
          </cell>
          <cell r="AF105">
            <v>1272</v>
          </cell>
          <cell r="AG105">
            <v>180</v>
          </cell>
          <cell r="AH105"/>
          <cell r="AI105"/>
          <cell r="AJ105"/>
          <cell r="AK105"/>
          <cell r="AL105"/>
          <cell r="AM105"/>
          <cell r="AN105"/>
          <cell r="AO105"/>
          <cell r="AP105"/>
          <cell r="AQ105">
            <v>2794</v>
          </cell>
        </row>
        <row r="106">
          <cell r="A106" t="str">
            <v>Despacho de la 1ra Dama</v>
          </cell>
          <cell r="B106">
            <v>0</v>
          </cell>
          <cell r="C106">
            <v>9</v>
          </cell>
          <cell r="D106">
            <v>0</v>
          </cell>
          <cell r="E106">
            <v>0</v>
          </cell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>
            <v>0</v>
          </cell>
          <cell r="Q106">
            <v>378</v>
          </cell>
          <cell r="R106">
            <v>0</v>
          </cell>
          <cell r="S106">
            <v>0</v>
          </cell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>
            <v>0</v>
          </cell>
          <cell r="AE106">
            <v>4042</v>
          </cell>
          <cell r="AF106">
            <v>0</v>
          </cell>
          <cell r="AG106">
            <v>0</v>
          </cell>
          <cell r="AH106"/>
          <cell r="AI106"/>
          <cell r="AJ106"/>
          <cell r="AK106"/>
          <cell r="AL106"/>
          <cell r="AM106"/>
          <cell r="AN106"/>
          <cell r="AO106"/>
          <cell r="AP106"/>
          <cell r="AQ106">
            <v>4042</v>
          </cell>
        </row>
        <row r="107">
          <cell r="A107" t="str">
            <v>INDUSTRIAS LACTEAS, S.A / Estrella Azul</v>
          </cell>
          <cell r="B107">
            <v>22</v>
          </cell>
          <cell r="C107">
            <v>13</v>
          </cell>
          <cell r="D107">
            <v>13</v>
          </cell>
          <cell r="E107">
            <v>22</v>
          </cell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>
            <v>908</v>
          </cell>
          <cell r="Q107">
            <v>2004</v>
          </cell>
          <cell r="R107">
            <v>2206</v>
          </cell>
          <cell r="S107">
            <v>908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>
            <v>6419</v>
          </cell>
          <cell r="AE107">
            <v>2195</v>
          </cell>
          <cell r="AF107">
            <v>1424</v>
          </cell>
          <cell r="AG107">
            <v>6419</v>
          </cell>
          <cell r="AH107"/>
          <cell r="AI107"/>
          <cell r="AJ107"/>
          <cell r="AK107"/>
          <cell r="AL107"/>
          <cell r="AM107"/>
          <cell r="AN107"/>
          <cell r="AO107"/>
          <cell r="AP107"/>
          <cell r="AQ107">
            <v>10038</v>
          </cell>
        </row>
        <row r="108">
          <cell r="A108" t="str">
            <v>GEORGIA TECH PANAMA FOUNDATION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/>
          <cell r="AI108"/>
          <cell r="AJ108"/>
          <cell r="AK108"/>
          <cell r="AL108"/>
          <cell r="AM108"/>
          <cell r="AN108"/>
          <cell r="AO108"/>
          <cell r="AP108"/>
          <cell r="AQ108">
            <v>0</v>
          </cell>
        </row>
        <row r="109">
          <cell r="A109" t="str">
            <v>IMPORTADORA AMADAHY S.A.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/>
          <cell r="AI109"/>
          <cell r="AJ109"/>
          <cell r="AK109"/>
          <cell r="AL109"/>
          <cell r="AM109"/>
          <cell r="AN109"/>
          <cell r="AO109"/>
          <cell r="AP109"/>
          <cell r="AQ109">
            <v>0</v>
          </cell>
        </row>
        <row r="110">
          <cell r="A110" t="str">
            <v>LA CHOLITA S.A.</v>
          </cell>
          <cell r="B110">
            <v>15</v>
          </cell>
          <cell r="C110">
            <v>19</v>
          </cell>
          <cell r="D110">
            <v>17</v>
          </cell>
          <cell r="E110">
            <v>15</v>
          </cell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>
            <v>366</v>
          </cell>
          <cell r="Q110">
            <v>345</v>
          </cell>
          <cell r="R110">
            <v>149</v>
          </cell>
          <cell r="S110">
            <v>366</v>
          </cell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>
            <v>2543</v>
          </cell>
          <cell r="AE110">
            <v>4719</v>
          </cell>
          <cell r="AF110">
            <v>2640</v>
          </cell>
          <cell r="AG110">
            <v>2543</v>
          </cell>
          <cell r="AH110"/>
          <cell r="AI110"/>
          <cell r="AJ110"/>
          <cell r="AK110"/>
          <cell r="AL110"/>
          <cell r="AM110"/>
          <cell r="AN110"/>
          <cell r="AO110"/>
          <cell r="AP110"/>
          <cell r="AQ110">
            <v>9902</v>
          </cell>
        </row>
        <row r="111">
          <cell r="A111" t="str">
            <v>L.A.L. (Los Años Locos)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/>
          <cell r="AI111"/>
          <cell r="AJ111"/>
          <cell r="AK111"/>
          <cell r="AL111"/>
          <cell r="AM111"/>
          <cell r="AN111"/>
          <cell r="AO111"/>
          <cell r="AP111"/>
          <cell r="AQ111">
            <v>0</v>
          </cell>
        </row>
        <row r="112">
          <cell r="A112" t="str">
            <v>UNIVERDE S.A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/>
          <cell r="AI112"/>
          <cell r="AJ112"/>
          <cell r="AK112"/>
          <cell r="AL112"/>
          <cell r="AM112"/>
          <cell r="AN112"/>
          <cell r="AO112"/>
          <cell r="AP112"/>
          <cell r="AQ112">
            <v>0</v>
          </cell>
        </row>
        <row r="113">
          <cell r="A113" t="str">
            <v>BARRAZA Y COMPAÑIA, S.A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/>
          <cell r="AI113"/>
          <cell r="AJ113"/>
          <cell r="AK113"/>
          <cell r="AL113"/>
          <cell r="AM113"/>
          <cell r="AN113"/>
          <cell r="AO113"/>
          <cell r="AP113"/>
          <cell r="AQ113">
            <v>0</v>
          </cell>
        </row>
        <row r="114">
          <cell r="A114" t="str">
            <v>Federación Nacional de Cooperativas Salineras de Panamá (FENCOSPA, R.L.)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>
            <v>70</v>
          </cell>
          <cell r="Q114">
            <v>0</v>
          </cell>
          <cell r="R114">
            <v>0</v>
          </cell>
          <cell r="S114">
            <v>70</v>
          </cell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/>
          <cell r="AI114"/>
          <cell r="AJ114"/>
          <cell r="AK114"/>
          <cell r="AL114"/>
          <cell r="AM114"/>
          <cell r="AN114"/>
          <cell r="AO114"/>
          <cell r="AP114"/>
          <cell r="AQ114">
            <v>0</v>
          </cell>
        </row>
        <row r="115">
          <cell r="A115" t="str">
            <v>RODOLFO MORENO Y CIA (ROMOCIA)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/>
          <cell r="AI115"/>
          <cell r="AJ115"/>
          <cell r="AK115"/>
          <cell r="AL115"/>
          <cell r="AM115"/>
          <cell r="AN115"/>
          <cell r="AO115"/>
          <cell r="AP115"/>
          <cell r="AQ115">
            <v>0</v>
          </cell>
        </row>
        <row r="116">
          <cell r="A116" t="str">
            <v>IMPORTADORA Y EXP HERMANOS GAGO S.A.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>
            <v>0</v>
          </cell>
        </row>
        <row r="117">
          <cell r="A117" t="str">
            <v>EUROFRUTAS INC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>
            <v>0</v>
          </cell>
        </row>
        <row r="118">
          <cell r="A118" t="str">
            <v>FRESCAFHISH, S.A</v>
          </cell>
          <cell r="B118">
            <v>16</v>
          </cell>
          <cell r="C118">
            <v>0</v>
          </cell>
          <cell r="D118">
            <v>0</v>
          </cell>
          <cell r="E118">
            <v>16</v>
          </cell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>
            <v>1040</v>
          </cell>
          <cell r="Q118">
            <v>0</v>
          </cell>
          <cell r="R118">
            <v>0</v>
          </cell>
          <cell r="S118">
            <v>1040</v>
          </cell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>
            <v>2022</v>
          </cell>
          <cell r="AE118">
            <v>0</v>
          </cell>
          <cell r="AF118">
            <v>0</v>
          </cell>
          <cell r="AG118">
            <v>2022</v>
          </cell>
          <cell r="AH118"/>
          <cell r="AI118"/>
          <cell r="AJ118"/>
          <cell r="AK118"/>
          <cell r="AL118"/>
          <cell r="AM118"/>
          <cell r="AN118"/>
          <cell r="AO118"/>
          <cell r="AP118"/>
          <cell r="AQ118">
            <v>2022</v>
          </cell>
        </row>
        <row r="119">
          <cell r="A119" t="str">
            <v>Global Brands (Panamá), S.A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/>
          <cell r="AI119"/>
          <cell r="AJ119"/>
          <cell r="AK119"/>
          <cell r="AL119"/>
          <cell r="AM119"/>
          <cell r="AN119"/>
          <cell r="AO119"/>
          <cell r="AP119"/>
          <cell r="AQ119">
            <v>0</v>
          </cell>
        </row>
        <row r="120">
          <cell r="A120" t="str">
            <v>ULE RIVER RANCH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/>
          <cell r="AI120"/>
          <cell r="AJ120"/>
          <cell r="AK120"/>
          <cell r="AL120"/>
          <cell r="AM120"/>
          <cell r="AN120"/>
          <cell r="AO120"/>
          <cell r="AP120"/>
          <cell r="AQ120">
            <v>0</v>
          </cell>
        </row>
        <row r="121">
          <cell r="A121" t="str">
            <v>PROCESADORA MONICA, S.A</v>
          </cell>
          <cell r="B121">
            <v>5</v>
          </cell>
          <cell r="C121">
            <v>5</v>
          </cell>
          <cell r="D121">
            <v>4</v>
          </cell>
          <cell r="E121">
            <v>5</v>
          </cell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>
            <v>144</v>
          </cell>
          <cell r="Q121">
            <v>222</v>
          </cell>
          <cell r="R121">
            <v>43</v>
          </cell>
          <cell r="S121">
            <v>144</v>
          </cell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>
            <v>959</v>
          </cell>
          <cell r="AE121">
            <v>1191</v>
          </cell>
          <cell r="AF121">
            <v>715</v>
          </cell>
          <cell r="AG121">
            <v>959</v>
          </cell>
          <cell r="AH121"/>
          <cell r="AI121"/>
          <cell r="AJ121"/>
          <cell r="AK121"/>
          <cell r="AL121"/>
          <cell r="AM121"/>
          <cell r="AN121"/>
          <cell r="AO121"/>
          <cell r="AP121"/>
          <cell r="AQ121">
            <v>2865</v>
          </cell>
        </row>
        <row r="122">
          <cell r="A122" t="str">
            <v>SAMBU ARTISAN FOOD, S.A.</v>
          </cell>
          <cell r="B122">
            <v>32</v>
          </cell>
          <cell r="C122">
            <v>40</v>
          </cell>
          <cell r="D122">
            <v>38</v>
          </cell>
          <cell r="E122">
            <v>32</v>
          </cell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>
            <v>0</v>
          </cell>
          <cell r="Q122">
            <v>2161</v>
          </cell>
          <cell r="R122">
            <v>0</v>
          </cell>
          <cell r="S122">
            <v>0</v>
          </cell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>
            <v>7021</v>
          </cell>
          <cell r="AE122">
            <v>15350</v>
          </cell>
          <cell r="AF122">
            <v>13545</v>
          </cell>
          <cell r="AG122">
            <v>7021</v>
          </cell>
          <cell r="AH122"/>
          <cell r="AI122"/>
          <cell r="AJ122"/>
          <cell r="AK122"/>
          <cell r="AL122"/>
          <cell r="AM122"/>
          <cell r="AN122"/>
          <cell r="AO122"/>
          <cell r="AP122"/>
          <cell r="AQ122">
            <v>35916</v>
          </cell>
        </row>
        <row r="123">
          <cell r="A123" t="str">
            <v>GRUPO NIJAR S.A.</v>
          </cell>
          <cell r="B123">
            <v>0</v>
          </cell>
          <cell r="C123"/>
          <cell r="D123">
            <v>47</v>
          </cell>
          <cell r="E123">
            <v>0</v>
          </cell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>
            <v>0</v>
          </cell>
          <cell r="Q123">
            <v>281</v>
          </cell>
          <cell r="R123">
            <v>0</v>
          </cell>
          <cell r="S123">
            <v>0</v>
          </cell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>
            <v>0</v>
          </cell>
          <cell r="AE123"/>
          <cell r="AF123">
            <v>17506</v>
          </cell>
          <cell r="AG123">
            <v>0</v>
          </cell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</row>
        <row r="124">
          <cell r="A124" t="str">
            <v>L?Oréal Panamá Comercial, S. A</v>
          </cell>
          <cell r="B124">
            <v>0</v>
          </cell>
          <cell r="C124"/>
          <cell r="D124">
            <v>6</v>
          </cell>
          <cell r="E124">
            <v>0</v>
          </cell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>
            <v>0</v>
          </cell>
          <cell r="Q124">
            <v>38</v>
          </cell>
          <cell r="R124">
            <v>0</v>
          </cell>
          <cell r="S124">
            <v>0</v>
          </cell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>
            <v>0</v>
          </cell>
          <cell r="AE124"/>
          <cell r="AF124">
            <v>2187</v>
          </cell>
          <cell r="AG124">
            <v>0</v>
          </cell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</row>
        <row r="125">
          <cell r="A125" t="str">
            <v>Agro Export Pacific, S.A</v>
          </cell>
          <cell r="B125">
            <v>68</v>
          </cell>
          <cell r="C125"/>
          <cell r="D125">
            <v>1</v>
          </cell>
          <cell r="E125">
            <v>68</v>
          </cell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>
            <v>9754</v>
          </cell>
          <cell r="Q125"/>
          <cell r="R125">
            <v>2976</v>
          </cell>
          <cell r="S125">
            <v>9754</v>
          </cell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>
            <v>20267</v>
          </cell>
          <cell r="AE125"/>
          <cell r="AF125">
            <v>73</v>
          </cell>
          <cell r="AG125">
            <v>20267</v>
          </cell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</row>
        <row r="126">
          <cell r="A126" t="str">
            <v>CENTRAL AZUCARERO LA VICTORIA</v>
          </cell>
          <cell r="B126">
            <v>4</v>
          </cell>
          <cell r="C126"/>
          <cell r="D126">
            <v>10</v>
          </cell>
          <cell r="E126">
            <v>4</v>
          </cell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>
            <v>66</v>
          </cell>
          <cell r="Q126"/>
          <cell r="R126">
            <v>66</v>
          </cell>
          <cell r="S126">
            <v>66</v>
          </cell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>
            <v>823</v>
          </cell>
          <cell r="AE126"/>
          <cell r="AF126">
            <v>1312</v>
          </cell>
          <cell r="AG126">
            <v>823</v>
          </cell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</row>
        <row r="127">
          <cell r="A127" t="str">
            <v>COOLBOX FRESIA CORP.</v>
          </cell>
          <cell r="B127">
            <v>4</v>
          </cell>
          <cell r="C127"/>
          <cell r="D127">
            <v>26</v>
          </cell>
          <cell r="E127">
            <v>4</v>
          </cell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>
            <v>0</v>
          </cell>
          <cell r="Q127"/>
          <cell r="R127">
            <v>213</v>
          </cell>
          <cell r="S127">
            <v>0</v>
          </cell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>
            <v>1489</v>
          </cell>
          <cell r="AE127"/>
          <cell r="AF127">
            <v>7457</v>
          </cell>
          <cell r="AG127">
            <v>1489</v>
          </cell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</row>
        <row r="128">
          <cell r="A128" t="str">
            <v>CORPORACIÓN MENDELA S.A.</v>
          </cell>
          <cell r="B128">
            <v>0</v>
          </cell>
          <cell r="C128"/>
          <cell r="D128">
            <v>1</v>
          </cell>
          <cell r="E128">
            <v>0</v>
          </cell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>
            <v>0</v>
          </cell>
          <cell r="Q128"/>
          <cell r="R128">
            <v>8</v>
          </cell>
          <cell r="S128">
            <v>0</v>
          </cell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>
            <v>0</v>
          </cell>
          <cell r="AE128"/>
          <cell r="AF128">
            <v>65</v>
          </cell>
          <cell r="AG128">
            <v>0</v>
          </cell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</row>
        <row r="129">
          <cell r="A129" t="str">
            <v>FEAX INTERNATIONAL S.A.</v>
          </cell>
          <cell r="B129">
            <v>0</v>
          </cell>
          <cell r="C129"/>
          <cell r="D129">
            <v>0</v>
          </cell>
          <cell r="E129">
            <v>0</v>
          </cell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>
            <v>0</v>
          </cell>
          <cell r="Q129"/>
          <cell r="R129">
            <v>68</v>
          </cell>
          <cell r="S129">
            <v>0</v>
          </cell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>
            <v>0</v>
          </cell>
          <cell r="AE129"/>
          <cell r="AF129">
            <v>0</v>
          </cell>
          <cell r="AG129">
            <v>0</v>
          </cell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</row>
        <row r="130">
          <cell r="A130" t="str">
            <v>AGENCIAS ESCOFFERY, S.A</v>
          </cell>
          <cell r="B130">
            <v>28</v>
          </cell>
          <cell r="C130"/>
          <cell r="D130">
            <v>0</v>
          </cell>
          <cell r="E130">
            <v>28</v>
          </cell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>
            <v>3933</v>
          </cell>
          <cell r="Q130"/>
          <cell r="R130"/>
          <cell r="S130">
            <v>3933</v>
          </cell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>
            <v>7490</v>
          </cell>
          <cell r="AE130"/>
          <cell r="AF130">
            <v>0</v>
          </cell>
          <cell r="AG130">
            <v>7490</v>
          </cell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</row>
      </sheetData>
      <sheetData sheetId="13"/>
      <sheetData sheetId="14">
        <row r="1">
          <cell r="C1" t="str">
            <v>Nombre de la cuenta</v>
          </cell>
          <cell r="D1" t="str">
            <v>Contacto principal</v>
          </cell>
          <cell r="E1" t="str">
            <v>Correo Electrónico</v>
          </cell>
          <cell r="F1" t="str">
            <v>Teléfono</v>
          </cell>
        </row>
        <row r="2">
          <cell r="C2" t="str">
            <v>ADVERTISING AND PROMOTION DE PANAMA, S.A</v>
          </cell>
          <cell r="E2" t="str">
            <v>rrhh.pa@ayp.com.mx</v>
          </cell>
          <cell r="F2" t="str">
            <v>261-7996</v>
          </cell>
        </row>
        <row r="3">
          <cell r="C3" t="str">
            <v>AF CESA - CONSULTORES ESPECIALIZADOS, S.A.</v>
          </cell>
          <cell r="D3" t="str">
            <v>Antonio Fletcher</v>
          </cell>
          <cell r="E3" t="str">
            <v>afletcher@af-cesa.com</v>
          </cell>
          <cell r="F3" t="str">
            <v>236 7589 / 91 / 800 2332</v>
          </cell>
        </row>
        <row r="4">
          <cell r="C4" t="str">
            <v>AGENCIA BENEDICTO WONG, S.A</v>
          </cell>
          <cell r="D4" t="str">
            <v>Frances Wong</v>
          </cell>
          <cell r="E4" t="str">
            <v>jguzman@grupobwong.com</v>
          </cell>
          <cell r="F4" t="str">
            <v>2363444</v>
          </cell>
        </row>
        <row r="5">
          <cell r="C5" t="str">
            <v>AGENCIA INTERNACIONAL DE MARCAS, S.A - AGIMSA</v>
          </cell>
          <cell r="D5" t="str">
            <v>ROGELIO GONZALEZ</v>
          </cell>
          <cell r="E5" t="str">
            <v>rgonzalez@agimsapanama.com</v>
          </cell>
          <cell r="F5" t="str">
            <v>224-9664</v>
          </cell>
        </row>
        <row r="6">
          <cell r="C6" t="str">
            <v>AGENCIAS ESCOFFERY, S.A</v>
          </cell>
          <cell r="D6" t="str">
            <v>Leonardo Arner</v>
          </cell>
          <cell r="E6" t="str">
            <v>leonardo.arner@agenciasescoffery.com</v>
          </cell>
          <cell r="F6" t="str">
            <v>302-2372</v>
          </cell>
        </row>
        <row r="7">
          <cell r="C7" t="str">
            <v>AGENCIAS FEDURO</v>
          </cell>
          <cell r="D7" t="str">
            <v>Rony Lombardo</v>
          </cell>
          <cell r="E7" t="str">
            <v>rlombardo@feduro.net</v>
          </cell>
          <cell r="F7" t="str">
            <v>3044444</v>
          </cell>
        </row>
        <row r="8">
          <cell r="C8" t="str">
            <v>ALIMENTOS CÁRNICOS DE PANAMA ,S.A</v>
          </cell>
          <cell r="D8" t="str">
            <v>Debora Mendoza</v>
          </cell>
          <cell r="F8" t="str">
            <v>290-9100 / 290 9150</v>
          </cell>
        </row>
        <row r="9">
          <cell r="C9" t="str">
            <v>ALIMENTOS KELLOGG DE PANAMA</v>
          </cell>
          <cell r="D9" t="str">
            <v>Ingma Contreras</v>
          </cell>
          <cell r="E9" t="str">
            <v>ingma.contreras@kellogg.com</v>
          </cell>
          <cell r="F9" t="str">
            <v>303-1500</v>
          </cell>
        </row>
        <row r="10">
          <cell r="C10" t="str">
            <v>ALIMENTOS NICO, S.A, (ANICSA)</v>
          </cell>
          <cell r="D10" t="str">
            <v>David Yanguez</v>
          </cell>
          <cell r="E10" t="str">
            <v>cafe.don.tino@hotmail.com</v>
          </cell>
          <cell r="F10" t="str">
            <v>851 0138</v>
          </cell>
        </row>
        <row r="11">
          <cell r="C11" t="str">
            <v>ALNAIS, S.A</v>
          </cell>
          <cell r="D11" t="str">
            <v>Isabella Visbal</v>
          </cell>
          <cell r="E11" t="str">
            <v>mercadeo@shopthesnackguru.com</v>
          </cell>
          <cell r="F11" t="str">
            <v>6826-2549</v>
          </cell>
        </row>
        <row r="12">
          <cell r="C12" t="str">
            <v>Altieri Specialty Coffee.</v>
          </cell>
        </row>
        <row r="13">
          <cell r="C13" t="str">
            <v>ARCE AVICOLA, S.A.</v>
          </cell>
          <cell r="E13" t="str">
            <v>invarro@arceavicola.com</v>
          </cell>
          <cell r="F13" t="str">
            <v>266-3076</v>
          </cell>
        </row>
        <row r="14">
          <cell r="C14" t="str">
            <v>AVIPAC</v>
          </cell>
          <cell r="D14" t="str">
            <v>Luz Campos</v>
          </cell>
          <cell r="E14" t="str">
            <v>testrada@avipacinc.com</v>
          </cell>
        </row>
        <row r="15">
          <cell r="C15" t="str">
            <v>AWA, S.A.</v>
          </cell>
          <cell r="D15" t="str">
            <v>Flora Rodriguez</v>
          </cell>
          <cell r="E15" t="str">
            <v>frodriguez@naturesmarket.com.pa</v>
          </cell>
          <cell r="F15" t="str">
            <v>774-4099</v>
          </cell>
        </row>
        <row r="16">
          <cell r="C16" t="str">
            <v>BAES DISTRIBUIDORES, S.A.</v>
          </cell>
          <cell r="D16" t="str">
            <v>Fernando Ow Young</v>
          </cell>
          <cell r="E16" t="str">
            <v>operaciones@baesdisa.com</v>
          </cell>
          <cell r="F16" t="str">
            <v>2714530</v>
          </cell>
        </row>
        <row r="17">
          <cell r="C17" t="str">
            <v>Banesco</v>
          </cell>
        </row>
        <row r="18">
          <cell r="C18" t="str">
            <v>BELGIAN DELIGHTS CORP.</v>
          </cell>
          <cell r="D18" t="str">
            <v>Boris Vigano</v>
          </cell>
          <cell r="E18" t="str">
            <v>borisvigano@gmail.com</v>
          </cell>
          <cell r="F18" t="str">
            <v>507 6300 6295</v>
          </cell>
        </row>
        <row r="19">
          <cell r="C19" t="str">
            <v>Bienes y Raices Metalicas S.A.</v>
          </cell>
          <cell r="D19" t="str">
            <v>Jose Tello</v>
          </cell>
          <cell r="E19" t="str">
            <v>tmj1929@hotmail.com</v>
          </cell>
          <cell r="F19" t="str">
            <v>6675-0897</v>
          </cell>
        </row>
        <row r="20">
          <cell r="C20" t="str">
            <v>BOTICA EL JAVILLO</v>
          </cell>
          <cell r="D20" t="str">
            <v>July de Robinson</v>
          </cell>
          <cell r="F20" t="str">
            <v>301-4005</v>
          </cell>
        </row>
        <row r="21">
          <cell r="C21" t="str">
            <v>BOTICAS EL JAVILLO</v>
          </cell>
          <cell r="E21" t="str">
            <v>fcastro@grupodehaseth.com</v>
          </cell>
          <cell r="F21" t="str">
            <v>3014000 EXT. 4181</v>
          </cell>
        </row>
        <row r="22">
          <cell r="C22" t="str">
            <v>BRM SAL</v>
          </cell>
          <cell r="E22" t="str">
            <v>tmj1929@hotmail.com</v>
          </cell>
          <cell r="F22" t="str">
            <v>974-4758</v>
          </cell>
        </row>
        <row r="23">
          <cell r="C23" t="str">
            <v>CANDIES SUPPLIER, INC</v>
          </cell>
          <cell r="E23" t="str">
            <v>lcarrasco@candiessupplier.com</v>
          </cell>
          <cell r="F23" t="str">
            <v>271 0844</v>
          </cell>
        </row>
        <row r="24">
          <cell r="C24" t="str">
            <v>CARDY FOOD SUPPLY, S.A</v>
          </cell>
          <cell r="D24" t="str">
            <v>Reiddy Rodriguez</v>
          </cell>
          <cell r="E24" t="str">
            <v>reiddyrodriguez@hotmail.com</v>
          </cell>
          <cell r="F24" t="str">
            <v>6151-9309</v>
          </cell>
        </row>
        <row r="25">
          <cell r="C25" t="str">
            <v>Caribbean International Foods Inc</v>
          </cell>
          <cell r="D25" t="str">
            <v>Ilka Espinoza</v>
          </cell>
          <cell r="E25" t="str">
            <v>iespinoza@caribbeanpatty.com</v>
          </cell>
          <cell r="F25" t="str">
            <v>263-4001</v>
          </cell>
        </row>
        <row r="26">
          <cell r="C26" t="str">
            <v>CASA BOCAO S.A.</v>
          </cell>
          <cell r="D26" t="str">
            <v>Jaime Perez</v>
          </cell>
          <cell r="E26" t="str">
            <v>info@bocaopanama.net</v>
          </cell>
          <cell r="F26" t="str">
            <v>6672-5316</v>
          </cell>
        </row>
        <row r="27">
          <cell r="C27" t="str">
            <v>CASA DE LA CARNE</v>
          </cell>
          <cell r="D27" t="str">
            <v>Roberto Mangravita</v>
          </cell>
        </row>
        <row r="28">
          <cell r="C28" t="str">
            <v>CASA MAYORISTA JANETH</v>
          </cell>
          <cell r="F28" t="str">
            <v>224-8447</v>
          </cell>
        </row>
        <row r="29">
          <cell r="C29" t="str">
            <v>CEGRACO</v>
          </cell>
          <cell r="D29" t="str">
            <v>Naresh Camargo</v>
          </cell>
          <cell r="E29" t="str">
            <v>naresh.camargo@grupocalesa.com</v>
          </cell>
          <cell r="F29" t="str">
            <v>6262-1652</v>
          </cell>
        </row>
        <row r="30">
          <cell r="C30" t="str">
            <v>CENTRAL AZUCARERA DE ALANGE</v>
          </cell>
          <cell r="D30" t="str">
            <v>ARMANDO CASTRO</v>
          </cell>
          <cell r="E30" t="str">
            <v>ventas@cadasa.com.pa</v>
          </cell>
          <cell r="F30" t="str">
            <v>221-6966</v>
          </cell>
        </row>
        <row r="31">
          <cell r="C31" t="str">
            <v>CENTRAL AZUCARERA LA VICTORIA</v>
          </cell>
          <cell r="D31" t="str">
            <v>Luis Herrera</v>
          </cell>
          <cell r="E31" t="str">
            <v>gerencia@mobilemail.net</v>
          </cell>
          <cell r="F31" t="str">
            <v>959-0422</v>
          </cell>
        </row>
        <row r="32">
          <cell r="C32" t="str">
            <v>CENTRALAM DISTRIBUTORS INC</v>
          </cell>
          <cell r="D32" t="str">
            <v>Laisa Monterrey</v>
          </cell>
          <cell r="F32" t="str">
            <v>266-8281</v>
          </cell>
        </row>
        <row r="33">
          <cell r="C33" t="str">
            <v>CESAR ARROCHA GRAELL Y CIA, S.A (Arrocha)</v>
          </cell>
          <cell r="D33" t="str">
            <v>Marisol Vallarino</v>
          </cell>
          <cell r="E33" t="str">
            <v>mvallarino@arrocha.com</v>
          </cell>
          <cell r="F33" t="str">
            <v>279-9000</v>
          </cell>
        </row>
        <row r="34">
          <cell r="C34" t="str">
            <v>CESAR PIZZA SA</v>
          </cell>
          <cell r="D34" t="str">
            <v>Lourdes Sanchez</v>
          </cell>
        </row>
        <row r="35">
          <cell r="C35" t="str">
            <v>CHIPMA FOOD SERVICES</v>
          </cell>
          <cell r="F35" t="str">
            <v>6242-8105</v>
          </cell>
        </row>
        <row r="36">
          <cell r="C36" t="str">
            <v>CHIPMAN FOOD SERVICES</v>
          </cell>
          <cell r="E36" t="str">
            <v>contacto@chipmafood.com</v>
          </cell>
          <cell r="F36" t="str">
            <v>6242 8105 / 6368-9471</v>
          </cell>
        </row>
        <row r="37">
          <cell r="C37" t="str">
            <v>CIBO GROUP</v>
          </cell>
          <cell r="E37" t="str">
            <v>kaybermudez@cibogroup.net</v>
          </cell>
          <cell r="F37" t="str">
            <v>+507 2756304</v>
          </cell>
        </row>
        <row r="38">
          <cell r="C38" t="str">
            <v>Cinefood Services</v>
          </cell>
        </row>
        <row r="39">
          <cell r="C39" t="str">
            <v>CISNEROS INTERACTIVE</v>
          </cell>
          <cell r="E39" t="str">
            <v>cvilardel@cisnerosinteractive.com</v>
          </cell>
        </row>
        <row r="40">
          <cell r="C40" t="str">
            <v>Club Kiwanis Metropolitano</v>
          </cell>
          <cell r="E40" t="str">
            <v>kiwanispa@cwpanama.net</v>
          </cell>
          <cell r="F40" t="str">
            <v>232-7282</v>
          </cell>
        </row>
        <row r="41">
          <cell r="C41" t="str">
            <v>COCLESANA DE DISTRIBUCION (PLASTIMAR)</v>
          </cell>
          <cell r="D41" t="str">
            <v>Jesus Quintero</v>
          </cell>
          <cell r="E41" t="str">
            <v>l.vega@plastimar.net</v>
          </cell>
          <cell r="F41" t="str">
            <v>2330780</v>
          </cell>
        </row>
        <row r="42">
          <cell r="C42" t="str">
            <v>COLABORADORES BRITISH AMERICAN TOBACCO</v>
          </cell>
        </row>
        <row r="43">
          <cell r="C43" t="str">
            <v>Colaboradores de Parque Sur</v>
          </cell>
        </row>
        <row r="44">
          <cell r="C44" t="str">
            <v>COLABORES DECOLOSAL</v>
          </cell>
          <cell r="E44" t="str">
            <v>dvillarreal@decolosal.com.pa</v>
          </cell>
        </row>
        <row r="45">
          <cell r="C45" t="str">
            <v>COLEGIO BRADER</v>
          </cell>
        </row>
        <row r="46">
          <cell r="C46" t="str">
            <v>COLEGIO REAL</v>
          </cell>
        </row>
        <row r="47">
          <cell r="C47" t="str">
            <v>COMERCIAL POZUELO PANAMA, S.A</v>
          </cell>
          <cell r="D47" t="str">
            <v>Carmen Guerra</v>
          </cell>
          <cell r="E47" t="str">
            <v>clguerra@pozuelo.com.pa</v>
          </cell>
          <cell r="F47" t="str">
            <v>282-0279</v>
          </cell>
        </row>
        <row r="48">
          <cell r="C48" t="str">
            <v>Comida Sana Centro America y Caribe</v>
          </cell>
        </row>
        <row r="49">
          <cell r="C49" t="str">
            <v>COMPAÑIA LEVAPAN DE PANAMA, S.A.</v>
          </cell>
          <cell r="D49" t="str">
            <v>Antonio Chan</v>
          </cell>
          <cell r="E49" t="str">
            <v>achan@levapan.net</v>
          </cell>
          <cell r="F49" t="str">
            <v>3201589</v>
          </cell>
        </row>
        <row r="50">
          <cell r="C50" t="str">
            <v>CONSORCIO ALIMENTANDO PANAMÁ</v>
          </cell>
          <cell r="D50" t="str">
            <v>Jorge Rueda</v>
          </cell>
          <cell r="F50" t="str">
            <v>394 7008</v>
          </cell>
        </row>
        <row r="51">
          <cell r="C51" t="str">
            <v>CORPORACION ALBAMA ENTERPRISE</v>
          </cell>
        </row>
        <row r="52">
          <cell r="C52" t="str">
            <v>Corporación Comercializadora Sudamericana S.A.</v>
          </cell>
        </row>
        <row r="53">
          <cell r="C53" t="str">
            <v>CORPORACION INTERNACIONAL DE ALIMENTOS, S.A.</v>
          </cell>
          <cell r="D53" t="str">
            <v>Angel Larrea Cornejo</v>
          </cell>
          <cell r="E53" t="str">
            <v>graciela@cialimentos.com</v>
          </cell>
          <cell r="F53" t="str">
            <v>291-0300</v>
          </cell>
        </row>
        <row r="54">
          <cell r="C54" t="str">
            <v>Cultivo y Vegetales Panama</v>
          </cell>
        </row>
        <row r="55">
          <cell r="C55" t="str">
            <v>DEL MONTE DE PANAMA, S.A</v>
          </cell>
          <cell r="D55" t="str">
            <v>Elaine Patiño</v>
          </cell>
          <cell r="E55" t="str">
            <v>elainepatino@delmonte.com.pa</v>
          </cell>
          <cell r="F55" t="str">
            <v>278-8000</v>
          </cell>
        </row>
        <row r="56">
          <cell r="C56" t="str">
            <v>DELICIAS CANTONESAS</v>
          </cell>
          <cell r="F56" t="str">
            <v>2351617</v>
          </cell>
        </row>
        <row r="57">
          <cell r="C57" t="str">
            <v>DISTRIBUIDORA DE CARNES SAN MIGUEL</v>
          </cell>
        </row>
        <row r="58">
          <cell r="C58" t="str">
            <v>DISTRIBUIDORA E INVERSIONES IMPERIO, S.A.</v>
          </cell>
          <cell r="F58" t="str">
            <v>65419078</v>
          </cell>
        </row>
        <row r="59">
          <cell r="C59" t="str">
            <v>DISTRIBUIDORA ISTMEÑA DE ALIMENTOS</v>
          </cell>
          <cell r="E59" t="str">
            <v>jsanchez@agrosilos.com</v>
          </cell>
          <cell r="F59" t="str">
            <v>8506418</v>
          </cell>
        </row>
        <row r="60">
          <cell r="C60" t="str">
            <v>Distribuidora Italo Hispana</v>
          </cell>
          <cell r="D60" t="str">
            <v>Julio Cid</v>
          </cell>
          <cell r="E60" t="str">
            <v>distribuidoraitalohispana@gmail.com</v>
          </cell>
          <cell r="F60" t="str">
            <v>233-7114/15</v>
          </cell>
        </row>
        <row r="61">
          <cell r="C61" t="str">
            <v>DISTRIBUIDORA SIEMA, S.A</v>
          </cell>
          <cell r="F61" t="str">
            <v>310-0822</v>
          </cell>
        </row>
        <row r="62">
          <cell r="C62" t="str">
            <v>DISTRIBUIDORA VICMARI, S.A.</v>
          </cell>
          <cell r="D62" t="str">
            <v>Esteban Edebnburg</v>
          </cell>
          <cell r="E62" t="str">
            <v>lucas19662000@gmail.com</v>
          </cell>
          <cell r="F62" t="str">
            <v>233-3579</v>
          </cell>
        </row>
        <row r="63">
          <cell r="C63" t="str">
            <v>DISTRIBUIDORA VITALESTAR, S.A.</v>
          </cell>
          <cell r="D63" t="str">
            <v>Maideline Azuaje</v>
          </cell>
          <cell r="E63" t="str">
            <v>maideline.azuaje@vitalestar.com</v>
          </cell>
          <cell r="F63" t="str">
            <v>398-1411</v>
          </cell>
        </row>
        <row r="64">
          <cell r="C64" t="str">
            <v>DO IT CENTER</v>
          </cell>
        </row>
        <row r="65">
          <cell r="C65" t="str">
            <v>DROGUERIA RAMON GONZALEZ REVILLA</v>
          </cell>
          <cell r="D65" t="str">
            <v>Laura Gonzalez - Ruiz</v>
          </cell>
          <cell r="E65" t="str">
            <v>laura.gonzalez@drogueria-revilla.com</v>
          </cell>
          <cell r="F65" t="str">
            <v>207-1900</v>
          </cell>
        </row>
        <row r="66">
          <cell r="C66" t="str">
            <v>DROGUERIA SARO</v>
          </cell>
          <cell r="D66" t="str">
            <v>Javier Saval</v>
          </cell>
          <cell r="E66" t="str">
            <v>jsaval@drogueriasaro.com</v>
          </cell>
          <cell r="F66" t="str">
            <v>2271677</v>
          </cell>
        </row>
        <row r="67">
          <cell r="C67" t="str">
            <v>ECONORED DE PANAMÁ - AJE GROUP</v>
          </cell>
          <cell r="D67" t="str">
            <v>Tatiana De Leon</v>
          </cell>
        </row>
        <row r="68">
          <cell r="C68" t="str">
            <v>EMBAJADA AMERICANA</v>
          </cell>
          <cell r="E68" t="str">
            <v>blancop@state.gov</v>
          </cell>
        </row>
        <row r="69">
          <cell r="C69" t="str">
            <v>EMPRESAS MELO, S.A</v>
          </cell>
          <cell r="D69" t="str">
            <v>Noira Him</v>
          </cell>
          <cell r="E69" t="str">
            <v>nhim@grupomelo.com</v>
          </cell>
          <cell r="F69" t="str">
            <v>221-1011 323-6900 6679-1424</v>
          </cell>
        </row>
        <row r="70">
          <cell r="C70" t="str">
            <v>Empresas Tio Yeyo</v>
          </cell>
          <cell r="F70" t="str">
            <v>396-9117</v>
          </cell>
        </row>
        <row r="71">
          <cell r="C71" t="str">
            <v>EURO FOODSERVICES, S.A</v>
          </cell>
          <cell r="E71" t="str">
            <v>ventas@efs.com.pa</v>
          </cell>
          <cell r="F71" t="str">
            <v>29-0013</v>
          </cell>
        </row>
        <row r="72">
          <cell r="C72" t="str">
            <v>FON PANAMA</v>
          </cell>
          <cell r="D72" t="str">
            <v>Hazel Jeanet Chong Law</v>
          </cell>
          <cell r="F72" t="str">
            <v>262-4038</v>
          </cell>
        </row>
        <row r="73">
          <cell r="C73" t="str">
            <v>FOOD SOLUTIONS</v>
          </cell>
          <cell r="D73" t="str">
            <v>Lisbeth Avecilla</v>
          </cell>
          <cell r="E73" t="str">
            <v>jdeleon@foodsolutionspanama.com</v>
          </cell>
          <cell r="F73" t="str">
            <v>6203-3733</v>
          </cell>
        </row>
        <row r="74">
          <cell r="C74" t="str">
            <v>FRIGOSERVICES INC</v>
          </cell>
          <cell r="D74" t="str">
            <v>Regulo López</v>
          </cell>
          <cell r="E74" t="str">
            <v>compras3@frigoservices-inc.com</v>
          </cell>
          <cell r="F74" t="str">
            <v>263-1996 / 434-1996</v>
          </cell>
        </row>
        <row r="75">
          <cell r="C75" t="str">
            <v>Fruselva S.A</v>
          </cell>
          <cell r="D75" t="str">
            <v>Mariela Coronel</v>
          </cell>
        </row>
        <row r="76">
          <cell r="C76" t="str">
            <v>FUNDACION GARCIA DE PAREDES - ARANGO</v>
          </cell>
          <cell r="E76" t="str">
            <v>renegdep@yahoo.com</v>
          </cell>
          <cell r="F76" t="str">
            <v>6894 7995</v>
          </cell>
        </row>
        <row r="77">
          <cell r="C77" t="str">
            <v>FUNDACION XTRA CONTIGO</v>
          </cell>
        </row>
        <row r="78">
          <cell r="C78" t="str">
            <v>GO BRANDS, S.A</v>
          </cell>
          <cell r="D78" t="str">
            <v>GLORIA CAÑIZALES</v>
          </cell>
          <cell r="E78" t="str">
            <v>gloria.canizales@gobrands.com.pa</v>
          </cell>
          <cell r="F78" t="str">
            <v>200-0609</v>
          </cell>
        </row>
        <row r="79">
          <cell r="C79" t="str">
            <v>GOLD MILLS</v>
          </cell>
          <cell r="D79" t="str">
            <v>Dazmara Zelaya</v>
          </cell>
          <cell r="E79" t="str">
            <v>dzelaya@goldmills.com.pa</v>
          </cell>
          <cell r="F79" t="str">
            <v>3603600</v>
          </cell>
        </row>
        <row r="80">
          <cell r="C80" t="str">
            <v>Griffith Foods, S.A</v>
          </cell>
          <cell r="D80" t="str">
            <v>Pedro De Ycaza</v>
          </cell>
          <cell r="E80" t="str">
            <v>pdeycaza@griffithfoods.com</v>
          </cell>
          <cell r="F80" t="str">
            <v>271-0766</v>
          </cell>
        </row>
        <row r="81">
          <cell r="C81" t="str">
            <v>Groen Panama</v>
          </cell>
          <cell r="D81" t="str">
            <v>Juliett Lopez</v>
          </cell>
          <cell r="E81" t="str">
            <v>ventas@groenpanama.com</v>
          </cell>
          <cell r="F81" t="str">
            <v>388-7095</v>
          </cell>
        </row>
        <row r="82">
          <cell r="C82" t="str">
            <v>GRUPO ARAUZ</v>
          </cell>
          <cell r="D82" t="str">
            <v>Miguel Quiroz</v>
          </cell>
          <cell r="F82" t="str">
            <v>6612-7049</v>
          </cell>
        </row>
        <row r="83">
          <cell r="C83" t="str">
            <v>Grupo BIO, S.A</v>
          </cell>
          <cell r="D83" t="str">
            <v>Alejandro Ponce</v>
          </cell>
          <cell r="F83" t="str">
            <v>62003197</v>
          </cell>
        </row>
        <row r="84">
          <cell r="C84" t="str">
            <v>GRUPO LALA</v>
          </cell>
        </row>
        <row r="85">
          <cell r="C85" t="str">
            <v>GRUPO MEXPA, S.A.</v>
          </cell>
          <cell r="D85" t="str">
            <v>Laura Calderon Giron</v>
          </cell>
          <cell r="E85" t="str">
            <v>grupomexpas.a@hotmail.com</v>
          </cell>
          <cell r="F85" t="str">
            <v>203 9244 / 802 7035 / 63227252</v>
          </cell>
        </row>
        <row r="86">
          <cell r="C86" t="str">
            <v>Grupo Raphael/El Fuerte</v>
          </cell>
          <cell r="D86" t="str">
            <v>Moises Ilarlan</v>
          </cell>
          <cell r="F86" t="str">
            <v>310-0555</v>
          </cell>
        </row>
        <row r="87">
          <cell r="C87" t="str">
            <v>HDP, S.A / INVERSIONES ENCANTO,S.A.- JUSTO Y BUENO</v>
          </cell>
          <cell r="D87" t="str">
            <v>MILCIADES GONZALEZ B.</v>
          </cell>
          <cell r="E87" t="str">
            <v>milciades.gonzalez@hdp.com.pa</v>
          </cell>
          <cell r="F87" t="str">
            <v>507 63491034</v>
          </cell>
        </row>
        <row r="88">
          <cell r="C88" t="str">
            <v>HMC Panama</v>
          </cell>
          <cell r="D88" t="str">
            <v>María Gabriela Urbanc</v>
          </cell>
          <cell r="E88" t="str">
            <v>mercadeo@hmcpanama.com</v>
          </cell>
          <cell r="F88" t="str">
            <v>260-6080</v>
          </cell>
        </row>
        <row r="89">
          <cell r="C89" t="str">
            <v>IMPORTACIONES CAMIJAC, S.A</v>
          </cell>
          <cell r="D89" t="str">
            <v>Giselle Perez</v>
          </cell>
          <cell r="E89" t="str">
            <v>admincamijac@icloud.com</v>
          </cell>
          <cell r="F89" t="str">
            <v>6677-8711</v>
          </cell>
        </row>
        <row r="90">
          <cell r="C90" t="str">
            <v>IMPORTACIONES SAGO PANAMA</v>
          </cell>
          <cell r="D90" t="str">
            <v>Armando Gonzalez</v>
          </cell>
          <cell r="E90" t="str">
            <v>agonzalez@importacionessagopanama.com</v>
          </cell>
          <cell r="F90" t="str">
            <v>388-0772</v>
          </cell>
        </row>
        <row r="91">
          <cell r="C91" t="str">
            <v>IMPORTADORA RICAMAR - SUPER 99</v>
          </cell>
          <cell r="D91" t="str">
            <v>Amado Barrios</v>
          </cell>
          <cell r="E91" t="str">
            <v>abarrios@super99.com</v>
          </cell>
          <cell r="F91" t="str">
            <v>323 8700</v>
          </cell>
        </row>
        <row r="92">
          <cell r="C92" t="str">
            <v>IMPORTADORA TRANSMUNDI, S.A</v>
          </cell>
          <cell r="D92" t="str">
            <v>Jose Duarte</v>
          </cell>
          <cell r="F92" t="str">
            <v>233-9200</v>
          </cell>
        </row>
        <row r="93">
          <cell r="C93" t="str">
            <v>IMPORTADORA Y EXPORTADORA NIMAR</v>
          </cell>
          <cell r="D93" t="str">
            <v>Rafael Santamaria</v>
          </cell>
          <cell r="E93" t="str">
            <v>rafael@nimar.com.pa</v>
          </cell>
          <cell r="F93" t="str">
            <v>222-0528</v>
          </cell>
        </row>
        <row r="94">
          <cell r="C94" t="str">
            <v>Industrias Alimenticias Doraz</v>
          </cell>
          <cell r="F94" t="str">
            <v>220-6062</v>
          </cell>
        </row>
        <row r="95">
          <cell r="C95" t="str">
            <v>INDUSTRIAS LACTEAS, S.A / Estrella Azul</v>
          </cell>
          <cell r="D95" t="str">
            <v>Sandra Beitia</v>
          </cell>
          <cell r="E95" t="str">
            <v>lorena.henriquez@estrellaazul.com.pa</v>
          </cell>
          <cell r="F95" t="str">
            <v>800-2035</v>
          </cell>
        </row>
        <row r="96">
          <cell r="C96" t="str">
            <v>INDUSTRIAS PANAMA BOSTON, S.A (Pabo)</v>
          </cell>
          <cell r="D96" t="str">
            <v>Lisbeth Cordoba</v>
          </cell>
          <cell r="F96" t="str">
            <v>236-2644</v>
          </cell>
        </row>
        <row r="97">
          <cell r="C97" t="str">
            <v>INSTITUTO DE MERCADEO AGROPECUARIO</v>
          </cell>
          <cell r="D97" t="str">
            <v>Socrates Theoktisto</v>
          </cell>
          <cell r="E97" t="str">
            <v>stheoktisto@ima.gob.pa</v>
          </cell>
          <cell r="F97" t="str">
            <v>63309816</v>
          </cell>
        </row>
        <row r="98">
          <cell r="C98" t="str">
            <v>Inversiones Naturalia , S.A</v>
          </cell>
          <cell r="D98" t="str">
            <v>Tatiana Navarro</v>
          </cell>
          <cell r="E98" t="str">
            <v>tatianalorenzo@naturaliapanama.com</v>
          </cell>
          <cell r="F98" t="str">
            <v>391-3130</v>
          </cell>
        </row>
        <row r="99">
          <cell r="C99" t="str">
            <v>INVERSORA CARBOR DE PANAMA S.A</v>
          </cell>
          <cell r="D99" t="str">
            <v>BORIS AUGUSTO MELENDEZ ABEN</v>
          </cell>
          <cell r="E99" t="str">
            <v>alimentoscarborpanama@gmail.com</v>
          </cell>
          <cell r="F99" t="str">
            <v>6484-3395</v>
          </cell>
        </row>
        <row r="100">
          <cell r="C100" t="str">
            <v>Italfood/ProCenter</v>
          </cell>
        </row>
        <row r="101">
          <cell r="C101" t="str">
            <v>JUMBO SUPERMERCADO</v>
          </cell>
          <cell r="E101" t="str">
            <v>procesos@jumbo.com.pa</v>
          </cell>
          <cell r="F101" t="str">
            <v>310-0821</v>
          </cell>
        </row>
        <row r="102">
          <cell r="C102" t="str">
            <v>LA HERMOSA, S.A.</v>
          </cell>
          <cell r="D102" t="str">
            <v>FRANCISCO CLOUGH</v>
          </cell>
          <cell r="E102" t="str">
            <v>fclough@hermot.com</v>
          </cell>
          <cell r="F102" t="str">
            <v>7270518</v>
          </cell>
        </row>
        <row r="103">
          <cell r="C103" t="str">
            <v>LINA CORPORATION INC (LINA)</v>
          </cell>
          <cell r="D103" t="str">
            <v>Rogelio Garibaldo</v>
          </cell>
          <cell r="E103" t="str">
            <v>rgaribaldo@thegroupg.com</v>
          </cell>
          <cell r="F103" t="str">
            <v>209 3790 ext 205</v>
          </cell>
        </row>
        <row r="104">
          <cell r="C104" t="str">
            <v>MAKELIN RAQUEL ARIAS</v>
          </cell>
          <cell r="D104" t="str">
            <v>Jaime Pérez Arias</v>
          </cell>
          <cell r="F104" t="str">
            <v>6672-5316</v>
          </cell>
        </row>
        <row r="105">
          <cell r="C105" t="str">
            <v>MAR PESCA</v>
          </cell>
          <cell r="F105" t="str">
            <v>69874120</v>
          </cell>
        </row>
        <row r="106">
          <cell r="C106" t="str">
            <v>MARIA SOLEDAD MIRO</v>
          </cell>
          <cell r="D106" t="str">
            <v>Maria Soledad Miro</v>
          </cell>
        </row>
        <row r="107">
          <cell r="C107" t="str">
            <v>MARPESCA, S.A.</v>
          </cell>
          <cell r="D107" t="str">
            <v>Teofilo Gomez</v>
          </cell>
          <cell r="F107" t="str">
            <v>378-6600</v>
          </cell>
        </row>
        <row r="108">
          <cell r="C108" t="str">
            <v>MARTÍN BROWER</v>
          </cell>
          <cell r="D108" t="str">
            <v>Jay Kinlock</v>
          </cell>
          <cell r="E108" t="str">
            <v>jkinlock1@martin-brower.com</v>
          </cell>
          <cell r="F108" t="str">
            <v>202-5100</v>
          </cell>
        </row>
        <row r="109">
          <cell r="C109" t="str">
            <v>MAYOR PTY INC</v>
          </cell>
          <cell r="D109" t="str">
            <v>Mariela Heuer</v>
          </cell>
          <cell r="E109" t="str">
            <v>adm@mayorpty.com</v>
          </cell>
          <cell r="F109" t="str">
            <v>6618-7502</v>
          </cell>
        </row>
        <row r="110">
          <cell r="C110" t="str">
            <v>MEDIA ITEMS, INC</v>
          </cell>
          <cell r="F110" t="str">
            <v>303-1545</v>
          </cell>
        </row>
        <row r="111">
          <cell r="C111" t="str">
            <v>MEDIMEX, S.A</v>
          </cell>
          <cell r="D111" t="str">
            <v>Juan Carlos Canavaggio</v>
          </cell>
          <cell r="E111" t="str">
            <v>jccanavaggio@medimexsa.com</v>
          </cell>
          <cell r="F111" t="str">
            <v>217-1566</v>
          </cell>
        </row>
        <row r="112">
          <cell r="C112" t="str">
            <v>MERAKI. S.A</v>
          </cell>
          <cell r="D112" t="str">
            <v>Nayara Garcia</v>
          </cell>
          <cell r="F112" t="str">
            <v>6747-6900</v>
          </cell>
        </row>
        <row r="113">
          <cell r="C113" t="str">
            <v>MERCADO DEL MARISCO</v>
          </cell>
        </row>
        <row r="114">
          <cell r="C114" t="str">
            <v>MERCALIMENTOS PANAMA, S.A</v>
          </cell>
          <cell r="D114" t="str">
            <v>Ricardo Larrea</v>
          </cell>
          <cell r="E114" t="str">
            <v>ricardo@cialimentos.com</v>
          </cell>
          <cell r="F114" t="str">
            <v>291-0300/291-0415</v>
          </cell>
        </row>
        <row r="115">
          <cell r="C115" t="str">
            <v>MIDA - Ministerio desarrollo Agropecuario</v>
          </cell>
          <cell r="D115" t="str">
            <v>Jose Manuel Diaz Herrera</v>
          </cell>
          <cell r="E115" t="str">
            <v>jmdiaz@mida.gob.pa</v>
          </cell>
          <cell r="F115" t="str">
            <v>68065143</v>
          </cell>
        </row>
        <row r="116">
          <cell r="C116" t="str">
            <v>MMR IMPORT &amp; EXPORT</v>
          </cell>
          <cell r="D116" t="str">
            <v>Esteban Roman</v>
          </cell>
          <cell r="E116" t="str">
            <v>mmrpanama@hotmail.com</v>
          </cell>
          <cell r="F116" t="str">
            <v>6983-6836</v>
          </cell>
        </row>
        <row r="117">
          <cell r="C117" t="str">
            <v>MOLINO HERMANOS PALACIOS, S.A</v>
          </cell>
          <cell r="D117" t="str">
            <v>Raul Palacios</v>
          </cell>
          <cell r="E117" t="str">
            <v>ingraulpalacios@grupohepsa.com</v>
          </cell>
          <cell r="F117" t="str">
            <v>9893939 EXT 102</v>
          </cell>
        </row>
        <row r="118">
          <cell r="C118" t="str">
            <v>MOLINO VERAGUAS - GRUPO ATHANASIADIS-RAMOS</v>
          </cell>
          <cell r="D118" t="str">
            <v>Villo Athanasiadis</v>
          </cell>
          <cell r="E118" t="str">
            <v>secretariag@gathanasiadisr.com</v>
          </cell>
          <cell r="F118" t="str">
            <v>6150 7747</v>
          </cell>
        </row>
        <row r="119">
          <cell r="C119" t="str">
            <v>Mondelez **** SEDE EN CR ****</v>
          </cell>
          <cell r="D119" t="str">
            <v>MARVIN HERRERA</v>
          </cell>
          <cell r="E119" t="str">
            <v>marvin.herrera@mdlz.com</v>
          </cell>
          <cell r="F119" t="str">
            <v>6679-1095</v>
          </cell>
        </row>
        <row r="120">
          <cell r="C120" t="str">
            <v>MULTI TASKING, S.A.</v>
          </cell>
          <cell r="F120" t="str">
            <v>314 7237</v>
          </cell>
        </row>
        <row r="121">
          <cell r="C121" t="str">
            <v>NATHAN FOODS CORPORATION</v>
          </cell>
          <cell r="D121" t="str">
            <v>Clemente Ramos</v>
          </cell>
          <cell r="E121" t="str">
            <v>logistica@nathanfoods.com</v>
          </cell>
        </row>
        <row r="122">
          <cell r="C122" t="str">
            <v>NEGOCIOS CENTROAMERICANOS, S.A</v>
          </cell>
          <cell r="D122" t="str">
            <v>Viksi Hartmann</v>
          </cell>
          <cell r="E122" t="str">
            <v>vhartmann@colombina.com</v>
          </cell>
          <cell r="F122" t="str">
            <v>378-0900</v>
          </cell>
        </row>
        <row r="123">
          <cell r="C123" t="str">
            <v>NUEVO HUNG SHENG</v>
          </cell>
          <cell r="D123" t="str">
            <v>ALBERTO CHONG</v>
          </cell>
          <cell r="E123" t="str">
            <v>alberto.chong@nhs.com</v>
          </cell>
          <cell r="F123" t="str">
            <v>271-5384</v>
          </cell>
        </row>
        <row r="124">
          <cell r="C124" t="str">
            <v>NUTRICEREALES DE PANAMA, S.A.</v>
          </cell>
          <cell r="D124" t="str">
            <v>Federico Diaz</v>
          </cell>
          <cell r="F124" t="str">
            <v>396 9646</v>
          </cell>
        </row>
        <row r="125">
          <cell r="C125" t="str">
            <v>OPEN BLUE SEA FARMS PANAMA, S.A</v>
          </cell>
          <cell r="D125" t="str">
            <v>A. Camarena</v>
          </cell>
          <cell r="E125" t="str">
            <v>acamarena@openblue.com</v>
          </cell>
          <cell r="F125" t="str">
            <v>317-1540</v>
          </cell>
        </row>
        <row r="126">
          <cell r="C126" t="str">
            <v>ORGANICA</v>
          </cell>
        </row>
        <row r="127">
          <cell r="C127" t="str">
            <v>Pacific Hills</v>
          </cell>
          <cell r="F127" t="str">
            <v>3210111</v>
          </cell>
        </row>
        <row r="128">
          <cell r="C128" t="str">
            <v>Panama Best Products - Lowcountry Citrus Corp</v>
          </cell>
          <cell r="D128" t="str">
            <v>Mercedes Gomez</v>
          </cell>
          <cell r="E128" t="str">
            <v>lowcountry06@hotmail.com</v>
          </cell>
          <cell r="F128" t="str">
            <v>66736074</v>
          </cell>
        </row>
        <row r="129">
          <cell r="C129" t="str">
            <v>PANAMERICAN SCHOOL - KILOGRAMOS DE ESPERANZA</v>
          </cell>
        </row>
        <row r="130">
          <cell r="C130" t="str">
            <v>PANASAL</v>
          </cell>
          <cell r="D130" t="str">
            <v>Irma Ramos de Lopez</v>
          </cell>
          <cell r="E130" t="str">
            <v>panasal@cwpanama.net</v>
          </cell>
          <cell r="F130" t="str">
            <v>2208588</v>
          </cell>
        </row>
        <row r="131">
          <cell r="C131" t="str">
            <v>PARROQUIA SAN LUCAS</v>
          </cell>
        </row>
        <row r="132">
          <cell r="C132" t="str">
            <v>PEDERSEN FINE FOODS, S.A</v>
          </cell>
          <cell r="D132" t="str">
            <v>Sheila Samaniego</v>
          </cell>
          <cell r="E132" t="str">
            <v>sheila.samaniego@pffsa.com</v>
          </cell>
          <cell r="F132" t="str">
            <v>222-2555</v>
          </cell>
        </row>
        <row r="133">
          <cell r="C133" t="str">
            <v>PETIT PARIS MARBELLA CORP</v>
          </cell>
          <cell r="F133" t="str">
            <v>6933 5228</v>
          </cell>
        </row>
        <row r="134">
          <cell r="C134" t="str">
            <v>PILMIFRESH</v>
          </cell>
        </row>
        <row r="135">
          <cell r="C135" t="str">
            <v>PRAXAIR</v>
          </cell>
          <cell r="E135" t="str">
            <v>eugenia_castillo@praxair.com</v>
          </cell>
        </row>
        <row r="136">
          <cell r="C136" t="str">
            <v>Premium Food Services s.a</v>
          </cell>
          <cell r="E136" t="str">
            <v>acastillo@cinemarkca.com</v>
          </cell>
          <cell r="F136" t="str">
            <v>3146003</v>
          </cell>
        </row>
        <row r="137">
          <cell r="C137" t="str">
            <v>PROCESADORA MONTE AZUL, S.A</v>
          </cell>
          <cell r="D137" t="str">
            <v>GIOVANNA BARCOS</v>
          </cell>
          <cell r="F137" t="str">
            <v>309-7400</v>
          </cell>
        </row>
        <row r="138">
          <cell r="C138" t="str">
            <v>PRODIMA</v>
          </cell>
          <cell r="D138" t="str">
            <v>Magilka McCalla</v>
          </cell>
          <cell r="E138" t="str">
            <v>rrhh@prodima.com.pa</v>
          </cell>
          <cell r="F138" t="str">
            <v>301-3850</v>
          </cell>
        </row>
        <row r="139">
          <cell r="C139" t="str">
            <v>PRODUCTOS DE PRESTIGIO, S.A</v>
          </cell>
          <cell r="D139" t="str">
            <v>Jean Pierre Leignadier</v>
          </cell>
          <cell r="E139" t="str">
            <v>gerencia@proprestigio.com</v>
          </cell>
          <cell r="F139" t="str">
            <v>320-8400</v>
          </cell>
        </row>
        <row r="140">
          <cell r="C140" t="str">
            <v>PRODUCTOS KIENER</v>
          </cell>
          <cell r="F140" t="str">
            <v>278 6450</v>
          </cell>
        </row>
        <row r="141">
          <cell r="C141" t="str">
            <v>PRODUCTOS LA DOÑA, S.A</v>
          </cell>
          <cell r="D141" t="str">
            <v>Jose Sobrino</v>
          </cell>
          <cell r="E141" t="str">
            <v>operaciones@ladona.com.pa</v>
          </cell>
          <cell r="F141" t="str">
            <v>220-1000</v>
          </cell>
        </row>
        <row r="142">
          <cell r="C142" t="str">
            <v>PRODUCTOS LACTEOS SAN ANTONIO S.A</v>
          </cell>
          <cell r="E142" t="str">
            <v>mcristina.perez@prolacsa.com</v>
          </cell>
          <cell r="F142" t="str">
            <v>221-3103</v>
          </cell>
        </row>
        <row r="143">
          <cell r="C143" t="str">
            <v>PRODUCTOS LUX, S.A ( Proluxa)</v>
          </cell>
          <cell r="D143" t="str">
            <v>Dayrineth De León</v>
          </cell>
          <cell r="E143" t="str">
            <v>ddeleon@proluxsa.com</v>
          </cell>
          <cell r="F143" t="str">
            <v>224-9095</v>
          </cell>
        </row>
        <row r="144">
          <cell r="C144" t="str">
            <v>PRODUCTOS NEVADA S.A</v>
          </cell>
          <cell r="D144" t="str">
            <v>Ana Gabriela Piedra</v>
          </cell>
          <cell r="E144" t="str">
            <v>anapiedra@dospinos.com</v>
          </cell>
          <cell r="F144" t="str">
            <v>66148881</v>
          </cell>
        </row>
        <row r="145">
          <cell r="C145" t="str">
            <v>PRODUCTOS RIANDO</v>
          </cell>
        </row>
        <row r="146">
          <cell r="C146" t="str">
            <v>PRODUCTOS TOLEDANO</v>
          </cell>
          <cell r="D146" t="str">
            <v>Marlene Duran</v>
          </cell>
          <cell r="E146" t="str">
            <v>mduran@toledano.com</v>
          </cell>
          <cell r="F146" t="str">
            <v>290-8200</v>
          </cell>
        </row>
        <row r="147">
          <cell r="C147" t="str">
            <v>PROGRAMA KILOS DE ESPERANZA</v>
          </cell>
          <cell r="E147" t="str">
            <v>c.ingreso2@banalimentospty.com</v>
          </cell>
          <cell r="F147" t="str">
            <v>+5072920162</v>
          </cell>
        </row>
        <row r="148">
          <cell r="C148" t="str">
            <v>PROHEALTH SHOP, S.A.</v>
          </cell>
        </row>
        <row r="149">
          <cell r="C149" t="str">
            <v>PROMUEVETE, S.A</v>
          </cell>
          <cell r="E149" t="str">
            <v>anorte@promuevete.net</v>
          </cell>
          <cell r="F149" t="str">
            <v>261-4933</v>
          </cell>
        </row>
        <row r="150">
          <cell r="C150" t="str">
            <v>PROSERV</v>
          </cell>
          <cell r="D150" t="str">
            <v>MARIA PINZON</v>
          </cell>
          <cell r="E150" t="str">
            <v>igalvez@proserv.com.pa</v>
          </cell>
          <cell r="F150" t="str">
            <v>6672-0932</v>
          </cell>
        </row>
        <row r="151">
          <cell r="C151" t="str">
            <v>PUREZA DE MARIA</v>
          </cell>
        </row>
        <row r="152">
          <cell r="C152" t="str">
            <v>PURISSIMA, S.A</v>
          </cell>
          <cell r="D152" t="str">
            <v>Raul Bultron</v>
          </cell>
          <cell r="E152" t="str">
            <v>lbrostella@aguasdelistmo.com</v>
          </cell>
          <cell r="F152" t="str">
            <v>221-7920</v>
          </cell>
        </row>
        <row r="153">
          <cell r="C153" t="str">
            <v>REFRESCOS INTELIGENTES, S.A.</v>
          </cell>
          <cell r="E153" t="str">
            <v>hcoutte@multi-tasking.net</v>
          </cell>
          <cell r="F153" t="str">
            <v>314 7237</v>
          </cell>
        </row>
        <row r="154">
          <cell r="C154" t="str">
            <v>REPRESENTACIONES ELDUA S.A</v>
          </cell>
          <cell r="D154" t="str">
            <v>IKER ORMAZABAL</v>
          </cell>
        </row>
        <row r="155">
          <cell r="C155" t="str">
            <v>REPRESENTACIONES TEJEIRA, S.A</v>
          </cell>
          <cell r="D155" t="str">
            <v>Itzel Tejeira</v>
          </cell>
          <cell r="E155" t="str">
            <v>itzeltejeira@gmail.com</v>
          </cell>
          <cell r="F155" t="str">
            <v>232 6790</v>
          </cell>
        </row>
        <row r="156">
          <cell r="C156" t="str">
            <v>REPRICO</v>
          </cell>
          <cell r="D156" t="str">
            <v>Maxima Mojica</v>
          </cell>
          <cell r="E156" t="str">
            <v>mmojica@reprico.com</v>
          </cell>
          <cell r="F156" t="str">
            <v>229-8888</v>
          </cell>
        </row>
        <row r="157">
          <cell r="C157" t="str">
            <v>RIBA SMITH, S.A.</v>
          </cell>
          <cell r="D157" t="str">
            <v>Joel Rivera</v>
          </cell>
          <cell r="E157" t="str">
            <v>joel.rivera@rimith.com</v>
          </cell>
          <cell r="F157" t="str">
            <v>309-5335</v>
          </cell>
        </row>
        <row r="158">
          <cell r="C158" t="str">
            <v>ROCMAR SEAFOOD,S.A</v>
          </cell>
          <cell r="D158" t="str">
            <v>Roy Rivera</v>
          </cell>
          <cell r="E158" t="str">
            <v>roy@rocmarseafood.com</v>
          </cell>
          <cell r="F158" t="str">
            <v>251-4389</v>
          </cell>
        </row>
        <row r="159">
          <cell r="C159" t="str">
            <v>SALVA - MAR,</v>
          </cell>
          <cell r="D159" t="str">
            <v>Zaida Lorena Gutierrez</v>
          </cell>
          <cell r="E159" t="str">
            <v>salvadorg@salva-mar.com</v>
          </cell>
          <cell r="F159" t="str">
            <v>6672 8733/ 6670-2354</v>
          </cell>
        </row>
        <row r="160">
          <cell r="C160" t="str">
            <v>SANULAC NUTRICIÓN</v>
          </cell>
          <cell r="D160" t="str">
            <v>Ana Elisa De La Lastra</v>
          </cell>
          <cell r="E160" t="str">
            <v>ana.delalastra@medwell-int.com</v>
          </cell>
          <cell r="F160" t="str">
            <v>6206-6423</v>
          </cell>
        </row>
        <row r="161">
          <cell r="C161" t="str">
            <v>SELECTO</v>
          </cell>
          <cell r="E161" t="str">
            <v>valverde@selecto.com.pa</v>
          </cell>
        </row>
        <row r="162">
          <cell r="C162" t="str">
            <v>SERVAIR NEW REST PANAMA, S.A.</v>
          </cell>
          <cell r="F162" t="str">
            <v>507 +838-5143</v>
          </cell>
        </row>
        <row r="163">
          <cell r="C163" t="str">
            <v>SERVAIR NEWREST PANAMA</v>
          </cell>
          <cell r="D163" t="str">
            <v>Adelina Botero</v>
          </cell>
          <cell r="F163" t="str">
            <v>838-5143</v>
          </cell>
        </row>
        <row r="164">
          <cell r="C164" t="str">
            <v>Sí, es natural, S.A.</v>
          </cell>
        </row>
        <row r="165">
          <cell r="C165" t="str">
            <v>Signify</v>
          </cell>
          <cell r="D165" t="str">
            <v>Arturo Santos</v>
          </cell>
        </row>
        <row r="166">
          <cell r="C166" t="str">
            <v>SISTEMAS MCCOPCO PANAMA, S.A.</v>
          </cell>
          <cell r="D166" t="str">
            <v>Ana Maria Fuente</v>
          </cell>
          <cell r="E166" t="str">
            <v>afuentes@martin-brower.com</v>
          </cell>
          <cell r="F166" t="str">
            <v>2025106</v>
          </cell>
        </row>
        <row r="167">
          <cell r="C167" t="str">
            <v>SOCIEDAD DE ALIMENTOS DE PRIMERA, S.A (Bonlac)</v>
          </cell>
          <cell r="D167" t="str">
            <v>Katherine Caballero</v>
          </cell>
          <cell r="E167" t="str">
            <v>katherinecaballero@bonlac.com.pa</v>
          </cell>
          <cell r="F167" t="str">
            <v>395-8500</v>
          </cell>
        </row>
        <row r="168">
          <cell r="C168" t="str">
            <v>SOYA PAC</v>
          </cell>
          <cell r="F168" t="str">
            <v>3232249</v>
          </cell>
        </row>
        <row r="169">
          <cell r="C169" t="str">
            <v>SUPER BARU</v>
          </cell>
          <cell r="F169" t="str">
            <v>775-0773</v>
          </cell>
        </row>
        <row r="170">
          <cell r="C170" t="str">
            <v>Supermercados Rey</v>
          </cell>
          <cell r="D170" t="str">
            <v>ELIDIA CHAVEZ</v>
          </cell>
          <cell r="E170" t="str">
            <v>elchavez@smrey.com</v>
          </cell>
          <cell r="F170" t="str">
            <v>6997-8043</v>
          </cell>
        </row>
        <row r="171">
          <cell r="C171" t="str">
            <v>SUPLATEC, S.A</v>
          </cell>
          <cell r="D171" t="str">
            <v>ISABEL APARICIO</v>
          </cell>
          <cell r="E171" t="str">
            <v>iaparicio@plastimar.net</v>
          </cell>
          <cell r="F171" t="str">
            <v>271-0760</v>
          </cell>
        </row>
        <row r="172">
          <cell r="C172" t="str">
            <v>SURAMERICANA DE ALIMENTOS</v>
          </cell>
          <cell r="D172" t="str">
            <v>Oscar Martin</v>
          </cell>
          <cell r="F172" t="str">
            <v>398-5210</v>
          </cell>
        </row>
        <row r="173">
          <cell r="C173" t="str">
            <v>SURAMERICANA DE ALIMENTOS PANAMA, S.A</v>
          </cell>
          <cell r="D173" t="str">
            <v>Oscar Martin</v>
          </cell>
          <cell r="E173" t="str">
            <v>oimartin@suramericanapanama.com</v>
          </cell>
          <cell r="F173" t="str">
            <v>398-5133 / 398-5210</v>
          </cell>
        </row>
        <row r="174">
          <cell r="C174" t="str">
            <v>SWAT CONSULTING SERVICES PANAMÁ, S.A.</v>
          </cell>
          <cell r="D174" t="str">
            <v>Sthefany Almengor</v>
          </cell>
          <cell r="E174" t="str">
            <v>sthefany.almengor@swat.com.mx</v>
          </cell>
          <cell r="F174" t="str">
            <v>3996130</v>
          </cell>
        </row>
        <row r="175">
          <cell r="C175" t="str">
            <v>SYY PANAMA S. de R.L.</v>
          </cell>
          <cell r="D175" t="str">
            <v>Wiston Moraga</v>
          </cell>
          <cell r="E175" t="str">
            <v>wmoraga@panama.sysco.com</v>
          </cell>
          <cell r="F175" t="str">
            <v>320-2550</v>
          </cell>
        </row>
        <row r="176">
          <cell r="C176" t="str">
            <v>TAMEK , S.A (Supercentro El Fuerte )</v>
          </cell>
          <cell r="D176" t="str">
            <v>MUSA ILARSLAN</v>
          </cell>
          <cell r="E176" t="str">
            <v>nberk@gruporaphael.com</v>
          </cell>
          <cell r="F176" t="str">
            <v>310-0500</v>
          </cell>
        </row>
        <row r="177">
          <cell r="C177" t="str">
            <v>Tecnologias Agroalimentarias</v>
          </cell>
          <cell r="F177" t="str">
            <v>215-1389</v>
          </cell>
        </row>
        <row r="178">
          <cell r="C178" t="str">
            <v>TOP BRANDS</v>
          </cell>
        </row>
        <row r="179">
          <cell r="C179" t="str">
            <v>TROPICAL DE ALIMENTOS</v>
          </cell>
        </row>
        <row r="180">
          <cell r="C180" t="str">
            <v>TYPEGRAPHICS</v>
          </cell>
          <cell r="F180" t="str">
            <v>3938376 / 77</v>
          </cell>
        </row>
        <row r="181">
          <cell r="C181" t="str">
            <v>Universidad Especial del Contador Publico Autorizado</v>
          </cell>
        </row>
        <row r="182">
          <cell r="C182" t="str">
            <v>VENTAS Y MERCADEO, S.A</v>
          </cell>
          <cell r="D182" t="str">
            <v>Karina Hernandez</v>
          </cell>
          <cell r="E182" t="str">
            <v>karina.hernandezl@kof.com.mx</v>
          </cell>
          <cell r="F182" t="str">
            <v>274-9000 EXT. 5270</v>
          </cell>
        </row>
        <row r="183">
          <cell r="C183" t="str">
            <v>VERBA ODREC, S.A</v>
          </cell>
          <cell r="D183" t="str">
            <v>Hipolito Vergara</v>
          </cell>
          <cell r="E183" t="str">
            <v>logistica@verbaodrec.com</v>
          </cell>
          <cell r="F183" t="str">
            <v>8320531</v>
          </cell>
        </row>
        <row r="184">
          <cell r="C184" t="str">
            <v>WEEKS GONZALEZ</v>
          </cell>
          <cell r="D184" t="str">
            <v>GEOFFREY H WEEKS GONZALEZ</v>
          </cell>
        </row>
        <row r="185">
          <cell r="C185" t="str">
            <v>CERVECERIA NACIONAL</v>
          </cell>
          <cell r="D185" t="str">
            <v>Mashelle Bolobosky</v>
          </cell>
          <cell r="E185" t="str">
            <v>mashelle.boloskyc-ext@ab-inbev.com</v>
          </cell>
          <cell r="F185" t="str">
            <v>3056000</v>
          </cell>
        </row>
        <row r="186">
          <cell r="C186" t="str">
            <v>FUNDACION NUTRESA</v>
          </cell>
        </row>
        <row r="187">
          <cell r="C187" t="str">
            <v>PMC GROUP</v>
          </cell>
          <cell r="D187" t="str">
            <v>ERNESTO CHONG CORONADO</v>
          </cell>
          <cell r="E187" t="str">
            <v>cmontes@pcminternacional.com</v>
          </cell>
          <cell r="F187" t="str">
            <v>302-9400</v>
          </cell>
        </row>
        <row r="188">
          <cell r="C188" t="str">
            <v>UNIBANK</v>
          </cell>
        </row>
        <row r="189">
          <cell r="C189" t="str">
            <v>ALFA CONTRACTOR S.A.</v>
          </cell>
          <cell r="D189" t="str">
            <v>Jaime Perez</v>
          </cell>
          <cell r="E189" t="str">
            <v>info@bocaopanama.net</v>
          </cell>
        </row>
        <row r="190">
          <cell r="C190" t="str">
            <v>Bright Media Corp.</v>
          </cell>
          <cell r="D190" t="str">
            <v>Vielka Gil</v>
          </cell>
          <cell r="E190" t="str">
            <v>vgil@maxonelimited.com</v>
          </cell>
          <cell r="F190" t="str">
            <v>6325-1570</v>
          </cell>
        </row>
        <row r="191">
          <cell r="C191" t="str">
            <v>CORPORACION IMPA-DOEL</v>
          </cell>
          <cell r="D191" t="str">
            <v>Larissa Ibañez</v>
          </cell>
          <cell r="E191" t="str">
            <v>libanez@impadoel.com</v>
          </cell>
          <cell r="F191" t="str">
            <v>302-1200</v>
          </cell>
        </row>
        <row r="192">
          <cell r="C192" t="str">
            <v>ORDEN DE MALTA PANAMA ASOCIACION PANAMEÑA</v>
          </cell>
          <cell r="D192" t="str">
            <v>Lynn R. Carranza</v>
          </cell>
          <cell r="E192" t="str">
            <v>ordendemaltapanama@gmail.com</v>
          </cell>
          <cell r="F192" t="str">
            <v>270-1496</v>
          </cell>
        </row>
        <row r="193">
          <cell r="C193" t="str">
            <v>CREACION DE CUENTA</v>
          </cell>
          <cell r="D193" t="str">
            <v>Test Contactos</v>
          </cell>
          <cell r="F193" t="str">
            <v>0000000</v>
          </cell>
        </row>
        <row r="194">
          <cell r="C194" t="str">
            <v>AGROGANADERA LA ALBINA</v>
          </cell>
          <cell r="D194" t="str">
            <v>ALBERTO MARTINELLI</v>
          </cell>
          <cell r="E194" t="str">
            <v>vadodelalamo@yahoo.com</v>
          </cell>
          <cell r="F194" t="str">
            <v>998-8201</v>
          </cell>
        </row>
        <row r="195">
          <cell r="C195" t="str">
            <v>AGROINVESA - Agroindustrias Alimenticias de Veraguas, S.A. - La Parmigiana</v>
          </cell>
          <cell r="D195" t="str">
            <v>Rafael Virzi</v>
          </cell>
          <cell r="E195" t="str">
            <v>rvirzi@parmigiana.com.pa</v>
          </cell>
          <cell r="F195" t="str">
            <v>998 2662/2686361</v>
          </cell>
        </row>
        <row r="196">
          <cell r="C196" t="str">
            <v>CENTRAL AMERICAN FOODS</v>
          </cell>
          <cell r="D196" t="str">
            <v>JOSSIMARK GEORGE</v>
          </cell>
          <cell r="E196" t="str">
            <v>jgeorge@cafpanama.com</v>
          </cell>
          <cell r="F196" t="str">
            <v>214-4408</v>
          </cell>
        </row>
        <row r="197">
          <cell r="C197" t="str">
            <v>DICSA PANAMA</v>
          </cell>
          <cell r="D197" t="str">
            <v>Maria Teresa Diaz</v>
          </cell>
          <cell r="E197" t="str">
            <v>mdiazq@dicsapanama.com</v>
          </cell>
          <cell r="F197" t="str">
            <v>271-0844</v>
          </cell>
        </row>
        <row r="198">
          <cell r="C198" t="str">
            <v>Grupo Calesa</v>
          </cell>
          <cell r="D198" t="str">
            <v>Naresh Camargo</v>
          </cell>
          <cell r="E198" t="str">
            <v>naresh.camargo@grupocalesa.com</v>
          </cell>
          <cell r="F198" t="str">
            <v>236-1512</v>
          </cell>
        </row>
        <row r="199">
          <cell r="C199" t="str">
            <v>HT ZANETATO INC</v>
          </cell>
          <cell r="D199" t="str">
            <v>Milagros Rodriguez</v>
          </cell>
          <cell r="E199" t="str">
            <v>mrodriguez@htzanetatos.com</v>
          </cell>
          <cell r="F199" t="str">
            <v>305-8231</v>
          </cell>
        </row>
        <row r="200">
          <cell r="C200" t="str">
            <v>MERCANTIL DE COMERCIO PANAMEÑA S.A (MERCOPAN) Esta empresa cambió de nombre</v>
          </cell>
          <cell r="D200" t="str">
            <v>Roberto Rivera</v>
          </cell>
        </row>
        <row r="201">
          <cell r="C201" t="str">
            <v>NESTLE PANAMA</v>
          </cell>
          <cell r="D201" t="str">
            <v>Yira Matute</v>
          </cell>
          <cell r="E201" t="str">
            <v>yira.matute1@pa.nestle.com</v>
          </cell>
          <cell r="F201" t="str">
            <v>229-1333</v>
          </cell>
        </row>
        <row r="202">
          <cell r="C202" t="str">
            <v>FELIPE MOTTA, S.A</v>
          </cell>
          <cell r="D202" t="str">
            <v>Marcela Vallarino</v>
          </cell>
          <cell r="E202" t="str">
            <v>marcellavallarino@felipemotta.com</v>
          </cell>
          <cell r="F202" t="str">
            <v>302-5555</v>
          </cell>
        </row>
        <row r="203">
          <cell r="C203" t="str">
            <v>GLOBAL PRODUCTS AND LOGISTIC SERVICES, INC. (Dicarina)</v>
          </cell>
          <cell r="D203" t="str">
            <v>Mariana Victoria</v>
          </cell>
          <cell r="E203" t="str">
            <v>mariana.victoria@dicarina.com</v>
          </cell>
          <cell r="F203" t="str">
            <v>62 187513</v>
          </cell>
        </row>
        <row r="204">
          <cell r="C204" t="str">
            <v>Global Trucking Services - GTS</v>
          </cell>
          <cell r="D204" t="str">
            <v>José Jiménez</v>
          </cell>
          <cell r="F204" t="str">
            <v>6169-6726</v>
          </cell>
        </row>
        <row r="205">
          <cell r="C205" t="str">
            <v>TELECOMUNICACIONES DIGITALES, S.A.</v>
          </cell>
          <cell r="D205" t="str">
            <v>Vanya Paola Carrera</v>
          </cell>
          <cell r="E205" t="str">
            <v>paola.torres@tigo.com.pa</v>
          </cell>
          <cell r="F205" t="str">
            <v>3907652</v>
          </cell>
        </row>
        <row r="206">
          <cell r="C206" t="str">
            <v>Cooperativa empleados ACP</v>
          </cell>
        </row>
        <row r="207">
          <cell r="C207" t="str">
            <v>EMAUS HOMBRES - DONACIONES</v>
          </cell>
        </row>
        <row r="208">
          <cell r="C208" t="str">
            <v>FUNDACION DORVIDA</v>
          </cell>
        </row>
        <row r="209">
          <cell r="C209" t="str">
            <v>INDUSTRIAS MINERA LA MOÑA</v>
          </cell>
          <cell r="F209" t="str">
            <v>6090 9950</v>
          </cell>
        </row>
        <row r="210">
          <cell r="C210" t="str">
            <v>JOSEFINA NORELLA LOPERA DE VALDERRAMA</v>
          </cell>
        </row>
        <row r="211">
          <cell r="C211" t="str">
            <v>JOSER, S.A.</v>
          </cell>
          <cell r="E211" t="str">
            <v>vplazas@yahoo.com</v>
          </cell>
          <cell r="F211" t="str">
            <v>220-5801</v>
          </cell>
        </row>
        <row r="212">
          <cell r="C212" t="str">
            <v>JUAN CARLOS AROSEMENA</v>
          </cell>
          <cell r="F212" t="str">
            <v>6675-4645</v>
          </cell>
        </row>
        <row r="213">
          <cell r="C213" t="str">
            <v>NICOLAS GONZALEZ REVILLA PAREDES</v>
          </cell>
          <cell r="E213" t="str">
            <v>tgoddard@metrovision.com.pa</v>
          </cell>
        </row>
        <row r="214">
          <cell r="C214" t="str">
            <v>OBs-GAETANO GABRIEL GOLDONI BELLIZZI</v>
          </cell>
          <cell r="F214" t="str">
            <v>6674 2817</v>
          </cell>
        </row>
        <row r="215">
          <cell r="C215" t="str">
            <v>FRANQUICIAS PANAMEÑAS</v>
          </cell>
          <cell r="D215" t="str">
            <v>Nelva Santos</v>
          </cell>
          <cell r="E215" t="str">
            <v>nelva.santos@franpan.com</v>
          </cell>
          <cell r="F215" t="str">
            <v>300-5732</v>
          </cell>
        </row>
        <row r="216">
          <cell r="C216" t="str">
            <v>PROYECTOS DEL CARIBE, S.A.</v>
          </cell>
          <cell r="F216" t="str">
            <v>6617 4517</v>
          </cell>
        </row>
        <row r="217">
          <cell r="C217" t="str">
            <v>BAZAAR AIP</v>
          </cell>
        </row>
        <row r="218">
          <cell r="C218" t="str">
            <v>Beachwear Meets Art 4 a pursose</v>
          </cell>
        </row>
        <row r="219">
          <cell r="C219" t="str">
            <v>CAMPANA K-WORLD ENTERTRAIMENT</v>
          </cell>
          <cell r="F219" t="str">
            <v>5416-8877</v>
          </cell>
        </row>
        <row r="220">
          <cell r="C220" t="str">
            <v>CAMPAÑA - COSTA RECICLA</v>
          </cell>
          <cell r="E220" t="str">
            <v>diegofv53@gmail.com</v>
          </cell>
        </row>
        <row r="221">
          <cell r="C221" t="str">
            <v>CAMPAÑA 1 KILO DE SOLIDARIDAD</v>
          </cell>
        </row>
        <row r="222">
          <cell r="C222" t="str">
            <v>CAMPAÑA MIGRANTES</v>
          </cell>
        </row>
        <row r="223">
          <cell r="C223" t="str">
            <v>CAMPAÑA NUTRIENDO VIDAS</v>
          </cell>
        </row>
        <row r="224">
          <cell r="C224" t="str">
            <v>CAMPAÑA PROGRAMA APOYO EMERGENCIA</v>
          </cell>
        </row>
        <row r="225">
          <cell r="C225" t="str">
            <v>CAMPAÑA YO DONO UN QUINTALQUINTAL</v>
          </cell>
        </row>
        <row r="226">
          <cell r="C226" t="str">
            <v>Carrera Tri Store</v>
          </cell>
        </row>
        <row r="227">
          <cell r="C227" t="str">
            <v>Casa verde - ALUVID</v>
          </cell>
        </row>
        <row r="228">
          <cell r="C228" t="str">
            <v>Concierto Latinos Unidos</v>
          </cell>
        </row>
        <row r="229">
          <cell r="C229" t="str">
            <v>CUMPLE CON CAUSA</v>
          </cell>
        </row>
        <row r="230">
          <cell r="C230" t="str">
            <v>DOIT CENTER</v>
          </cell>
        </row>
        <row r="231">
          <cell r="C231" t="str">
            <v>ESTUDIANTES ISP</v>
          </cell>
        </row>
        <row r="232">
          <cell r="C232" t="str">
            <v>ESTUDIANTES UNESCPA</v>
          </cell>
        </row>
        <row r="233">
          <cell r="C233" t="str">
            <v>Evento de Yogga Helissa - ALUVID</v>
          </cell>
        </row>
        <row r="234">
          <cell r="C234" t="str">
            <v>FUNDACION CUBRE, COME Y CRECE</v>
          </cell>
          <cell r="D234" t="str">
            <v>Fabio Murillo</v>
          </cell>
          <cell r="E234" t="str">
            <v>fabiomurillo2506@gmail.com</v>
          </cell>
        </row>
        <row r="235">
          <cell r="C235" t="str">
            <v>GRUPO MACHETAZO</v>
          </cell>
        </row>
        <row r="236">
          <cell r="C236" t="str">
            <v>IDMICH</v>
          </cell>
        </row>
        <row r="237">
          <cell r="C237" t="str">
            <v>MMJP INVERSIONES, SA - ECOFILTROS</v>
          </cell>
          <cell r="E237" t="str">
            <v>mathias@ecofiltro.com.pa</v>
          </cell>
          <cell r="F237" t="str">
            <v>6618-2255</v>
          </cell>
        </row>
        <row r="238">
          <cell r="C238" t="str">
            <v>MULTIMAX - ALUVID</v>
          </cell>
        </row>
        <row r="239">
          <cell r="C239" t="str">
            <v>Pinta tu arcoiris/Oferta Simple</v>
          </cell>
        </row>
        <row r="240">
          <cell r="C240" t="str">
            <v>Piso 21 Y Bacardi</v>
          </cell>
        </row>
        <row r="241">
          <cell r="C241" t="str">
            <v>Porta Romana/Tshirt - ALUVID</v>
          </cell>
        </row>
        <row r="242">
          <cell r="C242" t="str">
            <v>ROSARIO DEL MAR FERNANDEZ LOPEZ</v>
          </cell>
        </row>
        <row r="243">
          <cell r="C243" t="str">
            <v>Somos Asesores de Seguros, S.A</v>
          </cell>
          <cell r="D243" t="str">
            <v>Luis Carlos Del Rio</v>
          </cell>
          <cell r="E243" t="str">
            <v>lucho.delrio@somos-seguros.com</v>
          </cell>
          <cell r="F243" t="str">
            <v>302-5580 Ext 233</v>
          </cell>
        </row>
        <row r="244">
          <cell r="C244" t="str">
            <v>SOMOSUNIDOS</v>
          </cell>
          <cell r="E244" t="str">
            <v>magafashion2@gmail.com</v>
          </cell>
          <cell r="F244" t="str">
            <v>6136-1198</v>
          </cell>
        </row>
        <row r="245">
          <cell r="C245" t="str">
            <v>TALLER INSTAN-FRENOS, S.A.</v>
          </cell>
          <cell r="F245" t="str">
            <v>221 4903 / 394 5861 / 6990 84</v>
          </cell>
        </row>
        <row r="246">
          <cell r="C246" t="str">
            <v>TALLER MAGNOLIA</v>
          </cell>
          <cell r="F246" t="str">
            <v>66127112</v>
          </cell>
        </row>
        <row r="247">
          <cell r="C247" t="str">
            <v>ALIMENTOS DEL ISTMO (PEPSICO)</v>
          </cell>
          <cell r="D247" t="str">
            <v>Winifred Valdéz</v>
          </cell>
          <cell r="E247" t="str">
            <v>winifredmarie.valdezarroyave@pepsico.com</v>
          </cell>
          <cell r="F247" t="str">
            <v>207-4300</v>
          </cell>
        </row>
        <row r="248">
          <cell r="C248" t="str">
            <v>BIMBO DE PANAMA , S.A</v>
          </cell>
          <cell r="D248" t="str">
            <v>Missuly Aileen Escobar</v>
          </cell>
          <cell r="E248" t="str">
            <v>missuly.escobar@grupobimbo.com</v>
          </cell>
          <cell r="F248" t="str">
            <v>378-4400 ext. 2237 / 6980-6241</v>
          </cell>
        </row>
        <row r="249">
          <cell r="C249" t="str">
            <v>Cia Goly</v>
          </cell>
          <cell r="E249" t="str">
            <v>egnazzo@machetazo.com</v>
          </cell>
        </row>
        <row r="250">
          <cell r="C250" t="str">
            <v>Delivery Hero Dmart Panamá S.A. (Pedidos Ya)</v>
          </cell>
          <cell r="D250" t="str">
            <v>Andrés Bárbaro</v>
          </cell>
          <cell r="E250" t="str">
            <v>andres.barbaro.ext@pedidosya.com</v>
          </cell>
        </row>
        <row r="251">
          <cell r="C251" t="str">
            <v>GRUPO REY</v>
          </cell>
          <cell r="D251" t="str">
            <v>Ricardo Chávez</v>
          </cell>
          <cell r="E251" t="str">
            <v>rchavez@smrey.com</v>
          </cell>
          <cell r="F251" t="str">
            <v>6868-1690</v>
          </cell>
        </row>
        <row r="252">
          <cell r="C252" t="str">
            <v>International Franchise Food Service/Subway</v>
          </cell>
          <cell r="D252" t="str">
            <v>Roselys Brito</v>
          </cell>
          <cell r="E252" t="str">
            <v>rbrito@subway.com.pa</v>
          </cell>
          <cell r="F252" t="str">
            <v>204-5555</v>
          </cell>
        </row>
        <row r="253">
          <cell r="C253" t="str">
            <v>Price-Smart-Panama S.A</v>
          </cell>
          <cell r="D253" t="str">
            <v>Marabeth Gonzalez</v>
          </cell>
          <cell r="E253" t="str">
            <v>jbarron@pricephilanthropies.org</v>
          </cell>
          <cell r="F253" t="str">
            <v>217-8100</v>
          </cell>
        </row>
        <row r="254">
          <cell r="C254" t="str">
            <v>PUMA ENERGY BAHAMAS, S.A.</v>
          </cell>
          <cell r="E254" t="str">
            <v>alexandra.barcenas@pumaenergy.com</v>
          </cell>
          <cell r="F254" t="str">
            <v>211 0800 Ext 33572</v>
          </cell>
        </row>
        <row r="255">
          <cell r="C255" t="str">
            <v>SUPERMERCADOS XTRA, S.A.</v>
          </cell>
          <cell r="D255" t="str">
            <v>Alberto Osorio</v>
          </cell>
          <cell r="E255" t="str">
            <v>alosorio@superxtra.com</v>
          </cell>
          <cell r="F255" t="str">
            <v>61402384</v>
          </cell>
        </row>
        <row r="256">
          <cell r="C256" t="str">
            <v>Banco Nacional de Panama</v>
          </cell>
          <cell r="E256" t="str">
            <v>aeferrer@banconal.com.pa</v>
          </cell>
        </row>
        <row r="257">
          <cell r="C257" t="str">
            <v>GALINDO, ARIAS, &amp; LOPEZ</v>
          </cell>
          <cell r="D257" t="str">
            <v>KATHIA LORENA GONZALEZ CEDEÑO</v>
          </cell>
          <cell r="E257" t="str">
            <v>kgonzalez@gala.com.pa</v>
          </cell>
          <cell r="F257" t="str">
            <v>303-0303</v>
          </cell>
        </row>
        <row r="258">
          <cell r="C258" t="str">
            <v>ABDIEL CICAR TERAN DELLA TOGNA</v>
          </cell>
          <cell r="E258" t="str">
            <v>ateran@probrokerpma.com</v>
          </cell>
          <cell r="F258" t="str">
            <v>6676 0279</v>
          </cell>
        </row>
        <row r="259">
          <cell r="C259" t="str">
            <v>ALBERTO GONZALEZ ABADIA</v>
          </cell>
        </row>
        <row r="260">
          <cell r="C260" t="str">
            <v>DESAYUNOS-NICOLAS GONZALEZ REVILLA PAREDES</v>
          </cell>
          <cell r="E260" t="str">
            <v>tgoddard@metrovision.com.pa</v>
          </cell>
        </row>
        <row r="261">
          <cell r="C261" t="str">
            <v>FONTANA DEVELOPMENT, S.A.</v>
          </cell>
          <cell r="F261" t="str">
            <v>66148545 - Gaba Vatkrastsa</v>
          </cell>
        </row>
        <row r="262">
          <cell r="C262" t="str">
            <v>FORTUNATO BERTELLO - NORA CHIAVASSA</v>
          </cell>
        </row>
        <row r="263">
          <cell r="C263" t="str">
            <v>GRUPO TAFT, S.A.</v>
          </cell>
          <cell r="E263" t="str">
            <v>contabilidad@grupotaft.com</v>
          </cell>
          <cell r="F263" t="str">
            <v>395 2654 / Cel. 6319 7605</v>
          </cell>
        </row>
        <row r="264">
          <cell r="C264" t="str">
            <v>Jacklyn Touzard</v>
          </cell>
          <cell r="F264" t="str">
            <v>69496067</v>
          </cell>
        </row>
        <row r="265">
          <cell r="C265" t="str">
            <v>MARISOL REINA</v>
          </cell>
          <cell r="F265" t="str">
            <v>65154334</v>
          </cell>
        </row>
        <row r="266">
          <cell r="C266" t="str">
            <v>Miroslava Vanghan de Glovis</v>
          </cell>
          <cell r="F266" t="str">
            <v>6679 4779</v>
          </cell>
        </row>
        <row r="267">
          <cell r="C267" t="str">
            <v>RICARDO MANUEL ALEMAN MARQUEZ</v>
          </cell>
          <cell r="E267" t="str">
            <v>maleman@bgeneral.com</v>
          </cell>
        </row>
        <row r="268">
          <cell r="C268" t="str">
            <v>YL SPORTS EVENTS, S.A.</v>
          </cell>
          <cell r="D268" t="str">
            <v>Juan Carlos Alvaro</v>
          </cell>
        </row>
        <row r="269">
          <cell r="C269" t="str">
            <v>GABRIELA FABREGA DE VAKRASTSAS</v>
          </cell>
          <cell r="D269" t="str">
            <v>GABRIELA FABREGA DE VAKRATSAS</v>
          </cell>
          <cell r="F269" t="str">
            <v>66148545</v>
          </cell>
        </row>
        <row r="270">
          <cell r="C270" t="str">
            <v>ABSOLUTE MARITIME TRACKING SERVICES</v>
          </cell>
          <cell r="F270" t="str">
            <v>301 - 5747</v>
          </cell>
        </row>
        <row r="271">
          <cell r="C271" t="str">
            <v>ARMATEL</v>
          </cell>
          <cell r="E271" t="str">
            <v>rgvaldivia@armatelsa.com</v>
          </cell>
          <cell r="F271" t="str">
            <v>830-7597</v>
          </cell>
        </row>
        <row r="272">
          <cell r="C272" t="str">
            <v>ASEGURADORA ANCON, S.A.</v>
          </cell>
          <cell r="D272" t="str">
            <v>Telma Escala</v>
          </cell>
        </row>
        <row r="273">
          <cell r="C273" t="str">
            <v>Asociación de Distribuidores de Maquinarias (ADIMAQ)</v>
          </cell>
          <cell r="D273" t="str">
            <v>Adolfo Icaza</v>
          </cell>
          <cell r="E273" t="str">
            <v>info@adimaq.org</v>
          </cell>
          <cell r="F273" t="str">
            <v>216-8342</v>
          </cell>
        </row>
        <row r="274">
          <cell r="C274" t="str">
            <v>BALI DEVELOPMENT CORP</v>
          </cell>
          <cell r="D274" t="str">
            <v>Gisela Lozano</v>
          </cell>
        </row>
        <row r="275">
          <cell r="C275" t="str">
            <v>BANCO CENTROAMERICANO DE INTEGRACION</v>
          </cell>
        </row>
        <row r="276">
          <cell r="C276" t="str">
            <v>BETELROSA ZARATE</v>
          </cell>
        </row>
        <row r="277">
          <cell r="C277" t="str">
            <v>CABLE ONDA - TIGO</v>
          </cell>
        </row>
        <row r="278">
          <cell r="C278" t="str">
            <v>CAJA DE AHORROS</v>
          </cell>
        </row>
        <row r="279">
          <cell r="C279" t="str">
            <v>CARLOS HOLGUIN ZAMBRANO</v>
          </cell>
        </row>
        <row r="280">
          <cell r="C280" t="str">
            <v>CARLOS LUIS BARRIOS</v>
          </cell>
          <cell r="E280" t="str">
            <v>carlosxbarrios@gmail.com</v>
          </cell>
          <cell r="F280" t="str">
            <v>64071877</v>
          </cell>
        </row>
        <row r="281">
          <cell r="C281" t="str">
            <v>CELESTINO CARBONELL</v>
          </cell>
          <cell r="D281" t="str">
            <v>JORGE LUIS CARBONELL</v>
          </cell>
        </row>
        <row r="282">
          <cell r="C282" t="str">
            <v>Colegio Nacional de Productores de Seguros</v>
          </cell>
          <cell r="D282" t="str">
            <v>Patricia Tello - Vallarino</v>
          </cell>
          <cell r="E282" t="str">
            <v>coralprose@cwpanama.net</v>
          </cell>
          <cell r="F282" t="str">
            <v>264-6014</v>
          </cell>
        </row>
        <row r="283">
          <cell r="C283" t="str">
            <v>COMATEL, S.A</v>
          </cell>
          <cell r="F283" t="str">
            <v>8307597</v>
          </cell>
        </row>
        <row r="284">
          <cell r="C284" t="str">
            <v>CONECTA2 PUBLICIDAD</v>
          </cell>
          <cell r="D284" t="str">
            <v>Gisela Lozano</v>
          </cell>
        </row>
        <row r="285">
          <cell r="C285" t="str">
            <v>CONSORCIO AMTS/PSSA</v>
          </cell>
          <cell r="F285" t="str">
            <v>301-5748</v>
          </cell>
        </row>
        <row r="286">
          <cell r="C286" t="str">
            <v>CONTRAXEÑAS PRODUCTION, S.A.</v>
          </cell>
          <cell r="D286" t="str">
            <v>Flor Berbey</v>
          </cell>
        </row>
        <row r="287">
          <cell r="C287" t="str">
            <v>Cooperativa de Ahorro y Crédito de Enfermeras y Afines, R.L.</v>
          </cell>
        </row>
        <row r="288">
          <cell r="C288" t="str">
            <v>EDDA ISABEL AMAYA QUINTERO</v>
          </cell>
        </row>
        <row r="289">
          <cell r="C289" t="str">
            <v>Edgar Luis Riba Ordonez (o) Viveca Hortencia del CarmenV</v>
          </cell>
          <cell r="F289" t="str">
            <v>6614-4955</v>
          </cell>
        </row>
        <row r="290">
          <cell r="C290" t="str">
            <v>EMBAJADA DE CANADA</v>
          </cell>
        </row>
        <row r="291">
          <cell r="C291" t="str">
            <v>Emily Argelis Cerrud Cardoze</v>
          </cell>
          <cell r="D291" t="str">
            <v>Emily Argelis Cerrud Cardoze</v>
          </cell>
          <cell r="E291" t="str">
            <v>emily049760@gmail.com</v>
          </cell>
          <cell r="F291" t="str">
            <v>6581-3841</v>
          </cell>
        </row>
        <row r="292">
          <cell r="C292" t="str">
            <v>EMPRESA ALTIUS PANAMA</v>
          </cell>
        </row>
        <row r="293">
          <cell r="C293" t="str">
            <v>ESTACION WR</v>
          </cell>
          <cell r="E293" t="str">
            <v>estacionwr@outlook.com</v>
          </cell>
          <cell r="F293" t="str">
            <v>776 4302</v>
          </cell>
        </row>
        <row r="294">
          <cell r="C294" t="str">
            <v>Fernando Guardia Williamson</v>
          </cell>
          <cell r="D294" t="str">
            <v>Fernando Guardia Williamson</v>
          </cell>
        </row>
        <row r="295">
          <cell r="C295" t="str">
            <v>Fundación Marciely - Padrino</v>
          </cell>
        </row>
        <row r="296">
          <cell r="C296" t="str">
            <v>FUNDACION XTRA CONTIGO</v>
          </cell>
        </row>
        <row r="297">
          <cell r="C297" t="str">
            <v>G.C.ADMINISTRACION</v>
          </cell>
          <cell r="D297" t="str">
            <v>Gisela Lozano</v>
          </cell>
          <cell r="E297" t="str">
            <v>glozano@grupocorcione.com</v>
          </cell>
          <cell r="F297" t="str">
            <v>215-0011</v>
          </cell>
        </row>
        <row r="298">
          <cell r="C298" t="str">
            <v>GC PROJECT MANAGEMENT, S.A</v>
          </cell>
          <cell r="D298" t="str">
            <v>Gisela Lozano</v>
          </cell>
          <cell r="E298" t="str">
            <v>glozano@grupocorcione.com</v>
          </cell>
          <cell r="F298" t="str">
            <v>215-0011</v>
          </cell>
        </row>
        <row r="299">
          <cell r="C299" t="str">
            <v>GC REALTY INC.</v>
          </cell>
          <cell r="D299" t="str">
            <v>Gisela Lozano</v>
          </cell>
        </row>
        <row r="300">
          <cell r="C300" t="str">
            <v>GLORIA E. RIOS</v>
          </cell>
          <cell r="E300" t="str">
            <v>ross2017@outlook.com</v>
          </cell>
          <cell r="F300" t="str">
            <v>507 - 69088592</v>
          </cell>
        </row>
        <row r="301">
          <cell r="C301" t="str">
            <v>GOMTREVI, S. A.</v>
          </cell>
          <cell r="F301" t="str">
            <v>6618-5450</v>
          </cell>
        </row>
        <row r="302">
          <cell r="C302" t="str">
            <v>GUIRIA,S.A</v>
          </cell>
          <cell r="D302" t="str">
            <v>JAIME CAMARGO</v>
          </cell>
          <cell r="E302" t="str">
            <v>abrennan0406@gmail.com</v>
          </cell>
          <cell r="F302" t="str">
            <v>300-0422 EXT 290</v>
          </cell>
        </row>
        <row r="303">
          <cell r="C303" t="str">
            <v>IDA ELDICA SOBERS WELCH</v>
          </cell>
        </row>
        <row r="304">
          <cell r="C304" t="str">
            <v>Ingelmec, S.A.</v>
          </cell>
        </row>
        <row r="305">
          <cell r="C305" t="str">
            <v>INGENIERIA R-M,S.A</v>
          </cell>
          <cell r="D305" t="str">
            <v>ALEJANDRO ANTONIO ROY ORTEGA</v>
          </cell>
          <cell r="E305" t="str">
            <v>aroy@ingenieriarm.com</v>
          </cell>
          <cell r="F305" t="str">
            <v>270-0922</v>
          </cell>
        </row>
        <row r="306">
          <cell r="C306" t="str">
            <v>INMAQUIP PANAMA,S.A</v>
          </cell>
          <cell r="D306" t="str">
            <v>PABLO AUGUSTO STEER MORALES</v>
          </cell>
          <cell r="E306" t="str">
            <v>ps@inmaquip.com</v>
          </cell>
          <cell r="F306" t="str">
            <v>393-1511</v>
          </cell>
        </row>
        <row r="307">
          <cell r="C307" t="str">
            <v>INTA</v>
          </cell>
        </row>
        <row r="308">
          <cell r="C308" t="str">
            <v>Islas Secas Foundation Moore UWM</v>
          </cell>
        </row>
        <row r="309">
          <cell r="C309" t="str">
            <v>JORGE ZAPPI C.</v>
          </cell>
          <cell r="D309" t="str">
            <v>Isabel Conte de Zappi</v>
          </cell>
          <cell r="E309" t="str">
            <v>vyaprende@gmail.com</v>
          </cell>
          <cell r="F309" t="str">
            <v>6614-3370</v>
          </cell>
        </row>
        <row r="310">
          <cell r="C310" t="str">
            <v>Julia Mendez Chiapetto</v>
          </cell>
          <cell r="F310" t="str">
            <v>6520 0767 - Lupe Mendez</v>
          </cell>
        </row>
        <row r="311">
          <cell r="C311" t="str">
            <v>LEYSIS ITZEL PRAVIA FERRABONE DE TUÑON</v>
          </cell>
        </row>
        <row r="312">
          <cell r="C312" t="str">
            <v>LEYSIS PRAVIA FERRABONE DE TUÑON</v>
          </cell>
          <cell r="F312" t="str">
            <v>6676-3824</v>
          </cell>
        </row>
        <row r="313">
          <cell r="C313" t="str">
            <v>LINA ANINO MARTINEZ</v>
          </cell>
          <cell r="F313" t="str">
            <v>404 - 9352260</v>
          </cell>
        </row>
        <row r="314">
          <cell r="C314" t="str">
            <v>LUIS ALBERTO QUIROS BATRES</v>
          </cell>
          <cell r="F314" t="str">
            <v>6673 1269</v>
          </cell>
        </row>
        <row r="315">
          <cell r="C315" t="str">
            <v>MARIA ANTONIA GARCIA</v>
          </cell>
          <cell r="D315" t="str">
            <v>MARIA ANTONIA GARCIA OLMEDO</v>
          </cell>
        </row>
        <row r="316">
          <cell r="C316" t="str">
            <v>MARIA DEL CARMEN VELASQUEZ</v>
          </cell>
          <cell r="D316" t="str">
            <v>Maria del Carmen Vasquez</v>
          </cell>
          <cell r="F316" t="str">
            <v>6616-6239</v>
          </cell>
        </row>
        <row r="317">
          <cell r="C317" t="str">
            <v>Maria Mercedez Diaz de Velazquez</v>
          </cell>
          <cell r="D317" t="str">
            <v>Maria Mercedes Diaz de Velazquez</v>
          </cell>
          <cell r="F317" t="str">
            <v>6616 6239</v>
          </cell>
        </row>
        <row r="318">
          <cell r="C318" t="str">
            <v>MARJORIE FRANCES LINDO de SOSA</v>
          </cell>
          <cell r="F318" t="str">
            <v>6624-0363</v>
          </cell>
        </row>
        <row r="319">
          <cell r="C319" t="str">
            <v>MEDICAL DEPOT</v>
          </cell>
          <cell r="F319" t="str">
            <v>223-4264</v>
          </cell>
        </row>
        <row r="320">
          <cell r="C320" t="str">
            <v>METROBANK S.A</v>
          </cell>
          <cell r="D320" t="str">
            <v>ANGELA VASQUEZ</v>
          </cell>
          <cell r="E320" t="str">
            <v>rse@metrobank.com</v>
          </cell>
          <cell r="F320" t="str">
            <v>204-9000</v>
          </cell>
        </row>
        <row r="321">
          <cell r="C321" t="str">
            <v>Multitck Pacifico, S.A.</v>
          </cell>
        </row>
        <row r="322">
          <cell r="C322" t="str">
            <v>Olympia Bienes Raices</v>
          </cell>
        </row>
        <row r="323">
          <cell r="C323" t="str">
            <v>PARROQUIA SAN GERARDO DE MAYELA</v>
          </cell>
          <cell r="E323" t="str">
            <v>rgcgaleas@yahoo.com</v>
          </cell>
          <cell r="F323" t="str">
            <v>2710537</v>
          </cell>
        </row>
        <row r="324">
          <cell r="C324" t="str">
            <v>PETROPORT S.A</v>
          </cell>
          <cell r="D324" t="str">
            <v>GUILLERMO DE ROUX VALLARINO</v>
          </cell>
          <cell r="E324" t="str">
            <v>gdr@enesa.com.pa</v>
          </cell>
          <cell r="F324" t="str">
            <v>264-4096</v>
          </cell>
        </row>
        <row r="325">
          <cell r="C325" t="str">
            <v>RECUPERA PANAMA</v>
          </cell>
        </row>
        <row r="326">
          <cell r="C326" t="str">
            <v>RODNY DIRECT, S.A.</v>
          </cell>
          <cell r="D326" t="str">
            <v>Rodny Fabio Moreno Fuentes</v>
          </cell>
          <cell r="F326" t="str">
            <v>6573-0141</v>
          </cell>
        </row>
        <row r="327">
          <cell r="C327" t="str">
            <v>ROSANRO S.A.</v>
          </cell>
          <cell r="D327" t="str">
            <v>Luis Fernando Rosanro SA</v>
          </cell>
        </row>
        <row r="328">
          <cell r="C328" t="str">
            <v>ROSSANA APARICIO</v>
          </cell>
          <cell r="E328" t="str">
            <v>rossana6914@gmail.com</v>
          </cell>
        </row>
        <row r="329">
          <cell r="C329" t="str">
            <v>RUBY DEL CARMEN BURTON DE VARCACIA</v>
          </cell>
        </row>
        <row r="330">
          <cell r="C330" t="str">
            <v>SERVICIOS MARITIMOS E INSPECCIONES</v>
          </cell>
        </row>
        <row r="331">
          <cell r="C331" t="str">
            <v>SERVILAB, S.A.</v>
          </cell>
          <cell r="E331" t="str">
            <v>info@servilabsa.com</v>
          </cell>
          <cell r="F331" t="str">
            <v>229-1233 / 261-3755</v>
          </cell>
        </row>
        <row r="332">
          <cell r="C332" t="str">
            <v>SONY MUSIC</v>
          </cell>
        </row>
        <row r="333">
          <cell r="C333" t="str">
            <v>TETRAPAK</v>
          </cell>
        </row>
        <row r="334">
          <cell r="C334" t="str">
            <v>The Global FoodBanking Network</v>
          </cell>
          <cell r="F334" t="str">
            <v>+1 312 782 4560</v>
          </cell>
        </row>
        <row r="335">
          <cell r="C335" t="str">
            <v>TRISTORE</v>
          </cell>
          <cell r="D335" t="str">
            <v>GAETANO GABRIEL GOLDONI BELIZZA</v>
          </cell>
          <cell r="E335" t="str">
            <v>ggoldoni@tristorepanama.com</v>
          </cell>
          <cell r="F335" t="str">
            <v>393-6874</v>
          </cell>
        </row>
        <row r="336">
          <cell r="C336" t="str">
            <v>UNDEPAN, S.A.</v>
          </cell>
        </row>
        <row r="337">
          <cell r="C337" t="str">
            <v>VANESSA UHOLCKAR</v>
          </cell>
        </row>
        <row r="338">
          <cell r="C338" t="str">
            <v>VERONICA FLORES</v>
          </cell>
          <cell r="F338" t="str">
            <v>6319 9467</v>
          </cell>
        </row>
        <row r="339">
          <cell r="C339" t="str">
            <v>WISTON SPADAFORA</v>
          </cell>
        </row>
        <row r="340">
          <cell r="C340" t="str">
            <v>YOLANDA DEL CARMEN CALVET DE ZAYDAN</v>
          </cell>
        </row>
        <row r="341">
          <cell r="C341" t="str">
            <v>TVN - Televisora Nacional</v>
          </cell>
        </row>
        <row r="342">
          <cell r="C342" t="str">
            <v>MARIA TERESA LITLE</v>
          </cell>
          <cell r="D342" t="str">
            <v>MARIA TERESA LITLE LITLE</v>
          </cell>
        </row>
        <row r="343">
          <cell r="C343" t="str">
            <v>ARMANDO GONZALEZ</v>
          </cell>
          <cell r="D343" t="str">
            <v>Victor Bethancourt</v>
          </cell>
        </row>
        <row r="344">
          <cell r="C344" t="str">
            <v>Binicio A. Martinez Cuello</v>
          </cell>
          <cell r="D344" t="str">
            <v>Binicio Antonio Martinez Cuello</v>
          </cell>
        </row>
        <row r="345">
          <cell r="C345" t="str">
            <v>CASSAVA</v>
          </cell>
          <cell r="F345" t="str">
            <v>61564660</v>
          </cell>
        </row>
        <row r="346">
          <cell r="C346" t="str">
            <v>CERRO PUNTA, S.A</v>
          </cell>
          <cell r="E346" t="str">
            <v>amizrachi@cerropunta.net</v>
          </cell>
          <cell r="F346" t="str">
            <v>221-0272</v>
          </cell>
        </row>
        <row r="347">
          <cell r="C347" t="str">
            <v>COMERCIALIZADORA LA UNION - CESAR PITTI</v>
          </cell>
          <cell r="F347" t="str">
            <v>67 306422</v>
          </cell>
        </row>
        <row r="348">
          <cell r="C348" t="str">
            <v>DELI VILLARREAL</v>
          </cell>
          <cell r="D348" t="str">
            <v>Pablo Ramos</v>
          </cell>
          <cell r="F348" t="str">
            <v>68953399</v>
          </cell>
        </row>
        <row r="349">
          <cell r="C349" t="str">
            <v>DESTRIBUIDORA HERGOSA</v>
          </cell>
          <cell r="F349" t="str">
            <v>61-054624</v>
          </cell>
        </row>
        <row r="350">
          <cell r="C350" t="str">
            <v>DISTRIBUIDORA BILIANIS</v>
          </cell>
          <cell r="F350" t="str">
            <v>67 127108</v>
          </cell>
        </row>
        <row r="351">
          <cell r="C351" t="str">
            <v>DISTRIBUIDORA CACH</v>
          </cell>
          <cell r="D351" t="str">
            <v>Jorge Chavarria</v>
          </cell>
          <cell r="F351" t="str">
            <v>68 863150</v>
          </cell>
        </row>
        <row r="352">
          <cell r="C352" t="str">
            <v>DISTRIBUIDORA CERRO PUNTA</v>
          </cell>
          <cell r="D352" t="str">
            <v>Jose Barroso</v>
          </cell>
          <cell r="F352" t="str">
            <v>6676-5601</v>
          </cell>
        </row>
        <row r="353">
          <cell r="C353" t="str">
            <v>DISTRIBUIDORA JUAN CABALLERO</v>
          </cell>
        </row>
        <row r="354">
          <cell r="C354" t="str">
            <v>Distribuidora Kellyvan</v>
          </cell>
        </row>
        <row r="355">
          <cell r="C355" t="str">
            <v>DISTRIBUIDORA LA CAMPIÑA DORADA</v>
          </cell>
          <cell r="D355" t="str">
            <v>Vielka Campiña</v>
          </cell>
        </row>
        <row r="356">
          <cell r="C356" t="str">
            <v>DISTRIBUIDORA TIERRAS ALTAS</v>
          </cell>
          <cell r="D356" t="str">
            <v>Ameth Pitty</v>
          </cell>
          <cell r="F356" t="str">
            <v>6263-1364</v>
          </cell>
        </row>
        <row r="357">
          <cell r="C357" t="str">
            <v>DISTRIBUIDORA TRES HERMANOS, S.A</v>
          </cell>
          <cell r="D357" t="str">
            <v>Marcos Navarro</v>
          </cell>
          <cell r="F357" t="str">
            <v>6265-0681</v>
          </cell>
        </row>
        <row r="358">
          <cell r="C358" t="str">
            <v>DISTRIBUIDORA Y LEGUMBRES QUIEL</v>
          </cell>
          <cell r="D358" t="str">
            <v>Jesus Quiel</v>
          </cell>
          <cell r="F358" t="str">
            <v>396-683</v>
          </cell>
        </row>
        <row r="359">
          <cell r="C359" t="str">
            <v>Dragan Jerkovic</v>
          </cell>
          <cell r="D359" t="str">
            <v>Juan C. Zapata</v>
          </cell>
          <cell r="F359" t="str">
            <v>6823-8155</v>
          </cell>
        </row>
        <row r="360">
          <cell r="C360" t="str">
            <v>ECO FOOD &amp; HEALT</v>
          </cell>
        </row>
        <row r="361">
          <cell r="C361" t="str">
            <v>EDDI ALMANZA</v>
          </cell>
          <cell r="F361" t="str">
            <v>6673-1585</v>
          </cell>
        </row>
        <row r="362">
          <cell r="C362" t="str">
            <v>ESPECIES KyM</v>
          </cell>
          <cell r="D362" t="str">
            <v>Itzel Caballero</v>
          </cell>
        </row>
        <row r="363">
          <cell r="C363" t="str">
            <v>FAR RAGUTH - FELIPE RIOS</v>
          </cell>
          <cell r="D363" t="str">
            <v>GUSTAVO PALACIOS</v>
          </cell>
          <cell r="F363" t="str">
            <v>65 867226</v>
          </cell>
        </row>
        <row r="364">
          <cell r="C364" t="str">
            <v>FERCON</v>
          </cell>
          <cell r="F364" t="str">
            <v>64748961</v>
          </cell>
        </row>
        <row r="365">
          <cell r="C365" t="str">
            <v>FINCA AGROGANADERA AMILGIO, S.A</v>
          </cell>
          <cell r="D365" t="str">
            <v>Amilcar Vega</v>
          </cell>
          <cell r="F365" t="str">
            <v>67477279</v>
          </cell>
        </row>
        <row r="366">
          <cell r="C366" t="str">
            <v>FINCA TREJOS</v>
          </cell>
          <cell r="D366" t="str">
            <v>Jimmy Diaz</v>
          </cell>
        </row>
        <row r="367">
          <cell r="C367" t="str">
            <v>FISBER, S,A</v>
          </cell>
        </row>
        <row r="368">
          <cell r="C368" t="str">
            <v>FRARMA EXPRESS</v>
          </cell>
          <cell r="D368" t="str">
            <v>Fredy Pineda</v>
          </cell>
        </row>
        <row r="369">
          <cell r="C369" t="str">
            <v>FRESH ONION</v>
          </cell>
          <cell r="D369" t="str">
            <v>Yeraldine Martinez</v>
          </cell>
          <cell r="F369" t="str">
            <v>62798610/6228-1865</v>
          </cell>
        </row>
        <row r="370">
          <cell r="C370" t="str">
            <v>FRULESA</v>
          </cell>
          <cell r="D370" t="str">
            <v>Tomas Rovira</v>
          </cell>
          <cell r="F370" t="str">
            <v>61 084435 / 69492901</v>
          </cell>
        </row>
        <row r="371">
          <cell r="C371" t="str">
            <v>Frutas y Legumbres Medina</v>
          </cell>
        </row>
        <row r="372">
          <cell r="C372" t="str">
            <v>GRANO DE ORO INTERNACIONAL</v>
          </cell>
          <cell r="D372" t="str">
            <v>Grupo Sr. Peña Grupo Sr. Peña</v>
          </cell>
        </row>
        <row r="373">
          <cell r="C373" t="str">
            <v>GRANOS DE ORO INTERNACIOANAL</v>
          </cell>
          <cell r="D373" t="str">
            <v>Sebastian Peña</v>
          </cell>
          <cell r="F373" t="str">
            <v>66776234</v>
          </cell>
        </row>
        <row r="374">
          <cell r="C374" t="str">
            <v>HNOS. GUERRA</v>
          </cell>
        </row>
        <row r="375">
          <cell r="C375" t="str">
            <v>HORTIFRESH</v>
          </cell>
          <cell r="D375" t="str">
            <v>Ascanio Aleman</v>
          </cell>
          <cell r="F375" t="str">
            <v>67 471046</v>
          </cell>
        </row>
        <row r="376">
          <cell r="C376" t="str">
            <v>IMPORTADORA VIRZI S.A.</v>
          </cell>
          <cell r="D376" t="str">
            <v>Liurys Jiménez</v>
          </cell>
          <cell r="E376" t="str">
            <v>liurys.jimenez@supercarnes.com</v>
          </cell>
          <cell r="F376" t="str">
            <v>6604-1844</v>
          </cell>
        </row>
        <row r="377">
          <cell r="C377" t="str">
            <v>IMPORTADORA Y EXPORTADORA LIA</v>
          </cell>
          <cell r="D377" t="str">
            <v>Bernardo Aguilar</v>
          </cell>
        </row>
        <row r="378">
          <cell r="C378" t="str">
            <v>INVERSIONES DEJUD</v>
          </cell>
          <cell r="F378" t="str">
            <v>69 437390</v>
          </cell>
        </row>
        <row r="379">
          <cell r="C379" t="str">
            <v>INVERSIONES IVAN COMANCHE</v>
          </cell>
          <cell r="D379" t="str">
            <v>Edgar Ivan Morales Villarreal</v>
          </cell>
          <cell r="F379" t="str">
            <v>6614-1564</v>
          </cell>
        </row>
        <row r="380">
          <cell r="C380" t="str">
            <v>INVERSIONES PARITILLA</v>
          </cell>
        </row>
        <row r="381">
          <cell r="C381" t="str">
            <v>LEGUMBRES CHIRICANAS</v>
          </cell>
          <cell r="F381" t="str">
            <v>66 533569</v>
          </cell>
        </row>
        <row r="382">
          <cell r="C382" t="str">
            <v>LEGUMBRES DEL SERENO</v>
          </cell>
          <cell r="F382" t="str">
            <v>63718512</v>
          </cell>
        </row>
        <row r="383">
          <cell r="C383" t="str">
            <v>LEGUMBRES FGR</v>
          </cell>
          <cell r="D383" t="str">
            <v>Felipa</v>
          </cell>
          <cell r="F383" t="str">
            <v>6479-5626</v>
          </cell>
        </row>
        <row r="384">
          <cell r="C384" t="str">
            <v>LEGUMBRES MY, S.A</v>
          </cell>
          <cell r="D384" t="str">
            <v>Mercedes Yanguez</v>
          </cell>
          <cell r="F384" t="str">
            <v>65437674</v>
          </cell>
        </row>
        <row r="385">
          <cell r="C385" t="str">
            <v>LEGUMBRES Y VERDURAS DEYMAR</v>
          </cell>
          <cell r="D385" t="str">
            <v>Diener Morales</v>
          </cell>
          <cell r="F385" t="str">
            <v>6867-6737</v>
          </cell>
        </row>
        <row r="386">
          <cell r="C386" t="str">
            <v>MARTVAR</v>
          </cell>
          <cell r="D386" t="str">
            <v>Raul Martinez</v>
          </cell>
        </row>
        <row r="387">
          <cell r="C387" t="str">
            <v>MERCA PANAMA</v>
          </cell>
          <cell r="F387" t="str">
            <v>524 1939</v>
          </cell>
        </row>
        <row r="388">
          <cell r="C388" t="str">
            <v>Panam Frut, S.A</v>
          </cell>
          <cell r="D388" t="str">
            <v>Marcelo Fierva</v>
          </cell>
          <cell r="F388" t="str">
            <v>396-7786</v>
          </cell>
        </row>
        <row r="389">
          <cell r="C389" t="str">
            <v>PANAMA FRUIT AND VEGETABLE COMPANY INC.</v>
          </cell>
        </row>
        <row r="390">
          <cell r="C390" t="str">
            <v>PROCALPE, S.A</v>
          </cell>
          <cell r="D390" t="str">
            <v>Benigno Peña</v>
          </cell>
        </row>
        <row r="391">
          <cell r="C391" t="str">
            <v>PROCALPE, S.A.</v>
          </cell>
          <cell r="F391" t="str">
            <v>67 808241</v>
          </cell>
        </row>
        <row r="392">
          <cell r="C392" t="str">
            <v>PRODUCTORA HORTICOLA VIRSA, S.A</v>
          </cell>
          <cell r="D392" t="str">
            <v>Josep Perez</v>
          </cell>
        </row>
        <row r="393">
          <cell r="C393" t="str">
            <v>PRODUCTOS AGRICOLAS DEL CAMPO</v>
          </cell>
          <cell r="D393" t="str">
            <v>Jordi Mairena</v>
          </cell>
          <cell r="F393" t="str">
            <v>68 151511</v>
          </cell>
        </row>
        <row r="394">
          <cell r="C394" t="str">
            <v>PRODUCTOS ALEX - ALBERTO TORRES</v>
          </cell>
          <cell r="F394" t="str">
            <v>61 169993</v>
          </cell>
        </row>
        <row r="395">
          <cell r="C395" t="str">
            <v>PRODUCTOS DE CALIDAD PEÑA</v>
          </cell>
          <cell r="F395" t="str">
            <v>67808241</v>
          </cell>
        </row>
        <row r="396">
          <cell r="C396" t="str">
            <v>PRODUCTOS DEL CAMPO</v>
          </cell>
          <cell r="D396" t="str">
            <v>Jose José</v>
          </cell>
        </row>
        <row r="397">
          <cell r="C397" t="str">
            <v>PRODUCTOS TROPICALES</v>
          </cell>
          <cell r="D397" t="str">
            <v>Hector Vergara</v>
          </cell>
          <cell r="F397" t="str">
            <v>6778-8147</v>
          </cell>
        </row>
        <row r="398">
          <cell r="C398" t="str">
            <v>PRODUCTOS UNIVERSAL</v>
          </cell>
          <cell r="D398" t="str">
            <v>Ovidio Quiel</v>
          </cell>
          <cell r="F398" t="str">
            <v>6790-4449</v>
          </cell>
        </row>
        <row r="399">
          <cell r="C399" t="str">
            <v>SUMINISTROS FRESCOS</v>
          </cell>
          <cell r="F399" t="str">
            <v>67 012106</v>
          </cell>
        </row>
        <row r="400">
          <cell r="C400" t="str">
            <v>SUPLIDORA AGRICOLA</v>
          </cell>
        </row>
        <row r="401">
          <cell r="C401" t="str">
            <v>Vegetales Yanki</v>
          </cell>
        </row>
        <row r="402">
          <cell r="C402" t="str">
            <v>Veggiefresh Invest Corp</v>
          </cell>
          <cell r="D402" t="str">
            <v>Mónica Veggie Fresh</v>
          </cell>
          <cell r="E402" t="str">
            <v>pedidos@freshveggiespma.com</v>
          </cell>
          <cell r="F402" t="str">
            <v>67476754</v>
          </cell>
        </row>
        <row r="403">
          <cell r="C403" t="str">
            <v>VEGUIES PANAMA - Flavio Marmolejo</v>
          </cell>
          <cell r="F403" t="str">
            <v>68 483190</v>
          </cell>
        </row>
        <row r="404">
          <cell r="C404" t="str">
            <v>VENTAS AGRICOLAS</v>
          </cell>
          <cell r="D404" t="str">
            <v>Carlos Lopez</v>
          </cell>
        </row>
        <row r="405">
          <cell r="C405" t="str">
            <v>VENTAS AGRICOLAS</v>
          </cell>
        </row>
        <row r="406">
          <cell r="C406" t="str">
            <v>VENTAS AGRICOLAS DEL CAMPO</v>
          </cell>
          <cell r="D406" t="str">
            <v>Jose Peña</v>
          </cell>
          <cell r="F406" t="str">
            <v>66783292</v>
          </cell>
        </row>
        <row r="407">
          <cell r="C407" t="str">
            <v>VENTAS AGRICOLAS HERMANOS PEÑA</v>
          </cell>
        </row>
        <row r="408">
          <cell r="C408" t="str">
            <v>VENTAS DE LEGUMBRES HNOS. ROBLES</v>
          </cell>
          <cell r="D408" t="str">
            <v>ALEX Robles</v>
          </cell>
        </row>
        <row r="409">
          <cell r="C409" t="str">
            <v>VENTAS DE PRODUCTOS AGRICOLAS RAUL MARTINEZ, S.A.</v>
          </cell>
          <cell r="D409" t="str">
            <v>Jaime Rios</v>
          </cell>
          <cell r="F409" t="str">
            <v>62 281865 / 262 5313</v>
          </cell>
        </row>
        <row r="410">
          <cell r="C410" t="str">
            <v>VENTAS ELICAN</v>
          </cell>
          <cell r="D410" t="str">
            <v>Saturnino Campos</v>
          </cell>
          <cell r="F410" t="str">
            <v>69 019581</v>
          </cell>
        </row>
        <row r="411">
          <cell r="C411" t="str">
            <v>VENTAS GILMA</v>
          </cell>
          <cell r="F411" t="str">
            <v>69035646 / 64162218</v>
          </cell>
        </row>
        <row r="412">
          <cell r="C412" t="str">
            <v>VENTAS GONZALEZ ARAUZ</v>
          </cell>
        </row>
        <row r="413">
          <cell r="C413" t="str">
            <v>VENTAS MIPFE</v>
          </cell>
          <cell r="D413" t="str">
            <v>ENRIQUE VARGAS</v>
          </cell>
          <cell r="E413" t="str">
            <v>edilbertovargas06@gmail.com</v>
          </cell>
          <cell r="F413" t="str">
            <v>68872733</v>
          </cell>
        </row>
        <row r="414">
          <cell r="C414" t="str">
            <v>Ventas y Vegetales Cruz</v>
          </cell>
        </row>
        <row r="415">
          <cell r="C415" t="str">
            <v>Ventas y Vegetales Jose Frias</v>
          </cell>
        </row>
        <row r="416">
          <cell r="C416" t="str">
            <v>VERDES &amp; CO</v>
          </cell>
          <cell r="D416" t="str">
            <v>Andres De La Guardia</v>
          </cell>
          <cell r="E416" t="str">
            <v>andres@verdesyco.com</v>
          </cell>
          <cell r="F416" t="str">
            <v>62324253</v>
          </cell>
        </row>
        <row r="417">
          <cell r="C417" t="str">
            <v>ALMACEN SUN WAH</v>
          </cell>
          <cell r="E417" t="str">
            <v>info@sunwahpanama.com</v>
          </cell>
          <cell r="F417" t="str">
            <v>262 0804</v>
          </cell>
        </row>
        <row r="418">
          <cell r="C418" t="str">
            <v>ARCO SEGUROS</v>
          </cell>
          <cell r="D418" t="str">
            <v>Xiomara Herrera</v>
          </cell>
          <cell r="F418" t="str">
            <v>269-1633</v>
          </cell>
        </row>
        <row r="419">
          <cell r="C419" t="str">
            <v>Bannaba Mercari, S.A.</v>
          </cell>
        </row>
        <row r="420">
          <cell r="C420" t="str">
            <v>BARRAZA Y COMPAÑIA, S.A</v>
          </cell>
          <cell r="D420" t="str">
            <v>Anais Moreno</v>
          </cell>
          <cell r="E420" t="str">
            <v>anais@bacosa.com</v>
          </cell>
          <cell r="F420" t="str">
            <v>507 267-2447/267-3331 Ext. 102</v>
          </cell>
        </row>
        <row r="421">
          <cell r="C421" t="str">
            <v>BORTONS LAB´S</v>
          </cell>
          <cell r="D421" t="str">
            <v>Anette Planells</v>
          </cell>
          <cell r="F421" t="str">
            <v>392-1141</v>
          </cell>
        </row>
        <row r="422">
          <cell r="C422" t="str">
            <v>CLUB ACTIVO 20-30</v>
          </cell>
        </row>
        <row r="423">
          <cell r="C423" t="str">
            <v>COCO TRADER, S.A</v>
          </cell>
          <cell r="D423" t="str">
            <v>JOSE CAMARGO COBOS</v>
          </cell>
          <cell r="E423" t="str">
            <v>abrennan0406@gmail.com</v>
          </cell>
          <cell r="F423" t="str">
            <v>300-0422</v>
          </cell>
        </row>
        <row r="424">
          <cell r="C424" t="str">
            <v>Coldtruck Solutions, S.A.</v>
          </cell>
        </row>
        <row r="425">
          <cell r="C425" t="str">
            <v>Colgate Palmolive (CENTRAL AMERICA) INC</v>
          </cell>
          <cell r="D425" t="str">
            <v>Ramon Aguilar</v>
          </cell>
          <cell r="E425" t="str">
            <v>ramon_a_aguilar@colpal.com</v>
          </cell>
          <cell r="F425" t="str">
            <v>6678-5925</v>
          </cell>
        </row>
        <row r="426">
          <cell r="C426" t="str">
            <v>COMPAÑIA GLOLY, S.A.</v>
          </cell>
        </row>
        <row r="427">
          <cell r="C427" t="str">
            <v>COMPAÑIA INTERNACIONAL DE SEGUROS</v>
          </cell>
          <cell r="D427" t="str">
            <v>Abdiel Teran</v>
          </cell>
          <cell r="E427" t="str">
            <v>ateran@probrokerpma.com</v>
          </cell>
          <cell r="F427" t="str">
            <v>270 7190 ofic.</v>
          </cell>
        </row>
        <row r="428">
          <cell r="C428" t="str">
            <v>Distribuidora EMYM S.A.</v>
          </cell>
        </row>
        <row r="429">
          <cell r="C429" t="str">
            <v>E&amp;MM Chemical, Int S.A.</v>
          </cell>
          <cell r="F429" t="str">
            <v>6229 6175</v>
          </cell>
        </row>
        <row r="430">
          <cell r="C430" t="str">
            <v>Fondo de Poblacion de las Naciones Unidas (UNFPA)</v>
          </cell>
        </row>
        <row r="431">
          <cell r="C431" t="str">
            <v>FOOD CONTAINERS</v>
          </cell>
          <cell r="D431" t="str">
            <v>Lisbeth Avecilla</v>
          </cell>
          <cell r="E431" t="str">
            <v>lavecilla@foodsolutions.com</v>
          </cell>
          <cell r="F431" t="str">
            <v>236-8565</v>
          </cell>
        </row>
        <row r="432">
          <cell r="C432" t="str">
            <v>FUNDACION SUS BUENOS VECINOS - BCO GENERAL</v>
          </cell>
          <cell r="F432" t="str">
            <v>3035397 ext 40026</v>
          </cell>
        </row>
        <row r="433">
          <cell r="C433" t="str">
            <v>GEO F NOVEY</v>
          </cell>
          <cell r="D433" t="str">
            <v>Carlos Victor Rodriguez</v>
          </cell>
        </row>
        <row r="434">
          <cell r="C434" t="str">
            <v>GEO F. NOVEY INC.</v>
          </cell>
          <cell r="F434" t="str">
            <v>300-9200</v>
          </cell>
        </row>
        <row r="435">
          <cell r="C435" t="str">
            <v>HELVETIA FILIAL PANAMA</v>
          </cell>
        </row>
        <row r="436">
          <cell r="C436" t="str">
            <v>INDUTESA PANAMA S.A</v>
          </cell>
        </row>
        <row r="437">
          <cell r="C437" t="str">
            <v>INVERSION AGPRO</v>
          </cell>
        </row>
        <row r="438">
          <cell r="C438" t="str">
            <v>J. CAIN Y CÍA S.A.</v>
          </cell>
          <cell r="D438" t="str">
            <v>Johana Adonican</v>
          </cell>
          <cell r="E438" t="str">
            <v>jadonican@cainco.com</v>
          </cell>
          <cell r="F438" t="str">
            <v>431-2600</v>
          </cell>
        </row>
        <row r="439">
          <cell r="C439" t="str">
            <v>KIMBERLY-CLARK CENTRAL AMERICAN HOLDING, S.A</v>
          </cell>
          <cell r="D439" t="str">
            <v>Monica Lucero</v>
          </cell>
          <cell r="E439" t="str">
            <v>monica.lucero@kcc.com</v>
          </cell>
          <cell r="F439" t="str">
            <v>366-1700</v>
          </cell>
        </row>
        <row r="440">
          <cell r="C440" t="str">
            <v>L?Oréal Panamá Comercial, S. A</v>
          </cell>
          <cell r="D440" t="str">
            <v>Fatima Agy Coelho</v>
          </cell>
          <cell r="E440" t="str">
            <v>fatimaagy.coelho@loreal.com</v>
          </cell>
          <cell r="F440" t="str">
            <v>302-25828</v>
          </cell>
        </row>
        <row r="441">
          <cell r="C441" t="str">
            <v>MASTER DIRECT</v>
          </cell>
          <cell r="D441" t="str">
            <v>Zoila Mendez</v>
          </cell>
          <cell r="E441" t="str">
            <v>zmendez@masterdirect.com</v>
          </cell>
          <cell r="F441" t="str">
            <v>2294000</v>
          </cell>
        </row>
        <row r="442">
          <cell r="C442" t="str">
            <v>Nacional Química, S.A.</v>
          </cell>
        </row>
        <row r="443">
          <cell r="C443" t="str">
            <v>OPTIMA COMPAÑIA DE SEGUROS</v>
          </cell>
          <cell r="D443" t="str">
            <v>Abdiel Teran Della Togna</v>
          </cell>
        </row>
        <row r="444">
          <cell r="C444" t="str">
            <v>PAPELERA ISTMEÑA, S.A.</v>
          </cell>
          <cell r="D444" t="str">
            <v>Manuel Vargas</v>
          </cell>
          <cell r="E444" t="str">
            <v>manuel.s.vargas@papisa.com</v>
          </cell>
          <cell r="F444" t="str">
            <v>301-9200</v>
          </cell>
        </row>
        <row r="445">
          <cell r="C445" t="str">
            <v>Regional de Seguros, S.A:</v>
          </cell>
        </row>
        <row r="446">
          <cell r="C446" t="str">
            <v>RODOLFO MORENO Y CIA (ROMOCIA)</v>
          </cell>
          <cell r="D446" t="str">
            <v>Maria Suárez</v>
          </cell>
          <cell r="F446" t="str">
            <v>293-3100</v>
          </cell>
        </row>
        <row r="447">
          <cell r="C447" t="str">
            <v>Roma Distribution Services Corp.</v>
          </cell>
          <cell r="E447" t="str">
            <v>romamascota@gmail.com</v>
          </cell>
          <cell r="F447" t="str">
            <v>264-2950</v>
          </cell>
        </row>
        <row r="448">
          <cell r="C448" t="str">
            <v>SILABA MOTORS, S.A.</v>
          </cell>
          <cell r="E448" t="str">
            <v>rbremner@silaba.com</v>
          </cell>
          <cell r="F448" t="str">
            <v>366-9300 ext: 1205</v>
          </cell>
        </row>
        <row r="449">
          <cell r="C449" t="str">
            <v>SUPROSER - Suplidora de Productos y Servicios S.A.</v>
          </cell>
          <cell r="E449" t="str">
            <v>jgb@suproser.com</v>
          </cell>
          <cell r="F449" t="str">
            <v>213-2929</v>
          </cell>
        </row>
        <row r="450">
          <cell r="C450" t="str">
            <v>TORNERIA BATISTA</v>
          </cell>
          <cell r="F450" t="str">
            <v>66936580</v>
          </cell>
        </row>
        <row r="451">
          <cell r="C451" t="str">
            <v>UNILEVER DE CENTROAMERICA S.A.</v>
          </cell>
          <cell r="D451" t="str">
            <v>Denisse Castillo</v>
          </cell>
          <cell r="E451" t="str">
            <v>denisse.castillo@unilever.com</v>
          </cell>
          <cell r="F451" t="str">
            <v>220-1006</v>
          </cell>
        </row>
        <row r="452">
          <cell r="C452" t="str">
            <v>EMPAQUES DE COLON S.A.</v>
          </cell>
          <cell r="D452" t="str">
            <v>CARLOS GOMEZ</v>
          </cell>
          <cell r="E452" t="str">
            <v>ventas@ecsabox.com</v>
          </cell>
          <cell r="F452" t="str">
            <v>2043500</v>
          </cell>
        </row>
        <row r="453">
          <cell r="C453" t="str">
            <v>EMPAQUES JETFA S.A.</v>
          </cell>
          <cell r="E453" t="str">
            <v>aliciapon12@gmail.com</v>
          </cell>
        </row>
        <row r="454">
          <cell r="C454" t="str">
            <v>GREEN EMERALD BUSINESS INC.</v>
          </cell>
          <cell r="D454" t="str">
            <v>Olga Reyna</v>
          </cell>
        </row>
        <row r="455">
          <cell r="C455" t="str">
            <v>RAENCO</v>
          </cell>
        </row>
        <row r="456">
          <cell r="C456" t="str">
            <v>GALORES REFRIGERADOS S.A</v>
          </cell>
          <cell r="D456" t="str">
            <v>Rafael Rocha</v>
          </cell>
          <cell r="E456" t="str">
            <v>catherin.haboub@galorescold.com</v>
          </cell>
          <cell r="F456" t="str">
            <v>833-6350</v>
          </cell>
        </row>
        <row r="457">
          <cell r="C457" t="str">
            <v>RIGSA</v>
          </cell>
          <cell r="E457" t="str">
            <v>ncooper@rigsa.net</v>
          </cell>
          <cell r="F457" t="str">
            <v>2368005 / 2629</v>
          </cell>
        </row>
        <row r="458">
          <cell r="C458" t="str">
            <v>ACADEMIA INTERAMERICANA DE PANAMA</v>
          </cell>
          <cell r="F458" t="str">
            <v>6614-3086</v>
          </cell>
        </row>
        <row r="459">
          <cell r="C459" t="str">
            <v>ALFONSO BUSTAMANTE - VIOLETA CHONG DE BUSTAMANTE</v>
          </cell>
          <cell r="D459" t="str">
            <v>VIOLETA DEL C CHONG DE BUSTAMANTE</v>
          </cell>
          <cell r="E459" t="str">
            <v>viocar_03@hotmail.com</v>
          </cell>
        </row>
        <row r="460">
          <cell r="C460" t="str">
            <v>AMERICAN TRUCKING INC.- PANAMA DISEL POWER</v>
          </cell>
          <cell r="D460" t="str">
            <v>Liriola Tejera</v>
          </cell>
          <cell r="E460" t="str">
            <v>informacion@panamadieselpower.com</v>
          </cell>
          <cell r="F460" t="str">
            <v>221-5621</v>
          </cell>
        </row>
        <row r="461">
          <cell r="C461" t="str">
            <v>ANA TERESA ARIAS</v>
          </cell>
          <cell r="D461" t="str">
            <v>ANA TERESA ARIAS</v>
          </cell>
          <cell r="F461" t="str">
            <v>66797071</v>
          </cell>
        </row>
        <row r="462">
          <cell r="C462" t="str">
            <v>ANABELA HERRERA</v>
          </cell>
          <cell r="D462" t="str">
            <v>ANABELA HERRERA</v>
          </cell>
          <cell r="E462" t="str">
            <v>alvihevi@cwpanama.net</v>
          </cell>
          <cell r="F462" t="str">
            <v>6679 5413 Julia Rios</v>
          </cell>
        </row>
        <row r="463">
          <cell r="C463" t="str">
            <v>ANITA MONG DE NUÑEZ</v>
          </cell>
          <cell r="E463" t="str">
            <v>annie_mong@hotmail.com</v>
          </cell>
          <cell r="F463" t="str">
            <v>65041898</v>
          </cell>
        </row>
        <row r="464">
          <cell r="C464" t="str">
            <v>AS GRAPHICS,S.A</v>
          </cell>
          <cell r="D464" t="str">
            <v>DIANA RODRIGUEZ</v>
          </cell>
          <cell r="E464" t="str">
            <v>gerencia@asgraphics.net</v>
          </cell>
          <cell r="F464" t="str">
            <v>263-2474</v>
          </cell>
        </row>
        <row r="465">
          <cell r="C465" t="str">
            <v>ASSA COMPAÑIA DE SEGUROS, S.A.</v>
          </cell>
          <cell r="E465" t="str">
            <v>bgonzalez@assanet.com</v>
          </cell>
          <cell r="F465" t="str">
            <v>301-2102</v>
          </cell>
        </row>
        <row r="466">
          <cell r="C466" t="str">
            <v>AVESA S.A.</v>
          </cell>
          <cell r="D466" t="str">
            <v>AVESA S.A. AVESA S.A.</v>
          </cell>
          <cell r="E466" t="str">
            <v>avesaadm@gmail.com</v>
          </cell>
          <cell r="F466" t="str">
            <v>6718 8936</v>
          </cell>
        </row>
        <row r="467">
          <cell r="C467" t="str">
            <v>CARLOS RABAT</v>
          </cell>
        </row>
        <row r="468">
          <cell r="C468" t="str">
            <v>CELIA BARRIOS DE CUCALON</v>
          </cell>
          <cell r="E468" t="str">
            <v>cucalonbarrios@gmail.com</v>
          </cell>
          <cell r="F468" t="str">
            <v>66727111</v>
          </cell>
        </row>
        <row r="469">
          <cell r="C469" t="str">
            <v>DAVID ALEXIS BANDA GARCIA</v>
          </cell>
          <cell r="E469" t="str">
            <v>dalexis1281@hotmail.com</v>
          </cell>
          <cell r="F469" t="str">
            <v>6509-9401</v>
          </cell>
        </row>
        <row r="470">
          <cell r="C470" t="str">
            <v>DAVID COHEN SOLIS</v>
          </cell>
          <cell r="D470" t="str">
            <v>DAVID COHEN</v>
          </cell>
        </row>
        <row r="471">
          <cell r="C471" t="str">
            <v>EDU CONSULTING INC.</v>
          </cell>
          <cell r="E471" t="str">
            <v>_jose@educonsultingpa.com</v>
          </cell>
          <cell r="F471" t="str">
            <v>830-5707</v>
          </cell>
        </row>
        <row r="472">
          <cell r="C472" t="str">
            <v>ERNESTO ROUNTRI</v>
          </cell>
          <cell r="E472" t="str">
            <v>ernesto.rountri@gmail.com</v>
          </cell>
          <cell r="F472" t="str">
            <v>67341621</v>
          </cell>
        </row>
        <row r="473">
          <cell r="C473" t="str">
            <v>Esther Propirties INC.</v>
          </cell>
        </row>
        <row r="474">
          <cell r="C474" t="str">
            <v>FDU Consulting Inc.</v>
          </cell>
          <cell r="F474" t="str">
            <v>830 5707</v>
          </cell>
        </row>
        <row r="475">
          <cell r="C475" t="str">
            <v>FERNANDO JOSE BENEDITO ALBA</v>
          </cell>
          <cell r="E475" t="str">
            <v>ferbene22@gmail.com</v>
          </cell>
          <cell r="F475" t="str">
            <v>6233 2208</v>
          </cell>
        </row>
        <row r="476">
          <cell r="C476" t="str">
            <v>FERNANDO SOSA ARANGO</v>
          </cell>
        </row>
        <row r="477">
          <cell r="C477" t="str">
            <v>FRANCIA LIZETH BOCANEGRA ALEMAN</v>
          </cell>
          <cell r="F477" t="str">
            <v>62335026</v>
          </cell>
        </row>
        <row r="478">
          <cell r="C478" t="str">
            <v>FRANKLIN ORLANDO PEÑA GARCIA</v>
          </cell>
        </row>
        <row r="479">
          <cell r="C479" t="str">
            <v>FUNDACION BENEFICIARIA LEFEVRE</v>
          </cell>
          <cell r="D479" t="str">
            <v>NELLY CHAVARRIA</v>
          </cell>
          <cell r="E479" t="str">
            <v>nchavarria@grupolefevre.com</v>
          </cell>
          <cell r="F479" t="str">
            <v>390-8333</v>
          </cell>
        </row>
        <row r="480">
          <cell r="C480" t="str">
            <v>FUNDACION JOCAL</v>
          </cell>
          <cell r="E480" t="str">
            <v>meortiz13@hotmail.com</v>
          </cell>
          <cell r="F480" t="str">
            <v>3027803</v>
          </cell>
        </row>
        <row r="481">
          <cell r="C481" t="str">
            <v>FUNDACION JOSE ISAAC FABREGA</v>
          </cell>
          <cell r="D481" t="str">
            <v>Jhanel Rodriguez</v>
          </cell>
          <cell r="F481" t="str">
            <v>3016600</v>
          </cell>
        </row>
        <row r="482">
          <cell r="C482" t="str">
            <v>Fundacion Vasco Nuñez de Balboa</v>
          </cell>
          <cell r="D482" t="str">
            <v>Angelica Alcedo de Vaccaro</v>
          </cell>
          <cell r="E482" t="str">
            <v>avaccaro@balboa.edu.pa</v>
          </cell>
          <cell r="F482" t="str">
            <v>302-0034</v>
          </cell>
        </row>
        <row r="483">
          <cell r="C483" t="str">
            <v>FUNDACION VERDAD Y VIDA</v>
          </cell>
        </row>
        <row r="484">
          <cell r="C484" t="str">
            <v>FURNITURE CITY, S.A</v>
          </cell>
          <cell r="D484" t="str">
            <v>Margarita Streim</v>
          </cell>
          <cell r="E484" t="str">
            <v>contabilidad@gspanama.com</v>
          </cell>
          <cell r="F484" t="str">
            <v>236-2220</v>
          </cell>
        </row>
        <row r="485">
          <cell r="C485" t="str">
            <v>G Y H,S.A</v>
          </cell>
          <cell r="D485" t="str">
            <v>GLENDA VANESSA GENTILE</v>
          </cell>
          <cell r="E485" t="str">
            <v>vqhetti.luisa@hotmail.com</v>
          </cell>
          <cell r="F485" t="str">
            <v>394-3710</v>
          </cell>
        </row>
        <row r="486">
          <cell r="C486" t="str">
            <v>GABRIELA VALDES DE FERRO</v>
          </cell>
          <cell r="E486" t="str">
            <v>gabriela@segufersa.com</v>
          </cell>
          <cell r="F486" t="str">
            <v>6676 8589</v>
          </cell>
        </row>
        <row r="487">
          <cell r="C487" t="str">
            <v>Galindo Arías &amp; López</v>
          </cell>
          <cell r="D487" t="str">
            <v>Kathia González</v>
          </cell>
          <cell r="E487" t="str">
            <v>kgonzalez@gala.com.pa</v>
          </cell>
          <cell r="F487" t="str">
            <v>303-0303</v>
          </cell>
        </row>
        <row r="488">
          <cell r="C488" t="str">
            <v>GENTILE - G &amp; H. S.A.</v>
          </cell>
        </row>
        <row r="489">
          <cell r="C489" t="str">
            <v>GIOVANNI ANTONIO SPIRITO MADURO</v>
          </cell>
          <cell r="E489" t="str">
            <v>gspiritom@gmail.com</v>
          </cell>
          <cell r="F489" t="str">
            <v>391-1692 / 6616-0709</v>
          </cell>
        </row>
        <row r="490">
          <cell r="C490" t="str">
            <v>GIOVANNI ANTONIO SPIRITU GORDON</v>
          </cell>
        </row>
        <row r="491">
          <cell r="C491" t="str">
            <v>GRAND BAY HOLDING SERVICES, CORP</v>
          </cell>
          <cell r="E491" t="str">
            <v>alexandre.patte@grandbay-corp.com</v>
          </cell>
          <cell r="F491" t="str">
            <v>302?8295 EXT 5110?5117</v>
          </cell>
        </row>
        <row r="492">
          <cell r="C492" t="str">
            <v>Ideas Claras</v>
          </cell>
        </row>
        <row r="493">
          <cell r="C493" t="str">
            <v>INCAPITAL FINANCIERA</v>
          </cell>
          <cell r="F493" t="str">
            <v>398 3381</v>
          </cell>
        </row>
        <row r="494">
          <cell r="C494" t="str">
            <v>INDUSTRIAS ECLIPSE</v>
          </cell>
          <cell r="D494" t="str">
            <v>ROBERTO RICHA FABREGA</v>
          </cell>
          <cell r="E494" t="str">
            <v>eclipse@industriaseclipse.com</v>
          </cell>
          <cell r="F494" t="str">
            <v>233-0917</v>
          </cell>
        </row>
        <row r="495">
          <cell r="C495" t="str">
            <v>INMOBILIARIA RICHA</v>
          </cell>
          <cell r="D495" t="str">
            <v>ROBERTO RICHA FABREGA</v>
          </cell>
          <cell r="E495" t="str">
            <v>eclipse@industriaseclipse.com</v>
          </cell>
          <cell r="F495" t="str">
            <v>233-0917</v>
          </cell>
        </row>
        <row r="496">
          <cell r="C496" t="str">
            <v>INVERTIS SECURITIES</v>
          </cell>
          <cell r="E496" t="str">
            <v>info.clientes@invertissecurities.com</v>
          </cell>
          <cell r="F496" t="str">
            <v>223-2323</v>
          </cell>
        </row>
        <row r="497">
          <cell r="C497" t="str">
            <v>Isabella Perez Balladares de Pretel</v>
          </cell>
        </row>
        <row r="498">
          <cell r="C498" t="str">
            <v>Ithiel Roberto Eisenmann Jr. o Maria Eugenia Vallarino</v>
          </cell>
          <cell r="E498" t="str">
            <v>mevde1@gmail.com</v>
          </cell>
          <cell r="F498" t="str">
            <v>6670-9936</v>
          </cell>
        </row>
        <row r="499">
          <cell r="C499" t="str">
            <v>JAGUAR DE PANAMA</v>
          </cell>
          <cell r="F499" t="str">
            <v>300-6350</v>
          </cell>
        </row>
        <row r="500">
          <cell r="C500" t="str">
            <v>JIMFOR, S.A.</v>
          </cell>
          <cell r="D500" t="str">
            <v>Omayra Rodriguez</v>
          </cell>
          <cell r="E500" t="str">
            <v>omayra@jimfor.com</v>
          </cell>
        </row>
        <row r="501">
          <cell r="C501" t="str">
            <v>Jose Sobrino</v>
          </cell>
          <cell r="F501" t="str">
            <v>66127535</v>
          </cell>
        </row>
        <row r="502">
          <cell r="C502" t="str">
            <v>JULIA HERRERA - ANABELLA HERRERA</v>
          </cell>
          <cell r="D502" t="str">
            <v>JULIA RIOS DE HERRERA</v>
          </cell>
          <cell r="E502" t="str">
            <v>alvihevi@cwpanama.net</v>
          </cell>
        </row>
        <row r="503">
          <cell r="C503" t="str">
            <v>KENEALLY INTERNATIONAL FOUNDATION  </v>
          </cell>
        </row>
        <row r="504">
          <cell r="C504" t="str">
            <v>Manuel Macias Amaya</v>
          </cell>
          <cell r="F504" t="str">
            <v>6282-6089</v>
          </cell>
        </row>
        <row r="505">
          <cell r="C505" t="str">
            <v>Marcos Justine</v>
          </cell>
        </row>
        <row r="506">
          <cell r="C506" t="str">
            <v>MARTIN ARIAS</v>
          </cell>
          <cell r="D506" t="str">
            <v>Martin Arias</v>
          </cell>
          <cell r="F506" t="str">
            <v>6291 0147</v>
          </cell>
        </row>
        <row r="507">
          <cell r="C507" t="str">
            <v>MERIDIAN CORREDORES DE REASEGUROS S.A.</v>
          </cell>
          <cell r="F507" t="str">
            <v>NO HAY</v>
          </cell>
        </row>
        <row r="508">
          <cell r="C508" t="str">
            <v>MULTIMODAL LOGISTICS Z.L CORP</v>
          </cell>
          <cell r="D508" t="str">
            <v>DAVID ALVAREZ</v>
          </cell>
          <cell r="E508" t="str">
            <v>gerenciamultimodal@mlc.com.pa</v>
          </cell>
          <cell r="F508" t="str">
            <v>366-9500</v>
          </cell>
        </row>
        <row r="509">
          <cell r="C509" t="str">
            <v>Nippon Koei Lac Inc.</v>
          </cell>
          <cell r="D509" t="str">
            <v>Sonia Rabat</v>
          </cell>
          <cell r="E509" t="str">
            <v>sonia.rabat@nklac.com</v>
          </cell>
        </row>
        <row r="510">
          <cell r="C510" t="str">
            <v>OFIDEPOSITOS CINCUENTENARIO, S.A - GRUPO CIFA</v>
          </cell>
          <cell r="F510" t="str">
            <v>3967421</v>
          </cell>
        </row>
        <row r="511">
          <cell r="C511" t="str">
            <v>ORDOÑEZ Y PEÑALBA</v>
          </cell>
          <cell r="D511" t="str">
            <v>Brenda Ordoñez</v>
          </cell>
          <cell r="F511" t="str">
            <v>69496067</v>
          </cell>
        </row>
        <row r="512">
          <cell r="C512" t="str">
            <v>PARROQUIA SAN LUCAS EVANGELISTA</v>
          </cell>
          <cell r="F512" t="str">
            <v>271 4588</v>
          </cell>
        </row>
        <row r="513">
          <cell r="C513" t="str">
            <v>PATRICIA GARCIA (JJ GARCIA)</v>
          </cell>
          <cell r="D513" t="str">
            <v>JUAN JOSE GARCIA</v>
          </cell>
          <cell r="E513" t="str">
            <v>calicia@levapan.net</v>
          </cell>
        </row>
        <row r="514">
          <cell r="C514" t="str">
            <v>RAYCO, S.A.</v>
          </cell>
          <cell r="D514" t="str">
            <v>Ramon De Ycaza</v>
          </cell>
          <cell r="E514" t="str">
            <v>raycozl@cwpanama.net</v>
          </cell>
        </row>
        <row r="515">
          <cell r="C515" t="str">
            <v>RITA ESTELLA BERNAL VERNAZA</v>
          </cell>
          <cell r="F515" t="str">
            <v>6675 6527</v>
          </cell>
        </row>
        <row r="516">
          <cell r="C516" t="str">
            <v>ROBERTO MOTTA</v>
          </cell>
          <cell r="D516" t="str">
            <v>Roberto Motta</v>
          </cell>
          <cell r="F516" t="str">
            <v>6612-2813</v>
          </cell>
        </row>
        <row r="517">
          <cell r="C517" t="str">
            <v>RODOLFO EDUARDO ICAZA CLARE</v>
          </cell>
          <cell r="E517" t="str">
            <v>rodolfo@ricaza.net</v>
          </cell>
          <cell r="F517" t="str">
            <v>6676-6409</v>
          </cell>
        </row>
        <row r="518">
          <cell r="C518" t="str">
            <v>Rodrigo Cardoze Heilbron/ FUNDACION JOCAL</v>
          </cell>
        </row>
        <row r="519">
          <cell r="C519" t="str">
            <v>SBA TORRES PANAMÁ, S.A.</v>
          </cell>
          <cell r="E519" t="str">
            <v>gdominguez@sbasite.com</v>
          </cell>
          <cell r="F519" t="str">
            <v>396-52 30</v>
          </cell>
        </row>
        <row r="520">
          <cell r="C520" t="str">
            <v>SERGIO SOLIS DIAZ</v>
          </cell>
          <cell r="D520" t="str">
            <v>SERGIO TULIO SOLIZ DIAZ</v>
          </cell>
          <cell r="F520" t="str">
            <v>6675-7391 / 6614-2478</v>
          </cell>
        </row>
        <row r="521">
          <cell r="C521" t="str">
            <v>SOCIEDAD DE ESPOSAS DE BANQUEROS</v>
          </cell>
          <cell r="D521" t="str">
            <v>MARTA DE ROCHE</v>
          </cell>
          <cell r="E521" t="str">
            <v>derochemf@gmail.com</v>
          </cell>
          <cell r="F521" t="str">
            <v>271-4710 / 66127423</v>
          </cell>
        </row>
        <row r="522">
          <cell r="C522" t="str">
            <v>SUSANA ISABEL VALLARINO COX</v>
          </cell>
          <cell r="E522" t="str">
            <v>svallarino@gmail.com</v>
          </cell>
          <cell r="F522" t="str">
            <v>6613 3406</v>
          </cell>
        </row>
        <row r="523">
          <cell r="C523" t="str">
            <v>TERESITA GRACIELA GUARDIA DE FABREGA</v>
          </cell>
        </row>
        <row r="524">
          <cell r="C524" t="str">
            <v>TOCUMEN COMERCIAL PARK</v>
          </cell>
        </row>
        <row r="525">
          <cell r="C525" t="str">
            <v>TUTI HOLDINGS CORP.</v>
          </cell>
          <cell r="F525" t="str">
            <v>223 5562 Sra. Rabat</v>
          </cell>
        </row>
        <row r="526">
          <cell r="C526" t="str">
            <v>UBS Asesores S.A:</v>
          </cell>
          <cell r="D526" t="str">
            <v>Alberto Fadul</v>
          </cell>
          <cell r="F526" t="str">
            <v>206 7049</v>
          </cell>
        </row>
        <row r="527">
          <cell r="C527" t="str">
            <v>UNIBANK, S.A.</v>
          </cell>
          <cell r="D527" t="str">
            <v>Christy Barsallo</v>
          </cell>
          <cell r="F527" t="str">
            <v>2976000</v>
          </cell>
        </row>
        <row r="528">
          <cell r="C528" t="str">
            <v>VEL HOLDING S.A</v>
          </cell>
          <cell r="D528" t="str">
            <v>FREDDY VELIZ</v>
          </cell>
          <cell r="E528" t="str">
            <v>velh2009@gmail.com</v>
          </cell>
          <cell r="F528" t="str">
            <v>209-3082</v>
          </cell>
        </row>
        <row r="529">
          <cell r="C529" t="str">
            <v>VIRGINIA MARIA ENDARA DE BLANCO</v>
          </cell>
          <cell r="F529" t="str">
            <v>6617 4571 tel. de Manolo</v>
          </cell>
        </row>
        <row r="530">
          <cell r="C530" t="str">
            <v>VOLDEX</v>
          </cell>
          <cell r="D530" t="str">
            <v>Alexandre Singer</v>
          </cell>
          <cell r="E530" t="str">
            <v>alex@voldex.net</v>
          </cell>
          <cell r="F530" t="str">
            <v>66348014</v>
          </cell>
        </row>
        <row r="531">
          <cell r="C531" t="str">
            <v>Wilson Teles Marconi</v>
          </cell>
        </row>
        <row r="532">
          <cell r="C532" t="str">
            <v>YARAI SAMANIEGO ORDOÑEZ</v>
          </cell>
          <cell r="E532" t="str">
            <v>ysamaniego27@hotmail.com</v>
          </cell>
          <cell r="F532" t="str">
            <v>6651 7762</v>
          </cell>
        </row>
        <row r="533">
          <cell r="C533" t="str">
            <v>DHL PANAMA, S.A.</v>
          </cell>
          <cell r="D533" t="str">
            <v>Gilberto Castro</v>
          </cell>
          <cell r="E533" t="str">
            <v>gilberto.castro@dhl.com</v>
          </cell>
          <cell r="F533" t="str">
            <v>6679-2043</v>
          </cell>
        </row>
        <row r="534">
          <cell r="C534" t="str">
            <v>OLYMPIA BIENES Y RAICES, S.A.</v>
          </cell>
          <cell r="E534" t="str">
            <v>baguilar@masespacios.net</v>
          </cell>
        </row>
        <row r="535">
          <cell r="C535" t="str">
            <v>ALFA OMEGA IMPRESORES</v>
          </cell>
          <cell r="E535" t="str">
            <v>ventas@aoimpresores.com</v>
          </cell>
          <cell r="F535" t="str">
            <v>224-2811</v>
          </cell>
        </row>
        <row r="536">
          <cell r="C536" t="str">
            <v>DOFERRA S.A.</v>
          </cell>
        </row>
        <row r="537">
          <cell r="C537" t="str">
            <v>HARINERA ORO DEL NORTE, S.A.</v>
          </cell>
          <cell r="D537" t="str">
            <v>Eric Alvarado</v>
          </cell>
          <cell r="E537" t="str">
            <v>eric-f26@hotmail.com</v>
          </cell>
          <cell r="F537" t="str">
            <v>998-5401</v>
          </cell>
        </row>
        <row r="538">
          <cell r="C538" t="str">
            <v>I. H. INTERNACIONAL, S.A.</v>
          </cell>
          <cell r="E538" t="str">
            <v>vivi@ihint.com</v>
          </cell>
          <cell r="F538" t="str">
            <v>66707665</v>
          </cell>
        </row>
        <row r="539">
          <cell r="C539" t="str">
            <v>JW BROTHERS</v>
          </cell>
          <cell r="D539" t="str">
            <v>JOSE MANUEL HERRERA</v>
          </cell>
        </row>
        <row r="540">
          <cell r="C540" t="str">
            <v>ORLYN, S.A (TERPEL PANAMA)</v>
          </cell>
          <cell r="D540" t="str">
            <v>Mayra Albornoz</v>
          </cell>
          <cell r="E540" t="str">
            <v>movilidad.corporativ@terpel.com</v>
          </cell>
          <cell r="F540" t="str">
            <v>321-0350 Ext. 8664</v>
          </cell>
        </row>
        <row r="541">
          <cell r="C541" t="str">
            <v>SERVICIOS DE HIGIENE ESPECIALIZADOS, S.A.</v>
          </cell>
          <cell r="F541" t="str">
            <v>2330770 EXT. 120</v>
          </cell>
        </row>
        <row r="542">
          <cell r="C542" t="str">
            <v>SIGN SYSTEMS S.A.</v>
          </cell>
          <cell r="D542" t="str">
            <v>LUIS BATISTA</v>
          </cell>
          <cell r="E542" t="str">
            <v>lbatista@signsyst.com</v>
          </cell>
          <cell r="F542" t="str">
            <v>2714144-43</v>
          </cell>
        </row>
        <row r="543">
          <cell r="C543" t="str">
            <v>TRASA THERMO KING DE PANAMA</v>
          </cell>
          <cell r="E543" t="str">
            <v>jgarcia@tkpanama.com</v>
          </cell>
          <cell r="F543" t="str">
            <v>2615961</v>
          </cell>
        </row>
        <row r="544">
          <cell r="C544" t="str">
            <v>T-SHIRTS INTERAMERICANA, S.A.</v>
          </cell>
          <cell r="D544" t="str">
            <v>ENRIQUE ORILLAC</v>
          </cell>
          <cell r="E544" t="str">
            <v>tshirts@t-shirts-pty.com</v>
          </cell>
          <cell r="F544" t="str">
            <v>274-7300</v>
          </cell>
        </row>
        <row r="545">
          <cell r="C545" t="str">
            <v>ASAP TMP</v>
          </cell>
          <cell r="D545" t="str">
            <v>Yasmirie Castañeda</v>
          </cell>
          <cell r="F545" t="str">
            <v>8307013</v>
          </cell>
        </row>
        <row r="546">
          <cell r="C546" t="str">
            <v>B12 PUBLICIDAD, S.A.</v>
          </cell>
        </row>
        <row r="547">
          <cell r="C547" t="str">
            <v>BAHIA AZUL INTERNACIONAL, S.A.</v>
          </cell>
          <cell r="F547" t="str">
            <v>6613 1681</v>
          </cell>
        </row>
        <row r="548">
          <cell r="C548" t="str">
            <v>BDO OUTSOURCING</v>
          </cell>
          <cell r="D548" t="str">
            <v>ALFONSO BUSTAMANTE</v>
          </cell>
          <cell r="F548" t="str">
            <v>2799700</v>
          </cell>
        </row>
        <row r="549">
          <cell r="C549" t="str">
            <v>BJ SERVICES</v>
          </cell>
          <cell r="D549" t="str">
            <v>Priscille Avila</v>
          </cell>
          <cell r="E549" t="str">
            <v>ops@bjservicespty.com</v>
          </cell>
          <cell r="F549" t="str">
            <v>6430-4245</v>
          </cell>
        </row>
        <row r="550">
          <cell r="C550" t="str">
            <v>CARGA INTELIGENTE</v>
          </cell>
        </row>
        <row r="551">
          <cell r="C551" t="str">
            <v>Cold Truck</v>
          </cell>
        </row>
        <row r="552">
          <cell r="C552" t="str">
            <v>CPSH, S.A</v>
          </cell>
          <cell r="D552" t="str">
            <v>Mark Hanly</v>
          </cell>
          <cell r="F552" t="str">
            <v>398-7212</v>
          </cell>
        </row>
        <row r="553">
          <cell r="C553" t="str">
            <v>ELECTROMECANICA INDUSTRIAL</v>
          </cell>
          <cell r="D553" t="str">
            <v>AMET ALEXIS CARRERA VELIZ</v>
          </cell>
          <cell r="E553" t="str">
            <v>crownametservice@hotmail.com</v>
          </cell>
          <cell r="F553" t="str">
            <v>238-9727</v>
          </cell>
        </row>
        <row r="554">
          <cell r="C554" t="str">
            <v>FRESCOMAR, S.A</v>
          </cell>
          <cell r="F554" t="str">
            <v>66131681</v>
          </cell>
        </row>
        <row r="555">
          <cell r="C555" t="str">
            <v>FRIO COMERCIAL</v>
          </cell>
          <cell r="E555" t="str">
            <v>angelfriocomercial@lvradvisor.com</v>
          </cell>
          <cell r="F555" t="str">
            <v>2668871</v>
          </cell>
        </row>
        <row r="556">
          <cell r="C556" t="str">
            <v>FRUIT AND FISH EXPORT, A.A.</v>
          </cell>
          <cell r="F556" t="str">
            <v>6613 1681</v>
          </cell>
        </row>
        <row r="557">
          <cell r="C557" t="str">
            <v>FUMIGADORA CONTROL ECOLOGICO DE PLAGAS, S.A</v>
          </cell>
          <cell r="D557" t="str">
            <v>ADRIANA ESPINOSA DE ARIAS</v>
          </cell>
          <cell r="E557" t="str">
            <v>controlecodeplagas@cwpanama.net</v>
          </cell>
          <cell r="F557" t="str">
            <v>221-3954</v>
          </cell>
        </row>
        <row r="558">
          <cell r="C558" t="str">
            <v>FUMIPEST</v>
          </cell>
          <cell r="E558" t="str">
            <v>zarkoradonjic@fumipestpanama.com</v>
          </cell>
          <cell r="F558" t="str">
            <v>3904555</v>
          </cell>
        </row>
        <row r="559">
          <cell r="C559" t="str">
            <v>GALORES LOGISTICA, S.A.</v>
          </cell>
        </row>
        <row r="560">
          <cell r="C560" t="str">
            <v>GRUPO HAGUS</v>
          </cell>
          <cell r="E560" t="str">
            <v>ventas@grupohagus.com</v>
          </cell>
          <cell r="F560" t="str">
            <v>300-4600 /02</v>
          </cell>
        </row>
        <row r="561">
          <cell r="C561" t="str">
            <v>HOPSA, S.A.</v>
          </cell>
        </row>
        <row r="562">
          <cell r="C562" t="str">
            <v>Mark Hanly</v>
          </cell>
        </row>
        <row r="563">
          <cell r="C563" t="str">
            <v>Medcom</v>
          </cell>
        </row>
        <row r="564">
          <cell r="C564" t="str">
            <v>NOW STUDIO S.A.</v>
          </cell>
          <cell r="D564" t="str">
            <v>Juan Andrade</v>
          </cell>
          <cell r="E564" t="str">
            <v>juan@caglobalpanama.com</v>
          </cell>
          <cell r="F564" t="str">
            <v>6613-6252</v>
          </cell>
        </row>
        <row r="565">
          <cell r="C565" t="str">
            <v>NUTRISERVI PANAMA S.A</v>
          </cell>
          <cell r="E565" t="str">
            <v>andreina.carrizo@nutriservipanama.net</v>
          </cell>
          <cell r="F565" t="str">
            <v>6319-9134</v>
          </cell>
        </row>
        <row r="566">
          <cell r="C566" t="str">
            <v>PANAMA TRUCKING CORPORATION</v>
          </cell>
          <cell r="F566" t="str">
            <v>6112-7392</v>
          </cell>
        </row>
        <row r="567">
          <cell r="C567" t="str">
            <v>PanaTruck</v>
          </cell>
        </row>
        <row r="568">
          <cell r="C568" t="str">
            <v>PURIFICADORA DE AGUA, S.A</v>
          </cell>
          <cell r="D568" t="str">
            <v>FELIX ANTONIO GUEVARA ALVARADO</v>
          </cell>
          <cell r="E568" t="str">
            <v>contabilidad@aquatriopanama.com</v>
          </cell>
        </row>
        <row r="569">
          <cell r="C569" t="str">
            <v>SEGURIDAD UNIDA S.A</v>
          </cell>
          <cell r="D569" t="str">
            <v>ALBERTO ARIAS</v>
          </cell>
          <cell r="E569" t="str">
            <v>operaciones@seguridadunida.com</v>
          </cell>
          <cell r="F569" t="str">
            <v>224-8499</v>
          </cell>
        </row>
        <row r="570">
          <cell r="C570" t="str">
            <v>Smart Storage, S.A - SMART LOGISTIC</v>
          </cell>
          <cell r="D570" t="str">
            <v>Griselle Sanchez</v>
          </cell>
          <cell r="E570" t="str">
            <v>griselle@smartlogistics.com.pa</v>
          </cell>
          <cell r="F570" t="str">
            <v>292-4549</v>
          </cell>
        </row>
        <row r="571">
          <cell r="C571" t="str">
            <v>Super Pisos</v>
          </cell>
        </row>
        <row r="572">
          <cell r="C572" t="str">
            <v>TOCUMEN LOGISTIC CENTER</v>
          </cell>
          <cell r="D572" t="str">
            <v>Jose Santos Motta Latorraca</v>
          </cell>
        </row>
        <row r="573">
          <cell r="C573" t="str">
            <v>Tocumen Logistic Services</v>
          </cell>
        </row>
        <row r="574">
          <cell r="C574" t="str">
            <v>TOMASA, S.A.</v>
          </cell>
          <cell r="E574" t="str">
            <v>gerenciatomasa@gmail.com</v>
          </cell>
          <cell r="F574" t="str">
            <v>260-3605 / 6676 ?6801</v>
          </cell>
        </row>
        <row r="575">
          <cell r="C575" t="str">
            <v>Top Logistic s</v>
          </cell>
        </row>
        <row r="576">
          <cell r="C576" t="str">
            <v>TOPLOGISTICS INC.</v>
          </cell>
        </row>
        <row r="577">
          <cell r="C577" t="str">
            <v>GBM</v>
          </cell>
        </row>
        <row r="578">
          <cell r="C578" t="str">
            <v>Banco de Alimentos Panama</v>
          </cell>
          <cell r="F578" t="str">
            <v>+507 292-0162</v>
          </cell>
        </row>
        <row r="579">
          <cell r="C579" t="str">
            <v>ROMANAP</v>
          </cell>
        </row>
        <row r="580">
          <cell r="C580" t="str">
            <v>----</v>
          </cell>
        </row>
        <row r="581">
          <cell r="C581" t="str">
            <v>-----</v>
          </cell>
        </row>
        <row r="582">
          <cell r="C582" t="str">
            <v>-------</v>
          </cell>
          <cell r="E582" t="str">
            <v>distral@distralpty.com</v>
          </cell>
          <cell r="F582" t="str">
            <v>830-5117 / 830-5453</v>
          </cell>
        </row>
        <row r="583">
          <cell r="C583" t="str">
            <v>---------</v>
          </cell>
        </row>
        <row r="584">
          <cell r="C584" t="str">
            <v>----------</v>
          </cell>
          <cell r="E584" t="str">
            <v>ventas@mundofino.com</v>
          </cell>
          <cell r="F584" t="str">
            <v>262-5710</v>
          </cell>
        </row>
        <row r="585">
          <cell r="C585" t="str">
            <v>-----------</v>
          </cell>
          <cell r="F585" t="str">
            <v>000000000</v>
          </cell>
        </row>
        <row r="586">
          <cell r="C586" t="str">
            <v>-------------</v>
          </cell>
        </row>
        <row r="587">
          <cell r="C587" t="str">
            <v>--------------</v>
          </cell>
          <cell r="D587" t="str">
            <v>Frances Wong</v>
          </cell>
        </row>
        <row r="588">
          <cell r="C588" t="str">
            <v>----------------</v>
          </cell>
          <cell r="D588" t="str">
            <v>Marisol Vallarino</v>
          </cell>
          <cell r="E588" t="str">
            <v>mvallarino@arrocha.com</v>
          </cell>
          <cell r="F588" t="str">
            <v>279-9000</v>
          </cell>
        </row>
        <row r="589">
          <cell r="C589" t="str">
            <v>----------------</v>
          </cell>
          <cell r="D589" t="str">
            <v>Sandra Rodriguez Gracía</v>
          </cell>
          <cell r="F589" t="str">
            <v>290-9150</v>
          </cell>
        </row>
        <row r="590">
          <cell r="C590" t="str">
            <v>----------------</v>
          </cell>
          <cell r="F590" t="str">
            <v>271-5384</v>
          </cell>
        </row>
        <row r="591">
          <cell r="C591" t="str">
            <v>------------------</v>
          </cell>
        </row>
        <row r="592">
          <cell r="C592" t="str">
            <v>*****DISTRIBUIDORA SEVILLA, S.A**** cerro</v>
          </cell>
          <cell r="D592" t="str">
            <v>Ariel Sevilla</v>
          </cell>
          <cell r="E592" t="str">
            <v>info@vilmoninternacional.com</v>
          </cell>
          <cell r="F592" t="str">
            <v>6458-2806</v>
          </cell>
        </row>
        <row r="593">
          <cell r="C593" t="str">
            <v>****TAGAROPULOS** CERRO EMPRESA</v>
          </cell>
          <cell r="D593" t="str">
            <v>SANDRAELI SALCEDO</v>
          </cell>
          <cell r="E593" t="str">
            <v>sandraeli@tagaropulos.com</v>
          </cell>
          <cell r="F593" t="str">
            <v>350-0317/16/40</v>
          </cell>
        </row>
        <row r="594">
          <cell r="C594" t="str">
            <v>AgroCarnes El Productor</v>
          </cell>
          <cell r="F594" t="str">
            <v>64608942</v>
          </cell>
        </row>
        <row r="595">
          <cell r="C595" t="str">
            <v>AJIMPEX</v>
          </cell>
          <cell r="E595" t="str">
            <v>ajimpex@ajimpex.com</v>
          </cell>
          <cell r="F595" t="str">
            <v>399-6275</v>
          </cell>
        </row>
        <row r="596">
          <cell r="C596" t="str">
            <v>Big Brands Importadores, S.A</v>
          </cell>
          <cell r="D596" t="str">
            <v>Yeremy Moreno</v>
          </cell>
          <cell r="E596" t="str">
            <v>ymoreno@bigbrandspanama.com</v>
          </cell>
          <cell r="F596" t="str">
            <v>201-0088</v>
          </cell>
        </row>
        <row r="597">
          <cell r="C597" t="str">
            <v>CALOX -- ESTA COMPAÑIA LA TIENE DICARINA</v>
          </cell>
          <cell r="D597" t="str">
            <v>Noris Jayes</v>
          </cell>
          <cell r="E597" t="str">
            <v>julloa@calox.com.pa</v>
          </cell>
          <cell r="F597" t="str">
            <v>3603600</v>
          </cell>
        </row>
        <row r="598">
          <cell r="C598" t="str">
            <v>CARIBBEAN FISHING TRADING, S.A.</v>
          </cell>
          <cell r="F598" t="str">
            <v>269 6606</v>
          </cell>
        </row>
        <row r="599">
          <cell r="C599" t="str">
            <v>CEREALES NUTRICIONALES ESPECIALIZADOS</v>
          </cell>
          <cell r="D599" t="str">
            <v>Kimberly Gonzalez</v>
          </cell>
        </row>
        <row r="600">
          <cell r="C600" t="str">
            <v>DAMPRAX INTERNATIONAL CORP</v>
          </cell>
          <cell r="D600" t="str">
            <v>DUBRASKA SUAREZ</v>
          </cell>
          <cell r="E600" t="str">
            <v>administracion@dampraxinternational.com</v>
          </cell>
          <cell r="F600" t="str">
            <v>391-9985/ 86</v>
          </cell>
        </row>
        <row r="601">
          <cell r="C601" t="str">
            <v>DINANT PANAMA S.A.**** YA CERRO ESTA EMPRESA ****</v>
          </cell>
          <cell r="D601" t="str">
            <v>EDGARDO ARIAS</v>
          </cell>
          <cell r="E601" t="str">
            <v>edgardo.arias@dinant.com</v>
          </cell>
          <cell r="F601" t="str">
            <v>2664809</v>
          </cell>
        </row>
        <row r="602">
          <cell r="C602" t="str">
            <v>DISTRIBUIDORA ELEGANTE</v>
          </cell>
          <cell r="F602" t="str">
            <v>2095760</v>
          </cell>
        </row>
        <row r="603">
          <cell r="C603" t="str">
            <v>DISTRIBUIDORA GENERAL DE PANAMA</v>
          </cell>
          <cell r="F603" t="str">
            <v>344 1900</v>
          </cell>
        </row>
        <row r="604">
          <cell r="C604" t="str">
            <v>DISTRIBUIDORA HNOS. GAGO - LA CASA DEL JAMON</v>
          </cell>
          <cell r="F604" t="str">
            <v>69807444</v>
          </cell>
        </row>
        <row r="605">
          <cell r="C605" t="str">
            <v>DISTRIBUIDORA SERGAVEL</v>
          </cell>
          <cell r="F605" t="str">
            <v>2290367</v>
          </cell>
        </row>
        <row r="606">
          <cell r="C606" t="str">
            <v>DISTRIBUIDORA SIEMA, S.A.- DUPLICADO</v>
          </cell>
          <cell r="E606" t="str">
            <v>info@dsiema.com</v>
          </cell>
          <cell r="F606" t="str">
            <v>310 0822</v>
          </cell>
        </row>
        <row r="607">
          <cell r="C607" t="str">
            <v>DISTRIBUIDORA UNICO</v>
          </cell>
          <cell r="E607" t="str">
            <v>lospueblos@distribuidoraunico.com</v>
          </cell>
          <cell r="F607" t="str">
            <v>2178647</v>
          </cell>
        </row>
        <row r="608">
          <cell r="C608" t="str">
            <v>DISTRIBUIDORA VERDEAZUL</v>
          </cell>
          <cell r="F608" t="str">
            <v>221 5999</v>
          </cell>
        </row>
        <row r="609">
          <cell r="C609" t="str">
            <v>DISTRIBUIDORA VIKINGO</v>
          </cell>
          <cell r="F609" t="str">
            <v>396 7112</v>
          </cell>
        </row>
        <row r="610">
          <cell r="C610" t="str">
            <v>DONACIONES VARIAS</v>
          </cell>
          <cell r="D610" t="str">
            <v>MARY Y LILY MARY Y LILY</v>
          </cell>
          <cell r="E610" t="str">
            <v>donaciones@bancodealimentospanama.com</v>
          </cell>
          <cell r="F610" t="str">
            <v>292-0162</v>
          </cell>
        </row>
        <row r="611">
          <cell r="C611" t="str">
            <v>Edenburg Household</v>
          </cell>
          <cell r="D611" t="str">
            <v>Esteban Edebnburg</v>
          </cell>
        </row>
        <row r="612">
          <cell r="C612" t="str">
            <v>EMPACADORA ALIMENTICIA</v>
          </cell>
          <cell r="F612" t="str">
            <v>251 0144</v>
          </cell>
        </row>
        <row r="613">
          <cell r="C613" t="str">
            <v>FELIPE MOTTA - AGUADULCE</v>
          </cell>
        </row>
        <row r="614">
          <cell r="C614" t="str">
            <v>FELIPE MOTTA - DAVID</v>
          </cell>
          <cell r="F614" t="str">
            <v>DAVID</v>
          </cell>
        </row>
        <row r="615">
          <cell r="C615" t="str">
            <v>GIESA GROUP, S.A</v>
          </cell>
          <cell r="D615" t="str">
            <v>FERNANDO JOSE VALERA RIVAS</v>
          </cell>
          <cell r="E615" t="str">
            <v>giesa@giesagroup.com</v>
          </cell>
          <cell r="F615" t="str">
            <v>392-5290/91</v>
          </cell>
        </row>
        <row r="616">
          <cell r="C616" t="str">
            <v>HERMANOS ZAKAY</v>
          </cell>
          <cell r="F616" t="str">
            <v>236 1460</v>
          </cell>
        </row>
        <row r="617">
          <cell r="C617" t="str">
            <v>Herrera Household</v>
          </cell>
          <cell r="D617" t="str">
            <v>Luis Herrera</v>
          </cell>
          <cell r="E617" t="str">
            <v>gerencia@mobilemail.net</v>
          </cell>
        </row>
        <row r="618">
          <cell r="C618" t="str">
            <v>IMPORTADORA Y DISTRIBUIDORA. DIN</v>
          </cell>
          <cell r="F618" t="str">
            <v>209-3006</v>
          </cell>
        </row>
        <row r="619">
          <cell r="C619" t="str">
            <v>INDUSTRIAS GRAJASA, S.A.</v>
          </cell>
          <cell r="F619" t="str">
            <v> 6674-8278</v>
          </cell>
        </row>
        <row r="620">
          <cell r="C620" t="str">
            <v>INDUSTRIAS PRIMA PANAMA</v>
          </cell>
          <cell r="F620" t="str">
            <v>261-3138</v>
          </cell>
        </row>
        <row r="621">
          <cell r="C621" t="str">
            <v>INDUSTRIAS Y PRODUCTOS EL ANTOJO</v>
          </cell>
          <cell r="F621" t="str">
            <v>261-7700</v>
          </cell>
        </row>
        <row r="622">
          <cell r="C622" t="str">
            <v>Javier Oteiza</v>
          </cell>
          <cell r="D622" t="str">
            <v>Javier Oteiza</v>
          </cell>
        </row>
        <row r="623">
          <cell r="C623" t="str">
            <v>PANAUSA</v>
          </cell>
          <cell r="F623" t="str">
            <v>388 6124</v>
          </cell>
        </row>
        <row r="624">
          <cell r="C624" t="str">
            <v>Productos Pime, S.A:</v>
          </cell>
          <cell r="F624" t="str">
            <v>295 2706</v>
          </cell>
        </row>
        <row r="625">
          <cell r="C625" t="str">
            <v>Promolatin S.A.</v>
          </cell>
          <cell r="D625" t="str">
            <v>Claret Valle</v>
          </cell>
          <cell r="E625" t="str">
            <v>claret.r.valle@gmail.com</v>
          </cell>
          <cell r="F625" t="str">
            <v>+507 226-8501</v>
          </cell>
        </row>
        <row r="626">
          <cell r="C626" t="str">
            <v>RODOLFO MORENO Y CIA</v>
          </cell>
          <cell r="E626" t="str">
            <v>romcia@cwpanama.net</v>
          </cell>
          <cell r="F626" t="str">
            <v>261 7011 / 293 3100</v>
          </cell>
        </row>
        <row r="627">
          <cell r="C627" t="str">
            <v>-----------------</v>
          </cell>
          <cell r="F627" t="str">
            <v>6674 5058</v>
          </cell>
        </row>
        <row r="628">
          <cell r="C628" t="str">
            <v>----</v>
          </cell>
        </row>
        <row r="629">
          <cell r="C629" t="str">
            <v>-----</v>
          </cell>
        </row>
        <row r="630">
          <cell r="C630" t="str">
            <v>--------</v>
          </cell>
          <cell r="D630" t="str">
            <v>EYLON ISRAELY</v>
          </cell>
        </row>
        <row r="631">
          <cell r="C631" t="str">
            <v>--------</v>
          </cell>
          <cell r="F631" t="str">
            <v>271-5384</v>
          </cell>
        </row>
        <row r="632">
          <cell r="C632" t="str">
            <v>--------</v>
          </cell>
          <cell r="F632" t="str">
            <v>66757391 / 66142478 / 69194863</v>
          </cell>
        </row>
        <row r="633">
          <cell r="C633" t="str">
            <v>--------</v>
          </cell>
        </row>
        <row r="634">
          <cell r="C634" t="str">
            <v>---------</v>
          </cell>
          <cell r="D634" t="str">
            <v>ALFONSO BUSTAMANTE</v>
          </cell>
        </row>
        <row r="635">
          <cell r="C635" t="str">
            <v>---------</v>
          </cell>
          <cell r="D635" t="str">
            <v>FREDERIK OBEDIENTE</v>
          </cell>
        </row>
        <row r="636">
          <cell r="C636" t="str">
            <v>---------</v>
          </cell>
          <cell r="D636" t="str">
            <v>Lupe Mendez</v>
          </cell>
        </row>
        <row r="637">
          <cell r="C637" t="str">
            <v>---------</v>
          </cell>
          <cell r="F637" t="str">
            <v>6070-9936</v>
          </cell>
        </row>
        <row r="638">
          <cell r="C638" t="str">
            <v>---------</v>
          </cell>
        </row>
        <row r="639">
          <cell r="C639" t="str">
            <v>----------</v>
          </cell>
          <cell r="D639" t="str">
            <v>ANABELLA HERRERA</v>
          </cell>
        </row>
        <row r="640">
          <cell r="C640" t="str">
            <v>----------</v>
          </cell>
          <cell r="F640" t="str">
            <v>0000</v>
          </cell>
        </row>
        <row r="641">
          <cell r="C641" t="str">
            <v>----------</v>
          </cell>
        </row>
        <row r="642">
          <cell r="C642" t="str">
            <v>-----------</v>
          </cell>
        </row>
        <row r="643">
          <cell r="C643" t="str">
            <v>------------</v>
          </cell>
          <cell r="E643" t="str">
            <v>claudia@integra.com.pa</v>
          </cell>
          <cell r="F643" t="str">
            <v>6674 1417</v>
          </cell>
        </row>
        <row r="644">
          <cell r="C644" t="str">
            <v>--------------</v>
          </cell>
        </row>
        <row r="645">
          <cell r="C645" t="str">
            <v>---------------</v>
          </cell>
        </row>
        <row r="646">
          <cell r="C646" t="str">
            <v>--------------------</v>
          </cell>
        </row>
        <row r="647">
          <cell r="C647" t="str">
            <v>----------------------</v>
          </cell>
        </row>
        <row r="648">
          <cell r="C648" t="str">
            <v>ADMINISTRADORA PROYECTA</v>
          </cell>
        </row>
        <row r="649">
          <cell r="C649" t="str">
            <v>CARLOS GARCIA DE PAREDES MOTTA Household</v>
          </cell>
          <cell r="D649" t="str">
            <v>CARLOS GARCIA DE PAREDES MOTTA</v>
          </cell>
          <cell r="F649" t="str">
            <v>Anamae Motta</v>
          </cell>
        </row>
        <row r="650">
          <cell r="C650" t="str">
            <v>----------</v>
          </cell>
          <cell r="D650" t="str">
            <v>Alexandre Patte</v>
          </cell>
          <cell r="F650" t="str">
            <v>301 9200</v>
          </cell>
        </row>
        <row r="651">
          <cell r="C651" t="str">
            <v>ALIMENTOS PRACTICOS</v>
          </cell>
          <cell r="F651" t="str">
            <v>217-3307</v>
          </cell>
        </row>
        <row r="652">
          <cell r="C652" t="str">
            <v>MITSUKO UNIQUE DESINGS, S.A.</v>
          </cell>
          <cell r="F652" t="str">
            <v>62167165</v>
          </cell>
        </row>
        <row r="653">
          <cell r="C653" t="str">
            <v>---------</v>
          </cell>
          <cell r="D653" t="str">
            <v>Monica Niño</v>
          </cell>
        </row>
        <row r="654">
          <cell r="C654" t="str">
            <v>-----------</v>
          </cell>
          <cell r="D654" t="str">
            <v>Sergio Jesús Caballero</v>
          </cell>
        </row>
        <row r="655">
          <cell r="C655" t="str">
            <v>---------------</v>
          </cell>
          <cell r="D655" t="str">
            <v>Eduardo Maga</v>
          </cell>
        </row>
        <row r="656">
          <cell r="C656" t="str">
            <v>----------------</v>
          </cell>
          <cell r="D656" t="str">
            <v>GISSEL BARRERA</v>
          </cell>
        </row>
        <row r="657">
          <cell r="C657" t="str">
            <v>-----------------</v>
          </cell>
        </row>
        <row r="658">
          <cell r="C658" t="str">
            <v>------------------------------</v>
          </cell>
          <cell r="D658" t="str">
            <v>Yexadira Archibolt</v>
          </cell>
        </row>
        <row r="659">
          <cell r="C659" t="str">
            <v>.------------</v>
          </cell>
          <cell r="D659" t="str">
            <v>Daniela Reyes</v>
          </cell>
        </row>
        <row r="660">
          <cell r="C660" t="str">
            <v>DISTRIBUIDIRA COMERCIAL UNIDA</v>
          </cell>
          <cell r="F660" t="str">
            <v>224 5827</v>
          </cell>
        </row>
        <row r="661">
          <cell r="C661" t="str">
            <v>----------</v>
          </cell>
          <cell r="D661" t="str">
            <v>ORDOÑEZ Y PEÑALBA Ordoñez</v>
          </cell>
        </row>
        <row r="662">
          <cell r="C662" t="str">
            <v>FUNDACION JMJ</v>
          </cell>
          <cell r="D662" t="str">
            <v>Jorge Espino</v>
          </cell>
          <cell r="F662" t="str">
            <v>6613-4103</v>
          </cell>
        </row>
        <row r="663">
          <cell r="C663" t="str">
            <v>----------</v>
          </cell>
          <cell r="D663" t="str">
            <v>ALBERTO ARIAS</v>
          </cell>
          <cell r="F663" t="str">
            <v>224-8499 / 224-8553</v>
          </cell>
        </row>
        <row r="664">
          <cell r="C664" t="str">
            <v>------------</v>
          </cell>
          <cell r="F664" t="str">
            <v>66717074</v>
          </cell>
        </row>
        <row r="665">
          <cell r="C665" t="str">
            <v>CORPORACION BBT</v>
          </cell>
          <cell r="D665" t="str">
            <v>HELIO NAVARRO</v>
          </cell>
          <cell r="E665" t="str">
            <v>gerencia@corpbbt.com</v>
          </cell>
          <cell r="F665" t="str">
            <v>897-8612</v>
          </cell>
        </row>
        <row r="666">
          <cell r="C666" t="str">
            <v>ACUA PANAMA</v>
          </cell>
          <cell r="D666" t="str">
            <v>Miguel Contreras</v>
          </cell>
          <cell r="E666" t="str">
            <v>mcontreras@acuapanama.com</v>
          </cell>
          <cell r="F666" t="str">
            <v>233 0136 / 69255786</v>
          </cell>
        </row>
        <row r="667">
          <cell r="C667" t="str">
            <v>Aegean Natural Quality Products, Inc.</v>
          </cell>
          <cell r="E667" t="str">
            <v>catherine@aegeanproducts.com</v>
          </cell>
          <cell r="F667" t="str">
            <v>6677-6078 / 394 3014</v>
          </cell>
        </row>
        <row r="668">
          <cell r="C668" t="str">
            <v>AGENCIA CONTINENTAL DE VENTAS</v>
          </cell>
          <cell r="D668" t="str">
            <v>JULIO NAVARRO</v>
          </cell>
          <cell r="E668" t="str">
            <v>jnavarro@acvgroup.com</v>
          </cell>
          <cell r="F668" t="str">
            <v>6212-9600</v>
          </cell>
        </row>
        <row r="669">
          <cell r="C669" t="str">
            <v>AGENCIA PALM LOPEZ</v>
          </cell>
          <cell r="F669" t="str">
            <v>221.9877 / 392.9885 / 221-0117</v>
          </cell>
        </row>
        <row r="670">
          <cell r="C670" t="str">
            <v>AGROSILOS</v>
          </cell>
          <cell r="D670" t="str">
            <v>Jackeline Sanchez</v>
          </cell>
          <cell r="E670" t="str">
            <v>jsanchez@agrosilos.com</v>
          </cell>
          <cell r="F670" t="str">
            <v>850-6418</v>
          </cell>
        </row>
        <row r="671">
          <cell r="C671" t="str">
            <v>AIP</v>
          </cell>
        </row>
        <row r="672">
          <cell r="C672" t="str">
            <v>ANEF</v>
          </cell>
          <cell r="D672" t="str">
            <v>Ante Fittonic</v>
          </cell>
          <cell r="E672" t="str">
            <v>afiftonic@hotmail.com</v>
          </cell>
          <cell r="F672" t="str">
            <v>771-2040</v>
          </cell>
        </row>
        <row r="673">
          <cell r="C673" t="str">
            <v>ASAMBLEA NACIONAL-DIPUTADOS</v>
          </cell>
        </row>
        <row r="674">
          <cell r="C674" t="str">
            <v>CAPRICHOS DEL ANGEL</v>
          </cell>
          <cell r="F674" t="str">
            <v>6550-2930</v>
          </cell>
        </row>
        <row r="675">
          <cell r="C675" t="str">
            <v>Carlos Ruben Herrera</v>
          </cell>
          <cell r="F675" t="str">
            <v>66129356</v>
          </cell>
        </row>
        <row r="676">
          <cell r="C676" t="str">
            <v>CASA CHINA/CARNICERIA STANDARD</v>
          </cell>
          <cell r="D676" t="str">
            <v>Lilian Lilian</v>
          </cell>
          <cell r="E676" t="str">
            <v>casachina19@hotmail.com</v>
          </cell>
          <cell r="F676" t="str">
            <v>775-3905</v>
          </cell>
        </row>
        <row r="677">
          <cell r="C677" t="str">
            <v>DISTRIBUIDORA AREL</v>
          </cell>
          <cell r="F677" t="str">
            <v>6248-4007</v>
          </cell>
        </row>
        <row r="678">
          <cell r="C678" t="str">
            <v>DISTRIBUIDORA DE ALIMENTOS ANCAR</v>
          </cell>
          <cell r="F678" t="str">
            <v>390 0368</v>
          </cell>
        </row>
        <row r="679">
          <cell r="C679" t="str">
            <v>DISTRIBUIDORA INTERNACIONAL DE ALIMENTOS</v>
          </cell>
          <cell r="F679" t="str">
            <v>282-7497</v>
          </cell>
        </row>
        <row r="680">
          <cell r="C680" t="str">
            <v>DISTRIBUIDORA INTERNACIONAL DE PRODUCTOS ALIMENTICIOS</v>
          </cell>
          <cell r="E680" t="str">
            <v>dipasa@dipasa.mx</v>
          </cell>
        </row>
        <row r="681">
          <cell r="C681" t="str">
            <v>DISTRIBUIDORA MIGROS</v>
          </cell>
          <cell r="E681" t="str">
            <v>remisapty@gmail.com</v>
          </cell>
          <cell r="F681" t="str">
            <v>261-8492</v>
          </cell>
        </row>
        <row r="682">
          <cell r="C682" t="str">
            <v>DISTRIBUIDORA UNICA, S.A.</v>
          </cell>
          <cell r="F682" t="str">
            <v>68681388./66661111</v>
          </cell>
        </row>
        <row r="683">
          <cell r="C683" t="str">
            <v>DORADO CENTER</v>
          </cell>
          <cell r="D683" t="str">
            <v>Sianeth Gomez</v>
          </cell>
          <cell r="E683" t="str">
            <v>recepcionsanmateo16@gmail.com</v>
          </cell>
          <cell r="F683" t="str">
            <v>7749189</v>
          </cell>
        </row>
        <row r="684">
          <cell r="C684" t="str">
            <v>DORADO CENTER</v>
          </cell>
          <cell r="D684" t="str">
            <v>Sianeth Gomez</v>
          </cell>
          <cell r="E684" t="str">
            <v>recepcionsanmateo16@gmail.com</v>
          </cell>
          <cell r="F684" t="str">
            <v>774-9189</v>
          </cell>
        </row>
        <row r="685">
          <cell r="C685" t="str">
            <v>GLOBAL FOODS, S.A</v>
          </cell>
          <cell r="F685" t="str">
            <v>264-4826</v>
          </cell>
        </row>
        <row r="686">
          <cell r="C686" t="str">
            <v>INDUSTRIAL ARROCERA CHIRIQUI</v>
          </cell>
          <cell r="E686" t="str">
            <v>ventas@industrialarrocera.com</v>
          </cell>
          <cell r="F686" t="str">
            <v>722-2033</v>
          </cell>
        </row>
        <row r="687">
          <cell r="C687" t="str">
            <v>JOSEPH DAPUD</v>
          </cell>
          <cell r="D687" t="str">
            <v>JOSEPH DAOUD</v>
          </cell>
          <cell r="E687" t="str">
            <v>josephdb1@gmail.com</v>
          </cell>
        </row>
        <row r="688">
          <cell r="C688" t="str">
            <v>Molino Santa Isabel</v>
          </cell>
          <cell r="D688" t="str">
            <v>Javier Tejerira</v>
          </cell>
          <cell r="E688" t="str">
            <v>molinosantaisabel@gmail.com</v>
          </cell>
          <cell r="F688" t="str">
            <v>987-3394</v>
          </cell>
        </row>
        <row r="689">
          <cell r="C689" t="str">
            <v>PILADORA MERCEDES</v>
          </cell>
          <cell r="D689" t="str">
            <v>Javier Tejerira</v>
          </cell>
          <cell r="E689" t="str">
            <v>lasmercedes@hotmail.com</v>
          </cell>
          <cell r="F689" t="str">
            <v>987-3394</v>
          </cell>
        </row>
        <row r="690">
          <cell r="C690" t="str">
            <v>PILADORA SAN FELIPE</v>
          </cell>
          <cell r="D690" t="str">
            <v>Rodolfo Steco</v>
          </cell>
          <cell r="E690" t="str">
            <v>piladorasanf@cwpanama.net</v>
          </cell>
          <cell r="F690" t="str">
            <v>998-1911</v>
          </cell>
        </row>
        <row r="691">
          <cell r="C691" t="str">
            <v>Procesadora La Piñuela</v>
          </cell>
          <cell r="D691" t="str">
            <v>Francisco Hurtado</v>
          </cell>
          <cell r="E691" t="str">
            <v>fhurtado@cwpanama.net</v>
          </cell>
          <cell r="F691" t="str">
            <v>2980002</v>
          </cell>
        </row>
        <row r="692">
          <cell r="C692" t="str">
            <v>PRODUCTOS HISPANOAMERICANOS</v>
          </cell>
          <cell r="F692" t="str">
            <v>832-7453</v>
          </cell>
        </row>
        <row r="693">
          <cell r="C693" t="str">
            <v>ROLEMAR FOOD</v>
          </cell>
          <cell r="F693" t="str">
            <v>3948676</v>
          </cell>
        </row>
        <row r="694">
          <cell r="C694" t="str">
            <v>TASTY CHOICE PANAMA</v>
          </cell>
          <cell r="F694" t="str">
            <v>293-5400</v>
          </cell>
        </row>
        <row r="695">
          <cell r="C695" t="str">
            <v>Yoav Tibi</v>
          </cell>
          <cell r="D695" t="str">
            <v>Yoav Tibi</v>
          </cell>
          <cell r="F695" t="str">
            <v>6672-0911</v>
          </cell>
        </row>
        <row r="696">
          <cell r="C696" t="str">
            <v>TEST Food Donor 1</v>
          </cell>
          <cell r="D696" t="str">
            <v>Anthony Kitchen</v>
          </cell>
          <cell r="E696" t="str">
            <v>tony@email.com</v>
          </cell>
          <cell r="F696" t="str">
            <v>987654</v>
          </cell>
        </row>
        <row r="697">
          <cell r="C697" t="str">
            <v>Test Food Donor 2</v>
          </cell>
          <cell r="D697" t="str">
            <v>Test Contactos</v>
          </cell>
          <cell r="E697" t="str">
            <v>test@org.com</v>
          </cell>
          <cell r="F697" t="str">
            <v>999-</v>
          </cell>
        </row>
        <row r="698">
          <cell r="C698" t="str">
            <v>Adultingsuckss - ALUVID</v>
          </cell>
        </row>
        <row r="699">
          <cell r="C699" t="str">
            <v>ASOCIACION NACIONAL DE PROCESADORES DE LECHE (ANAPROLE)</v>
          </cell>
          <cell r="D699" t="str">
            <v>Natzare Bermudez</v>
          </cell>
        </row>
        <row r="700">
          <cell r="C700" t="str">
            <v>CAMPAÑA NORWEGIAN CRUISE LINE</v>
          </cell>
        </row>
        <row r="701">
          <cell r="C701" t="str">
            <v>CAMPAÑA QUIERES SER REY</v>
          </cell>
          <cell r="E701" t="str">
            <v>claudia@integra.com.pa</v>
          </cell>
          <cell r="F701" t="str">
            <v>66731417</v>
          </cell>
        </row>
        <row r="702">
          <cell r="C702" t="str">
            <v>Woof Bite Solidario</v>
          </cell>
        </row>
        <row r="703">
          <cell r="C703" t="str">
            <v>A&amp;M CONSULTORES DE EMPRESAS, S.A</v>
          </cell>
          <cell r="D703" t="str">
            <v>AMIN MUCI</v>
          </cell>
          <cell r="E703" t="str">
            <v>aminmuci@gmail.com</v>
          </cell>
          <cell r="F703" t="str">
            <v>6473-0074</v>
          </cell>
        </row>
        <row r="704">
          <cell r="C704" t="str">
            <v>ABEL CHEVALIER</v>
          </cell>
          <cell r="D704" t="str">
            <v>ABEL CHEVALIER</v>
          </cell>
        </row>
        <row r="705">
          <cell r="C705" t="str">
            <v>ADITIVOS DE PANAMA, S.A.</v>
          </cell>
          <cell r="E705" t="str">
            <v>mmateu@adipan.com</v>
          </cell>
        </row>
        <row r="706">
          <cell r="C706" t="str">
            <v>Eduardo Jose Quiros</v>
          </cell>
        </row>
        <row r="707">
          <cell r="C707" t="str">
            <v>EDUARDO JOSE RODRIGUEZ</v>
          </cell>
          <cell r="F707" t="str">
            <v>6980 8900</v>
          </cell>
        </row>
        <row r="708">
          <cell r="C708" t="str">
            <v>Eduardo Oranges</v>
          </cell>
          <cell r="D708" t="str">
            <v>Eduardo Oranges</v>
          </cell>
          <cell r="E708" t="str">
            <v>eduardooranges@hotmail.com</v>
          </cell>
        </row>
        <row r="709">
          <cell r="C709" t="str">
            <v>FREDERICK OBEDIENTE</v>
          </cell>
        </row>
        <row r="710">
          <cell r="C710" t="str">
            <v>GABINO AYARZA SANCHEZ</v>
          </cell>
          <cell r="F710" t="str">
            <v>6614-6712</v>
          </cell>
        </row>
        <row r="711">
          <cell r="C711" t="str">
            <v>JACQUELINE ORILLAC DE GOMEZ</v>
          </cell>
        </row>
        <row r="712">
          <cell r="C712" t="str">
            <v>Maria Lourdes Marengo de Mcgowen</v>
          </cell>
          <cell r="F712" t="str">
            <v>6614 0569</v>
          </cell>
        </row>
        <row r="713">
          <cell r="C713" t="str">
            <v>Yajani Paredes</v>
          </cell>
          <cell r="D713" t="str">
            <v>Yajani Paredes</v>
          </cell>
        </row>
        <row r="714">
          <cell r="C714" t="str">
            <v>LUIS ALBERTO CHEVAS QUIEL</v>
          </cell>
          <cell r="E714" t="str">
            <v>chevita32@gmail.com</v>
          </cell>
          <cell r="F714" t="str">
            <v>63911638</v>
          </cell>
        </row>
        <row r="715">
          <cell r="C715" t="str">
            <v>FONDO UNIDO DE PANAMA</v>
          </cell>
        </row>
        <row r="716">
          <cell r="C716" t="str">
            <v>EIDA RAMOS</v>
          </cell>
          <cell r="D716" t="str">
            <v>EIDA RAMOS</v>
          </cell>
          <cell r="F716" t="str">
            <v>323 6600</v>
          </cell>
        </row>
        <row r="717">
          <cell r="C717" t="str">
            <v>GAETANO GABRIEL GOLDONI BELLIZZI</v>
          </cell>
          <cell r="F717" t="str">
            <v>66742817</v>
          </cell>
        </row>
        <row r="718">
          <cell r="C718" t="str">
            <v>GERMA BRAVO TORRES</v>
          </cell>
          <cell r="D718" t="str">
            <v>GERMAN BRAVO TORRES</v>
          </cell>
          <cell r="E718" t="str">
            <v>bravoger@cwpanama.net</v>
          </cell>
        </row>
        <row r="719">
          <cell r="C719" t="str">
            <v>MARIA JOSEFA DOVAL GARCIA</v>
          </cell>
          <cell r="D719" t="str">
            <v>Maria Josefa DOVAL</v>
          </cell>
          <cell r="E719" t="str">
            <v>chepy.doval.0310@gmail.com</v>
          </cell>
          <cell r="F719" t="str">
            <v>6672 6438</v>
          </cell>
        </row>
        <row r="720">
          <cell r="C720" t="str">
            <v>ROGELIO E. ALEMAN</v>
          </cell>
          <cell r="D720" t="str">
            <v>Rogelio Eduardo Aleman Arias</v>
          </cell>
        </row>
        <row r="721">
          <cell r="C721" t="str">
            <v>JULUGUI, S.A.</v>
          </cell>
          <cell r="E721" t="str">
            <v>industrialjulugui@gmail.com</v>
          </cell>
          <cell r="F721" t="str">
            <v>2312219</v>
          </cell>
        </row>
        <row r="722">
          <cell r="C722" t="str">
            <v>MEGABYTE, S.A</v>
          </cell>
          <cell r="E722" t="str">
            <v>mayra.miur@grupo-megabyte.net</v>
          </cell>
          <cell r="F722" t="str">
            <v>270-4444</v>
          </cell>
        </row>
        <row r="723">
          <cell r="C723" t="str">
            <v>MERCADEO INTERNACIONAL</v>
          </cell>
          <cell r="E723" t="str">
            <v>ventas@mercadeointernacional.net</v>
          </cell>
          <cell r="F723" t="str">
            <v>226-2622/226-5213</v>
          </cell>
        </row>
        <row r="724">
          <cell r="C724" t="str">
            <v>Test Accenture</v>
          </cell>
        </row>
        <row r="725">
          <cell r="C725" t="str">
            <v>ABASTECEDORA TIA MARIA</v>
          </cell>
          <cell r="F725" t="str">
            <v>730 7120</v>
          </cell>
        </row>
        <row r="726">
          <cell r="C726" t="str">
            <v>AGENCIA MIGUS</v>
          </cell>
          <cell r="F726" t="str">
            <v>2213685</v>
          </cell>
        </row>
        <row r="727">
          <cell r="C727" t="str">
            <v>APLEPC - ASOCIACIÓN DE PRODUCTORES DE LECHE DE PROVINCIAS CENTRALES</v>
          </cell>
          <cell r="F727" t="str">
            <v>974-5064</v>
          </cell>
        </row>
        <row r="728">
          <cell r="C728" t="str">
            <v>ATLANTICS PRODUCTS</v>
          </cell>
          <cell r="F728" t="str">
            <v>385 2321</v>
          </cell>
        </row>
        <row r="729">
          <cell r="C729" t="str">
            <v>AVICOLA CHANG, S.A.</v>
          </cell>
          <cell r="F729" t="str">
            <v>6480 1388</v>
          </cell>
        </row>
        <row r="730">
          <cell r="C730" t="str">
            <v>AVICOLA CHONG</v>
          </cell>
          <cell r="F730" t="str">
            <v>273 7113</v>
          </cell>
        </row>
        <row r="731">
          <cell r="C731" t="str">
            <v>AVICOLA FRANZ, S.A.</v>
          </cell>
          <cell r="F731" t="str">
            <v>9983939</v>
          </cell>
        </row>
        <row r="732">
          <cell r="C732" t="str">
            <v>Azucarera Nacional</v>
          </cell>
          <cell r="D732" t="str">
            <v>Geovany Sanchez</v>
          </cell>
          <cell r="E732" t="str">
            <v>gsanchez@azunal.com</v>
          </cell>
          <cell r="F732" t="str">
            <v>9878544 / 260 9359</v>
          </cell>
        </row>
        <row r="733">
          <cell r="C733" t="str">
            <v>Canal Movers &amp; Logistics Corp.</v>
          </cell>
          <cell r="D733" t="str">
            <v>Meryann Andrade</v>
          </cell>
          <cell r="E733" t="str">
            <v>m.andrade@canalmovers.com</v>
          </cell>
          <cell r="F733" t="str">
            <v>6030-6752</v>
          </cell>
        </row>
        <row r="734">
          <cell r="C734" t="str">
            <v>CARNES DE COCLE</v>
          </cell>
          <cell r="E734" t="str">
            <v>dgonzalez@cocasa.net</v>
          </cell>
          <cell r="F734" t="str">
            <v>225 4206</v>
          </cell>
        </row>
        <row r="735">
          <cell r="C735" t="str">
            <v>Cereales Nutricionales Especializados S.A.</v>
          </cell>
          <cell r="F735" t="str">
            <v>950 8015</v>
          </cell>
        </row>
        <row r="736">
          <cell r="C736" t="str">
            <v>COMPAÑIA MIRAGE, S.A.</v>
          </cell>
          <cell r="F736" t="str">
            <v>2215574</v>
          </cell>
        </row>
        <row r="737">
          <cell r="C737" t="str">
            <v>DELI FISH</v>
          </cell>
          <cell r="E737" t="str">
            <v>ventas@delifishpanama.com</v>
          </cell>
          <cell r="F737" t="str">
            <v>226-1313</v>
          </cell>
        </row>
        <row r="738">
          <cell r="C738" t="str">
            <v>DERILACPA Productos derivados leche</v>
          </cell>
          <cell r="E738" t="str">
            <v>derilacpa@gmail.com</v>
          </cell>
          <cell r="F738" t="str">
            <v>6316-5800</v>
          </cell>
        </row>
        <row r="739">
          <cell r="C739" t="str">
            <v>DISTRAL</v>
          </cell>
          <cell r="E739" t="str">
            <v>distral@distralpty.com</v>
          </cell>
          <cell r="F739" t="str">
            <v>830-5117 / 830-5453</v>
          </cell>
        </row>
        <row r="740">
          <cell r="C740" t="str">
            <v>DISTRIBUIDORA 138</v>
          </cell>
          <cell r="F740" t="str">
            <v>69083010</v>
          </cell>
        </row>
        <row r="741">
          <cell r="C741" t="str">
            <v>DISTRIBUIDORA 22</v>
          </cell>
          <cell r="F741" t="str">
            <v>203 6268</v>
          </cell>
        </row>
        <row r="742">
          <cell r="C742" t="str">
            <v>DISTRIBUIDORA AKYTA</v>
          </cell>
          <cell r="F742" t="str">
            <v>6735 9768</v>
          </cell>
        </row>
        <row r="743">
          <cell r="C743" t="str">
            <v>DISTRIBUIDORA BARSASH</v>
          </cell>
          <cell r="F743" t="str">
            <v>2215574</v>
          </cell>
        </row>
        <row r="744">
          <cell r="C744" t="str">
            <v>DISTRIBUIDORA CIELO AZUL</v>
          </cell>
          <cell r="F744" t="str">
            <v>2686286</v>
          </cell>
        </row>
        <row r="745">
          <cell r="C745" t="str">
            <v>DISTRIBUIDORA DE QUESO R &amp; N</v>
          </cell>
          <cell r="F745" t="str">
            <v>6406 1610</v>
          </cell>
        </row>
        <row r="746">
          <cell r="C746" t="str">
            <v>DISTRIBUIDORA DND QUALITY FOOD</v>
          </cell>
          <cell r="F746" t="str">
            <v>67476560</v>
          </cell>
        </row>
        <row r="747">
          <cell r="C747" t="str">
            <v>DISTRIBUIDORA HH</v>
          </cell>
          <cell r="F747" t="str">
            <v>217 8559</v>
          </cell>
        </row>
        <row r="748">
          <cell r="C748" t="str">
            <v>DISTRIBUIDORA IBERICA - DISA</v>
          </cell>
          <cell r="E748" t="str">
            <v>info@disapanama.net</v>
          </cell>
          <cell r="F748" t="str">
            <v>262-1497 832-7471</v>
          </cell>
        </row>
        <row r="749">
          <cell r="C749" t="str">
            <v>DISTRIBUIDORA IRIS PANAMA, S.A.</v>
          </cell>
          <cell r="E749" t="str">
            <v>distribuidorairispanama@gmail.com</v>
          </cell>
          <cell r="F749" t="str">
            <v>6688-1806</v>
          </cell>
        </row>
        <row r="750">
          <cell r="C750" t="str">
            <v>DISTRIBUIDORA ISTMEÑA DE ALIMENTOS - DIASA</v>
          </cell>
          <cell r="F750" t="str">
            <v>850-6403</v>
          </cell>
        </row>
        <row r="751">
          <cell r="C751" t="str">
            <v>DISTRIBUIDORA KM</v>
          </cell>
          <cell r="F751" t="str">
            <v>6521-2810</v>
          </cell>
        </row>
        <row r="752">
          <cell r="C752" t="str">
            <v>DISTRIBUIDORA LA GRAN MURALLA</v>
          </cell>
          <cell r="E752" t="str">
            <v>distrilagranmuralla@gmail.com</v>
          </cell>
          <cell r="F752" t="str">
            <v>6261-1227</v>
          </cell>
        </row>
        <row r="753">
          <cell r="C753" t="str">
            <v>DISTRIBUIDORA LI WANG</v>
          </cell>
          <cell r="F753" t="str">
            <v>2372868/2316233</v>
          </cell>
        </row>
        <row r="754">
          <cell r="C754" t="str">
            <v>DISTRIBUIDORA MADE</v>
          </cell>
          <cell r="F754" t="str">
            <v> 6176-5260 / 66005553</v>
          </cell>
        </row>
        <row r="755">
          <cell r="C755" t="str">
            <v>DISTRIBUIDORA MAYORISTA ANGELICA</v>
          </cell>
          <cell r="F755" t="str">
            <v>3437287</v>
          </cell>
        </row>
        <row r="756">
          <cell r="C756" t="str">
            <v>DISTRIBUIDORA MAYORISTA ML</v>
          </cell>
          <cell r="F756" t="str">
            <v>65500869</v>
          </cell>
        </row>
        <row r="757">
          <cell r="C757" t="str">
            <v>DISTRIBUIDORA MEGAPRECIO</v>
          </cell>
          <cell r="F757" t="str">
            <v>NO TIENE</v>
          </cell>
        </row>
        <row r="758">
          <cell r="C758" t="str">
            <v>DISTRIBUIDORA MERCADO DE ABASTOS</v>
          </cell>
          <cell r="F758" t="str">
            <v>262 1028</v>
          </cell>
        </row>
        <row r="759">
          <cell r="C759" t="str">
            <v>DISTRIBUIDORA MERCAMAX</v>
          </cell>
          <cell r="E759" t="str">
            <v>mercamaxt@gmail.com</v>
          </cell>
          <cell r="F759" t="str">
            <v>66600220</v>
          </cell>
        </row>
        <row r="760">
          <cell r="C760" t="str">
            <v>DISTRIBUIDORA PABLO</v>
          </cell>
          <cell r="F760" t="str">
            <v>66554702</v>
          </cell>
        </row>
        <row r="761">
          <cell r="C761" t="str">
            <v>DISTRIBUIDORA PANACU, S.A. - DISA</v>
          </cell>
          <cell r="F761" t="str">
            <v>6782-6055</v>
          </cell>
        </row>
        <row r="762">
          <cell r="C762" t="str">
            <v>DISTRIBUIDORA SAG</v>
          </cell>
          <cell r="F762" t="str">
            <v>61111294</v>
          </cell>
        </row>
        <row r="763">
          <cell r="C763" t="str">
            <v>DISTRIBUIDORA VERDE AZUL</v>
          </cell>
          <cell r="D763" t="str">
            <v>Alfredo Toribio</v>
          </cell>
          <cell r="E763" t="str">
            <v>a_toribios@yahoo.es</v>
          </cell>
          <cell r="F763" t="str">
            <v>221-5999</v>
          </cell>
        </row>
        <row r="764">
          <cell r="C764" t="str">
            <v>DISTRIBUIDORA Y MULTISERVICIOS ISASE</v>
          </cell>
          <cell r="F764" t="str">
            <v>215-8526</v>
          </cell>
        </row>
        <row r="765">
          <cell r="C765" t="str">
            <v>DULCERIA MOMI, S.A.</v>
          </cell>
          <cell r="F765" t="str">
            <v>2607344</v>
          </cell>
        </row>
        <row r="766">
          <cell r="C766" t="str">
            <v>EUROPASTRY PANAMÁ S.A.</v>
          </cell>
          <cell r="D766" t="str">
            <v>Yessika Viena</v>
          </cell>
          <cell r="E766" t="str">
            <v>j.dugarte@grupoeurofoods.com</v>
          </cell>
          <cell r="F766" t="str">
            <v>6417-8341</v>
          </cell>
        </row>
        <row r="767">
          <cell r="C767" t="str">
            <v>FEAX INTERNATIONAL, S.A</v>
          </cell>
          <cell r="D767" t="str">
            <v>Jorge Zisopulos</v>
          </cell>
          <cell r="E767" t="str">
            <v>jorgz@feaxint.com</v>
          </cell>
          <cell r="F767" t="str">
            <v>278-0784</v>
          </cell>
        </row>
        <row r="768">
          <cell r="C768" t="str">
            <v>FRIGOCARNE</v>
          </cell>
          <cell r="E768" t="str">
            <v>rodrigospiegel@frigocarne.com</v>
          </cell>
          <cell r="F768" t="str">
            <v>9985666</v>
          </cell>
        </row>
        <row r="769">
          <cell r="C769" t="str">
            <v>GC DEV, S.A.</v>
          </cell>
          <cell r="D769" t="str">
            <v>Ricardo Wong</v>
          </cell>
          <cell r="F769" t="str">
            <v>6626-7202</v>
          </cell>
        </row>
        <row r="770">
          <cell r="C770" t="str">
            <v>GLOBAL BANK</v>
          </cell>
        </row>
        <row r="771">
          <cell r="C771" t="str">
            <v>GRUPO ATHANASIAIDS RAMOS</v>
          </cell>
          <cell r="E771" t="str">
            <v>secretariag@gathanasiadisr.com</v>
          </cell>
        </row>
        <row r="772">
          <cell r="C772" t="str">
            <v>GRUPO BARSASH, S.A</v>
          </cell>
          <cell r="D772" t="str">
            <v>Vivian Barahona</v>
          </cell>
          <cell r="F772" t="str">
            <v>340-3422</v>
          </cell>
        </row>
        <row r="773">
          <cell r="C773" t="str">
            <v>GRUPO HASETH</v>
          </cell>
          <cell r="D773" t="str">
            <v>Christiaan De Haseth</v>
          </cell>
          <cell r="E773" t="str">
            <v>mcampbell@grupodehaseth.com</v>
          </cell>
          <cell r="F773" t="str">
            <v>301-4000</v>
          </cell>
        </row>
        <row r="774">
          <cell r="C774" t="str">
            <v>GRUPO MIL PANAMA</v>
          </cell>
          <cell r="F774" t="str">
            <v>6316-5800</v>
          </cell>
        </row>
        <row r="775">
          <cell r="C775" t="str">
            <v>HACIENDA EL PROGRESO</v>
          </cell>
          <cell r="F775" t="str">
            <v>220 9243</v>
          </cell>
        </row>
        <row r="776">
          <cell r="C776" t="str">
            <v>HACIENDA EL RODEO</v>
          </cell>
          <cell r="E776" t="str">
            <v>hrodeo@cwpanama.net</v>
          </cell>
          <cell r="F776" t="str">
            <v>998-2821</v>
          </cell>
        </row>
        <row r="777">
          <cell r="C777" t="str">
            <v>HACIENDA LOS GUAYACANES</v>
          </cell>
          <cell r="E777" t="str">
            <v>guayacanespenonome@hotmail.com</v>
          </cell>
          <cell r="F777" t="str">
            <v>983-8340</v>
          </cell>
        </row>
        <row r="778">
          <cell r="C778" t="str">
            <v>HOTEL HILTON</v>
          </cell>
        </row>
        <row r="779">
          <cell r="C779" t="str">
            <v>HUEVOS CARIBEÑOS</v>
          </cell>
          <cell r="E779" t="str">
            <v>elsiledezma@italcol.com</v>
          </cell>
          <cell r="F779" t="str">
            <v>6895-6804</v>
          </cell>
        </row>
        <row r="780">
          <cell r="C780" t="str">
            <v>IMPORTADORA Y DISTRIBUIDORA SAGSA</v>
          </cell>
          <cell r="E780" t="str">
            <v>importadoraydistribuidorasag@gmail.com</v>
          </cell>
          <cell r="F780" t="str">
            <v>61111294</v>
          </cell>
        </row>
        <row r="781">
          <cell r="C781" t="str">
            <v>Industrial Agrícola de Azuero, S.A.</v>
          </cell>
          <cell r="E781" t="str">
            <v>indazuero@hotmail.com</v>
          </cell>
          <cell r="F781" t="str">
            <v>9950011 / 995 0269</v>
          </cell>
        </row>
        <row r="782">
          <cell r="C782" t="str">
            <v>INDUSTRIAL ARROCERA</v>
          </cell>
          <cell r="D782" t="str">
            <v>Ivanna Quintero</v>
          </cell>
          <cell r="E782" t="str">
            <v>mercadeo@industrialarrocera.com</v>
          </cell>
          <cell r="F782" t="str">
            <v>722-2033</v>
          </cell>
        </row>
        <row r="783">
          <cell r="C783" t="str">
            <v>INDUSTRIAS ALIMENTENCIAS DORAZ</v>
          </cell>
          <cell r="F783" t="str">
            <v>220-6062</v>
          </cell>
        </row>
        <row r="784">
          <cell r="C784" t="str">
            <v>IRIS PANAMA</v>
          </cell>
          <cell r="F784" t="str">
            <v>6688 1806</v>
          </cell>
        </row>
        <row r="785">
          <cell r="C785" t="str">
            <v>KING´S PANAMA FOOD SERVICES</v>
          </cell>
          <cell r="F785" t="str">
            <v>60813794</v>
          </cell>
        </row>
        <row r="786">
          <cell r="C786" t="str">
            <v>LA MAYORISTA REAL</v>
          </cell>
          <cell r="F786" t="str">
            <v>6527 5386</v>
          </cell>
        </row>
        <row r="787">
          <cell r="C787" t="str">
            <v>MANITOBA LTDA</v>
          </cell>
          <cell r="D787" t="str">
            <v>Daniela LLano Ulloa</v>
          </cell>
        </row>
        <row r="788">
          <cell r="C788" t="str">
            <v>MAROLI, SA.</v>
          </cell>
          <cell r="F788" t="str">
            <v>2638464</v>
          </cell>
        </row>
        <row r="789">
          <cell r="C789" t="str">
            <v>MARS WRIGLEY PANAMA</v>
          </cell>
          <cell r="F789" t="str">
            <v>6618 5450</v>
          </cell>
        </row>
        <row r="790">
          <cell r="C790" t="str">
            <v>MAX E. JIMENEZ</v>
          </cell>
          <cell r="D790" t="str">
            <v>José Miguez Jimenez</v>
          </cell>
          <cell r="F790" t="str">
            <v>236-1777</v>
          </cell>
        </row>
        <row r="791">
          <cell r="C791" t="str">
            <v>MEDIPAN,S.A</v>
          </cell>
        </row>
        <row r="792">
          <cell r="C792" t="str">
            <v>MERCANTILE SHIP STORES, S.A</v>
          </cell>
          <cell r="D792" t="str">
            <v>Anita Bhakta Kalanidhi de Deepak</v>
          </cell>
          <cell r="F792" t="str">
            <v>67471093</v>
          </cell>
        </row>
        <row r="793">
          <cell r="C793" t="str">
            <v>MOLINO DON CLEMENTE</v>
          </cell>
          <cell r="E793" t="str">
            <v>mdonclemente@gmail.com</v>
          </cell>
          <cell r="F793" t="str">
            <v>722 7209</v>
          </cell>
        </row>
        <row r="794">
          <cell r="C794" t="str">
            <v>Molino Hermanos Bee, S.A.</v>
          </cell>
          <cell r="E794" t="str">
            <v>molinobee@hotmail.com</v>
          </cell>
          <cell r="F794" t="str">
            <v>998 5353</v>
          </cell>
        </row>
        <row r="795">
          <cell r="C795" t="str">
            <v>Molino Lezcano, S.A.</v>
          </cell>
          <cell r="E795" t="str">
            <v>molinolezcano@yahoo.com</v>
          </cell>
          <cell r="F795" t="str">
            <v>772 2288</v>
          </cell>
        </row>
        <row r="796">
          <cell r="C796" t="str">
            <v>MOLINO SAN PABLO</v>
          </cell>
          <cell r="D796" t="str">
            <v>Timothy Charles</v>
          </cell>
        </row>
        <row r="797">
          <cell r="C797" t="str">
            <v>PANADERIA SANTA LIBRADA</v>
          </cell>
          <cell r="D797" t="str">
            <v>Maribel Concepcion</v>
          </cell>
        </row>
        <row r="798">
          <cell r="C798" t="str">
            <v>PILADORA LAS MERCEDES</v>
          </cell>
          <cell r="F798" t="str">
            <v>66152012</v>
          </cell>
        </row>
        <row r="799">
          <cell r="C799" t="str">
            <v>PROCESADORA AVICOLA JUAN XXIII</v>
          </cell>
          <cell r="E799" t="str">
            <v>secretaria.gerencia@juan-xxiii.com</v>
          </cell>
          <cell r="F799" t="str">
            <v>9984575</v>
          </cell>
        </row>
        <row r="800">
          <cell r="C800" t="str">
            <v>PROCESADORA LO NUESTRO</v>
          </cell>
          <cell r="F800" t="str">
            <v>60903072</v>
          </cell>
        </row>
        <row r="801">
          <cell r="C801" t="str">
            <v>PROCESADORA MONICA, S.A</v>
          </cell>
          <cell r="E801" t="str">
            <v>vepifaniom@cwpanama.net</v>
          </cell>
          <cell r="F801" t="str">
            <v>2248339</v>
          </cell>
        </row>
        <row r="802">
          <cell r="C802" t="str">
            <v>PRODISA TRADING S.A.</v>
          </cell>
          <cell r="D802" t="str">
            <v>Melissa Fernández</v>
          </cell>
          <cell r="E802" t="str">
            <v>mmfernandez@lynns.com.pa</v>
          </cell>
          <cell r="F802" t="str">
            <v>6671-5091</v>
          </cell>
        </row>
        <row r="803">
          <cell r="C803" t="str">
            <v>Productos Alimenticios Masa</v>
          </cell>
          <cell r="F803" t="str">
            <v>69865558</v>
          </cell>
        </row>
        <row r="804">
          <cell r="C804" t="str">
            <v>PRODUCTOS DON SABOR PANAMA</v>
          </cell>
          <cell r="F804" t="str">
            <v>67605088</v>
          </cell>
        </row>
        <row r="805">
          <cell r="C805" t="str">
            <v>REFRESCOS TROPICALES</v>
          </cell>
          <cell r="E805" t="str">
            <v>felipe@refrescostropicales.com</v>
          </cell>
          <cell r="F805" t="str">
            <v>6949-1325</v>
          </cell>
        </row>
        <row r="806">
          <cell r="C806" t="str">
            <v>RIQUEZAS DEL MAR</v>
          </cell>
          <cell r="F806" t="str">
            <v>399 8789</v>
          </cell>
        </row>
        <row r="807">
          <cell r="C807" t="str">
            <v>SHANGHAI DISTRIBUIDORA</v>
          </cell>
          <cell r="E807" t="str">
            <v>shanghaiinterprise.sa.@hotmail.com</v>
          </cell>
          <cell r="F807" t="str">
            <v>65469898 - 2368128</v>
          </cell>
        </row>
        <row r="808">
          <cell r="C808" t="str">
            <v>VC PRODUCTS INC. - OCEAN GOURMET</v>
          </cell>
          <cell r="F808" t="str">
            <v>2224457</v>
          </cell>
        </row>
        <row r="809">
          <cell r="C809" t="str">
            <v>YOBEL SCM</v>
          </cell>
          <cell r="D809" t="str">
            <v>Suhel Patel</v>
          </cell>
          <cell r="E809" t="str">
            <v>spatel@yobelscm.biz</v>
          </cell>
          <cell r="F809" t="str">
            <v>292 2034</v>
          </cell>
        </row>
        <row r="810">
          <cell r="C810" t="str">
            <v>Agrícola La Lomita, S.A.</v>
          </cell>
          <cell r="D810" t="str">
            <v>Yara Martínez</v>
          </cell>
          <cell r="E810" t="str">
            <v>creditosycobros@agricolalomita.com</v>
          </cell>
          <cell r="F810" t="str">
            <v>6317-6692</v>
          </cell>
        </row>
        <row r="811">
          <cell r="C811" t="str">
            <v>DISTRIBUIDORA CENTROAMERICANA - DICASA</v>
          </cell>
          <cell r="F811" t="str">
            <v>3995702/03/04</v>
          </cell>
        </row>
        <row r="812">
          <cell r="C812" t="str">
            <v>DISTRIBUIDORA CENTROAMERICANA, S.A. - DICASA</v>
          </cell>
          <cell r="F812" t="str">
            <v>399 5702/03 Y 04</v>
          </cell>
        </row>
        <row r="813">
          <cell r="C813" t="str">
            <v>AGROINDUSTRIAS ALIMENTICIAS DE VERAGUAS</v>
          </cell>
          <cell r="E813" t="str">
            <v>rvirzi@productoslaparmigiana.com</v>
          </cell>
          <cell r="F813" t="str">
            <v>998 2662</v>
          </cell>
        </row>
        <row r="814">
          <cell r="C814" t="str">
            <v>HARINAS DEL ISTMO</v>
          </cell>
          <cell r="E814" t="str">
            <v>camilo@haristmo.net</v>
          </cell>
          <cell r="F814" t="str">
            <v>220-2599</v>
          </cell>
        </row>
        <row r="815">
          <cell r="C815" t="str">
            <v>LA CASA DE LA BATERIA</v>
          </cell>
          <cell r="F815" t="str">
            <v>800 6666</v>
          </cell>
        </row>
        <row r="816">
          <cell r="C816" t="str">
            <v>MERCADO SAN FELIPE NERI</v>
          </cell>
        </row>
        <row r="817">
          <cell r="C817" t="str">
            <v>AGENCIAS MOTTA, S.A</v>
          </cell>
          <cell r="D817" t="str">
            <v>Malena Calvit</v>
          </cell>
          <cell r="E817" t="str">
            <v>mcalvit@agmotta.com</v>
          </cell>
          <cell r="F817" t="str">
            <v>300-7800</v>
          </cell>
        </row>
        <row r="818">
          <cell r="C818" t="str">
            <v>DISTRIBUIDORA JABAR</v>
          </cell>
          <cell r="F818" t="str">
            <v>6679 9705</v>
          </cell>
        </row>
        <row r="819">
          <cell r="C819" t="str">
            <v>IMPORTADORA MUNDO FINO</v>
          </cell>
          <cell r="E819" t="str">
            <v>ido@mundofino.com</v>
          </cell>
          <cell r="F819" t="str">
            <v>66170036</v>
          </cell>
        </row>
        <row r="820">
          <cell r="C820" t="str">
            <v>PROLAT</v>
          </cell>
          <cell r="F820" t="str">
            <v>229 2929</v>
          </cell>
        </row>
        <row r="821">
          <cell r="C821" t="str">
            <v>VARELA HERMANOS</v>
          </cell>
          <cell r="E821" t="str">
            <v>eflores@varelahermanos.com</v>
          </cell>
          <cell r="F821" t="str">
            <v>377-5000</v>
          </cell>
        </row>
        <row r="822">
          <cell r="C822" t="str">
            <v>Alstom</v>
          </cell>
          <cell r="D822" t="str">
            <v>Fior Díaz</v>
          </cell>
          <cell r="E822" t="str">
            <v>fior.diaz-ext@alstomgroup.com</v>
          </cell>
          <cell r="F822" t="str">
            <v>377-3801</v>
          </cell>
        </row>
        <row r="823">
          <cell r="C823" t="str">
            <v>MINISTERIO DE DESARROLLO SOCIAL</v>
          </cell>
        </row>
        <row r="824">
          <cell r="C824" t="str">
            <v>INDUPLAST</v>
          </cell>
          <cell r="E824" t="str">
            <v>ventas@induplast.com.pa</v>
          </cell>
          <cell r="F824" t="str">
            <v>+507 231-2219</v>
          </cell>
        </row>
        <row r="825">
          <cell r="C825" t="str">
            <v>Darien Technology</v>
          </cell>
        </row>
        <row r="826">
          <cell r="C826" t="str">
            <v>FALCON SERVICIOS INTEGRADOS S.A</v>
          </cell>
          <cell r="E826" t="str">
            <v>gestion@falcompa.com</v>
          </cell>
          <cell r="F826" t="str">
            <v>373- 8245 / 373-8246</v>
          </cell>
        </row>
        <row r="827">
          <cell r="C827" t="str">
            <v>GRUAS &amp; TRANSPORTES, S.A</v>
          </cell>
          <cell r="D827" t="str">
            <v>Santiago Gonzalez</v>
          </cell>
          <cell r="F827" t="str">
            <v>66748033</v>
          </cell>
        </row>
        <row r="828">
          <cell r="C828" t="str">
            <v>Motta Internacional</v>
          </cell>
        </row>
        <row r="829">
          <cell r="C829" t="str">
            <v>Servi Entrega</v>
          </cell>
        </row>
        <row r="830">
          <cell r="C830" t="str">
            <v>Servicontrol Panama</v>
          </cell>
        </row>
        <row r="831">
          <cell r="C831" t="str">
            <v>SolucIones Servicios Industriales Logistica, S.A.</v>
          </cell>
        </row>
        <row r="832">
          <cell r="C832" t="str">
            <v>AcuaPanamá</v>
          </cell>
        </row>
        <row r="833">
          <cell r="C833" t="str">
            <v>Alimentos Superconcentrados</v>
          </cell>
          <cell r="F833" t="str">
            <v>2908200</v>
          </cell>
        </row>
        <row r="834">
          <cell r="C834" t="str">
            <v>AMASA</v>
          </cell>
          <cell r="F834" t="str">
            <v>62014105</v>
          </cell>
        </row>
        <row r="835">
          <cell r="C835" t="str">
            <v>AMERICAN FOODS</v>
          </cell>
          <cell r="D835" t="str">
            <v>Isabel Rojas</v>
          </cell>
          <cell r="E835" t="str">
            <v>irojas@americanfoodsllc.com</v>
          </cell>
          <cell r="F835" t="str">
            <v>375-6336</v>
          </cell>
        </row>
        <row r="836">
          <cell r="C836" t="str">
            <v>ARMANDO GONZALEZ</v>
          </cell>
        </row>
        <row r="837">
          <cell r="C837" t="str">
            <v>ARTESANOS DEL BOCADO, S.A.</v>
          </cell>
          <cell r="F837" t="str">
            <v>6470-9540</v>
          </cell>
        </row>
        <row r="838">
          <cell r="C838" t="str">
            <v>CORPORACIÓN MENDELA S.A.</v>
          </cell>
          <cell r="D838" t="str">
            <v>Libert Mendoza</v>
          </cell>
          <cell r="E838" t="str">
            <v>gerencia@mendelacorp.com</v>
          </cell>
          <cell r="F838" t="str">
            <v>6208-2310</v>
          </cell>
        </row>
        <row r="839">
          <cell r="C839" t="str">
            <v>GOURMET IMPORTS, S.A.</v>
          </cell>
          <cell r="D839" t="str">
            <v>Isis Pineda de Chiari</v>
          </cell>
          <cell r="E839" t="str">
            <v>ventas@gourmetimportspty.com</v>
          </cell>
          <cell r="F839" t="str">
            <v>392-5304 / 6615-2158</v>
          </cell>
        </row>
        <row r="840">
          <cell r="C840" t="str">
            <v>GRUPO REY, S.A.</v>
          </cell>
        </row>
        <row r="841">
          <cell r="C841" t="str">
            <v>INVERSIONES MAKAPANA, S.A</v>
          </cell>
          <cell r="D841" t="str">
            <v>Brenda Mejías</v>
          </cell>
          <cell r="E841" t="str">
            <v>b.mejias@keybrands-pa.com</v>
          </cell>
          <cell r="F841" t="str">
            <v>6749-2181</v>
          </cell>
        </row>
        <row r="842">
          <cell r="C842" t="str">
            <v>Mercantile International Ship Store Panama SA</v>
          </cell>
          <cell r="D842" t="str">
            <v>Marianela Hurtado</v>
          </cell>
          <cell r="E842" t="str">
            <v>mhurtado@inkoop-group.com</v>
          </cell>
          <cell r="F842" t="str">
            <v>388-7434</v>
          </cell>
        </row>
        <row r="843">
          <cell r="C843" t="str">
            <v>Molino Abrego, S.A.</v>
          </cell>
          <cell r="E843" t="str">
            <v>fabrego@cableonda.net</v>
          </cell>
          <cell r="F843" t="str">
            <v>775 0349</v>
          </cell>
        </row>
        <row r="844">
          <cell r="C844" t="str">
            <v>PRODUCTOS LILI</v>
          </cell>
          <cell r="F844" t="str">
            <v>270 4927</v>
          </cell>
        </row>
        <row r="845">
          <cell r="C845" t="str">
            <v>SUPER CARNES</v>
          </cell>
          <cell r="D845" t="str">
            <v>Liurys Jimenez</v>
          </cell>
          <cell r="E845" t="str">
            <v>liurys.jimenez@supercarnes.com</v>
          </cell>
          <cell r="F845" t="str">
            <v>958-9699</v>
          </cell>
        </row>
        <row r="846">
          <cell r="C846" t="str">
            <v>CAMPANA JEWELRY VIJANAS</v>
          </cell>
          <cell r="E846" t="str">
            <v>vijanajewelry@gmail.com</v>
          </cell>
          <cell r="F846" t="str">
            <v>6349-6273</v>
          </cell>
        </row>
        <row r="847">
          <cell r="C847" t="str">
            <v>CAMPAÑA MEAT HOUSE</v>
          </cell>
          <cell r="E847" t="str">
            <v>mvguiraud@gmail.com</v>
          </cell>
        </row>
        <row r="848">
          <cell r="C848" t="str">
            <v>DULICADO CAMPAÑA COSTA RECICLA</v>
          </cell>
        </row>
        <row r="849">
          <cell r="C849" t="str">
            <v>KERRY PANAMÁ</v>
          </cell>
        </row>
        <row r="850">
          <cell r="C850" t="str">
            <v>UNIVERSIDAD POLITÉCNICA INTERNACIONAL</v>
          </cell>
          <cell r="D850" t="str">
            <v>Angela Torres</v>
          </cell>
        </row>
        <row r="851">
          <cell r="C851" t="str">
            <v>BARRIO PIZZA</v>
          </cell>
          <cell r="D851" t="str">
            <v>Carlos Levy</v>
          </cell>
          <cell r="F851" t="str">
            <v>387-4444</v>
          </cell>
        </row>
        <row r="852">
          <cell r="C852" t="str">
            <v>ANABELA CORREA de TRIBALDOS</v>
          </cell>
        </row>
        <row r="853">
          <cell r="C853" t="str">
            <v>BETTINA RAQUEL GRISOLIA GALLOL</v>
          </cell>
        </row>
        <row r="854">
          <cell r="C854" t="str">
            <v>ELKA ILIANA STROCCHIA DE ROBLES</v>
          </cell>
        </row>
        <row r="855">
          <cell r="C855" t="str">
            <v>ELSA ELENA RAMIREZ BLAZQUEZ TAPIA</v>
          </cell>
        </row>
        <row r="856">
          <cell r="C856" t="str">
            <v>EUGENIA DE LAS MERCEDES GUTIERREZ CHARRIS</v>
          </cell>
        </row>
        <row r="857">
          <cell r="C857" t="str">
            <v>Ithiel Tribaldos</v>
          </cell>
        </row>
        <row r="858">
          <cell r="C858" t="str">
            <v>JUAN ANTONIO APARICIO GARCIA</v>
          </cell>
        </row>
        <row r="859">
          <cell r="C859" t="str">
            <v>Julieta Alfaro de Romero</v>
          </cell>
          <cell r="F859" t="str">
            <v>6612 7419</v>
          </cell>
        </row>
        <row r="860">
          <cell r="C860" t="str">
            <v>LESBIA GABRIELA SANDOVAL VELASQUEZ</v>
          </cell>
        </row>
        <row r="861">
          <cell r="C861" t="str">
            <v>LILI ANN DEL CARMEN VALDES de GANDASEGUI</v>
          </cell>
        </row>
        <row r="862">
          <cell r="C862" t="str">
            <v>LIODETTE NOIRAN de PINIL</v>
          </cell>
        </row>
        <row r="863">
          <cell r="C863" t="str">
            <v>Lolitin Arias de Canavaggio</v>
          </cell>
        </row>
        <row r="864">
          <cell r="C864" t="str">
            <v>MARTHA ESTELA MATOS DE HEILBRON</v>
          </cell>
        </row>
        <row r="865">
          <cell r="C865" t="str">
            <v>MARY LUZ TRIBALDOS GIRALDEZ</v>
          </cell>
        </row>
        <row r="866">
          <cell r="C866" t="str">
            <v>MICHELLE DESIREE TOUZARD CARRASCO</v>
          </cell>
          <cell r="F866" t="str">
            <v>6671 7471</v>
          </cell>
        </row>
        <row r="867">
          <cell r="C867" t="str">
            <v>MIGUEL ENRIQUE VASQUEZ OMLIN</v>
          </cell>
        </row>
        <row r="868">
          <cell r="C868" t="str">
            <v>MONICA MARIE CHING WONG</v>
          </cell>
        </row>
        <row r="869">
          <cell r="C869" t="str">
            <v>Nicole Marie Tribaldos</v>
          </cell>
        </row>
        <row r="870">
          <cell r="C870" t="str">
            <v>THAIS DEL CARMEN CHALMERS HERMES</v>
          </cell>
          <cell r="F870" t="str">
            <v>6619 6771</v>
          </cell>
        </row>
        <row r="871">
          <cell r="C871" t="str">
            <v>Winanda Tribaldos</v>
          </cell>
        </row>
        <row r="872">
          <cell r="C872" t="str">
            <v>WYNANDA ETHEL EISENMANN</v>
          </cell>
        </row>
        <row r="873">
          <cell r="C873" t="str">
            <v>ALBERTO ALEMÁN ZUBIETA</v>
          </cell>
        </row>
        <row r="874">
          <cell r="C874" t="str">
            <v>ANA PAULA CORREA DEBONI</v>
          </cell>
        </row>
        <row r="875">
          <cell r="C875" t="str">
            <v>Angel Larrea Cornejo Household</v>
          </cell>
          <cell r="D875" t="str">
            <v>Angel Larrea Cornejo</v>
          </cell>
        </row>
        <row r="876">
          <cell r="C876" t="str">
            <v>ARENERA BALBOA. S.A</v>
          </cell>
          <cell r="D876" t="str">
            <v>BENJAMIN BOYD</v>
          </cell>
          <cell r="E876" t="str">
            <v>jortega@arenerabalboa.com</v>
          </cell>
          <cell r="F876" t="str">
            <v>830-6021</v>
          </cell>
        </row>
        <row r="877">
          <cell r="C877" t="str">
            <v>DALYS HAYDE CUERVO GUTIERREZ</v>
          </cell>
        </row>
        <row r="878">
          <cell r="C878" t="str">
            <v>EDUARDO ENRIQUE MORGAN BOYD</v>
          </cell>
        </row>
        <row r="879">
          <cell r="C879" t="str">
            <v>GARCIA DE PAREDES Household</v>
          </cell>
          <cell r="D879" t="str">
            <v>PABLO GARCIA DE PAREDES</v>
          </cell>
          <cell r="E879" t="str">
            <v>ps@inmaquip.com</v>
          </cell>
        </row>
        <row r="880">
          <cell r="C880" t="str">
            <v>George Love</v>
          </cell>
        </row>
        <row r="881">
          <cell r="C881" t="str">
            <v>GIANINA M. DE CORREA Household</v>
          </cell>
          <cell r="D881" t="str">
            <v>GIANINA M DE CORREA</v>
          </cell>
          <cell r="E881" t="str">
            <v>gianinadecorrea@gmaill.com</v>
          </cell>
          <cell r="F881" t="str">
            <v>271-3317</v>
          </cell>
        </row>
        <row r="882">
          <cell r="C882" t="str">
            <v>Gonzalez Household</v>
          </cell>
          <cell r="D882" t="str">
            <v>BETZY Gonzalez</v>
          </cell>
        </row>
        <row r="883">
          <cell r="C883" t="str">
            <v>GRACIELA QUELQUEJEU</v>
          </cell>
        </row>
        <row r="884">
          <cell r="C884" t="str">
            <v>HECTOR RODRIGUEZ VELASQUEZ</v>
          </cell>
        </row>
        <row r="885">
          <cell r="C885" t="str">
            <v>HERMES ANTONIO CARRIZO ARANGO</v>
          </cell>
        </row>
        <row r="886">
          <cell r="C886" t="str">
            <v>Ingrid Rosas de Diaz</v>
          </cell>
          <cell r="D886" t="str">
            <v>Ingrid Rosas de Diaz</v>
          </cell>
          <cell r="E886" t="str">
            <v>ingridrosas@hotmail.com</v>
          </cell>
          <cell r="F886" t="str">
            <v>3871398</v>
          </cell>
        </row>
        <row r="887">
          <cell r="C887" t="str">
            <v>Jorge A. López Berroa</v>
          </cell>
        </row>
        <row r="888">
          <cell r="C888" t="str">
            <v>JOSE Y MARIA MIGUEZ</v>
          </cell>
        </row>
        <row r="889">
          <cell r="C889" t="str">
            <v>JUAN RAMON HUMBERT</v>
          </cell>
          <cell r="D889" t="str">
            <v>JUAN RAUL HUMBERT</v>
          </cell>
          <cell r="E889" t="str">
            <v>afabrega60@gmail.com</v>
          </cell>
        </row>
        <row r="890">
          <cell r="C890" t="str">
            <v>Marianela Brostella</v>
          </cell>
        </row>
        <row r="891">
          <cell r="C891" t="str">
            <v>Maritza Vallarino</v>
          </cell>
        </row>
        <row r="892">
          <cell r="C892" t="str">
            <v>MARTIN PLAZA</v>
          </cell>
          <cell r="D892" t="str">
            <v>VALENTIN MARTIN PLAZA</v>
          </cell>
          <cell r="E892" t="str">
            <v>vplazas@yahoo.com</v>
          </cell>
        </row>
        <row r="893">
          <cell r="C893" t="str">
            <v>Monica Chin</v>
          </cell>
        </row>
        <row r="894">
          <cell r="C894" t="str">
            <v>Nathalie Michelle Vallarino Dominguez</v>
          </cell>
        </row>
        <row r="895">
          <cell r="C895" t="str">
            <v>NEMANIC CARRILLO</v>
          </cell>
        </row>
        <row r="896">
          <cell r="C896" t="str">
            <v>Norma Martinez Maslivar</v>
          </cell>
          <cell r="F896" t="str">
            <v>6780-6507</v>
          </cell>
        </row>
        <row r="897">
          <cell r="C897" t="str">
            <v>SILKA MARTINEZ</v>
          </cell>
          <cell r="D897" t="str">
            <v>SILKA MARTINEZ</v>
          </cell>
          <cell r="E897" t="str">
            <v>smartinez@cirsa.com</v>
          </cell>
        </row>
        <row r="898">
          <cell r="C898" t="str">
            <v>INDUSTRIAL ARROCERA</v>
          </cell>
          <cell r="D898" t="str">
            <v>Ivanna Quintero</v>
          </cell>
          <cell r="E898" t="str">
            <v>ventas@industrialarrocera.com</v>
          </cell>
          <cell r="F898" t="str">
            <v>6679-2146</v>
          </cell>
        </row>
        <row r="899">
          <cell r="C899" t="str">
            <v>PANAMÁ SHIP WAREHOUSE</v>
          </cell>
        </row>
        <row r="900">
          <cell r="C900" t="str">
            <v>PRODUCTOS DIVERSOS</v>
          </cell>
          <cell r="D900" t="str">
            <v>Melissa Fernández</v>
          </cell>
          <cell r="E900" t="str">
            <v>mmfernandez@lynns.com.pa</v>
          </cell>
        </row>
        <row r="901">
          <cell r="C901" t="str">
            <v>Rogelio Aleman Arias</v>
          </cell>
          <cell r="D901" t="str">
            <v>Rogelio Eduardo Aleman Arias</v>
          </cell>
        </row>
        <row r="902">
          <cell r="C902" t="str">
            <v>AGRICOLA FONSECA, S.A.</v>
          </cell>
          <cell r="D902" t="str">
            <v>Ricardo Fonseca</v>
          </cell>
          <cell r="F902" t="str">
            <v>67 874266 / 62561070</v>
          </cell>
        </row>
        <row r="903">
          <cell r="C903" t="str">
            <v>AGROPACK CERRO PUNTA</v>
          </cell>
          <cell r="F903" t="str">
            <v>387 4517/16 7712891</v>
          </cell>
        </row>
        <row r="904">
          <cell r="C904" t="str">
            <v>AGRORIOS VEGETALES Y FRUTAS</v>
          </cell>
          <cell r="F904" t="str">
            <v>6268620</v>
          </cell>
        </row>
        <row r="905">
          <cell r="C905" t="str">
            <v>AGROVEGETALES DE PANAMA</v>
          </cell>
          <cell r="F905" t="str">
            <v>69453548</v>
          </cell>
        </row>
        <row r="906">
          <cell r="C906" t="str">
            <v>ALEXIS DE LEON</v>
          </cell>
          <cell r="D906" t="str">
            <v>Oliver Diaz</v>
          </cell>
          <cell r="F906" t="str">
            <v>64-015300</v>
          </cell>
        </row>
        <row r="907">
          <cell r="C907" t="str">
            <v>ALEXIS JOSE FLORES</v>
          </cell>
          <cell r="D907" t="str">
            <v>Alexis Jose Flores</v>
          </cell>
        </row>
        <row r="908">
          <cell r="C908" t="str">
            <v>ALEXIS MARIN</v>
          </cell>
          <cell r="F908" t="str">
            <v>64949582</v>
          </cell>
        </row>
        <row r="909">
          <cell r="C909" t="str">
            <v>ALEXIS MELA</v>
          </cell>
          <cell r="D909" t="str">
            <v>Alexis Mela</v>
          </cell>
          <cell r="F909" t="str">
            <v>6349-2543</v>
          </cell>
        </row>
        <row r="910">
          <cell r="C910" t="str">
            <v>AMIGOS DEL REY</v>
          </cell>
          <cell r="D910" t="str">
            <v>ERICK FUENTES</v>
          </cell>
        </row>
        <row r="911">
          <cell r="C911" t="str">
            <v>ANGEL SANTOS DE LEON</v>
          </cell>
          <cell r="D911" t="str">
            <v>Angel Santos De Leon</v>
          </cell>
        </row>
        <row r="912">
          <cell r="C912" t="str">
            <v>ANTONIO SOLIS</v>
          </cell>
          <cell r="D912" t="str">
            <v>ANTONIO SOLIS</v>
          </cell>
          <cell r="F912" t="str">
            <v>68064979</v>
          </cell>
        </row>
        <row r="913">
          <cell r="C913" t="str">
            <v>ARGELIA DE GOMEZ</v>
          </cell>
          <cell r="F913" t="str">
            <v>63998073</v>
          </cell>
        </row>
        <row r="914">
          <cell r="C914" t="str">
            <v>Aristides Espinoza</v>
          </cell>
          <cell r="D914" t="str">
            <v>Aristides Espinoza</v>
          </cell>
        </row>
        <row r="915">
          <cell r="C915" t="str">
            <v>ARSENIO GONZALEZ</v>
          </cell>
          <cell r="D915" t="str">
            <v>Arsenio Gonzalez</v>
          </cell>
        </row>
        <row r="916">
          <cell r="C916" t="str">
            <v>AURELIO REMON</v>
          </cell>
          <cell r="D916" t="str">
            <v>Aurelio Remon</v>
          </cell>
          <cell r="F916" t="str">
            <v>63511707</v>
          </cell>
        </row>
        <row r="917">
          <cell r="C917" t="str">
            <v>BENJAMIN SANTOS</v>
          </cell>
          <cell r="D917" t="str">
            <v>Benjamin Santos</v>
          </cell>
          <cell r="F917" t="str">
            <v>6283-4312</v>
          </cell>
        </row>
        <row r="918">
          <cell r="C918" t="str">
            <v>CAMILO APARICIO</v>
          </cell>
          <cell r="D918" t="str">
            <v>Camilo Aparicio</v>
          </cell>
          <cell r="F918" t="str">
            <v>69041560</v>
          </cell>
        </row>
        <row r="919">
          <cell r="C919" t="str">
            <v>CESAR MORENO</v>
          </cell>
          <cell r="D919" t="str">
            <v>Cesar Moreno</v>
          </cell>
          <cell r="F919" t="str">
            <v>63612609</v>
          </cell>
        </row>
        <row r="920">
          <cell r="C920" t="str">
            <v>DARIO REYNA</v>
          </cell>
          <cell r="D920" t="str">
            <v>Dario Reyna</v>
          </cell>
        </row>
        <row r="921">
          <cell r="C921" t="str">
            <v>Diomedes Bonilla</v>
          </cell>
        </row>
        <row r="922">
          <cell r="C922" t="str">
            <v>DOLINDO ROSAS RAMOS</v>
          </cell>
          <cell r="F922" t="str">
            <v>68 808220</v>
          </cell>
        </row>
        <row r="923">
          <cell r="C923" t="str">
            <v>Edgardo Rodriguez</v>
          </cell>
          <cell r="D923" t="str">
            <v>Edgardo Rodriguez</v>
          </cell>
        </row>
        <row r="924">
          <cell r="C924" t="str">
            <v>Edgardo Rodriguez</v>
          </cell>
        </row>
        <row r="925">
          <cell r="C925" t="str">
            <v>EDILBERTO MARIN</v>
          </cell>
          <cell r="D925" t="str">
            <v>Edilberto Marin</v>
          </cell>
          <cell r="F925" t="str">
            <v>65576474</v>
          </cell>
        </row>
        <row r="926">
          <cell r="C926" t="str">
            <v>EDILBERTO MARIN</v>
          </cell>
          <cell r="F926" t="str">
            <v>65576474</v>
          </cell>
        </row>
        <row r="927">
          <cell r="C927" t="str">
            <v>Edilberto Sanchez</v>
          </cell>
          <cell r="F927" t="str">
            <v>6541-0510</v>
          </cell>
        </row>
        <row r="928">
          <cell r="C928" t="str">
            <v>EDWIN APARICIO</v>
          </cell>
        </row>
        <row r="929">
          <cell r="C929" t="str">
            <v>EDWIN RIOS</v>
          </cell>
        </row>
        <row r="930">
          <cell r="C930" t="str">
            <v>ELIECER GALVEZ</v>
          </cell>
          <cell r="D930" t="str">
            <v>Eliecer Galvez</v>
          </cell>
          <cell r="F930" t="str">
            <v>64469579</v>
          </cell>
        </row>
        <row r="931">
          <cell r="C931" t="str">
            <v>ELISEO MORENO</v>
          </cell>
          <cell r="D931" t="str">
            <v>Eliseo Moreno</v>
          </cell>
          <cell r="F931" t="str">
            <v>67862851</v>
          </cell>
        </row>
        <row r="932">
          <cell r="C932" t="str">
            <v>Erick Maure</v>
          </cell>
        </row>
        <row r="933">
          <cell r="C933" t="str">
            <v>EUGENIO CASTREJON</v>
          </cell>
          <cell r="D933" t="str">
            <v>Eugenio Castrejon</v>
          </cell>
        </row>
        <row r="934">
          <cell r="C934" t="str">
            <v>EVELIO PINTO</v>
          </cell>
          <cell r="D934" t="str">
            <v>Evelio Pinto</v>
          </cell>
        </row>
        <row r="935">
          <cell r="C935" t="str">
            <v>FELIX CORTES</v>
          </cell>
          <cell r="D935" t="str">
            <v>Felix Cortes</v>
          </cell>
          <cell r="F935" t="str">
            <v>66230665</v>
          </cell>
        </row>
        <row r="936">
          <cell r="C936" t="str">
            <v>FERNANDO UREÑA</v>
          </cell>
          <cell r="D936" t="str">
            <v>Fernando Ureña</v>
          </cell>
        </row>
        <row r="937">
          <cell r="C937" t="str">
            <v>FRANCISCO GONZALEZ</v>
          </cell>
          <cell r="F937" t="str">
            <v>64 176062</v>
          </cell>
        </row>
        <row r="938">
          <cell r="C938" t="str">
            <v>FRANKLIN SALINA</v>
          </cell>
          <cell r="D938" t="str">
            <v>Franklin Salinas</v>
          </cell>
          <cell r="F938" t="str">
            <v>65644972</v>
          </cell>
        </row>
        <row r="939">
          <cell r="C939" t="str">
            <v>GABRIEL MEDINA</v>
          </cell>
          <cell r="D939" t="str">
            <v>Gabriel Medina</v>
          </cell>
          <cell r="F939" t="str">
            <v>6735-8460</v>
          </cell>
        </row>
        <row r="940">
          <cell r="C940" t="str">
            <v>GEORGE Y RAUL MARTINEZ</v>
          </cell>
          <cell r="D940" t="str">
            <v>George Martinez</v>
          </cell>
          <cell r="F940" t="str">
            <v>67 178891</v>
          </cell>
        </row>
        <row r="941">
          <cell r="C941" t="str">
            <v>GILBERTO DE LA CRUZ</v>
          </cell>
          <cell r="D941" t="str">
            <v>Gilberto De la Cruz</v>
          </cell>
          <cell r="F941" t="str">
            <v>68331820</v>
          </cell>
        </row>
        <row r="942">
          <cell r="C942" t="str">
            <v>GILBERTO RIVAS</v>
          </cell>
          <cell r="D942" t="str">
            <v>Simon Abrego</v>
          </cell>
          <cell r="F942" t="str">
            <v>63 981656</v>
          </cell>
        </row>
        <row r="943">
          <cell r="C943" t="str">
            <v>GLORIELA GONZALEZ</v>
          </cell>
          <cell r="D943" t="str">
            <v>Gloriela Gonzalez</v>
          </cell>
        </row>
        <row r="944">
          <cell r="C944" t="str">
            <v>HERMANOS VILLARREAL</v>
          </cell>
          <cell r="D944" t="str">
            <v>Jaime Robles</v>
          </cell>
          <cell r="F944" t="str">
            <v>68005440</v>
          </cell>
        </row>
        <row r="945">
          <cell r="C945" t="str">
            <v>JACINTO CUEVAS</v>
          </cell>
          <cell r="F945" t="str">
            <v>69789755</v>
          </cell>
        </row>
        <row r="946">
          <cell r="C946" t="str">
            <v>JACINTO RODRIGUEZ</v>
          </cell>
          <cell r="D946" t="str">
            <v>Jacinto Rodriguez</v>
          </cell>
        </row>
        <row r="947">
          <cell r="C947" t="str">
            <v>JESUS BARRIA</v>
          </cell>
          <cell r="D947" t="str">
            <v>Jesus Barria</v>
          </cell>
        </row>
        <row r="948">
          <cell r="C948" t="str">
            <v>JESUS CHEN</v>
          </cell>
          <cell r="D948" t="str">
            <v>Jesus Chen</v>
          </cell>
          <cell r="F948" t="str">
            <v>66 409300</v>
          </cell>
        </row>
        <row r="949">
          <cell r="C949" t="str">
            <v>JORGE SZCZUR RIOS</v>
          </cell>
          <cell r="D949" t="str">
            <v>Jorge Szczur Rios</v>
          </cell>
        </row>
        <row r="950">
          <cell r="C950" t="str">
            <v>JOSE ALONSO</v>
          </cell>
          <cell r="D950" t="str">
            <v>Jose Alonso</v>
          </cell>
        </row>
        <row r="951">
          <cell r="C951" t="str">
            <v>JOSE CASTILLO</v>
          </cell>
        </row>
        <row r="952">
          <cell r="C952" t="str">
            <v>JOSE FLORES</v>
          </cell>
          <cell r="D952" t="str">
            <v>Henry Valdes</v>
          </cell>
          <cell r="F952" t="str">
            <v>67 387187</v>
          </cell>
        </row>
        <row r="953">
          <cell r="C953" t="str">
            <v>JOSE FRIAS</v>
          </cell>
          <cell r="D953" t="str">
            <v>Jose Frias</v>
          </cell>
        </row>
        <row r="954">
          <cell r="C954" t="str">
            <v>JOSE GOMEZ</v>
          </cell>
          <cell r="D954" t="str">
            <v>JOSE GOMEZ</v>
          </cell>
        </row>
        <row r="955">
          <cell r="C955" t="str">
            <v>JOSE HIGUERO</v>
          </cell>
          <cell r="D955" t="str">
            <v>Jose Higuero</v>
          </cell>
          <cell r="F955" t="str">
            <v>6618-0342</v>
          </cell>
        </row>
        <row r="956">
          <cell r="C956" t="str">
            <v>Jose Magallon.</v>
          </cell>
        </row>
        <row r="957">
          <cell r="C957" t="str">
            <v>JOSE PEÑA</v>
          </cell>
          <cell r="D957" t="str">
            <v>Jose Peña</v>
          </cell>
          <cell r="F957" t="str">
            <v>6418-4945</v>
          </cell>
        </row>
        <row r="958">
          <cell r="C958" t="str">
            <v>JUAN ELIECER SERRANO</v>
          </cell>
          <cell r="D958" t="str">
            <v>Juan Eliecer Serrano</v>
          </cell>
          <cell r="F958" t="str">
            <v>6951-0304/6682-0467</v>
          </cell>
        </row>
        <row r="959">
          <cell r="C959" t="str">
            <v>JUAN GAITAN</v>
          </cell>
          <cell r="F959" t="str">
            <v>64756071</v>
          </cell>
        </row>
        <row r="960">
          <cell r="C960" t="str">
            <v>JUAN JOSE MUÑOZ</v>
          </cell>
          <cell r="D960" t="str">
            <v>Juan Jose Muñoz</v>
          </cell>
        </row>
        <row r="961">
          <cell r="C961" t="str">
            <v>JUAN MUÑOZ</v>
          </cell>
          <cell r="F961" t="str">
            <v>68 238155</v>
          </cell>
        </row>
        <row r="962">
          <cell r="C962" t="str">
            <v>JUAN PEREZ</v>
          </cell>
          <cell r="F962" t="str">
            <v>67176585</v>
          </cell>
        </row>
        <row r="963">
          <cell r="C963" t="str">
            <v>JUAN PITTI</v>
          </cell>
          <cell r="D963" t="str">
            <v>Juan Pitti</v>
          </cell>
        </row>
        <row r="964">
          <cell r="C964" t="str">
            <v>Juan Ramos</v>
          </cell>
        </row>
        <row r="965">
          <cell r="C965" t="str">
            <v>JULIAN RAMOS</v>
          </cell>
          <cell r="F965" t="str">
            <v>68771268</v>
          </cell>
        </row>
        <row r="966">
          <cell r="C966" t="str">
            <v>JULIAN RAMOS - ALEXIS CHAVEZ- EDWIN VARGAS</v>
          </cell>
          <cell r="D966" t="str">
            <v>Julian Ramos</v>
          </cell>
          <cell r="F966" t="str">
            <v>68168941</v>
          </cell>
        </row>
        <row r="967">
          <cell r="C967" t="str">
            <v>LUIS F. MORENO SANCHEZ</v>
          </cell>
          <cell r="D967" t="str">
            <v>Luis Francisco Moreno</v>
          </cell>
        </row>
        <row r="968">
          <cell r="C968" t="str">
            <v>MANUEL APARICIO</v>
          </cell>
          <cell r="D968" t="str">
            <v>Manuel Aparicio</v>
          </cell>
          <cell r="F968" t="str">
            <v>68 649538</v>
          </cell>
        </row>
        <row r="969">
          <cell r="C969" t="str">
            <v>MARCELO DEGAIZA</v>
          </cell>
          <cell r="D969" t="str">
            <v>Marcelo Degaiza</v>
          </cell>
          <cell r="F969" t="str">
            <v>64 963095</v>
          </cell>
        </row>
        <row r="970">
          <cell r="C970" t="str">
            <v>MARGARITO RIVAS GONZALEZ</v>
          </cell>
          <cell r="D970" t="str">
            <v>Margarito Rivas</v>
          </cell>
          <cell r="F970" t="str">
            <v>65239092</v>
          </cell>
        </row>
        <row r="971">
          <cell r="C971" t="str">
            <v>MARISOL DIAZ</v>
          </cell>
          <cell r="D971" t="str">
            <v>Marisol Diaz</v>
          </cell>
          <cell r="F971" t="str">
            <v>65583429</v>
          </cell>
        </row>
        <row r="972">
          <cell r="C972" t="str">
            <v>MARYSUS</v>
          </cell>
          <cell r="F972" t="str">
            <v>65238730</v>
          </cell>
        </row>
        <row r="973">
          <cell r="C973" t="str">
            <v>MELGAR</v>
          </cell>
        </row>
        <row r="974">
          <cell r="C974" t="str">
            <v>Miguel Guarin Olarte</v>
          </cell>
          <cell r="E974" t="str">
            <v>granvivienda18@hotmail.com</v>
          </cell>
          <cell r="F974" t="str">
            <v>66156791</v>
          </cell>
        </row>
        <row r="975">
          <cell r="C975" t="str">
            <v>MILCIADES ALONSO</v>
          </cell>
          <cell r="F975" t="str">
            <v>66926824</v>
          </cell>
        </row>
        <row r="976">
          <cell r="C976" t="str">
            <v>Mileyka Moreno.</v>
          </cell>
        </row>
        <row r="977">
          <cell r="C977" t="str">
            <v>NELSON LEONEL RODRIGUEZ</v>
          </cell>
          <cell r="F977" t="str">
            <v>66-445188 / 62-167495 / 67-430542</v>
          </cell>
        </row>
        <row r="978">
          <cell r="C978" t="str">
            <v>Nelson Medina</v>
          </cell>
          <cell r="D978" t="str">
            <v>Nelson Medina</v>
          </cell>
          <cell r="F978" t="str">
            <v>668-8401</v>
          </cell>
        </row>
        <row r="979">
          <cell r="C979" t="str">
            <v>NELSON PIMENTEL</v>
          </cell>
          <cell r="F979" t="str">
            <v>66073763</v>
          </cell>
        </row>
        <row r="980">
          <cell r="C980" t="str">
            <v>OMAR NUÑEZ MOLINA</v>
          </cell>
          <cell r="D980" t="str">
            <v>Alberto Perez</v>
          </cell>
          <cell r="F980" t="str">
            <v>65 853813</v>
          </cell>
        </row>
        <row r="981">
          <cell r="C981" t="str">
            <v>ORICE MORENO</v>
          </cell>
          <cell r="D981" t="str">
            <v>Orice Moreno</v>
          </cell>
          <cell r="F981" t="str">
            <v>68651663</v>
          </cell>
        </row>
        <row r="982">
          <cell r="C982" t="str">
            <v>ORLANDO VARGAS</v>
          </cell>
          <cell r="F982" t="str">
            <v>64 889088</v>
          </cell>
        </row>
        <row r="983">
          <cell r="C983" t="str">
            <v>OVIDIO GONZALEZ</v>
          </cell>
          <cell r="F983" t="str">
            <v>no quiso dar</v>
          </cell>
        </row>
        <row r="984">
          <cell r="C984" t="str">
            <v>Ovidio Vargas</v>
          </cell>
        </row>
        <row r="985">
          <cell r="C985" t="str">
            <v>RENE MARIN</v>
          </cell>
          <cell r="D985" t="str">
            <v>Rene Marin</v>
          </cell>
        </row>
        <row r="986">
          <cell r="C986" t="str">
            <v>Reynelda Lozada</v>
          </cell>
          <cell r="D986" t="str">
            <v>Reynelda Lozada</v>
          </cell>
        </row>
        <row r="987">
          <cell r="C987" t="str">
            <v>RIGO RIOS</v>
          </cell>
          <cell r="D987" t="str">
            <v>Rigo Rios</v>
          </cell>
        </row>
        <row r="988">
          <cell r="C988" t="str">
            <v>ROLMER ARAUZ</v>
          </cell>
          <cell r="F988" t="str">
            <v>67 617429</v>
          </cell>
        </row>
        <row r="989">
          <cell r="C989" t="str">
            <v>ROOSVELT CASTILLO</v>
          </cell>
          <cell r="D989" t="str">
            <v>Roosvelt Castillo</v>
          </cell>
          <cell r="F989" t="str">
            <v>6226-9276</v>
          </cell>
        </row>
        <row r="990">
          <cell r="C990" t="str">
            <v>RUBEN RIVERA</v>
          </cell>
          <cell r="D990" t="str">
            <v>Ruben Rivera</v>
          </cell>
        </row>
        <row r="991">
          <cell r="C991" t="str">
            <v>SATURNINO VERGARA</v>
          </cell>
          <cell r="D991" t="str">
            <v>Saturnino Vergara</v>
          </cell>
          <cell r="F991" t="str">
            <v>65430429</v>
          </cell>
        </row>
        <row r="992">
          <cell r="C992" t="str">
            <v>SERGIO ENRIQUE GOMEZ</v>
          </cell>
        </row>
        <row r="993">
          <cell r="C993" t="str">
            <v>SILVIA RIOS</v>
          </cell>
        </row>
        <row r="994">
          <cell r="C994" t="str">
            <v>VPC Vida Produce Company</v>
          </cell>
          <cell r="D994" t="str">
            <v>José Alberto Pérez</v>
          </cell>
          <cell r="E994" t="str">
            <v>japerez@vpcom.com</v>
          </cell>
        </row>
        <row r="995">
          <cell r="C995" t="str">
            <v>UNITED WAY</v>
          </cell>
        </row>
        <row r="996">
          <cell r="C996" t="str">
            <v>AGENCIAS MOTTA</v>
          </cell>
          <cell r="D996" t="str">
            <v>Malena Calvit</v>
          </cell>
          <cell r="F996" t="str">
            <v>3007800</v>
          </cell>
        </row>
        <row r="997">
          <cell r="C997" t="str">
            <v>Angelica Arosemena</v>
          </cell>
          <cell r="D997" t="str">
            <v>Angélica Arosemena</v>
          </cell>
        </row>
        <row r="998">
          <cell r="C998" t="str">
            <v>BAP - ADMINSITRATIVO</v>
          </cell>
        </row>
        <row r="999">
          <cell r="C999" t="str">
            <v>COPCYTA</v>
          </cell>
          <cell r="E999" t="str">
            <v>presidente@copcyta.org.pa</v>
          </cell>
          <cell r="F999" t="str">
            <v>65297410</v>
          </cell>
        </row>
        <row r="1000">
          <cell r="C1000" t="str">
            <v>GFN</v>
          </cell>
        </row>
        <row r="1001">
          <cell r="C1001" t="str">
            <v>Interum S.A.</v>
          </cell>
          <cell r="D1001" t="str">
            <v>Carmen Rosado</v>
          </cell>
          <cell r="F1001" t="str">
            <v>6588-1345</v>
          </cell>
        </row>
        <row r="1002">
          <cell r="C1002" t="str">
            <v>Merma Interna</v>
          </cell>
        </row>
        <row r="1003">
          <cell r="C1003" t="str">
            <v>PANAMÁ MARINE LOGISTIC</v>
          </cell>
          <cell r="E1003" t="str">
            <v>sales@pmlc.com.pa</v>
          </cell>
          <cell r="F1003" t="str">
            <v>388-2267</v>
          </cell>
        </row>
        <row r="1004">
          <cell r="C1004" t="str">
            <v>Romero Household</v>
          </cell>
          <cell r="D1004" t="str">
            <v>Maria Romero</v>
          </cell>
          <cell r="E1004" t="str">
            <v>pastoramariaromero10@gmail.com</v>
          </cell>
        </row>
        <row r="1005">
          <cell r="C1005" t="str">
            <v>Santuario Nacional Corazón de María</v>
          </cell>
          <cell r="D1005" t="str">
            <v>Padre Averlaes</v>
          </cell>
          <cell r="E1005" t="str">
            <v>santuario.cmf.pa@gmail.com</v>
          </cell>
          <cell r="F1005" t="str">
            <v>263 9833 / 63228179</v>
          </cell>
        </row>
        <row r="1006">
          <cell r="C1006" t="str">
            <v>ALEXIS VIANOR HE</v>
          </cell>
        </row>
        <row r="1007">
          <cell r="C1007" t="str">
            <v>David Brandon Eisenmann Field (Padre) David Brandon Eisenmann Delvalle (Hijo)"</v>
          </cell>
        </row>
        <row r="1008">
          <cell r="C1008" t="str">
            <v>David Eisenmann</v>
          </cell>
          <cell r="D1008" t="str">
            <v>David Eisenmann</v>
          </cell>
        </row>
        <row r="1009">
          <cell r="C1009" t="str">
            <v>EYLON ISRAELY</v>
          </cell>
          <cell r="D1009" t="str">
            <v>EYLON ISRAELY</v>
          </cell>
          <cell r="E1009" t="str">
            <v>eylon@redwoodvisions.com</v>
          </cell>
        </row>
        <row r="1010">
          <cell r="C1010" t="str">
            <v>GIOVANNI SPIRITO GORDON Household</v>
          </cell>
          <cell r="D1010" t="str">
            <v>GIOVANNI SPIRITO GORDON</v>
          </cell>
        </row>
        <row r="1011">
          <cell r="C1011" t="str">
            <v>JULIE CARRIZO DE BRENES</v>
          </cell>
          <cell r="D1011" t="str">
            <v>JULIETA CARRIZO DE BRENES</v>
          </cell>
          <cell r="E1011" t="str">
            <v>juliecarrizo@hotmail.com</v>
          </cell>
          <cell r="F1011" t="str">
            <v>271-5082</v>
          </cell>
        </row>
        <row r="1012">
          <cell r="C1012" t="str">
            <v>MIGUEL HERAS CASTRO</v>
          </cell>
        </row>
        <row r="1013">
          <cell r="C1013" t="str">
            <v>GILBERTO G. PINZON</v>
          </cell>
          <cell r="F1013" t="str">
            <v>6468-9229</v>
          </cell>
        </row>
        <row r="1014">
          <cell r="C1014" t="str">
            <v>RAMIRO APARICIO</v>
          </cell>
        </row>
        <row r="1015">
          <cell r="C1015" t="str">
            <v>Abadía Household</v>
          </cell>
          <cell r="D1015" t="str">
            <v>Ana Abadía</v>
          </cell>
        </row>
        <row r="1016">
          <cell r="C1016" t="str">
            <v>ABREGO Household</v>
          </cell>
          <cell r="D1016" t="str">
            <v>Angie Abrego</v>
          </cell>
        </row>
        <row r="1017">
          <cell r="C1017" t="str">
            <v>ABREGO Household</v>
          </cell>
          <cell r="D1017" t="str">
            <v>GILDA ABREGO</v>
          </cell>
        </row>
        <row r="1018">
          <cell r="C1018" t="str">
            <v>ABREGO Household</v>
          </cell>
          <cell r="D1018" t="str">
            <v>Juan Carlos Abrego</v>
          </cell>
          <cell r="F1018" t="str">
            <v>6618-6489</v>
          </cell>
        </row>
        <row r="1019">
          <cell r="C1019" t="str">
            <v>ABREGO Household</v>
          </cell>
          <cell r="D1019" t="str">
            <v>Juan Carlos Abrego</v>
          </cell>
        </row>
        <row r="1020">
          <cell r="C1020" t="str">
            <v>ABREGO Household</v>
          </cell>
          <cell r="D1020" t="str">
            <v>Zelibeth Abrego</v>
          </cell>
        </row>
        <row r="1021">
          <cell r="C1021" t="str">
            <v>Acedo Household</v>
          </cell>
          <cell r="D1021" t="str">
            <v>Eliana Acedo</v>
          </cell>
        </row>
        <row r="1022">
          <cell r="C1022" t="str">
            <v>Acevedo Household</v>
          </cell>
          <cell r="D1022" t="str">
            <v>Nelson Acevedo</v>
          </cell>
        </row>
        <row r="1023">
          <cell r="C1023" t="str">
            <v>ACOSTA Household</v>
          </cell>
          <cell r="D1023" t="str">
            <v>Edward Acosta</v>
          </cell>
        </row>
        <row r="1024">
          <cell r="C1024" t="str">
            <v>ACOSTA Household</v>
          </cell>
          <cell r="D1024" t="str">
            <v>NIURKA ACOSTA</v>
          </cell>
        </row>
        <row r="1025">
          <cell r="C1025" t="str">
            <v>Adarme Household</v>
          </cell>
          <cell r="D1025" t="str">
            <v>Andrea Sofía Adarme</v>
          </cell>
          <cell r="F1025" t="str">
            <v>6140-2589</v>
          </cell>
        </row>
        <row r="1026">
          <cell r="C1026" t="str">
            <v>ADLWARTH Household</v>
          </cell>
          <cell r="D1026" t="str">
            <v>NIKOLAJ ADLWARTH</v>
          </cell>
        </row>
        <row r="1027">
          <cell r="C1027" t="str">
            <v>Adonican Household</v>
          </cell>
          <cell r="D1027" t="str">
            <v>Johana Adonican</v>
          </cell>
        </row>
        <row r="1028">
          <cell r="C1028" t="str">
            <v>Adonican J. Cain &amp; Co Household</v>
          </cell>
          <cell r="D1028" t="str">
            <v>Johana Adonican J. Cain &amp; Co</v>
          </cell>
        </row>
        <row r="1029">
          <cell r="C1029" t="str">
            <v>Afonso Ultradent Household</v>
          </cell>
          <cell r="D1029" t="str">
            <v>Gina Afonso Ultradent</v>
          </cell>
        </row>
        <row r="1030">
          <cell r="C1030" t="str">
            <v>Agrazal Household</v>
          </cell>
          <cell r="D1030" t="str">
            <v>Indira Agrazal</v>
          </cell>
        </row>
        <row r="1031">
          <cell r="C1031" t="str">
            <v>Aguilar Household</v>
          </cell>
          <cell r="D1031" t="str">
            <v>Ana Aguilar</v>
          </cell>
          <cell r="F1031" t="str">
            <v>66721566</v>
          </cell>
        </row>
        <row r="1032">
          <cell r="C1032" t="str">
            <v>Aguilar Household</v>
          </cell>
          <cell r="D1032" t="str">
            <v>Bernardo Aguilar</v>
          </cell>
        </row>
        <row r="1033">
          <cell r="C1033" t="str">
            <v>Aguilar Household</v>
          </cell>
          <cell r="D1033" t="str">
            <v>Keyla Aguilar</v>
          </cell>
        </row>
        <row r="1034">
          <cell r="C1034" t="str">
            <v>Aguirre de Cheung Household</v>
          </cell>
          <cell r="D1034" t="str">
            <v>Francia Aguirre de Cheung</v>
          </cell>
        </row>
        <row r="1035">
          <cell r="C1035" t="str">
            <v>Aguirre Household</v>
          </cell>
          <cell r="D1035" t="str">
            <v>Isabel Aguirre</v>
          </cell>
        </row>
        <row r="1036">
          <cell r="C1036" t="str">
            <v>Aguirre Household</v>
          </cell>
          <cell r="D1036" t="str">
            <v>Karina Aguirre</v>
          </cell>
        </row>
        <row r="1037">
          <cell r="C1037" t="str">
            <v>Aguirre Household</v>
          </cell>
          <cell r="D1037" t="str">
            <v>Luz Aguirre</v>
          </cell>
          <cell r="F1037" t="str">
            <v>63303636</v>
          </cell>
        </row>
        <row r="1038">
          <cell r="C1038" t="str">
            <v>Agurto Household</v>
          </cell>
          <cell r="D1038" t="str">
            <v>Belkis Agurto</v>
          </cell>
        </row>
        <row r="1039">
          <cell r="C1039" t="str">
            <v>Aizprúa Household</v>
          </cell>
          <cell r="D1039" t="str">
            <v>Eveling Aizprúa</v>
          </cell>
        </row>
        <row r="1040">
          <cell r="C1040" t="str">
            <v>Alana Croon Household</v>
          </cell>
          <cell r="D1040" t="str">
            <v>MET Alana Croon</v>
          </cell>
        </row>
        <row r="1041">
          <cell r="C1041" t="str">
            <v>Albornoz Household</v>
          </cell>
          <cell r="D1041" t="str">
            <v>Yeimi Albornoz</v>
          </cell>
        </row>
        <row r="1042">
          <cell r="C1042" t="str">
            <v>Alcanzar Saint John Household</v>
          </cell>
          <cell r="D1042" t="str">
            <v>Reyna Alcanzar Saint John</v>
          </cell>
        </row>
        <row r="1043">
          <cell r="C1043" t="str">
            <v>Alcedo de Vaccaro Household</v>
          </cell>
          <cell r="D1043" t="str">
            <v>Angelica Alcedo de Vaccaro</v>
          </cell>
        </row>
        <row r="1044">
          <cell r="C1044" t="str">
            <v>Alegria Household</v>
          </cell>
          <cell r="D1044" t="str">
            <v>Adayn Alegria</v>
          </cell>
        </row>
        <row r="1045">
          <cell r="C1045" t="str">
            <v>Aleman Household</v>
          </cell>
          <cell r="D1045" t="str">
            <v>Allyson Aleman</v>
          </cell>
        </row>
        <row r="1046">
          <cell r="C1046" t="str">
            <v>Alfaro Davivienda Household</v>
          </cell>
          <cell r="D1046" t="str">
            <v>Maria Lorena Alfaro Davivienda</v>
          </cell>
        </row>
        <row r="1047">
          <cell r="C1047" t="str">
            <v>Alfaro Household</v>
          </cell>
          <cell r="D1047" t="str">
            <v>Andrea Alfaro</v>
          </cell>
        </row>
        <row r="1048">
          <cell r="C1048" t="str">
            <v>Ali Household</v>
          </cell>
          <cell r="D1048" t="str">
            <v>Katherina Ali</v>
          </cell>
        </row>
        <row r="1049">
          <cell r="C1049" t="str">
            <v>almanza Household</v>
          </cell>
          <cell r="D1049" t="str">
            <v>Carolina almanza</v>
          </cell>
        </row>
        <row r="1050">
          <cell r="C1050" t="str">
            <v>almanza Household</v>
          </cell>
          <cell r="D1050" t="str">
            <v>Janeth Almanza</v>
          </cell>
        </row>
        <row r="1051">
          <cell r="C1051" t="str">
            <v>Almendras Household</v>
          </cell>
          <cell r="D1051" t="str">
            <v>Martha Almendras</v>
          </cell>
        </row>
        <row r="1052">
          <cell r="C1052" t="str">
            <v>Alonso Household</v>
          </cell>
          <cell r="D1052" t="str">
            <v>Darlenis Alonso</v>
          </cell>
        </row>
        <row r="1053">
          <cell r="C1053" t="str">
            <v>Alonso Household</v>
          </cell>
          <cell r="D1053" t="str">
            <v>Samaris Alonso</v>
          </cell>
        </row>
        <row r="1054">
          <cell r="C1054" t="str">
            <v>Alonso Household</v>
          </cell>
          <cell r="D1054" t="str">
            <v>Tania Alonso</v>
          </cell>
        </row>
        <row r="1055">
          <cell r="C1055" t="str">
            <v>Alonzo Household</v>
          </cell>
          <cell r="D1055" t="str">
            <v>Anelena Alonzo</v>
          </cell>
        </row>
        <row r="1056">
          <cell r="C1056" t="str">
            <v>ALUVID DE PANAMA S.A. Household</v>
          </cell>
          <cell r="D1056" t="str">
            <v>ALUVID DE PANAMA S.A. ALUVID DE PANAMA S.A.</v>
          </cell>
        </row>
        <row r="1057">
          <cell r="C1057" t="str">
            <v>Alvarado Household</v>
          </cell>
          <cell r="D1057" t="str">
            <v>BYRON ALVARADO</v>
          </cell>
        </row>
        <row r="1058">
          <cell r="C1058" t="str">
            <v>Alvarado Household</v>
          </cell>
          <cell r="D1058" t="str">
            <v>Ilse Alvarado</v>
          </cell>
        </row>
        <row r="1059">
          <cell r="C1059" t="str">
            <v>Alvarez Household</v>
          </cell>
          <cell r="D1059" t="str">
            <v>Juan David Alvarez</v>
          </cell>
        </row>
        <row r="1060">
          <cell r="C1060" t="str">
            <v>Alvarez ISP Household</v>
          </cell>
          <cell r="D1060" t="str">
            <v>Valeria Alvarez ISP</v>
          </cell>
        </row>
        <row r="1061">
          <cell r="C1061" t="str">
            <v>ALVAREZ MORENO Household</v>
          </cell>
          <cell r="D1061" t="str">
            <v>ANA CRISTINA ALVAREZ MORENO</v>
          </cell>
        </row>
        <row r="1062">
          <cell r="C1062" t="str">
            <v>Alzate Household</v>
          </cell>
          <cell r="D1062" t="str">
            <v>Yuliana Alzate Alzate</v>
          </cell>
        </row>
        <row r="1063">
          <cell r="C1063" t="str">
            <v>Amaya Household</v>
          </cell>
          <cell r="D1063" t="str">
            <v>Arturo Amaya</v>
          </cell>
        </row>
        <row r="1064">
          <cell r="C1064" t="str">
            <v>Amaya Household</v>
          </cell>
          <cell r="D1064" t="str">
            <v>Daniela Amaya</v>
          </cell>
        </row>
        <row r="1065">
          <cell r="C1065" t="str">
            <v>Andrade Canal Movers Household</v>
          </cell>
          <cell r="D1065" t="str">
            <v>Meryann Andrade Canal Movers</v>
          </cell>
        </row>
        <row r="1066">
          <cell r="C1066" t="str">
            <v>Andrade Household</v>
          </cell>
          <cell r="D1066" t="str">
            <v>Juan Andrade</v>
          </cell>
        </row>
        <row r="1067">
          <cell r="C1067" t="str">
            <v>Andrade Household</v>
          </cell>
          <cell r="D1067" t="str">
            <v>Meryann Andrade</v>
          </cell>
          <cell r="F1067" t="str">
            <v>6030-6752</v>
          </cell>
        </row>
        <row r="1068">
          <cell r="C1068" t="str">
            <v>Andrade Household</v>
          </cell>
          <cell r="D1068" t="str">
            <v>Rommel Andrade</v>
          </cell>
        </row>
        <row r="1069">
          <cell r="C1069" t="str">
            <v>Andrade Saint John Household</v>
          </cell>
          <cell r="D1069" t="str">
            <v>Ashly Andrade Saint John</v>
          </cell>
        </row>
        <row r="1070">
          <cell r="C1070" t="str">
            <v>ANDREA ALFARO Household</v>
          </cell>
          <cell r="D1070" t="str">
            <v>FELIPE MOTA ANDREA ALFARO</v>
          </cell>
        </row>
        <row r="1071">
          <cell r="C1071" t="str">
            <v>ANGUILA Household</v>
          </cell>
          <cell r="D1071" t="str">
            <v>LUIS ANGUILA</v>
          </cell>
        </row>
        <row r="1072">
          <cell r="C1072" t="str">
            <v>Anónima Household</v>
          </cell>
          <cell r="D1072" t="str">
            <v>Adolfo Icaza</v>
          </cell>
        </row>
        <row r="1073">
          <cell r="C1073" t="str">
            <v>Anónima Household</v>
          </cell>
          <cell r="D1073" t="str">
            <v>Alejandrina Corpas</v>
          </cell>
        </row>
        <row r="1074">
          <cell r="C1074" t="str">
            <v>Anónima Household</v>
          </cell>
          <cell r="D1074" t="str">
            <v>Ana Delgado</v>
          </cell>
        </row>
        <row r="1075">
          <cell r="C1075" t="str">
            <v>Anónima Household</v>
          </cell>
          <cell r="D1075" t="str">
            <v>Demetrio Aguilar</v>
          </cell>
        </row>
        <row r="1076">
          <cell r="C1076" t="str">
            <v>Anónima Household</v>
          </cell>
          <cell r="D1076" t="str">
            <v>Eva Bettzak</v>
          </cell>
        </row>
        <row r="1077">
          <cell r="C1077" t="str">
            <v>Anónima Household</v>
          </cell>
          <cell r="D1077" t="str">
            <v>Geovany Sanchez</v>
          </cell>
        </row>
        <row r="1078">
          <cell r="C1078" t="str">
            <v>Anónima Household</v>
          </cell>
          <cell r="D1078" t="str">
            <v>Irin Galvez</v>
          </cell>
        </row>
        <row r="1079">
          <cell r="C1079" t="str">
            <v>Anónima Household</v>
          </cell>
          <cell r="D1079" t="str">
            <v>Laisa Monterrey</v>
          </cell>
        </row>
        <row r="1080">
          <cell r="C1080" t="str">
            <v>Anónima Household</v>
          </cell>
          <cell r="D1080" t="str">
            <v>Maribel Moore</v>
          </cell>
        </row>
        <row r="1081">
          <cell r="C1081" t="str">
            <v>Anónima Household</v>
          </cell>
          <cell r="D1081" t="str">
            <v>MARY Y LILY MARY Y LILY</v>
          </cell>
        </row>
        <row r="1082">
          <cell r="C1082" t="str">
            <v>Anónima Household</v>
          </cell>
          <cell r="D1082" t="str">
            <v>Moises Ilarlan</v>
          </cell>
        </row>
        <row r="1083">
          <cell r="C1083" t="str">
            <v>Anónima Household</v>
          </cell>
          <cell r="D1083" t="str">
            <v>Monica Niño</v>
          </cell>
        </row>
        <row r="1084">
          <cell r="C1084" t="str">
            <v>Anónima Household</v>
          </cell>
          <cell r="D1084" t="str">
            <v>SERGIO METIVIER</v>
          </cell>
        </row>
        <row r="1085">
          <cell r="C1085" t="str">
            <v>Anónima Household</v>
          </cell>
          <cell r="D1085" t="str">
            <v>Timothy Charles</v>
          </cell>
        </row>
        <row r="1086">
          <cell r="C1086" t="str">
            <v>Anónima Household</v>
          </cell>
        </row>
        <row r="1087">
          <cell r="C1087" t="str">
            <v>Anonymous Household</v>
          </cell>
          <cell r="D1087" t="str">
            <v>JOSE MANUEL HERRERA</v>
          </cell>
        </row>
        <row r="1088">
          <cell r="C1088" t="str">
            <v>Antony Santos Household</v>
          </cell>
          <cell r="D1088" t="str">
            <v>COMEDOR NUEVO PACTO ARCO IRIS Antony Santos</v>
          </cell>
        </row>
        <row r="1089">
          <cell r="C1089" t="str">
            <v>Añino Household</v>
          </cell>
          <cell r="D1089" t="str">
            <v>Joys Añino</v>
          </cell>
        </row>
        <row r="1090">
          <cell r="C1090" t="str">
            <v>Aparicio Household</v>
          </cell>
          <cell r="D1090" t="str">
            <v>Edwin Aparicio</v>
          </cell>
        </row>
        <row r="1091">
          <cell r="C1091" t="str">
            <v>Aparicio Household</v>
          </cell>
          <cell r="D1091" t="str">
            <v>Madelayne Aparicio</v>
          </cell>
        </row>
        <row r="1092">
          <cell r="C1092" t="str">
            <v>Apolayo Household</v>
          </cell>
          <cell r="D1092" t="str">
            <v>Ismael Apolayo</v>
          </cell>
        </row>
        <row r="1093">
          <cell r="C1093" t="str">
            <v>Araica Household</v>
          </cell>
          <cell r="D1093" t="str">
            <v>Cesar Araica</v>
          </cell>
        </row>
        <row r="1094">
          <cell r="C1094" t="str">
            <v>ARANDA Household</v>
          </cell>
          <cell r="D1094" t="str">
            <v>JUAN ARANDA</v>
          </cell>
        </row>
        <row r="1095">
          <cell r="C1095" t="str">
            <v>Arango Household</v>
          </cell>
          <cell r="D1095" t="str">
            <v>Lucia Arango</v>
          </cell>
        </row>
        <row r="1096">
          <cell r="C1096" t="str">
            <v>Arauz C. Abba Padre Household</v>
          </cell>
          <cell r="D1096" t="str">
            <v>Nathaly Arauz C. Abba Padre</v>
          </cell>
        </row>
        <row r="1097">
          <cell r="C1097" t="str">
            <v>Arauz Household</v>
          </cell>
          <cell r="D1097" t="str">
            <v>Alexander Arauz</v>
          </cell>
        </row>
        <row r="1098">
          <cell r="C1098" t="str">
            <v>Araúz Household</v>
          </cell>
          <cell r="D1098" t="str">
            <v>Johandra Araúz</v>
          </cell>
        </row>
        <row r="1099">
          <cell r="C1099" t="str">
            <v>Araúz Instituto Alberto Einstein Household</v>
          </cell>
          <cell r="D1099" t="str">
            <v>Giselle Araúz Instituto Alberto Einstein</v>
          </cell>
        </row>
        <row r="1100">
          <cell r="C1100" t="str">
            <v>Arcia Household</v>
          </cell>
          <cell r="D1100" t="str">
            <v>Marlia Isora Arcia</v>
          </cell>
        </row>
        <row r="1101">
          <cell r="C1101" t="str">
            <v>Arcila Household</v>
          </cell>
          <cell r="D1101" t="str">
            <v>Sabrina Arcila</v>
          </cell>
        </row>
        <row r="1102">
          <cell r="C1102" t="str">
            <v>Arcoiris Household</v>
          </cell>
          <cell r="D1102" t="str">
            <v>Iglesia Nuevo Pacto Arcoiris</v>
          </cell>
        </row>
        <row r="1103">
          <cell r="C1103" t="str">
            <v>Ardines Household</v>
          </cell>
          <cell r="D1103" t="str">
            <v>Priscilla Ardines</v>
          </cell>
        </row>
        <row r="1104">
          <cell r="C1104" t="str">
            <v>Arguello Household</v>
          </cell>
          <cell r="D1104" t="str">
            <v>Henry Arguello</v>
          </cell>
        </row>
        <row r="1105">
          <cell r="C1105" t="str">
            <v>Arias and Leandro Household</v>
          </cell>
          <cell r="D1105" t="str">
            <v>Dayra Arias</v>
          </cell>
        </row>
        <row r="1106">
          <cell r="C1106" t="str">
            <v>ARIAS Household</v>
          </cell>
          <cell r="D1106" t="str">
            <v>ANA MAE ARIAS</v>
          </cell>
        </row>
        <row r="1107">
          <cell r="C1107" t="str">
            <v>ARIAS Household</v>
          </cell>
          <cell r="D1107" t="str">
            <v>EDGARDO ARIAS</v>
          </cell>
        </row>
        <row r="1108">
          <cell r="C1108" t="str">
            <v>ARIAS Household</v>
          </cell>
          <cell r="D1108" t="str">
            <v>FERNANDA ARIAS</v>
          </cell>
        </row>
        <row r="1109">
          <cell r="C1109" t="str">
            <v>ARIAS Household</v>
          </cell>
          <cell r="D1109" t="str">
            <v>Jimy Arias</v>
          </cell>
        </row>
        <row r="1110">
          <cell r="C1110" t="str">
            <v>ARIAS Household</v>
          </cell>
          <cell r="D1110" t="str">
            <v>Jorge Arias</v>
          </cell>
        </row>
        <row r="1111">
          <cell r="C1111" t="str">
            <v>ARIAS Household</v>
          </cell>
          <cell r="D1111" t="str">
            <v>MARLINA ARIAS</v>
          </cell>
        </row>
        <row r="1112">
          <cell r="C1112" t="str">
            <v>Ariela Mizrachi Household</v>
          </cell>
          <cell r="D1112" t="str">
            <v>Cerro Punta Ariela Mizrachi</v>
          </cell>
        </row>
        <row r="1113">
          <cell r="C1113" t="str">
            <v>Arispe Household</v>
          </cell>
          <cell r="D1113" t="str">
            <v>Luis Arispe</v>
          </cell>
        </row>
        <row r="1114">
          <cell r="C1114" t="str">
            <v>Arjona Household</v>
          </cell>
          <cell r="D1114" t="str">
            <v>Zuleymi Arjona</v>
          </cell>
        </row>
        <row r="1115">
          <cell r="C1115" t="str">
            <v>Armenteros Household</v>
          </cell>
          <cell r="D1115" t="str">
            <v>Keren Armenteros</v>
          </cell>
          <cell r="F1115" t="str">
            <v>6254-5006</v>
          </cell>
        </row>
        <row r="1116">
          <cell r="C1116" t="str">
            <v>Arosemena Graziadei Household</v>
          </cell>
          <cell r="D1116" t="str">
            <v>Juan Pablo Arosemena Graziadei</v>
          </cell>
        </row>
        <row r="1117">
          <cell r="C1117" t="str">
            <v>AROSEMENA Household</v>
          </cell>
          <cell r="D1117" t="str">
            <v>EDUARDO AROSEMENA</v>
          </cell>
        </row>
        <row r="1118">
          <cell r="C1118" t="str">
            <v>AROSEMENA Household</v>
          </cell>
          <cell r="D1118" t="str">
            <v>Gabriela Arosemena</v>
          </cell>
        </row>
        <row r="1119">
          <cell r="C1119" t="str">
            <v>AROSEMENA Household</v>
          </cell>
          <cell r="D1119" t="str">
            <v>MARIA ELENA AROSEMENA</v>
          </cell>
        </row>
        <row r="1120">
          <cell r="C1120" t="str">
            <v>AROSEMENA Household</v>
          </cell>
          <cell r="D1120" t="str">
            <v>SHALIMAR AROSEMENA</v>
          </cell>
        </row>
        <row r="1121">
          <cell r="C1121" t="str">
            <v>AROSEMENA Household</v>
          </cell>
          <cell r="D1121" t="str">
            <v>Tzanetatos Joel Arosemena</v>
          </cell>
        </row>
        <row r="1122">
          <cell r="C1122" t="str">
            <v>Arroniz Household</v>
          </cell>
          <cell r="D1122" t="str">
            <v>Natasha Arroniz</v>
          </cell>
        </row>
        <row r="1123">
          <cell r="C1123" t="str">
            <v>ASCUNTAR Household</v>
          </cell>
          <cell r="D1123" t="str">
            <v>YERALDIM ASCUNTAR</v>
          </cell>
        </row>
        <row r="1124">
          <cell r="C1124" t="str">
            <v>Asfall Household</v>
          </cell>
          <cell r="D1124" t="str">
            <v>Zurianty Asfall</v>
          </cell>
        </row>
        <row r="1125">
          <cell r="C1125" t="str">
            <v>ASPRILLA Household</v>
          </cell>
          <cell r="D1125" t="str">
            <v>RUBIELA ASPRILLA</v>
          </cell>
        </row>
        <row r="1126">
          <cell r="C1126" t="str">
            <v>Atencio C. Saint Mary Household</v>
          </cell>
          <cell r="D1126" t="str">
            <v>Mia Atencio C. Saint Mary</v>
          </cell>
        </row>
        <row r="1127">
          <cell r="C1127" t="str">
            <v>Atencio Household</v>
          </cell>
          <cell r="D1127" t="str">
            <v>Flor Atencio</v>
          </cell>
        </row>
        <row r="1128">
          <cell r="C1128" t="str">
            <v>Atencio Household</v>
          </cell>
          <cell r="D1128" t="str">
            <v>Jilia Atencio</v>
          </cell>
        </row>
        <row r="1129">
          <cell r="C1129" t="str">
            <v>Atencio Household</v>
          </cell>
          <cell r="D1129" t="str">
            <v>Karina Atencio</v>
          </cell>
        </row>
        <row r="1130">
          <cell r="C1130" t="str">
            <v>Atencio Household</v>
          </cell>
          <cell r="D1130" t="str">
            <v>KARINE ATENCIO</v>
          </cell>
        </row>
        <row r="1131">
          <cell r="C1131" t="str">
            <v>attie angel Household</v>
          </cell>
          <cell r="D1131" t="str">
            <v>Grace tamar attie angel</v>
          </cell>
        </row>
        <row r="1132">
          <cell r="C1132" t="str">
            <v>Aubert Household</v>
          </cell>
          <cell r="D1132" t="str">
            <v>Charlène Aubert</v>
          </cell>
        </row>
        <row r="1133">
          <cell r="C1133" t="str">
            <v>Avecilla Household</v>
          </cell>
          <cell r="D1133" t="str">
            <v>Yariela Avecilla</v>
          </cell>
        </row>
        <row r="1134">
          <cell r="C1134" t="str">
            <v>Averlaes Household</v>
          </cell>
          <cell r="D1134" t="str">
            <v>Padre Averlaes</v>
          </cell>
          <cell r="F1134" t="str">
            <v>6322-8179</v>
          </cell>
        </row>
        <row r="1135">
          <cell r="C1135" t="str">
            <v>AVILA DE LOO Household</v>
          </cell>
          <cell r="D1135" t="str">
            <v>PAMELA AVILA DE LOO</v>
          </cell>
        </row>
        <row r="1136">
          <cell r="C1136" t="str">
            <v>Avila Household</v>
          </cell>
          <cell r="D1136" t="str">
            <v>Ilanis Avila</v>
          </cell>
        </row>
        <row r="1137">
          <cell r="C1137" t="str">
            <v>Azuaje Household</v>
          </cell>
          <cell r="D1137" t="str">
            <v>Maideline Azuaje</v>
          </cell>
          <cell r="F1137" t="str">
            <v>398-1411</v>
          </cell>
        </row>
        <row r="1138">
          <cell r="C1138" t="str">
            <v>BAKER Household</v>
          </cell>
          <cell r="D1138" t="str">
            <v>EDWARD BAKER</v>
          </cell>
        </row>
        <row r="1139">
          <cell r="C1139" t="str">
            <v>Balabarca Household</v>
          </cell>
          <cell r="D1139" t="str">
            <v>Joseph Balabarca</v>
          </cell>
        </row>
        <row r="1140">
          <cell r="C1140" t="str">
            <v>Ballard Household</v>
          </cell>
          <cell r="D1140" t="str">
            <v>Isabelle Ballard</v>
          </cell>
        </row>
        <row r="1141">
          <cell r="C1141" t="str">
            <v>Ballesteros Household</v>
          </cell>
          <cell r="D1141" t="str">
            <v>Roberto Ballesteros</v>
          </cell>
        </row>
        <row r="1142">
          <cell r="C1142" t="str">
            <v>Bambú Household</v>
          </cell>
          <cell r="D1142" t="str">
            <v>Ana Bambú</v>
          </cell>
        </row>
        <row r="1143">
          <cell r="C1143" t="str">
            <v>Banco de Alimentos Panamá - Global FoodBanking Network</v>
          </cell>
        </row>
        <row r="1144">
          <cell r="C1144" t="str">
            <v>BAP Household</v>
          </cell>
          <cell r="D1144" t="str">
            <v>COMUNICACIONES BAP</v>
          </cell>
        </row>
        <row r="1145">
          <cell r="C1145" t="str">
            <v>Barahona Household</v>
          </cell>
          <cell r="D1145" t="str">
            <v>Arlen Barahona</v>
          </cell>
        </row>
        <row r="1146">
          <cell r="C1146" t="str">
            <v>Barahona Household</v>
          </cell>
          <cell r="D1146" t="str">
            <v>Juan Barahona</v>
          </cell>
        </row>
        <row r="1147">
          <cell r="C1147" t="str">
            <v>Barahona Household</v>
          </cell>
          <cell r="D1147" t="str">
            <v>Vivian Barahona</v>
          </cell>
          <cell r="F1147" t="str">
            <v>66750227</v>
          </cell>
        </row>
        <row r="1148">
          <cell r="C1148" t="str">
            <v>Barahona Household</v>
          </cell>
          <cell r="D1148" t="str">
            <v>Vivian Barahona</v>
          </cell>
        </row>
        <row r="1149">
          <cell r="C1149" t="str">
            <v>Bárbaro Household</v>
          </cell>
          <cell r="D1149" t="str">
            <v>Andrés Bárbaro</v>
          </cell>
        </row>
        <row r="1150">
          <cell r="C1150" t="str">
            <v>Barletta Household</v>
          </cell>
          <cell r="D1150" t="str">
            <v>Joaly Barletta</v>
          </cell>
        </row>
        <row r="1151">
          <cell r="C1151" t="str">
            <v>Barrera Household</v>
          </cell>
          <cell r="D1151" t="str">
            <v>IGNACIA BARRERA</v>
          </cell>
        </row>
        <row r="1152">
          <cell r="C1152" t="str">
            <v>Barrera Household</v>
          </cell>
          <cell r="D1152" t="str">
            <v>Marjorie Barrera</v>
          </cell>
        </row>
        <row r="1153">
          <cell r="C1153" t="str">
            <v>Barria Household</v>
          </cell>
          <cell r="D1153" t="str">
            <v>Jesus Barria</v>
          </cell>
        </row>
        <row r="1154">
          <cell r="C1154" t="str">
            <v>Barria Household</v>
          </cell>
          <cell r="D1154" t="str">
            <v>MAURO BARRIA</v>
          </cell>
        </row>
        <row r="1155">
          <cell r="C1155" t="str">
            <v>BARRIOS Household</v>
          </cell>
          <cell r="D1155" t="str">
            <v>Adriana Barrios</v>
          </cell>
        </row>
        <row r="1156">
          <cell r="C1156" t="str">
            <v>BARRIOS Household</v>
          </cell>
          <cell r="D1156" t="str">
            <v>ALEXANDRA BARRIOS</v>
          </cell>
        </row>
        <row r="1157">
          <cell r="C1157" t="str">
            <v>BARRIOS Household</v>
          </cell>
          <cell r="D1157" t="str">
            <v>Katherine Barrios</v>
          </cell>
        </row>
        <row r="1158">
          <cell r="C1158" t="str">
            <v>Barroso Household</v>
          </cell>
          <cell r="D1158" t="str">
            <v>Jose Barroso</v>
          </cell>
        </row>
        <row r="1159">
          <cell r="C1159" t="str">
            <v>Barsallo Household</v>
          </cell>
          <cell r="D1159" t="str">
            <v>Unibank Christy Barsallo</v>
          </cell>
        </row>
        <row r="1160">
          <cell r="C1160" t="str">
            <v>Bastardo Castillejos Household</v>
          </cell>
          <cell r="D1160" t="str">
            <v>Jesús A. Bastardo Castillejos</v>
          </cell>
        </row>
        <row r="1161">
          <cell r="C1161" t="str">
            <v>Basto Household</v>
          </cell>
          <cell r="D1161" t="str">
            <v>Lili Basto</v>
          </cell>
        </row>
        <row r="1162">
          <cell r="C1162" t="str">
            <v>Basurto Household</v>
          </cell>
          <cell r="D1162" t="str">
            <v>Jackeline Basurto</v>
          </cell>
        </row>
        <row r="1163">
          <cell r="C1163" t="str">
            <v>BATISTA GONZALEZ Household</v>
          </cell>
          <cell r="D1163" t="str">
            <v>CELIO BATISTA GONZALEZ</v>
          </cell>
        </row>
        <row r="1164">
          <cell r="C1164" t="str">
            <v>Batista Household</v>
          </cell>
          <cell r="D1164" t="str">
            <v>Erick Batista</v>
          </cell>
        </row>
        <row r="1165">
          <cell r="C1165" t="str">
            <v>Batista Household</v>
          </cell>
          <cell r="D1165" t="str">
            <v>LUIS BATISTA</v>
          </cell>
        </row>
        <row r="1166">
          <cell r="C1166" t="str">
            <v>Baule Household</v>
          </cell>
          <cell r="D1166" t="str">
            <v>Maybelline Baule</v>
          </cell>
        </row>
        <row r="1167">
          <cell r="C1167" t="str">
            <v>Baules Household</v>
          </cell>
          <cell r="D1167" t="str">
            <v>Belkis Baules</v>
          </cell>
        </row>
        <row r="1168">
          <cell r="C1168" t="str">
            <v>Bazan Household</v>
          </cell>
          <cell r="D1168" t="str">
            <v>Paola Bazan</v>
          </cell>
        </row>
        <row r="1169">
          <cell r="C1169" t="str">
            <v>Beitia Household</v>
          </cell>
          <cell r="D1169" t="str">
            <v>Evelyn Beitia</v>
          </cell>
        </row>
        <row r="1170">
          <cell r="C1170" t="str">
            <v>Beitia Household</v>
          </cell>
          <cell r="D1170" t="str">
            <v>Sandra Beitia</v>
          </cell>
          <cell r="F1170" t="str">
            <v>6400-9043</v>
          </cell>
        </row>
        <row r="1171">
          <cell r="C1171" t="str">
            <v>Bejarano Granillo (oxford) Household</v>
          </cell>
          <cell r="D1171" t="str">
            <v>Valentina Bejarano Granillo (oxford)</v>
          </cell>
        </row>
        <row r="1172">
          <cell r="C1172" t="str">
            <v>Bejarano Household</v>
          </cell>
          <cell r="D1172" t="str">
            <v>Edgardo Bejarano</v>
          </cell>
        </row>
        <row r="1173">
          <cell r="C1173" t="str">
            <v>BELLORÍN ZEPEDA Household</v>
          </cell>
          <cell r="D1173" t="str">
            <v>ALVIN BELLORÍN ZEPEDA</v>
          </cell>
        </row>
        <row r="1174">
          <cell r="C1174" t="str">
            <v>Benavides Household</v>
          </cell>
          <cell r="D1174" t="str">
            <v>Andrea Benavides</v>
          </cell>
        </row>
        <row r="1175">
          <cell r="C1175" t="str">
            <v>Benitez Household</v>
          </cell>
          <cell r="D1175" t="str">
            <v>Emelida Benitez</v>
          </cell>
        </row>
        <row r="1176">
          <cell r="C1176" t="str">
            <v>Benítez Household</v>
          </cell>
          <cell r="D1176" t="str">
            <v>Gloria Benítez</v>
          </cell>
        </row>
        <row r="1177">
          <cell r="C1177" t="str">
            <v>Bennett de Martinelli Household</v>
          </cell>
          <cell r="D1177" t="str">
            <v>Denise Bennett de Martinelli</v>
          </cell>
        </row>
        <row r="1178">
          <cell r="C1178" t="str">
            <v>Berberian Household</v>
          </cell>
          <cell r="D1178" t="str">
            <v>Andres Berberian</v>
          </cell>
        </row>
        <row r="1179">
          <cell r="C1179" t="str">
            <v>Berberian Household</v>
          </cell>
          <cell r="D1179" t="str">
            <v>Juan Jose Berberian</v>
          </cell>
        </row>
        <row r="1180">
          <cell r="C1180" t="str">
            <v>Bermudez Household</v>
          </cell>
          <cell r="D1180" t="str">
            <v>Marianela Bermudez</v>
          </cell>
        </row>
        <row r="1181">
          <cell r="C1181" t="str">
            <v>Bermudez Household</v>
          </cell>
          <cell r="D1181" t="str">
            <v>Natzare Bermudez</v>
          </cell>
        </row>
        <row r="1182">
          <cell r="C1182" t="str">
            <v>BERNAL Household</v>
          </cell>
          <cell r="D1182" t="str">
            <v>Angisell Bernal</v>
          </cell>
        </row>
        <row r="1183">
          <cell r="C1183" t="str">
            <v>BERNAL Household</v>
          </cell>
          <cell r="D1183" t="str">
            <v>Gabriela Bernal</v>
          </cell>
        </row>
        <row r="1184">
          <cell r="C1184" t="str">
            <v>BERNAL Household</v>
          </cell>
          <cell r="D1184" t="str">
            <v>MELANIE BERNAL</v>
          </cell>
        </row>
        <row r="1185">
          <cell r="C1185" t="str">
            <v>Berrio Household</v>
          </cell>
          <cell r="D1185" t="str">
            <v>Kayra Berrio</v>
          </cell>
        </row>
        <row r="1186">
          <cell r="C1186" t="str">
            <v>Berrio Saint John Household</v>
          </cell>
          <cell r="D1186" t="str">
            <v>Iris Berrio Saint John</v>
          </cell>
        </row>
        <row r="1187">
          <cell r="C1187" t="str">
            <v>Berroa Household</v>
          </cell>
          <cell r="D1187" t="str">
            <v>Stephany Berroa</v>
          </cell>
        </row>
        <row r="1188">
          <cell r="C1188" t="str">
            <v>Bertello Household</v>
          </cell>
          <cell r="D1188" t="str">
            <v>Nato Bertello</v>
          </cell>
        </row>
        <row r="1189">
          <cell r="C1189" t="str">
            <v>Bethancourt Household</v>
          </cell>
          <cell r="D1189" t="str">
            <v>Amisaday Bethancourt</v>
          </cell>
        </row>
        <row r="1190">
          <cell r="C1190" t="str">
            <v>Bethancourt Household</v>
          </cell>
          <cell r="D1190" t="str">
            <v>Keyri Bethancourt</v>
          </cell>
        </row>
        <row r="1191">
          <cell r="C1191" t="str">
            <v>Bethancourt Household</v>
          </cell>
          <cell r="D1191" t="str">
            <v>Moisés Bethancourt</v>
          </cell>
        </row>
        <row r="1192">
          <cell r="C1192" t="str">
            <v>Bethancourt Household</v>
          </cell>
          <cell r="D1192" t="str">
            <v>Yuleimy Bethancourt</v>
          </cell>
        </row>
        <row r="1193">
          <cell r="C1193" t="str">
            <v>Bethancourth Household</v>
          </cell>
          <cell r="D1193" t="str">
            <v>Claribeth Bethancourth</v>
          </cell>
        </row>
        <row r="1194">
          <cell r="C1194" t="str">
            <v>Blake Household</v>
          </cell>
          <cell r="D1194" t="str">
            <v>Emineth Blake</v>
          </cell>
        </row>
        <row r="1195">
          <cell r="C1195" t="str">
            <v>Blanco Household</v>
          </cell>
          <cell r="D1195" t="str">
            <v>Gietsseth Blanco</v>
          </cell>
        </row>
        <row r="1196">
          <cell r="C1196" t="str">
            <v>Blanco Household</v>
          </cell>
          <cell r="D1196" t="str">
            <v>Lidabel Blanco</v>
          </cell>
        </row>
        <row r="1197">
          <cell r="C1197" t="str">
            <v>Bolaños Household</v>
          </cell>
          <cell r="D1197" t="str">
            <v>Andrea Bolaños</v>
          </cell>
        </row>
        <row r="1198">
          <cell r="C1198" t="str">
            <v>Bolobosky Household</v>
          </cell>
          <cell r="D1198" t="str">
            <v>Mashelle Bolobosky</v>
          </cell>
          <cell r="F1198" t="str">
            <v>62172251</v>
          </cell>
        </row>
        <row r="1199">
          <cell r="C1199" t="str">
            <v>Bonfante Household</v>
          </cell>
          <cell r="D1199" t="str">
            <v>Marlon Bonfante</v>
          </cell>
        </row>
        <row r="1200">
          <cell r="C1200" t="str">
            <v>Bonilla Household</v>
          </cell>
          <cell r="D1200" t="str">
            <v>Diomedes Bonilla</v>
          </cell>
        </row>
        <row r="1201">
          <cell r="C1201" t="str">
            <v>Bósquez Household</v>
          </cell>
          <cell r="D1201" t="str">
            <v>David Bósquez</v>
          </cell>
        </row>
        <row r="1202">
          <cell r="C1202" t="str">
            <v>Botacio Household</v>
          </cell>
          <cell r="D1202" t="str">
            <v>Jose Luis Botacio</v>
          </cell>
        </row>
        <row r="1203">
          <cell r="C1203" t="str">
            <v>BouR Household</v>
          </cell>
          <cell r="D1203" t="str">
            <v>Julinne BouR</v>
          </cell>
        </row>
        <row r="1204">
          <cell r="C1204" t="str">
            <v>Bourdett Household</v>
          </cell>
          <cell r="D1204" t="str">
            <v>Julinne Bourdett</v>
          </cell>
        </row>
        <row r="1205">
          <cell r="C1205" t="str">
            <v>BOYD Household</v>
          </cell>
          <cell r="D1205" t="str">
            <v>JOHANA BOYD</v>
          </cell>
        </row>
        <row r="1206">
          <cell r="C1206" t="str">
            <v>BOYD Household</v>
          </cell>
          <cell r="D1206" t="str">
            <v>JULIETA BOYD</v>
          </cell>
        </row>
        <row r="1207">
          <cell r="C1207" t="str">
            <v>Bravo Household</v>
          </cell>
          <cell r="D1207" t="str">
            <v>Jaime Bravo</v>
          </cell>
        </row>
        <row r="1208">
          <cell r="C1208" t="str">
            <v>Brewster Household</v>
          </cell>
          <cell r="D1208" t="str">
            <v>Jennia Brewster</v>
          </cell>
        </row>
        <row r="1209">
          <cell r="C1209" t="str">
            <v>Briceno Household</v>
          </cell>
          <cell r="D1209" t="str">
            <v>Karen Briceno</v>
          </cell>
        </row>
        <row r="1210">
          <cell r="C1210" t="str">
            <v>Brin Household</v>
          </cell>
          <cell r="D1210" t="str">
            <v>Joaquin Brin</v>
          </cell>
        </row>
        <row r="1211">
          <cell r="C1211" t="str">
            <v>Brito Household</v>
          </cell>
          <cell r="D1211" t="str">
            <v>Roselys Brito</v>
          </cell>
          <cell r="F1211" t="str">
            <v>6890-3543</v>
          </cell>
        </row>
        <row r="1212">
          <cell r="C1212" t="str">
            <v>Bronce Household</v>
          </cell>
          <cell r="D1212" t="str">
            <v>Elias Bronce</v>
          </cell>
        </row>
        <row r="1213">
          <cell r="C1213" t="str">
            <v>BROWN Household</v>
          </cell>
          <cell r="D1213" t="str">
            <v>MELVIN BROWN</v>
          </cell>
        </row>
        <row r="1214">
          <cell r="C1214" t="str">
            <v>Buglione Household</v>
          </cell>
          <cell r="D1214" t="str">
            <v>Hian Buglione</v>
          </cell>
        </row>
        <row r="1215">
          <cell r="C1215" t="str">
            <v>Buglione Moreno Household</v>
          </cell>
          <cell r="D1215" t="str">
            <v>Hian Buglione Moreno</v>
          </cell>
        </row>
        <row r="1216">
          <cell r="C1216" t="str">
            <v>Bultrón Household</v>
          </cell>
          <cell r="D1216" t="str">
            <v>Roberto Bultrón</v>
          </cell>
        </row>
        <row r="1217">
          <cell r="C1217" t="str">
            <v>Burke Oxford Household</v>
          </cell>
          <cell r="D1217" t="str">
            <v>Rogelio Burke Oxford</v>
          </cell>
        </row>
        <row r="1218">
          <cell r="C1218" t="str">
            <v>Burrowes Household</v>
          </cell>
          <cell r="D1218" t="str">
            <v>Roselyn Burrowes</v>
          </cell>
        </row>
        <row r="1219">
          <cell r="C1219" t="str">
            <v>Caballero Household</v>
          </cell>
          <cell r="D1219" t="str">
            <v>Ana Caballero</v>
          </cell>
        </row>
        <row r="1220">
          <cell r="C1220" t="str">
            <v>Caballero Household</v>
          </cell>
          <cell r="D1220" t="str">
            <v>Calixto Caballero</v>
          </cell>
        </row>
        <row r="1221">
          <cell r="C1221" t="str">
            <v>Caballero Household</v>
          </cell>
          <cell r="D1221" t="str">
            <v>Freddy Caballero</v>
          </cell>
        </row>
        <row r="1222">
          <cell r="C1222" t="str">
            <v>Caballero Household</v>
          </cell>
          <cell r="D1222" t="str">
            <v>Itzel Caballero</v>
          </cell>
        </row>
        <row r="1223">
          <cell r="C1223" t="str">
            <v>Caballero Household</v>
          </cell>
          <cell r="D1223" t="str">
            <v>Lydia Caballero</v>
          </cell>
        </row>
        <row r="1224">
          <cell r="C1224" t="str">
            <v>Caballero Household</v>
          </cell>
          <cell r="D1224" t="str">
            <v>Marta Caballero</v>
          </cell>
        </row>
        <row r="1225">
          <cell r="C1225" t="str">
            <v>Caballero Household</v>
          </cell>
          <cell r="D1225" t="str">
            <v>Martir Caballero</v>
          </cell>
          <cell r="F1225" t="str">
            <v>6742-0053</v>
          </cell>
        </row>
        <row r="1226">
          <cell r="C1226" t="str">
            <v>Cabrera Household</v>
          </cell>
          <cell r="D1226" t="str">
            <v>Ana Larisa Cabrera</v>
          </cell>
        </row>
        <row r="1227">
          <cell r="C1227" t="str">
            <v>Cabrera Household</v>
          </cell>
          <cell r="D1227" t="str">
            <v>Edward Cabrera</v>
          </cell>
        </row>
        <row r="1228">
          <cell r="C1228" t="str">
            <v>Cabrera Household</v>
          </cell>
          <cell r="D1228" t="str">
            <v>Sebastian Cabrera</v>
          </cell>
        </row>
        <row r="1229">
          <cell r="C1229" t="str">
            <v>Caceres Household</v>
          </cell>
          <cell r="D1229" t="str">
            <v>Kiriam Caceres</v>
          </cell>
        </row>
        <row r="1230">
          <cell r="C1230" t="str">
            <v>Caceres Household</v>
          </cell>
          <cell r="D1230" t="str">
            <v>Omar Caceres</v>
          </cell>
        </row>
        <row r="1231">
          <cell r="C1231" t="str">
            <v>Cadiz Household</v>
          </cell>
          <cell r="D1231" t="str">
            <v>Kiara Cadiz</v>
          </cell>
        </row>
        <row r="1232">
          <cell r="C1232" t="str">
            <v>CAICEDO Household</v>
          </cell>
          <cell r="D1232" t="str">
            <v>Amy Caicedo</v>
          </cell>
        </row>
        <row r="1233">
          <cell r="C1233" t="str">
            <v>CAICEDO Household</v>
          </cell>
          <cell r="D1233" t="str">
            <v>RAQUEL CAICEDO</v>
          </cell>
        </row>
        <row r="1234">
          <cell r="C1234" t="str">
            <v>Cairoza Household</v>
          </cell>
          <cell r="D1234" t="str">
            <v>Yanitzia Cairoza</v>
          </cell>
        </row>
        <row r="1235">
          <cell r="C1235" t="str">
            <v>CAIZ Household</v>
          </cell>
          <cell r="D1235" t="str">
            <v>CRISTIAN CAIZ</v>
          </cell>
        </row>
        <row r="1236">
          <cell r="C1236" t="str">
            <v>Calderon Household</v>
          </cell>
          <cell r="D1236" t="str">
            <v>Manuel Calderon</v>
          </cell>
        </row>
        <row r="1237">
          <cell r="C1237" t="str">
            <v>Calderón Household</v>
          </cell>
          <cell r="D1237" t="str">
            <v>Carla Calderón</v>
          </cell>
        </row>
        <row r="1238">
          <cell r="C1238" t="str">
            <v>Calderón Household</v>
          </cell>
          <cell r="D1238" t="str">
            <v>María Calderón</v>
          </cell>
        </row>
        <row r="1239">
          <cell r="C1239" t="str">
            <v>Calderón Household</v>
          </cell>
          <cell r="D1239" t="str">
            <v>María Eugenia Calderón</v>
          </cell>
        </row>
        <row r="1240">
          <cell r="C1240" t="str">
            <v>Calvit Household</v>
          </cell>
          <cell r="D1240" t="str">
            <v>Malena Calvit</v>
          </cell>
        </row>
        <row r="1241">
          <cell r="C1241" t="str">
            <v>Calvo Household</v>
          </cell>
          <cell r="D1241" t="str">
            <v>Vilma Calvo</v>
          </cell>
        </row>
        <row r="1242">
          <cell r="C1242" t="str">
            <v>Camaño Household</v>
          </cell>
          <cell r="D1242" t="str">
            <v>Anacarina Camaño</v>
          </cell>
        </row>
        <row r="1243">
          <cell r="C1243" t="str">
            <v>Camaño Household</v>
          </cell>
          <cell r="D1243" t="str">
            <v>Atzela Camaño</v>
          </cell>
        </row>
        <row r="1244">
          <cell r="C1244" t="str">
            <v>Camaño Household</v>
          </cell>
          <cell r="D1244" t="str">
            <v>Hector Camaño</v>
          </cell>
        </row>
        <row r="1245">
          <cell r="C1245" t="str">
            <v>Camarena Instituto Bern Household</v>
          </cell>
          <cell r="D1245" t="str">
            <v>Sharick Camarena Instituto Bern</v>
          </cell>
        </row>
        <row r="1246">
          <cell r="C1246" t="str">
            <v>Camargo Household</v>
          </cell>
          <cell r="D1246" t="str">
            <v>EMEL CAMARGO</v>
          </cell>
        </row>
        <row r="1247">
          <cell r="C1247" t="str">
            <v>Camargo Household</v>
          </cell>
          <cell r="D1247" t="str">
            <v>Yarabis Camargo</v>
          </cell>
        </row>
        <row r="1248">
          <cell r="C1248" t="str">
            <v>Campbell Household</v>
          </cell>
          <cell r="D1248" t="str">
            <v>Anyela Campbell</v>
          </cell>
        </row>
        <row r="1249">
          <cell r="C1249" t="str">
            <v>Campble Household</v>
          </cell>
          <cell r="D1249" t="str">
            <v>Ambar Campble</v>
          </cell>
        </row>
        <row r="1250">
          <cell r="C1250" t="str">
            <v>Campiña Household</v>
          </cell>
          <cell r="D1250" t="str">
            <v>Vielka Campiña</v>
          </cell>
        </row>
        <row r="1251">
          <cell r="C1251" t="str">
            <v>Campos Household</v>
          </cell>
          <cell r="D1251" t="str">
            <v>Jennyfer Campos</v>
          </cell>
        </row>
        <row r="1252">
          <cell r="C1252" t="str">
            <v>Campos Household</v>
          </cell>
          <cell r="D1252" t="str">
            <v>JULIA CAMPOS</v>
          </cell>
        </row>
        <row r="1253">
          <cell r="C1253" t="str">
            <v>Campos Household</v>
          </cell>
          <cell r="D1253" t="str">
            <v>Luz Campos</v>
          </cell>
          <cell r="F1253" t="str">
            <v>251-0144</v>
          </cell>
        </row>
        <row r="1254">
          <cell r="C1254" t="str">
            <v>Campos Household</v>
          </cell>
          <cell r="D1254" t="str">
            <v>Yohaira Campos</v>
          </cell>
        </row>
        <row r="1255">
          <cell r="C1255" t="str">
            <v>Cano Household</v>
          </cell>
          <cell r="D1255" t="str">
            <v>Jesus Alberto Cano</v>
          </cell>
        </row>
        <row r="1256">
          <cell r="C1256" t="str">
            <v>Cano Importadora Ricamar Household</v>
          </cell>
          <cell r="D1256" t="str">
            <v>Ana Cano Importadora Ricamar</v>
          </cell>
        </row>
        <row r="1257">
          <cell r="C1257" t="str">
            <v>Canton Household</v>
          </cell>
          <cell r="D1257" t="str">
            <v>John Canton</v>
          </cell>
        </row>
        <row r="1258">
          <cell r="C1258" t="str">
            <v>Cantore Household</v>
          </cell>
          <cell r="D1258" t="str">
            <v>Walter Cantore</v>
          </cell>
        </row>
        <row r="1259">
          <cell r="C1259" t="str">
            <v>Cañate Household</v>
          </cell>
          <cell r="D1259" t="str">
            <v>Vicente Cañate</v>
          </cell>
        </row>
        <row r="1260">
          <cell r="C1260" t="str">
            <v>Cañaveral Oxford Household</v>
          </cell>
          <cell r="D1260" t="str">
            <v>Jorge Cañaveral Oxford</v>
          </cell>
        </row>
        <row r="1261">
          <cell r="C1261" t="str">
            <v>Capriles Household</v>
          </cell>
          <cell r="D1261" t="str">
            <v>Virgilio Capriles</v>
          </cell>
        </row>
        <row r="1262">
          <cell r="C1262" t="str">
            <v>Carbonell Household</v>
          </cell>
          <cell r="D1262" t="str">
            <v>Eduardo Carbonell</v>
          </cell>
        </row>
        <row r="1263">
          <cell r="C1263" t="str">
            <v>Carbonell Household</v>
          </cell>
          <cell r="D1263" t="str">
            <v>JORGE LUIS CARBONELL</v>
          </cell>
        </row>
        <row r="1264">
          <cell r="C1264" t="str">
            <v>Cárcamo Household</v>
          </cell>
          <cell r="D1264" t="str">
            <v>Evelyn Cárcamo</v>
          </cell>
        </row>
        <row r="1265">
          <cell r="C1265" t="str">
            <v>Cardenas Household</v>
          </cell>
          <cell r="D1265" t="str">
            <v>Jorge Cardenas</v>
          </cell>
        </row>
        <row r="1266">
          <cell r="C1266" t="str">
            <v>CÁRDENAS Household</v>
          </cell>
          <cell r="D1266" t="str">
            <v>AMELIA CÁRDENAS</v>
          </cell>
          <cell r="F1266" t="str">
            <v>6493 0384</v>
          </cell>
        </row>
        <row r="1267">
          <cell r="C1267" t="str">
            <v>CÁRDENAS Household</v>
          </cell>
          <cell r="D1267" t="str">
            <v>AMELIA CÁRDENAS</v>
          </cell>
        </row>
        <row r="1268">
          <cell r="C1268" t="str">
            <v>CARLES Household</v>
          </cell>
          <cell r="D1268" t="str">
            <v>GUADALUPE CARLES</v>
          </cell>
        </row>
        <row r="1269">
          <cell r="C1269" t="str">
            <v>Carlos Asprilla Household</v>
          </cell>
          <cell r="D1269" t="str">
            <v>Dios es mi Proveedor y Sustento Carlos Asprilla</v>
          </cell>
        </row>
        <row r="1270">
          <cell r="C1270" t="str">
            <v>Caro Household</v>
          </cell>
          <cell r="D1270" t="str">
            <v>Eric Caro</v>
          </cell>
        </row>
        <row r="1271">
          <cell r="C1271" t="str">
            <v>Carolina Rodriguez Household</v>
          </cell>
          <cell r="D1271" t="str">
            <v>Sandbox Panamà Carolina Rodriguez</v>
          </cell>
        </row>
        <row r="1272">
          <cell r="C1272" t="str">
            <v>CARRERA VELIZ Household</v>
          </cell>
          <cell r="D1272" t="str">
            <v>AMET ALEXIS CARRERA VELIZ</v>
          </cell>
        </row>
        <row r="1273">
          <cell r="C1273" t="str">
            <v>Carrillo Household</v>
          </cell>
          <cell r="D1273" t="str">
            <v>Marisel Carrillo</v>
          </cell>
        </row>
        <row r="1274">
          <cell r="C1274" t="str">
            <v>Carrion Household</v>
          </cell>
          <cell r="D1274" t="str">
            <v>Didimo Carrion</v>
          </cell>
        </row>
        <row r="1275">
          <cell r="C1275" t="str">
            <v>Carrizo Household</v>
          </cell>
          <cell r="D1275" t="str">
            <v>Maria Carrizo</v>
          </cell>
        </row>
        <row r="1276">
          <cell r="C1276" t="str">
            <v>Cartín Household</v>
          </cell>
          <cell r="D1276" t="str">
            <v>Zaratí (Banco Aliado) Cartín</v>
          </cell>
        </row>
        <row r="1277">
          <cell r="C1277" t="str">
            <v>CASTELL ROS-ZANET Household</v>
          </cell>
          <cell r="D1277" t="str">
            <v>CARLES GABRIEL CASTELL ROS-ZANET</v>
          </cell>
        </row>
        <row r="1278">
          <cell r="C1278" t="str">
            <v>Castillero Bacardí Household</v>
          </cell>
          <cell r="D1278" t="str">
            <v>Paola Castillero Bacardí</v>
          </cell>
        </row>
        <row r="1279">
          <cell r="C1279" t="str">
            <v>CASTILLERO Household</v>
          </cell>
          <cell r="D1279" t="str">
            <v>Anayansi Castillero</v>
          </cell>
        </row>
        <row r="1280">
          <cell r="C1280" t="str">
            <v>CASTILLERO Household</v>
          </cell>
          <cell r="D1280" t="str">
            <v>Elias CASTILLERO</v>
          </cell>
        </row>
        <row r="1281">
          <cell r="C1281" t="str">
            <v>Castillo Household</v>
          </cell>
          <cell r="D1281" t="str">
            <v>ALEXANDER CASTILLO</v>
          </cell>
        </row>
        <row r="1282">
          <cell r="C1282" t="str">
            <v>Castillo Household</v>
          </cell>
          <cell r="D1282" t="str">
            <v>AURA DE CASTILLO</v>
          </cell>
        </row>
        <row r="1283">
          <cell r="C1283" t="str">
            <v>Castillo Household</v>
          </cell>
          <cell r="D1283" t="str">
            <v>Denisse Castillo</v>
          </cell>
          <cell r="F1283" t="str">
            <v>6537-6517</v>
          </cell>
        </row>
        <row r="1284">
          <cell r="C1284" t="str">
            <v>Castillo Household</v>
          </cell>
          <cell r="D1284" t="str">
            <v>Diego Castillo</v>
          </cell>
        </row>
        <row r="1285">
          <cell r="C1285" t="str">
            <v>Castillo Household</v>
          </cell>
          <cell r="D1285" t="str">
            <v>Dilsa Castillo</v>
          </cell>
        </row>
        <row r="1286">
          <cell r="C1286" t="str">
            <v>Castillo Household</v>
          </cell>
          <cell r="D1286" t="str">
            <v>Edyangel Castillo</v>
          </cell>
        </row>
        <row r="1287">
          <cell r="C1287" t="str">
            <v>Castillo Household</v>
          </cell>
          <cell r="D1287" t="str">
            <v>Gleiberlys Castillo</v>
          </cell>
        </row>
        <row r="1288">
          <cell r="C1288" t="str">
            <v>Castillo Household</v>
          </cell>
          <cell r="D1288" t="str">
            <v>IVAN CASTILLO</v>
          </cell>
        </row>
        <row r="1289">
          <cell r="C1289" t="str">
            <v>Castillo Household</v>
          </cell>
          <cell r="D1289" t="str">
            <v>Janelis Castillo</v>
          </cell>
        </row>
        <row r="1290">
          <cell r="C1290" t="str">
            <v>Castillo Household</v>
          </cell>
          <cell r="D1290" t="str">
            <v>Jenniffer Castillo</v>
          </cell>
        </row>
        <row r="1291">
          <cell r="C1291" t="str">
            <v>Castillo Household</v>
          </cell>
          <cell r="D1291" t="str">
            <v>Katia Castillo</v>
          </cell>
        </row>
        <row r="1292">
          <cell r="C1292" t="str">
            <v>Castillo Household</v>
          </cell>
          <cell r="D1292" t="str">
            <v>Leidys Castillo</v>
          </cell>
        </row>
        <row r="1293">
          <cell r="C1293" t="str">
            <v>Castillo Household</v>
          </cell>
          <cell r="D1293" t="str">
            <v>Nadyne Castillo</v>
          </cell>
        </row>
        <row r="1294">
          <cell r="C1294" t="str">
            <v>Castillo Household</v>
          </cell>
          <cell r="D1294" t="str">
            <v>Nicolas Castillo</v>
          </cell>
        </row>
        <row r="1295">
          <cell r="C1295" t="str">
            <v>Castillo Household</v>
          </cell>
          <cell r="D1295" t="str">
            <v>PADRE ALEXANDER CASTILLO</v>
          </cell>
        </row>
        <row r="1296">
          <cell r="C1296" t="str">
            <v>Castillo Household</v>
          </cell>
          <cell r="D1296" t="str">
            <v>Roosvelt Castillo</v>
          </cell>
        </row>
        <row r="1297">
          <cell r="C1297" t="str">
            <v>Castillo Household</v>
          </cell>
          <cell r="D1297" t="str">
            <v>Veronica Castillo</v>
          </cell>
        </row>
        <row r="1298">
          <cell r="C1298" t="str">
            <v>Castillo Toyota Household</v>
          </cell>
          <cell r="D1298" t="str">
            <v>Jenniffer Castillo Toyota</v>
          </cell>
        </row>
        <row r="1299">
          <cell r="C1299" t="str">
            <v>Castillo. Household</v>
          </cell>
          <cell r="D1299" t="str">
            <v>Michelle Castillo.</v>
          </cell>
          <cell r="F1299" t="str">
            <v>6563-9610</v>
          </cell>
        </row>
        <row r="1300">
          <cell r="C1300" t="str">
            <v>Castrejon Household</v>
          </cell>
          <cell r="D1300" t="str">
            <v>Eugenio Castrejon</v>
          </cell>
        </row>
        <row r="1301">
          <cell r="C1301" t="str">
            <v>Castrellón Household</v>
          </cell>
          <cell r="D1301" t="str">
            <v>Pahola Castrellón</v>
          </cell>
        </row>
        <row r="1302">
          <cell r="C1302" t="str">
            <v>Castro Household</v>
          </cell>
          <cell r="D1302" t="str">
            <v>Cupertino Castro</v>
          </cell>
        </row>
        <row r="1303">
          <cell r="C1303" t="str">
            <v>Castro Household</v>
          </cell>
          <cell r="D1303" t="str">
            <v>FLOR CASTRO</v>
          </cell>
        </row>
        <row r="1304">
          <cell r="C1304" t="str">
            <v>Castro Household</v>
          </cell>
          <cell r="D1304" t="str">
            <v>Fresia Castro</v>
          </cell>
        </row>
        <row r="1305">
          <cell r="C1305" t="str">
            <v>Castro Household</v>
          </cell>
          <cell r="D1305" t="str">
            <v>Gina Castro</v>
          </cell>
        </row>
        <row r="1306">
          <cell r="C1306" t="str">
            <v>Castro Household</v>
          </cell>
          <cell r="D1306" t="str">
            <v>Milagros Castro</v>
          </cell>
        </row>
        <row r="1307">
          <cell r="C1307" t="str">
            <v>Castro Oxford Household</v>
          </cell>
          <cell r="D1307" t="str">
            <v>Norman Castro Oxford</v>
          </cell>
        </row>
        <row r="1308">
          <cell r="C1308" t="str">
            <v>cavadia Household</v>
          </cell>
          <cell r="D1308" t="str">
            <v>Laura cavadia</v>
          </cell>
        </row>
        <row r="1309">
          <cell r="C1309" t="str">
            <v>CEDEÑO Household</v>
          </cell>
          <cell r="D1309" t="str">
            <v>Alexia Cedeño</v>
          </cell>
        </row>
        <row r="1310">
          <cell r="C1310" t="str">
            <v>CEDEÑO Household</v>
          </cell>
          <cell r="D1310" t="str">
            <v>Elsi Cedeño</v>
          </cell>
        </row>
        <row r="1311">
          <cell r="C1311" t="str">
            <v>CEDEÑO Household</v>
          </cell>
          <cell r="D1311" t="str">
            <v>Jose Cedeño</v>
          </cell>
        </row>
        <row r="1312">
          <cell r="C1312" t="str">
            <v>CEDEÑO Household</v>
          </cell>
          <cell r="D1312" t="str">
            <v>KAREN CEDEÑO</v>
          </cell>
        </row>
        <row r="1313">
          <cell r="C1313" t="str">
            <v>CEDEÑO Household</v>
          </cell>
          <cell r="D1313" t="str">
            <v>Yamileth Cedeño</v>
          </cell>
        </row>
        <row r="1314">
          <cell r="C1314" t="str">
            <v>Celys Household</v>
          </cell>
          <cell r="D1314" t="str">
            <v>Jenni Celys</v>
          </cell>
        </row>
        <row r="1315">
          <cell r="C1315" t="str">
            <v>Cenci Household</v>
          </cell>
          <cell r="D1315" t="str">
            <v>Meredith Cenci</v>
          </cell>
        </row>
        <row r="1316">
          <cell r="C1316" t="str">
            <v>Cermeño Household</v>
          </cell>
          <cell r="D1316" t="str">
            <v>Maria Cermeño</v>
          </cell>
          <cell r="F1316" t="str">
            <v>229-1333</v>
          </cell>
        </row>
        <row r="1317">
          <cell r="C1317" t="str">
            <v>Cerrud Household</v>
          </cell>
          <cell r="D1317" t="str">
            <v>Omaris Cerrud</v>
          </cell>
        </row>
        <row r="1318">
          <cell r="C1318" t="str">
            <v>Cerrud Household</v>
          </cell>
          <cell r="D1318" t="str">
            <v>Rafael Cerrud</v>
          </cell>
        </row>
        <row r="1319">
          <cell r="C1319" t="str">
            <v>Chacon Household</v>
          </cell>
          <cell r="D1319" t="str">
            <v>Iliana Chacon</v>
          </cell>
        </row>
        <row r="1320">
          <cell r="C1320" t="str">
            <v>Chacón. Household</v>
          </cell>
          <cell r="D1320" t="str">
            <v>José Chacón.</v>
          </cell>
        </row>
        <row r="1321">
          <cell r="C1321" t="str">
            <v>Chanis Household</v>
          </cell>
          <cell r="D1321" t="str">
            <v>Yanina Chanis</v>
          </cell>
          <cell r="F1321" t="str">
            <v>6731-6390</v>
          </cell>
        </row>
        <row r="1322">
          <cell r="C1322" t="str">
            <v>Charres Household</v>
          </cell>
          <cell r="D1322" t="str">
            <v>Valeska Charres</v>
          </cell>
        </row>
        <row r="1323">
          <cell r="C1323" t="str">
            <v>Chavarria Household</v>
          </cell>
          <cell r="D1323" t="str">
            <v>Angel Chavarria</v>
          </cell>
        </row>
        <row r="1324">
          <cell r="C1324" t="str">
            <v>Chavez C. Saint Jones Household</v>
          </cell>
          <cell r="D1324" t="str">
            <v>Janeth Chavez C. Saint Jones</v>
          </cell>
        </row>
        <row r="1325">
          <cell r="C1325" t="str">
            <v>Chavez C. Saint Mary Household</v>
          </cell>
          <cell r="D1325" t="str">
            <v>Janeth Chavez C. Saint Mary</v>
          </cell>
        </row>
        <row r="1326">
          <cell r="C1326" t="str">
            <v>Chavez Grupo Rey Household</v>
          </cell>
          <cell r="D1326" t="str">
            <v>Ricardo Chavez Grupo Rey</v>
          </cell>
        </row>
        <row r="1327">
          <cell r="C1327" t="str">
            <v>Chavez Household</v>
          </cell>
          <cell r="D1327" t="str">
            <v>Ricardo Chavez</v>
          </cell>
        </row>
        <row r="1328">
          <cell r="C1328" t="str">
            <v>Chávez Household</v>
          </cell>
          <cell r="D1328" t="str">
            <v>Ricardo Chávez</v>
          </cell>
          <cell r="F1328" t="str">
            <v>6868-1690</v>
          </cell>
        </row>
        <row r="1329">
          <cell r="C1329" t="str">
            <v>Chávez Rodríguez Household</v>
          </cell>
          <cell r="D1329" t="str">
            <v>José Franklin Chávez Rodríguez</v>
          </cell>
        </row>
        <row r="1330">
          <cell r="C1330" t="str">
            <v>Checya Household</v>
          </cell>
          <cell r="D1330" t="str">
            <v>Itzel Checya</v>
          </cell>
        </row>
        <row r="1331">
          <cell r="C1331" t="str">
            <v>Chen Household</v>
          </cell>
          <cell r="D1331" t="str">
            <v>DEYSI CHEN</v>
          </cell>
        </row>
        <row r="1332">
          <cell r="C1332" t="str">
            <v>Chen Household</v>
          </cell>
          <cell r="D1332" t="str">
            <v>María Mercedes Chen</v>
          </cell>
        </row>
        <row r="1333">
          <cell r="C1333" t="str">
            <v>Cherigo Household</v>
          </cell>
          <cell r="D1333" t="str">
            <v>Ailyn Cherigo</v>
          </cell>
        </row>
        <row r="1334">
          <cell r="C1334" t="str">
            <v>Chial Household</v>
          </cell>
          <cell r="D1334" t="str">
            <v>Lian Chial</v>
          </cell>
        </row>
        <row r="1335">
          <cell r="C1335" t="str">
            <v>Chu Household</v>
          </cell>
          <cell r="D1335" t="str">
            <v>Ricardo Chu</v>
          </cell>
        </row>
        <row r="1336">
          <cell r="C1336" t="str">
            <v>Chung Oxford Household</v>
          </cell>
          <cell r="D1336" t="str">
            <v>Omar Chung Oxford</v>
          </cell>
        </row>
        <row r="1337">
          <cell r="C1337" t="str">
            <v>Cialimentos Household</v>
          </cell>
          <cell r="D1337" t="str">
            <v>Harvis Cialimentos</v>
          </cell>
        </row>
        <row r="1338">
          <cell r="C1338" t="str">
            <v>Cianca Household</v>
          </cell>
          <cell r="D1338" t="str">
            <v>Georgette Cianca</v>
          </cell>
        </row>
        <row r="1339">
          <cell r="C1339" t="str">
            <v>Cigarruista Household</v>
          </cell>
          <cell r="D1339" t="str">
            <v>Jamileth Cigarruista</v>
          </cell>
        </row>
        <row r="1340">
          <cell r="C1340" t="str">
            <v>Cisneros Household</v>
          </cell>
          <cell r="D1340" t="str">
            <v>Jose Luis Cisneros</v>
          </cell>
        </row>
        <row r="1341">
          <cell r="C1341" t="str">
            <v>Cisneros Household</v>
          </cell>
          <cell r="D1341" t="str">
            <v>Marianne Cisneros</v>
          </cell>
        </row>
        <row r="1342">
          <cell r="C1342" t="str">
            <v>Clark Household</v>
          </cell>
          <cell r="D1342" t="str">
            <v>Jenia Clark</v>
          </cell>
        </row>
        <row r="1343">
          <cell r="C1343" t="str">
            <v>CLOP BARCENAS Household</v>
          </cell>
          <cell r="D1343" t="str">
            <v>CARLOS CLOP BARCENAS</v>
          </cell>
        </row>
        <row r="1344">
          <cell r="C1344" t="str">
            <v>COCHEZ Household</v>
          </cell>
          <cell r="D1344" t="str">
            <v>SUSANA COCHEZ</v>
          </cell>
        </row>
        <row r="1345">
          <cell r="C1345" t="str">
            <v>Cocio Household</v>
          </cell>
          <cell r="D1345" t="str">
            <v>Carlos Cocio</v>
          </cell>
        </row>
        <row r="1346">
          <cell r="C1346" t="str">
            <v>COCYDON Household</v>
          </cell>
          <cell r="D1346" t="str">
            <v>Yeniffer COCYDON</v>
          </cell>
        </row>
        <row r="1347">
          <cell r="C1347" t="str">
            <v>Cohen Household</v>
          </cell>
          <cell r="D1347" t="str">
            <v>Carolina Cohen</v>
          </cell>
          <cell r="F1347" t="str">
            <v>69809220</v>
          </cell>
        </row>
        <row r="1348">
          <cell r="C1348" t="str">
            <v>Collado Household</v>
          </cell>
          <cell r="D1348" t="str">
            <v>Yamilka Collado</v>
          </cell>
        </row>
        <row r="1349">
          <cell r="C1349" t="str">
            <v>Colman Household</v>
          </cell>
          <cell r="D1349" t="str">
            <v>Lilian Colman</v>
          </cell>
        </row>
        <row r="1350">
          <cell r="C1350" t="str">
            <v>Colmenarez Household</v>
          </cell>
          <cell r="D1350" t="str">
            <v>Yorce Colmenarez</v>
          </cell>
        </row>
        <row r="1351">
          <cell r="C1351" t="str">
            <v>Colon Household</v>
          </cell>
          <cell r="D1351" t="str">
            <v>Pablo Colon</v>
          </cell>
        </row>
        <row r="1352">
          <cell r="C1352" t="str">
            <v>COMPLETO Household</v>
          </cell>
          <cell r="D1352" t="str">
            <v>GUSTAVO COMPLETO</v>
          </cell>
        </row>
        <row r="1353">
          <cell r="C1353" t="str">
            <v>Concepcion Household</v>
          </cell>
          <cell r="D1353" t="str">
            <v>Maribel Concepcion</v>
          </cell>
        </row>
        <row r="1354">
          <cell r="C1354" t="str">
            <v>Concepción Household</v>
          </cell>
          <cell r="D1354" t="str">
            <v>Héctor Concepción</v>
          </cell>
        </row>
        <row r="1355">
          <cell r="C1355" t="str">
            <v>CONTE Household</v>
          </cell>
          <cell r="D1355" t="str">
            <v>ROSARIO CONTE</v>
          </cell>
        </row>
        <row r="1356">
          <cell r="C1356" t="str">
            <v>Contreras Household</v>
          </cell>
          <cell r="D1356" t="str">
            <v>Miguel Contreras</v>
          </cell>
        </row>
        <row r="1357">
          <cell r="C1357" t="str">
            <v>Controni Household</v>
          </cell>
          <cell r="D1357" t="str">
            <v>Enrico Controni</v>
          </cell>
        </row>
        <row r="1358">
          <cell r="C1358" t="str">
            <v>Cooper Household</v>
          </cell>
          <cell r="D1358" t="str">
            <v>NADJA Cooper</v>
          </cell>
        </row>
        <row r="1359">
          <cell r="C1359" t="str">
            <v>Copyright (c) 2000-2023 salesforce.com, inc. Reservados todos los derechos.</v>
          </cell>
        </row>
        <row r="1360">
          <cell r="C1360" t="str">
            <v>Córdoba Household</v>
          </cell>
          <cell r="D1360" t="str">
            <v>Francisco Córdoba</v>
          </cell>
        </row>
        <row r="1361">
          <cell r="C1361" t="str">
            <v>Córdoba Household</v>
          </cell>
          <cell r="D1361" t="str">
            <v>Vieltsy Córdoba</v>
          </cell>
        </row>
        <row r="1362">
          <cell r="C1362" t="str">
            <v>Còrdoba Household</v>
          </cell>
          <cell r="D1362" t="str">
            <v>Alexandra Còrdoba</v>
          </cell>
        </row>
        <row r="1363">
          <cell r="C1363" t="str">
            <v>Cornavaca Household</v>
          </cell>
          <cell r="D1363" t="str">
            <v>Roberto Cornavaca</v>
          </cell>
        </row>
        <row r="1364">
          <cell r="C1364" t="str">
            <v>Cornejo Household</v>
          </cell>
          <cell r="D1364" t="str">
            <v>Valeria Cornejo</v>
          </cell>
        </row>
        <row r="1365">
          <cell r="C1365" t="str">
            <v>Coronado Household</v>
          </cell>
          <cell r="D1365" t="str">
            <v>Daniel Coronado</v>
          </cell>
        </row>
        <row r="1366">
          <cell r="C1366" t="str">
            <v>Coronado Household</v>
          </cell>
          <cell r="D1366" t="str">
            <v>Ivisbeth Coronado</v>
          </cell>
        </row>
        <row r="1367">
          <cell r="C1367" t="str">
            <v>Coronado Household</v>
          </cell>
          <cell r="D1367" t="str">
            <v>Jetzabel Coronado</v>
          </cell>
        </row>
        <row r="1368">
          <cell r="C1368" t="str">
            <v>Coronado Household</v>
          </cell>
          <cell r="D1368" t="str">
            <v>Natalie Coronado</v>
          </cell>
        </row>
        <row r="1369">
          <cell r="C1369" t="str">
            <v>Coronado Muñoz Household</v>
          </cell>
          <cell r="D1369" t="str">
            <v>Ibrian Ameth Coronado Muñoz</v>
          </cell>
        </row>
        <row r="1370">
          <cell r="C1370" t="str">
            <v>Coronel Household</v>
          </cell>
          <cell r="D1370" t="str">
            <v>Felipe Coronel</v>
          </cell>
        </row>
        <row r="1371">
          <cell r="C1371" t="str">
            <v>Cortes Household</v>
          </cell>
          <cell r="D1371" t="str">
            <v>Adriana Cortes</v>
          </cell>
        </row>
        <row r="1372">
          <cell r="C1372" t="str">
            <v>Cortes Household</v>
          </cell>
          <cell r="D1372" t="str">
            <v>edwin Cortes</v>
          </cell>
        </row>
        <row r="1373">
          <cell r="C1373" t="str">
            <v>Cortes Household</v>
          </cell>
          <cell r="D1373" t="str">
            <v>Josue Cortes</v>
          </cell>
        </row>
        <row r="1374">
          <cell r="C1374" t="str">
            <v>COSTA Household</v>
          </cell>
          <cell r="D1374" t="str">
            <v>PAULO COSTA</v>
          </cell>
        </row>
        <row r="1375">
          <cell r="C1375" t="str">
            <v>Cotes Household</v>
          </cell>
          <cell r="D1375" t="str">
            <v>Fidel Cotes</v>
          </cell>
        </row>
        <row r="1376">
          <cell r="C1376" t="str">
            <v>Cover Household</v>
          </cell>
          <cell r="D1376" t="str">
            <v>Edumar Cover</v>
          </cell>
        </row>
        <row r="1377">
          <cell r="C1377" t="str">
            <v>CRISAN Household</v>
          </cell>
          <cell r="D1377" t="str">
            <v>ALEXANDER CRISAN</v>
          </cell>
        </row>
        <row r="1378">
          <cell r="C1378" t="str">
            <v>CRÓCAMO Household</v>
          </cell>
          <cell r="D1378" t="str">
            <v>RICHARD CRÓCAMO</v>
          </cell>
        </row>
        <row r="1379">
          <cell r="C1379" t="str">
            <v>CRUZ GALEAS Household</v>
          </cell>
          <cell r="D1379" t="str">
            <v>ROLANDO GUSTAVO CRUZ GALEAS</v>
          </cell>
        </row>
        <row r="1380">
          <cell r="C1380" t="str">
            <v>Cruz Household</v>
          </cell>
          <cell r="D1380" t="str">
            <v>Keitline Cruz</v>
          </cell>
        </row>
        <row r="1381">
          <cell r="C1381" t="str">
            <v>Cruz Household</v>
          </cell>
          <cell r="D1381" t="str">
            <v>Noelia Cruz</v>
          </cell>
        </row>
        <row r="1382">
          <cell r="C1382" t="str">
            <v>Cubilla Household</v>
          </cell>
          <cell r="D1382" t="str">
            <v>Danieth Cubilla</v>
          </cell>
        </row>
        <row r="1383">
          <cell r="C1383" t="str">
            <v>Cuentas Household</v>
          </cell>
          <cell r="D1383" t="str">
            <v>Miguel Cuentas</v>
          </cell>
        </row>
        <row r="1384">
          <cell r="C1384" t="str">
            <v>Cuevas Household</v>
          </cell>
          <cell r="D1384" t="str">
            <v>Kevin Cuevas</v>
          </cell>
        </row>
        <row r="1385">
          <cell r="C1385" t="str">
            <v>Cuevas Household</v>
          </cell>
          <cell r="D1385" t="str">
            <v>Omar Cuevas</v>
          </cell>
        </row>
        <row r="1386">
          <cell r="C1386" t="str">
            <v>Damian Household</v>
          </cell>
          <cell r="D1386" t="str">
            <v>Juan Diego Damian</v>
          </cell>
        </row>
        <row r="1387">
          <cell r="C1387" t="str">
            <v>Davis Gómez Household</v>
          </cell>
          <cell r="D1387" t="str">
            <v>Daniela Davis Gómez</v>
          </cell>
        </row>
        <row r="1388">
          <cell r="C1388" t="str">
            <v>Davis Household</v>
          </cell>
          <cell r="D1388" t="str">
            <v>Ana Maria Davis</v>
          </cell>
        </row>
        <row r="1389">
          <cell r="C1389" t="str">
            <v>De alveo Household</v>
          </cell>
          <cell r="D1389" t="str">
            <v>Luciana De alveo</v>
          </cell>
        </row>
        <row r="1390">
          <cell r="C1390" t="str">
            <v>de AmCham Household</v>
          </cell>
          <cell r="D1390" t="str">
            <v>Comité de sostenibilidad de AmCham</v>
          </cell>
        </row>
        <row r="1391">
          <cell r="C1391" t="str">
            <v>DE ARAUJO Household</v>
          </cell>
          <cell r="D1391" t="str">
            <v>ROBERTO DE ARAUJO</v>
          </cell>
        </row>
        <row r="1392">
          <cell r="C1392" t="str">
            <v>De Arrocha Household</v>
          </cell>
          <cell r="D1392" t="str">
            <v>Vielka De Arrocha</v>
          </cell>
        </row>
        <row r="1393">
          <cell r="C1393" t="str">
            <v>De Arrocha Iglesia Manantial De Vida Household</v>
          </cell>
          <cell r="D1393" t="str">
            <v>Vielka De Arrocha Iglesia Manantial De Vida</v>
          </cell>
        </row>
        <row r="1394">
          <cell r="C1394" t="str">
            <v>de Ayú Prado Household</v>
          </cell>
          <cell r="D1394" t="str">
            <v>Itzel de Ayú Prado</v>
          </cell>
        </row>
        <row r="1395">
          <cell r="C1395" t="str">
            <v>DE BELLAIGUE Household</v>
          </cell>
          <cell r="D1395" t="str">
            <v>INES DE BELLAIGUE</v>
          </cell>
        </row>
        <row r="1396">
          <cell r="C1396" t="str">
            <v>DE CARNEIRO Household</v>
          </cell>
          <cell r="D1396" t="str">
            <v>ROCIO DE CARNEIRO</v>
          </cell>
        </row>
        <row r="1397">
          <cell r="C1397" t="str">
            <v>DE DIAZ Household</v>
          </cell>
          <cell r="D1397" t="str">
            <v>GLORIA DE DIAZ</v>
          </cell>
        </row>
        <row r="1398">
          <cell r="C1398" t="str">
            <v>de FUX Household</v>
          </cell>
          <cell r="D1398" t="str">
            <v>Mercedes de FUX</v>
          </cell>
        </row>
        <row r="1399">
          <cell r="C1399" t="str">
            <v>De Gracia Household</v>
          </cell>
          <cell r="D1399" t="str">
            <v>Maribel De Gracia</v>
          </cell>
          <cell r="F1399" t="str">
            <v>2799000</v>
          </cell>
        </row>
        <row r="1400">
          <cell r="C1400" t="str">
            <v>De Grijs Oxford Household</v>
          </cell>
          <cell r="D1400" t="str">
            <v>Lise De Grijs Oxford</v>
          </cell>
        </row>
        <row r="1401">
          <cell r="C1401" t="str">
            <v>De Haseth Household</v>
          </cell>
          <cell r="D1401" t="str">
            <v>Christiaan De Haseth</v>
          </cell>
        </row>
        <row r="1402">
          <cell r="C1402" t="str">
            <v>De Jesus Household</v>
          </cell>
          <cell r="D1402" t="str">
            <v>Padre Pedro De Jesus</v>
          </cell>
        </row>
        <row r="1403">
          <cell r="C1403" t="str">
            <v>De la Cruz Household</v>
          </cell>
          <cell r="D1403" t="str">
            <v>Dafny De La Cruz</v>
          </cell>
        </row>
        <row r="1404">
          <cell r="C1404" t="str">
            <v>De la Cruz Household</v>
          </cell>
          <cell r="D1404" t="str">
            <v>Karina De la Cruz</v>
          </cell>
        </row>
        <row r="1405">
          <cell r="C1405" t="str">
            <v>De la Cruz Household</v>
          </cell>
          <cell r="D1405" t="str">
            <v>Yamiletzy De la Cruz</v>
          </cell>
        </row>
        <row r="1406">
          <cell r="C1406" t="str">
            <v>De la Cruz Household</v>
          </cell>
          <cell r="D1406" t="str">
            <v>Yanileth De la Cruz</v>
          </cell>
        </row>
        <row r="1407">
          <cell r="C1407" t="str">
            <v>De la Espada Household</v>
          </cell>
          <cell r="D1407" t="str">
            <v>Orlanyz De la Espada</v>
          </cell>
        </row>
        <row r="1408">
          <cell r="C1408" t="str">
            <v>de la Guardia Household</v>
          </cell>
          <cell r="D1408" t="str">
            <v>Agustín de la Guardia</v>
          </cell>
        </row>
        <row r="1409">
          <cell r="C1409" t="str">
            <v>de la Guardia Household</v>
          </cell>
          <cell r="D1409" t="str">
            <v>LORENA DE LA GUARDIA</v>
          </cell>
        </row>
        <row r="1410">
          <cell r="C1410" t="str">
            <v>de la Hoz Household</v>
          </cell>
          <cell r="D1410" t="str">
            <v>Yenia de la Hoz</v>
          </cell>
        </row>
        <row r="1411">
          <cell r="C1411" t="str">
            <v>De La Lastra Household</v>
          </cell>
          <cell r="D1411" t="str">
            <v>Ana Elisa De La Lastra</v>
          </cell>
        </row>
        <row r="1412">
          <cell r="C1412" t="str">
            <v>De la Ossa Household</v>
          </cell>
          <cell r="D1412" t="str">
            <v>Fernando De la Ossa</v>
          </cell>
        </row>
        <row r="1413">
          <cell r="C1413" t="str">
            <v>De León Household</v>
          </cell>
          <cell r="D1413" t="str">
            <v>Dayrineth De León</v>
          </cell>
          <cell r="F1413" t="str">
            <v>224-9095</v>
          </cell>
        </row>
        <row r="1414">
          <cell r="C1414" t="str">
            <v>De León Household</v>
          </cell>
          <cell r="D1414" t="str">
            <v>Janeth De León</v>
          </cell>
        </row>
        <row r="1415">
          <cell r="C1415" t="str">
            <v>De León Household</v>
          </cell>
          <cell r="D1415" t="str">
            <v>Michelle De León</v>
          </cell>
        </row>
        <row r="1416">
          <cell r="C1416" t="str">
            <v>De León Household</v>
          </cell>
          <cell r="D1416" t="str">
            <v>Miguel De León</v>
          </cell>
        </row>
        <row r="1417">
          <cell r="C1417" t="str">
            <v>De León Household</v>
          </cell>
          <cell r="D1417" t="str">
            <v>Yuleisy De León</v>
          </cell>
        </row>
        <row r="1418">
          <cell r="C1418" t="str">
            <v>De Los Rios de Urbanc Household</v>
          </cell>
          <cell r="D1418" t="str">
            <v>Jacqueline Maria De Los Rios de Urbanc</v>
          </cell>
        </row>
        <row r="1419">
          <cell r="C1419" t="str">
            <v>De Melo ISP Household</v>
          </cell>
          <cell r="D1419" t="str">
            <v>Larissa De Melo ISP</v>
          </cell>
        </row>
        <row r="1420">
          <cell r="C1420" t="str">
            <v>De Oliveira Household</v>
          </cell>
          <cell r="D1420" t="str">
            <v>Jose Manuel De Oliveira</v>
          </cell>
        </row>
        <row r="1421">
          <cell r="C1421" t="str">
            <v>De Oliveira Household</v>
          </cell>
          <cell r="D1421" t="str">
            <v>Josue Manuel De Oliveira</v>
          </cell>
        </row>
        <row r="1422">
          <cell r="C1422" t="str">
            <v>DE RODRÍGUEZ Household</v>
          </cell>
          <cell r="D1422" t="str">
            <v>ROSABEL DE RODRÍGUEZ</v>
          </cell>
        </row>
        <row r="1423">
          <cell r="C1423" t="str">
            <v>De Romero Iglesia Nvo Pacto Arco Iris Household</v>
          </cell>
          <cell r="D1423" t="str">
            <v>María De Romero Iglesia Nvo Pacto Arco Iris</v>
          </cell>
        </row>
        <row r="1424">
          <cell r="C1424" t="str">
            <v>DE RUIZ Household</v>
          </cell>
          <cell r="D1424" t="str">
            <v>ISELA DE RUIZ</v>
          </cell>
        </row>
        <row r="1425">
          <cell r="C1425" t="str">
            <v>De Sedas Household</v>
          </cell>
          <cell r="D1425" t="str">
            <v>Yohani De Sedas</v>
          </cell>
        </row>
        <row r="1426">
          <cell r="C1426" t="str">
            <v>De Silva Alcogal Household</v>
          </cell>
          <cell r="D1426" t="str">
            <v>Maria Del Pilar De Silva Alcogal</v>
          </cell>
        </row>
        <row r="1427">
          <cell r="C1427" t="str">
            <v>de Valdez Household</v>
          </cell>
          <cell r="D1427" t="str">
            <v>Marcia de Valdez</v>
          </cell>
        </row>
        <row r="1428">
          <cell r="C1428" t="str">
            <v>De Vega Invertis Household</v>
          </cell>
          <cell r="D1428" t="str">
            <v>Rosalba De Vega Invertis</v>
          </cell>
        </row>
        <row r="1429">
          <cell r="C1429" t="str">
            <v>De Ycaza Household</v>
          </cell>
          <cell r="D1429" t="str">
            <v>Gustavo De Ycaza</v>
          </cell>
        </row>
        <row r="1430">
          <cell r="C1430" t="str">
            <v>Del Cid Household</v>
          </cell>
          <cell r="D1430" t="str">
            <v>Julio Del Cid</v>
          </cell>
        </row>
        <row r="1431">
          <cell r="C1431" t="str">
            <v>Del Cid Household</v>
          </cell>
          <cell r="D1431" t="str">
            <v>Lia Del Cid</v>
          </cell>
        </row>
        <row r="1432">
          <cell r="C1432" t="str">
            <v>Del Cid Household</v>
          </cell>
          <cell r="D1432" t="str">
            <v>Michell Del Cid</v>
          </cell>
        </row>
        <row r="1433">
          <cell r="C1433" t="str">
            <v>Del Cie Household</v>
          </cell>
          <cell r="D1433" t="str">
            <v>Michell Del Cie</v>
          </cell>
        </row>
        <row r="1434">
          <cell r="C1434" t="str">
            <v>DEL PINO Household</v>
          </cell>
          <cell r="D1434" t="str">
            <v>JOSE DEL PINO</v>
          </cell>
        </row>
        <row r="1435">
          <cell r="C1435" t="str">
            <v>Del Rosario Household</v>
          </cell>
          <cell r="D1435" t="str">
            <v>Merycruz Del Rosario</v>
          </cell>
        </row>
        <row r="1436">
          <cell r="C1436" t="str">
            <v>Delgado Household</v>
          </cell>
          <cell r="D1436" t="str">
            <v>AMED Delgado</v>
          </cell>
        </row>
        <row r="1437">
          <cell r="C1437" t="str">
            <v>Delgado Household</v>
          </cell>
          <cell r="D1437" t="str">
            <v>Eileen Delgado</v>
          </cell>
        </row>
        <row r="1438">
          <cell r="C1438" t="str">
            <v>Delgado Household</v>
          </cell>
          <cell r="D1438" t="str">
            <v>Gloria Delgado</v>
          </cell>
        </row>
        <row r="1439">
          <cell r="C1439" t="str">
            <v>Delgado Household</v>
          </cell>
          <cell r="D1439" t="str">
            <v>Kathelen Delgado</v>
          </cell>
        </row>
        <row r="1440">
          <cell r="C1440" t="str">
            <v>Delgado Instituto Bern Household</v>
          </cell>
          <cell r="D1440" t="str">
            <v>Jean Delgado Instituto Bern</v>
          </cell>
        </row>
        <row r="1441">
          <cell r="C1441" t="str">
            <v>Denis Household</v>
          </cell>
          <cell r="D1441" t="str">
            <v>Rodelis Denis</v>
          </cell>
        </row>
        <row r="1442">
          <cell r="C1442" t="str">
            <v>Díaz Alstom Household</v>
          </cell>
          <cell r="D1442" t="str">
            <v>Fior Díaz Alstom</v>
          </cell>
        </row>
        <row r="1443">
          <cell r="C1443" t="str">
            <v>Diaz Grande Household</v>
          </cell>
          <cell r="D1443" t="str">
            <v>Carlos Diaz Grande</v>
          </cell>
        </row>
        <row r="1444">
          <cell r="C1444" t="str">
            <v>Diaz Household</v>
          </cell>
          <cell r="D1444" t="str">
            <v>Anthony Diaz</v>
          </cell>
        </row>
        <row r="1445">
          <cell r="C1445" t="str">
            <v>Diaz Household</v>
          </cell>
          <cell r="D1445" t="str">
            <v>Jimmy Diaz</v>
          </cell>
        </row>
        <row r="1446">
          <cell r="C1446" t="str">
            <v>Diaz Household</v>
          </cell>
          <cell r="D1446" t="str">
            <v>Luduvina Diaz</v>
          </cell>
        </row>
        <row r="1447">
          <cell r="C1447" t="str">
            <v>Diaz Household</v>
          </cell>
          <cell r="D1447" t="str">
            <v>Luis Diaz</v>
          </cell>
        </row>
        <row r="1448">
          <cell r="C1448" t="str">
            <v>Diaz Household</v>
          </cell>
          <cell r="D1448" t="str">
            <v>Maria Teresa Diaz</v>
          </cell>
        </row>
        <row r="1449">
          <cell r="C1449" t="str">
            <v>Diaz Household</v>
          </cell>
          <cell r="D1449" t="str">
            <v>Sergio Diaz</v>
          </cell>
        </row>
        <row r="1450">
          <cell r="C1450" t="str">
            <v>Díaz Household</v>
          </cell>
          <cell r="D1450" t="str">
            <v>Aurora Díaz</v>
          </cell>
          <cell r="F1450" t="str">
            <v>6784-6007</v>
          </cell>
        </row>
        <row r="1451">
          <cell r="C1451" t="str">
            <v>Díaz Household</v>
          </cell>
          <cell r="D1451" t="str">
            <v>Edward Díaz</v>
          </cell>
        </row>
        <row r="1452">
          <cell r="C1452" t="str">
            <v>Díaz Household</v>
          </cell>
          <cell r="D1452" t="str">
            <v>Fior Díaz</v>
          </cell>
          <cell r="F1452" t="str">
            <v>377-3801</v>
          </cell>
        </row>
        <row r="1453">
          <cell r="C1453" t="str">
            <v>Díaz Household</v>
          </cell>
          <cell r="D1453" t="str">
            <v>Gloria Díaz</v>
          </cell>
        </row>
        <row r="1454">
          <cell r="C1454" t="str">
            <v>Díaz Household</v>
          </cell>
          <cell r="D1454" t="str">
            <v>Jorge Javier Díaz</v>
          </cell>
          <cell r="F1454" t="str">
            <v>6649-6068</v>
          </cell>
        </row>
        <row r="1455">
          <cell r="C1455" t="str">
            <v>Díaz Household</v>
          </cell>
          <cell r="D1455" t="str">
            <v>Oddeth Díaz</v>
          </cell>
        </row>
        <row r="1456">
          <cell r="C1456" t="str">
            <v>Díaz Household</v>
          </cell>
          <cell r="D1456" t="str">
            <v>Valeria Díaz</v>
          </cell>
        </row>
        <row r="1457">
          <cell r="C1457" t="str">
            <v>Díaz Voitier Household</v>
          </cell>
          <cell r="D1457" t="str">
            <v>Natalia Sofia Díaz Voitier</v>
          </cell>
        </row>
        <row r="1458">
          <cell r="C1458" t="str">
            <v>Dieter Ploeger Household</v>
          </cell>
          <cell r="D1458" t="str">
            <v>Embajada de Canadá Dieter Ploeger</v>
          </cell>
        </row>
        <row r="1459">
          <cell r="C1459" t="str">
            <v>Dixon Household</v>
          </cell>
          <cell r="D1459" t="str">
            <v>Afonso Dixon</v>
          </cell>
        </row>
        <row r="1460">
          <cell r="C1460" t="str">
            <v>Domingo Household</v>
          </cell>
          <cell r="D1460" t="str">
            <v>Marisa Domingo</v>
          </cell>
        </row>
        <row r="1461">
          <cell r="C1461" t="str">
            <v>DOMINGUEZ Household</v>
          </cell>
          <cell r="D1461" t="str">
            <v>Francisco Dominguez</v>
          </cell>
        </row>
        <row r="1462">
          <cell r="C1462" t="str">
            <v>DOMINGUEZ Household</v>
          </cell>
          <cell r="D1462" t="str">
            <v>ISAAC DOMINGUEZ</v>
          </cell>
        </row>
        <row r="1463">
          <cell r="C1463" t="str">
            <v>DOMINGUEZ Household</v>
          </cell>
          <cell r="D1463" t="str">
            <v>Ramiro Dominguez</v>
          </cell>
        </row>
        <row r="1464">
          <cell r="C1464" t="str">
            <v>Domínguez Household</v>
          </cell>
          <cell r="D1464" t="str">
            <v>Dolores Domínguez</v>
          </cell>
        </row>
        <row r="1465">
          <cell r="C1465" t="str">
            <v>Domínguez Multibank Household</v>
          </cell>
          <cell r="D1465" t="str">
            <v>Dimas Domínguez Multibank</v>
          </cell>
        </row>
        <row r="1466">
          <cell r="C1466" t="str">
            <v>Dominguez Organon Household</v>
          </cell>
          <cell r="D1466" t="str">
            <v>Ramiro Dominguez Organon</v>
          </cell>
        </row>
        <row r="1467">
          <cell r="C1467" t="str">
            <v>Doris Palacios Household</v>
          </cell>
          <cell r="D1467" t="str">
            <v>Comedor Hefziba Doris Palacios</v>
          </cell>
        </row>
        <row r="1468">
          <cell r="C1468" t="str">
            <v>Duarte Household</v>
          </cell>
          <cell r="D1468" t="str">
            <v>Jose Duarte</v>
          </cell>
        </row>
        <row r="1469">
          <cell r="C1469" t="str">
            <v>Duarte Household</v>
          </cell>
          <cell r="D1469" t="str">
            <v>Julio Duarte</v>
          </cell>
        </row>
        <row r="1470">
          <cell r="C1470" t="str">
            <v>Dunn Household</v>
          </cell>
          <cell r="D1470" t="str">
            <v>Edgar Dunn</v>
          </cell>
        </row>
        <row r="1471">
          <cell r="C1471" t="str">
            <v>Duran Household</v>
          </cell>
          <cell r="D1471" t="str">
            <v>Daniela Duran</v>
          </cell>
        </row>
        <row r="1472">
          <cell r="C1472" t="str">
            <v>Duran Household</v>
          </cell>
          <cell r="D1472" t="str">
            <v>Hector Duran</v>
          </cell>
        </row>
        <row r="1473">
          <cell r="C1473" t="str">
            <v>Duran Household</v>
          </cell>
          <cell r="D1473" t="str">
            <v>Marlene Duran</v>
          </cell>
        </row>
        <row r="1474">
          <cell r="C1474" t="str">
            <v>Duran Household</v>
          </cell>
          <cell r="D1474" t="str">
            <v>Oriana Duran</v>
          </cell>
        </row>
        <row r="1475">
          <cell r="C1475" t="str">
            <v>Echeverria Household</v>
          </cell>
          <cell r="D1475" t="str">
            <v>Walter Echeverria</v>
          </cell>
        </row>
        <row r="1476">
          <cell r="C1476" t="str">
            <v>Eisenmann Household</v>
          </cell>
          <cell r="D1476" t="str">
            <v>Maria Eugenia Eisenmann</v>
          </cell>
        </row>
        <row r="1477">
          <cell r="C1477" t="str">
            <v>El Buen Pastor Household</v>
          </cell>
          <cell r="D1477" t="str">
            <v>Centro Educativo El Buen Pastor</v>
          </cell>
        </row>
        <row r="1478">
          <cell r="C1478" t="str">
            <v>el MC Nish C. SANTA MARTA Household</v>
          </cell>
          <cell r="D1478" t="str">
            <v>Amethamiel el MC Nish C. SANTA MARTA</v>
          </cell>
        </row>
        <row r="1479">
          <cell r="C1479" t="str">
            <v>Emanuel Trejos Household</v>
          </cell>
          <cell r="D1479" t="str">
            <v>Price Smart Emanuel Trejos</v>
          </cell>
        </row>
        <row r="1480">
          <cell r="C1480" t="str">
            <v>Endara Household</v>
          </cell>
          <cell r="D1480" t="str">
            <v>Connie Endara</v>
          </cell>
        </row>
        <row r="1481">
          <cell r="C1481" t="str">
            <v>English Household</v>
          </cell>
          <cell r="D1481" t="str">
            <v>Yaramis English</v>
          </cell>
        </row>
        <row r="1482">
          <cell r="C1482" t="str">
            <v>Escalante Household</v>
          </cell>
          <cell r="D1482" t="str">
            <v>Miguel Escalante</v>
          </cell>
        </row>
        <row r="1483">
          <cell r="C1483" t="str">
            <v>Escobar Household</v>
          </cell>
          <cell r="D1483" t="str">
            <v>Domingo Escobar</v>
          </cell>
        </row>
        <row r="1484">
          <cell r="C1484" t="str">
            <v>Escobar-King Household</v>
          </cell>
          <cell r="D1484" t="str">
            <v>Enedelsy Escobar-King</v>
          </cell>
        </row>
        <row r="1485">
          <cell r="C1485" t="str">
            <v>ESPINEL Household</v>
          </cell>
          <cell r="D1485" t="str">
            <v>FREDDY ESPINEL</v>
          </cell>
        </row>
        <row r="1486">
          <cell r="C1486" t="str">
            <v>ESPINOSA DE ARIAS Household</v>
          </cell>
          <cell r="D1486" t="str">
            <v>ADRIANA ESPINOSA DE ARIAS</v>
          </cell>
        </row>
        <row r="1487">
          <cell r="C1487" t="str">
            <v>Espinosa Household</v>
          </cell>
          <cell r="D1487" t="str">
            <v>PADRE FELIX ESPINOSA</v>
          </cell>
        </row>
        <row r="1488">
          <cell r="C1488" t="str">
            <v>Espinosa Household</v>
          </cell>
          <cell r="D1488" t="str">
            <v>Simei Espinosa</v>
          </cell>
        </row>
        <row r="1489">
          <cell r="C1489" t="str">
            <v>Espinosa Household</v>
          </cell>
          <cell r="D1489" t="str">
            <v>Solangel Espinosa</v>
          </cell>
        </row>
        <row r="1490">
          <cell r="C1490" t="str">
            <v>Espinoza Household</v>
          </cell>
          <cell r="D1490" t="str">
            <v>Aristides Espinoza</v>
          </cell>
        </row>
        <row r="1491">
          <cell r="C1491" t="str">
            <v>Espinoza Household</v>
          </cell>
          <cell r="D1491" t="str">
            <v>Carolina Espinoza</v>
          </cell>
        </row>
        <row r="1492">
          <cell r="C1492" t="str">
            <v>Espinoza Household</v>
          </cell>
          <cell r="D1492" t="str">
            <v>Vivian Espinoza</v>
          </cell>
        </row>
        <row r="1493">
          <cell r="C1493" t="str">
            <v>Espitia Household</v>
          </cell>
          <cell r="D1493" t="str">
            <v>Felix Espitia</v>
          </cell>
        </row>
        <row r="1494">
          <cell r="C1494" t="str">
            <v>Esquivel Household</v>
          </cell>
          <cell r="D1494" t="str">
            <v>Fady Esquivel</v>
          </cell>
        </row>
        <row r="1495">
          <cell r="C1495" t="str">
            <v>Estrada de Pineda Household</v>
          </cell>
          <cell r="D1495" t="str">
            <v>Alejandrina Estrada de Pineda</v>
          </cell>
        </row>
        <row r="1496">
          <cell r="C1496" t="str">
            <v>Estripeaut Household</v>
          </cell>
          <cell r="D1496" t="str">
            <v>Erasmo Alberto Estripeaut</v>
          </cell>
        </row>
        <row r="1497">
          <cell r="C1497" t="str">
            <v>Fabrega Household</v>
          </cell>
          <cell r="D1497" t="str">
            <v>Ricardo Fabrega</v>
          </cell>
        </row>
        <row r="1498">
          <cell r="C1498" t="str">
            <v>FAJARDO Household</v>
          </cell>
          <cell r="D1498" t="str">
            <v>ENRIQUE FAJARDO</v>
          </cell>
        </row>
        <row r="1499">
          <cell r="C1499" t="str">
            <v>FAJARDO Household</v>
          </cell>
          <cell r="D1499" t="str">
            <v>Manuel Fajardo</v>
          </cell>
        </row>
        <row r="1500">
          <cell r="C1500" t="str">
            <v>Falcon Household</v>
          </cell>
          <cell r="D1500" t="str">
            <v>Maria Falcon</v>
          </cell>
        </row>
        <row r="1501">
          <cell r="C1501" t="str">
            <v>Famigliett Household</v>
          </cell>
          <cell r="D1501" t="str">
            <v>Jorge Famigliett</v>
          </cell>
        </row>
        <row r="1502">
          <cell r="C1502" t="str">
            <v>Fandi Household</v>
          </cell>
          <cell r="D1502" t="str">
            <v>Asrar Fandi</v>
          </cell>
        </row>
        <row r="1503">
          <cell r="C1503" t="str">
            <v>Faría Household</v>
          </cell>
          <cell r="D1503" t="str">
            <v>Monica Faría</v>
          </cell>
        </row>
        <row r="1504">
          <cell r="C1504" t="str">
            <v>Felipa Household</v>
          </cell>
          <cell r="D1504" t="str">
            <v>Felipa</v>
          </cell>
        </row>
        <row r="1505">
          <cell r="C1505" t="str">
            <v>Fernandes Household</v>
          </cell>
          <cell r="D1505" t="str">
            <v>Joana Fernandes</v>
          </cell>
        </row>
        <row r="1506">
          <cell r="C1506" t="str">
            <v>FERNANDEZ Household</v>
          </cell>
          <cell r="D1506" t="str">
            <v>ANDREA FERNANDEZ</v>
          </cell>
        </row>
        <row r="1507">
          <cell r="C1507" t="str">
            <v>FERNANDEZ Household</v>
          </cell>
          <cell r="D1507" t="str">
            <v>Ariadna Fernandez</v>
          </cell>
        </row>
        <row r="1508">
          <cell r="C1508" t="str">
            <v>Fernández Household</v>
          </cell>
          <cell r="D1508" t="str">
            <v>Eric Fernández</v>
          </cell>
          <cell r="F1508" t="str">
            <v>66974878</v>
          </cell>
        </row>
        <row r="1509">
          <cell r="C1509" t="str">
            <v>Fernández Household</v>
          </cell>
          <cell r="D1509" t="str">
            <v>Karina Fernández</v>
          </cell>
        </row>
        <row r="1510">
          <cell r="C1510" t="str">
            <v>Fernández Household</v>
          </cell>
          <cell r="D1510" t="str">
            <v>Melissa Fernández</v>
          </cell>
          <cell r="F1510" t="str">
            <v>6671-5091</v>
          </cell>
        </row>
        <row r="1511">
          <cell r="C1511" t="str">
            <v>Ferrer Household</v>
          </cell>
          <cell r="D1511" t="str">
            <v>Andrea Ferrer</v>
          </cell>
        </row>
        <row r="1512">
          <cell r="C1512" t="str">
            <v>Fierva Household</v>
          </cell>
          <cell r="D1512" t="str">
            <v>Marcelo Fierva</v>
          </cell>
        </row>
        <row r="1513">
          <cell r="C1513" t="str">
            <v>Figueroa Household</v>
          </cell>
          <cell r="D1513" t="str">
            <v>Julianys Figueroa</v>
          </cell>
        </row>
        <row r="1514">
          <cell r="C1514" t="str">
            <v>Figueroa Household</v>
          </cell>
          <cell r="D1514" t="str">
            <v>Julianys Jahzeel Figueroa</v>
          </cell>
        </row>
        <row r="1515">
          <cell r="C1515" t="str">
            <v>Flores Household</v>
          </cell>
          <cell r="D1515" t="str">
            <v>Alexis Jose Flores</v>
          </cell>
        </row>
        <row r="1516">
          <cell r="C1516" t="str">
            <v>Flores Household</v>
          </cell>
          <cell r="D1516" t="str">
            <v>María Fernanda Flores</v>
          </cell>
        </row>
        <row r="1517">
          <cell r="C1517" t="str">
            <v>Flores Household</v>
          </cell>
          <cell r="D1517" t="str">
            <v>Marisabel Flores</v>
          </cell>
        </row>
        <row r="1518">
          <cell r="C1518" t="str">
            <v>Flores Household</v>
          </cell>
          <cell r="D1518" t="str">
            <v>Nebraska Flores</v>
          </cell>
        </row>
        <row r="1519">
          <cell r="C1519" t="str">
            <v>Flores Household</v>
          </cell>
          <cell r="D1519" t="str">
            <v>Okaira Flores</v>
          </cell>
          <cell r="F1519" t="str">
            <v>300-5773</v>
          </cell>
        </row>
        <row r="1520">
          <cell r="C1520" t="str">
            <v>Flores Household</v>
          </cell>
          <cell r="D1520" t="str">
            <v>Sheyla Flores</v>
          </cell>
        </row>
        <row r="1521">
          <cell r="C1521" t="str">
            <v>FLOREZ Household</v>
          </cell>
          <cell r="D1521" t="str">
            <v>CAMYLA FLOREZ</v>
          </cell>
        </row>
        <row r="1522">
          <cell r="C1522" t="str">
            <v>Flórez Household</v>
          </cell>
          <cell r="D1522" t="str">
            <v>María Fernanda Flórez</v>
          </cell>
        </row>
        <row r="1523">
          <cell r="C1523" t="str">
            <v>Fong Household</v>
          </cell>
          <cell r="D1523" t="str">
            <v>Karen Fong</v>
          </cell>
        </row>
        <row r="1524">
          <cell r="C1524" t="str">
            <v>Fong Oxford Household</v>
          </cell>
          <cell r="D1524" t="str">
            <v>Daniel Fong Oxford</v>
          </cell>
        </row>
        <row r="1525">
          <cell r="C1525" t="str">
            <v>Fonseca Household</v>
          </cell>
          <cell r="D1525" t="str">
            <v>Azael Fonseca</v>
          </cell>
        </row>
        <row r="1526">
          <cell r="C1526" t="str">
            <v>Frago Household</v>
          </cell>
          <cell r="D1526" t="str">
            <v>Denise Michelle Frago</v>
          </cell>
        </row>
        <row r="1527">
          <cell r="C1527" t="str">
            <v>Franco Household</v>
          </cell>
          <cell r="D1527" t="str">
            <v>Adaris Franco</v>
          </cell>
        </row>
        <row r="1528">
          <cell r="C1528" t="str">
            <v>Franco Household</v>
          </cell>
          <cell r="D1528" t="str">
            <v>Genesis Franco</v>
          </cell>
        </row>
        <row r="1529">
          <cell r="C1529" t="str">
            <v>Freire Household</v>
          </cell>
          <cell r="D1529" t="str">
            <v>Carolina Freire</v>
          </cell>
          <cell r="F1529" t="str">
            <v>306-3124</v>
          </cell>
        </row>
        <row r="1530">
          <cell r="C1530" t="str">
            <v>Frias Household</v>
          </cell>
          <cell r="D1530" t="str">
            <v>Jose Frias</v>
          </cell>
        </row>
        <row r="1531">
          <cell r="C1531" t="str">
            <v>Frias Household</v>
          </cell>
          <cell r="D1531" t="str">
            <v>José Frias</v>
          </cell>
        </row>
        <row r="1532">
          <cell r="C1532" t="str">
            <v>Fu Household</v>
          </cell>
          <cell r="D1532" t="str">
            <v>Kimberly Fu</v>
          </cell>
        </row>
        <row r="1533">
          <cell r="C1533" t="str">
            <v>FUENTES Household</v>
          </cell>
          <cell r="D1533" t="str">
            <v>Clovis Fuentes</v>
          </cell>
        </row>
        <row r="1534">
          <cell r="C1534" t="str">
            <v>FUENTES Household</v>
          </cell>
          <cell r="D1534" t="str">
            <v>ERICK FUENTES</v>
          </cell>
        </row>
        <row r="1535">
          <cell r="C1535" t="str">
            <v>FUENTES Household</v>
          </cell>
          <cell r="D1535" t="str">
            <v>Jeannery Fuentes</v>
          </cell>
        </row>
        <row r="1536">
          <cell r="C1536" t="str">
            <v>Fujitsubo Household</v>
          </cell>
          <cell r="D1536" t="str">
            <v>Hikari Fujitsubo</v>
          </cell>
        </row>
        <row r="1537">
          <cell r="C1537" t="str">
            <v>FUMIPEST INC Household</v>
          </cell>
          <cell r="D1537" t="str">
            <v>FUMIPEST INC</v>
          </cell>
        </row>
        <row r="1538">
          <cell r="C1538" t="str">
            <v>Gabriela González P.A.S Household</v>
          </cell>
          <cell r="D1538" t="str">
            <v>Ana Gabriela González P.A.S</v>
          </cell>
        </row>
        <row r="1539">
          <cell r="C1539" t="str">
            <v>Gabriela Household</v>
          </cell>
          <cell r="D1539" t="str">
            <v>Eimy Gabriela</v>
          </cell>
        </row>
        <row r="1540">
          <cell r="C1540" t="str">
            <v>Gaitan Household</v>
          </cell>
          <cell r="D1540" t="str">
            <v>Maribel Gaitan</v>
          </cell>
        </row>
        <row r="1541">
          <cell r="C1541" t="str">
            <v>Gaitán Household</v>
          </cell>
          <cell r="D1541" t="str">
            <v>Ashly Baules Gaitán</v>
          </cell>
        </row>
        <row r="1542">
          <cell r="C1542" t="str">
            <v>Gala Household</v>
          </cell>
          <cell r="D1542" t="str">
            <v>Galindo Arias y Lee Gala</v>
          </cell>
        </row>
        <row r="1543">
          <cell r="C1543" t="str">
            <v>Gallardo Household</v>
          </cell>
          <cell r="D1543" t="str">
            <v>Jeannette Gallardo</v>
          </cell>
        </row>
        <row r="1544">
          <cell r="C1544" t="str">
            <v>Gallardo Household</v>
          </cell>
          <cell r="D1544" t="str">
            <v>Khendall Gallardo</v>
          </cell>
        </row>
        <row r="1545">
          <cell r="C1545" t="str">
            <v>Gálvez Household</v>
          </cell>
          <cell r="D1545" t="str">
            <v>Juan Francisco Gálvez</v>
          </cell>
        </row>
        <row r="1546">
          <cell r="C1546" t="str">
            <v>Gàlvez Household</v>
          </cell>
          <cell r="D1546" t="str">
            <v>Daylin Gàlvez</v>
          </cell>
        </row>
        <row r="1547">
          <cell r="C1547" t="str">
            <v>GANTES Household</v>
          </cell>
          <cell r="D1547" t="str">
            <v>DAVID GANTES</v>
          </cell>
        </row>
        <row r="1548">
          <cell r="C1548" t="str">
            <v>GARCÉZ Household</v>
          </cell>
          <cell r="D1548" t="str">
            <v>JOHAN DAVID GARCÉZ</v>
          </cell>
        </row>
        <row r="1549">
          <cell r="C1549" t="str">
            <v>GARCÉZ Household</v>
          </cell>
          <cell r="D1549" t="str">
            <v>Johan GARCÉZ</v>
          </cell>
        </row>
        <row r="1550">
          <cell r="C1550" t="str">
            <v>GARCIA Household</v>
          </cell>
          <cell r="D1550" t="str">
            <v>Heimy Garcia</v>
          </cell>
        </row>
        <row r="1551">
          <cell r="C1551" t="str">
            <v>GARCIA Household</v>
          </cell>
          <cell r="D1551" t="str">
            <v>JUDITH GARCIA</v>
          </cell>
        </row>
        <row r="1552">
          <cell r="C1552" t="str">
            <v>GARCIA Household</v>
          </cell>
          <cell r="D1552" t="str">
            <v>KEYMARA GARCIA</v>
          </cell>
        </row>
        <row r="1553">
          <cell r="C1553" t="str">
            <v>GARCIA Household</v>
          </cell>
          <cell r="D1553" t="str">
            <v>Luz Garcia</v>
          </cell>
        </row>
        <row r="1554">
          <cell r="C1554" t="str">
            <v>GARCIA Household</v>
          </cell>
          <cell r="D1554" t="str">
            <v>MADELAINE GARCIA</v>
          </cell>
        </row>
        <row r="1555">
          <cell r="C1555" t="str">
            <v>GARCIA Household</v>
          </cell>
          <cell r="D1555" t="str">
            <v>Nayara Garcia</v>
          </cell>
        </row>
        <row r="1556">
          <cell r="C1556" t="str">
            <v>GARCIA Household</v>
          </cell>
          <cell r="D1556" t="str">
            <v>Paola Garcia</v>
          </cell>
        </row>
        <row r="1557">
          <cell r="C1557" t="str">
            <v>GARCIA Household</v>
          </cell>
          <cell r="D1557" t="str">
            <v>Yair Garcia</v>
          </cell>
        </row>
        <row r="1558">
          <cell r="C1558" t="str">
            <v>García Household</v>
          </cell>
          <cell r="D1558" t="str">
            <v>Juan García</v>
          </cell>
        </row>
        <row r="1559">
          <cell r="C1559" t="str">
            <v>García Household</v>
          </cell>
          <cell r="D1559" t="str">
            <v>Kimberly García</v>
          </cell>
        </row>
        <row r="1560">
          <cell r="C1560" t="str">
            <v>GARCIA OLMEDO Household</v>
          </cell>
          <cell r="D1560" t="str">
            <v>MARIA ANTONIA GARCIA OLMEDO</v>
          </cell>
        </row>
        <row r="1561">
          <cell r="C1561" t="str">
            <v>Garibaldo Household</v>
          </cell>
          <cell r="D1561" t="str">
            <v>Alexandra Garibaldo</v>
          </cell>
        </row>
        <row r="1562">
          <cell r="C1562" t="str">
            <v>Garrido Household</v>
          </cell>
          <cell r="D1562" t="str">
            <v>Delia Garrido</v>
          </cell>
        </row>
        <row r="1563">
          <cell r="C1563" t="str">
            <v>GEAN Household</v>
          </cell>
          <cell r="D1563" t="str">
            <v>Sara GEAN</v>
          </cell>
        </row>
        <row r="1564">
          <cell r="C1564" t="str">
            <v>Generado por: Gerencia Operaciones 10/12/2023, 10:11 a. m.</v>
          </cell>
        </row>
        <row r="1565">
          <cell r="C1565" t="str">
            <v>Geneteau Household</v>
          </cell>
          <cell r="D1565" t="str">
            <v>Daniel Geneteau</v>
          </cell>
        </row>
        <row r="1566">
          <cell r="C1566" t="str">
            <v>GIANGRANDE DE ALMEIDA Household</v>
          </cell>
          <cell r="D1566" t="str">
            <v>PAULA GIANGRANDE DE ALMEIDA</v>
          </cell>
        </row>
        <row r="1567">
          <cell r="C1567" t="str">
            <v>Gil Household</v>
          </cell>
          <cell r="D1567" t="str">
            <v>Aldrid Gil</v>
          </cell>
        </row>
        <row r="1568">
          <cell r="C1568" t="str">
            <v>Gil Household</v>
          </cell>
          <cell r="D1568" t="str">
            <v>Mayliz Gil</v>
          </cell>
        </row>
        <row r="1569">
          <cell r="C1569" t="str">
            <v>Gil Household</v>
          </cell>
          <cell r="D1569" t="str">
            <v>Silvia Gil</v>
          </cell>
        </row>
        <row r="1570">
          <cell r="C1570" t="str">
            <v>Gil Household</v>
          </cell>
          <cell r="D1570" t="str">
            <v>Vielka Gil</v>
          </cell>
          <cell r="F1570" t="str">
            <v>6325-1570</v>
          </cell>
        </row>
        <row r="1571">
          <cell r="C1571" t="str">
            <v>Gill Household</v>
          </cell>
          <cell r="D1571" t="str">
            <v>Luz Gill</v>
          </cell>
        </row>
        <row r="1572">
          <cell r="C1572" t="str">
            <v>Gladie Williams Household</v>
          </cell>
          <cell r="D1572" t="str">
            <v>ALCOGAL Gladie Williams</v>
          </cell>
        </row>
        <row r="1573">
          <cell r="C1573" t="str">
            <v>Glen Household</v>
          </cell>
          <cell r="D1573" t="str">
            <v>Rene Glen</v>
          </cell>
        </row>
        <row r="1574">
          <cell r="C1574" t="str">
            <v>Gomez Banco General Household</v>
          </cell>
          <cell r="D1574" t="str">
            <v>Larissa Gomez Banco General</v>
          </cell>
        </row>
        <row r="1575">
          <cell r="C1575" t="str">
            <v>GOMEZ Household</v>
          </cell>
          <cell r="D1575" t="str">
            <v>Ana Maria Gomez</v>
          </cell>
          <cell r="F1575" t="str">
            <v>6679-6844</v>
          </cell>
        </row>
        <row r="1576">
          <cell r="C1576" t="str">
            <v>GOMEZ Household</v>
          </cell>
          <cell r="D1576" t="str">
            <v>Ana Maria Gomez</v>
          </cell>
        </row>
        <row r="1577">
          <cell r="C1577" t="str">
            <v>GOMEZ Household</v>
          </cell>
          <cell r="D1577" t="str">
            <v>Angel Gomez Gomez</v>
          </cell>
        </row>
        <row r="1578">
          <cell r="C1578" t="str">
            <v>GOMEZ Household</v>
          </cell>
          <cell r="D1578" t="str">
            <v>CARLOS GOMEZ</v>
          </cell>
        </row>
        <row r="1579">
          <cell r="C1579" t="str">
            <v>GOMEZ Household</v>
          </cell>
          <cell r="D1579" t="str">
            <v>Gabriel Gomez</v>
          </cell>
        </row>
        <row r="1580">
          <cell r="C1580" t="str">
            <v>GOMEZ Household</v>
          </cell>
          <cell r="D1580" t="str">
            <v>Iguawiktikiña Gomez</v>
          </cell>
        </row>
        <row r="1581">
          <cell r="C1581" t="str">
            <v>GOMEZ Household</v>
          </cell>
          <cell r="D1581" t="str">
            <v>Ivonne Gomez</v>
          </cell>
        </row>
        <row r="1582">
          <cell r="C1582" t="str">
            <v>GOMEZ Household</v>
          </cell>
          <cell r="D1582" t="str">
            <v>JOSE GOMEZ</v>
          </cell>
        </row>
        <row r="1583">
          <cell r="C1583" t="str">
            <v>GOMEZ Household</v>
          </cell>
          <cell r="D1583" t="str">
            <v>Yahelis Gomez</v>
          </cell>
        </row>
        <row r="1584">
          <cell r="C1584" t="str">
            <v>Gómez Household</v>
          </cell>
          <cell r="D1584" t="str">
            <v>Ana María Gómez</v>
          </cell>
          <cell r="F1584" t="str">
            <v>66796844</v>
          </cell>
        </row>
        <row r="1585">
          <cell r="C1585" t="str">
            <v>Gómez Household</v>
          </cell>
          <cell r="D1585" t="str">
            <v>Ana María Gómez</v>
          </cell>
        </row>
        <row r="1586">
          <cell r="C1586" t="str">
            <v>Gómez Household</v>
          </cell>
          <cell r="D1586" t="str">
            <v>Ana Michelle Gómez</v>
          </cell>
        </row>
        <row r="1587">
          <cell r="C1587" t="str">
            <v>Gongora C. San Judas Tadeo Household</v>
          </cell>
          <cell r="D1587" t="str">
            <v>Sherlyn Gongora C. San Judas Tadeo</v>
          </cell>
        </row>
        <row r="1588">
          <cell r="C1588" t="str">
            <v>Gonzales Household</v>
          </cell>
          <cell r="D1588" t="str">
            <v>Jimmy Gonzales</v>
          </cell>
        </row>
        <row r="1589">
          <cell r="C1589" t="str">
            <v>GONZALEZ B. Household</v>
          </cell>
          <cell r="D1589" t="str">
            <v>MILCIADES GONZALEZ B.</v>
          </cell>
        </row>
        <row r="1590">
          <cell r="C1590" t="str">
            <v>Gonzalez C. Saint Mary Household</v>
          </cell>
          <cell r="D1590" t="str">
            <v>Natalie Gonzalez C. Saint Mary</v>
          </cell>
        </row>
        <row r="1591">
          <cell r="C1591" t="str">
            <v>González C. Sant Mary Household</v>
          </cell>
          <cell r="D1591" t="str">
            <v>Natalie González C. Sant Mary</v>
          </cell>
        </row>
        <row r="1592">
          <cell r="C1592" t="str">
            <v>Gonzalez Household</v>
          </cell>
          <cell r="D1592" t="str">
            <v>ARACELLY GONZALEZ</v>
          </cell>
        </row>
        <row r="1593">
          <cell r="C1593" t="str">
            <v>Gonzalez Household</v>
          </cell>
          <cell r="D1593" t="str">
            <v>Armando Gonzalez</v>
          </cell>
        </row>
        <row r="1594">
          <cell r="C1594" t="str">
            <v>Gonzalez Household</v>
          </cell>
          <cell r="D1594" t="str">
            <v>Arsenio Gonzalez</v>
          </cell>
        </row>
        <row r="1595">
          <cell r="C1595" t="str">
            <v>Gonzalez Household</v>
          </cell>
          <cell r="D1595" t="str">
            <v>BETZY Gonzalez</v>
          </cell>
        </row>
        <row r="1596">
          <cell r="C1596" t="str">
            <v>Gonzalez Household</v>
          </cell>
          <cell r="D1596" t="str">
            <v>Diego Gonzalez</v>
          </cell>
        </row>
        <row r="1597">
          <cell r="C1597" t="str">
            <v>Gonzalez Household</v>
          </cell>
          <cell r="D1597" t="str">
            <v>Edilberto Gonzalez</v>
          </cell>
        </row>
        <row r="1598">
          <cell r="C1598" t="str">
            <v>Gonzalez Household</v>
          </cell>
          <cell r="D1598" t="str">
            <v>Eira GONZALEZ</v>
          </cell>
        </row>
        <row r="1599">
          <cell r="C1599" t="str">
            <v>Gonzalez Household</v>
          </cell>
          <cell r="D1599" t="str">
            <v>Gloriela Gonzalez</v>
          </cell>
        </row>
        <row r="1600">
          <cell r="C1600" t="str">
            <v>Gonzalez Household</v>
          </cell>
          <cell r="D1600" t="str">
            <v>Itzel Gonzalez</v>
          </cell>
        </row>
        <row r="1601">
          <cell r="C1601" t="str">
            <v>Gonzalez Household</v>
          </cell>
          <cell r="D1601" t="str">
            <v>Kimberly Gonzalez</v>
          </cell>
        </row>
        <row r="1602">
          <cell r="C1602" t="str">
            <v>Gonzalez Household</v>
          </cell>
          <cell r="D1602" t="str">
            <v>MTS Nixelis Gonzalez Gonzalez</v>
          </cell>
        </row>
        <row r="1603">
          <cell r="C1603" t="str">
            <v>Gonzalez Household</v>
          </cell>
          <cell r="D1603" t="str">
            <v>OMAR GONZALEZ</v>
          </cell>
        </row>
        <row r="1604">
          <cell r="C1604" t="str">
            <v>Gonzalez Household</v>
          </cell>
          <cell r="D1604" t="str">
            <v>Ovidio Gonzalez</v>
          </cell>
        </row>
        <row r="1605">
          <cell r="C1605" t="str">
            <v>Gonzalez Household</v>
          </cell>
          <cell r="D1605" t="str">
            <v>Ruth Gonzalez</v>
          </cell>
        </row>
        <row r="1606">
          <cell r="C1606" t="str">
            <v>Gonzalez Household</v>
          </cell>
          <cell r="D1606" t="str">
            <v>YENNY DEL C GONZALEZ</v>
          </cell>
        </row>
        <row r="1607">
          <cell r="C1607" t="str">
            <v>Gonzalez Household</v>
          </cell>
          <cell r="D1607" t="str">
            <v>Yenny Del Carmen Gonzalez</v>
          </cell>
        </row>
        <row r="1608">
          <cell r="C1608" t="str">
            <v>Gonzalez Household</v>
          </cell>
          <cell r="D1608" t="str">
            <v>Zuleyka Gonzalez</v>
          </cell>
        </row>
        <row r="1609">
          <cell r="C1609" t="str">
            <v>González Household</v>
          </cell>
          <cell r="D1609" t="str">
            <v>Ana González</v>
          </cell>
        </row>
        <row r="1610">
          <cell r="C1610" t="str">
            <v>González Household</v>
          </cell>
          <cell r="D1610" t="str">
            <v>Andrea González</v>
          </cell>
        </row>
        <row r="1611">
          <cell r="C1611" t="str">
            <v>González Household</v>
          </cell>
          <cell r="D1611" t="str">
            <v>Andrés González</v>
          </cell>
        </row>
        <row r="1612">
          <cell r="C1612" t="str">
            <v>González Household</v>
          </cell>
          <cell r="D1612" t="str">
            <v>Angie Aneth González</v>
          </cell>
        </row>
        <row r="1613">
          <cell r="C1613" t="str">
            <v>González Household</v>
          </cell>
          <cell r="D1613" t="str">
            <v>Antonio González</v>
          </cell>
        </row>
        <row r="1614">
          <cell r="C1614" t="str">
            <v>González Household</v>
          </cell>
          <cell r="D1614" t="str">
            <v>Arturo González</v>
          </cell>
        </row>
        <row r="1615">
          <cell r="C1615" t="str">
            <v>González Household</v>
          </cell>
          <cell r="D1615" t="str">
            <v>Berenice González</v>
          </cell>
        </row>
        <row r="1616">
          <cell r="C1616" t="str">
            <v>González Household</v>
          </cell>
          <cell r="D1616" t="str">
            <v>Elizabeth González</v>
          </cell>
        </row>
        <row r="1617">
          <cell r="C1617" t="str">
            <v>González Household</v>
          </cell>
          <cell r="D1617" t="str">
            <v>Escarles González</v>
          </cell>
        </row>
        <row r="1618">
          <cell r="C1618" t="str">
            <v>González Household</v>
          </cell>
          <cell r="D1618" t="str">
            <v>Francisco González</v>
          </cell>
        </row>
        <row r="1619">
          <cell r="C1619" t="str">
            <v>González Household</v>
          </cell>
          <cell r="D1619" t="str">
            <v>Geisa González</v>
          </cell>
        </row>
        <row r="1620">
          <cell r="C1620" t="str">
            <v>González Household</v>
          </cell>
          <cell r="D1620" t="str">
            <v>Ismael González</v>
          </cell>
        </row>
        <row r="1621">
          <cell r="C1621" t="str">
            <v>González Household</v>
          </cell>
          <cell r="D1621" t="str">
            <v>Jose González</v>
          </cell>
        </row>
        <row r="1622">
          <cell r="C1622" t="str">
            <v>González Household</v>
          </cell>
          <cell r="D1622" t="str">
            <v>Kathia González</v>
          </cell>
        </row>
        <row r="1623">
          <cell r="C1623" t="str">
            <v>González Household</v>
          </cell>
          <cell r="D1623" t="str">
            <v>María González</v>
          </cell>
        </row>
        <row r="1624">
          <cell r="C1624" t="str">
            <v>González Household</v>
          </cell>
          <cell r="D1624" t="str">
            <v>Mayrin González</v>
          </cell>
        </row>
        <row r="1625">
          <cell r="C1625" t="str">
            <v>González Household</v>
          </cell>
          <cell r="D1625" t="str">
            <v>Narciso González</v>
          </cell>
          <cell r="F1625" t="str">
            <v>6550-9868</v>
          </cell>
        </row>
        <row r="1626">
          <cell r="C1626" t="str">
            <v>González Household</v>
          </cell>
          <cell r="D1626" t="str">
            <v>Narciso González</v>
          </cell>
          <cell r="F1626" t="str">
            <v>6895-9135</v>
          </cell>
        </row>
        <row r="1627">
          <cell r="C1627" t="str">
            <v>González Household</v>
          </cell>
          <cell r="D1627" t="str">
            <v>Oscar González</v>
          </cell>
        </row>
        <row r="1628">
          <cell r="C1628" t="str">
            <v>González Household</v>
          </cell>
          <cell r="D1628" t="str">
            <v>Sara González</v>
          </cell>
        </row>
        <row r="1629">
          <cell r="C1629" t="str">
            <v>González Household</v>
          </cell>
          <cell r="D1629" t="str">
            <v>Wagner González</v>
          </cell>
        </row>
        <row r="1630">
          <cell r="C1630" t="str">
            <v>González Household</v>
          </cell>
          <cell r="D1630" t="str">
            <v>Yarineth González</v>
          </cell>
          <cell r="F1630" t="str">
            <v>6675-5809</v>
          </cell>
        </row>
        <row r="1631">
          <cell r="C1631" t="str">
            <v>González Household</v>
          </cell>
          <cell r="D1631" t="str">
            <v>Yenifer González</v>
          </cell>
        </row>
        <row r="1632">
          <cell r="C1632" t="str">
            <v>González Household</v>
          </cell>
          <cell r="D1632" t="str">
            <v>Yira González</v>
          </cell>
        </row>
        <row r="1633">
          <cell r="C1633" t="str">
            <v>González Household</v>
          </cell>
          <cell r="D1633" t="str">
            <v>Yuritza González</v>
          </cell>
        </row>
        <row r="1634">
          <cell r="C1634" t="str">
            <v>González Household</v>
          </cell>
          <cell r="D1634" t="str">
            <v>Zisley González</v>
          </cell>
        </row>
        <row r="1635">
          <cell r="C1635" t="str">
            <v>González Revilla Household</v>
          </cell>
          <cell r="D1635" t="str">
            <v>Alexandra González Revilla</v>
          </cell>
        </row>
        <row r="1636">
          <cell r="C1636" t="str">
            <v>gooding Household</v>
          </cell>
          <cell r="D1636" t="str">
            <v>Génesis gooding</v>
          </cell>
        </row>
        <row r="1637">
          <cell r="C1637" t="str">
            <v>Gorgora C. SAN JUDAS TADEO Household</v>
          </cell>
          <cell r="D1637" t="str">
            <v>Sherlyn Gorgora C. SAN JUDAS TADEO</v>
          </cell>
        </row>
        <row r="1638">
          <cell r="C1638" t="str">
            <v>Gracia Household</v>
          </cell>
          <cell r="D1638" t="str">
            <v>Katherine Gracia</v>
          </cell>
        </row>
        <row r="1639">
          <cell r="C1639" t="str">
            <v>Grajales Household</v>
          </cell>
          <cell r="D1639" t="str">
            <v>Marvelis Grajales</v>
          </cell>
        </row>
        <row r="1640">
          <cell r="C1640" t="str">
            <v>Granillo Household</v>
          </cell>
          <cell r="D1640" t="str">
            <v>Milagro Granillo</v>
          </cell>
        </row>
        <row r="1641">
          <cell r="C1641" t="str">
            <v>Graterol Household</v>
          </cell>
          <cell r="D1641" t="str">
            <v>Laura Graterol</v>
          </cell>
        </row>
        <row r="1642">
          <cell r="C1642" t="str">
            <v>Grenald Household</v>
          </cell>
          <cell r="D1642" t="str">
            <v>Rayan Grenald</v>
          </cell>
        </row>
        <row r="1643">
          <cell r="C1643" t="str">
            <v>Grey Household</v>
          </cell>
          <cell r="D1643" t="str">
            <v>Karla Grey</v>
          </cell>
        </row>
        <row r="1644">
          <cell r="C1644" t="str">
            <v>Guardado Household</v>
          </cell>
          <cell r="D1644" t="str">
            <v>Maria Renee Guardado</v>
          </cell>
        </row>
        <row r="1645">
          <cell r="C1645" t="str">
            <v>Guardia Household</v>
          </cell>
          <cell r="D1645" t="str">
            <v>Pablo Guardia</v>
          </cell>
        </row>
        <row r="1646">
          <cell r="C1646" t="str">
            <v>Guerra Household</v>
          </cell>
          <cell r="D1646" t="str">
            <v>Michelle Guerra</v>
          </cell>
        </row>
        <row r="1647">
          <cell r="C1647" t="str">
            <v>Guerra Household</v>
          </cell>
          <cell r="D1647" t="str">
            <v>Richard Guerra</v>
          </cell>
        </row>
        <row r="1648">
          <cell r="C1648" t="str">
            <v>Guerrero Household</v>
          </cell>
          <cell r="D1648" t="str">
            <v>Carolina Guerrero</v>
          </cell>
        </row>
        <row r="1649">
          <cell r="C1649" t="str">
            <v>Guerrero Household</v>
          </cell>
          <cell r="D1649" t="str">
            <v>Johana Guerrero</v>
          </cell>
        </row>
        <row r="1650">
          <cell r="C1650" t="str">
            <v>Guerrero Household</v>
          </cell>
          <cell r="D1650" t="str">
            <v>Yessibel Guerrero</v>
          </cell>
        </row>
        <row r="1651">
          <cell r="C1651" t="str">
            <v>Guerrero Rios Household</v>
          </cell>
          <cell r="D1651" t="str">
            <v>Iris Guerrero Rios</v>
          </cell>
        </row>
        <row r="1652">
          <cell r="C1652" t="str">
            <v>Guizado Household</v>
          </cell>
          <cell r="D1652" t="str">
            <v>Claudio Guizado</v>
          </cell>
        </row>
        <row r="1653">
          <cell r="C1653" t="str">
            <v>GUTIERREZ Household</v>
          </cell>
          <cell r="D1653" t="str">
            <v>Alberto Gutierrez</v>
          </cell>
        </row>
        <row r="1654">
          <cell r="C1654" t="str">
            <v>GUTIERREZ Household</v>
          </cell>
          <cell r="D1654" t="str">
            <v>RINA GUTIERREZ</v>
          </cell>
        </row>
        <row r="1655">
          <cell r="C1655" t="str">
            <v>GUTIERREZ Household</v>
          </cell>
          <cell r="D1655" t="str">
            <v>Yuliana Gutierrez</v>
          </cell>
        </row>
        <row r="1656">
          <cell r="C1656" t="str">
            <v>Gutiérrez Household</v>
          </cell>
          <cell r="D1656" t="str">
            <v>Ninfa Gutiérrez</v>
          </cell>
        </row>
        <row r="1657">
          <cell r="C1657" t="str">
            <v>GUZMAN Household</v>
          </cell>
          <cell r="D1657" t="str">
            <v>ALEX GUZMAN</v>
          </cell>
        </row>
        <row r="1658">
          <cell r="C1658" t="str">
            <v>GUZMAN Household</v>
          </cell>
          <cell r="D1658" t="str">
            <v>Juan Jose Guzman</v>
          </cell>
        </row>
        <row r="1659">
          <cell r="C1659" t="str">
            <v>GUZMAN Household</v>
          </cell>
          <cell r="D1659" t="str">
            <v>Lissa Guzman</v>
          </cell>
        </row>
        <row r="1660">
          <cell r="C1660" t="str">
            <v>Guzmán Household</v>
          </cell>
          <cell r="D1660" t="str">
            <v>Jeny Guzmán</v>
          </cell>
        </row>
        <row r="1661">
          <cell r="C1661" t="str">
            <v>Guzmán Household</v>
          </cell>
          <cell r="D1661" t="str">
            <v>Monica Guzmán</v>
          </cell>
        </row>
        <row r="1662">
          <cell r="C1662" t="str">
            <v>H DE TROESTCH Household</v>
          </cell>
          <cell r="D1662" t="str">
            <v>HILDA H DE TROESTCH</v>
          </cell>
        </row>
        <row r="1663">
          <cell r="C1663" t="str">
            <v>Hanly Household</v>
          </cell>
          <cell r="D1663" t="str">
            <v>Mark Hanly</v>
          </cell>
        </row>
        <row r="1664">
          <cell r="C1664" t="str">
            <v>Hassam Household</v>
          </cell>
          <cell r="D1664" t="str">
            <v>Samer Abi Hassam</v>
          </cell>
        </row>
        <row r="1665">
          <cell r="C1665" t="str">
            <v>HEILBRON CALOGNE Household</v>
          </cell>
          <cell r="D1665" t="str">
            <v>FAMILIA HEILBRON CALOGNE</v>
          </cell>
        </row>
        <row r="1666">
          <cell r="C1666" t="str">
            <v>HENRIQUEZ Household</v>
          </cell>
          <cell r="D1666" t="str">
            <v>GLADYS HENRIQUEZ</v>
          </cell>
        </row>
        <row r="1667">
          <cell r="C1667" t="str">
            <v>HERAS CASTRO Household</v>
          </cell>
          <cell r="D1667" t="str">
            <v>MIGUEL HERAS CASTRO</v>
          </cell>
        </row>
        <row r="1668">
          <cell r="C1668" t="str">
            <v>Hernandez Household</v>
          </cell>
          <cell r="D1668" t="str">
            <v>Alonso Hernandez</v>
          </cell>
        </row>
        <row r="1669">
          <cell r="C1669" t="str">
            <v>Hernandez Household</v>
          </cell>
          <cell r="D1669" t="str">
            <v>Hector Hernandez</v>
          </cell>
        </row>
        <row r="1670">
          <cell r="C1670" t="str">
            <v>Hernandez Household</v>
          </cell>
          <cell r="D1670" t="str">
            <v>Jennyfer Hernandez</v>
          </cell>
        </row>
        <row r="1671">
          <cell r="C1671" t="str">
            <v>Hernandez Household</v>
          </cell>
          <cell r="D1671" t="str">
            <v>Luis Hernandez</v>
          </cell>
        </row>
        <row r="1672">
          <cell r="C1672" t="str">
            <v>Hernandez Household</v>
          </cell>
          <cell r="D1672" t="str">
            <v>Maria Hernandez</v>
          </cell>
        </row>
        <row r="1673">
          <cell r="C1673" t="str">
            <v>Hernandez Household</v>
          </cell>
          <cell r="D1673" t="str">
            <v>Yiseth Hernandez</v>
          </cell>
        </row>
        <row r="1674">
          <cell r="C1674" t="str">
            <v>HERNÁNDEZ Household</v>
          </cell>
          <cell r="D1674" t="str">
            <v>Ana Hernández</v>
          </cell>
        </row>
        <row r="1675">
          <cell r="C1675" t="str">
            <v>HERNÁNDEZ Household</v>
          </cell>
          <cell r="D1675" t="str">
            <v>Betzaida Hernández</v>
          </cell>
        </row>
        <row r="1676">
          <cell r="C1676" t="str">
            <v>HERNÁNDEZ Household</v>
          </cell>
          <cell r="D1676" t="str">
            <v>DENISE HERNÁNDEZ</v>
          </cell>
        </row>
        <row r="1677">
          <cell r="C1677" t="str">
            <v>HERNÁNDEZ Household</v>
          </cell>
          <cell r="D1677" t="str">
            <v>Edgar Iván Hernández</v>
          </cell>
        </row>
        <row r="1678">
          <cell r="C1678" t="str">
            <v>HERNÁNDEZ Household</v>
          </cell>
          <cell r="D1678" t="str">
            <v>Evelyn Hernández</v>
          </cell>
        </row>
        <row r="1679">
          <cell r="C1679" t="str">
            <v>HERNÁNDEZ Household</v>
          </cell>
          <cell r="D1679" t="str">
            <v>Héctor Hernández</v>
          </cell>
        </row>
        <row r="1680">
          <cell r="C1680" t="str">
            <v>Hernandez Oxford Household</v>
          </cell>
          <cell r="D1680" t="str">
            <v>Mariagrazzia Hernandez Oxford</v>
          </cell>
        </row>
        <row r="1681">
          <cell r="C1681" t="str">
            <v>Herrera Household</v>
          </cell>
          <cell r="D1681" t="str">
            <v>ARI HERRERA</v>
          </cell>
        </row>
        <row r="1682">
          <cell r="C1682" t="str">
            <v>Herrera Household</v>
          </cell>
          <cell r="D1682" t="str">
            <v>Hanna Herrera</v>
          </cell>
        </row>
        <row r="1683">
          <cell r="C1683" t="str">
            <v>Herrera Household</v>
          </cell>
          <cell r="D1683" t="str">
            <v>Jose Alfonso Herrera</v>
          </cell>
        </row>
        <row r="1684">
          <cell r="C1684" t="str">
            <v>Herrera Household</v>
          </cell>
          <cell r="D1684" t="str">
            <v>JOSE MARIA HERRERA</v>
          </cell>
        </row>
        <row r="1685">
          <cell r="C1685" t="str">
            <v>Herrera Household</v>
          </cell>
          <cell r="D1685" t="str">
            <v>NODIHER HERRERA</v>
          </cell>
        </row>
        <row r="1686">
          <cell r="C1686" t="str">
            <v>Heuer Household</v>
          </cell>
          <cell r="D1686" t="str">
            <v>Mariela Heuer</v>
          </cell>
        </row>
        <row r="1687">
          <cell r="C1687" t="str">
            <v>Hidalgo Household</v>
          </cell>
          <cell r="D1687" t="str">
            <v>Felsy Hidalgo</v>
          </cell>
        </row>
        <row r="1688">
          <cell r="C1688" t="str">
            <v>Hidalgo Household</v>
          </cell>
          <cell r="D1688" t="str">
            <v>Guadalupe Hidalgo</v>
          </cell>
        </row>
        <row r="1689">
          <cell r="C1689" t="str">
            <v>Higuero Household</v>
          </cell>
          <cell r="D1689" t="str">
            <v>Jose Higuero</v>
          </cell>
        </row>
        <row r="1690">
          <cell r="C1690" t="str">
            <v>Him Household</v>
          </cell>
          <cell r="D1690" t="str">
            <v>Noira Him</v>
          </cell>
        </row>
        <row r="1691">
          <cell r="C1691" t="str">
            <v>Hinojosa Household</v>
          </cell>
          <cell r="D1691" t="str">
            <v>José Hinojosa</v>
          </cell>
        </row>
        <row r="1692">
          <cell r="C1692" t="str">
            <v>Hou Oxford Household</v>
          </cell>
          <cell r="D1692" t="str">
            <v>Harry Hou Oxford</v>
          </cell>
        </row>
        <row r="1693">
          <cell r="C1693" t="str">
            <v>Hugentobler Household</v>
          </cell>
          <cell r="D1693" t="str">
            <v>Maria Gabriela Hugentobler</v>
          </cell>
        </row>
        <row r="1694">
          <cell r="C1694" t="str">
            <v>Hurtado Household</v>
          </cell>
          <cell r="D1694" t="str">
            <v>Marianela Hurtado</v>
          </cell>
          <cell r="F1694" t="str">
            <v>64226846</v>
          </cell>
        </row>
        <row r="1695">
          <cell r="C1695" t="str">
            <v>Ibarra Household</v>
          </cell>
          <cell r="D1695" t="str">
            <v>Angelo Ibarra</v>
          </cell>
        </row>
        <row r="1696">
          <cell r="C1696" t="str">
            <v>Ibarra Household</v>
          </cell>
          <cell r="D1696" t="str">
            <v>Jorge Ibarra</v>
          </cell>
          <cell r="F1696" t="str">
            <v>6634-0028</v>
          </cell>
        </row>
        <row r="1697">
          <cell r="C1697" t="str">
            <v>ICAZA CLARE Household</v>
          </cell>
          <cell r="D1697" t="str">
            <v>RODOLFO EDUARDO ICAZA CLARE</v>
          </cell>
        </row>
        <row r="1698">
          <cell r="C1698" t="str">
            <v>ICAZA CLARE Household</v>
          </cell>
          <cell r="D1698" t="str">
            <v>Rodolfo Icaza Clare</v>
          </cell>
        </row>
        <row r="1699">
          <cell r="C1699" t="str">
            <v>ILARSLAN Household</v>
          </cell>
          <cell r="D1699" t="str">
            <v>MUSA ILARSLAN</v>
          </cell>
        </row>
        <row r="1700">
          <cell r="C1700" t="str">
            <v>Información confidencial - Prohibida su distribución</v>
          </cell>
        </row>
        <row r="1701">
          <cell r="C1701" t="str">
            <v>Informe Donantes</v>
          </cell>
        </row>
        <row r="1702">
          <cell r="C1702" t="str">
            <v>International School of Panama Household</v>
          </cell>
          <cell r="D1702" t="str">
            <v>International School International School of Panama</v>
          </cell>
        </row>
        <row r="1703">
          <cell r="C1703" t="str">
            <v>Irving G. Montenegro Household</v>
          </cell>
          <cell r="D1703" t="str">
            <v>Caja de Ahorros Irving G. Montenegro</v>
          </cell>
        </row>
        <row r="1704">
          <cell r="C1704" t="str">
            <v>ISABEL Household</v>
          </cell>
          <cell r="D1704" t="str">
            <v>ROSA ISABEL</v>
          </cell>
        </row>
        <row r="1705">
          <cell r="C1705" t="str">
            <v>ITSE</v>
          </cell>
        </row>
        <row r="1706">
          <cell r="C1706" t="str">
            <v>Jaen Household</v>
          </cell>
          <cell r="D1706" t="str">
            <v>Josue Jaen</v>
          </cell>
        </row>
        <row r="1707">
          <cell r="C1707" t="str">
            <v>Jaén Household</v>
          </cell>
          <cell r="D1707" t="str">
            <v>Gilda Jaén</v>
          </cell>
        </row>
        <row r="1708">
          <cell r="C1708" t="str">
            <v>Jaén Household</v>
          </cell>
          <cell r="D1708" t="str">
            <v>Lidia Maribel Jaén</v>
          </cell>
        </row>
        <row r="1709">
          <cell r="C1709" t="str">
            <v>Jaen Instituto Atenea Household</v>
          </cell>
          <cell r="D1709" t="str">
            <v>Juan David Jaen Instituto Atenea</v>
          </cell>
        </row>
        <row r="1710">
          <cell r="C1710" t="str">
            <v>Jaramillo Household</v>
          </cell>
          <cell r="D1710" t="str">
            <v>Adrianys Jaramillo</v>
          </cell>
        </row>
        <row r="1711">
          <cell r="C1711" t="str">
            <v>Jaramillo Household</v>
          </cell>
          <cell r="D1711" t="str">
            <v>Aileen Jaramillo</v>
          </cell>
        </row>
        <row r="1712">
          <cell r="C1712" t="str">
            <v>Jaramillo Household</v>
          </cell>
          <cell r="D1712" t="str">
            <v>Angélica Jaramillo</v>
          </cell>
        </row>
        <row r="1713">
          <cell r="C1713" t="str">
            <v>Jaramillo Household</v>
          </cell>
          <cell r="D1713" t="str">
            <v>Antonio Jaramillo</v>
          </cell>
        </row>
        <row r="1714">
          <cell r="C1714" t="str">
            <v>Jaramillo Household</v>
          </cell>
          <cell r="D1714" t="str">
            <v>Elias Jaramillo</v>
          </cell>
        </row>
        <row r="1715">
          <cell r="C1715" t="str">
            <v>Jaramillo Household</v>
          </cell>
          <cell r="D1715" t="str">
            <v>Magaly Jaramillo</v>
          </cell>
        </row>
        <row r="1716">
          <cell r="C1716" t="str">
            <v>Jarava Household</v>
          </cell>
          <cell r="D1716" t="str">
            <v>Liza Jarava</v>
          </cell>
        </row>
        <row r="1717">
          <cell r="C1717" t="str">
            <v>Javilla Household</v>
          </cell>
          <cell r="D1717" t="str">
            <v>Ever Javilla</v>
          </cell>
        </row>
        <row r="1718">
          <cell r="C1718" t="str">
            <v>Jiménez Fernández Household</v>
          </cell>
          <cell r="D1718" t="str">
            <v>Gerardo Jiménez Fernández</v>
          </cell>
        </row>
        <row r="1719">
          <cell r="C1719" t="str">
            <v>Jimenez Household</v>
          </cell>
          <cell r="D1719" t="str">
            <v>Liurys Jimenez</v>
          </cell>
        </row>
        <row r="1720">
          <cell r="C1720" t="str">
            <v>Jimenez Household</v>
          </cell>
          <cell r="D1720" t="str">
            <v>OFELINA JIMENEZ</v>
          </cell>
        </row>
        <row r="1721">
          <cell r="C1721" t="str">
            <v>Jimenez Household</v>
          </cell>
          <cell r="D1721" t="str">
            <v>Stephen Jimenez</v>
          </cell>
        </row>
        <row r="1722">
          <cell r="C1722" t="str">
            <v>Jimenez Household</v>
          </cell>
          <cell r="D1722" t="str">
            <v>Vielka Jimenez</v>
          </cell>
        </row>
        <row r="1723">
          <cell r="C1723" t="str">
            <v>Jiménez Household</v>
          </cell>
          <cell r="D1723" t="str">
            <v>Jose Jiménez</v>
          </cell>
        </row>
        <row r="1724">
          <cell r="C1724" t="str">
            <v>Jiménez Household</v>
          </cell>
          <cell r="D1724" t="str">
            <v>José Jiménez</v>
          </cell>
          <cell r="F1724" t="str">
            <v>6169-6726</v>
          </cell>
        </row>
        <row r="1725">
          <cell r="C1725" t="str">
            <v>Jiménez Household</v>
          </cell>
          <cell r="D1725" t="str">
            <v>Karina Jiménez</v>
          </cell>
        </row>
        <row r="1726">
          <cell r="C1726" t="str">
            <v>Jiménez Household</v>
          </cell>
          <cell r="D1726" t="str">
            <v>Liurys Jiménez</v>
          </cell>
        </row>
        <row r="1727">
          <cell r="C1727" t="str">
            <v>Jiménez Household</v>
          </cell>
          <cell r="D1727" t="str">
            <v>Marianne Jiménez</v>
          </cell>
        </row>
        <row r="1728">
          <cell r="C1728" t="str">
            <v>Jiménez Household</v>
          </cell>
          <cell r="D1728" t="str">
            <v>Stephen Jiménez</v>
          </cell>
        </row>
        <row r="1729">
          <cell r="C1729" t="str">
            <v>Jimenez Rodriguez Household</v>
          </cell>
          <cell r="D1729" t="str">
            <v>Johannelys Jimenez Rodriguez</v>
          </cell>
        </row>
        <row r="1730">
          <cell r="C1730" t="str">
            <v>Joao Household</v>
          </cell>
          <cell r="D1730" t="str">
            <v>Maria Joao</v>
          </cell>
        </row>
        <row r="1731">
          <cell r="C1731" t="str">
            <v>Jordan Household</v>
          </cell>
          <cell r="D1731" t="str">
            <v>Miguel Jordan</v>
          </cell>
        </row>
        <row r="1732">
          <cell r="C1732" t="str">
            <v>Jordan Household</v>
          </cell>
          <cell r="D1732" t="str">
            <v>Yissel Jordan</v>
          </cell>
        </row>
        <row r="1733">
          <cell r="C1733" t="str">
            <v>José Household</v>
          </cell>
          <cell r="D1733" t="str">
            <v>Jose José</v>
          </cell>
        </row>
        <row r="1734">
          <cell r="C1734" t="str">
            <v>Joyce Household</v>
          </cell>
          <cell r="D1734" t="str">
            <v>Ana Sofia Joyce</v>
          </cell>
        </row>
        <row r="1735">
          <cell r="C1735" t="str">
            <v>KABBAS Household</v>
          </cell>
          <cell r="D1735" t="str">
            <v>VLADIMIR KABBAS</v>
          </cell>
        </row>
        <row r="1736">
          <cell r="C1736" t="str">
            <v>KARISI Household</v>
          </cell>
          <cell r="D1736" t="str">
            <v>IDO KARISI</v>
          </cell>
        </row>
        <row r="1737">
          <cell r="C1737" t="str">
            <v>Kaur Oxford Household</v>
          </cell>
          <cell r="D1737" t="str">
            <v>Jasmeen Kaur Oxford</v>
          </cell>
        </row>
        <row r="1738">
          <cell r="C1738" t="str">
            <v>Kaur Oxford Household</v>
          </cell>
          <cell r="D1738" t="str">
            <v>Kiran Kaur Oxford</v>
          </cell>
        </row>
        <row r="1739">
          <cell r="C1739" t="str">
            <v>Kelleher Household</v>
          </cell>
          <cell r="D1739" t="str">
            <v>Ruth Ann Kelleher</v>
          </cell>
        </row>
        <row r="1740">
          <cell r="C1740" t="str">
            <v>Kimberly-Clark Household</v>
          </cell>
          <cell r="D1740" t="str">
            <v>Ana Kimberly-Clark</v>
          </cell>
        </row>
        <row r="1741">
          <cell r="C1741" t="str">
            <v>Kinlock Household</v>
          </cell>
          <cell r="D1741" t="str">
            <v>Jay Kinlock</v>
          </cell>
        </row>
        <row r="1742">
          <cell r="C1742" t="str">
            <v>Krasner Household</v>
          </cell>
          <cell r="D1742" t="str">
            <v>Maximilian Krasner</v>
          </cell>
        </row>
        <row r="1743">
          <cell r="C1743" t="str">
            <v>L DE BARRABCO Household</v>
          </cell>
          <cell r="D1743" t="str">
            <v>LETICIA L DE BARRABCO</v>
          </cell>
        </row>
        <row r="1744">
          <cell r="C1744" t="str">
            <v>Lacayo Household</v>
          </cell>
          <cell r="D1744" t="str">
            <v>Luisa Rebeca Lacayo</v>
          </cell>
        </row>
        <row r="1745">
          <cell r="C1745" t="str">
            <v>Lane Household</v>
          </cell>
          <cell r="D1745" t="str">
            <v>Moises Lane</v>
          </cell>
        </row>
        <row r="1746">
          <cell r="C1746" t="str">
            <v>Larea Household</v>
          </cell>
          <cell r="D1746" t="str">
            <v>Ricardo Larea</v>
          </cell>
        </row>
        <row r="1747">
          <cell r="C1747" t="str">
            <v>Lares Household</v>
          </cell>
          <cell r="D1747" t="str">
            <v>Veronica Lares</v>
          </cell>
        </row>
        <row r="1748">
          <cell r="C1748" t="str">
            <v>Lasso Household</v>
          </cell>
          <cell r="D1748" t="str">
            <v>Luciano Lasso</v>
          </cell>
        </row>
        <row r="1749">
          <cell r="C1749" t="str">
            <v>Lau Household</v>
          </cell>
          <cell r="D1749" t="str">
            <v>Cindy Lau</v>
          </cell>
        </row>
        <row r="1750">
          <cell r="C1750" t="str">
            <v>Laura Gushiken Household</v>
          </cell>
          <cell r="D1750" t="str">
            <v>Mocic Laura Gushiken</v>
          </cell>
        </row>
        <row r="1751">
          <cell r="C1751" t="str">
            <v>Lawrence Household</v>
          </cell>
          <cell r="D1751" t="str">
            <v>César Julio Lawrence</v>
          </cell>
        </row>
        <row r="1752">
          <cell r="C1752" t="str">
            <v>Lazaro Household</v>
          </cell>
          <cell r="D1752" t="str">
            <v>Cristian Lazaro</v>
          </cell>
        </row>
        <row r="1753">
          <cell r="C1753" t="str">
            <v>Lee Household</v>
          </cell>
          <cell r="D1753" t="str">
            <v>Rosa Milagros Lee</v>
          </cell>
        </row>
        <row r="1754">
          <cell r="C1754" t="str">
            <v>Legon Household</v>
          </cell>
          <cell r="D1754" t="str">
            <v>Daniela Legon</v>
          </cell>
        </row>
        <row r="1755">
          <cell r="C1755" t="str">
            <v>Levy Household</v>
          </cell>
          <cell r="D1755" t="str">
            <v>Carlos Levy</v>
          </cell>
          <cell r="F1755" t="str">
            <v>3874444</v>
          </cell>
        </row>
        <row r="1756">
          <cell r="C1756" t="str">
            <v>Leyda Clovis Household</v>
          </cell>
          <cell r="D1756" t="str">
            <v>F. Guardadores de Pacto Leyda Clovis</v>
          </cell>
        </row>
        <row r="1757">
          <cell r="C1757" t="str">
            <v>Lezcano Household</v>
          </cell>
          <cell r="D1757" t="str">
            <v>Javier Lezcano</v>
          </cell>
        </row>
        <row r="1758">
          <cell r="C1758" t="str">
            <v>Lezcano Household</v>
          </cell>
          <cell r="D1758" t="str">
            <v>Keren Lezcano</v>
          </cell>
        </row>
        <row r="1759">
          <cell r="C1759" t="str">
            <v>Liao Household</v>
          </cell>
          <cell r="D1759" t="str">
            <v>Juan Carlos Liao</v>
          </cell>
        </row>
        <row r="1760">
          <cell r="C1760" t="str">
            <v>Liao Household</v>
          </cell>
          <cell r="D1760" t="str">
            <v>Kenia Liao</v>
          </cell>
        </row>
        <row r="1761">
          <cell r="C1761" t="str">
            <v>Llaguer Riverón Household</v>
          </cell>
          <cell r="D1761" t="str">
            <v>Raixa Elena Llaguer Riverón</v>
          </cell>
        </row>
        <row r="1762">
          <cell r="C1762" t="str">
            <v>LLano Ulloa Household</v>
          </cell>
          <cell r="D1762" t="str">
            <v>Daniela LLano Ulloa</v>
          </cell>
        </row>
        <row r="1763">
          <cell r="C1763" t="str">
            <v>LLoyd Household</v>
          </cell>
          <cell r="D1763" t="str">
            <v>Alma LLoyd</v>
          </cell>
        </row>
        <row r="1764">
          <cell r="C1764" t="str">
            <v>Lombardo Household</v>
          </cell>
          <cell r="D1764" t="str">
            <v>Roberto Lombardo</v>
          </cell>
        </row>
        <row r="1765">
          <cell r="C1765" t="str">
            <v>Loo Household</v>
          </cell>
          <cell r="D1765" t="str">
            <v>Arthur Loo</v>
          </cell>
        </row>
        <row r="1766">
          <cell r="C1766" t="str">
            <v>Lópe Household</v>
          </cell>
          <cell r="D1766" t="str">
            <v>Lisneika Lópe</v>
          </cell>
        </row>
        <row r="1767">
          <cell r="C1767" t="str">
            <v>Lopez Household</v>
          </cell>
          <cell r="D1767" t="str">
            <v>Angel Lopez</v>
          </cell>
        </row>
        <row r="1768">
          <cell r="C1768" t="str">
            <v>Lopez Household</v>
          </cell>
          <cell r="D1768" t="str">
            <v>Ariel Lopez</v>
          </cell>
        </row>
        <row r="1769">
          <cell r="C1769" t="str">
            <v>Lopez Household</v>
          </cell>
          <cell r="D1769" t="str">
            <v>Juliett Lopez</v>
          </cell>
        </row>
        <row r="1770">
          <cell r="C1770" t="str">
            <v>Lopez Household</v>
          </cell>
          <cell r="D1770" t="str">
            <v>Karla Lopez</v>
          </cell>
        </row>
        <row r="1771">
          <cell r="C1771" t="str">
            <v>Lopez Household</v>
          </cell>
          <cell r="D1771" t="str">
            <v>MARIA VICTORIA LOPEZ</v>
          </cell>
        </row>
        <row r="1772">
          <cell r="C1772" t="str">
            <v>Lopez Household</v>
          </cell>
          <cell r="D1772" t="str">
            <v>Thermo King Kristy Lopez</v>
          </cell>
        </row>
        <row r="1773">
          <cell r="C1773" t="str">
            <v>López Household</v>
          </cell>
          <cell r="D1773" t="str">
            <v>Ana Carla López</v>
          </cell>
        </row>
        <row r="1774">
          <cell r="C1774" t="str">
            <v>López Household</v>
          </cell>
          <cell r="D1774" t="str">
            <v>Elky López</v>
          </cell>
          <cell r="F1774" t="str">
            <v>6614-6574</v>
          </cell>
        </row>
        <row r="1775">
          <cell r="C1775" t="str">
            <v>López Household</v>
          </cell>
          <cell r="D1775" t="str">
            <v>Juliet López</v>
          </cell>
        </row>
        <row r="1776">
          <cell r="C1776" t="str">
            <v>López Household</v>
          </cell>
          <cell r="D1776" t="str">
            <v>Kristy López</v>
          </cell>
        </row>
        <row r="1777">
          <cell r="C1777" t="str">
            <v>López Household</v>
          </cell>
          <cell r="D1777" t="str">
            <v>María López</v>
          </cell>
        </row>
        <row r="1778">
          <cell r="C1778" t="str">
            <v>López Household</v>
          </cell>
          <cell r="D1778" t="str">
            <v>María Teresa López</v>
          </cell>
        </row>
        <row r="1779">
          <cell r="C1779" t="str">
            <v>López Household</v>
          </cell>
          <cell r="D1779" t="str">
            <v>Regulo López</v>
          </cell>
        </row>
        <row r="1780">
          <cell r="C1780" t="str">
            <v>Lorenzo Cruz Household</v>
          </cell>
          <cell r="D1780" t="str">
            <v>José Lorenzo Cruz</v>
          </cell>
        </row>
        <row r="1781">
          <cell r="C1781" t="str">
            <v>LORENZO Household</v>
          </cell>
          <cell r="D1781" t="str">
            <v>SINDY LORENZO</v>
          </cell>
        </row>
        <row r="1782">
          <cell r="C1782" t="str">
            <v>LORIA Household</v>
          </cell>
          <cell r="D1782" t="str">
            <v>ALBA MARIA LORIA</v>
          </cell>
        </row>
        <row r="1783">
          <cell r="C1783" t="str">
            <v>Lourdes Household</v>
          </cell>
          <cell r="D1783" t="str">
            <v>Maria Lourdes</v>
          </cell>
        </row>
        <row r="1784">
          <cell r="C1784" t="str">
            <v>Lovato Household</v>
          </cell>
          <cell r="D1784" t="str">
            <v>Ashley Lovato</v>
          </cell>
        </row>
        <row r="1785">
          <cell r="C1785" t="str">
            <v>Lozada Household</v>
          </cell>
          <cell r="D1785" t="str">
            <v>Reynelda Lozada</v>
          </cell>
        </row>
        <row r="1786">
          <cell r="C1786" t="str">
            <v>Lozada Household</v>
          </cell>
          <cell r="D1786" t="str">
            <v>Zisley Lozada</v>
          </cell>
        </row>
        <row r="1787">
          <cell r="C1787" t="str">
            <v>Lozano C.P Household</v>
          </cell>
          <cell r="D1787" t="str">
            <v>Maria Sofia Lozano C.P</v>
          </cell>
        </row>
        <row r="1788">
          <cell r="C1788" t="str">
            <v>Lozano Household</v>
          </cell>
          <cell r="D1788" t="str">
            <v>Gisela Lozano</v>
          </cell>
        </row>
        <row r="1789">
          <cell r="C1789" t="str">
            <v>Lucero Household</v>
          </cell>
          <cell r="D1789" t="str">
            <v>Monica Lucero</v>
          </cell>
        </row>
        <row r="1790">
          <cell r="C1790" t="str">
            <v>Lucía Perez Household</v>
          </cell>
          <cell r="D1790" t="str">
            <v>Lady Who Lunch Lucía Perez</v>
          </cell>
        </row>
        <row r="1791">
          <cell r="C1791" t="str">
            <v>LUNA Household</v>
          </cell>
          <cell r="D1791" t="str">
            <v>Beatriz Luna</v>
          </cell>
        </row>
        <row r="1792">
          <cell r="C1792" t="str">
            <v>LUNA Household</v>
          </cell>
          <cell r="D1792" t="str">
            <v>HAZEL LUNA</v>
          </cell>
        </row>
        <row r="1793">
          <cell r="C1793" t="str">
            <v>LUNA Household</v>
          </cell>
          <cell r="D1793" t="str">
            <v>Miguel Luna</v>
          </cell>
        </row>
        <row r="1794">
          <cell r="C1794" t="str">
            <v>Luo Household</v>
          </cell>
          <cell r="D1794" t="str">
            <v>Lisa Luo</v>
          </cell>
        </row>
        <row r="1795">
          <cell r="C1795" t="str">
            <v>Luo Oxford Household</v>
          </cell>
          <cell r="D1795" t="str">
            <v>Erick Luo Oxford</v>
          </cell>
        </row>
        <row r="1796">
          <cell r="C1796" t="str">
            <v>LUQUE Household</v>
          </cell>
          <cell r="D1796" t="str">
            <v>ARLEEN LUQUE</v>
          </cell>
        </row>
        <row r="1797">
          <cell r="C1797" t="str">
            <v>Luzcando Instituto Bern Household</v>
          </cell>
          <cell r="D1797" t="str">
            <v>Kehisy Luzcando Instituto Bern</v>
          </cell>
        </row>
        <row r="1798">
          <cell r="C1798" t="str">
            <v>Machado Household</v>
          </cell>
          <cell r="D1798" t="str">
            <v>Carolina Machado</v>
          </cell>
        </row>
        <row r="1799">
          <cell r="C1799" t="str">
            <v>Machado Household</v>
          </cell>
          <cell r="D1799" t="str">
            <v>Richard Machado</v>
          </cell>
        </row>
        <row r="1800">
          <cell r="C1800" t="str">
            <v>Machazek Household</v>
          </cell>
          <cell r="D1800" t="str">
            <v>Jose Maria Machazek</v>
          </cell>
        </row>
        <row r="1801">
          <cell r="C1801" t="str">
            <v>Macías Household</v>
          </cell>
          <cell r="D1801" t="str">
            <v>Angie Macías</v>
          </cell>
        </row>
        <row r="1802">
          <cell r="C1802" t="str">
            <v>Macilla Household</v>
          </cell>
          <cell r="D1802" t="str">
            <v>Johana Macilla</v>
          </cell>
        </row>
        <row r="1803">
          <cell r="C1803" t="str">
            <v>Macre Household</v>
          </cell>
          <cell r="D1803" t="str">
            <v>Yolanda Macre</v>
          </cell>
        </row>
        <row r="1804">
          <cell r="C1804" t="str">
            <v>Madrid Household</v>
          </cell>
          <cell r="D1804" t="str">
            <v>Karla Madrid</v>
          </cell>
        </row>
        <row r="1805">
          <cell r="C1805" t="str">
            <v>Maduro Household</v>
          </cell>
          <cell r="D1805" t="str">
            <v>Emily Maduro</v>
          </cell>
        </row>
        <row r="1806">
          <cell r="C1806" t="str">
            <v>maldonado Household</v>
          </cell>
          <cell r="D1806" t="str">
            <v>Marcela maldonado</v>
          </cell>
        </row>
        <row r="1807">
          <cell r="C1807" t="str">
            <v>Mangravita Household</v>
          </cell>
          <cell r="D1807" t="str">
            <v>Roberto Mangravita</v>
          </cell>
        </row>
        <row r="1808">
          <cell r="C1808" t="str">
            <v>Manríquez Household</v>
          </cell>
          <cell r="D1808" t="str">
            <v>Ivan Manríquez</v>
          </cell>
        </row>
        <row r="1809">
          <cell r="C1809" t="str">
            <v>Manuel Trombetta Household</v>
          </cell>
          <cell r="D1809" t="str">
            <v>Minist. Restauración y Misericordia Manuel Trombetta</v>
          </cell>
        </row>
        <row r="1810">
          <cell r="C1810" t="str">
            <v>Manzanares Household</v>
          </cell>
          <cell r="D1810" t="str">
            <v>Pablo Manzanares</v>
          </cell>
        </row>
        <row r="1811">
          <cell r="C1811" t="str">
            <v>Marchand Household</v>
          </cell>
          <cell r="D1811" t="str">
            <v>Gabriela Marchand</v>
          </cell>
        </row>
        <row r="1812">
          <cell r="C1812" t="str">
            <v>Maria Household</v>
          </cell>
          <cell r="D1812" t="str">
            <v>Dalis Maria</v>
          </cell>
        </row>
        <row r="1813">
          <cell r="C1813" t="str">
            <v>Maria Martinez Household</v>
          </cell>
          <cell r="D1813" t="str">
            <v>CLUB DE LEONES DE PEDREGAL Maria Martinez</v>
          </cell>
        </row>
        <row r="1814">
          <cell r="C1814" t="str">
            <v>María Rojas Household</v>
          </cell>
          <cell r="D1814" t="str">
            <v>Estela María Rojas</v>
          </cell>
        </row>
        <row r="1815">
          <cell r="C1815" t="str">
            <v>Marin Household</v>
          </cell>
          <cell r="D1815" t="str">
            <v>Adrian Marin</v>
          </cell>
        </row>
        <row r="1816">
          <cell r="C1816" t="str">
            <v>Marin Household</v>
          </cell>
          <cell r="D1816" t="str">
            <v>Alexandra Marin</v>
          </cell>
        </row>
        <row r="1817">
          <cell r="C1817" t="str">
            <v>Marin Household</v>
          </cell>
          <cell r="D1817" t="str">
            <v>Leyda Marin</v>
          </cell>
        </row>
        <row r="1818">
          <cell r="C1818" t="str">
            <v>Marin Household</v>
          </cell>
          <cell r="D1818" t="str">
            <v>MARIA SOFIA MARIN</v>
          </cell>
        </row>
        <row r="1819">
          <cell r="C1819" t="str">
            <v>Marin Household</v>
          </cell>
          <cell r="D1819" t="str">
            <v>Rene Marin</v>
          </cell>
        </row>
        <row r="1820">
          <cell r="C1820" t="str">
            <v>Mariscal Femsa Household</v>
          </cell>
          <cell r="D1820" t="str">
            <v>Sadith Mariscal Femsa</v>
          </cell>
        </row>
        <row r="1821">
          <cell r="C1821" t="str">
            <v>Mariscal Household</v>
          </cell>
          <cell r="D1821" t="str">
            <v>Lesly Mariscal</v>
          </cell>
        </row>
        <row r="1822">
          <cell r="C1822" t="str">
            <v>Marlia Arcia Household</v>
          </cell>
          <cell r="D1822" t="str">
            <v>Minist. Evang. de S. R.M.M Marlia Arcia</v>
          </cell>
        </row>
        <row r="1823">
          <cell r="C1823" t="str">
            <v>Marquez Household</v>
          </cell>
          <cell r="D1823" t="str">
            <v>Ana Isabel Marquez</v>
          </cell>
        </row>
        <row r="1824">
          <cell r="C1824" t="str">
            <v>Marquez Household</v>
          </cell>
          <cell r="D1824" t="str">
            <v>SOR SONIA MARQUEZ</v>
          </cell>
        </row>
        <row r="1825">
          <cell r="C1825" t="str">
            <v>Marquez Household</v>
          </cell>
          <cell r="D1825" t="str">
            <v>Yerenik Marquez</v>
          </cell>
        </row>
        <row r="1826">
          <cell r="C1826" t="str">
            <v>Márquez Household</v>
          </cell>
          <cell r="D1826" t="str">
            <v>Ana Isabel Márquez</v>
          </cell>
        </row>
        <row r="1827">
          <cell r="C1827" t="str">
            <v>Márquez Household</v>
          </cell>
          <cell r="D1827" t="str">
            <v>Ludimar Márquez</v>
          </cell>
        </row>
        <row r="1828">
          <cell r="C1828" t="str">
            <v>Marquiñez Household</v>
          </cell>
          <cell r="D1828" t="str">
            <v>Marjorie Marquiñez</v>
          </cell>
          <cell r="F1828" t="str">
            <v>222.0528</v>
          </cell>
        </row>
        <row r="1829">
          <cell r="C1829" t="str">
            <v>Martin Household</v>
          </cell>
          <cell r="D1829" t="str">
            <v>Oscar Martin</v>
          </cell>
        </row>
        <row r="1830">
          <cell r="C1830" t="str">
            <v>Martinez Cuello Household</v>
          </cell>
          <cell r="D1830" t="str">
            <v>Binicio Antonio Martinez Cuello</v>
          </cell>
        </row>
        <row r="1831">
          <cell r="C1831" t="str">
            <v>Martinez Household</v>
          </cell>
          <cell r="D1831" t="str">
            <v>Ana del Carmen Martinez</v>
          </cell>
        </row>
        <row r="1832">
          <cell r="C1832" t="str">
            <v>Martinez Household</v>
          </cell>
          <cell r="D1832" t="str">
            <v>Ariadna Martinez</v>
          </cell>
        </row>
        <row r="1833">
          <cell r="C1833" t="str">
            <v>Martinez Household</v>
          </cell>
          <cell r="D1833" t="str">
            <v>Arianis Martinez</v>
          </cell>
        </row>
        <row r="1834">
          <cell r="C1834" t="str">
            <v>Martinez Household</v>
          </cell>
          <cell r="D1834" t="str">
            <v>Isabel Martinez</v>
          </cell>
        </row>
        <row r="1835">
          <cell r="C1835" t="str">
            <v>Martinez Household</v>
          </cell>
          <cell r="D1835" t="str">
            <v>Jimmy Martinez</v>
          </cell>
        </row>
        <row r="1836">
          <cell r="C1836" t="str">
            <v>Martinez Household</v>
          </cell>
          <cell r="D1836" t="str">
            <v>Kathrisna Martinez</v>
          </cell>
        </row>
        <row r="1837">
          <cell r="C1837" t="str">
            <v>Martinez Household</v>
          </cell>
          <cell r="D1837" t="str">
            <v>Marcos Martinez</v>
          </cell>
        </row>
        <row r="1838">
          <cell r="C1838" t="str">
            <v>Martinez Household</v>
          </cell>
          <cell r="D1838" t="str">
            <v>Marlene Martinez</v>
          </cell>
        </row>
        <row r="1839">
          <cell r="C1839" t="str">
            <v>Martinez Household</v>
          </cell>
          <cell r="D1839" t="str">
            <v>Raul Martinez</v>
          </cell>
        </row>
        <row r="1840">
          <cell r="C1840" t="str">
            <v>Martinez Household</v>
          </cell>
          <cell r="D1840" t="str">
            <v>Yeraldine Martinez</v>
          </cell>
        </row>
        <row r="1841">
          <cell r="C1841" t="str">
            <v>Martínez Household</v>
          </cell>
          <cell r="D1841" t="str">
            <v>Antony Martínez</v>
          </cell>
          <cell r="F1841" t="str">
            <v>6890-5827</v>
          </cell>
        </row>
        <row r="1842">
          <cell r="C1842" t="str">
            <v>Martínez Household</v>
          </cell>
          <cell r="D1842" t="str">
            <v>Isabel Martínez</v>
          </cell>
        </row>
        <row r="1843">
          <cell r="C1843" t="str">
            <v>Martínez Household</v>
          </cell>
          <cell r="D1843" t="str">
            <v>Xavier Martínez</v>
          </cell>
        </row>
        <row r="1844">
          <cell r="C1844" t="str">
            <v>Martínez Household</v>
          </cell>
          <cell r="D1844" t="str">
            <v>Yara Martínez</v>
          </cell>
          <cell r="F1844" t="str">
            <v>345-7959</v>
          </cell>
        </row>
        <row r="1845">
          <cell r="C1845" t="str">
            <v>Martínez Household</v>
          </cell>
          <cell r="D1845" t="str">
            <v>Yara Martínez</v>
          </cell>
          <cell r="F1845" t="str">
            <v>6317-6692</v>
          </cell>
        </row>
        <row r="1846">
          <cell r="C1846" t="str">
            <v>Marulanda Household</v>
          </cell>
          <cell r="D1846" t="str">
            <v>Keira Marulanda</v>
          </cell>
        </row>
        <row r="1847">
          <cell r="C1847" t="str">
            <v>Marval Household</v>
          </cell>
          <cell r="D1847" t="str">
            <v>Nugliani Marval</v>
          </cell>
        </row>
        <row r="1848">
          <cell r="C1848" t="str">
            <v>Maskill Household</v>
          </cell>
          <cell r="D1848" t="str">
            <v>Gloria Maskill</v>
          </cell>
        </row>
        <row r="1849">
          <cell r="C1849" t="str">
            <v>Mc Cray Household</v>
          </cell>
          <cell r="D1849" t="str">
            <v>Malik Mc Cray</v>
          </cell>
        </row>
        <row r="1850">
          <cell r="C1850" t="str">
            <v>Mc Leary Household</v>
          </cell>
          <cell r="D1850" t="str">
            <v>Gloriela Mc Leary</v>
          </cell>
        </row>
        <row r="1851">
          <cell r="C1851" t="str">
            <v>McCalla Household</v>
          </cell>
          <cell r="D1851" t="str">
            <v>Magilka McCalla</v>
          </cell>
        </row>
        <row r="1852">
          <cell r="C1852" t="str">
            <v>Mcfarquhar Household</v>
          </cell>
          <cell r="D1852" t="str">
            <v>Profesora Angela Mcfarquhar</v>
          </cell>
        </row>
        <row r="1853">
          <cell r="C1853" t="str">
            <v>MECHA Household</v>
          </cell>
          <cell r="D1853" t="str">
            <v>MATEO MECHA</v>
          </cell>
        </row>
        <row r="1854">
          <cell r="C1854" t="str">
            <v>Medina Household</v>
          </cell>
          <cell r="D1854" t="str">
            <v>Gabriel Medina</v>
          </cell>
        </row>
        <row r="1855">
          <cell r="C1855" t="str">
            <v>Medina Household</v>
          </cell>
          <cell r="D1855" t="str">
            <v>Julio Medina</v>
          </cell>
        </row>
        <row r="1856">
          <cell r="C1856" t="str">
            <v>Medina Household</v>
          </cell>
          <cell r="D1856" t="str">
            <v>Keny Josue Medina</v>
          </cell>
        </row>
        <row r="1857">
          <cell r="C1857" t="str">
            <v>Medina Household</v>
          </cell>
          <cell r="D1857" t="str">
            <v>Keny Medina</v>
          </cell>
        </row>
        <row r="1858">
          <cell r="C1858" t="str">
            <v>Medina Household</v>
          </cell>
          <cell r="D1858" t="str">
            <v>Natalie Medina</v>
          </cell>
        </row>
        <row r="1859">
          <cell r="C1859" t="str">
            <v>Medina Household</v>
          </cell>
          <cell r="D1859" t="str">
            <v>Nelson Medina</v>
          </cell>
        </row>
        <row r="1860">
          <cell r="C1860" t="str">
            <v>Medrano Household</v>
          </cell>
          <cell r="D1860" t="str">
            <v>Elyane Medrano</v>
          </cell>
          <cell r="F1860" t="str">
            <v>6877-9087</v>
          </cell>
        </row>
        <row r="1861">
          <cell r="C1861" t="str">
            <v>MEJIA Household</v>
          </cell>
          <cell r="D1861" t="str">
            <v>RICARDO MEJIA</v>
          </cell>
        </row>
        <row r="1862">
          <cell r="C1862" t="str">
            <v>Mejías Household</v>
          </cell>
          <cell r="D1862" t="str">
            <v>Brenda Mejías</v>
          </cell>
        </row>
        <row r="1863">
          <cell r="C1863" t="str">
            <v>Mela Household</v>
          </cell>
          <cell r="D1863" t="str">
            <v>Alexis Mela</v>
          </cell>
        </row>
        <row r="1864">
          <cell r="C1864" t="str">
            <v>Melchor Asuntos Civiles E.US Household</v>
          </cell>
          <cell r="D1864" t="str">
            <v>Daniel Melchor Asuntos Civiles E.US</v>
          </cell>
        </row>
        <row r="1865">
          <cell r="C1865" t="str">
            <v>MELÉNDEZ DE GOBEA Household</v>
          </cell>
          <cell r="D1865" t="str">
            <v>EYDA MELÉNDEZ DE GOBEA</v>
          </cell>
        </row>
        <row r="1866">
          <cell r="C1866" t="str">
            <v>Melendez Household</v>
          </cell>
          <cell r="D1866" t="str">
            <v>Diego Melendez</v>
          </cell>
        </row>
        <row r="1867">
          <cell r="C1867" t="str">
            <v>Melendez Household</v>
          </cell>
          <cell r="D1867" t="str">
            <v>Elcar Melendez</v>
          </cell>
        </row>
        <row r="1868">
          <cell r="C1868" t="str">
            <v>Melgar Household</v>
          </cell>
          <cell r="D1868" t="str">
            <v>Ana Maria Melgar</v>
          </cell>
        </row>
        <row r="1869">
          <cell r="C1869" t="str">
            <v>Melgar Household</v>
          </cell>
          <cell r="D1869" t="str">
            <v>Melgar Melgar</v>
          </cell>
        </row>
        <row r="1870">
          <cell r="C1870" t="str">
            <v>Melgarejo Household</v>
          </cell>
          <cell r="D1870" t="str">
            <v>Erika Melgarejo</v>
          </cell>
        </row>
        <row r="1871">
          <cell r="C1871" t="str">
            <v>Melo Household</v>
          </cell>
          <cell r="D1871" t="str">
            <v>Victor Melo</v>
          </cell>
        </row>
        <row r="1872">
          <cell r="C1872" t="str">
            <v>Mena Household</v>
          </cell>
          <cell r="D1872" t="str">
            <v>Amelia Mena</v>
          </cell>
        </row>
        <row r="1873">
          <cell r="C1873" t="str">
            <v>Méndez Cajar Household</v>
          </cell>
          <cell r="D1873" t="str">
            <v>María Victoria Méndez Cajar</v>
          </cell>
        </row>
        <row r="1874">
          <cell r="C1874" t="str">
            <v>Mendez Household</v>
          </cell>
          <cell r="D1874" t="str">
            <v>Gisseth Mendez</v>
          </cell>
        </row>
        <row r="1875">
          <cell r="C1875" t="str">
            <v>Mendez Household</v>
          </cell>
          <cell r="D1875" t="str">
            <v>Hector Mendez</v>
          </cell>
        </row>
        <row r="1876">
          <cell r="C1876" t="str">
            <v>Mendez Household</v>
          </cell>
          <cell r="D1876" t="str">
            <v>Natalia Mendez</v>
          </cell>
        </row>
        <row r="1877">
          <cell r="C1877" t="str">
            <v>Mendez Household</v>
          </cell>
          <cell r="D1877" t="str">
            <v>Zoila Mendez</v>
          </cell>
        </row>
        <row r="1878">
          <cell r="C1878" t="str">
            <v>Méndez Household</v>
          </cell>
          <cell r="D1878" t="str">
            <v>María Fernanda Méndez</v>
          </cell>
        </row>
        <row r="1879">
          <cell r="C1879" t="str">
            <v>Méndez Household</v>
          </cell>
          <cell r="D1879" t="str">
            <v>Patricia Méndez</v>
          </cell>
          <cell r="F1879" t="str">
            <v>6780-2308</v>
          </cell>
        </row>
        <row r="1880">
          <cell r="C1880" t="str">
            <v>Mendoza Household</v>
          </cell>
          <cell r="D1880" t="str">
            <v>Angie Mendoza</v>
          </cell>
        </row>
        <row r="1881">
          <cell r="C1881" t="str">
            <v>Mendoza Household</v>
          </cell>
          <cell r="D1881" t="str">
            <v>Debora Mendoza</v>
          </cell>
          <cell r="F1881" t="str">
            <v>290 9150</v>
          </cell>
        </row>
        <row r="1882">
          <cell r="C1882" t="str">
            <v>Mendoza Household</v>
          </cell>
          <cell r="D1882" t="str">
            <v>Delfin MENDOZA</v>
          </cell>
        </row>
        <row r="1883">
          <cell r="C1883" t="str">
            <v>Mendoza Household</v>
          </cell>
          <cell r="D1883" t="str">
            <v>Jorge Mendoza</v>
          </cell>
        </row>
        <row r="1884">
          <cell r="C1884" t="str">
            <v>Mendoza Household</v>
          </cell>
          <cell r="D1884" t="str">
            <v>Keytline Mendoza</v>
          </cell>
        </row>
        <row r="1885">
          <cell r="C1885" t="str">
            <v>Mendoza Household</v>
          </cell>
          <cell r="D1885" t="str">
            <v>Libert Mendoza</v>
          </cell>
          <cell r="F1885" t="str">
            <v>6208-2310</v>
          </cell>
        </row>
        <row r="1886">
          <cell r="C1886" t="str">
            <v>Mendoza Household</v>
          </cell>
          <cell r="D1886" t="str">
            <v>Mariangel Mendoza</v>
          </cell>
        </row>
        <row r="1887">
          <cell r="C1887" t="str">
            <v>Mendoza Household</v>
          </cell>
          <cell r="D1887" t="str">
            <v>Militza Mendoza</v>
          </cell>
        </row>
        <row r="1888">
          <cell r="C1888" t="str">
            <v>Menéndez Household</v>
          </cell>
          <cell r="D1888" t="str">
            <v>Genela Menéndez</v>
          </cell>
        </row>
        <row r="1889">
          <cell r="C1889" t="str">
            <v>Merola Household</v>
          </cell>
          <cell r="D1889" t="str">
            <v>Giulia Merola</v>
          </cell>
        </row>
        <row r="1890">
          <cell r="C1890" t="str">
            <v>Mesa Household</v>
          </cell>
          <cell r="D1890" t="str">
            <v>Caralay Mesa</v>
          </cell>
        </row>
        <row r="1891">
          <cell r="C1891" t="str">
            <v>MEZA Household</v>
          </cell>
          <cell r="D1891" t="str">
            <v>CLARA MEZA</v>
          </cell>
        </row>
        <row r="1892">
          <cell r="C1892" t="str">
            <v>Mezua Household</v>
          </cell>
          <cell r="D1892" t="str">
            <v>Yareth Mezua</v>
          </cell>
        </row>
        <row r="1893">
          <cell r="C1893" t="str">
            <v>Miguez Jimenez Household</v>
          </cell>
          <cell r="D1893" t="str">
            <v>José Miguez Jimenez</v>
          </cell>
        </row>
        <row r="1894">
          <cell r="C1894" t="str">
            <v>MIRANDA Household</v>
          </cell>
          <cell r="D1894" t="str">
            <v>Karina Miranda</v>
          </cell>
        </row>
        <row r="1895">
          <cell r="C1895" t="str">
            <v>MIRANDA Household</v>
          </cell>
          <cell r="D1895" t="str">
            <v>Luis Miranda</v>
          </cell>
        </row>
        <row r="1896">
          <cell r="C1896" t="str">
            <v>MIRANDA Household</v>
          </cell>
          <cell r="D1896" t="str">
            <v>Madelen Miranda</v>
          </cell>
        </row>
        <row r="1897">
          <cell r="C1897" t="str">
            <v>MIRANDA Household</v>
          </cell>
          <cell r="D1897" t="str">
            <v>MAYUSOEL MIRANDA</v>
          </cell>
        </row>
        <row r="1898">
          <cell r="C1898" t="str">
            <v>MIRANDA Household</v>
          </cell>
          <cell r="D1898" t="str">
            <v>NAYUSBEL MIRANDA</v>
          </cell>
        </row>
        <row r="1899">
          <cell r="C1899" t="str">
            <v>MIRANDA Household</v>
          </cell>
          <cell r="D1899" t="str">
            <v>Yajhaira Miranda</v>
          </cell>
        </row>
        <row r="1900">
          <cell r="C1900" t="str">
            <v>MIRANDA Household</v>
          </cell>
          <cell r="D1900" t="str">
            <v>Zujeid MIranda</v>
          </cell>
          <cell r="F1900" t="str">
            <v>66296774</v>
          </cell>
        </row>
        <row r="1901">
          <cell r="C1901" t="str">
            <v>Miriam Paredes Household</v>
          </cell>
          <cell r="D1901" t="str">
            <v>Superintendencia Miriam Paredes</v>
          </cell>
        </row>
        <row r="1902">
          <cell r="C1902" t="str">
            <v>MODAI Household</v>
          </cell>
          <cell r="D1902" t="str">
            <v>ISABELLA MODAI</v>
          </cell>
        </row>
        <row r="1903">
          <cell r="C1903" t="str">
            <v>MOGOLLON Household</v>
          </cell>
          <cell r="D1903" t="str">
            <v>JAMES MOGOLLON</v>
          </cell>
        </row>
        <row r="1904">
          <cell r="C1904" t="str">
            <v>Mogollón Household</v>
          </cell>
          <cell r="D1904" t="str">
            <v>Oriana Mogollón</v>
          </cell>
        </row>
        <row r="1905">
          <cell r="C1905" t="str">
            <v>Molina Essity Household</v>
          </cell>
          <cell r="D1905" t="str">
            <v>Kenneth Molina Essity</v>
          </cell>
        </row>
        <row r="1906">
          <cell r="C1906" t="str">
            <v>Molina Household</v>
          </cell>
          <cell r="D1906" t="str">
            <v>Claudia Molina</v>
          </cell>
        </row>
        <row r="1907">
          <cell r="C1907" t="str">
            <v>Molina Household</v>
          </cell>
          <cell r="D1907" t="str">
            <v>Gabriela Molina</v>
          </cell>
        </row>
        <row r="1908">
          <cell r="C1908" t="str">
            <v>Molinar Household</v>
          </cell>
          <cell r="D1908" t="str">
            <v>Yarabis Molinar</v>
          </cell>
        </row>
        <row r="1909">
          <cell r="C1909" t="str">
            <v>MONCAYO Household</v>
          </cell>
          <cell r="D1909" t="str">
            <v>ARMANDO MONCAYO</v>
          </cell>
        </row>
        <row r="1910">
          <cell r="C1910" t="str">
            <v>Mondragon Household</v>
          </cell>
          <cell r="D1910" t="str">
            <v>Miguel Mondragon</v>
          </cell>
        </row>
        <row r="1911">
          <cell r="C1911" t="str">
            <v>MONTALVAN Household</v>
          </cell>
          <cell r="D1911" t="str">
            <v>VALERIA MONTALVAN</v>
          </cell>
        </row>
        <row r="1912">
          <cell r="C1912" t="str">
            <v>Montenegro Household</v>
          </cell>
          <cell r="D1912" t="str">
            <v>Hector Luis Montenegro</v>
          </cell>
        </row>
        <row r="1913">
          <cell r="C1913" t="str">
            <v>Montenegro Household</v>
          </cell>
          <cell r="D1913" t="str">
            <v>Maria Montenegro</v>
          </cell>
        </row>
        <row r="1914">
          <cell r="C1914" t="str">
            <v>Montero Household</v>
          </cell>
          <cell r="D1914" t="str">
            <v>Desireé Montero</v>
          </cell>
        </row>
        <row r="1915">
          <cell r="C1915" t="str">
            <v>Montero Household</v>
          </cell>
          <cell r="D1915" t="str">
            <v>Desireé Montero Montero</v>
          </cell>
        </row>
        <row r="1916">
          <cell r="C1916" t="str">
            <v>MOntilla Household</v>
          </cell>
          <cell r="D1916" t="str">
            <v>Omar MOntilla</v>
          </cell>
        </row>
        <row r="1917">
          <cell r="C1917" t="str">
            <v>Moraga Household</v>
          </cell>
          <cell r="D1917" t="str">
            <v>Wiston Moraga</v>
          </cell>
        </row>
        <row r="1918">
          <cell r="C1918" t="str">
            <v>Morales Household</v>
          </cell>
          <cell r="D1918" t="str">
            <v>Ana Gabriela Morales</v>
          </cell>
        </row>
        <row r="1919">
          <cell r="C1919" t="str">
            <v>Morales Household</v>
          </cell>
          <cell r="D1919" t="str">
            <v>Ayleen Morales</v>
          </cell>
        </row>
        <row r="1920">
          <cell r="C1920" t="str">
            <v>Morales Household</v>
          </cell>
          <cell r="D1920" t="str">
            <v>Diener Morales</v>
          </cell>
        </row>
        <row r="1921">
          <cell r="C1921" t="str">
            <v>Morales Household</v>
          </cell>
          <cell r="D1921" t="str">
            <v>Keyla Morales</v>
          </cell>
        </row>
        <row r="1922">
          <cell r="C1922" t="str">
            <v>Morales Household</v>
          </cell>
          <cell r="D1922" t="str">
            <v>Valerie Morales</v>
          </cell>
        </row>
        <row r="1923">
          <cell r="C1923" t="str">
            <v>Morales Household</v>
          </cell>
          <cell r="D1923" t="str">
            <v>Yauzeli Morales</v>
          </cell>
        </row>
        <row r="1924">
          <cell r="C1924" t="str">
            <v>Morales Household</v>
          </cell>
          <cell r="D1924" t="str">
            <v>Yauzely Morales</v>
          </cell>
        </row>
        <row r="1925">
          <cell r="C1925" t="str">
            <v>Morales Villarreal Household</v>
          </cell>
          <cell r="D1925" t="str">
            <v>Edgar Ivan Morales Villarreal</v>
          </cell>
        </row>
        <row r="1926">
          <cell r="C1926" t="str">
            <v>Morán Household</v>
          </cell>
          <cell r="D1926" t="str">
            <v>Ricardo Morán</v>
          </cell>
        </row>
        <row r="1927">
          <cell r="C1927" t="str">
            <v>Moreno Household</v>
          </cell>
          <cell r="D1927" t="str">
            <v>Alainy Moreno</v>
          </cell>
        </row>
        <row r="1928">
          <cell r="C1928" t="str">
            <v>Moreno Household</v>
          </cell>
          <cell r="D1928" t="str">
            <v>Anthoni Moreno</v>
          </cell>
        </row>
        <row r="1929">
          <cell r="C1929" t="str">
            <v>Moreno Household</v>
          </cell>
          <cell r="D1929" t="str">
            <v>Astrid Moreno</v>
          </cell>
        </row>
        <row r="1930">
          <cell r="C1930" t="str">
            <v>Moreno Household</v>
          </cell>
          <cell r="D1930" t="str">
            <v>Carla Moreno</v>
          </cell>
        </row>
        <row r="1931">
          <cell r="C1931" t="str">
            <v>Moreno Household</v>
          </cell>
          <cell r="D1931" t="str">
            <v>Diana Moreno</v>
          </cell>
        </row>
        <row r="1932">
          <cell r="C1932" t="str">
            <v>Moreno Household</v>
          </cell>
          <cell r="D1932" t="str">
            <v>Edward Moreno</v>
          </cell>
        </row>
        <row r="1933">
          <cell r="C1933" t="str">
            <v>Moreno Household</v>
          </cell>
          <cell r="D1933" t="str">
            <v>Grace moreno</v>
          </cell>
        </row>
        <row r="1934">
          <cell r="C1934" t="str">
            <v>Moreno Household</v>
          </cell>
          <cell r="D1934" t="str">
            <v>Jerameel Moreno</v>
          </cell>
        </row>
        <row r="1935">
          <cell r="C1935" t="str">
            <v>Moreno Household</v>
          </cell>
          <cell r="D1935" t="str">
            <v>Karla Moreno</v>
          </cell>
        </row>
        <row r="1936">
          <cell r="C1936" t="str">
            <v>Moreno Household</v>
          </cell>
          <cell r="D1936" t="str">
            <v>Luis Francisco Moreno</v>
          </cell>
        </row>
        <row r="1937">
          <cell r="C1937" t="str">
            <v>Moreno Household</v>
          </cell>
          <cell r="D1937" t="str">
            <v>Maribel Moreno</v>
          </cell>
        </row>
        <row r="1938">
          <cell r="C1938" t="str">
            <v>Moreno Household</v>
          </cell>
          <cell r="D1938" t="str">
            <v>Marta Moreno</v>
          </cell>
        </row>
        <row r="1939">
          <cell r="C1939" t="str">
            <v>Moreno Household</v>
          </cell>
          <cell r="D1939" t="str">
            <v>PEDRO MORENO</v>
          </cell>
          <cell r="F1939" t="str">
            <v>6686-1209</v>
          </cell>
        </row>
        <row r="1940">
          <cell r="C1940" t="str">
            <v>Moreno Household</v>
          </cell>
          <cell r="D1940" t="str">
            <v>PEDRO MORENO</v>
          </cell>
        </row>
        <row r="1941">
          <cell r="C1941" t="str">
            <v>Moreno Household</v>
          </cell>
          <cell r="D1941" t="str">
            <v>Roderick Moreno</v>
          </cell>
        </row>
        <row r="1942">
          <cell r="C1942" t="str">
            <v>Moreno Household</v>
          </cell>
          <cell r="D1942" t="str">
            <v>Walter Moreno</v>
          </cell>
        </row>
        <row r="1943">
          <cell r="C1943" t="str">
            <v>Moreno Household</v>
          </cell>
          <cell r="D1943" t="str">
            <v>YARIELA MORENO</v>
          </cell>
        </row>
        <row r="1944">
          <cell r="C1944" t="str">
            <v>Moreno Rios Household</v>
          </cell>
          <cell r="D1944" t="str">
            <v>Samuel Moreno Rios</v>
          </cell>
        </row>
        <row r="1945">
          <cell r="C1945" t="str">
            <v>Morgan Household</v>
          </cell>
          <cell r="D1945" t="str">
            <v>Diana Morgan</v>
          </cell>
        </row>
        <row r="1946">
          <cell r="C1946" t="str">
            <v>Morris Household</v>
          </cell>
          <cell r="D1946" t="str">
            <v>Freidy Morris</v>
          </cell>
        </row>
        <row r="1947">
          <cell r="C1947" t="str">
            <v>Morris Household</v>
          </cell>
          <cell r="D1947" t="str">
            <v>MERCEDES MORRIS</v>
          </cell>
        </row>
        <row r="1948">
          <cell r="C1948" t="str">
            <v>Mosquera Household</v>
          </cell>
          <cell r="D1948" t="str">
            <v>Nayrobis Mosquera</v>
          </cell>
        </row>
        <row r="1949">
          <cell r="C1949" t="str">
            <v>Motta Household</v>
          </cell>
          <cell r="D1949" t="str">
            <v>Fundación Felipe Motta</v>
          </cell>
        </row>
        <row r="1950">
          <cell r="C1950" t="str">
            <v>Motta Latorraca Household</v>
          </cell>
          <cell r="D1950" t="str">
            <v>Jose Santos Motta Latorraca</v>
          </cell>
        </row>
        <row r="1951">
          <cell r="C1951" t="str">
            <v>Moya Household</v>
          </cell>
          <cell r="D1951" t="str">
            <v>Rosmery Moya</v>
          </cell>
        </row>
        <row r="1952">
          <cell r="C1952" t="str">
            <v>Multibank Household</v>
          </cell>
          <cell r="D1952" t="str">
            <v>Multibank</v>
          </cell>
        </row>
        <row r="1953">
          <cell r="C1953" t="str">
            <v>Muñoz Household</v>
          </cell>
          <cell r="D1953" t="str">
            <v>Alexis Muñoz</v>
          </cell>
        </row>
        <row r="1954">
          <cell r="C1954" t="str">
            <v>Muñoz Household</v>
          </cell>
          <cell r="D1954" t="str">
            <v>Christian Muñoz</v>
          </cell>
        </row>
        <row r="1955">
          <cell r="C1955" t="str">
            <v>Muñoz Household</v>
          </cell>
          <cell r="D1955" t="str">
            <v>HORACIO MUÑOZ</v>
          </cell>
        </row>
        <row r="1956">
          <cell r="C1956" t="str">
            <v>Muñoz Household</v>
          </cell>
          <cell r="D1956" t="str">
            <v>Jose Muñoz</v>
          </cell>
          <cell r="F1956" t="str">
            <v>6406-0312</v>
          </cell>
        </row>
        <row r="1957">
          <cell r="C1957" t="str">
            <v>Muñoz Household</v>
          </cell>
          <cell r="D1957" t="str">
            <v>Juan Jose Muñoz</v>
          </cell>
        </row>
        <row r="1958">
          <cell r="C1958" t="str">
            <v>Muñoz Household</v>
          </cell>
          <cell r="D1958" t="str">
            <v>Vera Muñoz</v>
          </cell>
        </row>
        <row r="1959">
          <cell r="C1959" t="str">
            <v>Murillo Household</v>
          </cell>
          <cell r="D1959" t="str">
            <v>Alejandra Murillo</v>
          </cell>
        </row>
        <row r="1960">
          <cell r="C1960" t="str">
            <v>Murillo Household</v>
          </cell>
          <cell r="D1960" t="str">
            <v>Daniella Murillo</v>
          </cell>
        </row>
        <row r="1961">
          <cell r="C1961" t="str">
            <v>Murillo Household</v>
          </cell>
          <cell r="D1961" t="str">
            <v>Fabio Murillo</v>
          </cell>
        </row>
        <row r="1962">
          <cell r="C1962" t="str">
            <v>Murillo Household</v>
          </cell>
          <cell r="D1962" t="str">
            <v>Jose Murillo</v>
          </cell>
        </row>
        <row r="1963">
          <cell r="C1963" t="str">
            <v>Murillo Household</v>
          </cell>
          <cell r="D1963" t="str">
            <v>Leydis Murillo</v>
          </cell>
        </row>
        <row r="1964">
          <cell r="C1964" t="str">
            <v>Murillo Household</v>
          </cell>
          <cell r="D1964" t="str">
            <v>Maria Sofía Murillo</v>
          </cell>
        </row>
        <row r="1965">
          <cell r="C1965" t="str">
            <v>Murillo Household</v>
          </cell>
          <cell r="D1965" t="str">
            <v>Thaiz Murillo</v>
          </cell>
        </row>
        <row r="1966">
          <cell r="C1966" t="str">
            <v>Murillo Household</v>
          </cell>
          <cell r="D1966" t="str">
            <v>Yasmina Murillo</v>
          </cell>
        </row>
        <row r="1967">
          <cell r="C1967" t="str">
            <v>Musci Household</v>
          </cell>
          <cell r="D1967" t="str">
            <v>Doit Center Grazia Musci</v>
          </cell>
        </row>
        <row r="1968">
          <cell r="C1968" t="str">
            <v>Nájera Household</v>
          </cell>
          <cell r="D1968" t="str">
            <v>Daniella Nájera</v>
          </cell>
        </row>
        <row r="1969">
          <cell r="C1969" t="str">
            <v>Navarro C. SAN JUDAS TADEO Household</v>
          </cell>
          <cell r="D1969" t="str">
            <v>Viviana Navarro C. SAN JUDAS TADEO</v>
          </cell>
        </row>
        <row r="1970">
          <cell r="C1970" t="str">
            <v>Navarro Household</v>
          </cell>
          <cell r="D1970" t="str">
            <v>Aneth Navarro</v>
          </cell>
        </row>
        <row r="1971">
          <cell r="C1971" t="str">
            <v>Navarro Household</v>
          </cell>
          <cell r="D1971" t="str">
            <v>Hector Navarro</v>
          </cell>
        </row>
        <row r="1972">
          <cell r="C1972" t="str">
            <v>Navarro Household</v>
          </cell>
          <cell r="D1972" t="str">
            <v>Marcos Navarro</v>
          </cell>
        </row>
        <row r="1973">
          <cell r="C1973" t="str">
            <v>Navarro Household</v>
          </cell>
          <cell r="D1973" t="str">
            <v>MARIA FERNANDA NAVARRO</v>
          </cell>
        </row>
        <row r="1974">
          <cell r="C1974" t="str">
            <v>Newball Household</v>
          </cell>
          <cell r="D1974" t="str">
            <v>Maria Newball</v>
          </cell>
        </row>
        <row r="1975">
          <cell r="C1975" t="str">
            <v>Newball Household</v>
          </cell>
          <cell r="D1975" t="str">
            <v>Nathalie Newball</v>
          </cell>
        </row>
        <row r="1976">
          <cell r="C1976" t="str">
            <v>NIETO Household</v>
          </cell>
          <cell r="D1976" t="str">
            <v>EURIK NIETO</v>
          </cell>
        </row>
        <row r="1977">
          <cell r="C1977" t="str">
            <v>NIETO Household</v>
          </cell>
          <cell r="D1977" t="str">
            <v>Michaelys Nieto</v>
          </cell>
        </row>
        <row r="1978">
          <cell r="C1978" t="str">
            <v>NOLAND Household</v>
          </cell>
          <cell r="D1978" t="str">
            <v>PADRE EMMET NOLAND</v>
          </cell>
        </row>
        <row r="1979">
          <cell r="C1979" t="str">
            <v>Nunes Household</v>
          </cell>
          <cell r="D1979" t="str">
            <v>Stephany Nunes</v>
          </cell>
        </row>
        <row r="1980">
          <cell r="C1980" t="str">
            <v>Nuñez Household</v>
          </cell>
          <cell r="D1980" t="str">
            <v>Ana Verónica Nuñez</v>
          </cell>
        </row>
        <row r="1981">
          <cell r="C1981" t="str">
            <v>Nuñez Household</v>
          </cell>
          <cell r="D1981" t="str">
            <v>Karol Nuñez</v>
          </cell>
        </row>
        <row r="1982">
          <cell r="C1982" t="str">
            <v>Nuñez Household</v>
          </cell>
          <cell r="D1982" t="str">
            <v>RUBEN NUÑEZ</v>
          </cell>
          <cell r="F1982" t="str">
            <v>65218093</v>
          </cell>
        </row>
        <row r="1983">
          <cell r="C1983" t="str">
            <v>Nuñez Household</v>
          </cell>
          <cell r="D1983" t="str">
            <v>Thaisa Nuñez</v>
          </cell>
        </row>
        <row r="1984">
          <cell r="C1984" t="str">
            <v>Nuñez Itse Household</v>
          </cell>
          <cell r="D1984" t="str">
            <v>Karol Nuñez Itse</v>
          </cell>
        </row>
        <row r="1985">
          <cell r="C1985" t="str">
            <v>Nurse Household</v>
          </cell>
          <cell r="D1985" t="str">
            <v>Mario Nurse</v>
          </cell>
        </row>
        <row r="1986">
          <cell r="C1986" t="str">
            <v>Ocalagan Household</v>
          </cell>
          <cell r="D1986" t="str">
            <v>Alejandro Ocalagan</v>
          </cell>
        </row>
        <row r="1987">
          <cell r="C1987" t="str">
            <v>Ojeda Household</v>
          </cell>
          <cell r="D1987" t="str">
            <v>Vielka Ojeda</v>
          </cell>
        </row>
        <row r="1988">
          <cell r="C1988" t="str">
            <v>Olivardia Household</v>
          </cell>
          <cell r="D1988" t="str">
            <v>Leisy Olivardia</v>
          </cell>
        </row>
        <row r="1989">
          <cell r="C1989" t="str">
            <v>Olivares Household</v>
          </cell>
          <cell r="D1989" t="str">
            <v>Mercedes Olivares</v>
          </cell>
        </row>
        <row r="1990">
          <cell r="C1990" t="str">
            <v>Olivero Household</v>
          </cell>
          <cell r="D1990" t="str">
            <v>Joharis Olivero</v>
          </cell>
        </row>
        <row r="1991">
          <cell r="C1991" t="str">
            <v>Omeir Household</v>
          </cell>
          <cell r="D1991" t="str">
            <v>Tomas Omeir</v>
          </cell>
        </row>
        <row r="1992">
          <cell r="C1992" t="str">
            <v>Ordoñez Household</v>
          </cell>
          <cell r="D1992" t="str">
            <v>Brenda Ordoñez</v>
          </cell>
        </row>
        <row r="1993">
          <cell r="C1993" t="str">
            <v>ORILLAC Household</v>
          </cell>
          <cell r="D1993" t="str">
            <v>ENRIQUE ORILLAC</v>
          </cell>
        </row>
        <row r="1994">
          <cell r="C1994" t="str">
            <v>Orozco Household</v>
          </cell>
          <cell r="D1994" t="str">
            <v>Yuliana Orozco</v>
          </cell>
        </row>
        <row r="1995">
          <cell r="C1995" t="str">
            <v>Orrego C. San Judas Tadeo Household</v>
          </cell>
          <cell r="D1995" t="str">
            <v>Claudia Orrego C. San Judas Tadeo</v>
          </cell>
        </row>
        <row r="1996">
          <cell r="C1996" t="str">
            <v>Ortega Anaya Household</v>
          </cell>
          <cell r="D1996" t="str">
            <v>Víctor René Ortega Anaya</v>
          </cell>
        </row>
        <row r="1997">
          <cell r="C1997" t="str">
            <v>Ortega Household</v>
          </cell>
          <cell r="D1997" t="str">
            <v>Aurora Ortega</v>
          </cell>
        </row>
        <row r="1998">
          <cell r="C1998" t="str">
            <v>Ortega Household</v>
          </cell>
          <cell r="D1998" t="str">
            <v>Jackelyne Ortega</v>
          </cell>
        </row>
        <row r="1999">
          <cell r="C1999" t="str">
            <v>Ortega Household</v>
          </cell>
          <cell r="D1999" t="str">
            <v>Jose Ortega</v>
          </cell>
        </row>
        <row r="2000">
          <cell r="C2000" t="str">
            <v>Ortega Household</v>
          </cell>
          <cell r="D2000" t="str">
            <v>Marixenia Ortega</v>
          </cell>
        </row>
        <row r="2001">
          <cell r="C2001" t="str">
            <v>Ortega Household</v>
          </cell>
          <cell r="D2001" t="str">
            <v>Yajaira Ortega</v>
          </cell>
        </row>
        <row r="2002">
          <cell r="C2002" t="str">
            <v>Ortega Kerry Panama Household</v>
          </cell>
          <cell r="D2002" t="str">
            <v>Aurora Ortega Kerry Panama</v>
          </cell>
        </row>
        <row r="2003">
          <cell r="C2003" t="str">
            <v>ORTIZ Household</v>
          </cell>
          <cell r="D2003" t="str">
            <v>ALEXANDRA ORTIZ</v>
          </cell>
        </row>
        <row r="2004">
          <cell r="C2004" t="str">
            <v>Ortíz Household</v>
          </cell>
          <cell r="D2004" t="str">
            <v>Kerima Ortíz</v>
          </cell>
          <cell r="F2004" t="str">
            <v>6982-2320</v>
          </cell>
        </row>
        <row r="2005">
          <cell r="C2005" t="str">
            <v>Osorio Elanco Panamá Household</v>
          </cell>
          <cell r="D2005" t="str">
            <v>David Osorio Elanco Panamá</v>
          </cell>
        </row>
        <row r="2006">
          <cell r="C2006" t="str">
            <v>OSORIO Household</v>
          </cell>
          <cell r="D2006" t="str">
            <v>Alma Osorio</v>
          </cell>
        </row>
        <row r="2007">
          <cell r="C2007" t="str">
            <v>OSORIO Household</v>
          </cell>
          <cell r="D2007" t="str">
            <v>Diana Osorio</v>
          </cell>
        </row>
        <row r="2008">
          <cell r="C2008" t="str">
            <v>OSORIO Household</v>
          </cell>
          <cell r="D2008" t="str">
            <v>ERICA OSORIO</v>
          </cell>
        </row>
        <row r="2009">
          <cell r="C2009" t="str">
            <v>OSORIO Household</v>
          </cell>
          <cell r="D2009" t="str">
            <v>Erika Osorio</v>
          </cell>
        </row>
        <row r="2010">
          <cell r="C2010" t="str">
            <v>OSORIO Household</v>
          </cell>
          <cell r="D2010" t="str">
            <v>Viviangabriela Osorio</v>
          </cell>
        </row>
        <row r="2011">
          <cell r="C2011" t="str">
            <v>OSORIO Household</v>
          </cell>
          <cell r="D2011" t="str">
            <v>Yamileth Osorio</v>
          </cell>
        </row>
        <row r="2012">
          <cell r="C2012" t="str">
            <v>Ostia Household</v>
          </cell>
          <cell r="D2012" t="str">
            <v>Ambar Ostia</v>
          </cell>
        </row>
        <row r="2013">
          <cell r="C2013" t="str">
            <v>Otero Household</v>
          </cell>
          <cell r="D2013" t="str">
            <v>Carla Otero</v>
          </cell>
        </row>
        <row r="2014">
          <cell r="C2014" t="str">
            <v>Otero Household</v>
          </cell>
          <cell r="D2014" t="str">
            <v>Nathalie Otero</v>
          </cell>
        </row>
        <row r="2015">
          <cell r="C2015" t="str">
            <v>Ow Young Household</v>
          </cell>
          <cell r="D2015" t="str">
            <v>Fernando Ow Young</v>
          </cell>
        </row>
        <row r="2016">
          <cell r="C2016" t="str">
            <v>Pacheco F. Deveaux Household</v>
          </cell>
          <cell r="D2016" t="str">
            <v>Desyaneiry Pacheco F. Deveaux</v>
          </cell>
        </row>
        <row r="2017">
          <cell r="C2017" t="str">
            <v>Padilla Household</v>
          </cell>
          <cell r="D2017" t="str">
            <v>Andrea Padilla</v>
          </cell>
        </row>
        <row r="2018">
          <cell r="C2018" t="str">
            <v>Padro Household</v>
          </cell>
          <cell r="D2018" t="str">
            <v>Jesus Padro</v>
          </cell>
        </row>
        <row r="2019">
          <cell r="C2019" t="str">
            <v>PAGES Household</v>
          </cell>
          <cell r="D2019" t="str">
            <v>OSCAR PAGES</v>
          </cell>
        </row>
        <row r="2020">
          <cell r="C2020" t="str">
            <v>Palma (HIAS) Household</v>
          </cell>
          <cell r="D2020" t="str">
            <v>Jorge Palma (HIAS)</v>
          </cell>
        </row>
        <row r="2021">
          <cell r="C2021" t="str">
            <v>Palma Household</v>
          </cell>
          <cell r="D2021" t="str">
            <v>Agusto Palma</v>
          </cell>
        </row>
        <row r="2022">
          <cell r="C2022" t="str">
            <v>Pan Oxford Household</v>
          </cell>
          <cell r="D2022" t="str">
            <v>bryan Pan Oxford</v>
          </cell>
        </row>
        <row r="2023">
          <cell r="C2023" t="str">
            <v>Panacredit Household</v>
          </cell>
          <cell r="D2023" t="str">
            <v>Patricia Quirós Panacredit</v>
          </cell>
        </row>
        <row r="2024">
          <cell r="C2024" t="str">
            <v>Paoletti Household</v>
          </cell>
          <cell r="D2024" t="str">
            <v>Giancarlo Paoletti</v>
          </cell>
        </row>
        <row r="2025">
          <cell r="C2025" t="str">
            <v>Paredes Household</v>
          </cell>
          <cell r="D2025" t="str">
            <v>Any Paredes</v>
          </cell>
        </row>
        <row r="2026">
          <cell r="C2026" t="str">
            <v>Paredes Household</v>
          </cell>
          <cell r="D2026" t="str">
            <v>Superintendencia Miriam Paredes</v>
          </cell>
        </row>
        <row r="2027">
          <cell r="C2027" t="str">
            <v>Paredes Johnson &amp; Johnson Household</v>
          </cell>
          <cell r="D2027" t="str">
            <v>Andrés Paredes Johnson &amp; Johnson</v>
          </cell>
        </row>
        <row r="2028">
          <cell r="C2028" t="str">
            <v>Parra Household</v>
          </cell>
          <cell r="D2028" t="str">
            <v>Joshue Parra</v>
          </cell>
        </row>
        <row r="2029">
          <cell r="C2029" t="str">
            <v>Parra Household</v>
          </cell>
          <cell r="D2029" t="str">
            <v>Julielis Parra</v>
          </cell>
        </row>
        <row r="2030">
          <cell r="C2030" t="str">
            <v>Pastor Villagrecia Household</v>
          </cell>
          <cell r="D2030" t="str">
            <v>Colegio Buen Pastor Villagrecia</v>
          </cell>
        </row>
        <row r="2031">
          <cell r="C2031" t="str">
            <v>Patiño Household</v>
          </cell>
          <cell r="D2031" t="str">
            <v>Angela Patiño</v>
          </cell>
        </row>
        <row r="2032">
          <cell r="C2032" t="str">
            <v>Patiño Household</v>
          </cell>
          <cell r="D2032" t="str">
            <v>Julissa Patiño</v>
          </cell>
        </row>
        <row r="2033">
          <cell r="C2033" t="str">
            <v>PATTERSON Household</v>
          </cell>
          <cell r="D2033" t="str">
            <v>AYERIMM PATTERSON</v>
          </cell>
        </row>
        <row r="2034">
          <cell r="C2034" t="str">
            <v>PAULINO Household</v>
          </cell>
          <cell r="D2034" t="str">
            <v>DIACONO PAULINO</v>
          </cell>
        </row>
        <row r="2035">
          <cell r="C2035" t="str">
            <v>Paz Household</v>
          </cell>
          <cell r="D2035" t="str">
            <v>José Paz</v>
          </cell>
        </row>
        <row r="2036">
          <cell r="C2036" t="str">
            <v>Paz Household</v>
          </cell>
          <cell r="D2036" t="str">
            <v>Linsy Paz</v>
          </cell>
        </row>
        <row r="2037">
          <cell r="C2037" t="str">
            <v>Paz Household</v>
          </cell>
          <cell r="D2037" t="str">
            <v>MAXIMA PAZ</v>
          </cell>
        </row>
        <row r="2038">
          <cell r="C2038" t="str">
            <v>Pazmiño Household</v>
          </cell>
          <cell r="D2038" t="str">
            <v>Susan Pazmiño</v>
          </cell>
        </row>
        <row r="2039">
          <cell r="C2039" t="str">
            <v>PEDERSEN Household</v>
          </cell>
          <cell r="D2039" t="str">
            <v>CHRISTIAN PEDERSEN</v>
          </cell>
        </row>
        <row r="2040">
          <cell r="C2040" t="str">
            <v>Peña Household</v>
          </cell>
          <cell r="D2040" t="str">
            <v>Angelica Peña</v>
          </cell>
        </row>
        <row r="2041">
          <cell r="C2041" t="str">
            <v>Peña Household</v>
          </cell>
          <cell r="D2041" t="str">
            <v>Benigno Peña</v>
          </cell>
        </row>
        <row r="2042">
          <cell r="C2042" t="str">
            <v>Peña Household</v>
          </cell>
          <cell r="D2042" t="str">
            <v>Jose Peña</v>
          </cell>
        </row>
        <row r="2043">
          <cell r="C2043" t="str">
            <v>Peña Household</v>
          </cell>
          <cell r="D2043" t="str">
            <v>Sebastian Peña</v>
          </cell>
        </row>
        <row r="2044">
          <cell r="C2044" t="str">
            <v>Peñalba Household</v>
          </cell>
          <cell r="D2044" t="str">
            <v>Avelio Peñalba</v>
          </cell>
        </row>
        <row r="2045">
          <cell r="C2045" t="str">
            <v>Peñaloza Household</v>
          </cell>
          <cell r="D2045" t="str">
            <v>Angelica Peñaloza</v>
          </cell>
          <cell r="F2045" t="str">
            <v>6320-3347</v>
          </cell>
        </row>
        <row r="2046">
          <cell r="C2046" t="str">
            <v>Peñaloza Household</v>
          </cell>
          <cell r="D2046" t="str">
            <v>Yisel Peñaloza</v>
          </cell>
        </row>
        <row r="2047">
          <cell r="C2047" t="str">
            <v>Peralta Household</v>
          </cell>
          <cell r="D2047" t="str">
            <v>Emma Peralta</v>
          </cell>
        </row>
        <row r="2048">
          <cell r="C2048" t="str">
            <v>Pereira de Carvalho P.S.A Household</v>
          </cell>
          <cell r="D2048" t="str">
            <v>Lorena Pereira de Carvalho P.S.A</v>
          </cell>
        </row>
        <row r="2049">
          <cell r="C2049" t="str">
            <v>Pereira Household</v>
          </cell>
          <cell r="D2049" t="str">
            <v>Joao Pereira</v>
          </cell>
        </row>
        <row r="2050">
          <cell r="C2050" t="str">
            <v>Pérez Arias Household</v>
          </cell>
          <cell r="D2050" t="str">
            <v>Jaime Pérez Arias</v>
          </cell>
          <cell r="F2050" t="str">
            <v>6672-5316</v>
          </cell>
        </row>
        <row r="2051">
          <cell r="C2051" t="str">
            <v>Perez Household</v>
          </cell>
          <cell r="D2051" t="str">
            <v>DIOGENES PEREZ</v>
          </cell>
        </row>
        <row r="2052">
          <cell r="C2052" t="str">
            <v>Perez Household</v>
          </cell>
          <cell r="D2052" t="str">
            <v>Giselle Perez</v>
          </cell>
        </row>
        <row r="2053">
          <cell r="C2053" t="str">
            <v>Perez Household</v>
          </cell>
          <cell r="D2053" t="str">
            <v>ISOLDA Perez</v>
          </cell>
        </row>
        <row r="2054">
          <cell r="C2054" t="str">
            <v>Perez Household</v>
          </cell>
          <cell r="D2054" t="str">
            <v>Jaime Perez</v>
          </cell>
          <cell r="F2054" t="str">
            <v>6672-5316</v>
          </cell>
        </row>
        <row r="2055">
          <cell r="C2055" t="str">
            <v>Perez Household</v>
          </cell>
          <cell r="D2055" t="str">
            <v>Josep Perez</v>
          </cell>
        </row>
        <row r="2056">
          <cell r="C2056" t="str">
            <v>Perez Household</v>
          </cell>
          <cell r="D2056" t="str">
            <v>Juan Diego Perez</v>
          </cell>
        </row>
        <row r="2057">
          <cell r="C2057" t="str">
            <v>Perez Household</v>
          </cell>
          <cell r="D2057" t="str">
            <v>Luciano Perez</v>
          </cell>
        </row>
        <row r="2058">
          <cell r="C2058" t="str">
            <v>Perez Household</v>
          </cell>
          <cell r="D2058" t="str">
            <v>maria perez</v>
          </cell>
        </row>
        <row r="2059">
          <cell r="C2059" t="str">
            <v>Perez Household</v>
          </cell>
          <cell r="D2059" t="str">
            <v>NEAL PEREZ</v>
          </cell>
        </row>
        <row r="2060">
          <cell r="C2060" t="str">
            <v>Perez Household</v>
          </cell>
          <cell r="D2060" t="str">
            <v>Reyna Perez</v>
          </cell>
        </row>
        <row r="2061">
          <cell r="C2061" t="str">
            <v>Perez Household</v>
          </cell>
          <cell r="D2061" t="str">
            <v>Sara Perez</v>
          </cell>
        </row>
        <row r="2062">
          <cell r="C2062" t="str">
            <v>Perez Household</v>
          </cell>
          <cell r="D2062" t="str">
            <v>XIOMARA Perez</v>
          </cell>
        </row>
        <row r="2063">
          <cell r="C2063" t="str">
            <v>Pérez Household</v>
          </cell>
          <cell r="D2063" t="str">
            <v>Gabriela Pérez</v>
          </cell>
        </row>
        <row r="2064">
          <cell r="C2064" t="str">
            <v>Pérez Household</v>
          </cell>
          <cell r="D2064" t="str">
            <v>Helen Pérez</v>
          </cell>
        </row>
        <row r="2065">
          <cell r="C2065" t="str">
            <v>Pérez Household</v>
          </cell>
          <cell r="D2065" t="str">
            <v>Hellen Pérez</v>
          </cell>
        </row>
        <row r="2066">
          <cell r="C2066" t="str">
            <v>Pérez Household</v>
          </cell>
          <cell r="D2066" t="str">
            <v>José Alberto Pérez</v>
          </cell>
        </row>
        <row r="2067">
          <cell r="C2067" t="str">
            <v>Pérez Household</v>
          </cell>
          <cell r="D2067" t="str">
            <v>Kalena Pérez</v>
          </cell>
        </row>
        <row r="2068">
          <cell r="C2068" t="str">
            <v>Pérez Household</v>
          </cell>
          <cell r="D2068" t="str">
            <v>Lilibeth Pérez</v>
          </cell>
        </row>
        <row r="2069">
          <cell r="C2069" t="str">
            <v>Pérez Household</v>
          </cell>
          <cell r="D2069" t="str">
            <v>Lisneth Pérez</v>
          </cell>
        </row>
        <row r="2070">
          <cell r="C2070" t="str">
            <v>Pérez Household</v>
          </cell>
          <cell r="D2070" t="str">
            <v>Valeria Pérez</v>
          </cell>
        </row>
        <row r="2071">
          <cell r="C2071" t="str">
            <v>PerezPrueba Household</v>
          </cell>
          <cell r="D2071" t="str">
            <v>PepitoPrueba PerezPrueba</v>
          </cell>
        </row>
        <row r="2072">
          <cell r="C2072" t="str">
            <v>Perigault Household</v>
          </cell>
          <cell r="D2072" t="str">
            <v>Melody Perigault</v>
          </cell>
        </row>
        <row r="2073">
          <cell r="C2073" t="str">
            <v>Pestana Household</v>
          </cell>
          <cell r="D2073" t="str">
            <v>Marcela Pestana</v>
          </cell>
        </row>
        <row r="2074">
          <cell r="C2074" t="str">
            <v>Piad Household</v>
          </cell>
          <cell r="D2074" t="str">
            <v>Valerie Piad</v>
          </cell>
        </row>
        <row r="2075">
          <cell r="C2075" t="str">
            <v>Pimentel Household</v>
          </cell>
          <cell r="D2075" t="str">
            <v>Sol Pimentel</v>
          </cell>
        </row>
        <row r="2076">
          <cell r="C2076" t="str">
            <v>Pinate Household</v>
          </cell>
          <cell r="D2076" t="str">
            <v>Colegio Elena Ch Pinate</v>
          </cell>
        </row>
        <row r="2077">
          <cell r="C2077" t="str">
            <v>Pineda de Chiari Household</v>
          </cell>
          <cell r="D2077" t="str">
            <v>Isis Pineda de Chiari</v>
          </cell>
          <cell r="F2077" t="str">
            <v>392-5304</v>
          </cell>
        </row>
        <row r="2078">
          <cell r="C2078" t="str">
            <v>Pineda de Chiari Household</v>
          </cell>
          <cell r="D2078" t="str">
            <v>Isis Pineda de Chiari</v>
          </cell>
        </row>
        <row r="2079">
          <cell r="C2079" t="str">
            <v>Pineda Household</v>
          </cell>
          <cell r="D2079" t="str">
            <v>Fredy Pineda</v>
          </cell>
        </row>
        <row r="2080">
          <cell r="C2080" t="str">
            <v>Pineda Household</v>
          </cell>
          <cell r="D2080" t="str">
            <v>Genesis Pineda</v>
          </cell>
        </row>
        <row r="2081">
          <cell r="C2081" t="str">
            <v>Pineda Household</v>
          </cell>
          <cell r="D2081" t="str">
            <v>Gustavo Pineda</v>
          </cell>
        </row>
        <row r="2082">
          <cell r="C2082" t="str">
            <v>Pineda Household</v>
          </cell>
          <cell r="D2082" t="str">
            <v>Laura Pineda</v>
          </cell>
        </row>
        <row r="2083">
          <cell r="C2083" t="str">
            <v>Pineda Household</v>
          </cell>
          <cell r="D2083" t="str">
            <v>Oliveth Pineda</v>
          </cell>
        </row>
        <row r="2084">
          <cell r="C2084" t="str">
            <v>Pineda Household</v>
          </cell>
          <cell r="D2084" t="str">
            <v>Toledano Celmira Pineda</v>
          </cell>
        </row>
        <row r="2085">
          <cell r="C2085" t="str">
            <v>Pineda Instituto Atenea Household</v>
          </cell>
          <cell r="D2085" t="str">
            <v>Victoria Pineda Instituto Atenea</v>
          </cell>
        </row>
        <row r="2086">
          <cell r="C2086" t="str">
            <v>Pinilla Household</v>
          </cell>
          <cell r="D2086" t="str">
            <v>José Pinilla</v>
          </cell>
        </row>
        <row r="2087">
          <cell r="C2087" t="str">
            <v>Pinilla Household</v>
          </cell>
          <cell r="D2087" t="str">
            <v>Kimberly Pinilla</v>
          </cell>
        </row>
        <row r="2088">
          <cell r="C2088" t="str">
            <v>Pinilla Household</v>
          </cell>
          <cell r="D2088" t="str">
            <v>Luis Manuel Pinilla</v>
          </cell>
          <cell r="F2088" t="str">
            <v>6072-6404</v>
          </cell>
        </row>
        <row r="2089">
          <cell r="C2089" t="str">
            <v>Pinilla Household</v>
          </cell>
          <cell r="D2089" t="str">
            <v>Mario Pinilla</v>
          </cell>
        </row>
        <row r="2090">
          <cell r="C2090" t="str">
            <v>Pinilla Iglesia Manantial de Vida Household</v>
          </cell>
          <cell r="D2090" t="str">
            <v>Pastor Javier Pinilla Iglesia Manantial de Vida</v>
          </cell>
        </row>
        <row r="2091">
          <cell r="C2091" t="str">
            <v>Pinilla jimenez Household</v>
          </cell>
          <cell r="D2091" t="str">
            <v>José daniel Pinilla jimenez</v>
          </cell>
        </row>
        <row r="2092">
          <cell r="C2092" t="str">
            <v>Pino Household</v>
          </cell>
          <cell r="D2092" t="str">
            <v>Genesis Pino</v>
          </cell>
        </row>
        <row r="2093">
          <cell r="C2093" t="str">
            <v>Pinto Household</v>
          </cell>
          <cell r="D2093" t="str">
            <v>Evelio Pinto</v>
          </cell>
        </row>
        <row r="2094">
          <cell r="C2094" t="str">
            <v>Pinto Household</v>
          </cell>
          <cell r="D2094" t="str">
            <v>Yadilexi Pinto</v>
          </cell>
        </row>
        <row r="2095">
          <cell r="C2095" t="str">
            <v>PINZON Household</v>
          </cell>
          <cell r="D2095" t="str">
            <v>MARIA PINZON</v>
          </cell>
        </row>
        <row r="2096">
          <cell r="C2096" t="str">
            <v>Pinzón Household</v>
          </cell>
          <cell r="D2096" t="str">
            <v>Angel E. Pinzón</v>
          </cell>
        </row>
        <row r="2097">
          <cell r="C2097" t="str">
            <v>Pinzón Household</v>
          </cell>
          <cell r="D2097" t="str">
            <v>Cristina Pinzón</v>
          </cell>
        </row>
        <row r="2098">
          <cell r="C2098" t="str">
            <v>Pinzón Household</v>
          </cell>
          <cell r="D2098" t="str">
            <v>Iván Pinzón</v>
          </cell>
        </row>
        <row r="2099">
          <cell r="C2099" t="str">
            <v>Pinzón Household</v>
          </cell>
          <cell r="D2099" t="str">
            <v>Maria Fernanda Pinzón</v>
          </cell>
        </row>
        <row r="2100">
          <cell r="C2100" t="str">
            <v>Pinzón Household</v>
          </cell>
          <cell r="D2100" t="str">
            <v>Osmar Didier Pinzón</v>
          </cell>
        </row>
        <row r="2101">
          <cell r="C2101" t="str">
            <v>Pinzón Household</v>
          </cell>
          <cell r="D2101" t="str">
            <v>Paola Pinzón</v>
          </cell>
        </row>
        <row r="2102">
          <cell r="C2102" t="str">
            <v>Pitti Household</v>
          </cell>
          <cell r="D2102" t="str">
            <v>Juan Pitti</v>
          </cell>
        </row>
        <row r="2103">
          <cell r="C2103" t="str">
            <v>Pitti Household</v>
          </cell>
          <cell r="D2103" t="str">
            <v>Keysi Pitti</v>
          </cell>
        </row>
        <row r="2104">
          <cell r="C2104" t="str">
            <v>Pitty Household</v>
          </cell>
          <cell r="D2104" t="str">
            <v>Ameth Pitty</v>
          </cell>
          <cell r="F2104" t="str">
            <v>6263-1364</v>
          </cell>
        </row>
        <row r="2105">
          <cell r="C2105" t="str">
            <v>PLANELLS Household</v>
          </cell>
          <cell r="D2105" t="str">
            <v>PATRICIA PLANELLS</v>
          </cell>
        </row>
        <row r="2106">
          <cell r="C2106" t="str">
            <v>POLANCO Household</v>
          </cell>
          <cell r="D2106" t="str">
            <v>DIONISIO POLANCO</v>
          </cell>
        </row>
        <row r="2107">
          <cell r="C2107" t="str">
            <v>POLANCO Household</v>
          </cell>
          <cell r="D2107" t="str">
            <v>Vanesa Polanco</v>
          </cell>
          <cell r="F2107" t="str">
            <v>6468-5886</v>
          </cell>
        </row>
        <row r="2108">
          <cell r="C2108" t="str">
            <v>Ponce Household</v>
          </cell>
          <cell r="D2108" t="str">
            <v>Daniel Ponce</v>
          </cell>
        </row>
        <row r="2109">
          <cell r="C2109" t="str">
            <v>Ponce Household</v>
          </cell>
          <cell r="D2109" t="str">
            <v>Sugeily Ponce</v>
          </cell>
        </row>
        <row r="2110">
          <cell r="C2110" t="str">
            <v>Potter Household</v>
          </cell>
          <cell r="D2110" t="str">
            <v>Harry Potter</v>
          </cell>
        </row>
        <row r="2111">
          <cell r="C2111" t="str">
            <v>Poveda Cabrera Household</v>
          </cell>
          <cell r="D2111" t="str">
            <v>Hernesto Poveda Cabrera</v>
          </cell>
        </row>
        <row r="2112">
          <cell r="C2112" t="str">
            <v>POZO Household</v>
          </cell>
          <cell r="D2112" t="str">
            <v>KAREN POZO</v>
          </cell>
        </row>
        <row r="2113">
          <cell r="C2113" t="str">
            <v>Prado Household</v>
          </cell>
          <cell r="D2113" t="str">
            <v>Jonathan Prado</v>
          </cell>
        </row>
        <row r="2114">
          <cell r="C2114" t="str">
            <v>Probando Household</v>
          </cell>
          <cell r="D2114" t="str">
            <v>DiegoPrueba Probando</v>
          </cell>
        </row>
        <row r="2115">
          <cell r="C2115" t="str">
            <v>Prospectos Household</v>
          </cell>
          <cell r="D2115" t="str">
            <v>Prospectos Prospectos</v>
          </cell>
        </row>
        <row r="2116">
          <cell r="C2116" t="str">
            <v>Prueba household Household</v>
          </cell>
          <cell r="D2116" t="str">
            <v>Test Prueba household</v>
          </cell>
        </row>
        <row r="2117">
          <cell r="C2117" t="str">
            <v>Publicuatro Household</v>
          </cell>
          <cell r="D2117" t="str">
            <v>Publicuatro</v>
          </cell>
        </row>
        <row r="2118">
          <cell r="C2118" t="str">
            <v>Punongbaya Household</v>
          </cell>
          <cell r="D2118" t="str">
            <v>Tarymm Melissa Punongbaya</v>
          </cell>
        </row>
        <row r="2119">
          <cell r="C2119" t="str">
            <v>QUELQUEJEU Household</v>
          </cell>
          <cell r="D2119" t="str">
            <v>GRACIELA QUELQUEJEU</v>
          </cell>
        </row>
        <row r="2120">
          <cell r="C2120" t="str">
            <v>Quiel Household</v>
          </cell>
          <cell r="D2120" t="str">
            <v>Jesus Quiel</v>
          </cell>
        </row>
        <row r="2121">
          <cell r="C2121" t="str">
            <v>Quiel Household</v>
          </cell>
          <cell r="D2121" t="str">
            <v>NELSON QUIEL</v>
          </cell>
        </row>
        <row r="2122">
          <cell r="C2122" t="str">
            <v>Quiel Household</v>
          </cell>
          <cell r="D2122" t="str">
            <v>Ovidio Quiel</v>
          </cell>
        </row>
        <row r="2123">
          <cell r="C2123" t="str">
            <v>Quintana Household</v>
          </cell>
          <cell r="D2123" t="str">
            <v>Susana Quintana</v>
          </cell>
        </row>
        <row r="2124">
          <cell r="C2124" t="str">
            <v>Quintero Household</v>
          </cell>
          <cell r="D2124" t="str">
            <v>ADY Quintero</v>
          </cell>
        </row>
        <row r="2125">
          <cell r="C2125" t="str">
            <v>Quintero Household</v>
          </cell>
          <cell r="D2125" t="str">
            <v>Guillermo Quintero</v>
          </cell>
        </row>
        <row r="2126">
          <cell r="C2126" t="str">
            <v>Quintero Household</v>
          </cell>
          <cell r="D2126" t="str">
            <v>Ivanna Quintero</v>
          </cell>
        </row>
        <row r="2127">
          <cell r="C2127" t="str">
            <v>Quintero Household</v>
          </cell>
          <cell r="D2127" t="str">
            <v>Jeanette Quintero</v>
          </cell>
        </row>
        <row r="2128">
          <cell r="C2128" t="str">
            <v>Quintero Household</v>
          </cell>
          <cell r="D2128" t="str">
            <v>Josefina Quintero</v>
          </cell>
        </row>
        <row r="2129">
          <cell r="C2129" t="str">
            <v>Quintero Household</v>
          </cell>
          <cell r="D2129" t="str">
            <v>Viviana Quintero</v>
          </cell>
        </row>
        <row r="2130">
          <cell r="C2130" t="str">
            <v>Quintero Household</v>
          </cell>
          <cell r="D2130" t="str">
            <v>Yiniva Quintero</v>
          </cell>
        </row>
        <row r="2131">
          <cell r="C2131" t="str">
            <v>QUIÑONES Household</v>
          </cell>
          <cell r="D2131" t="str">
            <v>ERICK QUIÑONES</v>
          </cell>
        </row>
        <row r="2132">
          <cell r="C2132" t="str">
            <v>QUIÑONES Household</v>
          </cell>
          <cell r="D2132" t="str">
            <v>Leovigildo Quiñones</v>
          </cell>
        </row>
        <row r="2133">
          <cell r="C2133" t="str">
            <v>QUIROS Household</v>
          </cell>
          <cell r="D2133" t="str">
            <v>AFERNY QUIROS</v>
          </cell>
        </row>
        <row r="2134">
          <cell r="C2134" t="str">
            <v>QUIROS Household</v>
          </cell>
          <cell r="D2134" t="str">
            <v>HELENA QUIROS</v>
          </cell>
        </row>
        <row r="2135">
          <cell r="C2135" t="str">
            <v>Quirós Household</v>
          </cell>
          <cell r="D2135" t="str">
            <v>Javier Quirós</v>
          </cell>
        </row>
        <row r="2136">
          <cell r="C2136" t="str">
            <v>Quirós Household</v>
          </cell>
          <cell r="D2136" t="str">
            <v>Sebastián Quirós</v>
          </cell>
        </row>
        <row r="2137">
          <cell r="C2137" t="str">
            <v>Quiroz Household</v>
          </cell>
          <cell r="D2137" t="str">
            <v>Yibellys Quiroz</v>
          </cell>
        </row>
        <row r="2138">
          <cell r="C2138" t="str">
            <v>Ramirez Household</v>
          </cell>
          <cell r="D2138" t="str">
            <v>Gonzalo Ramirez</v>
          </cell>
        </row>
        <row r="2139">
          <cell r="C2139" t="str">
            <v>Ramirez Household</v>
          </cell>
          <cell r="D2139" t="str">
            <v>Roslyn Ramirez</v>
          </cell>
        </row>
        <row r="2140">
          <cell r="C2140" t="str">
            <v>Ramirez Household</v>
          </cell>
          <cell r="D2140" t="str">
            <v>Yarisbel Ramirez</v>
          </cell>
        </row>
        <row r="2141">
          <cell r="C2141" t="str">
            <v>Ramírez Household</v>
          </cell>
          <cell r="D2141" t="str">
            <v>José Ramírez</v>
          </cell>
        </row>
        <row r="2142">
          <cell r="C2142" t="str">
            <v>Ramírez Household</v>
          </cell>
          <cell r="D2142" t="str">
            <v>Rosalyn Ramírez</v>
          </cell>
        </row>
        <row r="2143">
          <cell r="C2143" t="str">
            <v>Ramos Acosta Household</v>
          </cell>
          <cell r="D2143" t="str">
            <v>Jose Isaac Ramos Acosta</v>
          </cell>
        </row>
        <row r="2144">
          <cell r="C2144" t="str">
            <v>Ramos Colegio San Judas Tadeo Household</v>
          </cell>
          <cell r="D2144" t="str">
            <v>Carlos Ramos Colegio San Judas Tadeo</v>
          </cell>
        </row>
        <row r="2145">
          <cell r="C2145" t="str">
            <v>Ramos de Lopez Household</v>
          </cell>
          <cell r="D2145" t="str">
            <v>Irma Ramos de Lopez</v>
          </cell>
        </row>
        <row r="2146">
          <cell r="C2146" t="str">
            <v>Ramos Household</v>
          </cell>
          <cell r="D2146" t="str">
            <v>Ana Ramos</v>
          </cell>
        </row>
        <row r="2147">
          <cell r="C2147" t="str">
            <v>Ramos Household</v>
          </cell>
          <cell r="D2147" t="str">
            <v>Andres Ramos</v>
          </cell>
        </row>
        <row r="2148">
          <cell r="C2148" t="str">
            <v>Ramos Household</v>
          </cell>
          <cell r="D2148" t="str">
            <v>Clemente Ramos</v>
          </cell>
          <cell r="F2148" t="str">
            <v>6675-1046</v>
          </cell>
        </row>
        <row r="2149">
          <cell r="C2149" t="str">
            <v>Ramos Household</v>
          </cell>
          <cell r="D2149" t="str">
            <v>Maria Victoria Ramos</v>
          </cell>
        </row>
        <row r="2150">
          <cell r="C2150" t="str">
            <v>RANDONJIC Household</v>
          </cell>
          <cell r="D2150" t="str">
            <v>ROXANA RANDONJIC</v>
          </cell>
          <cell r="F2150" t="str">
            <v>203-5926</v>
          </cell>
        </row>
        <row r="2151">
          <cell r="C2151" t="str">
            <v>Ranger Household</v>
          </cell>
          <cell r="D2151" t="str">
            <v>Graciela Ranger</v>
          </cell>
        </row>
        <row r="2152">
          <cell r="C2152" t="str">
            <v>Razon Household</v>
          </cell>
          <cell r="D2152" t="str">
            <v>Jaime Razon</v>
          </cell>
        </row>
        <row r="2153">
          <cell r="C2153" t="str">
            <v>REBOLLEDO Household</v>
          </cell>
          <cell r="D2153" t="str">
            <v>INELDA REBOLLEDO</v>
          </cell>
          <cell r="F2153" t="str">
            <v>6684-1584</v>
          </cell>
        </row>
        <row r="2154">
          <cell r="C2154" t="str">
            <v>REBOLLEDO Household</v>
          </cell>
          <cell r="D2154" t="str">
            <v>INELDA REBOLLEDO</v>
          </cell>
        </row>
        <row r="2155">
          <cell r="C2155" t="str">
            <v>Redondo Household</v>
          </cell>
          <cell r="D2155" t="str">
            <v>Ana Carolina Redondo</v>
          </cell>
        </row>
        <row r="2156">
          <cell r="C2156" t="str">
            <v>Reluz Household</v>
          </cell>
          <cell r="D2156" t="str">
            <v>Maria Fernanda Reluz</v>
          </cell>
        </row>
        <row r="2157">
          <cell r="C2157" t="str">
            <v>Rendon Household</v>
          </cell>
          <cell r="D2157" t="str">
            <v>Jason Rendon</v>
          </cell>
        </row>
        <row r="2158">
          <cell r="C2158" t="str">
            <v>Repetto Household</v>
          </cell>
          <cell r="D2158" t="str">
            <v>Yesenia Repetto</v>
          </cell>
        </row>
        <row r="2159">
          <cell r="C2159" t="str">
            <v>Revello Household</v>
          </cell>
          <cell r="D2159" t="str">
            <v>Ericka Revello</v>
          </cell>
        </row>
        <row r="2160">
          <cell r="C2160" t="str">
            <v>Revello Household</v>
          </cell>
          <cell r="D2160" t="str">
            <v>Erika Revello</v>
          </cell>
          <cell r="F2160" t="str">
            <v>320-1589</v>
          </cell>
        </row>
        <row r="2161">
          <cell r="C2161" t="str">
            <v>REY Household</v>
          </cell>
          <cell r="D2161" t="str">
            <v>NEREYDA REY</v>
          </cell>
        </row>
        <row r="2162">
          <cell r="C2162" t="str">
            <v>Reyes Household</v>
          </cell>
          <cell r="D2162" t="str">
            <v>Daniela Reyes</v>
          </cell>
        </row>
        <row r="2163">
          <cell r="C2163" t="str">
            <v>Reyes Household</v>
          </cell>
          <cell r="D2163" t="str">
            <v>Juan Reyes</v>
          </cell>
        </row>
        <row r="2164">
          <cell r="C2164" t="str">
            <v>Reyes Household</v>
          </cell>
          <cell r="D2164" t="str">
            <v>LOURDES REYES</v>
          </cell>
        </row>
        <row r="2165">
          <cell r="C2165" t="str">
            <v>Reyes Household</v>
          </cell>
          <cell r="D2165" t="str">
            <v>VALENA REYES</v>
          </cell>
        </row>
        <row r="2166">
          <cell r="C2166" t="str">
            <v>Reyes Household</v>
          </cell>
          <cell r="D2166" t="str">
            <v>Vivian Reyes</v>
          </cell>
        </row>
        <row r="2167">
          <cell r="C2167" t="str">
            <v>Reyna Household</v>
          </cell>
          <cell r="D2167" t="str">
            <v>Dario Reyna</v>
          </cell>
        </row>
        <row r="2168">
          <cell r="C2168" t="str">
            <v>Reyna Household</v>
          </cell>
          <cell r="D2168" t="str">
            <v>Olga Reyna</v>
          </cell>
        </row>
        <row r="2169">
          <cell r="C2169" t="str">
            <v>Reyna Household</v>
          </cell>
          <cell r="D2169" t="str">
            <v>TITA REYNA</v>
          </cell>
        </row>
        <row r="2170">
          <cell r="C2170" t="str">
            <v>Reyna Household</v>
          </cell>
          <cell r="D2170" t="str">
            <v>Vianneth Reyna</v>
          </cell>
        </row>
        <row r="2171">
          <cell r="C2171" t="str">
            <v>Richani Household</v>
          </cell>
          <cell r="D2171" t="str">
            <v>Samir Richani</v>
          </cell>
        </row>
        <row r="2172">
          <cell r="C2172" t="str">
            <v>Ríos Caballero Household</v>
          </cell>
          <cell r="D2172" t="str">
            <v>Raúl Alfonso Ríos Caballero</v>
          </cell>
        </row>
        <row r="2173">
          <cell r="C2173" t="str">
            <v>Rios Household</v>
          </cell>
          <cell r="D2173" t="str">
            <v>Rigo Rios</v>
          </cell>
        </row>
        <row r="2174">
          <cell r="C2174" t="str">
            <v>Ríos Household</v>
          </cell>
          <cell r="D2174" t="str">
            <v>Adrian Enrique  Ríos</v>
          </cell>
        </row>
        <row r="2175">
          <cell r="C2175" t="str">
            <v>Ríos Household</v>
          </cell>
          <cell r="D2175" t="str">
            <v>María Fernanda Ríos</v>
          </cell>
        </row>
        <row r="2176">
          <cell r="C2176" t="str">
            <v>Ríos Household</v>
          </cell>
          <cell r="D2176" t="str">
            <v>María Ríos</v>
          </cell>
        </row>
        <row r="2177">
          <cell r="C2177" t="str">
            <v>Ríos Household</v>
          </cell>
          <cell r="D2177" t="str">
            <v>Miguel Ríos</v>
          </cell>
        </row>
        <row r="2178">
          <cell r="C2178" t="str">
            <v>Ríos Household</v>
          </cell>
          <cell r="D2178" t="str">
            <v>Yazmina Ríos</v>
          </cell>
        </row>
        <row r="2179">
          <cell r="C2179" t="str">
            <v>Ríos Luque de Quintanar Household</v>
          </cell>
          <cell r="D2179" t="str">
            <v>Eris Ríos Luque de Quintanar</v>
          </cell>
        </row>
        <row r="2180">
          <cell r="C2180" t="str">
            <v>Risholm Household</v>
          </cell>
          <cell r="D2180" t="str">
            <v>Alexander Risholm</v>
          </cell>
        </row>
        <row r="2181">
          <cell r="C2181" t="str">
            <v>RIVAS Household</v>
          </cell>
          <cell r="D2181" t="str">
            <v>JUAN CARLOS RIVAS</v>
          </cell>
        </row>
        <row r="2182">
          <cell r="C2182" t="str">
            <v>RIVAS Household</v>
          </cell>
          <cell r="D2182" t="str">
            <v>Ninette Rivas</v>
          </cell>
        </row>
        <row r="2183">
          <cell r="C2183" t="str">
            <v>RIVAS Household</v>
          </cell>
          <cell r="D2183" t="str">
            <v>Raul Rivas</v>
          </cell>
        </row>
        <row r="2184">
          <cell r="C2184" t="str">
            <v>Rivera Household</v>
          </cell>
          <cell r="D2184" t="str">
            <v>Alina Rivera</v>
          </cell>
        </row>
        <row r="2185">
          <cell r="C2185" t="str">
            <v>Rivera Household</v>
          </cell>
          <cell r="D2185" t="str">
            <v>Angela Rivera</v>
          </cell>
        </row>
        <row r="2186">
          <cell r="C2186" t="str">
            <v>Rivera Household</v>
          </cell>
          <cell r="D2186" t="str">
            <v>Davivienda Yamileth Rivera</v>
          </cell>
        </row>
        <row r="2187">
          <cell r="C2187" t="str">
            <v>Rivera Household</v>
          </cell>
          <cell r="D2187" t="str">
            <v>Eduardo Rivera</v>
          </cell>
        </row>
        <row r="2188">
          <cell r="C2188" t="str">
            <v>Rivera Household</v>
          </cell>
          <cell r="D2188" t="str">
            <v>FULVIA RIVERA</v>
          </cell>
        </row>
        <row r="2189">
          <cell r="C2189" t="str">
            <v>Rivera Household</v>
          </cell>
          <cell r="D2189" t="str">
            <v>Hazel Rivera</v>
          </cell>
        </row>
        <row r="2190">
          <cell r="C2190" t="str">
            <v>Rivera Household</v>
          </cell>
          <cell r="D2190" t="str">
            <v>Lucia Rivera</v>
          </cell>
        </row>
        <row r="2191">
          <cell r="C2191" t="str">
            <v>Rivera Household</v>
          </cell>
          <cell r="D2191" t="str">
            <v>Roberto Rivera</v>
          </cell>
        </row>
        <row r="2192">
          <cell r="C2192" t="str">
            <v>Rivera Household</v>
          </cell>
          <cell r="D2192" t="str">
            <v>Roy Rivera</v>
          </cell>
        </row>
        <row r="2193">
          <cell r="C2193" t="str">
            <v>Rivera Household</v>
          </cell>
          <cell r="D2193" t="str">
            <v>Ruben Rivera</v>
          </cell>
        </row>
        <row r="2194">
          <cell r="C2194" t="str">
            <v>Robinson Household</v>
          </cell>
          <cell r="D2194" t="str">
            <v>Clare Robinson</v>
          </cell>
        </row>
        <row r="2195">
          <cell r="C2195" t="str">
            <v>Robinson Household</v>
          </cell>
          <cell r="D2195" t="str">
            <v>Nahomy Robinson</v>
          </cell>
        </row>
        <row r="2196">
          <cell r="C2196" t="str">
            <v>Robles Household</v>
          </cell>
          <cell r="D2196" t="str">
            <v>ABIGAIL ROBLES</v>
          </cell>
        </row>
        <row r="2197">
          <cell r="C2197" t="str">
            <v>Robles Household</v>
          </cell>
          <cell r="D2197" t="str">
            <v>ALEX Robles</v>
          </cell>
        </row>
        <row r="2198">
          <cell r="C2198" t="str">
            <v>Robles Household</v>
          </cell>
          <cell r="D2198" t="str">
            <v>ALVARO ROBLES</v>
          </cell>
        </row>
        <row r="2199">
          <cell r="C2199" t="str">
            <v>Robles Household</v>
          </cell>
          <cell r="D2199" t="str">
            <v>Antenor Robles</v>
          </cell>
        </row>
        <row r="2200">
          <cell r="C2200" t="str">
            <v>Rodriguez Avila Household</v>
          </cell>
          <cell r="D2200" t="str">
            <v>Valeria Rodriguez Avila</v>
          </cell>
        </row>
        <row r="2201">
          <cell r="C2201" t="str">
            <v>Rodriguez C.B. JESUS DE PRAGA Household</v>
          </cell>
          <cell r="D2201" t="str">
            <v>Stephanie Rodriguez C.B. JESUS DE PRAGA</v>
          </cell>
        </row>
        <row r="2202">
          <cell r="C2202" t="str">
            <v>Rodriguez Gracía Household</v>
          </cell>
          <cell r="D2202" t="str">
            <v>Sandra Rodriguez Gracía</v>
          </cell>
        </row>
        <row r="2203">
          <cell r="C2203" t="str">
            <v>Rodriguez Household</v>
          </cell>
          <cell r="D2203" t="str">
            <v>ADRIANA RODRIGUEZ</v>
          </cell>
        </row>
        <row r="2204">
          <cell r="C2204" t="str">
            <v>Rodriguez Household</v>
          </cell>
          <cell r="D2204" t="str">
            <v>Carlos Victor Rodriguez</v>
          </cell>
        </row>
        <row r="2205">
          <cell r="C2205" t="str">
            <v>Rodriguez Household</v>
          </cell>
          <cell r="D2205" t="str">
            <v>Daniel Rodriguez</v>
          </cell>
        </row>
        <row r="2206">
          <cell r="C2206" t="str">
            <v>Rodriguez Household</v>
          </cell>
          <cell r="D2206" t="str">
            <v>Daylis Rodriguez</v>
          </cell>
        </row>
        <row r="2207">
          <cell r="C2207" t="str">
            <v>Rodriguez Household</v>
          </cell>
          <cell r="D2207" t="str">
            <v>Edgardo Rodriguez</v>
          </cell>
        </row>
        <row r="2208">
          <cell r="C2208" t="str">
            <v>Rodriguez Household</v>
          </cell>
          <cell r="D2208" t="str">
            <v>Flora Rodriguez</v>
          </cell>
        </row>
        <row r="2209">
          <cell r="C2209" t="str">
            <v>Rodriguez Household</v>
          </cell>
          <cell r="D2209" t="str">
            <v>Francisco Rodriguez</v>
          </cell>
        </row>
        <row r="2210">
          <cell r="C2210" t="str">
            <v>Rodriguez Household</v>
          </cell>
          <cell r="D2210" t="str">
            <v>Jacinto Rodriguez</v>
          </cell>
        </row>
        <row r="2211">
          <cell r="C2211" t="str">
            <v>Rodriguez Household</v>
          </cell>
          <cell r="D2211" t="str">
            <v>Jhanel Rodriguez</v>
          </cell>
        </row>
        <row r="2212">
          <cell r="C2212" t="str">
            <v>Rodriguez Household</v>
          </cell>
          <cell r="D2212" t="str">
            <v>Jorge Rodriguez</v>
          </cell>
        </row>
        <row r="2213">
          <cell r="C2213" t="str">
            <v>Rodriguez Household</v>
          </cell>
          <cell r="D2213" t="str">
            <v>Julio Enrique Rodriguez</v>
          </cell>
        </row>
        <row r="2214">
          <cell r="C2214" t="str">
            <v>Rodriguez Household</v>
          </cell>
          <cell r="D2214" t="str">
            <v>Liseika Rodriguez</v>
          </cell>
        </row>
        <row r="2215">
          <cell r="C2215" t="str">
            <v>Rodriguez Household</v>
          </cell>
          <cell r="D2215" t="str">
            <v>Miguel Rodriguez</v>
          </cell>
          <cell r="F2215" t="str">
            <v>6840-3942</v>
          </cell>
        </row>
        <row r="2216">
          <cell r="C2216" t="str">
            <v>Rodriguez Household</v>
          </cell>
          <cell r="D2216" t="str">
            <v>Naryelis Rodriguez</v>
          </cell>
        </row>
        <row r="2217">
          <cell r="C2217" t="str">
            <v>Rodriguez Household</v>
          </cell>
          <cell r="D2217" t="str">
            <v>Yadira Rodriguez</v>
          </cell>
        </row>
        <row r="2218">
          <cell r="C2218" t="str">
            <v>Rodriguez Household</v>
          </cell>
          <cell r="D2218" t="str">
            <v>Yamileth Rodriguez</v>
          </cell>
        </row>
        <row r="2219">
          <cell r="C2219" t="str">
            <v>Rodríguez Household</v>
          </cell>
          <cell r="D2219" t="str">
            <v>Abraham Rodríguez</v>
          </cell>
        </row>
        <row r="2220">
          <cell r="C2220" t="str">
            <v>Rodríguez Household</v>
          </cell>
          <cell r="D2220" t="str">
            <v>Ana Patricia Rodríguez</v>
          </cell>
        </row>
        <row r="2221">
          <cell r="C2221" t="str">
            <v>Rodríguez Household</v>
          </cell>
          <cell r="D2221" t="str">
            <v>Belkis Rodríguez</v>
          </cell>
        </row>
        <row r="2222">
          <cell r="C2222" t="str">
            <v>Rodríguez Household</v>
          </cell>
          <cell r="D2222" t="str">
            <v>Cándida Rodríguez</v>
          </cell>
        </row>
        <row r="2223">
          <cell r="C2223" t="str">
            <v>Rodríguez Household</v>
          </cell>
          <cell r="D2223" t="str">
            <v>Diego Rodríguez</v>
          </cell>
        </row>
        <row r="2224">
          <cell r="C2224" t="str">
            <v>Rodríguez Household</v>
          </cell>
          <cell r="D2224" t="str">
            <v>Einar Rodríguez</v>
          </cell>
        </row>
        <row r="2225">
          <cell r="C2225" t="str">
            <v>Rodríguez Household</v>
          </cell>
          <cell r="D2225" t="str">
            <v>Elizabeth Rodríguez</v>
          </cell>
        </row>
        <row r="2226">
          <cell r="C2226" t="str">
            <v>Rodríguez Household</v>
          </cell>
          <cell r="D2226" t="str">
            <v>Fabiana Rodríguez</v>
          </cell>
        </row>
        <row r="2227">
          <cell r="C2227" t="str">
            <v>Rodríguez Household</v>
          </cell>
          <cell r="D2227" t="str">
            <v>Gina Rodríguez</v>
          </cell>
        </row>
        <row r="2228">
          <cell r="C2228" t="str">
            <v>Rodríguez Household</v>
          </cell>
          <cell r="D2228" t="str">
            <v>Jayson Rodríguez</v>
          </cell>
        </row>
        <row r="2229">
          <cell r="C2229" t="str">
            <v>Rodríguez Household</v>
          </cell>
          <cell r="D2229" t="str">
            <v>Jeiriseth Rodríguez</v>
          </cell>
        </row>
        <row r="2230">
          <cell r="C2230" t="str">
            <v>Rodríguez Household</v>
          </cell>
          <cell r="D2230" t="str">
            <v>Joel Rodríguez</v>
          </cell>
        </row>
        <row r="2231">
          <cell r="C2231" t="str">
            <v>Rodríguez Household</v>
          </cell>
          <cell r="D2231" t="str">
            <v>Julio Rodríguez</v>
          </cell>
        </row>
        <row r="2232">
          <cell r="C2232" t="str">
            <v>Rodríguez Household</v>
          </cell>
          <cell r="D2232" t="str">
            <v>Mileyka Rodríguez</v>
          </cell>
        </row>
        <row r="2233">
          <cell r="C2233" t="str">
            <v>Rodríguez Household</v>
          </cell>
          <cell r="D2233" t="str">
            <v>Naryelis Rodríguez</v>
          </cell>
        </row>
        <row r="2234">
          <cell r="C2234" t="str">
            <v>Rodríguez Household</v>
          </cell>
          <cell r="D2234" t="str">
            <v>Nohely Rodríguez</v>
          </cell>
        </row>
        <row r="2235">
          <cell r="C2235" t="str">
            <v>Rodríguez Household</v>
          </cell>
          <cell r="D2235" t="str">
            <v>Querube Rodríguez</v>
          </cell>
        </row>
        <row r="2236">
          <cell r="C2236" t="str">
            <v>Rodríguez Household</v>
          </cell>
          <cell r="D2236" t="str">
            <v>Renzo Rodríguez</v>
          </cell>
        </row>
        <row r="2237">
          <cell r="C2237" t="str">
            <v>Rodríguez Household</v>
          </cell>
          <cell r="D2237" t="str">
            <v>Vale Rodríguez</v>
          </cell>
        </row>
        <row r="2238">
          <cell r="C2238" t="str">
            <v>Rodríguez Household</v>
          </cell>
          <cell r="D2238" t="str">
            <v>Xirineth Rodríguez</v>
          </cell>
        </row>
        <row r="2239">
          <cell r="C2239" t="str">
            <v>Rodriguez Instituto atenea Household</v>
          </cell>
          <cell r="D2239" t="str">
            <v>Alejandro Rodriguez Instituto atenea</v>
          </cell>
        </row>
        <row r="2240">
          <cell r="C2240" t="str">
            <v>Rodríguez Multibank Household</v>
          </cell>
          <cell r="D2240" t="str">
            <v>Gina Rodríguez Multibank</v>
          </cell>
        </row>
        <row r="2241">
          <cell r="C2241" t="str">
            <v>ROJAS Household</v>
          </cell>
          <cell r="D2241" t="str">
            <v>Ana Victoria Rojas</v>
          </cell>
        </row>
        <row r="2242">
          <cell r="C2242" t="str">
            <v>ROJAS Household</v>
          </cell>
          <cell r="D2242" t="str">
            <v>Isabel Rojas</v>
          </cell>
        </row>
        <row r="2243">
          <cell r="C2243" t="str">
            <v>ROJAS Household</v>
          </cell>
          <cell r="D2243" t="str">
            <v>MARINA ROJAS</v>
          </cell>
        </row>
        <row r="2244">
          <cell r="C2244" t="str">
            <v>ROJAS Household</v>
          </cell>
          <cell r="D2244" t="str">
            <v>Marissa Rojas</v>
          </cell>
        </row>
        <row r="2245">
          <cell r="C2245" t="str">
            <v>Roldan AES Household</v>
          </cell>
          <cell r="D2245" t="str">
            <v>Carlos Roldan AES</v>
          </cell>
        </row>
        <row r="2246">
          <cell r="C2246" t="str">
            <v>Roldán Household</v>
          </cell>
          <cell r="D2246" t="str">
            <v>AES Panamá Carlos Roldán</v>
          </cell>
        </row>
        <row r="2247">
          <cell r="C2247" t="str">
            <v>Roman Household</v>
          </cell>
          <cell r="D2247" t="str">
            <v>Esteban Roman</v>
          </cell>
        </row>
        <row r="2248">
          <cell r="C2248" t="str">
            <v>Romero Household</v>
          </cell>
          <cell r="D2248" t="str">
            <v>Erick Romero</v>
          </cell>
        </row>
        <row r="2249">
          <cell r="C2249" t="str">
            <v>Romero Richa de la Guardia RIGSA Household</v>
          </cell>
          <cell r="D2249" t="str">
            <v>Zuleika Romero Richa de la Guardia RIGSA</v>
          </cell>
        </row>
        <row r="2250">
          <cell r="C2250" t="str">
            <v>Roper Household</v>
          </cell>
          <cell r="D2250" t="str">
            <v>Melinda Roper</v>
          </cell>
        </row>
        <row r="2251">
          <cell r="C2251" t="str">
            <v>Rosado Household</v>
          </cell>
          <cell r="D2251" t="str">
            <v>Carmen Rosado</v>
          </cell>
          <cell r="F2251" t="str">
            <v>6588-1345</v>
          </cell>
        </row>
        <row r="2252">
          <cell r="C2252" t="str">
            <v>Rosales Household</v>
          </cell>
          <cell r="D2252" t="str">
            <v>Maria Fernanda Rosales</v>
          </cell>
        </row>
        <row r="2253">
          <cell r="C2253" t="str">
            <v>Rosales Household</v>
          </cell>
          <cell r="D2253" t="str">
            <v>Rony Rosales</v>
          </cell>
        </row>
        <row r="2254">
          <cell r="C2254" t="str">
            <v>Rosanro SA Household</v>
          </cell>
          <cell r="D2254" t="str">
            <v>Luis Fernando Rosanro SA</v>
          </cell>
        </row>
        <row r="2255">
          <cell r="C2255" t="str">
            <v>Rosas Household</v>
          </cell>
          <cell r="D2255" t="str">
            <v>Victor Rosas</v>
          </cell>
        </row>
        <row r="2256">
          <cell r="C2256" t="str">
            <v>Roux Household</v>
          </cell>
          <cell r="D2256" t="str">
            <v>Gabriel Roux</v>
          </cell>
        </row>
        <row r="2257">
          <cell r="C2257" t="str">
            <v>Rubio Household</v>
          </cell>
          <cell r="D2257" t="str">
            <v>Elizabeth Rubio</v>
          </cell>
        </row>
        <row r="2258">
          <cell r="C2258" t="str">
            <v>Rueda Household</v>
          </cell>
          <cell r="D2258" t="str">
            <v>Jorge Rueda</v>
          </cell>
          <cell r="F2258" t="str">
            <v>6998-4558</v>
          </cell>
        </row>
        <row r="2259">
          <cell r="C2259" t="str">
            <v>Ruiz Household</v>
          </cell>
          <cell r="D2259" t="str">
            <v>Daniel Ruiz</v>
          </cell>
        </row>
        <row r="2260">
          <cell r="C2260" t="str">
            <v>Ruiz Household</v>
          </cell>
          <cell r="D2260" t="str">
            <v>Gisselle Ruiz</v>
          </cell>
        </row>
        <row r="2261">
          <cell r="C2261" t="str">
            <v>Ruiz Household</v>
          </cell>
          <cell r="D2261" t="str">
            <v>Libni Ruiz</v>
          </cell>
        </row>
        <row r="2262">
          <cell r="C2262" t="str">
            <v>Ruiz Household</v>
          </cell>
          <cell r="D2262" t="str">
            <v>Sarai Ruiz</v>
          </cell>
        </row>
        <row r="2263">
          <cell r="C2263" t="str">
            <v>Saez Household</v>
          </cell>
          <cell r="D2263" t="str">
            <v>Junior Saez</v>
          </cell>
        </row>
        <row r="2264">
          <cell r="C2264" t="str">
            <v>SAKER Household</v>
          </cell>
          <cell r="D2264" t="str">
            <v>Nur SAKER</v>
          </cell>
        </row>
        <row r="2265">
          <cell r="C2265" t="str">
            <v>Salazar Household</v>
          </cell>
          <cell r="D2265" t="str">
            <v>Ruben Salazar</v>
          </cell>
        </row>
        <row r="2266">
          <cell r="C2266" t="str">
            <v>Saldaña Household</v>
          </cell>
          <cell r="D2266" t="str">
            <v>Christian Saldaña</v>
          </cell>
        </row>
        <row r="2267">
          <cell r="C2267" t="str">
            <v>Saldaña Household</v>
          </cell>
          <cell r="D2267" t="str">
            <v>HUMBERTO SALDAÑA</v>
          </cell>
        </row>
        <row r="2268">
          <cell r="C2268" t="str">
            <v>Saldaña Household</v>
          </cell>
          <cell r="D2268" t="str">
            <v>Mery Saldaña</v>
          </cell>
        </row>
        <row r="2269">
          <cell r="C2269" t="str">
            <v>Salomón Household</v>
          </cell>
          <cell r="D2269" t="str">
            <v>Andrea Salomón</v>
          </cell>
        </row>
        <row r="2270">
          <cell r="C2270" t="str">
            <v>Saltaren Household</v>
          </cell>
          <cell r="D2270" t="str">
            <v>Marco Andres Saltaren</v>
          </cell>
        </row>
        <row r="2271">
          <cell r="C2271" t="str">
            <v>Saltarén Household</v>
          </cell>
          <cell r="D2271" t="str">
            <v>Marco Andrés Saltarén</v>
          </cell>
        </row>
        <row r="2272">
          <cell r="C2272" t="str">
            <v>Salvamar Household</v>
          </cell>
          <cell r="D2272" t="str">
            <v>Digna Salvamar</v>
          </cell>
          <cell r="F2272" t="str">
            <v>66702354</v>
          </cell>
        </row>
        <row r="2273">
          <cell r="C2273" t="str">
            <v>Samaniego Household</v>
          </cell>
          <cell r="D2273" t="str">
            <v>Ericka Samaniego</v>
          </cell>
        </row>
        <row r="2274">
          <cell r="C2274" t="str">
            <v>Samaniego San Judas tadeo Household</v>
          </cell>
          <cell r="D2274" t="str">
            <v>ericka Samaniego San Judas tadeo</v>
          </cell>
        </row>
        <row r="2275">
          <cell r="C2275" t="str">
            <v>Samniego C. SAN JUDAS TADEO Household</v>
          </cell>
          <cell r="D2275" t="str">
            <v>Ericka Samniego C. SAN JUDAS TADEO</v>
          </cell>
        </row>
        <row r="2276">
          <cell r="C2276" t="str">
            <v>Samudio Household</v>
          </cell>
          <cell r="D2276" t="str">
            <v>Ivonne Samudio</v>
          </cell>
        </row>
        <row r="2277">
          <cell r="C2277" t="str">
            <v>Samudio Household</v>
          </cell>
          <cell r="D2277" t="str">
            <v>Karoline Samudio</v>
          </cell>
        </row>
        <row r="2278">
          <cell r="C2278" t="str">
            <v>Samudio Pedidos Ya Household</v>
          </cell>
          <cell r="D2278" t="str">
            <v>Mariagne Samudio Pedidos Ya</v>
          </cell>
        </row>
        <row r="2279">
          <cell r="C2279" t="str">
            <v>Samuel Marga Household</v>
          </cell>
          <cell r="D2279" t="str">
            <v>COMEDOR NUEVO PACTO ARCO IRIS Samuel Marga</v>
          </cell>
        </row>
        <row r="2280">
          <cell r="C2280" t="str">
            <v>San Lucas Household</v>
          </cell>
          <cell r="D2280" t="str">
            <v>Parroquia San Lucas</v>
          </cell>
        </row>
        <row r="2281">
          <cell r="C2281" t="str">
            <v>Sánchez Fundación Alberto Motta Household</v>
          </cell>
          <cell r="D2281" t="str">
            <v>Marta Sánchez Fundación Alberto Motta</v>
          </cell>
        </row>
        <row r="2282">
          <cell r="C2282" t="str">
            <v>Sanchez Household</v>
          </cell>
          <cell r="D2282" t="str">
            <v>Alejandra SANCHEZ</v>
          </cell>
        </row>
        <row r="2283">
          <cell r="C2283" t="str">
            <v>Sanchez Household</v>
          </cell>
          <cell r="D2283" t="str">
            <v>Alina Sanchez</v>
          </cell>
        </row>
        <row r="2284">
          <cell r="C2284" t="str">
            <v>Sanchez Household</v>
          </cell>
          <cell r="D2284" t="str">
            <v>Erik Sanchez</v>
          </cell>
        </row>
        <row r="2285">
          <cell r="C2285" t="str">
            <v>Sanchez Household</v>
          </cell>
          <cell r="D2285" t="str">
            <v>Griselle Sanchez</v>
          </cell>
        </row>
        <row r="2286">
          <cell r="C2286" t="str">
            <v>Sanchez Household</v>
          </cell>
          <cell r="D2286" t="str">
            <v>Jackeline Sanchez</v>
          </cell>
        </row>
        <row r="2287">
          <cell r="C2287" t="str">
            <v>Sanchez Household</v>
          </cell>
          <cell r="D2287" t="str">
            <v>Kendall Sanchez</v>
          </cell>
        </row>
        <row r="2288">
          <cell r="C2288" t="str">
            <v>Sanchez Household</v>
          </cell>
          <cell r="D2288" t="str">
            <v>Nellys Sanchez</v>
          </cell>
        </row>
        <row r="2289">
          <cell r="C2289" t="str">
            <v>Sanchez Household</v>
          </cell>
          <cell r="D2289" t="str">
            <v>NIDIA SANCHEZ</v>
          </cell>
        </row>
        <row r="2290">
          <cell r="C2290" t="str">
            <v>Sanchez Household</v>
          </cell>
          <cell r="D2290" t="str">
            <v>YEYTZA SANCHEZ</v>
          </cell>
        </row>
        <row r="2291">
          <cell r="C2291" t="str">
            <v>Sánchez Household</v>
          </cell>
          <cell r="D2291" t="str">
            <v>Ana Victoria Sánchez</v>
          </cell>
        </row>
        <row r="2292">
          <cell r="C2292" t="str">
            <v>Sánchez Household</v>
          </cell>
          <cell r="D2292" t="str">
            <v>Fátima Sánchez</v>
          </cell>
        </row>
        <row r="2293">
          <cell r="C2293" t="str">
            <v>Sánchez Household</v>
          </cell>
          <cell r="D2293" t="str">
            <v>Gabriela Sánchez</v>
          </cell>
        </row>
        <row r="2294">
          <cell r="C2294" t="str">
            <v>Sánchez Household</v>
          </cell>
          <cell r="D2294" t="str">
            <v>Lorena Sánchez</v>
          </cell>
        </row>
        <row r="2295">
          <cell r="C2295" t="str">
            <v>Sánchez Household</v>
          </cell>
          <cell r="D2295" t="str">
            <v>Osvaldo Sánchez</v>
          </cell>
        </row>
        <row r="2296">
          <cell r="C2296" t="str">
            <v>Sánchez Household</v>
          </cell>
          <cell r="D2296" t="str">
            <v>Yajaira Sánchez</v>
          </cell>
        </row>
        <row r="2297">
          <cell r="C2297" t="str">
            <v>SANDOVAL Household</v>
          </cell>
          <cell r="D2297" t="str">
            <v>LIRA SANDOVAL</v>
          </cell>
        </row>
        <row r="2298">
          <cell r="C2298" t="str">
            <v>Sanford Household</v>
          </cell>
          <cell r="D2298" t="str">
            <v>Vielka Sanford</v>
          </cell>
        </row>
        <row r="2299">
          <cell r="C2299" t="str">
            <v>Sanjur Household</v>
          </cell>
          <cell r="D2299" t="str">
            <v>Elixandri Sanjur</v>
          </cell>
        </row>
        <row r="2300">
          <cell r="C2300" t="str">
            <v>Sanjur Household</v>
          </cell>
          <cell r="D2300" t="str">
            <v>Yarenis Sanjur</v>
          </cell>
        </row>
        <row r="2301">
          <cell r="C2301" t="str">
            <v>Santamaria Household</v>
          </cell>
          <cell r="D2301" t="str">
            <v>Madelaine Santamaria</v>
          </cell>
        </row>
        <row r="2302">
          <cell r="C2302" t="str">
            <v>Santamaria Household</v>
          </cell>
          <cell r="D2302" t="str">
            <v>Omar Santamaria</v>
          </cell>
        </row>
        <row r="2303">
          <cell r="C2303" t="str">
            <v>Santimateo Household</v>
          </cell>
          <cell r="D2303" t="str">
            <v>Abel Santimateo</v>
          </cell>
        </row>
        <row r="2304">
          <cell r="C2304" t="str">
            <v>Santimateo Household</v>
          </cell>
          <cell r="D2304" t="str">
            <v>Sumaya Santimateo</v>
          </cell>
        </row>
        <row r="2305">
          <cell r="C2305" t="str">
            <v>Santos De Leon Household</v>
          </cell>
          <cell r="D2305" t="str">
            <v>Angel Santos De Leon</v>
          </cell>
        </row>
        <row r="2306">
          <cell r="C2306" t="str">
            <v>Santos Household</v>
          </cell>
          <cell r="D2306" t="str">
            <v>Argelis Santos</v>
          </cell>
        </row>
        <row r="2307">
          <cell r="C2307" t="str">
            <v>Santos Household</v>
          </cell>
          <cell r="D2307" t="str">
            <v>Arturo Santos</v>
          </cell>
        </row>
        <row r="2308">
          <cell r="C2308" t="str">
            <v>Santos Household</v>
          </cell>
          <cell r="D2308" t="str">
            <v>Benjamin Santos</v>
          </cell>
        </row>
        <row r="2309">
          <cell r="C2309" t="str">
            <v>Santos Household</v>
          </cell>
          <cell r="D2309" t="str">
            <v>Cemiramis Santos</v>
          </cell>
        </row>
        <row r="2310">
          <cell r="C2310" t="str">
            <v>Santos Household</v>
          </cell>
          <cell r="D2310" t="str">
            <v>Evelyn Santo Santos</v>
          </cell>
        </row>
        <row r="2311">
          <cell r="C2311" t="str">
            <v>Santos Household</v>
          </cell>
          <cell r="D2311" t="str">
            <v>Limor santos</v>
          </cell>
        </row>
        <row r="2312">
          <cell r="C2312" t="str">
            <v>Santos Household</v>
          </cell>
          <cell r="D2312" t="str">
            <v>Rolando Santos</v>
          </cell>
        </row>
        <row r="2313">
          <cell r="C2313" t="str">
            <v>Santos Household</v>
          </cell>
          <cell r="D2313" t="str">
            <v>Vidalina Santos</v>
          </cell>
        </row>
        <row r="2314">
          <cell r="C2314" t="str">
            <v>Santos Household</v>
          </cell>
          <cell r="D2314" t="str">
            <v>Vimarie Santos</v>
          </cell>
        </row>
        <row r="2315">
          <cell r="C2315" t="str">
            <v>SANTOS LUNA C. San Vicente de Paul Household</v>
          </cell>
          <cell r="D2315" t="str">
            <v>SOPHIA SANTOS LUNA C. San Vicente de Paul</v>
          </cell>
        </row>
        <row r="2316">
          <cell r="C2316" t="str">
            <v>saucedo Household</v>
          </cell>
          <cell r="D2316" t="str">
            <v>johny saucedo</v>
          </cell>
        </row>
        <row r="2317">
          <cell r="C2317" t="str">
            <v>Saval Household</v>
          </cell>
          <cell r="D2317" t="str">
            <v>Javier Saval</v>
          </cell>
        </row>
        <row r="2318">
          <cell r="C2318" t="str">
            <v>Schaper Household</v>
          </cell>
          <cell r="D2318" t="str">
            <v>Marta Schaper</v>
          </cell>
          <cell r="F2318" t="str">
            <v>6679-7249</v>
          </cell>
        </row>
        <row r="2319">
          <cell r="C2319" t="str">
            <v>Schmidth Household</v>
          </cell>
          <cell r="D2319" t="str">
            <v>Indira Schmidth</v>
          </cell>
        </row>
        <row r="2320">
          <cell r="C2320" t="str">
            <v>School of Panama Household</v>
          </cell>
          <cell r="D2320" t="str">
            <v>Metropolitan School of Panama</v>
          </cell>
        </row>
        <row r="2321">
          <cell r="C2321" t="str">
            <v>Scocca EPA Household</v>
          </cell>
          <cell r="D2321" t="str">
            <v>Gabriella Scocca EPA</v>
          </cell>
        </row>
        <row r="2322">
          <cell r="C2322" t="str">
            <v>Scott Household</v>
          </cell>
          <cell r="D2322" t="str">
            <v>Yesbell Scott</v>
          </cell>
        </row>
        <row r="2323">
          <cell r="C2323" t="str">
            <v>Scott Ward Household</v>
          </cell>
          <cell r="D2323" t="str">
            <v>Cynthia Scott Ward</v>
          </cell>
        </row>
        <row r="2324">
          <cell r="C2324" t="str">
            <v>Scull Household</v>
          </cell>
          <cell r="D2324" t="str">
            <v>Wendolyn Scull</v>
          </cell>
        </row>
        <row r="2325">
          <cell r="C2325" t="str">
            <v>Segura Household</v>
          </cell>
          <cell r="D2325" t="str">
            <v>Josamed Segura</v>
          </cell>
        </row>
        <row r="2326">
          <cell r="C2326" t="str">
            <v>Segura Household</v>
          </cell>
          <cell r="D2326" t="str">
            <v>Yazmari Segura</v>
          </cell>
        </row>
        <row r="2327">
          <cell r="C2327" t="str">
            <v>Sepes Oxford Household</v>
          </cell>
          <cell r="D2327" t="str">
            <v>Maria Antonieta Sepes Oxford</v>
          </cell>
        </row>
        <row r="2328">
          <cell r="C2328" t="str">
            <v>Serrano Household</v>
          </cell>
          <cell r="D2328" t="str">
            <v>CRISTINA SERRANO</v>
          </cell>
        </row>
        <row r="2329">
          <cell r="C2329" t="str">
            <v>Serrano Household</v>
          </cell>
          <cell r="D2329" t="str">
            <v>Juan Eliecer Serrano</v>
          </cell>
        </row>
        <row r="2330">
          <cell r="C2330" t="str">
            <v>Shee Instituto Cristo de los Milagros Household</v>
          </cell>
          <cell r="D2330" t="str">
            <v>Ana Lucía Shee Instituto Cristo de los Milagros</v>
          </cell>
        </row>
        <row r="2331">
          <cell r="C2331" t="str">
            <v>Shehadeh Household</v>
          </cell>
          <cell r="D2331" t="str">
            <v>Dayana Shehadeh</v>
          </cell>
        </row>
        <row r="2332">
          <cell r="C2332" t="str">
            <v>ShEPPAT Household</v>
          </cell>
          <cell r="D2332" t="str">
            <v>MARIA ALEXANDRA ShEPPAT</v>
          </cell>
        </row>
        <row r="2333">
          <cell r="C2333" t="str">
            <v>Sheth Household</v>
          </cell>
          <cell r="D2333" t="str">
            <v>Umayma Sheth</v>
          </cell>
        </row>
        <row r="2334">
          <cell r="C2334" t="str">
            <v>Shool Household</v>
          </cell>
          <cell r="D2334" t="str">
            <v>Panamerican Shool</v>
          </cell>
        </row>
        <row r="2335">
          <cell r="C2335" t="str">
            <v>Sierra Household</v>
          </cell>
          <cell r="D2335" t="str">
            <v>Gislaine Sierra</v>
          </cell>
        </row>
        <row r="2336">
          <cell r="C2336" t="str">
            <v>Sierra Isaac BRADER Household</v>
          </cell>
          <cell r="D2336" t="str">
            <v>Felipe Sierra Isaac BRADER</v>
          </cell>
        </row>
        <row r="2337">
          <cell r="C2337" t="str">
            <v>SILVA Household</v>
          </cell>
          <cell r="D2337" t="str">
            <v>Edualis SILVA</v>
          </cell>
        </row>
        <row r="2338">
          <cell r="C2338" t="str">
            <v>SILVA Household</v>
          </cell>
          <cell r="D2338" t="str">
            <v>GABRIEL SILVA</v>
          </cell>
        </row>
        <row r="2339">
          <cell r="C2339" t="str">
            <v>SILVA Household</v>
          </cell>
          <cell r="D2339" t="str">
            <v>Roger Silva</v>
          </cell>
        </row>
        <row r="2340">
          <cell r="C2340" t="str">
            <v>SILVA Household</v>
          </cell>
          <cell r="D2340" t="str">
            <v>Sinergie Silva</v>
          </cell>
        </row>
        <row r="2341">
          <cell r="C2341" t="str">
            <v>simone Household</v>
          </cell>
          <cell r="D2341" t="str">
            <v>Antonio simone</v>
          </cell>
        </row>
        <row r="2342">
          <cell r="C2342" t="str">
            <v>Singares Household</v>
          </cell>
          <cell r="D2342" t="str">
            <v>Carlos Singares</v>
          </cell>
        </row>
        <row r="2343">
          <cell r="C2343" t="str">
            <v>Sinisterra Household</v>
          </cell>
          <cell r="D2343" t="str">
            <v>León Sinisterra</v>
          </cell>
        </row>
        <row r="2344">
          <cell r="C2344" t="str">
            <v>Siu and Cordoba Household</v>
          </cell>
          <cell r="D2344" t="str">
            <v>Rafael Siu</v>
          </cell>
        </row>
        <row r="2345">
          <cell r="C2345" t="str">
            <v>SMITH Household</v>
          </cell>
          <cell r="D2345" t="str">
            <v>MICHELLE SMITH</v>
          </cell>
        </row>
        <row r="2346">
          <cell r="C2346" t="str">
            <v>Sofía Valencia Las Esclavas Household</v>
          </cell>
          <cell r="D2346" t="str">
            <v>María Sofía Valencia Las Esclavas</v>
          </cell>
        </row>
        <row r="2347">
          <cell r="C2347" t="str">
            <v>Solis Household</v>
          </cell>
          <cell r="D2347" t="str">
            <v>Brithany Solis</v>
          </cell>
        </row>
        <row r="2348">
          <cell r="C2348" t="str">
            <v>Solis Household</v>
          </cell>
          <cell r="D2348" t="str">
            <v>ISABEL SOLIS</v>
          </cell>
        </row>
        <row r="2349">
          <cell r="C2349" t="str">
            <v>Solís Household</v>
          </cell>
          <cell r="D2349" t="str">
            <v>Luis Solís</v>
          </cell>
        </row>
        <row r="2350">
          <cell r="C2350" t="str">
            <v>SOSA Household</v>
          </cell>
          <cell r="D2350" t="str">
            <v>BOLIVAR SOSA</v>
          </cell>
        </row>
        <row r="2351">
          <cell r="C2351" t="str">
            <v>SOTO Household</v>
          </cell>
          <cell r="D2351" t="str">
            <v>EDUARDO SOTO</v>
          </cell>
        </row>
        <row r="2352">
          <cell r="C2352" t="str">
            <v>SOTO Household</v>
          </cell>
          <cell r="D2352" t="str">
            <v>Enilda Soto</v>
          </cell>
        </row>
        <row r="2353">
          <cell r="C2353" t="str">
            <v>SOTO Household</v>
          </cell>
          <cell r="D2353" t="str">
            <v>Milagros Soto</v>
          </cell>
        </row>
        <row r="2354">
          <cell r="C2354" t="str">
            <v>SOTO Household</v>
          </cell>
          <cell r="D2354" t="str">
            <v>Samanta Soto</v>
          </cell>
        </row>
        <row r="2355">
          <cell r="C2355" t="str">
            <v>SOTO Household</v>
          </cell>
          <cell r="D2355" t="str">
            <v>Silvio Soto</v>
          </cell>
          <cell r="F2355" t="str">
            <v>6851-1930</v>
          </cell>
        </row>
        <row r="2356">
          <cell r="C2356" t="str">
            <v>SPIRITO MADURO Household</v>
          </cell>
          <cell r="D2356" t="str">
            <v>GIOVANNI A. SPIRITO MADURO</v>
          </cell>
        </row>
        <row r="2357">
          <cell r="C2357" t="str">
            <v>Stanziola Household</v>
          </cell>
          <cell r="D2357" t="str">
            <v>Stachel Stanziola</v>
          </cell>
        </row>
        <row r="2358">
          <cell r="C2358" t="str">
            <v>Stefano Household</v>
          </cell>
          <cell r="D2358" t="str">
            <v>Luigi Stefano</v>
          </cell>
        </row>
        <row r="2359">
          <cell r="C2359" t="str">
            <v>Stoppello Household</v>
          </cell>
          <cell r="D2359" t="str">
            <v>Rafael Stoppello</v>
          </cell>
        </row>
        <row r="2360">
          <cell r="C2360" t="str">
            <v>Suárez Household</v>
          </cell>
          <cell r="D2360" t="str">
            <v>Maria Suárez</v>
          </cell>
        </row>
        <row r="2361">
          <cell r="C2361" t="str">
            <v>Subway Household</v>
          </cell>
          <cell r="D2361" t="str">
            <v>Rose Subway</v>
          </cell>
        </row>
        <row r="2362">
          <cell r="C2362" t="str">
            <v>Szczur Rios Household</v>
          </cell>
          <cell r="D2362" t="str">
            <v>Jorge Szczur Rios</v>
          </cell>
        </row>
        <row r="2363">
          <cell r="C2363" t="str">
            <v>Tam Household</v>
          </cell>
          <cell r="D2363" t="str">
            <v>Fairene Tam</v>
          </cell>
        </row>
        <row r="2364">
          <cell r="C2364" t="str">
            <v>Tapia Household</v>
          </cell>
          <cell r="D2364" t="str">
            <v>Yan Tapia</v>
          </cell>
        </row>
        <row r="2365">
          <cell r="C2365" t="str">
            <v>Tauro Household</v>
          </cell>
          <cell r="D2365" t="str">
            <v>Equipo de Fútbol Tauro</v>
          </cell>
        </row>
        <row r="2366">
          <cell r="C2366" t="str">
            <v>Taylor Household</v>
          </cell>
          <cell r="D2366" t="str">
            <v>Christian Maxwell Taylor</v>
          </cell>
        </row>
        <row r="2367">
          <cell r="C2367" t="str">
            <v>Tedeschi Household</v>
          </cell>
          <cell r="D2367" t="str">
            <v>Sara Tedeschi</v>
          </cell>
        </row>
        <row r="2368">
          <cell r="C2368" t="str">
            <v>Teixeira Household</v>
          </cell>
          <cell r="D2368" t="str">
            <v>Daniela Teixeira</v>
          </cell>
        </row>
        <row r="2369">
          <cell r="C2369" t="str">
            <v>TEJADA C. San Vicente de Paul Household</v>
          </cell>
          <cell r="D2369" t="str">
            <v>ASHLEY TEJADA C. San Vicente de Paul</v>
          </cell>
        </row>
        <row r="2370">
          <cell r="C2370" t="str">
            <v>Tejada Household</v>
          </cell>
          <cell r="D2370" t="str">
            <v>Angel Tejada</v>
          </cell>
        </row>
        <row r="2371">
          <cell r="C2371" t="str">
            <v>Tejada Household</v>
          </cell>
          <cell r="D2371" t="str">
            <v>Shadday tejada</v>
          </cell>
        </row>
        <row r="2372">
          <cell r="C2372" t="str">
            <v>Tejeira Household</v>
          </cell>
          <cell r="D2372" t="str">
            <v>Dolia Tejeira</v>
          </cell>
        </row>
        <row r="2373">
          <cell r="C2373" t="str">
            <v>Teleska Tuñon Household</v>
          </cell>
          <cell r="D2373" t="str">
            <v>Caja de Ahorros Teleska Tuñon</v>
          </cell>
        </row>
        <row r="2374">
          <cell r="C2374" t="str">
            <v>Tello Household</v>
          </cell>
          <cell r="D2374" t="str">
            <v>Jose Tello</v>
          </cell>
        </row>
        <row r="2375">
          <cell r="C2375" t="str">
            <v>Tello Household</v>
          </cell>
          <cell r="D2375" t="str">
            <v>José Tello</v>
          </cell>
        </row>
        <row r="2376">
          <cell r="C2376" t="str">
            <v>Tenorio Household</v>
          </cell>
          <cell r="D2376" t="str">
            <v>Keyli Tenorio</v>
          </cell>
        </row>
        <row r="2377">
          <cell r="C2377" t="str">
            <v>Teresa Altuna Household</v>
          </cell>
          <cell r="D2377" t="str">
            <v>Diana Teresa Altuna</v>
          </cell>
        </row>
        <row r="2378">
          <cell r="C2378" t="str">
            <v>Tibi Household</v>
          </cell>
          <cell r="D2378" t="str">
            <v>Yoav Tibi</v>
          </cell>
        </row>
        <row r="2379">
          <cell r="C2379" t="str">
            <v>TIUSABA Household</v>
          </cell>
          <cell r="D2379" t="str">
            <v>NELSON TIUSABA</v>
          </cell>
        </row>
        <row r="2380">
          <cell r="C2380" t="str">
            <v>Toribio Household</v>
          </cell>
          <cell r="D2380" t="str">
            <v>Alfredo Toribio</v>
          </cell>
        </row>
        <row r="2381">
          <cell r="C2381" t="str">
            <v>Toribio Household</v>
          </cell>
          <cell r="D2381" t="str">
            <v>Aquilino Toribio</v>
          </cell>
        </row>
        <row r="2382">
          <cell r="C2382" t="str">
            <v>TORRERO Household</v>
          </cell>
          <cell r="D2382" t="str">
            <v>ERIKA TORRERO</v>
          </cell>
        </row>
        <row r="2383">
          <cell r="C2383" t="str">
            <v>Torres Household</v>
          </cell>
          <cell r="D2383" t="str">
            <v>Angela Torres</v>
          </cell>
          <cell r="F2383" t="str">
            <v>6595-6599</v>
          </cell>
        </row>
        <row r="2384">
          <cell r="C2384" t="str">
            <v>Torres Household</v>
          </cell>
          <cell r="D2384" t="str">
            <v>Gonzalo Torres</v>
          </cell>
        </row>
        <row r="2385">
          <cell r="C2385" t="str">
            <v>Torres Household</v>
          </cell>
          <cell r="D2385" t="str">
            <v>Madelene Torres</v>
          </cell>
        </row>
        <row r="2386">
          <cell r="C2386" t="str">
            <v>Torres Household</v>
          </cell>
          <cell r="D2386" t="str">
            <v>Nelissa Torres</v>
          </cell>
        </row>
        <row r="2387">
          <cell r="C2387" t="str">
            <v>Torres Household</v>
          </cell>
          <cell r="D2387" t="str">
            <v>Paola Torres</v>
          </cell>
        </row>
        <row r="2388">
          <cell r="C2388" t="str">
            <v>TOVAR Household</v>
          </cell>
          <cell r="D2388" t="str">
            <v>CATHERINE TOVAR</v>
          </cell>
        </row>
        <row r="2389">
          <cell r="C2389" t="str">
            <v>TOVAR Household</v>
          </cell>
          <cell r="D2389" t="str">
            <v>Cesar Tovar</v>
          </cell>
        </row>
        <row r="2390">
          <cell r="C2390" t="str">
            <v>TRIBALDOS Household</v>
          </cell>
          <cell r="D2390" t="str">
            <v>ISABELLA TRIBALDOS</v>
          </cell>
        </row>
        <row r="2391">
          <cell r="C2391" t="str">
            <v>Triguero Household</v>
          </cell>
          <cell r="D2391" t="str">
            <v>Katherine Triguero</v>
          </cell>
        </row>
        <row r="2392">
          <cell r="C2392" t="str">
            <v>Tristán Household</v>
          </cell>
          <cell r="D2392" t="str">
            <v>Ian Tristán</v>
          </cell>
        </row>
        <row r="2393">
          <cell r="C2393" t="str">
            <v>TRONCOSO Household</v>
          </cell>
          <cell r="D2393" t="str">
            <v>YESENIA TRONCOSO</v>
          </cell>
          <cell r="F2393" t="str">
            <v>6780 3817</v>
          </cell>
        </row>
        <row r="2394">
          <cell r="C2394" t="str">
            <v>Trujillo Household</v>
          </cell>
          <cell r="D2394" t="str">
            <v>Milkis Trujillo</v>
          </cell>
        </row>
        <row r="2395">
          <cell r="C2395" t="str">
            <v>Truzman Household</v>
          </cell>
          <cell r="D2395" t="str">
            <v>Karen Truzman</v>
          </cell>
        </row>
        <row r="2396">
          <cell r="C2396" t="str">
            <v>Tuñon Household</v>
          </cell>
          <cell r="D2396" t="str">
            <v>Sharoll Tuñon</v>
          </cell>
        </row>
        <row r="2397">
          <cell r="C2397" t="str">
            <v>Tuñón Household</v>
          </cell>
          <cell r="D2397" t="str">
            <v>Teleska Tuñón</v>
          </cell>
        </row>
        <row r="2398">
          <cell r="C2398" t="str">
            <v>Urbanc Household</v>
          </cell>
          <cell r="D2398" t="str">
            <v>Maria Gabriela Urbanc</v>
          </cell>
          <cell r="F2398" t="str">
            <v>6655-5326</v>
          </cell>
        </row>
        <row r="2399">
          <cell r="C2399" t="str">
            <v>Urbanc Household</v>
          </cell>
          <cell r="D2399" t="str">
            <v>María Gabriela Urbanc</v>
          </cell>
          <cell r="F2399" t="str">
            <v>6655-5326</v>
          </cell>
        </row>
        <row r="2400">
          <cell r="C2400" t="str">
            <v>Ureña Convergint Household</v>
          </cell>
          <cell r="D2400" t="str">
            <v>Olga Ureña Convergint</v>
          </cell>
        </row>
        <row r="2401">
          <cell r="C2401" t="str">
            <v>Ureña Household</v>
          </cell>
          <cell r="D2401" t="str">
            <v>Fernando Ureña</v>
          </cell>
        </row>
        <row r="2402">
          <cell r="C2402" t="str">
            <v>Ureña Household</v>
          </cell>
          <cell r="D2402" t="str">
            <v>Jennifer Ureña</v>
          </cell>
        </row>
        <row r="2403">
          <cell r="C2403" t="str">
            <v>Urrieta Household</v>
          </cell>
          <cell r="D2403" t="str">
            <v>Ely Urrieta</v>
          </cell>
        </row>
        <row r="2404">
          <cell r="C2404" t="str">
            <v>Urriola Oxford Household</v>
          </cell>
          <cell r="D2404" t="str">
            <v>Marlon Urriola Oxford</v>
          </cell>
        </row>
        <row r="2405">
          <cell r="C2405" t="str">
            <v>Urrutia Gutierrez Household</v>
          </cell>
          <cell r="D2405" t="str">
            <v>Sebastian Andres Urrutia Gutierrez</v>
          </cell>
        </row>
        <row r="2406">
          <cell r="C2406" t="str">
            <v>Urueña Convergint Household</v>
          </cell>
          <cell r="D2406" t="str">
            <v>Olga Urueña Convergint</v>
          </cell>
        </row>
        <row r="2407">
          <cell r="C2407" t="str">
            <v>Valderrama ITDB Household</v>
          </cell>
          <cell r="D2407" t="str">
            <v>Juliana Valderrama ITDB</v>
          </cell>
        </row>
        <row r="2408">
          <cell r="C2408" t="str">
            <v>Valdes Household</v>
          </cell>
          <cell r="D2408" t="str">
            <v>Leovigilda Valdes</v>
          </cell>
        </row>
        <row r="2409">
          <cell r="C2409" t="str">
            <v>Valdes Household</v>
          </cell>
          <cell r="D2409" t="str">
            <v>SAMAR VALDES</v>
          </cell>
        </row>
        <row r="2410">
          <cell r="C2410" t="str">
            <v>Valdes Household</v>
          </cell>
          <cell r="D2410" t="str">
            <v>Stepany Valdes</v>
          </cell>
        </row>
        <row r="2411">
          <cell r="C2411" t="str">
            <v>Valdes Household</v>
          </cell>
          <cell r="D2411" t="str">
            <v>Stephany Valdes</v>
          </cell>
        </row>
        <row r="2412">
          <cell r="C2412" t="str">
            <v>VALDEZ Household</v>
          </cell>
          <cell r="D2412" t="str">
            <v>ASHLEY VALDEZ</v>
          </cell>
        </row>
        <row r="2413">
          <cell r="C2413" t="str">
            <v>VALDEZ Household</v>
          </cell>
          <cell r="D2413" t="str">
            <v>Yariela Valdez</v>
          </cell>
        </row>
        <row r="2414">
          <cell r="C2414" t="str">
            <v>Valdéz Household</v>
          </cell>
          <cell r="D2414" t="str">
            <v>Winifred Valdéz</v>
          </cell>
        </row>
        <row r="2415">
          <cell r="C2415" t="str">
            <v>Valencia C.LAS ESCLAVAS Household</v>
          </cell>
          <cell r="D2415" t="str">
            <v>Nathalia Valencia C.LAS ESCLAVAS</v>
          </cell>
        </row>
        <row r="2416">
          <cell r="C2416" t="str">
            <v>Valencia Household</v>
          </cell>
          <cell r="D2416" t="str">
            <v>Mersha Valencia</v>
          </cell>
        </row>
        <row r="2417">
          <cell r="C2417" t="str">
            <v>Valencia Las Esclavas Household</v>
          </cell>
          <cell r="D2417" t="str">
            <v>Natalia Valencia Las Esclavas</v>
          </cell>
        </row>
        <row r="2418">
          <cell r="C2418" t="str">
            <v>Valerin Household</v>
          </cell>
          <cell r="D2418" t="str">
            <v>Edgar Valerin</v>
          </cell>
        </row>
        <row r="2419">
          <cell r="C2419" t="str">
            <v>Vallarino Household</v>
          </cell>
          <cell r="D2419" t="str">
            <v>Marisol Vallarino</v>
          </cell>
        </row>
        <row r="2420">
          <cell r="C2420" t="str">
            <v>VAN DER BELDEN Household</v>
          </cell>
          <cell r="D2420" t="str">
            <v>ALEC VAN DER BELDEN</v>
          </cell>
        </row>
        <row r="2421">
          <cell r="C2421" t="str">
            <v>Vander Werf Household</v>
          </cell>
          <cell r="D2421" t="str">
            <v>Nicole Vander Werf</v>
          </cell>
        </row>
        <row r="2422">
          <cell r="C2422" t="str">
            <v>Vanegas Household</v>
          </cell>
          <cell r="D2422" t="str">
            <v>Jose Angel Vanegas</v>
          </cell>
        </row>
        <row r="2423">
          <cell r="C2423" t="str">
            <v>Vanegas Household</v>
          </cell>
          <cell r="D2423" t="str">
            <v>Jose Vanegas</v>
          </cell>
        </row>
        <row r="2424">
          <cell r="C2424" t="str">
            <v>Vanessa Arenas Household</v>
          </cell>
          <cell r="D2424" t="str">
            <v>Hero Digital Vanessa Arenas</v>
          </cell>
        </row>
        <row r="2425">
          <cell r="C2425" t="str">
            <v>VARELA Household</v>
          </cell>
          <cell r="D2425" t="str">
            <v>Ana Varela</v>
          </cell>
        </row>
        <row r="2426">
          <cell r="C2426" t="str">
            <v>VARELA Household</v>
          </cell>
          <cell r="D2426" t="str">
            <v>VALENTINA VARELA</v>
          </cell>
        </row>
        <row r="2427">
          <cell r="C2427" t="str">
            <v>Vargas Berroa Household</v>
          </cell>
          <cell r="D2427" t="str">
            <v>Mariana Vargas Berroa</v>
          </cell>
        </row>
        <row r="2428">
          <cell r="C2428" t="str">
            <v>Vargas Household</v>
          </cell>
          <cell r="D2428" t="str">
            <v>Karen Vargas</v>
          </cell>
        </row>
        <row r="2429">
          <cell r="C2429" t="str">
            <v>Vargas Household</v>
          </cell>
          <cell r="D2429" t="str">
            <v>Maria del Rosario Vargas</v>
          </cell>
        </row>
        <row r="2430">
          <cell r="C2430" t="str">
            <v>Vargas Household</v>
          </cell>
          <cell r="D2430" t="str">
            <v>Sara Vargas</v>
          </cell>
        </row>
        <row r="2431">
          <cell r="C2431" t="str">
            <v>Vargas Household</v>
          </cell>
          <cell r="D2431" t="str">
            <v>Thays Vargas</v>
          </cell>
        </row>
        <row r="2432">
          <cell r="C2432" t="str">
            <v>Vargas TVN Household</v>
          </cell>
          <cell r="D2432" t="str">
            <v>Jose Vargas TVN</v>
          </cell>
        </row>
        <row r="2433">
          <cell r="C2433" t="str">
            <v>vasquez cunningham Household</v>
          </cell>
          <cell r="D2433" t="str">
            <v>Margaret vasquez cunningham</v>
          </cell>
        </row>
        <row r="2434">
          <cell r="C2434" t="str">
            <v>VASQUEZ Household</v>
          </cell>
          <cell r="D2434" t="str">
            <v>Diego Vasquez</v>
          </cell>
        </row>
        <row r="2435">
          <cell r="C2435" t="str">
            <v>VASQUEZ Household</v>
          </cell>
          <cell r="D2435" t="str">
            <v>JOSE MANUEL VASQUEZ</v>
          </cell>
        </row>
        <row r="2436">
          <cell r="C2436" t="str">
            <v>Vásquez Household</v>
          </cell>
          <cell r="D2436" t="str">
            <v>Johana Vásquez</v>
          </cell>
        </row>
        <row r="2437">
          <cell r="C2437" t="str">
            <v>Vásquez Household</v>
          </cell>
          <cell r="D2437" t="str">
            <v>José Manuel Vásquez</v>
          </cell>
        </row>
        <row r="2438">
          <cell r="C2438" t="str">
            <v>Vásquez Household</v>
          </cell>
          <cell r="D2438" t="str">
            <v>Jose Vásquez</v>
          </cell>
        </row>
        <row r="2439">
          <cell r="C2439" t="str">
            <v>Vásquez Household</v>
          </cell>
          <cell r="D2439" t="str">
            <v>Lilibeth Vásquez</v>
          </cell>
        </row>
        <row r="2440">
          <cell r="C2440" t="str">
            <v>Vásquez Household</v>
          </cell>
          <cell r="D2440" t="str">
            <v>LISSETH Vásquez</v>
          </cell>
        </row>
        <row r="2441">
          <cell r="C2441" t="str">
            <v>Vásquez Household</v>
          </cell>
          <cell r="D2441" t="str">
            <v>Vianka Vásquez</v>
          </cell>
        </row>
        <row r="2442">
          <cell r="C2442" t="str">
            <v>Vega BDO Household</v>
          </cell>
          <cell r="D2442" t="str">
            <v>Keily Vega BDO</v>
          </cell>
        </row>
        <row r="2443">
          <cell r="C2443" t="str">
            <v>Vega Castillo Household</v>
          </cell>
          <cell r="D2443" t="str">
            <v>Alejandra Vega Castillo</v>
          </cell>
        </row>
        <row r="2444">
          <cell r="C2444" t="str">
            <v>Vega Household</v>
          </cell>
          <cell r="D2444" t="str">
            <v>ALYAN R VEGA</v>
          </cell>
        </row>
        <row r="2445">
          <cell r="C2445" t="str">
            <v>Vega Household</v>
          </cell>
          <cell r="D2445" t="str">
            <v>Amilcar Vega</v>
          </cell>
        </row>
        <row r="2446">
          <cell r="C2446" t="str">
            <v>Vega Household</v>
          </cell>
          <cell r="D2446" t="str">
            <v>Fredy Vega</v>
          </cell>
        </row>
        <row r="2447">
          <cell r="C2447" t="str">
            <v>Vega Household</v>
          </cell>
          <cell r="D2447" t="str">
            <v>JOHN JAIRO VEGA</v>
          </cell>
        </row>
        <row r="2448">
          <cell r="C2448" t="str">
            <v>Vega Household</v>
          </cell>
          <cell r="D2448" t="str">
            <v>Jose Vega</v>
          </cell>
        </row>
        <row r="2449">
          <cell r="C2449" t="str">
            <v>Vega Household</v>
          </cell>
          <cell r="D2449" t="str">
            <v>josue vega</v>
          </cell>
        </row>
        <row r="2450">
          <cell r="C2450" t="str">
            <v>Vega Household</v>
          </cell>
          <cell r="D2450" t="str">
            <v>Karina Vega</v>
          </cell>
        </row>
        <row r="2451">
          <cell r="C2451" t="str">
            <v>Vega Household</v>
          </cell>
          <cell r="D2451" t="str">
            <v>Luis Vega</v>
          </cell>
        </row>
        <row r="2452">
          <cell r="C2452" t="str">
            <v>Vega Household</v>
          </cell>
          <cell r="D2452" t="str">
            <v>Ninoshka Vega</v>
          </cell>
        </row>
        <row r="2453">
          <cell r="C2453" t="str">
            <v>Vega Household</v>
          </cell>
          <cell r="D2453" t="str">
            <v>Yanelle Vega</v>
          </cell>
        </row>
        <row r="2454">
          <cell r="C2454" t="str">
            <v>Vega Household</v>
          </cell>
          <cell r="D2454" t="str">
            <v>Yelizbeth Vega</v>
          </cell>
        </row>
        <row r="2455">
          <cell r="C2455" t="str">
            <v>Veggie Fresh Household</v>
          </cell>
          <cell r="D2455" t="str">
            <v>Mónica Veggie Fresh</v>
          </cell>
          <cell r="F2455" t="str">
            <v>6982-2147</v>
          </cell>
        </row>
        <row r="2456">
          <cell r="C2456" t="str">
            <v>VeggieFresh Household</v>
          </cell>
          <cell r="D2456" t="str">
            <v>Monica VeggieFresh</v>
          </cell>
          <cell r="F2456" t="str">
            <v>6982-2147</v>
          </cell>
        </row>
        <row r="2457">
          <cell r="C2457" t="str">
            <v>Velasquez Household</v>
          </cell>
          <cell r="D2457" t="str">
            <v>Geneva Velasquez</v>
          </cell>
        </row>
        <row r="2458">
          <cell r="C2458" t="str">
            <v>Velasquez Household</v>
          </cell>
          <cell r="D2458" t="str">
            <v>Juan Esteban Velasquez</v>
          </cell>
        </row>
        <row r="2459">
          <cell r="C2459" t="str">
            <v>Velásquez Household</v>
          </cell>
          <cell r="D2459" t="str">
            <v>Ana Gabriela Velásquez</v>
          </cell>
        </row>
        <row r="2460">
          <cell r="C2460" t="str">
            <v>Vergara Household</v>
          </cell>
          <cell r="D2460" t="str">
            <v>Ana Vergara</v>
          </cell>
        </row>
        <row r="2461">
          <cell r="C2461" t="str">
            <v>Vergara Household</v>
          </cell>
          <cell r="D2461" t="str">
            <v>Belkis Vergara</v>
          </cell>
        </row>
        <row r="2462">
          <cell r="C2462" t="str">
            <v>Vergara Household</v>
          </cell>
          <cell r="D2462" t="str">
            <v>Emmanuel Vergara</v>
          </cell>
        </row>
        <row r="2463">
          <cell r="C2463" t="str">
            <v>Vergara Household</v>
          </cell>
          <cell r="D2463" t="str">
            <v>Hector Vergara</v>
          </cell>
        </row>
        <row r="2464">
          <cell r="C2464" t="str">
            <v>Vergara Household</v>
          </cell>
          <cell r="D2464" t="str">
            <v>LUIS VERGARA</v>
          </cell>
        </row>
        <row r="2465">
          <cell r="C2465" t="str">
            <v>Vergara Household</v>
          </cell>
          <cell r="D2465" t="str">
            <v>Maria Vergara</v>
          </cell>
        </row>
        <row r="2466">
          <cell r="C2466" t="str">
            <v>Victoria Household</v>
          </cell>
          <cell r="D2466" t="str">
            <v>Fredy Victoria</v>
          </cell>
        </row>
        <row r="2467">
          <cell r="C2467" t="str">
            <v>Victoria Household</v>
          </cell>
          <cell r="D2467" t="str">
            <v>Hillary Victoria</v>
          </cell>
        </row>
        <row r="2468">
          <cell r="C2468" t="str">
            <v>Victoria Household</v>
          </cell>
          <cell r="D2468" t="str">
            <v>Leidy Victoria</v>
          </cell>
        </row>
        <row r="2469">
          <cell r="C2469" t="str">
            <v>Victoria Household</v>
          </cell>
          <cell r="D2469" t="str">
            <v>Leydis Victoria</v>
          </cell>
        </row>
        <row r="2470">
          <cell r="C2470" t="str">
            <v>Vidal Household</v>
          </cell>
          <cell r="D2470" t="str">
            <v>Genie Vidal</v>
          </cell>
        </row>
        <row r="2471">
          <cell r="C2471" t="str">
            <v>Vielka Arrocha Household</v>
          </cell>
          <cell r="D2471" t="str">
            <v>FUNDACION MANANTIAL Vielka Arrocha</v>
          </cell>
        </row>
        <row r="2472">
          <cell r="C2472" t="str">
            <v>Viena Household</v>
          </cell>
          <cell r="D2472" t="str">
            <v>Yessika Viena</v>
          </cell>
          <cell r="F2472" t="str">
            <v>6417-8341</v>
          </cell>
        </row>
        <row r="2473">
          <cell r="C2473" t="str">
            <v>Vigano Household</v>
          </cell>
          <cell r="D2473" t="str">
            <v>Boris Vigano</v>
          </cell>
        </row>
        <row r="2474">
          <cell r="C2474" t="str">
            <v>Viggiano C. Balboa Academy Household</v>
          </cell>
          <cell r="D2474" t="str">
            <v>Carolina Viggiano C. Balboa Academy</v>
          </cell>
        </row>
        <row r="2475">
          <cell r="C2475" t="str">
            <v>Vilchez Household</v>
          </cell>
          <cell r="D2475" t="str">
            <v>Ramón Vilchez</v>
          </cell>
        </row>
        <row r="2476">
          <cell r="C2476" t="str">
            <v>Villamil Fedex Household</v>
          </cell>
          <cell r="D2476" t="str">
            <v>Kenia Villamil Fedex</v>
          </cell>
        </row>
        <row r="2477">
          <cell r="C2477" t="str">
            <v>Villamonte Household</v>
          </cell>
          <cell r="D2477" t="str">
            <v>Valerie Villamonte</v>
          </cell>
        </row>
        <row r="2478">
          <cell r="C2478" t="str">
            <v>Villareal C.B. JESUS DE PRAGA Household</v>
          </cell>
          <cell r="D2478" t="str">
            <v>Isaac Villareal C.B. JESUS DE PRAGA</v>
          </cell>
        </row>
        <row r="2479">
          <cell r="C2479" t="str">
            <v>Villareal Nestle Household</v>
          </cell>
          <cell r="D2479" t="str">
            <v>Kristel Villareal Nestle</v>
          </cell>
        </row>
        <row r="2480">
          <cell r="C2480" t="str">
            <v>Villarreal Barrios Household</v>
          </cell>
          <cell r="D2480" t="str">
            <v>Melida Rosa Villarreal Barrios</v>
          </cell>
        </row>
        <row r="2481">
          <cell r="C2481" t="str">
            <v>VILLARREAL DE CAMARGO Household</v>
          </cell>
          <cell r="D2481" t="str">
            <v>DIVIA VILLARREAL DE CAMARGO</v>
          </cell>
        </row>
        <row r="2482">
          <cell r="C2482" t="str">
            <v>Villarreal Household</v>
          </cell>
          <cell r="D2482" t="str">
            <v>Boris Villarreal</v>
          </cell>
        </row>
        <row r="2483">
          <cell r="C2483" t="str">
            <v>Villarreal Household</v>
          </cell>
          <cell r="D2483" t="str">
            <v>Dalys Villarreal</v>
          </cell>
        </row>
        <row r="2484">
          <cell r="C2484" t="str">
            <v>Villarreal Household</v>
          </cell>
          <cell r="D2484" t="str">
            <v>Kristel Villarreal</v>
          </cell>
        </row>
        <row r="2485">
          <cell r="C2485" t="str">
            <v>Villarreal Household</v>
          </cell>
          <cell r="D2485" t="str">
            <v>LUZ MARINA VILLARREAL</v>
          </cell>
        </row>
        <row r="2486">
          <cell r="C2486" t="str">
            <v>Viloria Household</v>
          </cell>
          <cell r="D2486" t="str">
            <v>Nowports Oriana Viloria</v>
          </cell>
        </row>
        <row r="2487">
          <cell r="C2487" t="str">
            <v>Virzi Household</v>
          </cell>
          <cell r="D2487" t="str">
            <v>Ana Laura Virzi</v>
          </cell>
          <cell r="F2487" t="str">
            <v>6613-9296</v>
          </cell>
        </row>
        <row r="2488">
          <cell r="C2488" t="str">
            <v>Virzi Household</v>
          </cell>
          <cell r="D2488" t="str">
            <v>Maria Elena Virzi</v>
          </cell>
        </row>
        <row r="2489">
          <cell r="C2489" t="str">
            <v>Virzi Martinelli Household</v>
          </cell>
          <cell r="D2489" t="str">
            <v>David José Virzi Martinelli</v>
          </cell>
        </row>
        <row r="2490">
          <cell r="C2490" t="str">
            <v>Vivas Household</v>
          </cell>
          <cell r="D2490" t="str">
            <v>Marialaura Vivas</v>
          </cell>
        </row>
        <row r="2491">
          <cell r="C2491" t="str">
            <v>Viveros Household</v>
          </cell>
          <cell r="D2491" t="str">
            <v>Valeria Viveros</v>
          </cell>
        </row>
        <row r="2492">
          <cell r="C2492" t="str">
            <v>Voitier Household</v>
          </cell>
          <cell r="D2492" t="str">
            <v>Olga Voitier</v>
          </cell>
        </row>
        <row r="2493">
          <cell r="C2493" t="str">
            <v>Watson Household</v>
          </cell>
          <cell r="D2493" t="str">
            <v>Roberto Watson</v>
          </cell>
        </row>
        <row r="2494">
          <cell r="C2494" t="str">
            <v>WEINERT Household</v>
          </cell>
          <cell r="D2494" t="str">
            <v>Nicole WEINERT</v>
          </cell>
        </row>
        <row r="2495">
          <cell r="C2495" t="str">
            <v>WENDEHAKE Household</v>
          </cell>
          <cell r="D2495" t="str">
            <v>EUGENIA WENDEHAKE</v>
          </cell>
        </row>
        <row r="2496">
          <cell r="C2496" t="str">
            <v>williams Household</v>
          </cell>
          <cell r="D2496" t="str">
            <v>yanett williams</v>
          </cell>
        </row>
        <row r="2497">
          <cell r="C2497" t="str">
            <v>Wong Household</v>
          </cell>
          <cell r="D2497" t="str">
            <v>Frances Wong</v>
          </cell>
        </row>
        <row r="2498">
          <cell r="C2498" t="str">
            <v>Wong Household</v>
          </cell>
          <cell r="D2498" t="str">
            <v>Nathaly Wong</v>
          </cell>
        </row>
        <row r="2499">
          <cell r="C2499" t="str">
            <v>Wong Household</v>
          </cell>
          <cell r="D2499" t="str">
            <v>Ricardo Wong</v>
          </cell>
          <cell r="F2499" t="str">
            <v>6626-7202</v>
          </cell>
        </row>
        <row r="2500">
          <cell r="C2500" t="str">
            <v>Wright Household</v>
          </cell>
          <cell r="D2500" t="str">
            <v>Yarelys Wright</v>
          </cell>
        </row>
        <row r="2501">
          <cell r="C2501" t="str">
            <v>Yang Household</v>
          </cell>
          <cell r="D2501" t="str">
            <v>Linda Yang</v>
          </cell>
        </row>
        <row r="2502">
          <cell r="C2502" t="str">
            <v>Yang Oxford Household</v>
          </cell>
          <cell r="D2502" t="str">
            <v>Linda Yang Oxford</v>
          </cell>
        </row>
        <row r="2503">
          <cell r="C2503" t="str">
            <v>YANGUEZ Household</v>
          </cell>
          <cell r="D2503" t="str">
            <v>DANIBIA YANGUEZ</v>
          </cell>
        </row>
        <row r="2504">
          <cell r="C2504" t="str">
            <v>Yañez Bakertilly Household</v>
          </cell>
          <cell r="D2504" t="str">
            <v>Yuviany Yañez Bakertilly</v>
          </cell>
        </row>
        <row r="2505">
          <cell r="C2505" t="str">
            <v>Yau Household</v>
          </cell>
          <cell r="D2505" t="str">
            <v>Maria Cristina Yau</v>
          </cell>
        </row>
        <row r="2506">
          <cell r="C2506" t="str">
            <v>Yimara Household</v>
          </cell>
          <cell r="D2506" t="str">
            <v>Auditores Yimara</v>
          </cell>
        </row>
        <row r="2507">
          <cell r="C2507" t="str">
            <v>Yura Household</v>
          </cell>
          <cell r="D2507" t="str">
            <v>Yuraneth Yura</v>
          </cell>
        </row>
        <row r="2508">
          <cell r="C2508" t="str">
            <v>Zaidman Household</v>
          </cell>
          <cell r="D2508" t="str">
            <v>Michelle Zaidman</v>
          </cell>
        </row>
        <row r="2509">
          <cell r="C2509" t="str">
            <v>Zambrano Household</v>
          </cell>
          <cell r="D2509" t="str">
            <v>Abdiel Zambrano</v>
          </cell>
        </row>
        <row r="2510">
          <cell r="C2510" t="str">
            <v>Zapata Household</v>
          </cell>
          <cell r="D2510" t="str">
            <v>Juan C. Zapata</v>
          </cell>
        </row>
        <row r="2511">
          <cell r="C2511" t="str">
            <v>Zapata Household</v>
          </cell>
          <cell r="D2511" t="str">
            <v>Lourdes Zapata</v>
          </cell>
        </row>
        <row r="2512">
          <cell r="C2512" t="str">
            <v>Zapata Household</v>
          </cell>
          <cell r="D2512" t="str">
            <v>Wilfredo Zapata</v>
          </cell>
        </row>
        <row r="2513">
          <cell r="C2513" t="str">
            <v>Zapata Household</v>
          </cell>
          <cell r="D2513" t="str">
            <v>Yordan Zapata</v>
          </cell>
        </row>
        <row r="2514">
          <cell r="C2514" t="str">
            <v>Zárate Household</v>
          </cell>
          <cell r="D2514" t="str">
            <v>Angie Zárate</v>
          </cell>
        </row>
        <row r="2515">
          <cell r="C2515" t="str">
            <v>Zelaya Household</v>
          </cell>
          <cell r="D2515" t="str">
            <v>Dazmara Zelaya</v>
          </cell>
        </row>
        <row r="2516">
          <cell r="C2516" t="str">
            <v>Zepeda Household</v>
          </cell>
          <cell r="D2516" t="str">
            <v>Josep Allan Zepeda</v>
          </cell>
        </row>
        <row r="2517">
          <cell r="C2517" t="str">
            <v>Zhang Household</v>
          </cell>
          <cell r="D2517" t="str">
            <v>Melissa Zhang</v>
          </cell>
        </row>
        <row r="2518">
          <cell r="C2518" t="str">
            <v>Zhang Household</v>
          </cell>
          <cell r="D2518" t="str">
            <v>Moises Zhang</v>
          </cell>
        </row>
        <row r="2519">
          <cell r="C2519" t="str">
            <v>Zhang Oxford Household</v>
          </cell>
          <cell r="D2519" t="str">
            <v>Angel Zhang Oxford</v>
          </cell>
        </row>
        <row r="2520">
          <cell r="C2520" t="str">
            <v>Zhang Oxford Household</v>
          </cell>
          <cell r="D2520" t="str">
            <v>Melissa Zhang Oxford</v>
          </cell>
        </row>
        <row r="2521">
          <cell r="C2521" t="str">
            <v>Zhong Household</v>
          </cell>
          <cell r="D2521" t="str">
            <v>Melissa Zhong</v>
          </cell>
        </row>
        <row r="2522">
          <cell r="C2522" t="str">
            <v>Zúñiga Household</v>
          </cell>
          <cell r="D2522" t="str">
            <v>Yitzel Zúñiga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8F0F-4C86-4518-870E-C764C4E678A7}">
  <sheetPr>
    <tabColor theme="9" tint="-0.499984740745262"/>
  </sheetPr>
  <dimension ref="A1:DB130"/>
  <sheetViews>
    <sheetView showGridLines="0" showZeros="0" tabSelected="1" topLeftCell="A38" zoomScale="114" zoomScaleNormal="82" workbookViewId="0">
      <selection activeCell="A55" sqref="A55"/>
    </sheetView>
  </sheetViews>
  <sheetFormatPr defaultColWidth="10.9453125" defaultRowHeight="14.4" outlineLevelCol="1" x14ac:dyDescent="0.55000000000000004"/>
  <cols>
    <col min="1" max="1" width="49" bestFit="1" customWidth="1"/>
    <col min="2" max="2" width="12.734375" style="34" customWidth="1"/>
    <col min="3" max="4" width="12.734375" style="35" customWidth="1"/>
    <col min="5" max="6" width="14.1015625" style="36" customWidth="1"/>
    <col min="7" max="7" width="15.1015625" style="34" customWidth="1"/>
    <col min="8" max="10" width="11.734375" style="34" customWidth="1"/>
    <col min="11" max="46" width="11.734375" style="34" customWidth="1" outlineLevel="1"/>
    <col min="47" max="47" width="11.83984375" style="34" customWidth="1" outlineLevel="1"/>
    <col min="48" max="52" width="11.734375" style="34" customWidth="1" outlineLevel="1"/>
    <col min="53" max="63" width="11.734375" style="34" customWidth="1"/>
    <col min="64" max="102" width="9.734375" style="34" customWidth="1"/>
    <col min="103" max="103" width="19.734375" bestFit="1" customWidth="1"/>
    <col min="104" max="104" width="32.734375" bestFit="1" customWidth="1"/>
    <col min="105" max="105" width="19.26171875" bestFit="1" customWidth="1"/>
    <col min="106" max="106" width="87.41796875" bestFit="1" customWidth="1"/>
  </cols>
  <sheetData>
    <row r="1" spans="1:106" s="13" customFormat="1" ht="43.15" customHeight="1" x14ac:dyDescent="0.5500000000000000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5" t="s">
        <v>43</v>
      </c>
      <c r="AS1" s="5" t="s">
        <v>44</v>
      </c>
      <c r="AT1" s="5" t="s">
        <v>45</v>
      </c>
      <c r="AU1" s="6" t="s">
        <v>46</v>
      </c>
      <c r="AV1" s="6" t="s">
        <v>47</v>
      </c>
      <c r="AW1" s="6" t="s">
        <v>48</v>
      </c>
      <c r="AX1" s="7" t="s">
        <v>49</v>
      </c>
      <c r="AY1" s="7" t="s">
        <v>50</v>
      </c>
      <c r="AZ1" s="7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55000000000000004">
      <c r="A2" s="14" t="s">
        <v>106</v>
      </c>
      <c r="B2" s="15">
        <f>INT(IFERROR(VLOOKUP(A2,'[1]Resumen Donantes'!C:F,3,0),0))</f>
        <v>0</v>
      </c>
      <c r="C2" s="15">
        <f>INT(ROUND(IFERROR(VLOOKUP(A2,'[1]Resumen Donantes'!C:F,4,0),0),1))</f>
        <v>2508</v>
      </c>
      <c r="D2" s="16">
        <f>INT(ROUND(C2-B2,1))</f>
        <v>2508</v>
      </c>
      <c r="E2" s="17" t="str">
        <f>IF(A2=0,"",TEXT((IFERROR(D2/C2,0)),"0.00%"))</f>
        <v>100.00%</v>
      </c>
      <c r="F2" s="17" t="str">
        <f>IF(A2=0,"",TEXT((IFERROR(B2/C2,0)),"0.0%"))</f>
        <v>0.0%</v>
      </c>
      <c r="G2" s="15">
        <f>INT(D2*3)</f>
        <v>7524</v>
      </c>
      <c r="H2" s="18"/>
      <c r="I2" s="18">
        <f>IFERROR(VLOOKUP(A2,'[1]Lot All by Part'!T:Y,6,0),0)</f>
        <v>0</v>
      </c>
      <c r="J2" s="18"/>
      <c r="K2" s="19">
        <f>IFERROR(VLOOKUP($A2,'[1]OB Atendidas por Donantes'!A:N,3,0),0)</f>
        <v>16</v>
      </c>
      <c r="L2" s="19">
        <f>ROUNDUP(IF(A2=0,0,IFERROR(VLOOKUP($A2,'[1]Kilos Asignado del Donante'!A:O,3,0),0)),0)</f>
        <v>542</v>
      </c>
      <c r="M2" s="19">
        <f>IF(A2=0,0,IFERROR(SUMIFS([1]Poblacion!M:M,[1]Poblacion!J:J,'MASTER-2025'!A2),0))</f>
        <v>0</v>
      </c>
      <c r="N2" s="20">
        <f>IFERROR(VLOOKUP($A2,'[1]OB Atendidas por Donantes'!A:N,4,0),0)</f>
        <v>28</v>
      </c>
      <c r="O2" s="20">
        <f>ROUNDUP(IF(A2=0,0,IFERROR(VLOOKUP($A2,'[1]Kilos Asignado del Donante'!A:O,4,0),0)),0)</f>
        <v>848</v>
      </c>
      <c r="P2" s="20">
        <f>IF(A2=0,0,IFERROR(SUMIFS([1]Poblacion!N:N,[1]Poblacion!J:J,'MASTER-2025'!A2),0))</f>
        <v>0</v>
      </c>
      <c r="Q2" s="18">
        <f>IFERROR(VLOOKUP($A2,'[1]OB Atendidas por Donantes'!A:N,2,0),0)</f>
        <v>4</v>
      </c>
      <c r="R2" s="18">
        <f>ROUNDUP(ROUND(IF(A2=0,0,IFERROR(VLOOKUP($A2,'[1]Kilos Asignado del Donante'!A:O,9,0),0)),1),0)</f>
        <v>78</v>
      </c>
      <c r="S2" s="18">
        <f>IF(A2=0,0,IFERROR(SUMIFS([1]Poblacion!S:S,[1]Poblacion!J:J,'MASTER-2025'!A2),0))</f>
        <v>0</v>
      </c>
      <c r="T2" s="19">
        <f>IFERROR(VLOOKUP($A2,'[1]OB Atendidas por Donantes'!A:N,12,0),0)</f>
        <v>5</v>
      </c>
      <c r="U2" s="19">
        <f>ROUNDUP(IF(A2=0,0,IF(A2=0,0,IFERROR(VLOOKUP($A2,'[1]Kilos Asignado del Donante'!A:O,7,0),0))),0)</f>
        <v>122</v>
      </c>
      <c r="V2" s="19">
        <f>IF(A2=0,0,IFERROR(SUMIFS([1]Poblacion!Q:Q,[1]Poblacion!J:J,'MASTER-2025'!A2),0))</f>
        <v>0</v>
      </c>
      <c r="W2" s="20">
        <f>IFERROR(VLOOKUP($A2,'[1]OB Atendidas por Donantes'!A:N,10,0),0)</f>
        <v>12</v>
      </c>
      <c r="X2" s="20">
        <f>ROUNDUP(IF(A2=0,0,IFERROR(VLOOKUP($A2,'[1]Kilos Asignado del Donante'!A:N,5,0),0)),0)</f>
        <v>388</v>
      </c>
      <c r="Y2" s="20">
        <f>IF(A2=0,0,IFERROR(SUMIFS([1]Poblacion!O:O,[1]Poblacion!J:J,'MASTER-2025'!A2),0))</f>
        <v>0</v>
      </c>
      <c r="Z2" s="18">
        <f>IFERROR(VLOOKUP($A2,'[1]OB Atendidas por Donantes'!A:N,6,0),0)</f>
        <v>4</v>
      </c>
      <c r="AA2" s="18">
        <f>ROUNDUP(IF(A2=0,0,IFERROR(VLOOKUP($A2,'[1]Kilos Asignado del Donante'!A:N,11,0),0)),0)</f>
        <v>246</v>
      </c>
      <c r="AB2" s="18">
        <f>IF(A2=0,0,IFERROR(SUMIFS([1]Poblacion!U:U,[1]Poblacion!J:J,'MASTER-2025'!A2),0))</f>
        <v>0</v>
      </c>
      <c r="AC2" s="19">
        <f>IFERROR(VLOOKUP($A2,'[1]OB Atendidas por Donantes'!A:N,7,0),0)</f>
        <v>4</v>
      </c>
      <c r="AD2" s="19">
        <f>ROUNDUP(IF(A2=0,0,IFERROR(VLOOKUP($A2,'[1]Kilos Asignado del Donante'!A:N,8,0),0)),0)</f>
        <v>203</v>
      </c>
      <c r="AE2" s="19">
        <f>IF(A2=0,0,IFERROR(SUMIFS([1]Poblacion!R:R,[1]Poblacion!J:J,'MASTER-2025'!A2),0))</f>
        <v>0</v>
      </c>
      <c r="AF2" s="20">
        <f>IFERROR(VLOOKUP($A2,'[1]OB Atendidas por Donantes'!A:N,8,0),0)</f>
        <v>2</v>
      </c>
      <c r="AG2" s="20">
        <f>ROUNDUP(IF(A2=0,0,IFERROR(VLOOKUP($A2,'[1]Kilos Asignado del Donante'!A:N,6,0),0)),0)</f>
        <v>26</v>
      </c>
      <c r="AH2" s="20">
        <f>IF(A2=0,0,IFERROR(SUMIFS([1]Poblacion!P:P,[1]Poblacion!J:J,'MASTER-2025'!A2),0))</f>
        <v>0</v>
      </c>
      <c r="AI2" s="18">
        <f>IFERROR(VLOOKUP($A2,'[1]OB Atendidas por Donantes'!A:N,9,0),0)</f>
        <v>4</v>
      </c>
      <c r="AJ2" s="18">
        <f>ROUNDUP(IF(A2=0,0,IFERROR(VLOOKUP($A2,'[1]Kilos Asignado del Donante'!A:N,12,0),0)),0)</f>
        <v>98</v>
      </c>
      <c r="AK2" s="18">
        <f>IF(A2=0,0,IFERROR(SUMIFS([1]Poblacion!V:V,[1]Poblacion!J:J,'MASTER-2025'!A2),0))</f>
        <v>0</v>
      </c>
      <c r="AL2" s="19">
        <f>IFERROR(VLOOKUP($A2,'[1]OB Atendidas por Donantes'!A:N,16,0),0)</f>
        <v>0</v>
      </c>
      <c r="AM2" s="19">
        <f>ROUNDUP(IF(A2=0,0,IFERROR(VLOOKUP($A2,'[1]Kilos Asignado del Donante'!A:O,16,0),0)),0)</f>
        <v>0</v>
      </c>
      <c r="AN2" s="19">
        <f>IF(A2=0,0,IFERROR(SUMIFS([1]Poblacion!Z:Z,[1]Poblacion!J:J,'MASTER-2025'!A2),0))</f>
        <v>0</v>
      </c>
      <c r="AO2" s="20">
        <f>IFERROR(VLOOKUP($A2,'[1]OB Atendidas por Donantes'!A:N,11,0),0)</f>
        <v>2</v>
      </c>
      <c r="AP2" s="20">
        <f>ROUNDUP(IF(A2=0,0,IFERROR(VLOOKUP($A2,'[1]Kilos Asignado del Donante'!A:N,13,0),0)),0)</f>
        <v>77</v>
      </c>
      <c r="AQ2" s="20">
        <f>IF(A2=0,0,IFERROR(SUMIFS([1]Poblacion!W:W,[1]Poblacion!J:J,'MASTER-2025'!A2),0))</f>
        <v>0</v>
      </c>
      <c r="AR2" s="18">
        <f>IFERROR(VLOOKUP($A2,'[1]OB Atendidas por Donantes'!A:N,5,0),0)</f>
        <v>7</v>
      </c>
      <c r="AS2" s="18">
        <f>ROUNDUP(IF(A2=0,0,IFERROR(VLOOKUP($A2,'[1]Kilos Asignado del Donante'!A:N,10,0),0)),0)</f>
        <v>278</v>
      </c>
      <c r="AT2" s="18">
        <f>IF(A2=0,0,IFERROR(SUMIFS([1]Poblacion!T:T,[1]Poblacion!J:J,'MASTER-2025'!A2),0))</f>
        <v>0</v>
      </c>
      <c r="AU2" s="19">
        <f>IFERROR(VLOOKUP($A2,'[1]OB Atendidas por Donantes'!A:N,13,0),0)</f>
        <v>0</v>
      </c>
      <c r="AV2" s="19">
        <f>ROUNDUP(IF(A2=0,0,IFERROR(VLOOKUP($A2,'[1]Kilos Asignado del Donante'!A:N,14,0),0)),0)</f>
        <v>0</v>
      </c>
      <c r="AW2" s="19">
        <f>IF(A2=0,0,IFERROR(SUMIFS([1]Poblacion!X:X,[1]Poblacion!J:J,'MASTER-2025'!A2),0))</f>
        <v>0</v>
      </c>
      <c r="AX2" s="20">
        <f>IFERROR(VLOOKUP($A2,'[1]OB Atendidas por Donantes'!A:N,16,0),0)</f>
        <v>0</v>
      </c>
      <c r="AY2" s="20">
        <f>ROUNDUP(IF(A2=0,0,IFERROR(VLOOKUP($A2,'[1]Kilos Asignado del Donante'!A:O,16,0),0)),0)</f>
        <v>0</v>
      </c>
      <c r="AZ2" s="20">
        <f>IF(A2=0,0,IFERROR(SUMIFS([1]Poblacion!Y:Y,[1]Poblacion!J:J,'MASTER-2025'!A2),0))</f>
        <v>0</v>
      </c>
      <c r="BA2" s="21">
        <f>+H2+K2+N2+Q2+T2+W2+Z2+AC2+AF2+AI2+AL2+AO2+AR2+AU2+AX2</f>
        <v>88</v>
      </c>
      <c r="BB2" s="21">
        <f>INT(I2+L2+O2+R2+U2+X2+AA2+AD2+AG2+AJ2+AM2+AP2+AS2+AV2+AY2)</f>
        <v>2906</v>
      </c>
      <c r="BC2" s="21">
        <f t="shared" ref="BC2:BC9" si="0">ROUND(I2+L2+O2+R2+U2,0)</f>
        <v>1590</v>
      </c>
      <c r="BD2" s="21">
        <f>IF(A2=0,0,(+J2+M2+P2+S2+V2+Y2+AB2+AE2+AH2+AK2+AN2+AQ2+AT2+AW2+AZ2))</f>
        <v>0</v>
      </c>
      <c r="BE2" s="22" t="e">
        <f>IF(A2=0,0,SUMIFS([1]Poblacion!C:C,[1]Poblacion!A:A,'MASTER-2025'!A2))</f>
        <v>#VALUE!</v>
      </c>
      <c r="BF2" s="22" t="e">
        <f>IF(A2=0,0,SUMIFS([1]Poblacion!D:D,[1]Poblacion!A:A,'MASTER-2025'!A2))</f>
        <v>#VALUE!</v>
      </c>
      <c r="BG2" s="22" t="e">
        <f>IF(A2=0,0,SUMIFS([1]Poblacion!E:E,[1]Poblacion!A:A,'MASTER-2025'!A2))</f>
        <v>#VALUE!</v>
      </c>
      <c r="BH2" s="22" t="e">
        <f>IF(A2=0,0,SUMIFS([1]Poblacion!F:F,[1]Poblacion!A:A,'MASTER-2025'!A2))</f>
        <v>#VALUE!</v>
      </c>
      <c r="BI2" s="22" t="e">
        <f>+BF2+BG2+BH2</f>
        <v>#VALUE!</v>
      </c>
      <c r="BJ2" s="23" t="e">
        <f>+BK2-BI2-BH2-BG2-BF2-BE2</f>
        <v>#VALUE!</v>
      </c>
      <c r="BK2" s="22" t="e">
        <f>IF(A2=0,0,SUMIFS([1]Poblacion!G:G,[1]Poblacion!A:A,'MASTER-2025'!A2))</f>
        <v>#VALUE!</v>
      </c>
      <c r="BL2" s="24">
        <v>1</v>
      </c>
      <c r="BM2" s="24">
        <v>1</v>
      </c>
      <c r="BN2" s="24">
        <v>1</v>
      </c>
      <c r="BO2" s="24">
        <v>1</v>
      </c>
      <c r="BP2" s="24">
        <v>1</v>
      </c>
      <c r="BQ2" s="24">
        <v>1</v>
      </c>
      <c r="BR2" s="24">
        <v>1</v>
      </c>
      <c r="BS2" s="24">
        <v>1</v>
      </c>
      <c r="BT2" s="24">
        <v>1</v>
      </c>
      <c r="BU2" s="24">
        <v>1</v>
      </c>
      <c r="BV2" s="24">
        <v>1</v>
      </c>
      <c r="BW2" s="24">
        <v>1</v>
      </c>
      <c r="BX2" s="24">
        <f>SUM(BL2:BW2)</f>
        <v>12</v>
      </c>
      <c r="BY2" s="25" cm="1">
        <f t="array" ref="BY2:CJ2">IFERROR(VLOOKUP(A2,'[1]Acum-OB-kg-pob-25'!A:AQ,{17,18,19,20,21,22,23,24,25,26,27,28},0),0)</f>
        <v>6112</v>
      </c>
      <c r="BZ2" s="25">
        <v>752</v>
      </c>
      <c r="CA2" s="25">
        <v>2508</v>
      </c>
      <c r="CB2" s="25">
        <v>0</v>
      </c>
      <c r="CC2" s="25">
        <v>0</v>
      </c>
      <c r="CD2" s="25">
        <v>0</v>
      </c>
      <c r="CE2" s="25">
        <v>0</v>
      </c>
      <c r="CF2" s="25">
        <v>0</v>
      </c>
      <c r="CG2" s="25">
        <v>0</v>
      </c>
      <c r="CH2" s="25">
        <v>0</v>
      </c>
      <c r="CI2" s="25">
        <v>0</v>
      </c>
      <c r="CJ2" s="25">
        <v>0</v>
      </c>
      <c r="CK2" s="25">
        <f>SUM(BY2:CJ2)</f>
        <v>9372</v>
      </c>
      <c r="CL2" s="26" cm="1">
        <f t="array" ref="CL2:CW2">IFERROR(VLOOKUP(A2,'[1]Acum-OB-kg-pob-25'!A:AQ,{31,32,33,34,35,36,37,38,39,40,41,42},0),0)</f>
        <v>19341</v>
      </c>
      <c r="CM2" s="26">
        <v>16959</v>
      </c>
      <c r="CN2" s="26">
        <v>26002</v>
      </c>
      <c r="CO2" s="26">
        <v>0</v>
      </c>
      <c r="CP2" s="26">
        <v>0</v>
      </c>
      <c r="CQ2" s="26">
        <v>0</v>
      </c>
      <c r="CR2" s="26">
        <v>0</v>
      </c>
      <c r="CS2" s="26">
        <v>0</v>
      </c>
      <c r="CT2" s="26">
        <v>0</v>
      </c>
      <c r="CU2" s="26">
        <v>0</v>
      </c>
      <c r="CV2" s="26">
        <v>0</v>
      </c>
      <c r="CW2" s="26">
        <v>0</v>
      </c>
      <c r="CX2" s="26">
        <f>SUM(CL2:CW2)</f>
        <v>62302</v>
      </c>
      <c r="CY2" s="14" t="str">
        <f>IF(A2=0,0,IFERROR(VLOOKUP(A2,'[1]Info Donantes'!C:F,2,0),"Sin Contacto"))</f>
        <v>Rony Lombardo</v>
      </c>
      <c r="CZ2" s="14" t="str">
        <f>IF(A2=0,0,IFERROR(VLOOKUP(A2,'[1]Info Donantes'!C:F,3,0),"Sin Correo"))</f>
        <v>rlombardo@feduro.net</v>
      </c>
      <c r="DA2" s="14" t="str">
        <f>IF(A2=0,0,IFERROR(VLOOKUP(A2,'[1]Info Donantes'!C:F,4,0),"Sin Telefono"))</f>
        <v>3044444</v>
      </c>
      <c r="DB2" s="14" t="str">
        <f>IF(A2=0,0,"Reporte de Trazabiidad"&amp;" - "&amp;'[1]Resumen Donantes'!$C$2&amp;" - "&amp;A2&amp;"")</f>
        <v>Reporte de Trazabiidad -  - AGENCIAS FEDURO</v>
      </c>
    </row>
    <row r="3" spans="1:106" x14ac:dyDescent="0.55000000000000004">
      <c r="A3" s="14" t="s">
        <v>107</v>
      </c>
      <c r="B3" s="15">
        <f>INT(IFERROR(VLOOKUP(A3,'[1]Resumen Donantes'!C:F,3,0),0))</f>
        <v>0</v>
      </c>
      <c r="C3" s="15">
        <f>INT(ROUND(IFERROR(VLOOKUP(A3,'[1]Resumen Donantes'!C:F,4,0),0),1))</f>
        <v>108</v>
      </c>
      <c r="D3" s="16">
        <f t="shared" ref="D3:D8" si="1">INT(ROUND(C3-B3,1))</f>
        <v>108</v>
      </c>
      <c r="E3" s="17" t="str">
        <f t="shared" ref="E3:E8" si="2">IF(A3=0,"",TEXT((IFERROR(D3/C3,0)),"0.00%"))</f>
        <v>100.00%</v>
      </c>
      <c r="F3" s="17" t="str">
        <f t="shared" ref="F3:F8" si="3">IF(A3=0,"",TEXT((IFERROR(B3/C3,0)),"0.0%"))</f>
        <v>0.0%</v>
      </c>
      <c r="G3" s="15">
        <f t="shared" ref="G3:G8" si="4">INT(D3*3)</f>
        <v>324</v>
      </c>
      <c r="H3" s="18"/>
      <c r="I3" s="18">
        <f>IFERROR(VLOOKUP(A3,'[1]Lot All by Part'!T:Y,6,0),0)</f>
        <v>0</v>
      </c>
      <c r="J3" s="18"/>
      <c r="K3" s="19">
        <f>IFERROR(VLOOKUP($A3,'[1]OB Atendidas por Donantes'!A:N,3,0),0)</f>
        <v>3</v>
      </c>
      <c r="L3" s="19">
        <f>ROUNDUP(IF(A3=0,0,IFERROR(VLOOKUP($A3,'[1]Kilos Asignado del Donante'!A:O,3,0),0)),0)</f>
        <v>24</v>
      </c>
      <c r="M3" s="19">
        <f>IF(A3=0,0,IFERROR(SUMIFS([1]Poblacion!M:M,[1]Poblacion!J:J,'MASTER-2025'!A3),0))</f>
        <v>0</v>
      </c>
      <c r="N3" s="20">
        <f>IFERROR(VLOOKUP($A3,'[1]OB Atendidas por Donantes'!A:N,4,0),0)</f>
        <v>5</v>
      </c>
      <c r="O3" s="20">
        <f>ROUNDUP(IF(A3=0,0,IFERROR(VLOOKUP($A3,'[1]Kilos Asignado del Donante'!A:O,4,0),0)),0)</f>
        <v>42</v>
      </c>
      <c r="P3" s="20">
        <f>IF(A3=0,0,IFERROR(SUMIFS([1]Poblacion!N:N,[1]Poblacion!J:J,'MASTER-2025'!A3),0))</f>
        <v>0</v>
      </c>
      <c r="Q3" s="18">
        <f>IFERROR(VLOOKUP($A3,'[1]OB Atendidas por Donantes'!A:N,2,0),0)</f>
        <v>1</v>
      </c>
      <c r="R3" s="18">
        <f>ROUNDUP(ROUND(IF(A3=0,0,IFERROR(VLOOKUP($A3,'[1]Kilos Asignado del Donante'!A:O,9,0),0)),1),0)</f>
        <v>8</v>
      </c>
      <c r="S3" s="18">
        <f>IF(A3=0,0,IFERROR(SUMIFS([1]Poblacion!S:S,[1]Poblacion!J:J,'MASTER-2025'!A3),0))</f>
        <v>0</v>
      </c>
      <c r="T3" s="19">
        <f>IFERROR(VLOOKUP($A3,'[1]OB Atendidas por Donantes'!A:N,12,0),0)</f>
        <v>1</v>
      </c>
      <c r="U3" s="19">
        <f>ROUNDUP(IF(A3=0,0,IF(A3=0,0,IFERROR(VLOOKUP($A3,'[1]Kilos Asignado del Donante'!A:O,7,0),0))),0)</f>
        <v>10</v>
      </c>
      <c r="V3" s="19">
        <f>IF(A3=0,0,IFERROR(SUMIFS([1]Poblacion!Q:Q,[1]Poblacion!J:J,'MASTER-2025'!A3),0))</f>
        <v>0</v>
      </c>
      <c r="W3" s="20">
        <f>IFERROR(VLOOKUP($A3,'[1]OB Atendidas por Donantes'!A:N,10,0),0)</f>
        <v>2</v>
      </c>
      <c r="X3" s="20">
        <f>ROUNDUP(IF(A3=0,0,IFERROR(VLOOKUP($A3,'[1]Kilos Asignado del Donante'!A:N,5,0),0)),0)</f>
        <v>16</v>
      </c>
      <c r="Y3" s="20">
        <f>IF(A3=0,0,IFERROR(SUMIFS([1]Poblacion!O:O,[1]Poblacion!J:J,'MASTER-2025'!A3),0))</f>
        <v>0</v>
      </c>
      <c r="Z3" s="18">
        <f>IFERROR(VLOOKUP($A3,'[1]OB Atendidas por Donantes'!A:N,6,0),0)</f>
        <v>0</v>
      </c>
      <c r="AA3" s="18">
        <f>ROUNDUP(IF(A3=0,0,IFERROR(VLOOKUP($A3,'[1]Kilos Asignado del Donante'!A:N,11,0),0)),0)</f>
        <v>0</v>
      </c>
      <c r="AB3" s="18">
        <f>IF(A3=0,0,IFERROR(SUMIFS([1]Poblacion!U:U,[1]Poblacion!J:J,'MASTER-2025'!A3),0))</f>
        <v>0</v>
      </c>
      <c r="AC3" s="19">
        <f>IFERROR(VLOOKUP($A3,'[1]OB Atendidas por Donantes'!A:N,7,0),0)</f>
        <v>1</v>
      </c>
      <c r="AD3" s="19">
        <f>ROUNDUP(IF(A3=0,0,IFERROR(VLOOKUP($A3,'[1]Kilos Asignado del Donante'!A:N,8,0),0)),0)</f>
        <v>8</v>
      </c>
      <c r="AE3" s="19">
        <f>IF(A3=0,0,IFERROR(SUMIFS([1]Poblacion!R:R,[1]Poblacion!J:J,'MASTER-2025'!A3),0))</f>
        <v>0</v>
      </c>
      <c r="AF3" s="20">
        <f>IFERROR(VLOOKUP($A3,'[1]OB Atendidas por Donantes'!A:N,8,0),0)</f>
        <v>0</v>
      </c>
      <c r="AG3" s="20">
        <f>ROUNDUP(IF(A3=0,0,IFERROR(VLOOKUP($A3,'[1]Kilos Asignado del Donante'!A:N,6,0),0)),0)</f>
        <v>0</v>
      </c>
      <c r="AH3" s="20">
        <f>IF(A3=0,0,IFERROR(SUMIFS([1]Poblacion!P:P,[1]Poblacion!J:J,'MASTER-2025'!A3),0))</f>
        <v>0</v>
      </c>
      <c r="AI3" s="18">
        <f>IFERROR(VLOOKUP($A3,'[1]OB Atendidas por Donantes'!A:N,9,0),0)</f>
        <v>0</v>
      </c>
      <c r="AJ3" s="18">
        <f>ROUNDUP(IF(A3=0,0,IFERROR(VLOOKUP($A3,'[1]Kilos Asignado del Donante'!A:N,12,0),0)),0)</f>
        <v>0</v>
      </c>
      <c r="AK3" s="18">
        <f>IF(A3=0,0,IFERROR(SUMIFS([1]Poblacion!V:V,[1]Poblacion!J:J,'MASTER-2025'!A3),0))</f>
        <v>0</v>
      </c>
      <c r="AL3" s="19">
        <f>IFERROR(VLOOKUP($A3,'[1]OB Atendidas por Donantes'!A:N,16,0),0)</f>
        <v>0</v>
      </c>
      <c r="AM3" s="19">
        <f>ROUNDUP(IF(A3=0,0,IFERROR(VLOOKUP($A3,'[1]Kilos Asignado del Donante'!A:O,16,0),0)),0)</f>
        <v>0</v>
      </c>
      <c r="AN3" s="19">
        <f>IF(A3=0,0,IFERROR(SUMIFS([1]Poblacion!Z:Z,[1]Poblacion!J:J,'MASTER-2025'!A3),0))</f>
        <v>0</v>
      </c>
      <c r="AO3" s="20">
        <f>IFERROR(VLOOKUP($A3,'[1]OB Atendidas por Donantes'!A:N,11,0),0)</f>
        <v>0</v>
      </c>
      <c r="AP3" s="20">
        <f>ROUNDUP(IF(A3=0,0,IFERROR(VLOOKUP($A3,'[1]Kilos Asignado del Donante'!A:N,13,0),0)),0)</f>
        <v>0</v>
      </c>
      <c r="AQ3" s="20">
        <f>IF(A3=0,0,IFERROR(SUMIFS([1]Poblacion!W:W,[1]Poblacion!J:J,'MASTER-2025'!A3),0))</f>
        <v>0</v>
      </c>
      <c r="AR3" s="18">
        <f>IFERROR(VLOOKUP($A3,'[1]OB Atendidas por Donantes'!A:N,5,0),0)</f>
        <v>0</v>
      </c>
      <c r="AS3" s="18">
        <f>ROUNDUP(IF(A3=0,0,IFERROR(VLOOKUP($A3,'[1]Kilos Asignado del Donante'!A:N,10,0),0)),0)</f>
        <v>0</v>
      </c>
      <c r="AT3" s="18">
        <f>IF(A3=0,0,IFERROR(SUMIFS([1]Poblacion!T:T,[1]Poblacion!J:J,'MASTER-2025'!A3),0))</f>
        <v>0</v>
      </c>
      <c r="AU3" s="19">
        <f>IFERROR(VLOOKUP($A3,'[1]OB Atendidas por Donantes'!A:N,13,0),0)</f>
        <v>0</v>
      </c>
      <c r="AV3" s="19">
        <f>ROUNDUP(IF(A3=0,0,IFERROR(VLOOKUP($A3,'[1]Kilos Asignado del Donante'!A:N,14,0),0)),0)</f>
        <v>0</v>
      </c>
      <c r="AW3" s="19">
        <f>IF(A3=0,0,IFERROR(SUMIFS([1]Poblacion!X:X,[1]Poblacion!J:J,'MASTER-2025'!A3),0))</f>
        <v>0</v>
      </c>
      <c r="AX3" s="20">
        <f>IFERROR(VLOOKUP($A3,'[1]OB Atendidas por Donantes'!A:N,16,0),0)</f>
        <v>0</v>
      </c>
      <c r="AY3" s="20">
        <f>ROUNDUP(IF(A3=0,0,IFERROR(VLOOKUP($A3,'[1]Kilos Asignado del Donante'!A:O,16,0),0)),0)</f>
        <v>0</v>
      </c>
      <c r="AZ3" s="20">
        <f>IF(A3=0,0,IFERROR(SUMIFS([1]Poblacion!Y:Y,[1]Poblacion!J:J,'MASTER-2025'!A3),0))</f>
        <v>0</v>
      </c>
      <c r="BA3" s="21">
        <f t="shared" ref="BA3:BA8" si="5">+H3+K3+N3+Q3+T3+W3+Z3+AC3+AF3+AI3+AL3+AO3+AR3+AU3+AX3</f>
        <v>13</v>
      </c>
      <c r="BB3" s="21">
        <f>INT(I3+L3+O3+R3+U3+X3+AA3+AD3+AG3+AJ3+AM3+AP3+AS3+AV3+AY3)</f>
        <v>108</v>
      </c>
      <c r="BC3" s="21">
        <f t="shared" si="0"/>
        <v>84</v>
      </c>
      <c r="BD3" s="21">
        <f>IF(A3=0,0,(+J3+M3+P3+S3+V3+Y3+AB3+AE3+AH3+AK3+AN3+AQ3+AT3+AW3+AZ3))</f>
        <v>0</v>
      </c>
      <c r="BE3" s="22" t="e">
        <f>IF(A3=0,0,SUMIFS([1]Poblacion!C:C,[1]Poblacion!A:A,'MASTER-2025'!A3))</f>
        <v>#VALUE!</v>
      </c>
      <c r="BF3" s="22" t="e">
        <f>IF(A3=0,0,SUMIFS([1]Poblacion!D:D,[1]Poblacion!A:A,'MASTER-2025'!A3))</f>
        <v>#VALUE!</v>
      </c>
      <c r="BG3" s="22" t="e">
        <f>IF(A3=0,0,SUMIFS([1]Poblacion!E:E,[1]Poblacion!A:A,'MASTER-2025'!A3))</f>
        <v>#VALUE!</v>
      </c>
      <c r="BH3" s="22" t="e">
        <f>IF(A3=0,0,SUMIFS([1]Poblacion!F:F,[1]Poblacion!A:A,'MASTER-2025'!A3))</f>
        <v>#VALUE!</v>
      </c>
      <c r="BI3" s="22" t="e">
        <f t="shared" ref="BI3" si="6">+BF3+BG3+BH3</f>
        <v>#VALUE!</v>
      </c>
      <c r="BJ3" s="23" t="e">
        <f t="shared" ref="BJ3:BJ66" si="7">+BK3-BI3-BH3-BG3-BF3-BE3</f>
        <v>#VALUE!</v>
      </c>
      <c r="BK3" s="22" t="e">
        <f>IF(A3=0,0,SUMIFS([1]Poblacion!G:G,[1]Poblacion!A:A,'MASTER-2025'!A3))</f>
        <v>#VALUE!</v>
      </c>
      <c r="BL3" s="24" cm="1">
        <f t="array" ref="BL3:BW3">IFERROR(VLOOKUP(A3,'[1]Acum-OB-kg-pob-25'!A:AQ,{3,4,5,6,7,8,9,10,11,12,13,14},0),0)</f>
        <v>34</v>
      </c>
      <c r="BM3" s="24">
        <v>0</v>
      </c>
      <c r="BN3" s="24">
        <v>13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4">
        <v>0</v>
      </c>
      <c r="BV3" s="24">
        <v>0</v>
      </c>
      <c r="BW3" s="24">
        <v>0</v>
      </c>
      <c r="BX3" s="24">
        <f t="shared" ref="BX3:BX66" si="8">SUM(BL3:BW3)</f>
        <v>47</v>
      </c>
      <c r="BY3" s="25" cm="1">
        <f t="array" ref="BY3:CJ3">IFERROR(VLOOKUP(A3,'[1]Acum-OB-kg-pob-25'!A:AQ,{17,18,19,20,21,22,23,24,25,26,27,28},0),0)</f>
        <v>1045</v>
      </c>
      <c r="BZ3" s="25">
        <v>0</v>
      </c>
      <c r="CA3" s="25">
        <v>108</v>
      </c>
      <c r="CB3" s="25">
        <v>0</v>
      </c>
      <c r="CC3" s="25">
        <v>0</v>
      </c>
      <c r="CD3" s="25">
        <v>0</v>
      </c>
      <c r="CE3" s="25">
        <v>0</v>
      </c>
      <c r="CF3" s="25">
        <v>0</v>
      </c>
      <c r="CG3" s="25">
        <v>0</v>
      </c>
      <c r="CH3" s="25">
        <v>0</v>
      </c>
      <c r="CI3" s="25">
        <v>0</v>
      </c>
      <c r="CJ3" s="25">
        <v>0</v>
      </c>
      <c r="CK3" s="25">
        <f t="shared" ref="CK3:CK66" si="9">SUM(BY3:CJ3)</f>
        <v>1153</v>
      </c>
      <c r="CL3" s="26" cm="1">
        <f t="array" ref="CL3:CW3">IFERROR(VLOOKUP(A3,'[1]Acum-OB-kg-pob-25'!A:AQ,{31,32,33,34,35,36,37,38,39,40,41,42},0),0)</f>
        <v>11762</v>
      </c>
      <c r="CM3" s="26">
        <v>0</v>
      </c>
      <c r="CN3" s="26">
        <v>3455</v>
      </c>
      <c r="CO3" s="26">
        <v>0</v>
      </c>
      <c r="CP3" s="26">
        <v>0</v>
      </c>
      <c r="CQ3" s="26">
        <v>0</v>
      </c>
      <c r="CR3" s="26">
        <v>0</v>
      </c>
      <c r="CS3" s="26">
        <v>0</v>
      </c>
      <c r="CT3" s="26">
        <v>0</v>
      </c>
      <c r="CU3" s="26">
        <v>0</v>
      </c>
      <c r="CV3" s="26">
        <v>0</v>
      </c>
      <c r="CW3" s="26">
        <v>0</v>
      </c>
      <c r="CX3" s="26">
        <f t="shared" ref="CX3:CX66" si="10">SUM(CL3:CW3)</f>
        <v>15217</v>
      </c>
      <c r="CY3" s="14" t="str">
        <f>IF(A3=0,0,IFERROR(VLOOKUP(A3,'[1]Info Donantes'!C:F,2,0),"Sin Contacto"))</f>
        <v>Debora Mendoza</v>
      </c>
      <c r="CZ3" s="14">
        <f>IF(A3=0,0,IFERROR(VLOOKUP(A3,'[1]Info Donantes'!C:F,3,0),"Sin Correo"))</f>
        <v>0</v>
      </c>
      <c r="DA3" s="14" t="str">
        <f>IF(A3=0,0,IFERROR(VLOOKUP(A3,'[1]Info Donantes'!C:F,4,0),"Sin Telefono"))</f>
        <v>290-9100 / 290 9150</v>
      </c>
      <c r="DB3" s="14" t="str">
        <f>IF(A3=0,0,"Reporte de Trazabiidad"&amp;" - "&amp;'[1]Resumen Donantes'!$C$2&amp;" - "&amp;A3&amp;"")</f>
        <v>Reporte de Trazabiidad -  - ALIMENTOS CÁRNICOS DE PANAMA ,S.A</v>
      </c>
    </row>
    <row r="4" spans="1:106" x14ac:dyDescent="0.55000000000000004">
      <c r="A4" s="14" t="s">
        <v>108</v>
      </c>
      <c r="B4" s="15">
        <f>INT(IFERROR(VLOOKUP(A4,'[1]Resumen Donantes'!C:F,3,0),0))</f>
        <v>0</v>
      </c>
      <c r="C4" s="15">
        <f>INT(ROUND(IFERROR(VLOOKUP(A4,'[1]Resumen Donantes'!C:F,4,0),0),1))</f>
        <v>0</v>
      </c>
      <c r="D4" s="16">
        <f t="shared" si="1"/>
        <v>0</v>
      </c>
      <c r="E4" s="17" t="str">
        <f t="shared" si="2"/>
        <v>0.00%</v>
      </c>
      <c r="F4" s="17" t="str">
        <f t="shared" si="3"/>
        <v>0.0%</v>
      </c>
      <c r="G4" s="15">
        <f t="shared" si="4"/>
        <v>0</v>
      </c>
      <c r="H4" s="18"/>
      <c r="I4" s="18">
        <f>IFERROR(VLOOKUP(A4,'[1]Lot All by Part'!T:Y,6,0),0)</f>
        <v>0</v>
      </c>
      <c r="J4" s="18"/>
      <c r="K4" s="19">
        <f>IFERROR(VLOOKUP($A4,'[1]OB Atendidas por Donantes'!A:N,3,0),0)</f>
        <v>0</v>
      </c>
      <c r="L4" s="19">
        <f>ROUNDUP(IF(A4=0,0,IFERROR(VLOOKUP($A4,'[1]Kilos Asignado del Donante'!A:O,3,0),0)),0)</f>
        <v>0</v>
      </c>
      <c r="M4" s="19">
        <f>IF(A4=0,0,IFERROR(SUMIFS([1]Poblacion!M:M,[1]Poblacion!J:J,'MASTER-2025'!A4),0))</f>
        <v>0</v>
      </c>
      <c r="N4" s="20">
        <f>IFERROR(VLOOKUP($A4,'[1]OB Atendidas por Donantes'!A:N,4,0),0)</f>
        <v>0</v>
      </c>
      <c r="O4" s="20">
        <f>ROUNDUP(IF(A4=0,0,IFERROR(VLOOKUP($A4,'[1]Kilos Asignado del Donante'!A:O,4,0),0)),0)</f>
        <v>0</v>
      </c>
      <c r="P4" s="20">
        <f>IF(A4=0,0,IFERROR(SUMIFS([1]Poblacion!N:N,[1]Poblacion!J:J,'MASTER-2025'!A4),0))</f>
        <v>0</v>
      </c>
      <c r="Q4" s="18">
        <f>IFERROR(VLOOKUP($A4,'[1]OB Atendidas por Donantes'!A:N,2,0),0)</f>
        <v>0</v>
      </c>
      <c r="R4" s="18">
        <f>ROUNDUP(ROUND(IF(A4=0,0,IFERROR(VLOOKUP($A4,'[1]Kilos Asignado del Donante'!A:O,9,0),0)),1),0)</f>
        <v>0</v>
      </c>
      <c r="S4" s="18">
        <f>IF(A4=0,0,IFERROR(SUMIFS([1]Poblacion!S:S,[1]Poblacion!J:J,'MASTER-2025'!A4),0))</f>
        <v>0</v>
      </c>
      <c r="T4" s="19">
        <f>IFERROR(VLOOKUP($A4,'[1]OB Atendidas por Donantes'!A:N,12,0),0)</f>
        <v>0</v>
      </c>
      <c r="U4" s="19">
        <f>ROUNDUP(IF(A4=0,0,IF(A4=0,0,IFERROR(VLOOKUP($A4,'[1]Kilos Asignado del Donante'!A:O,7,0),0))),0)</f>
        <v>0</v>
      </c>
      <c r="V4" s="19">
        <f>IF(A4=0,0,IFERROR(SUMIFS([1]Poblacion!Q:Q,[1]Poblacion!J:J,'MASTER-2025'!A4),0))</f>
        <v>0</v>
      </c>
      <c r="W4" s="20">
        <f>IFERROR(VLOOKUP($A4,'[1]OB Atendidas por Donantes'!A:N,10,0),0)</f>
        <v>0</v>
      </c>
      <c r="X4" s="20">
        <f>ROUNDUP(IF(A4=0,0,IFERROR(VLOOKUP($A4,'[1]Kilos Asignado del Donante'!A:N,5,0),0)),0)</f>
        <v>0</v>
      </c>
      <c r="Y4" s="20">
        <f>IF(A4=0,0,IFERROR(SUMIFS([1]Poblacion!O:O,[1]Poblacion!J:J,'MASTER-2025'!A4),0))</f>
        <v>0</v>
      </c>
      <c r="Z4" s="18">
        <f>IFERROR(VLOOKUP($A4,'[1]OB Atendidas por Donantes'!A:N,6,0),0)</f>
        <v>0</v>
      </c>
      <c r="AA4" s="18">
        <f>ROUNDUP(IF(A4=0,0,IFERROR(VLOOKUP($A4,'[1]Kilos Asignado del Donante'!A:N,11,0),0)),0)</f>
        <v>0</v>
      </c>
      <c r="AB4" s="18">
        <f>IF(A4=0,0,IFERROR(SUMIFS([1]Poblacion!U:U,[1]Poblacion!J:J,'MASTER-2025'!A4),0))</f>
        <v>0</v>
      </c>
      <c r="AC4" s="19">
        <f>IFERROR(VLOOKUP($A4,'[1]OB Atendidas por Donantes'!A:N,7,0),0)</f>
        <v>0</v>
      </c>
      <c r="AD4" s="19">
        <f>ROUNDUP(IF(A4=0,0,IFERROR(VLOOKUP($A4,'[1]Kilos Asignado del Donante'!A:N,8,0),0)),0)</f>
        <v>0</v>
      </c>
      <c r="AE4" s="19">
        <f>IF(A4=0,0,IFERROR(SUMIFS([1]Poblacion!R:R,[1]Poblacion!J:J,'MASTER-2025'!A4),0))</f>
        <v>0</v>
      </c>
      <c r="AF4" s="20">
        <f>IFERROR(VLOOKUP($A4,'[1]OB Atendidas por Donantes'!A:N,8,0),0)</f>
        <v>0</v>
      </c>
      <c r="AG4" s="20">
        <f>ROUNDUP(IF(A4=0,0,IFERROR(VLOOKUP($A4,'[1]Kilos Asignado del Donante'!A:N,6,0),0)),0)</f>
        <v>0</v>
      </c>
      <c r="AH4" s="20">
        <f>IF(A4=0,0,IFERROR(SUMIFS([1]Poblacion!P:P,[1]Poblacion!J:J,'MASTER-2025'!A4),0))</f>
        <v>0</v>
      </c>
      <c r="AI4" s="18">
        <f>IFERROR(VLOOKUP($A4,'[1]OB Atendidas por Donantes'!A:N,9,0),0)</f>
        <v>0</v>
      </c>
      <c r="AJ4" s="18">
        <f>ROUNDUP(IF(A4=0,0,IFERROR(VLOOKUP($A4,'[1]Kilos Asignado del Donante'!A:N,12,0),0)),0)</f>
        <v>0</v>
      </c>
      <c r="AK4" s="18">
        <f>IF(A4=0,0,IFERROR(SUMIFS([1]Poblacion!V:V,[1]Poblacion!J:J,'MASTER-2025'!A4),0))</f>
        <v>0</v>
      </c>
      <c r="AL4" s="19">
        <f>IFERROR(VLOOKUP($A4,'[1]OB Atendidas por Donantes'!A:N,16,0),0)</f>
        <v>0</v>
      </c>
      <c r="AM4" s="19">
        <f>ROUNDUP(IF(A4=0,0,IFERROR(VLOOKUP($A4,'[1]Kilos Asignado del Donante'!A:O,16,0),0)),0)</f>
        <v>0</v>
      </c>
      <c r="AN4" s="19">
        <f>IF(A4=0,0,IFERROR(SUMIFS([1]Poblacion!Z:Z,[1]Poblacion!J:J,'MASTER-2025'!A4),0))</f>
        <v>0</v>
      </c>
      <c r="AO4" s="20">
        <f>IFERROR(VLOOKUP($A4,'[1]OB Atendidas por Donantes'!A:N,11,0),0)</f>
        <v>0</v>
      </c>
      <c r="AP4" s="20">
        <f>ROUNDUP(IF(A4=0,0,IFERROR(VLOOKUP($A4,'[1]Kilos Asignado del Donante'!A:N,13,0),0)),0)</f>
        <v>0</v>
      </c>
      <c r="AQ4" s="20">
        <f>IF(A4=0,0,IFERROR(SUMIFS([1]Poblacion!W:W,[1]Poblacion!J:J,'MASTER-2025'!A4),0))</f>
        <v>0</v>
      </c>
      <c r="AR4" s="18">
        <f>IFERROR(VLOOKUP($A4,'[1]OB Atendidas por Donantes'!A:N,5,0),0)</f>
        <v>0</v>
      </c>
      <c r="AS4" s="18">
        <f>ROUNDUP(IF(A4=0,0,IFERROR(VLOOKUP($A4,'[1]Kilos Asignado del Donante'!A:N,10,0),0)),0)</f>
        <v>0</v>
      </c>
      <c r="AT4" s="18">
        <f>IF(A4=0,0,IFERROR(SUMIFS([1]Poblacion!T:T,[1]Poblacion!J:J,'MASTER-2025'!A4),0))</f>
        <v>0</v>
      </c>
      <c r="AU4" s="19">
        <f>IFERROR(VLOOKUP($A4,'[1]OB Atendidas por Donantes'!A:N,13,0),0)</f>
        <v>0</v>
      </c>
      <c r="AV4" s="19">
        <f>ROUNDUP(IF(A4=0,0,IFERROR(VLOOKUP($A4,'[1]Kilos Asignado del Donante'!A:N,14,0),0)),0)</f>
        <v>0</v>
      </c>
      <c r="AW4" s="19">
        <f>IF(A4=0,0,IFERROR(SUMIFS([1]Poblacion!X:X,[1]Poblacion!J:J,'MASTER-2025'!A4),0))</f>
        <v>0</v>
      </c>
      <c r="AX4" s="20">
        <f>IFERROR(VLOOKUP($A4,'[1]OB Atendidas por Donantes'!A:N,16,0),0)</f>
        <v>0</v>
      </c>
      <c r="AY4" s="20">
        <f>ROUNDUP(IF(A4=0,0,IFERROR(VLOOKUP($A4,'[1]Kilos Asignado del Donante'!A:O,16,0),0)),0)</f>
        <v>0</v>
      </c>
      <c r="AZ4" s="20">
        <f>IF(A4=0,0,IFERROR(SUMIFS([1]Poblacion!Y:Y,[1]Poblacion!J:J,'MASTER-2025'!A4),0))</f>
        <v>0</v>
      </c>
      <c r="BA4" s="21">
        <f t="shared" si="5"/>
        <v>0</v>
      </c>
      <c r="BB4" s="21">
        <f>INT(I4+L4+O4+R4+U4+X4+AA4+AD4+AG4+AJ4+AM4+AP4+AS4+AV4+AY4)</f>
        <v>0</v>
      </c>
      <c r="BC4" s="21">
        <f t="shared" si="0"/>
        <v>0</v>
      </c>
      <c r="BD4" s="21">
        <f>IF(A4=0,0,(+J4+M4+P4+S4+V4+Y4+AB4+AE4+AH4+AK4+AN4+AQ4+AT4+AW4+AZ4))</f>
        <v>0</v>
      </c>
      <c r="BE4" s="22" t="e">
        <f>IF(A4=0,0,SUMIFS([1]Poblacion!C:C,[1]Poblacion!A:A,'MASTER-2025'!A4))</f>
        <v>#VALUE!</v>
      </c>
      <c r="BF4" s="22" t="e">
        <f>IF(A4=0,0,SUMIFS([1]Poblacion!D:D,[1]Poblacion!A:A,'MASTER-2025'!A4))</f>
        <v>#VALUE!</v>
      </c>
      <c r="BG4" s="22" t="e">
        <f>IF(A4=0,0,SUMIFS([1]Poblacion!E:E,[1]Poblacion!A:A,'MASTER-2025'!A4))</f>
        <v>#VALUE!</v>
      </c>
      <c r="BH4" s="22" t="e">
        <f>IF(A4=0,0,SUMIFS([1]Poblacion!F:F,[1]Poblacion!A:A,'MASTER-2025'!A4))</f>
        <v>#VALUE!</v>
      </c>
      <c r="BI4" s="22" t="e">
        <f>+BF4+BG4+BH4</f>
        <v>#VALUE!</v>
      </c>
      <c r="BJ4" s="23" t="e">
        <f t="shared" si="7"/>
        <v>#VALUE!</v>
      </c>
      <c r="BK4" s="22" t="e">
        <f>IF(A4=0,0,SUMIFS([1]Poblacion!G:G,[1]Poblacion!A:A,'MASTER-2025'!A4))</f>
        <v>#VALUE!</v>
      </c>
      <c r="BL4" s="24" cm="1">
        <f t="array" ref="BL4:BW4">IFERROR(VLOOKUP(A4,'[1]Acum-OB-kg-pob-25'!A:AQ,{3,4,5,6,7,8,9,10,11,12,13,14},0),0)</f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  <c r="BU4" s="24">
        <v>0</v>
      </c>
      <c r="BV4" s="24">
        <v>0</v>
      </c>
      <c r="BW4" s="24">
        <v>0</v>
      </c>
      <c r="BX4" s="24">
        <f t="shared" si="8"/>
        <v>0</v>
      </c>
      <c r="BY4" s="25" cm="1">
        <f t="array" ref="BY4:CJ4">IFERROR(VLOOKUP(A4,'[1]Acum-OB-kg-pob-25'!A:AQ,{17,18,19,20,21,22,23,24,25,26,27,28},0),0)</f>
        <v>0</v>
      </c>
      <c r="BZ4" s="25">
        <v>0</v>
      </c>
      <c r="CA4" s="25">
        <v>0</v>
      </c>
      <c r="CB4" s="25">
        <v>0</v>
      </c>
      <c r="CC4" s="25">
        <v>0</v>
      </c>
      <c r="CD4" s="25">
        <v>0</v>
      </c>
      <c r="CE4" s="25">
        <v>0</v>
      </c>
      <c r="CF4" s="25">
        <v>0</v>
      </c>
      <c r="CG4" s="25">
        <v>0</v>
      </c>
      <c r="CH4" s="25">
        <v>0</v>
      </c>
      <c r="CI4" s="25">
        <v>0</v>
      </c>
      <c r="CJ4" s="25">
        <v>0</v>
      </c>
      <c r="CK4" s="25">
        <f t="shared" si="9"/>
        <v>0</v>
      </c>
      <c r="CL4" s="26" cm="1">
        <f t="array" ref="CL4:CW4">IFERROR(VLOOKUP(A4,'[1]Acum-OB-kg-pob-25'!A:AQ,{31,32,33,34,35,36,37,38,39,40,41,42},0),0)</f>
        <v>0</v>
      </c>
      <c r="CM4" s="26">
        <v>0</v>
      </c>
      <c r="CN4" s="26">
        <v>0</v>
      </c>
      <c r="CO4" s="26">
        <v>0</v>
      </c>
      <c r="CP4" s="26">
        <v>0</v>
      </c>
      <c r="CQ4" s="26">
        <v>0</v>
      </c>
      <c r="CR4" s="26">
        <v>0</v>
      </c>
      <c r="CS4" s="26">
        <v>0</v>
      </c>
      <c r="CT4" s="26">
        <v>0</v>
      </c>
      <c r="CU4" s="26">
        <v>0</v>
      </c>
      <c r="CV4" s="26">
        <v>0</v>
      </c>
      <c r="CW4" s="26">
        <v>0</v>
      </c>
      <c r="CX4" s="26">
        <f t="shared" si="10"/>
        <v>0</v>
      </c>
      <c r="CY4" s="14" t="str">
        <f>IF(A4=0,0,IFERROR(VLOOKUP(A4,'[1]Info Donantes'!C:F,2,0),"Sin Contacto"))</f>
        <v>David Yanguez</v>
      </c>
      <c r="CZ4" s="14" t="str">
        <f>IF(A4=0,0,IFERROR(VLOOKUP(A4,'[1]Info Donantes'!C:F,3,0),"Sin Correo"))</f>
        <v>cafe.don.tino@hotmail.com</v>
      </c>
      <c r="DA4" s="14" t="str">
        <f>IF(A4=0,0,IFERROR(VLOOKUP(A4,'[1]Info Donantes'!C:F,4,0),"Sin Telefono"))</f>
        <v>851 0138</v>
      </c>
      <c r="DB4" s="14" t="str">
        <f>IF(A4=0,0,"Reporte de Trazabiidad"&amp;" - "&amp;'[1]Resumen Donantes'!$C$2&amp;" - "&amp;A4&amp;"")</f>
        <v>Reporte de Trazabiidad -  - ALIMENTOS NICO, S.A, (ANICSA)</v>
      </c>
    </row>
    <row r="5" spans="1:106" x14ac:dyDescent="0.55000000000000004">
      <c r="A5" s="14" t="s">
        <v>109</v>
      </c>
      <c r="B5" s="15">
        <f>INT(IFERROR(VLOOKUP(A5,'[1]Resumen Donantes'!C:F,3,0),0))</f>
        <v>0</v>
      </c>
      <c r="C5" s="15">
        <f>INT(ROUND(IFERROR(VLOOKUP(A5,'[1]Resumen Donantes'!C:F,4,0),0),1))</f>
        <v>45</v>
      </c>
      <c r="D5" s="16">
        <f t="shared" si="1"/>
        <v>45</v>
      </c>
      <c r="E5" s="17" t="str">
        <f t="shared" si="2"/>
        <v>100.00%</v>
      </c>
      <c r="F5" s="17" t="str">
        <f t="shared" si="3"/>
        <v>0.0%</v>
      </c>
      <c r="G5" s="15">
        <f t="shared" si="4"/>
        <v>135</v>
      </c>
      <c r="H5" s="18"/>
      <c r="I5" s="18">
        <f>IFERROR(VLOOKUP(A5,'[1]Lot All by Part'!T:Y,6,0),0)</f>
        <v>0</v>
      </c>
      <c r="J5" s="18"/>
      <c r="K5" s="19">
        <f>IFERROR(VLOOKUP($A5,'[1]OB Atendidas por Donantes'!A:N,3,0),0)</f>
        <v>0</v>
      </c>
      <c r="L5" s="19">
        <f>ROUNDUP(IF(A5=0,0,IFERROR(VLOOKUP($A5,'[1]Kilos Asignado del Donante'!A:O,3,0),0)),0)</f>
        <v>0</v>
      </c>
      <c r="M5" s="19">
        <f>IF(A5=0,0,IFERROR(SUMIFS([1]Poblacion!M:M,[1]Poblacion!J:J,'MASTER-2025'!A5),0))</f>
        <v>0</v>
      </c>
      <c r="N5" s="20">
        <f>IFERROR(VLOOKUP($A5,'[1]OB Atendidas por Donantes'!A:N,4,0),0)</f>
        <v>0</v>
      </c>
      <c r="O5" s="20">
        <f>ROUNDUP(IF(A5=0,0,IFERROR(VLOOKUP($A5,'[1]Kilos Asignado del Donante'!A:O,4,0),0)),0)</f>
        <v>0</v>
      </c>
      <c r="P5" s="20">
        <f>IF(A5=0,0,IFERROR(SUMIFS([1]Poblacion!N:N,[1]Poblacion!J:J,'MASTER-2025'!A5),0))</f>
        <v>0</v>
      </c>
      <c r="Q5" s="18">
        <f>IFERROR(VLOOKUP($A5,'[1]OB Atendidas por Donantes'!A:N,2,0),0)</f>
        <v>0</v>
      </c>
      <c r="R5" s="18">
        <f>ROUNDUP(ROUND(IF(A5=0,0,IFERROR(VLOOKUP($A5,'[1]Kilos Asignado del Donante'!A:O,9,0),0)),1),0)</f>
        <v>0</v>
      </c>
      <c r="S5" s="18">
        <f>IF(A5=0,0,IFERROR(SUMIFS([1]Poblacion!S:S,[1]Poblacion!J:J,'MASTER-2025'!A5),0))</f>
        <v>0</v>
      </c>
      <c r="T5" s="19">
        <f>IFERROR(VLOOKUP($A5,'[1]OB Atendidas por Donantes'!A:N,12,0),0)</f>
        <v>0</v>
      </c>
      <c r="U5" s="19">
        <f>ROUNDUP(IF(A5=0,0,IF(A5=0,0,IFERROR(VLOOKUP($A5,'[1]Kilos Asignado del Donante'!A:O,7,0),0))),0)</f>
        <v>0</v>
      </c>
      <c r="V5" s="19">
        <f>IF(A5=0,0,IFERROR(SUMIFS([1]Poblacion!Q:Q,[1]Poblacion!J:J,'MASTER-2025'!A5),0))</f>
        <v>0</v>
      </c>
      <c r="W5" s="20">
        <f>IFERROR(VLOOKUP($A5,'[1]OB Atendidas por Donantes'!A:N,10,0),0)</f>
        <v>0</v>
      </c>
      <c r="X5" s="20">
        <f>ROUNDUP(IF(A5=0,0,IFERROR(VLOOKUP($A5,'[1]Kilos Asignado del Donante'!A:N,5,0),0)),0)</f>
        <v>0</v>
      </c>
      <c r="Y5" s="20">
        <f>IF(A5=0,0,IFERROR(SUMIFS([1]Poblacion!O:O,[1]Poblacion!J:J,'MASTER-2025'!A5),0))</f>
        <v>0</v>
      </c>
      <c r="Z5" s="18">
        <f>IFERROR(VLOOKUP($A5,'[1]OB Atendidas por Donantes'!A:N,6,0),0)</f>
        <v>1</v>
      </c>
      <c r="AA5" s="18">
        <f>ROUNDUP(IF(A5=0,0,IFERROR(VLOOKUP($A5,'[1]Kilos Asignado del Donante'!A:N,11,0),0)),0)</f>
        <v>3</v>
      </c>
      <c r="AB5" s="18">
        <f>IF(A5=0,0,IFERROR(SUMIFS([1]Poblacion!U:U,[1]Poblacion!J:J,'MASTER-2025'!A5),0))</f>
        <v>0</v>
      </c>
      <c r="AC5" s="19">
        <f>IFERROR(VLOOKUP($A5,'[1]OB Atendidas por Donantes'!A:N,7,0),0)</f>
        <v>0</v>
      </c>
      <c r="AD5" s="19">
        <f>ROUNDUP(IF(A5=0,0,IFERROR(VLOOKUP($A5,'[1]Kilos Asignado del Donante'!A:N,8,0),0)),0)</f>
        <v>0</v>
      </c>
      <c r="AE5" s="19">
        <f>IF(A5=0,0,IFERROR(SUMIFS([1]Poblacion!R:R,[1]Poblacion!J:J,'MASTER-2025'!A5),0))</f>
        <v>0</v>
      </c>
      <c r="AF5" s="20">
        <f>IFERROR(VLOOKUP($A5,'[1]OB Atendidas por Donantes'!A:N,8,0),0)</f>
        <v>0</v>
      </c>
      <c r="AG5" s="20">
        <f>ROUNDUP(IF(A5=0,0,IFERROR(VLOOKUP($A5,'[1]Kilos Asignado del Donante'!A:N,6,0),0)),0)</f>
        <v>0</v>
      </c>
      <c r="AH5" s="20">
        <f>IF(A5=0,0,IFERROR(SUMIFS([1]Poblacion!P:P,[1]Poblacion!J:J,'MASTER-2025'!A5),0))</f>
        <v>0</v>
      </c>
      <c r="AI5" s="18">
        <f>IFERROR(VLOOKUP($A5,'[1]OB Atendidas por Donantes'!A:N,9,0),0)</f>
        <v>1</v>
      </c>
      <c r="AJ5" s="18">
        <f>ROUNDUP(IF(A5=0,0,IFERROR(VLOOKUP($A5,'[1]Kilos Asignado del Donante'!A:N,12,0),0)),0)</f>
        <v>3</v>
      </c>
      <c r="AK5" s="18">
        <f>IF(A5=0,0,IFERROR(SUMIFS([1]Poblacion!V:V,[1]Poblacion!J:J,'MASTER-2025'!A5),0))</f>
        <v>0</v>
      </c>
      <c r="AL5" s="19">
        <f>IFERROR(VLOOKUP($A5,'[1]OB Atendidas por Donantes'!A:N,16,0),0)</f>
        <v>0</v>
      </c>
      <c r="AM5" s="19">
        <f>ROUNDUP(IF(A5=0,0,IFERROR(VLOOKUP($A5,'[1]Kilos Asignado del Donante'!A:O,16,0),0)),0)</f>
        <v>0</v>
      </c>
      <c r="AN5" s="19">
        <f>IF(A5=0,0,IFERROR(SUMIFS([1]Poblacion!Z:Z,[1]Poblacion!J:J,'MASTER-2025'!A5),0))</f>
        <v>0</v>
      </c>
      <c r="AO5" s="20">
        <f>IFERROR(VLOOKUP($A5,'[1]OB Atendidas por Donantes'!A:N,11,0),0)</f>
        <v>0</v>
      </c>
      <c r="AP5" s="20">
        <f>ROUNDUP(IF(A5=0,0,IFERROR(VLOOKUP($A5,'[1]Kilos Asignado del Donante'!A:N,13,0),0)),0)</f>
        <v>0</v>
      </c>
      <c r="AQ5" s="20">
        <f>IF(A5=0,0,IFERROR(SUMIFS([1]Poblacion!W:W,[1]Poblacion!J:J,'MASTER-2025'!A5),0))</f>
        <v>0</v>
      </c>
      <c r="AR5" s="18">
        <f>IFERROR(VLOOKUP($A5,'[1]OB Atendidas por Donantes'!A:N,5,0),0)</f>
        <v>0</v>
      </c>
      <c r="AS5" s="18">
        <f>ROUNDUP(IF(A5=0,0,IFERROR(VLOOKUP($A5,'[1]Kilos Asignado del Donante'!A:N,10,0),0)),0)</f>
        <v>0</v>
      </c>
      <c r="AT5" s="18">
        <f>IF(A5=0,0,IFERROR(SUMIFS([1]Poblacion!T:T,[1]Poblacion!J:J,'MASTER-2025'!A5),0))</f>
        <v>0</v>
      </c>
      <c r="AU5" s="19">
        <f>IFERROR(VLOOKUP($A5,'[1]OB Atendidas por Donantes'!A:N,13,0),0)</f>
        <v>0</v>
      </c>
      <c r="AV5" s="19">
        <f>ROUNDUP(IF(A5=0,0,IFERROR(VLOOKUP($A5,'[1]Kilos Asignado del Donante'!A:N,14,0),0)),0)</f>
        <v>0</v>
      </c>
      <c r="AW5" s="19">
        <f>IF(A5=0,0,IFERROR(SUMIFS([1]Poblacion!X:X,[1]Poblacion!J:J,'MASTER-2025'!A5),0))</f>
        <v>0</v>
      </c>
      <c r="AX5" s="20">
        <f>IFERROR(VLOOKUP($A5,'[1]OB Atendidas por Donantes'!A:N,16,0),0)</f>
        <v>0</v>
      </c>
      <c r="AY5" s="20">
        <f>ROUNDUP(IF(A5=0,0,IFERROR(VLOOKUP($A5,'[1]Kilos Asignado del Donante'!A:O,16,0),0)),0)</f>
        <v>0</v>
      </c>
      <c r="AZ5" s="20">
        <f>IF(A5=0,0,IFERROR(SUMIFS([1]Poblacion!Y:Y,[1]Poblacion!J:J,'MASTER-2025'!A5),0))</f>
        <v>0</v>
      </c>
      <c r="BA5" s="21">
        <f t="shared" si="5"/>
        <v>2</v>
      </c>
      <c r="BB5" s="21">
        <f t="shared" ref="BB5:BB6" si="11">INT(I5+L5+O5+R5+U5+X5+AA5+AD5+AG5+AJ5+AM5+AP5+AS5+AV5+AY5)</f>
        <v>6</v>
      </c>
      <c r="BC5" s="21">
        <f t="shared" si="0"/>
        <v>0</v>
      </c>
      <c r="BD5" s="21">
        <f t="shared" ref="BD5:BD9" si="12">IF(A5=0,0,(+J5+M5+P5+S5+V5+Y5+AB5+AE5+AH5+AK5+AN5+AQ5+AT5+AW5+AZ5))</f>
        <v>0</v>
      </c>
      <c r="BE5" s="22" t="e">
        <f>IF(A5=0,0,SUMIFS([1]Poblacion!C:C,[1]Poblacion!A:A,'MASTER-2025'!A5))</f>
        <v>#VALUE!</v>
      </c>
      <c r="BF5" s="22" t="e">
        <f>IF(A5=0,0,SUMIFS([1]Poblacion!D:D,[1]Poblacion!A:A,'MASTER-2025'!A5))</f>
        <v>#VALUE!</v>
      </c>
      <c r="BG5" s="22" t="e">
        <f>IF(A5=0,0,SUMIFS([1]Poblacion!E:E,[1]Poblacion!A:A,'MASTER-2025'!A5))</f>
        <v>#VALUE!</v>
      </c>
      <c r="BH5" s="22" t="e">
        <f>IF(A5=0,0,SUMIFS([1]Poblacion!F:F,[1]Poblacion!A:A,'MASTER-2025'!A5))</f>
        <v>#VALUE!</v>
      </c>
      <c r="BI5" s="22" t="e">
        <f t="shared" ref="BI5:BI9" si="13">+BF5+BG5+BH5</f>
        <v>#VALUE!</v>
      </c>
      <c r="BJ5" s="23" t="e">
        <f t="shared" si="7"/>
        <v>#VALUE!</v>
      </c>
      <c r="BK5" s="22" t="e">
        <f>IF(A5=0,0,SUMIFS([1]Poblacion!G:G,[1]Poblacion!A:A,'MASTER-2025'!A5))</f>
        <v>#VALUE!</v>
      </c>
      <c r="BL5" s="24" cm="1">
        <f t="array" ref="BL5:BW5">IFERROR(VLOOKUP(A5,'[1]Acum-OB-kg-pob-25'!A:AQ,{3,4,5,6,7,8,9,10,11,12,13,14},0),0)</f>
        <v>0</v>
      </c>
      <c r="BM5" s="24">
        <v>3</v>
      </c>
      <c r="BN5" s="24">
        <v>2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  <c r="BU5" s="24">
        <v>0</v>
      </c>
      <c r="BV5" s="24">
        <v>0</v>
      </c>
      <c r="BW5" s="24">
        <v>0</v>
      </c>
      <c r="BX5" s="24">
        <f t="shared" si="8"/>
        <v>5</v>
      </c>
      <c r="BY5" s="25" cm="1">
        <f t="array" ref="BY5:CJ5">IFERROR(VLOOKUP(A5,'[1]Acum-OB-kg-pob-25'!A:AQ,{17,18,19,20,21,22,23,24,25,26,27,28},0),0)</f>
        <v>45</v>
      </c>
      <c r="BZ5" s="25">
        <v>45</v>
      </c>
      <c r="CA5" s="25">
        <v>45</v>
      </c>
      <c r="CB5" s="25">
        <v>0</v>
      </c>
      <c r="CC5" s="25">
        <v>0</v>
      </c>
      <c r="CD5" s="25">
        <v>0</v>
      </c>
      <c r="CE5" s="25">
        <v>0</v>
      </c>
      <c r="CF5" s="25">
        <v>0</v>
      </c>
      <c r="CG5" s="25">
        <v>0</v>
      </c>
      <c r="CH5" s="25">
        <v>0</v>
      </c>
      <c r="CI5" s="25">
        <v>0</v>
      </c>
      <c r="CJ5" s="25">
        <v>0</v>
      </c>
      <c r="CK5" s="25">
        <f t="shared" si="9"/>
        <v>135</v>
      </c>
      <c r="CL5" s="26" cm="1">
        <f t="array" ref="CL5:CW5">IFERROR(VLOOKUP(A5,'[1]Acum-OB-kg-pob-25'!A:AQ,{31,32,33,34,35,36,37,38,39,40,41,42},0),0)</f>
        <v>0</v>
      </c>
      <c r="CM5" s="26">
        <v>333</v>
      </c>
      <c r="CN5" s="26">
        <v>340</v>
      </c>
      <c r="CO5" s="26">
        <v>0</v>
      </c>
      <c r="CP5" s="26">
        <v>0</v>
      </c>
      <c r="CQ5" s="26">
        <v>0</v>
      </c>
      <c r="CR5" s="26">
        <v>0</v>
      </c>
      <c r="CS5" s="26">
        <v>0</v>
      </c>
      <c r="CT5" s="26">
        <v>0</v>
      </c>
      <c r="CU5" s="26">
        <v>0</v>
      </c>
      <c r="CV5" s="26">
        <v>0</v>
      </c>
      <c r="CW5" s="26">
        <v>0</v>
      </c>
      <c r="CX5" s="26">
        <f t="shared" si="10"/>
        <v>673</v>
      </c>
      <c r="CY5" s="14" t="str">
        <f>IF(A5=0,0,IFERROR(VLOOKUP(A5,'[1]Info Donantes'!C:F,2,0),"Sin Contacto"))</f>
        <v>Jose Tello</v>
      </c>
      <c r="CZ5" s="14" t="str">
        <f>IF(A5=0,0,IFERROR(VLOOKUP(A5,'[1]Info Donantes'!C:F,3,0),"Sin Correo"))</f>
        <v>tmj1929@hotmail.com</v>
      </c>
      <c r="DA5" s="14" t="str">
        <f>IF(A5=0,0,IFERROR(VLOOKUP(A5,'[1]Info Donantes'!C:F,4,0),"Sin Telefono"))</f>
        <v>6675-0897</v>
      </c>
      <c r="DB5" s="14" t="str">
        <f>IF(A5=0,0,"Reporte de Trazabiidad"&amp;" - "&amp;'[1]Resumen Donantes'!$C$2&amp;" - "&amp;A5&amp;"")</f>
        <v>Reporte de Trazabiidad -  - Bienes y Raices Metalicas S.A.</v>
      </c>
    </row>
    <row r="6" spans="1:106" x14ac:dyDescent="0.55000000000000004">
      <c r="A6" s="14" t="s">
        <v>110</v>
      </c>
      <c r="B6" s="15">
        <f>INT(IFERROR(VLOOKUP(A6,'[1]Resumen Donantes'!C:F,3,0),0))</f>
        <v>0</v>
      </c>
      <c r="C6" s="15">
        <f>INT(ROUND(IFERROR(VLOOKUP(A6,'[1]Resumen Donantes'!C:F,4,0),0),1))</f>
        <v>0</v>
      </c>
      <c r="D6" s="16">
        <f t="shared" si="1"/>
        <v>0</v>
      </c>
      <c r="E6" s="17" t="str">
        <f t="shared" si="2"/>
        <v>0.00%</v>
      </c>
      <c r="F6" s="17" t="str">
        <f t="shared" si="3"/>
        <v>0.0%</v>
      </c>
      <c r="G6" s="15">
        <f t="shared" si="4"/>
        <v>0</v>
      </c>
      <c r="H6" s="18"/>
      <c r="I6" s="18">
        <f>IFERROR(VLOOKUP(A6,'[1]Lot All by Part'!T:Y,6,0),0)</f>
        <v>0</v>
      </c>
      <c r="J6" s="18"/>
      <c r="K6" s="19">
        <f>IFERROR(VLOOKUP($A6,'[1]OB Atendidas por Donantes'!A:N,3,0),0)</f>
        <v>0</v>
      </c>
      <c r="L6" s="19">
        <f>ROUNDUP(IF(A6=0,0,IFERROR(VLOOKUP($A6,'[1]Kilos Asignado del Donante'!A:O,3,0),0)),0)</f>
        <v>0</v>
      </c>
      <c r="M6" s="19">
        <f>IF(A6=0,0,IFERROR(SUMIFS([1]Poblacion!M:M,[1]Poblacion!J:J,'MASTER-2025'!A6),0))</f>
        <v>0</v>
      </c>
      <c r="N6" s="20">
        <f>IFERROR(VLOOKUP($A6,'[1]OB Atendidas por Donantes'!A:N,4,0),0)</f>
        <v>0</v>
      </c>
      <c r="O6" s="20">
        <f>ROUNDUP(IF(A6=0,0,IFERROR(VLOOKUP($A6,'[1]Kilos Asignado del Donante'!A:O,4,0),0)),0)</f>
        <v>0</v>
      </c>
      <c r="P6" s="20">
        <f>IF(A6=0,0,IFERROR(SUMIFS([1]Poblacion!N:N,[1]Poblacion!J:J,'MASTER-2025'!A6),0))</f>
        <v>0</v>
      </c>
      <c r="Q6" s="18">
        <f>IFERROR(VLOOKUP($A6,'[1]OB Atendidas por Donantes'!A:N,2,0),0)</f>
        <v>0</v>
      </c>
      <c r="R6" s="18">
        <f>ROUNDUP(ROUND(IF(A6=0,0,IFERROR(VLOOKUP($A6,'[1]Kilos Asignado del Donante'!A:O,9,0),0)),1),0)</f>
        <v>0</v>
      </c>
      <c r="S6" s="18">
        <f>IF(A6=0,0,IFERROR(SUMIFS([1]Poblacion!S:S,[1]Poblacion!J:J,'MASTER-2025'!A6),0))</f>
        <v>0</v>
      </c>
      <c r="T6" s="19">
        <f>IFERROR(VLOOKUP($A6,'[1]OB Atendidas por Donantes'!A:N,12,0),0)</f>
        <v>0</v>
      </c>
      <c r="U6" s="19">
        <f>ROUNDUP(IF(A6=0,0,IF(A6=0,0,IFERROR(VLOOKUP($A6,'[1]Kilos Asignado del Donante'!A:O,7,0),0))),0)</f>
        <v>0</v>
      </c>
      <c r="V6" s="19">
        <f>IF(A6=0,0,IFERROR(SUMIFS([1]Poblacion!Q:Q,[1]Poblacion!J:J,'MASTER-2025'!A6),0))</f>
        <v>0</v>
      </c>
      <c r="W6" s="20">
        <f>IFERROR(VLOOKUP($A6,'[1]OB Atendidas por Donantes'!A:N,10,0),0)</f>
        <v>0</v>
      </c>
      <c r="X6" s="20">
        <f>ROUNDUP(IF(A6=0,0,IFERROR(VLOOKUP($A6,'[1]Kilos Asignado del Donante'!A:N,5,0),0)),0)</f>
        <v>0</v>
      </c>
      <c r="Y6" s="20">
        <f>IF(A6=0,0,IFERROR(SUMIFS([1]Poblacion!O:O,[1]Poblacion!J:J,'MASTER-2025'!A6),0))</f>
        <v>0</v>
      </c>
      <c r="Z6" s="18">
        <f>IFERROR(VLOOKUP($A6,'[1]OB Atendidas por Donantes'!A:N,6,0),0)</f>
        <v>0</v>
      </c>
      <c r="AA6" s="18">
        <f>ROUNDUP(IF(A6=0,0,IFERROR(VLOOKUP($A6,'[1]Kilos Asignado del Donante'!A:N,11,0),0)),0)</f>
        <v>0</v>
      </c>
      <c r="AB6" s="18">
        <f>IF(A6=0,0,IFERROR(SUMIFS([1]Poblacion!U:U,[1]Poblacion!J:J,'MASTER-2025'!A6),0))</f>
        <v>0</v>
      </c>
      <c r="AC6" s="19">
        <f>IFERROR(VLOOKUP($A6,'[1]OB Atendidas por Donantes'!A:N,7,0),0)</f>
        <v>0</v>
      </c>
      <c r="AD6" s="19">
        <f>ROUNDUP(IF(A6=0,0,IFERROR(VLOOKUP($A6,'[1]Kilos Asignado del Donante'!A:N,8,0),0)),0)</f>
        <v>0</v>
      </c>
      <c r="AE6" s="19">
        <f>IF(A6=0,0,IFERROR(SUMIFS([1]Poblacion!R:R,[1]Poblacion!J:J,'MASTER-2025'!A6),0))</f>
        <v>0</v>
      </c>
      <c r="AF6" s="20">
        <f>IFERROR(VLOOKUP($A6,'[1]OB Atendidas por Donantes'!A:N,8,0),0)</f>
        <v>0</v>
      </c>
      <c r="AG6" s="20">
        <f>ROUNDUP(IF(A6=0,0,IFERROR(VLOOKUP($A6,'[1]Kilos Asignado del Donante'!A:N,6,0),0)),0)</f>
        <v>0</v>
      </c>
      <c r="AH6" s="20">
        <f>IF(A6=0,0,IFERROR(SUMIFS([1]Poblacion!P:P,[1]Poblacion!J:J,'MASTER-2025'!A6),0))</f>
        <v>0</v>
      </c>
      <c r="AI6" s="18">
        <f>IFERROR(VLOOKUP($A6,'[1]OB Atendidas por Donantes'!A:N,9,0),0)</f>
        <v>0</v>
      </c>
      <c r="AJ6" s="18">
        <f>ROUNDUP(IF(A6=0,0,IFERROR(VLOOKUP($A6,'[1]Kilos Asignado del Donante'!A:N,12,0),0)),0)</f>
        <v>0</v>
      </c>
      <c r="AK6" s="18">
        <f>IF(A6=0,0,IFERROR(SUMIFS([1]Poblacion!V:V,[1]Poblacion!J:J,'MASTER-2025'!A6),0))</f>
        <v>0</v>
      </c>
      <c r="AL6" s="19">
        <f>IFERROR(VLOOKUP($A6,'[1]OB Atendidas por Donantes'!A:N,16,0),0)</f>
        <v>0</v>
      </c>
      <c r="AM6" s="19">
        <f>ROUNDUP(IF(A6=0,0,IFERROR(VLOOKUP($A6,'[1]Kilos Asignado del Donante'!A:O,16,0),0)),0)</f>
        <v>0</v>
      </c>
      <c r="AN6" s="19">
        <f>IF(A6=0,0,IFERROR(SUMIFS([1]Poblacion!Z:Z,[1]Poblacion!J:J,'MASTER-2025'!A6),0))</f>
        <v>0</v>
      </c>
      <c r="AO6" s="20">
        <f>IFERROR(VLOOKUP($A6,'[1]OB Atendidas por Donantes'!A:N,11,0),0)</f>
        <v>0</v>
      </c>
      <c r="AP6" s="20">
        <f>ROUNDUP(IF(A6=0,0,IFERROR(VLOOKUP($A6,'[1]Kilos Asignado del Donante'!A:N,13,0),0)),0)</f>
        <v>0</v>
      </c>
      <c r="AQ6" s="20">
        <f>IF(A6=0,0,IFERROR(SUMIFS([1]Poblacion!W:W,[1]Poblacion!J:J,'MASTER-2025'!A6),0))</f>
        <v>0</v>
      </c>
      <c r="AR6" s="18">
        <f>IFERROR(VLOOKUP($A6,'[1]OB Atendidas por Donantes'!A:N,5,0),0)</f>
        <v>0</v>
      </c>
      <c r="AS6" s="18">
        <f>ROUNDUP(IF(A6=0,0,IFERROR(VLOOKUP($A6,'[1]Kilos Asignado del Donante'!A:N,10,0),0)),0)</f>
        <v>0</v>
      </c>
      <c r="AT6" s="18">
        <f>IF(A6=0,0,IFERROR(SUMIFS([1]Poblacion!T:T,[1]Poblacion!J:J,'MASTER-2025'!A6),0))</f>
        <v>0</v>
      </c>
      <c r="AU6" s="19">
        <f>IFERROR(VLOOKUP($A6,'[1]OB Atendidas por Donantes'!A:N,13,0),0)</f>
        <v>0</v>
      </c>
      <c r="AV6" s="19">
        <f>ROUNDUP(IF(A6=0,0,IFERROR(VLOOKUP($A6,'[1]Kilos Asignado del Donante'!A:N,14,0),0)),0)</f>
        <v>0</v>
      </c>
      <c r="AW6" s="19">
        <f>IF(A6=0,0,IFERROR(SUMIFS([1]Poblacion!X:X,[1]Poblacion!J:J,'MASTER-2025'!A6),0))</f>
        <v>0</v>
      </c>
      <c r="AX6" s="20">
        <f>IFERROR(VLOOKUP($A6,'[1]OB Atendidas por Donantes'!A:N,16,0),0)</f>
        <v>0</v>
      </c>
      <c r="AY6" s="20">
        <f>ROUNDUP(IF(A6=0,0,IFERROR(VLOOKUP($A6,'[1]Kilos Asignado del Donante'!A:O,16,0),0)),0)</f>
        <v>0</v>
      </c>
      <c r="AZ6" s="20">
        <f>IF(A6=0,0,IFERROR(SUMIFS([1]Poblacion!Y:Y,[1]Poblacion!J:J,'MASTER-2025'!A6),0))</f>
        <v>0</v>
      </c>
      <c r="BA6" s="21">
        <f t="shared" si="5"/>
        <v>0</v>
      </c>
      <c r="BB6" s="21">
        <f t="shared" si="11"/>
        <v>0</v>
      </c>
      <c r="BC6" s="21">
        <f t="shared" si="0"/>
        <v>0</v>
      </c>
      <c r="BD6" s="21">
        <f t="shared" si="12"/>
        <v>0</v>
      </c>
      <c r="BE6" s="22" t="e">
        <f>IF(A6=0,0,SUMIFS([1]Poblacion!C:C,[1]Poblacion!A:A,'MASTER-2025'!A6))</f>
        <v>#VALUE!</v>
      </c>
      <c r="BF6" s="22" t="e">
        <f>IF(A6=0,0,SUMIFS([1]Poblacion!D:D,[1]Poblacion!A:A,'MASTER-2025'!A6))</f>
        <v>#VALUE!</v>
      </c>
      <c r="BG6" s="22" t="e">
        <f>IF(A6=0,0,SUMIFS([1]Poblacion!E:E,[1]Poblacion!A:A,'MASTER-2025'!A6))</f>
        <v>#VALUE!</v>
      </c>
      <c r="BH6" s="22" t="e">
        <f>IF(A6=0,0,SUMIFS([1]Poblacion!F:F,[1]Poblacion!A:A,'MASTER-2025'!A6))</f>
        <v>#VALUE!</v>
      </c>
      <c r="BI6" s="22" t="e">
        <f t="shared" si="13"/>
        <v>#VALUE!</v>
      </c>
      <c r="BJ6" s="23" t="e">
        <f t="shared" si="7"/>
        <v>#VALUE!</v>
      </c>
      <c r="BK6" s="22" t="e">
        <f>IF(A6=0,0,SUMIFS([1]Poblacion!G:G,[1]Poblacion!A:A,'MASTER-2025'!A6))</f>
        <v>#VALUE!</v>
      </c>
      <c r="BL6" s="24" cm="1">
        <f t="array" ref="BL6:BW6">IFERROR(VLOOKUP(A6,'[1]Acum-OB-kg-pob-25'!A:AQ,{3,4,5,6,7,8,9,10,11,12,13,14},0),0)</f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4">
        <v>0</v>
      </c>
      <c r="BS6" s="24">
        <v>0</v>
      </c>
      <c r="BT6" s="24">
        <v>0</v>
      </c>
      <c r="BU6" s="24">
        <v>0</v>
      </c>
      <c r="BV6" s="24">
        <v>0</v>
      </c>
      <c r="BW6" s="24">
        <v>0</v>
      </c>
      <c r="BX6" s="24">
        <f t="shared" si="8"/>
        <v>0</v>
      </c>
      <c r="BY6" s="25" cm="1">
        <f t="array" ref="BY6:CJ6">IFERROR(VLOOKUP(A6,'[1]Acum-OB-kg-pob-25'!A:AQ,{17,18,19,20,21,22,23,24,25,26,27,28},0),0)</f>
        <v>0</v>
      </c>
      <c r="BZ6" s="25">
        <v>0</v>
      </c>
      <c r="CA6" s="25">
        <v>0</v>
      </c>
      <c r="CB6" s="25">
        <v>0</v>
      </c>
      <c r="CC6" s="25">
        <v>0</v>
      </c>
      <c r="CD6" s="25">
        <v>0</v>
      </c>
      <c r="CE6" s="25">
        <v>0</v>
      </c>
      <c r="CF6" s="25">
        <v>0</v>
      </c>
      <c r="CG6" s="25">
        <v>0</v>
      </c>
      <c r="CH6" s="25">
        <v>0</v>
      </c>
      <c r="CI6" s="25">
        <v>0</v>
      </c>
      <c r="CJ6" s="25">
        <v>0</v>
      </c>
      <c r="CK6" s="25">
        <f t="shared" si="9"/>
        <v>0</v>
      </c>
      <c r="CL6" s="26" cm="1">
        <f t="array" ref="CL6:CW6">IFERROR(VLOOKUP(A6,'[1]Acum-OB-kg-pob-25'!A:AQ,{31,32,33,34,35,36,37,38,39,40,41,42},0),0)</f>
        <v>0</v>
      </c>
      <c r="CM6" s="26">
        <v>0</v>
      </c>
      <c r="CN6" s="26">
        <v>0</v>
      </c>
      <c r="CO6" s="26">
        <v>0</v>
      </c>
      <c r="CP6" s="26">
        <v>0</v>
      </c>
      <c r="CQ6" s="26">
        <v>0</v>
      </c>
      <c r="CR6" s="26">
        <v>0</v>
      </c>
      <c r="CS6" s="26">
        <v>0</v>
      </c>
      <c r="CT6" s="26">
        <v>0</v>
      </c>
      <c r="CU6" s="26">
        <v>0</v>
      </c>
      <c r="CV6" s="26">
        <v>0</v>
      </c>
      <c r="CW6" s="26">
        <v>0</v>
      </c>
      <c r="CX6" s="26">
        <f t="shared" si="10"/>
        <v>0</v>
      </c>
      <c r="CY6" s="14" t="str">
        <f>IF(A6=0,0,IFERROR(VLOOKUP(A6,'[1]Info Donantes'!C:F,2,0),"Sin Contacto"))</f>
        <v>Mashelle Bolobosky</v>
      </c>
      <c r="CZ6" s="14" t="str">
        <f>IF(A6=0,0,IFERROR(VLOOKUP(A6,'[1]Info Donantes'!C:F,3,0),"Sin Correo"))</f>
        <v>mashelle.boloskyc-ext@ab-inbev.com</v>
      </c>
      <c r="DA6" s="14" t="str">
        <f>IF(A6=0,0,IFERROR(VLOOKUP(A6,'[1]Info Donantes'!C:F,4,0),"Sin Telefono"))</f>
        <v>3056000</v>
      </c>
      <c r="DB6" s="14" t="str">
        <f>IF(A6=0,0,"Reporte de Trazabiidad"&amp;" - "&amp;'[1]Resumen Donantes'!$C$2&amp;" - "&amp;A6&amp;"")</f>
        <v>Reporte de Trazabiidad -  - CERVECERIA NACIONAL</v>
      </c>
    </row>
    <row r="7" spans="1:106" x14ac:dyDescent="0.55000000000000004">
      <c r="A7" s="14" t="s">
        <v>111</v>
      </c>
      <c r="B7" s="15">
        <f>INT(IFERROR(VLOOKUP(A7,'[1]Resumen Donantes'!C:F,3,0),0))</f>
        <v>0</v>
      </c>
      <c r="C7" s="15">
        <f>INT(ROUND(IFERROR(VLOOKUP(A7,'[1]Resumen Donantes'!C:F,4,0),0),1))</f>
        <v>663</v>
      </c>
      <c r="D7" s="16">
        <f t="shared" si="1"/>
        <v>663</v>
      </c>
      <c r="E7" s="17" t="str">
        <f t="shared" si="2"/>
        <v>100.00%</v>
      </c>
      <c r="F7" s="17" t="str">
        <f t="shared" si="3"/>
        <v>0.0%</v>
      </c>
      <c r="G7" s="15">
        <f t="shared" si="4"/>
        <v>1989</v>
      </c>
      <c r="H7" s="18"/>
      <c r="I7" s="18">
        <f>IFERROR(VLOOKUP(A7,'[1]Lot All by Part'!T:Y,6,0),0)</f>
        <v>0</v>
      </c>
      <c r="J7" s="18"/>
      <c r="K7" s="19">
        <f>IFERROR(VLOOKUP($A7,'[1]OB Atendidas por Donantes'!A:N,3,0),0)</f>
        <v>5</v>
      </c>
      <c r="L7" s="19">
        <f>ROUNDUP(IF(A7=0,0,IFERROR(VLOOKUP($A7,'[1]Kilos Asignado del Donante'!A:O,3,0),0)),0)</f>
        <v>28</v>
      </c>
      <c r="M7" s="19">
        <f>IF(A7=0,0,IFERROR(SUMIFS([1]Poblacion!M:M,[1]Poblacion!J:J,'MASTER-2025'!A7),0))</f>
        <v>0</v>
      </c>
      <c r="N7" s="20">
        <f>IFERROR(VLOOKUP($A7,'[1]OB Atendidas por Donantes'!A:N,4,0),0)</f>
        <v>5</v>
      </c>
      <c r="O7" s="20">
        <f>ROUNDUP(IF(A7=0,0,IFERROR(VLOOKUP($A7,'[1]Kilos Asignado del Donante'!A:O,4,0),0)),0)</f>
        <v>32</v>
      </c>
      <c r="P7" s="20">
        <f>IF(A7=0,0,IFERROR(SUMIFS([1]Poblacion!N:N,[1]Poblacion!J:J,'MASTER-2025'!A7),0))</f>
        <v>0</v>
      </c>
      <c r="Q7" s="18">
        <f>IFERROR(VLOOKUP($A7,'[1]OB Atendidas por Donantes'!A:N,2,0),0)</f>
        <v>2</v>
      </c>
      <c r="R7" s="18">
        <f>ROUNDUP(ROUND(IF(A7=0,0,IFERROR(VLOOKUP($A7,'[1]Kilos Asignado del Donante'!A:O,9,0),0)),1),0)</f>
        <v>24</v>
      </c>
      <c r="S7" s="18">
        <f>IF(A7=0,0,IFERROR(SUMIFS([1]Poblacion!S:S,[1]Poblacion!J:J,'MASTER-2025'!A7),0))</f>
        <v>0</v>
      </c>
      <c r="T7" s="19">
        <f>IFERROR(VLOOKUP($A7,'[1]OB Atendidas por Donantes'!A:N,12,0),0)</f>
        <v>2</v>
      </c>
      <c r="U7" s="19">
        <f>ROUNDUP(IF(A7=0,0,IF(A7=0,0,IFERROR(VLOOKUP($A7,'[1]Kilos Asignado del Donante'!A:O,7,0),0))),0)</f>
        <v>8</v>
      </c>
      <c r="V7" s="19">
        <f>IF(A7=0,0,IFERROR(SUMIFS([1]Poblacion!Q:Q,[1]Poblacion!J:J,'MASTER-2025'!A7),0))</f>
        <v>0</v>
      </c>
      <c r="W7" s="20">
        <f>IFERROR(VLOOKUP($A7,'[1]OB Atendidas por Donantes'!A:N,10,0),0)</f>
        <v>7</v>
      </c>
      <c r="X7" s="20">
        <f>ROUNDUP(IF(A7=0,0,IFERROR(VLOOKUP($A7,'[1]Kilos Asignado del Donante'!A:N,5,0),0)),0)</f>
        <v>263</v>
      </c>
      <c r="Y7" s="20">
        <f>IF(A7=0,0,IFERROR(SUMIFS([1]Poblacion!O:O,[1]Poblacion!J:J,'MASTER-2025'!A7),0))</f>
        <v>0</v>
      </c>
      <c r="Z7" s="18">
        <f>IFERROR(VLOOKUP($A7,'[1]OB Atendidas por Donantes'!A:N,6,0),0)</f>
        <v>0</v>
      </c>
      <c r="AA7" s="18">
        <f>ROUNDUP(IF(A7=0,0,IFERROR(VLOOKUP($A7,'[1]Kilos Asignado del Donante'!A:N,11,0),0)),0)</f>
        <v>0</v>
      </c>
      <c r="AB7" s="18">
        <f>IF(A7=0,0,IFERROR(SUMIFS([1]Poblacion!U:U,[1]Poblacion!J:J,'MASTER-2025'!A7),0))</f>
        <v>0</v>
      </c>
      <c r="AC7" s="19">
        <f>IFERROR(VLOOKUP($A7,'[1]OB Atendidas por Donantes'!A:N,7,0),0)</f>
        <v>1</v>
      </c>
      <c r="AD7" s="19">
        <f>ROUNDUP(IF(A7=0,0,IFERROR(VLOOKUP($A7,'[1]Kilos Asignado del Donante'!A:N,8,0),0)),0)</f>
        <v>4</v>
      </c>
      <c r="AE7" s="19">
        <f>IF(A7=0,0,IFERROR(SUMIFS([1]Poblacion!R:R,[1]Poblacion!J:J,'MASTER-2025'!A7),0))</f>
        <v>0</v>
      </c>
      <c r="AF7" s="20">
        <f>IFERROR(VLOOKUP($A7,'[1]OB Atendidas por Donantes'!A:N,8,0),0)</f>
        <v>1</v>
      </c>
      <c r="AG7" s="20">
        <f>ROUNDUP(IF(A7=0,0,IFERROR(VLOOKUP($A7,'[1]Kilos Asignado del Donante'!A:N,6,0),0)),0)</f>
        <v>12</v>
      </c>
      <c r="AH7" s="20">
        <f>IF(A7=0,0,IFERROR(SUMIFS([1]Poblacion!P:P,[1]Poblacion!J:J,'MASTER-2025'!A7),0))</f>
        <v>0</v>
      </c>
      <c r="AI7" s="18">
        <f>IFERROR(VLOOKUP($A7,'[1]OB Atendidas por Donantes'!A:N,9,0),0)</f>
        <v>0</v>
      </c>
      <c r="AJ7" s="18">
        <f>ROUNDUP(IF(A7=0,0,IFERROR(VLOOKUP($A7,'[1]Kilos Asignado del Donante'!A:N,12,0),0)),0)</f>
        <v>0</v>
      </c>
      <c r="AK7" s="18">
        <f>IF(A7=0,0,IFERROR(SUMIFS([1]Poblacion!V:V,[1]Poblacion!J:J,'MASTER-2025'!A7),0))</f>
        <v>0</v>
      </c>
      <c r="AL7" s="19">
        <f>IFERROR(VLOOKUP($A7,'[1]OB Atendidas por Donantes'!A:N,16,0),0)</f>
        <v>0</v>
      </c>
      <c r="AM7" s="19">
        <f>ROUNDUP(IF(A7=0,0,IFERROR(VLOOKUP($A7,'[1]Kilos Asignado del Donante'!A:O,16,0),0)),0)</f>
        <v>0</v>
      </c>
      <c r="AN7" s="19">
        <f>IF(A7=0,0,IFERROR(SUMIFS([1]Poblacion!Z:Z,[1]Poblacion!J:J,'MASTER-2025'!A7),0))</f>
        <v>0</v>
      </c>
      <c r="AO7" s="20">
        <f>IFERROR(VLOOKUP($A7,'[1]OB Atendidas por Donantes'!A:N,11,0),0)</f>
        <v>0</v>
      </c>
      <c r="AP7" s="20">
        <f>ROUNDUP(IF(A7=0,0,IFERROR(VLOOKUP($A7,'[1]Kilos Asignado del Donante'!A:N,13,0),0)),0)</f>
        <v>0</v>
      </c>
      <c r="AQ7" s="20">
        <f>IF(A7=0,0,IFERROR(SUMIFS([1]Poblacion!W:W,[1]Poblacion!J:J,'MASTER-2025'!A7),0))</f>
        <v>0</v>
      </c>
      <c r="AR7" s="18">
        <f>IFERROR(VLOOKUP($A7,'[1]OB Atendidas por Donantes'!A:N,5,0),0)</f>
        <v>0</v>
      </c>
      <c r="AS7" s="18">
        <f>ROUNDUP(IF(A7=0,0,IFERROR(VLOOKUP($A7,'[1]Kilos Asignado del Donante'!A:N,10,0),0)),0)</f>
        <v>0</v>
      </c>
      <c r="AT7" s="18">
        <f>IF(A7=0,0,IFERROR(SUMIFS([1]Poblacion!T:T,[1]Poblacion!J:J,'MASTER-2025'!A7),0))</f>
        <v>0</v>
      </c>
      <c r="AU7" s="19">
        <f>IFERROR(VLOOKUP($A7,'[1]OB Atendidas por Donantes'!A:N,13,0),0)</f>
        <v>0</v>
      </c>
      <c r="AV7" s="19">
        <f>ROUNDUP(IF(A7=0,0,IFERROR(VLOOKUP($A7,'[1]Kilos Asignado del Donante'!A:N,14,0),0)),0)</f>
        <v>0</v>
      </c>
      <c r="AW7" s="19">
        <f>IF(A7=0,0,IFERROR(SUMIFS([1]Poblacion!X:X,[1]Poblacion!J:J,'MASTER-2025'!A7),0))</f>
        <v>0</v>
      </c>
      <c r="AX7" s="20">
        <f>IFERROR(VLOOKUP($A7,'[1]OB Atendidas por Donantes'!A:N,16,0),0)</f>
        <v>0</v>
      </c>
      <c r="AY7" s="20">
        <f>ROUNDUP(IF(A7=0,0,IFERROR(VLOOKUP($A7,'[1]Kilos Asignado del Donante'!A:O,16,0),0)),0)</f>
        <v>0</v>
      </c>
      <c r="AZ7" s="20">
        <f>IF(A7=0,0,IFERROR(SUMIFS([1]Poblacion!Y:Y,[1]Poblacion!J:J,'MASTER-2025'!A7),0))</f>
        <v>0</v>
      </c>
      <c r="BA7" s="21">
        <f t="shared" si="5"/>
        <v>23</v>
      </c>
      <c r="BB7" s="21">
        <f>INT(I7+L7+O7+R7+U7+X7+AA7+AD7+AG7+AJ7+AM7+AP7+AS7+AV7+AY7)</f>
        <v>371</v>
      </c>
      <c r="BC7" s="21">
        <f t="shared" si="0"/>
        <v>92</v>
      </c>
      <c r="BD7" s="21">
        <f t="shared" si="12"/>
        <v>0</v>
      </c>
      <c r="BE7" s="22" t="e">
        <f>IF(A7=0,0,SUMIFS([1]Poblacion!C:C,[1]Poblacion!A:A,'MASTER-2025'!A7))</f>
        <v>#VALUE!</v>
      </c>
      <c r="BF7" s="22" t="e">
        <f>IF(A7=0,0,SUMIFS([1]Poblacion!D:D,[1]Poblacion!A:A,'MASTER-2025'!A7))</f>
        <v>#VALUE!</v>
      </c>
      <c r="BG7" s="22" t="e">
        <f>IF(A7=0,0,SUMIFS([1]Poblacion!E:E,[1]Poblacion!A:A,'MASTER-2025'!A7))</f>
        <v>#VALUE!</v>
      </c>
      <c r="BH7" s="22" t="e">
        <f>IF(A7=0,0,SUMIFS([1]Poblacion!F:F,[1]Poblacion!A:A,'MASTER-2025'!A7))</f>
        <v>#VALUE!</v>
      </c>
      <c r="BI7" s="22" t="e">
        <f t="shared" si="13"/>
        <v>#VALUE!</v>
      </c>
      <c r="BJ7" s="23" t="e">
        <f t="shared" si="7"/>
        <v>#VALUE!</v>
      </c>
      <c r="BK7" s="22" t="e">
        <f>IF(A7=0,0,SUMIFS([1]Poblacion!G:G,[1]Poblacion!A:A,'MASTER-2025'!A7))</f>
        <v>#VALUE!</v>
      </c>
      <c r="BL7" s="24" cm="1">
        <f t="array" ref="BL7:BW7">IFERROR(VLOOKUP(A7,'[1]Acum-OB-kg-pob-25'!A:AQ,{3,4,5,6,7,8,9,10,11,12,13,14},0),0)</f>
        <v>33</v>
      </c>
      <c r="BM7" s="24">
        <v>33</v>
      </c>
      <c r="BN7" s="24">
        <v>23</v>
      </c>
      <c r="BO7" s="24">
        <v>0</v>
      </c>
      <c r="BP7" s="24">
        <v>0</v>
      </c>
      <c r="BQ7" s="24">
        <v>0</v>
      </c>
      <c r="BR7" s="24">
        <v>0</v>
      </c>
      <c r="BS7" s="24">
        <v>0</v>
      </c>
      <c r="BT7" s="24">
        <v>0</v>
      </c>
      <c r="BU7" s="24">
        <v>0</v>
      </c>
      <c r="BV7" s="24">
        <v>0</v>
      </c>
      <c r="BW7" s="24">
        <v>0</v>
      </c>
      <c r="BX7" s="24">
        <f t="shared" si="8"/>
        <v>89</v>
      </c>
      <c r="BY7" s="25" cm="1">
        <f t="array" ref="BY7:CJ7">IFERROR(VLOOKUP(A7,'[1]Acum-OB-kg-pob-25'!A:AQ,{17,18,19,20,21,22,23,24,25,26,27,28},0),0)</f>
        <v>678</v>
      </c>
      <c r="BZ7" s="25">
        <v>663</v>
      </c>
      <c r="CA7" s="25">
        <v>663</v>
      </c>
      <c r="CB7" s="25">
        <v>0</v>
      </c>
      <c r="CC7" s="25">
        <v>0</v>
      </c>
      <c r="CD7" s="25">
        <v>0</v>
      </c>
      <c r="CE7" s="25">
        <v>0</v>
      </c>
      <c r="CF7" s="25">
        <v>0</v>
      </c>
      <c r="CG7" s="25">
        <v>0</v>
      </c>
      <c r="CH7" s="25">
        <v>0</v>
      </c>
      <c r="CI7" s="25">
        <v>0</v>
      </c>
      <c r="CJ7" s="25">
        <v>0</v>
      </c>
      <c r="CK7" s="25">
        <f t="shared" si="9"/>
        <v>2004</v>
      </c>
      <c r="CL7" s="26" cm="1">
        <f t="array" ref="CL7:CW7">IFERROR(VLOOKUP(A7,'[1]Acum-OB-kg-pob-25'!A:AQ,{31,32,33,34,35,36,37,38,39,40,41,42},0),0)</f>
        <v>14845</v>
      </c>
      <c r="CM7" s="26">
        <v>8298</v>
      </c>
      <c r="CN7" s="26">
        <v>6241</v>
      </c>
      <c r="CO7" s="26">
        <v>0</v>
      </c>
      <c r="CP7" s="26">
        <v>0</v>
      </c>
      <c r="CQ7" s="26">
        <v>0</v>
      </c>
      <c r="CR7" s="26">
        <v>0</v>
      </c>
      <c r="CS7" s="26">
        <v>0</v>
      </c>
      <c r="CT7" s="26">
        <v>0</v>
      </c>
      <c r="CU7" s="26">
        <v>0</v>
      </c>
      <c r="CV7" s="26">
        <v>0</v>
      </c>
      <c r="CW7" s="26">
        <v>0</v>
      </c>
      <c r="CX7" s="26">
        <f t="shared" si="10"/>
        <v>29384</v>
      </c>
      <c r="CY7" s="14" t="str">
        <f>IF(A7=0,0,IFERROR(VLOOKUP(A7,'[1]Info Donantes'!C:F,2,0),"Sin Contacto"))</f>
        <v>Sin Contacto</v>
      </c>
      <c r="CZ7" s="14" t="str">
        <f>IF(A7=0,0,IFERROR(VLOOKUP(A7,'[1]Info Donantes'!C:F,3,0),"Sin Correo"))</f>
        <v>Sin Correo</v>
      </c>
      <c r="DA7" s="14" t="str">
        <f>IF(A7=0,0,IFERROR(VLOOKUP(A7,'[1]Info Donantes'!C:F,4,0),"Sin Telefono"))</f>
        <v>Sin Telefono</v>
      </c>
      <c r="DB7" s="14" t="str">
        <f>IF(A7=0,0,"Reporte de Trazabiidad"&amp;" - "&amp;'[1]Resumen Donantes'!$C$2&amp;" - "&amp;A7&amp;"")</f>
        <v>Reporte de Trazabiidad -  - CONGREGACION DE HERMANDAD KOL SHEARITH ISRAEL</v>
      </c>
    </row>
    <row r="8" spans="1:106" x14ac:dyDescent="0.55000000000000004">
      <c r="A8" s="14" t="s">
        <v>112</v>
      </c>
      <c r="B8" s="15">
        <f>INT(IFERROR(VLOOKUP(A8,'[1]Resumen Donantes'!C:F,3,0),0))</f>
        <v>7615</v>
      </c>
      <c r="C8" s="15">
        <f>INT(ROUND(IFERROR(VLOOKUP(A8,'[1]Resumen Donantes'!C:F,4,0),0),1))</f>
        <v>60995</v>
      </c>
      <c r="D8" s="16">
        <f t="shared" si="1"/>
        <v>53380</v>
      </c>
      <c r="E8" s="17" t="str">
        <f t="shared" si="2"/>
        <v>87.52%</v>
      </c>
      <c r="F8" s="17" t="str">
        <f t="shared" si="3"/>
        <v>12.5%</v>
      </c>
      <c r="G8" s="15">
        <f t="shared" si="4"/>
        <v>160140</v>
      </c>
      <c r="H8" s="18"/>
      <c r="I8" s="18">
        <f>IFERROR(VLOOKUP(A8,'[1]Lot All by Part'!T:Y,6,0),0)</f>
        <v>0</v>
      </c>
      <c r="J8" s="18"/>
      <c r="K8" s="19">
        <f>IFERROR(VLOOKUP($A8,'[1]OB Atendidas por Donantes'!A:N,3,0),0)</f>
        <v>31</v>
      </c>
      <c r="L8" s="19">
        <f>ROUNDUP(IF(A8=0,0,IFERROR(VLOOKUP($A8,'[1]Kilos Asignado del Donante'!A:O,3,0),0)),0)</f>
        <v>7776</v>
      </c>
      <c r="M8" s="19">
        <f>IF(A8=0,0,IFERROR(SUMIFS([1]Poblacion!M:M,[1]Poblacion!J:J,'MASTER-2025'!A8),0))</f>
        <v>0</v>
      </c>
      <c r="N8" s="20">
        <f>IFERROR(VLOOKUP($A8,'[1]OB Atendidas por Donantes'!A:N,4,0),0)</f>
        <v>41</v>
      </c>
      <c r="O8" s="20">
        <f>ROUNDUP(IF(A8=0,0,IFERROR(VLOOKUP($A8,'[1]Kilos Asignado del Donante'!A:O,4,0),0)),0)</f>
        <v>10406</v>
      </c>
      <c r="P8" s="20">
        <f>IF(A8=0,0,IFERROR(SUMIFS([1]Poblacion!N:N,[1]Poblacion!J:J,'MASTER-2025'!A8),0))</f>
        <v>0</v>
      </c>
      <c r="Q8" s="18">
        <f>IFERROR(VLOOKUP($A8,'[1]OB Atendidas por Donantes'!A:N,2,0),0)</f>
        <v>15</v>
      </c>
      <c r="R8" s="18">
        <f>ROUNDUP(ROUND(IF(A8=0,0,IFERROR(VLOOKUP($A8,'[1]Kilos Asignado del Donante'!A:O,9,0),0)),1),0)</f>
        <v>1033</v>
      </c>
      <c r="S8" s="18">
        <f>IF(A8=0,0,IFERROR(SUMIFS([1]Poblacion!S:S,[1]Poblacion!J:J,'MASTER-2025'!A8),0))</f>
        <v>0</v>
      </c>
      <c r="T8" s="19">
        <f>IFERROR(VLOOKUP($A8,'[1]OB Atendidas por Donantes'!A:N,12,0),0)</f>
        <v>6</v>
      </c>
      <c r="U8" s="19">
        <f>ROUNDUP(IF(A8=0,0,IF(A8=0,0,IFERROR(VLOOKUP($A8,'[1]Kilos Asignado del Donante'!A:O,7,0),0))),0)</f>
        <v>562</v>
      </c>
      <c r="V8" s="19">
        <f>IF(A8=0,0,IFERROR(SUMIFS([1]Poblacion!Q:Q,[1]Poblacion!J:J,'MASTER-2025'!A8),0))</f>
        <v>0</v>
      </c>
      <c r="W8" s="20">
        <f>IFERROR(VLOOKUP($A8,'[1]OB Atendidas por Donantes'!A:N,10,0),0)</f>
        <v>21</v>
      </c>
      <c r="X8" s="20">
        <f>ROUNDUP(IF(A8=0,0,IFERROR(VLOOKUP($A8,'[1]Kilos Asignado del Donante'!A:N,5,0),0)),0)</f>
        <v>3496</v>
      </c>
      <c r="Y8" s="20">
        <f>IF(A8=0,0,IFERROR(SUMIFS([1]Poblacion!O:O,[1]Poblacion!J:J,'MASTER-2025'!A8),0))</f>
        <v>0</v>
      </c>
      <c r="Z8" s="18">
        <f>IFERROR(VLOOKUP($A8,'[1]OB Atendidas por Donantes'!A:N,6,0),0)</f>
        <v>6</v>
      </c>
      <c r="AA8" s="18">
        <f>ROUNDUP(IF(A8=0,0,IFERROR(VLOOKUP($A8,'[1]Kilos Asignado del Donante'!A:N,11,0),0)),0)</f>
        <v>2918</v>
      </c>
      <c r="AB8" s="18">
        <f>IF(A8=0,0,IFERROR(SUMIFS([1]Poblacion!U:U,[1]Poblacion!J:J,'MASTER-2025'!A8),0))</f>
        <v>0</v>
      </c>
      <c r="AC8" s="19">
        <f>IFERROR(VLOOKUP($A8,'[1]OB Atendidas por Donantes'!A:N,7,0),0)</f>
        <v>6</v>
      </c>
      <c r="AD8" s="19">
        <f>ROUNDUP(IF(A8=0,0,IFERROR(VLOOKUP($A8,'[1]Kilos Asignado del Donante'!A:N,8,0),0)),0)</f>
        <v>2817</v>
      </c>
      <c r="AE8" s="19">
        <f>IF(A8=0,0,IFERROR(SUMIFS([1]Poblacion!R:R,[1]Poblacion!J:J,'MASTER-2025'!A8),0))</f>
        <v>0</v>
      </c>
      <c r="AF8" s="20">
        <f>IFERROR(VLOOKUP($A8,'[1]OB Atendidas por Donantes'!A:N,8,0),0)</f>
        <v>3</v>
      </c>
      <c r="AG8" s="20">
        <f>ROUNDUP(IF(A8=0,0,IFERROR(VLOOKUP($A8,'[1]Kilos Asignado del Donante'!A:N,6,0),0)),0)</f>
        <v>199</v>
      </c>
      <c r="AH8" s="20">
        <f>IF(A8=0,0,IFERROR(SUMIFS([1]Poblacion!P:P,[1]Poblacion!J:J,'MASTER-2025'!A8),0))</f>
        <v>0</v>
      </c>
      <c r="AI8" s="18">
        <f>IFERROR(VLOOKUP($A8,'[1]OB Atendidas por Donantes'!A:N,9,0),0)</f>
        <v>5</v>
      </c>
      <c r="AJ8" s="18">
        <f>ROUNDUP(IF(A8=0,0,IFERROR(VLOOKUP($A8,'[1]Kilos Asignado del Donante'!A:N,12,0),0)),0)</f>
        <v>897</v>
      </c>
      <c r="AK8" s="18">
        <f>IF(A8=0,0,IFERROR(SUMIFS([1]Poblacion!V:V,[1]Poblacion!J:J,'MASTER-2025'!A8),0))</f>
        <v>0</v>
      </c>
      <c r="AL8" s="19">
        <f>IFERROR(VLOOKUP($A8,'[1]OB Atendidas por Donantes'!A:N,16,0),0)</f>
        <v>0</v>
      </c>
      <c r="AM8" s="19">
        <f>ROUNDUP(IF(A8=0,0,IFERROR(VLOOKUP($A8,'[1]Kilos Asignado del Donante'!A:O,16,0),0)),0)</f>
        <v>0</v>
      </c>
      <c r="AN8" s="19">
        <f>IF(A8=0,0,IFERROR(SUMIFS([1]Poblacion!Z:Z,[1]Poblacion!J:J,'MASTER-2025'!A8),0))</f>
        <v>0</v>
      </c>
      <c r="AO8" s="20">
        <f>IFERROR(VLOOKUP($A8,'[1]OB Atendidas por Donantes'!A:N,11,0),0)</f>
        <v>3</v>
      </c>
      <c r="AP8" s="20">
        <f>ROUNDUP(IF(A8=0,0,IFERROR(VLOOKUP($A8,'[1]Kilos Asignado del Donante'!A:N,13,0),0)),0)</f>
        <v>710</v>
      </c>
      <c r="AQ8" s="20">
        <f>IF(A8=0,0,IFERROR(SUMIFS([1]Poblacion!W:W,[1]Poblacion!J:J,'MASTER-2025'!A8),0))</f>
        <v>0</v>
      </c>
      <c r="AR8" s="18">
        <f>IFERROR(VLOOKUP($A8,'[1]OB Atendidas por Donantes'!A:N,5,0),0)</f>
        <v>11</v>
      </c>
      <c r="AS8" s="18">
        <f>ROUNDUP(IF(A8=0,0,IFERROR(VLOOKUP($A8,'[1]Kilos Asignado del Donante'!A:N,10,0),0)),0)</f>
        <v>2264</v>
      </c>
      <c r="AT8" s="18">
        <f>IF(A8=0,0,IFERROR(SUMIFS([1]Poblacion!T:T,[1]Poblacion!J:J,'MASTER-2025'!A8),0))</f>
        <v>0</v>
      </c>
      <c r="AU8" s="19">
        <f>IFERROR(VLOOKUP($A8,'[1]OB Atendidas por Donantes'!A:N,13,0),0)</f>
        <v>0</v>
      </c>
      <c r="AV8" s="19">
        <f>ROUNDUP(IF(A8=0,0,IFERROR(VLOOKUP($A8,'[1]Kilos Asignado del Donante'!A:N,14,0),0)),0)</f>
        <v>0</v>
      </c>
      <c r="AW8" s="19">
        <f>IF(A8=0,0,IFERROR(SUMIFS([1]Poblacion!X:X,[1]Poblacion!J:J,'MASTER-2025'!A8),0))</f>
        <v>0</v>
      </c>
      <c r="AX8" s="20">
        <f>IFERROR(VLOOKUP($A8,'[1]OB Atendidas por Donantes'!A:N,16,0),0)</f>
        <v>0</v>
      </c>
      <c r="AY8" s="20">
        <f>ROUNDUP(IF(A8=0,0,IFERROR(VLOOKUP($A8,'[1]Kilos Asignado del Donante'!A:O,16,0),0)),0)</f>
        <v>0</v>
      </c>
      <c r="AZ8" s="20">
        <f>IF(A8=0,0,IFERROR(SUMIFS([1]Poblacion!Y:Y,[1]Poblacion!J:J,'MASTER-2025'!A8),0))</f>
        <v>0</v>
      </c>
      <c r="BA8" s="21">
        <f t="shared" si="5"/>
        <v>148</v>
      </c>
      <c r="BB8" s="21">
        <f>INT(I8+L8+O8+R8+U8+X8+AA8+AD8+AG8+AJ8+AM8+AP8+AS8+AV8+AY8)</f>
        <v>33078</v>
      </c>
      <c r="BC8" s="21">
        <f t="shared" si="0"/>
        <v>19777</v>
      </c>
      <c r="BD8" s="21">
        <f t="shared" si="12"/>
        <v>0</v>
      </c>
      <c r="BE8" s="22" t="e">
        <f>IF(A8=0,0,SUMIFS([1]Poblacion!C:C,[1]Poblacion!A:A,'MASTER-2025'!A8))</f>
        <v>#VALUE!</v>
      </c>
      <c r="BF8" s="22" t="e">
        <f>IF(A8=0,0,SUMIFS([1]Poblacion!D:D,[1]Poblacion!A:A,'MASTER-2025'!A8))</f>
        <v>#VALUE!</v>
      </c>
      <c r="BG8" s="22" t="e">
        <f>IF(A8=0,0,SUMIFS([1]Poblacion!E:E,[1]Poblacion!A:A,'MASTER-2025'!A8))</f>
        <v>#VALUE!</v>
      </c>
      <c r="BH8" s="22" t="e">
        <f>IF(A8=0,0,SUMIFS([1]Poblacion!F:F,[1]Poblacion!A:A,'MASTER-2025'!A8))</f>
        <v>#VALUE!</v>
      </c>
      <c r="BI8" s="22" t="e">
        <f t="shared" si="13"/>
        <v>#VALUE!</v>
      </c>
      <c r="BJ8" s="23" t="e">
        <f t="shared" si="7"/>
        <v>#VALUE!</v>
      </c>
      <c r="BK8" s="22" t="e">
        <f>IF(A8=0,0,SUMIFS([1]Poblacion!G:G,[1]Poblacion!A:A,'MASTER-2025'!A8))</f>
        <v>#VALUE!</v>
      </c>
      <c r="BL8" s="24" cm="1">
        <f t="array" ref="BL8:BW8">IFERROR(VLOOKUP(A8,'[1]Acum-OB-kg-pob-25'!A:AQ,{3,4,5,6,7,8,9,10,11,12,13,14},0),0)</f>
        <v>100</v>
      </c>
      <c r="BM8" s="24">
        <v>117</v>
      </c>
      <c r="BN8" s="24">
        <v>148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24">
        <v>0</v>
      </c>
      <c r="BU8" s="24">
        <v>0</v>
      </c>
      <c r="BV8" s="24">
        <v>0</v>
      </c>
      <c r="BW8" s="24">
        <v>0</v>
      </c>
      <c r="BX8" s="24">
        <f t="shared" si="8"/>
        <v>365</v>
      </c>
      <c r="BY8" s="25" cm="1">
        <f t="array" ref="BY8:CJ8">IFERROR(VLOOKUP(A8,'[1]Acum-OB-kg-pob-25'!A:AQ,{17,18,19,20,21,22,23,24,25,26,27,28},0),0)</f>
        <v>26159</v>
      </c>
      <c r="BZ8" s="25">
        <v>21470</v>
      </c>
      <c r="CA8" s="25">
        <v>60995</v>
      </c>
      <c r="CB8" s="25">
        <v>0</v>
      </c>
      <c r="CC8" s="25">
        <v>0</v>
      </c>
      <c r="CD8" s="25">
        <v>0</v>
      </c>
      <c r="CE8" s="25">
        <v>0</v>
      </c>
      <c r="CF8" s="25">
        <v>0</v>
      </c>
      <c r="CG8" s="25">
        <v>0</v>
      </c>
      <c r="CH8" s="25">
        <v>0</v>
      </c>
      <c r="CI8" s="25">
        <v>0</v>
      </c>
      <c r="CJ8" s="25">
        <v>0</v>
      </c>
      <c r="CK8" s="25">
        <f t="shared" si="9"/>
        <v>108624</v>
      </c>
      <c r="CL8" s="26" cm="1">
        <f t="array" ref="CL8:CW8">IFERROR(VLOOKUP(A8,'[1]Acum-OB-kg-pob-25'!A:AQ,{31,32,33,34,35,36,37,38,39,40,41,42},0),0)</f>
        <v>33000</v>
      </c>
      <c r="CM8" s="26">
        <v>35637</v>
      </c>
      <c r="CN8" s="26">
        <v>44724</v>
      </c>
      <c r="CO8" s="26">
        <v>0</v>
      </c>
      <c r="CP8" s="26">
        <v>0</v>
      </c>
      <c r="CQ8" s="26">
        <v>0</v>
      </c>
      <c r="CR8" s="26">
        <v>0</v>
      </c>
      <c r="CS8" s="26">
        <v>0</v>
      </c>
      <c r="CT8" s="26">
        <v>0</v>
      </c>
      <c r="CU8" s="26">
        <v>0</v>
      </c>
      <c r="CV8" s="26">
        <v>0</v>
      </c>
      <c r="CW8" s="26">
        <v>0</v>
      </c>
      <c r="CX8" s="26">
        <f t="shared" si="10"/>
        <v>113361</v>
      </c>
      <c r="CY8" s="14" t="str">
        <f>IF(A8=0,0,IFERROR(VLOOKUP(A8,'[1]Info Donantes'!C:F,2,0),"Sin Contacto"))</f>
        <v>Angel Larrea Cornejo</v>
      </c>
      <c r="CZ8" s="14" t="str">
        <f>IF(A8=0,0,IFERROR(VLOOKUP(A8,'[1]Info Donantes'!C:F,3,0),"Sin Correo"))</f>
        <v>graciela@cialimentos.com</v>
      </c>
      <c r="DA8" s="14" t="str">
        <f>IF(A8=0,0,IFERROR(VLOOKUP(A8,'[1]Info Donantes'!C:F,4,0),"Sin Telefono"))</f>
        <v>291-0300</v>
      </c>
      <c r="DB8" s="14" t="str">
        <f>IF(A8=0,0,"Reporte de Trazabiidad"&amp;" - "&amp;'[1]Resumen Donantes'!$C$2&amp;" - "&amp;A8&amp;"")</f>
        <v>Reporte de Trazabiidad -  - CORPORACION INTERNACIONAL DE ALIMENTOS, S.A.</v>
      </c>
    </row>
    <row r="9" spans="1:106" x14ac:dyDescent="0.55000000000000004">
      <c r="A9" s="14" t="s">
        <v>113</v>
      </c>
      <c r="B9" s="15">
        <f>INT(IFERROR(VLOOKUP(A9,'[1]Resumen Donantes'!C:F,3,0),0))</f>
        <v>39</v>
      </c>
      <c r="C9" s="15">
        <f>INT(ROUND(IFERROR(VLOOKUP(A9,'[1]Resumen Donantes'!C:F,4,0),0),1))</f>
        <v>334</v>
      </c>
      <c r="D9" s="16">
        <f>INT(ROUND(C9-B9,1))</f>
        <v>295</v>
      </c>
      <c r="E9" s="17" t="str">
        <f>IF(A9=0,"",TEXT((IFERROR(D9/C9,0)),"0.00%"))</f>
        <v>88.32%</v>
      </c>
      <c r="F9" s="17" t="str">
        <f>IF(A9=0,"",TEXT((IFERROR(B9/C9,0)),"0.0%"))</f>
        <v>11.7%</v>
      </c>
      <c r="G9" s="15">
        <f>INT(D9*3)</f>
        <v>885</v>
      </c>
      <c r="H9" s="18"/>
      <c r="I9" s="18">
        <f>IFERROR(VLOOKUP(A9,'[1]Lot All by Part'!T:Y,6,0),0)</f>
        <v>0</v>
      </c>
      <c r="J9" s="18"/>
      <c r="K9" s="19">
        <f>IFERROR(VLOOKUP($A9,'[1]OB Atendidas por Donantes'!A:N,3,0),0)</f>
        <v>5</v>
      </c>
      <c r="L9" s="19">
        <f>ROUNDUP(IF(A9=0,0,IFERROR(VLOOKUP($A9,'[1]Kilos Asignado del Donante'!A:O,3,0),0)),0)</f>
        <v>37</v>
      </c>
      <c r="M9" s="19">
        <f>IF(A9=0,0,IFERROR(SUMIFS([1]Poblacion!M:M,[1]Poblacion!J:J,'MASTER-2025'!A9),0))</f>
        <v>0</v>
      </c>
      <c r="N9" s="20">
        <f>IFERROR(VLOOKUP($A9,'[1]OB Atendidas por Donantes'!A:N,4,0),0)</f>
        <v>9</v>
      </c>
      <c r="O9" s="20">
        <f>ROUNDUP(IF(A9=0,0,IFERROR(VLOOKUP($A9,'[1]Kilos Asignado del Donante'!A:O,4,0),0)),0)</f>
        <v>114</v>
      </c>
      <c r="P9" s="20">
        <f>IF(A9=0,0,IFERROR(SUMIFS([1]Poblacion!N:N,[1]Poblacion!J:J,'MASTER-2025'!A9),0))</f>
        <v>0</v>
      </c>
      <c r="Q9" s="18">
        <f>IFERROR(VLOOKUP($A9,'[1]OB Atendidas por Donantes'!A:N,2,0),0)</f>
        <v>2</v>
      </c>
      <c r="R9" s="18">
        <f>ROUNDUP(ROUND(IF(A9=0,0,IFERROR(VLOOKUP($A9,'[1]Kilos Asignado del Donante'!A:O,9,0),0)),1),0)</f>
        <v>14</v>
      </c>
      <c r="S9" s="18">
        <f>IF(A9=0,0,IFERROR(SUMIFS([1]Poblacion!S:S,[1]Poblacion!J:J,'MASTER-2025'!A9),0))</f>
        <v>0</v>
      </c>
      <c r="T9" s="19">
        <f>IFERROR(VLOOKUP($A9,'[1]OB Atendidas por Donantes'!A:N,12,0),0)</f>
        <v>1</v>
      </c>
      <c r="U9" s="19">
        <f>ROUNDUP(IF(A9=0,0,IF(A9=0,0,IFERROR(VLOOKUP($A9,'[1]Kilos Asignado del Donante'!A:O,7,0),0))),0)</f>
        <v>31</v>
      </c>
      <c r="V9" s="19">
        <f>IF(A9=0,0,IFERROR(SUMIFS([1]Poblacion!Q:Q,[1]Poblacion!J:J,'MASTER-2025'!A9),0))</f>
        <v>0</v>
      </c>
      <c r="W9" s="20">
        <f>IFERROR(VLOOKUP($A9,'[1]OB Atendidas por Donantes'!A:N,10,0),0)</f>
        <v>6</v>
      </c>
      <c r="X9" s="20">
        <f>ROUNDUP(IF(A9=0,0,IFERROR(VLOOKUP($A9,'[1]Kilos Asignado del Donante'!A:N,5,0),0)),0)</f>
        <v>25</v>
      </c>
      <c r="Y9" s="20">
        <f>IF(A9=0,0,IFERROR(SUMIFS([1]Poblacion!O:O,[1]Poblacion!J:J,'MASTER-2025'!A9),0))</f>
        <v>0</v>
      </c>
      <c r="Z9" s="18">
        <f>IFERROR(VLOOKUP($A9,'[1]OB Atendidas por Donantes'!A:N,6,0),0)</f>
        <v>0</v>
      </c>
      <c r="AA9" s="18">
        <f>ROUNDUP(IF(A9=0,0,IFERROR(VLOOKUP($A9,'[1]Kilos Asignado del Donante'!A:N,11,0),0)),0)</f>
        <v>0</v>
      </c>
      <c r="AB9" s="18">
        <f>IF(A9=0,0,IFERROR(SUMIFS([1]Poblacion!U:U,[1]Poblacion!J:J,'MASTER-2025'!A9),0))</f>
        <v>0</v>
      </c>
      <c r="AC9" s="19">
        <f>IFERROR(VLOOKUP($A9,'[1]OB Atendidas por Donantes'!A:N,7,0),0)</f>
        <v>2</v>
      </c>
      <c r="AD9" s="19">
        <f>ROUNDUP(IF(A9=0,0,IFERROR(VLOOKUP($A9,'[1]Kilos Asignado del Donante'!A:N,8,0),0)),0)</f>
        <v>20</v>
      </c>
      <c r="AE9" s="19">
        <f>IF(A9=0,0,IFERROR(SUMIFS([1]Poblacion!R:R,[1]Poblacion!J:J,'MASTER-2025'!A9),0))</f>
        <v>0</v>
      </c>
      <c r="AF9" s="20">
        <f>IFERROR(VLOOKUP($A9,'[1]OB Atendidas por Donantes'!A:N,8,0),0)</f>
        <v>0</v>
      </c>
      <c r="AG9" s="20">
        <f>ROUNDUP(IF(A9=0,0,IFERROR(VLOOKUP($A9,'[1]Kilos Asignado del Donante'!A:N,6,0),0)),0)</f>
        <v>0</v>
      </c>
      <c r="AH9" s="20">
        <f>IF(A9=0,0,IFERROR(SUMIFS([1]Poblacion!P:P,[1]Poblacion!J:J,'MASTER-2025'!A9),0))</f>
        <v>0</v>
      </c>
      <c r="AI9" s="18">
        <f>IFERROR(VLOOKUP($A9,'[1]OB Atendidas por Donantes'!A:N,9,0),0)</f>
        <v>0</v>
      </c>
      <c r="AJ9" s="18">
        <f>ROUNDUP(IF(A9=0,0,IFERROR(VLOOKUP($A9,'[1]Kilos Asignado del Donante'!A:N,12,0),0)),0)</f>
        <v>0</v>
      </c>
      <c r="AK9" s="18">
        <f>IF(A9=0,0,IFERROR(SUMIFS([1]Poblacion!V:V,[1]Poblacion!J:J,'MASTER-2025'!A9),0))</f>
        <v>0</v>
      </c>
      <c r="AL9" s="19">
        <f>IFERROR(VLOOKUP($A9,'[1]OB Atendidas por Donantes'!A:N,16,0),0)</f>
        <v>0</v>
      </c>
      <c r="AM9" s="19">
        <f>ROUNDUP(IF(A9=0,0,IFERROR(VLOOKUP($A9,'[1]Kilos Asignado del Donante'!A:O,16,0),0)),0)</f>
        <v>0</v>
      </c>
      <c r="AN9" s="19">
        <f>IF(A9=0,0,IFERROR(SUMIFS([1]Poblacion!Z:Z,[1]Poblacion!J:J,'MASTER-2025'!A9),0))</f>
        <v>0</v>
      </c>
      <c r="AO9" s="20">
        <f>IFERROR(VLOOKUP($A9,'[1]OB Atendidas por Donantes'!A:N,11,0),0)</f>
        <v>0</v>
      </c>
      <c r="AP9" s="20">
        <f>ROUNDUP(IF(A9=0,0,IFERROR(VLOOKUP($A9,'[1]Kilos Asignado del Donante'!A:N,13,0),0)),0)</f>
        <v>0</v>
      </c>
      <c r="AQ9" s="20">
        <f>IF(A9=0,0,IFERROR(SUMIFS([1]Poblacion!W:W,[1]Poblacion!J:J,'MASTER-2025'!A9),0))</f>
        <v>0</v>
      </c>
      <c r="AR9" s="18">
        <f>IFERROR(VLOOKUP($A9,'[1]OB Atendidas por Donantes'!A:N,5,0),0)</f>
        <v>1</v>
      </c>
      <c r="AS9" s="18">
        <f>ROUNDUP(IF(A9=0,0,IFERROR(VLOOKUP($A9,'[1]Kilos Asignado del Donante'!A:N,10,0),0)),0)</f>
        <v>4</v>
      </c>
      <c r="AT9" s="18">
        <f>IF(A9=0,0,IFERROR(SUMIFS([1]Poblacion!T:T,[1]Poblacion!J:J,'MASTER-2025'!A9),0))</f>
        <v>0</v>
      </c>
      <c r="AU9" s="19">
        <f>IFERROR(VLOOKUP($A9,'[1]OB Atendidas por Donantes'!A:N,13,0),0)</f>
        <v>0</v>
      </c>
      <c r="AV9" s="19">
        <f>ROUNDUP(IF(A9=0,0,IFERROR(VLOOKUP($A9,'[1]Kilos Asignado del Donante'!A:N,14,0),0)),0)</f>
        <v>0</v>
      </c>
      <c r="AW9" s="19">
        <f>IF(A9=0,0,IFERROR(SUMIFS([1]Poblacion!X:X,[1]Poblacion!J:J,'MASTER-2025'!A9),0))</f>
        <v>0</v>
      </c>
      <c r="AX9" s="20">
        <f>IFERROR(VLOOKUP($A9,'[1]OB Atendidas por Donantes'!A:N,16,0),0)</f>
        <v>0</v>
      </c>
      <c r="AY9" s="20">
        <f>ROUNDUP(IF(A9=0,0,IFERROR(VLOOKUP($A9,'[1]Kilos Asignado del Donante'!A:O,16,0),0)),0)</f>
        <v>0</v>
      </c>
      <c r="AZ9" s="20">
        <f>IF(A9=0,0,IFERROR(SUMIFS([1]Poblacion!Y:Y,[1]Poblacion!J:J,'MASTER-2025'!A9),0))</f>
        <v>0</v>
      </c>
      <c r="BA9" s="21">
        <f>+H9+K9+N9+Q9+T9+W9+Z9+AC9+AF9+AI9+AL9+AO9+AR9+AU9+AX9</f>
        <v>26</v>
      </c>
      <c r="BB9" s="21">
        <f t="shared" ref="BB9" si="14">INT(I9+L9+O9+R9+U9+X9+AA9+AD9+AG9+AJ9+AM9+AP9+AS9+AV9+AY9)</f>
        <v>245</v>
      </c>
      <c r="BC9" s="21">
        <f t="shared" si="0"/>
        <v>196</v>
      </c>
      <c r="BD9" s="21">
        <f t="shared" si="12"/>
        <v>0</v>
      </c>
      <c r="BE9" s="22" t="e">
        <f>IF(A9=0,0,SUMIFS([1]Poblacion!C:C,[1]Poblacion!A:A,'MASTER-2025'!A9))</f>
        <v>#VALUE!</v>
      </c>
      <c r="BF9" s="22" t="e">
        <f>IF(A9=0,0,SUMIFS([1]Poblacion!D:D,[1]Poblacion!A:A,'MASTER-2025'!A9))</f>
        <v>#VALUE!</v>
      </c>
      <c r="BG9" s="22" t="e">
        <f>IF(A9=0,0,SUMIFS([1]Poblacion!E:E,[1]Poblacion!A:A,'MASTER-2025'!A9))</f>
        <v>#VALUE!</v>
      </c>
      <c r="BH9" s="22" t="e">
        <f>IF(A9=0,0,SUMIFS([1]Poblacion!F:F,[1]Poblacion!A:A,'MASTER-2025'!A9))</f>
        <v>#VALUE!</v>
      </c>
      <c r="BI9" s="22" t="e">
        <f t="shared" si="13"/>
        <v>#VALUE!</v>
      </c>
      <c r="BJ9" s="23" t="e">
        <f t="shared" si="7"/>
        <v>#VALUE!</v>
      </c>
      <c r="BK9" s="22" t="e">
        <f>IF(A9=0,0,SUMIFS([1]Poblacion!G:G,[1]Poblacion!A:A,'MASTER-2025'!A9))</f>
        <v>#VALUE!</v>
      </c>
      <c r="BL9" s="24" cm="1">
        <f t="array" ref="BL9:BW9">IFERROR(VLOOKUP(A9,'[1]Acum-OB-kg-pob-25'!A:AQ,{3,4,5,6,7,8,9,10,11,12,13,14},0),0)</f>
        <v>24</v>
      </c>
      <c r="BM9" s="24">
        <v>30</v>
      </c>
      <c r="BN9" s="24">
        <v>26</v>
      </c>
      <c r="BO9" s="24">
        <v>0</v>
      </c>
      <c r="BP9" s="24">
        <v>0</v>
      </c>
      <c r="BQ9" s="24">
        <v>0</v>
      </c>
      <c r="BR9" s="24">
        <v>0</v>
      </c>
      <c r="BS9" s="24">
        <v>0</v>
      </c>
      <c r="BT9" s="24">
        <v>0</v>
      </c>
      <c r="BU9" s="24">
        <v>0</v>
      </c>
      <c r="BV9" s="24">
        <v>0</v>
      </c>
      <c r="BW9" s="24">
        <v>0</v>
      </c>
      <c r="BX9" s="24">
        <f t="shared" si="8"/>
        <v>80</v>
      </c>
      <c r="BY9" s="25" cm="1">
        <f t="array" ref="BY9:CJ9">IFERROR(VLOOKUP(A9,'[1]Acum-OB-kg-pob-25'!A:AQ,{17,18,19,20,21,22,23,24,25,26,27,28},0),0)</f>
        <v>242</v>
      </c>
      <c r="BZ9" s="25">
        <v>384</v>
      </c>
      <c r="CA9" s="25">
        <v>334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f t="shared" si="9"/>
        <v>960</v>
      </c>
      <c r="CL9" s="26" cm="1">
        <f t="array" ref="CL9:CW9">IFERROR(VLOOKUP(A9,'[1]Acum-OB-kg-pob-25'!A:AQ,{31,32,33,34,35,36,37,38,39,40,41,42},0),0)</f>
        <v>7458</v>
      </c>
      <c r="CM9" s="26">
        <v>7006</v>
      </c>
      <c r="CN9" s="26">
        <v>7257</v>
      </c>
      <c r="CO9" s="26">
        <v>0</v>
      </c>
      <c r="CP9" s="26">
        <v>0</v>
      </c>
      <c r="CQ9" s="26">
        <v>0</v>
      </c>
      <c r="CR9" s="26">
        <v>0</v>
      </c>
      <c r="CS9" s="26">
        <v>0</v>
      </c>
      <c r="CT9" s="26">
        <v>0</v>
      </c>
      <c r="CU9" s="26">
        <v>0</v>
      </c>
      <c r="CV9" s="26">
        <v>0</v>
      </c>
      <c r="CW9" s="26">
        <v>0</v>
      </c>
      <c r="CX9" s="26">
        <f t="shared" si="10"/>
        <v>21721</v>
      </c>
      <c r="CY9" s="27" t="str">
        <f>IF(A9=0,0,IFERROR(VLOOKUP(A9,'[1]Info Donantes'!C:F,2,0),"Sin Contacto"))</f>
        <v>Andrés Bárbaro</v>
      </c>
      <c r="CZ9" s="27" t="str">
        <f>IF(A9=0,0,IFERROR(VLOOKUP(A9,'[1]Info Donantes'!C:F,3,0),"Sin Correo"))</f>
        <v>andres.barbaro.ext@pedidosya.com</v>
      </c>
      <c r="DA9" s="27">
        <f>IF(A9=0,0,IFERROR(VLOOKUP(A9,'[1]Info Donantes'!C:F,4,0),"Sin Telefono"))</f>
        <v>0</v>
      </c>
      <c r="DB9" s="27" t="str">
        <f>IF(A9=0,0,"Reporte de Trazabiidad"&amp;" - "&amp;'[1]Resumen Donantes'!$C$2&amp;" - "&amp;A9&amp;"")</f>
        <v>Reporte de Trazabiidad -  - Delivery Hero Dmart Panamá S.A. (Pedidos Ya)</v>
      </c>
    </row>
    <row r="10" spans="1:106" x14ac:dyDescent="0.55000000000000004">
      <c r="A10" s="14" t="s">
        <v>114</v>
      </c>
      <c r="B10" s="15">
        <f>INT(IFERROR(VLOOKUP(A10,'[1]Resumen Donantes'!C:F,3,0),0))</f>
        <v>61</v>
      </c>
      <c r="C10" s="15">
        <f>INT(ROUND(IFERROR(VLOOKUP(A10,'[1]Resumen Donantes'!C:F,4,0),0),1))</f>
        <v>6413</v>
      </c>
      <c r="D10" s="16">
        <f>INT(ROUND(C10-B10,1))</f>
        <v>6352</v>
      </c>
      <c r="E10" s="17" t="str">
        <f>IF(A10=0,"",TEXT((IFERROR(D10/C10,0)),"0.00%"))</f>
        <v>99.05%</v>
      </c>
      <c r="F10" s="17" t="str">
        <f>IF(A10=0,"",TEXT((IFERROR(B10/C10,0)),"0.0%"))</f>
        <v>1.0%</v>
      </c>
      <c r="G10" s="15">
        <f>INT(D10*3)</f>
        <v>19056</v>
      </c>
      <c r="H10" s="18"/>
      <c r="I10" s="18">
        <f>IFERROR(VLOOKUP(A10,'[1]Lot All by Part'!T:Y,6,0),0)</f>
        <v>0</v>
      </c>
      <c r="J10" s="18"/>
      <c r="K10" s="19">
        <f>IFERROR(VLOOKUP($A10,'[1]OB Atendidas por Donantes'!A:N,3,0),0)</f>
        <v>24</v>
      </c>
      <c r="L10" s="19">
        <f>ROUNDUP(IF(A10=0,0,IFERROR(VLOOKUP($A10,'[1]Kilos Asignado del Donante'!A:O,3,0),0)),0)</f>
        <v>1725</v>
      </c>
      <c r="M10" s="19">
        <f>IF(A10=0,0,IFERROR(SUMIFS([1]Poblacion!M:M,[1]Poblacion!J:J,'MASTER-2025'!A10),0))</f>
        <v>0</v>
      </c>
      <c r="N10" s="20">
        <f>IFERROR(VLOOKUP($A10,'[1]OB Atendidas por Donantes'!A:N,4,0),0)</f>
        <v>37</v>
      </c>
      <c r="O10" s="20">
        <f>ROUNDUP(IF(A10=0,0,IFERROR(VLOOKUP($A10,'[1]Kilos Asignado del Donante'!A:O,4,0),0)),0)</f>
        <v>1731</v>
      </c>
      <c r="P10" s="20">
        <f>IF(A10=0,0,IFERROR(SUMIFS([1]Poblacion!N:N,[1]Poblacion!J:J,'MASTER-2025'!A10),0))</f>
        <v>0</v>
      </c>
      <c r="Q10" s="18">
        <f>IFERROR(VLOOKUP($A10,'[1]OB Atendidas por Donantes'!A:N,2,0),0)</f>
        <v>10</v>
      </c>
      <c r="R10" s="18">
        <f>ROUNDUP(ROUND(IF(A10=0,0,IFERROR(VLOOKUP($A10,'[1]Kilos Asignado del Donante'!A:O,9,0),0)),1),0)</f>
        <v>243</v>
      </c>
      <c r="S10" s="18">
        <f>IF(A10=0,0,IFERROR(SUMIFS([1]Poblacion!S:S,[1]Poblacion!J:J,'MASTER-2025'!A10),0))</f>
        <v>0</v>
      </c>
      <c r="T10" s="19">
        <f>IFERROR(VLOOKUP($A10,'[1]OB Atendidas por Donantes'!A:N,12,0),0)</f>
        <v>5</v>
      </c>
      <c r="U10" s="19">
        <f>ROUNDUP(IF(A10=0,0,IF(A10=0,0,IFERROR(VLOOKUP($A10,'[1]Kilos Asignado del Donante'!A:O,7,0),0))),0)</f>
        <v>204</v>
      </c>
      <c r="V10" s="19">
        <f>IF(A10=0,0,IFERROR(SUMIFS([1]Poblacion!Q:Q,[1]Poblacion!J:J,'MASTER-2025'!A10),0))</f>
        <v>0</v>
      </c>
      <c r="W10" s="20">
        <f>IFERROR(VLOOKUP($A10,'[1]OB Atendidas por Donantes'!A:N,10,0),0)</f>
        <v>17</v>
      </c>
      <c r="X10" s="20">
        <f>ROUNDUP(IF(A10=0,0,IFERROR(VLOOKUP($A10,'[1]Kilos Asignado del Donante'!A:N,5,0),0)),0)</f>
        <v>538</v>
      </c>
      <c r="Y10" s="20">
        <f>IF(A10=0,0,IFERROR(SUMIFS([1]Poblacion!O:O,[1]Poblacion!J:J,'MASTER-2025'!A10),0))</f>
        <v>0</v>
      </c>
      <c r="Z10" s="18">
        <f>IFERROR(VLOOKUP($A10,'[1]OB Atendidas por Donantes'!A:N,6,0),0)</f>
        <v>2</v>
      </c>
      <c r="AA10" s="18">
        <f>ROUNDUP(IF(A10=0,0,IFERROR(VLOOKUP($A10,'[1]Kilos Asignado del Donante'!A:N,11,0),0)),0)</f>
        <v>76</v>
      </c>
      <c r="AB10" s="18">
        <f>IF(A10=0,0,IFERROR(SUMIFS([1]Poblacion!U:U,[1]Poblacion!J:J,'MASTER-2025'!A10),0))</f>
        <v>0</v>
      </c>
      <c r="AC10" s="19">
        <f>IFERROR(VLOOKUP($A10,'[1]OB Atendidas por Donantes'!A:N,7,0),0)</f>
        <v>6</v>
      </c>
      <c r="AD10" s="19">
        <f>ROUNDUP(IF(A10=0,0,IFERROR(VLOOKUP($A10,'[1]Kilos Asignado del Donante'!A:N,8,0),0)),0)</f>
        <v>414</v>
      </c>
      <c r="AE10" s="19">
        <f>IF(A10=0,0,IFERROR(SUMIFS([1]Poblacion!R:R,[1]Poblacion!J:J,'MASTER-2025'!A10),0))</f>
        <v>0</v>
      </c>
      <c r="AF10" s="20">
        <f>IFERROR(VLOOKUP($A10,'[1]OB Atendidas por Donantes'!A:N,8,0),0)</f>
        <v>3</v>
      </c>
      <c r="AG10" s="20">
        <f>ROUNDUP(IF(A10=0,0,IFERROR(VLOOKUP($A10,'[1]Kilos Asignado del Donante'!A:N,6,0),0)),0)</f>
        <v>386</v>
      </c>
      <c r="AH10" s="20">
        <f>IF(A10=0,0,IFERROR(SUMIFS([1]Poblacion!P:P,[1]Poblacion!J:J,'MASTER-2025'!A10),0))</f>
        <v>0</v>
      </c>
      <c r="AI10" s="18">
        <f>IFERROR(VLOOKUP($A10,'[1]OB Atendidas por Donantes'!A:N,9,0),0)</f>
        <v>1</v>
      </c>
      <c r="AJ10" s="18">
        <f>ROUNDUP(IF(A10=0,0,IFERROR(VLOOKUP($A10,'[1]Kilos Asignado del Donante'!A:N,12,0),0)),0)</f>
        <v>19</v>
      </c>
      <c r="AK10" s="18">
        <f>IF(A10=0,0,IFERROR(SUMIFS([1]Poblacion!V:V,[1]Poblacion!J:J,'MASTER-2025'!A10),0))</f>
        <v>0</v>
      </c>
      <c r="AL10" s="19">
        <f>IFERROR(VLOOKUP($A10,'[1]OB Atendidas por Donantes'!A:N,16,0),0)</f>
        <v>0</v>
      </c>
      <c r="AM10" s="19">
        <f>ROUNDUP(IF(A10=0,0,IFERROR(VLOOKUP($A10,'[1]Kilos Asignado del Donante'!A:O,16,0),0)),0)</f>
        <v>0</v>
      </c>
      <c r="AN10" s="19">
        <f>IF(A10=0,0,IFERROR(SUMIFS([1]Poblacion!Z:Z,[1]Poblacion!J:J,'MASTER-2025'!A10),0))</f>
        <v>0</v>
      </c>
      <c r="AO10" s="20">
        <f>IFERROR(VLOOKUP($A10,'[1]OB Atendidas por Donantes'!A:N,11,0),0)</f>
        <v>1</v>
      </c>
      <c r="AP10" s="20">
        <f>ROUNDUP(IF(A10=0,0,IFERROR(VLOOKUP($A10,'[1]Kilos Asignado del Donante'!A:N,13,0),0)),0)</f>
        <v>19</v>
      </c>
      <c r="AQ10" s="20">
        <f>IF(A10=0,0,IFERROR(SUMIFS([1]Poblacion!W:W,[1]Poblacion!J:J,'MASTER-2025'!A10),0))</f>
        <v>0</v>
      </c>
      <c r="AR10" s="18">
        <f>IFERROR(VLOOKUP($A10,'[1]OB Atendidas por Donantes'!A:N,5,0),0)</f>
        <v>5</v>
      </c>
      <c r="AS10" s="18">
        <f>ROUNDUP(IF(A10=0,0,IFERROR(VLOOKUP($A10,'[1]Kilos Asignado del Donante'!A:N,10,0),0)),0)</f>
        <v>152</v>
      </c>
      <c r="AT10" s="18">
        <f>IF(A10=0,0,IFERROR(SUMIFS([1]Poblacion!T:T,[1]Poblacion!J:J,'MASTER-2025'!A10),0))</f>
        <v>0</v>
      </c>
      <c r="AU10" s="19">
        <f>IFERROR(VLOOKUP($A10,'[1]OB Atendidas por Donantes'!A:N,13,0),0)</f>
        <v>0</v>
      </c>
      <c r="AV10" s="19">
        <f>ROUNDUP(IF(A10=0,0,IFERROR(VLOOKUP($A10,'[1]Kilos Asignado del Donante'!A:N,14,0),0)),0)</f>
        <v>0</v>
      </c>
      <c r="AW10" s="19">
        <f>IF(A10=0,0,IFERROR(SUMIFS([1]Poblacion!X:X,[1]Poblacion!J:J,'MASTER-2025'!A10),0))</f>
        <v>0</v>
      </c>
      <c r="AX10" s="20">
        <f>IFERROR(VLOOKUP($A10,'[1]OB Atendidas por Donantes'!A:N,16,0),0)</f>
        <v>0</v>
      </c>
      <c r="AY10" s="20">
        <f>ROUNDUP(IF(A10=0,0,IFERROR(VLOOKUP($A10,'[1]Kilos Asignado del Donante'!A:O,16,0),0)),0)</f>
        <v>0</v>
      </c>
      <c r="AZ10" s="20">
        <f>IF(A10=0,0,IFERROR(SUMIFS([1]Poblacion!Y:Y,[1]Poblacion!J:J,'MASTER-2025'!A10),0))</f>
        <v>0</v>
      </c>
      <c r="BA10" s="21">
        <f>+H10+K10+N10+Q10+T10+W10+Z10+AC10+AF10+AI10+AL10+AO10+AR10+AU10+AX10</f>
        <v>111</v>
      </c>
      <c r="BB10" s="21">
        <f>INT(I10+L10+O10+R10+U10+X10+AA10+AD10+AG10+AJ10+AM10+AP10+AS10+AV10+AY10)</f>
        <v>5507</v>
      </c>
      <c r="BC10" s="21">
        <f>ROUND(I10+L10+O10+R10+U10,0)</f>
        <v>3903</v>
      </c>
      <c r="BD10" s="21">
        <f>IF(A10=0,0,(+J10+M10+P10+S10+V10+Y10+AB10+AE10+AH10+AK10+AN10+AQ10+AT10+AW10+AZ10))</f>
        <v>0</v>
      </c>
      <c r="BE10" s="22" t="e">
        <f>IF(A10=0,0,SUMIFS([1]Poblacion!C:C,[1]Poblacion!A:A,'MASTER-2025'!A10))</f>
        <v>#VALUE!</v>
      </c>
      <c r="BF10" s="22" t="e">
        <f>IF(A10=0,0,SUMIFS([1]Poblacion!D:D,[1]Poblacion!A:A,'MASTER-2025'!A10))</f>
        <v>#VALUE!</v>
      </c>
      <c r="BG10" s="22" t="e">
        <f>IF(A10=0,0,SUMIFS([1]Poblacion!E:E,[1]Poblacion!A:A,'MASTER-2025'!A10))</f>
        <v>#VALUE!</v>
      </c>
      <c r="BH10" s="22" t="e">
        <f>IF(A10=0,0,SUMIFS([1]Poblacion!F:F,[1]Poblacion!A:A,'MASTER-2025'!A10))</f>
        <v>#VALUE!</v>
      </c>
      <c r="BI10" s="22" t="e">
        <f>+BF10+BG10+BH10</f>
        <v>#VALUE!</v>
      </c>
      <c r="BJ10" s="23" t="e">
        <f t="shared" si="7"/>
        <v>#VALUE!</v>
      </c>
      <c r="BK10" s="22" t="e">
        <f>IF(A10=0,0,SUMIFS([1]Poblacion!G:G,[1]Poblacion!A:A,'MASTER-2025'!A10))</f>
        <v>#VALUE!</v>
      </c>
      <c r="BL10" s="24" cm="1">
        <f t="array" ref="BL10:BW10">IFERROR(VLOOKUP(A10,'[1]Acum-OB-kg-pob-25'!A:AQ,{3,4,5,6,7,8,9,10,11,12,13,14},0),0)</f>
        <v>42</v>
      </c>
      <c r="BM10" s="24">
        <v>87</v>
      </c>
      <c r="BN10" s="24">
        <v>111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f t="shared" si="8"/>
        <v>240</v>
      </c>
      <c r="BY10" s="25" cm="1">
        <f t="array" ref="BY10:CJ10">IFERROR(VLOOKUP(A10,'[1]Acum-OB-kg-pob-25'!A:AQ,{17,18,19,20,21,22,23,24,25,26,27,28},0),0)</f>
        <v>6842</v>
      </c>
      <c r="BZ10" s="25">
        <v>5690</v>
      </c>
      <c r="CA10" s="25">
        <v>6413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f t="shared" si="9"/>
        <v>18945</v>
      </c>
      <c r="CL10" s="26" cm="1">
        <f t="array" ref="CL10:CW10">IFERROR(VLOOKUP(A10,'[1]Acum-OB-kg-pob-25'!A:AQ,{31,32,33,34,35,36,37,38,39,40,41,42},0),0)</f>
        <v>14846</v>
      </c>
      <c r="CM10" s="26">
        <v>24125</v>
      </c>
      <c r="CN10" s="26">
        <v>31867</v>
      </c>
      <c r="CO10" s="26">
        <v>0</v>
      </c>
      <c r="CP10" s="26">
        <v>0</v>
      </c>
      <c r="CQ10" s="26">
        <v>0</v>
      </c>
      <c r="CR10" s="26">
        <v>0</v>
      </c>
      <c r="CS10" s="26">
        <v>0</v>
      </c>
      <c r="CT10" s="26">
        <v>0</v>
      </c>
      <c r="CU10" s="26">
        <v>0</v>
      </c>
      <c r="CV10" s="26">
        <v>0</v>
      </c>
      <c r="CW10" s="26">
        <v>0</v>
      </c>
      <c r="CX10" s="26">
        <f t="shared" si="10"/>
        <v>70838</v>
      </c>
      <c r="CY10" s="27" t="str">
        <f>IF(A10=0,0,IFERROR(VLOOKUP(A10,'[1]Info Donantes'!C:F,2,0),"Sin Contacto"))</f>
        <v>Sin Contacto</v>
      </c>
      <c r="CZ10" s="27" t="str">
        <f>IF(A10=0,0,IFERROR(VLOOKUP(A10,'[1]Info Donantes'!C:F,3,0),"Sin Correo"))</f>
        <v>Sin Correo</v>
      </c>
      <c r="DA10" s="27" t="str">
        <f>IF(A10=0,0,IFERROR(VLOOKUP(A10,'[1]Info Donantes'!C:F,4,0),"Sin Telefono"))</f>
        <v>Sin Telefono</v>
      </c>
      <c r="DB10" s="27" t="str">
        <f>IF(A10=0,0,"Reporte de Trazabiidad"&amp;" - "&amp;'[1]Resumen Donantes'!$C$2&amp;" - "&amp;A10&amp;"")</f>
        <v>Reporte de Trazabiidad -  - Empresa Panameña de Alimentos, S. A.</v>
      </c>
    </row>
    <row r="11" spans="1:106" s="30" customFormat="1" x14ac:dyDescent="0.55000000000000004">
      <c r="A11" s="14" t="s">
        <v>115</v>
      </c>
      <c r="B11" s="15">
        <f>INT(IFERROR(VLOOKUP(A11,'[1]Resumen Donantes'!C:F,3,0),0))</f>
        <v>0</v>
      </c>
      <c r="C11" s="15">
        <f>INT(ROUND(IFERROR(VLOOKUP(A11,'[1]Resumen Donantes'!C:F,4,0),0),1))</f>
        <v>388</v>
      </c>
      <c r="D11" s="16">
        <f>INT(ROUND(C11-B11,1))</f>
        <v>388</v>
      </c>
      <c r="E11" s="17" t="str">
        <f>IF(A11=0,"",TEXT((IFERROR(D11/C11,0)),"0.00%"))</f>
        <v>100.00%</v>
      </c>
      <c r="F11" s="17" t="str">
        <f>IF(A11=0,"",TEXT((IFERROR(B11/C11,0)),"0.0%"))</f>
        <v>0.0%</v>
      </c>
      <c r="G11" s="15">
        <f>INT(D11*3)</f>
        <v>1164</v>
      </c>
      <c r="H11" s="18"/>
      <c r="I11" s="18">
        <f>IFERROR(VLOOKUP(A11,'[1]Lot All by Part'!T:Y,6,0),0)</f>
        <v>0</v>
      </c>
      <c r="J11" s="28"/>
      <c r="K11" s="19">
        <f>IFERROR(VLOOKUP($A11,'[1]OB Atendidas por Donantes'!A:N,3,0),0)</f>
        <v>8</v>
      </c>
      <c r="L11" s="19">
        <f>ROUNDUP(IF(A11=0,0,IFERROR(VLOOKUP($A11,'[1]Kilos Asignado del Donante'!A:O,3,0),0)),0)</f>
        <v>81</v>
      </c>
      <c r="M11" s="19">
        <f>IF(A11=0,0,IFERROR(SUMIFS([1]Poblacion!M:M,[1]Poblacion!J:J,'MASTER-2025'!A11),0))</f>
        <v>0</v>
      </c>
      <c r="N11" s="20">
        <f>IFERROR(VLOOKUP($A11,'[1]OB Atendidas por Donantes'!A:N,4,0),0)</f>
        <v>11</v>
      </c>
      <c r="O11" s="20">
        <f>ROUNDUP(IF(A11=0,0,IFERROR(VLOOKUP($A11,'[1]Kilos Asignado del Donante'!A:O,4,0),0)),0)</f>
        <v>113</v>
      </c>
      <c r="P11" s="20">
        <f>IF(A11=0,0,IFERROR(SUMIFS([1]Poblacion!N:N,[1]Poblacion!J:J,'MASTER-2025'!A11),0))</f>
        <v>0</v>
      </c>
      <c r="Q11" s="18">
        <f>IFERROR(VLOOKUP($A11,'[1]OB Atendidas por Donantes'!A:N,2,0),0)</f>
        <v>2</v>
      </c>
      <c r="R11" s="18">
        <f>ROUNDUP(ROUND(IF(A11=0,0,IFERROR(VLOOKUP($A11,'[1]Kilos Asignado del Donante'!A:O,9,0),0)),1),0)</f>
        <v>19</v>
      </c>
      <c r="S11" s="18">
        <f>IF(A11=0,0,IFERROR(SUMIFS([1]Poblacion!S:S,[1]Poblacion!J:J,'MASTER-2025'!A11),0))</f>
        <v>0</v>
      </c>
      <c r="T11" s="19">
        <f>IFERROR(VLOOKUP($A11,'[1]OB Atendidas por Donantes'!A:N,12,0),0)</f>
        <v>2</v>
      </c>
      <c r="U11" s="19">
        <f>ROUNDUP(IF(A11=0,0,IF(A11=0,0,IFERROR(VLOOKUP($A11,'[1]Kilos Asignado del Donante'!A:O,7,0),0))),0)</f>
        <v>16</v>
      </c>
      <c r="V11" s="19">
        <f>IF(A11=0,0,IFERROR(SUMIFS([1]Poblacion!Q:Q,[1]Poblacion!J:J,'MASTER-2025'!A11),0))</f>
        <v>0</v>
      </c>
      <c r="W11" s="20">
        <f>IFERROR(VLOOKUP($A11,'[1]OB Atendidas por Donantes'!A:N,10,0),0)</f>
        <v>6</v>
      </c>
      <c r="X11" s="20">
        <f>ROUNDUP(IF(A11=0,0,IFERROR(VLOOKUP($A11,'[1]Kilos Asignado del Donante'!A:N,5,0),0)),0)</f>
        <v>35</v>
      </c>
      <c r="Y11" s="20">
        <f>IF(A11=0,0,IFERROR(SUMIFS([1]Poblacion!O:O,[1]Poblacion!J:J,'MASTER-2025'!A11),0))</f>
        <v>0</v>
      </c>
      <c r="Z11" s="18">
        <f>IFERROR(VLOOKUP($A11,'[1]OB Atendidas por Donantes'!A:N,6,0),0)</f>
        <v>0</v>
      </c>
      <c r="AA11" s="18">
        <f>ROUNDUP(IF(A11=0,0,IFERROR(VLOOKUP($A11,'[1]Kilos Asignado del Donante'!A:N,11,0),0)),0)</f>
        <v>0</v>
      </c>
      <c r="AB11" s="18">
        <f>IF(A11=0,0,IFERROR(SUMIFS([1]Poblacion!U:U,[1]Poblacion!J:J,'MASTER-2025'!A11),0))</f>
        <v>0</v>
      </c>
      <c r="AC11" s="19">
        <f>IFERROR(VLOOKUP($A11,'[1]OB Atendidas por Donantes'!A:N,7,0),0)</f>
        <v>2</v>
      </c>
      <c r="AD11" s="19">
        <f>ROUNDUP(IF(A11=0,0,IFERROR(VLOOKUP($A11,'[1]Kilos Asignado del Donante'!A:N,8,0),0)),0)</f>
        <v>28</v>
      </c>
      <c r="AE11" s="19">
        <f>IF(A11=0,0,IFERROR(SUMIFS([1]Poblacion!R:R,[1]Poblacion!J:J,'MASTER-2025'!A11),0))</f>
        <v>0</v>
      </c>
      <c r="AF11" s="20">
        <f>IFERROR(VLOOKUP($A11,'[1]OB Atendidas por Donantes'!A:N,8,0),0)</f>
        <v>1</v>
      </c>
      <c r="AG11" s="20">
        <f>ROUNDUP(IF(A11=0,0,IFERROR(VLOOKUP($A11,'[1]Kilos Asignado del Donante'!A:N,6,0),0)),0)</f>
        <v>1</v>
      </c>
      <c r="AH11" s="20">
        <f>IF(A11=0,0,IFERROR(SUMIFS([1]Poblacion!P:P,[1]Poblacion!J:J,'MASTER-2025'!A11),0))</f>
        <v>0</v>
      </c>
      <c r="AI11" s="18">
        <f>IFERROR(VLOOKUP($A11,'[1]OB Atendidas por Donantes'!A:N,9,0),0)</f>
        <v>0</v>
      </c>
      <c r="AJ11" s="18">
        <f>ROUNDUP(IF(A11=0,0,IFERROR(VLOOKUP($A11,'[1]Kilos Asignado del Donante'!A:N,12,0),0)),0)</f>
        <v>0</v>
      </c>
      <c r="AK11" s="18">
        <f>IF(A11=0,0,IFERROR(SUMIFS([1]Poblacion!V:V,[1]Poblacion!J:J,'MASTER-2025'!A11),0))</f>
        <v>0</v>
      </c>
      <c r="AL11" s="19">
        <f>IFERROR(VLOOKUP($A11,'[1]OB Atendidas por Donantes'!A:N,16,0),0)</f>
        <v>0</v>
      </c>
      <c r="AM11" s="19">
        <f>ROUNDUP(IF(A11=0,0,IFERROR(VLOOKUP($A11,'[1]Kilos Asignado del Donante'!A:O,16,0),0)),0)</f>
        <v>0</v>
      </c>
      <c r="AN11" s="19">
        <f>IF(A11=0,0,IFERROR(SUMIFS([1]Poblacion!Z:Z,[1]Poblacion!J:J,'MASTER-2025'!A11),0))</f>
        <v>0</v>
      </c>
      <c r="AO11" s="20">
        <f>IFERROR(VLOOKUP($A11,'[1]OB Atendidas por Donantes'!A:N,11,0),0)</f>
        <v>0</v>
      </c>
      <c r="AP11" s="20">
        <f>ROUNDUP(IF(A11=0,0,IFERROR(VLOOKUP($A11,'[1]Kilos Asignado del Donante'!A:N,13,0),0)),0)</f>
        <v>0</v>
      </c>
      <c r="AQ11" s="20">
        <f>IF(A11=0,0,IFERROR(SUMIFS([1]Poblacion!W:W,[1]Poblacion!J:J,'MASTER-2025'!A11),0))</f>
        <v>0</v>
      </c>
      <c r="AR11" s="18">
        <f>IFERROR(VLOOKUP($A11,'[1]OB Atendidas por Donantes'!A:N,5,0),0)</f>
        <v>1</v>
      </c>
      <c r="AS11" s="18">
        <f>ROUNDUP(IF(A11=0,0,IFERROR(VLOOKUP($A11,'[1]Kilos Asignado del Donante'!A:N,10,0),0)),0)</f>
        <v>3</v>
      </c>
      <c r="AT11" s="18">
        <f>IF(A11=0,0,IFERROR(SUMIFS([1]Poblacion!T:T,[1]Poblacion!J:J,'MASTER-2025'!A11),0))</f>
        <v>0</v>
      </c>
      <c r="AU11" s="19">
        <f>IFERROR(VLOOKUP($A11,'[1]OB Atendidas por Donantes'!A:N,13,0),0)</f>
        <v>0</v>
      </c>
      <c r="AV11" s="19">
        <f>ROUNDUP(IF(A11=0,0,IFERROR(VLOOKUP($A11,'[1]Kilos Asignado del Donante'!A:N,14,0),0)),0)</f>
        <v>0</v>
      </c>
      <c r="AW11" s="19">
        <f>IF(A11=0,0,IFERROR(SUMIFS([1]Poblacion!X:X,[1]Poblacion!J:J,'MASTER-2025'!A11),0))</f>
        <v>0</v>
      </c>
      <c r="AX11" s="20">
        <f>IFERROR(VLOOKUP($A11,'[1]OB Atendidas por Donantes'!A:N,16,0),0)</f>
        <v>0</v>
      </c>
      <c r="AY11" s="20">
        <f>ROUNDUP(IF(A11=0,0,IFERROR(VLOOKUP($A11,'[1]Kilos Asignado del Donante'!A:O,16,0),0)),0)</f>
        <v>0</v>
      </c>
      <c r="AZ11" s="20">
        <f>IF(A11=0,0,IFERROR(SUMIFS([1]Poblacion!Y:Y,[1]Poblacion!J:J,'MASTER-2025'!A11),0))</f>
        <v>0</v>
      </c>
      <c r="BA11" s="21">
        <f>+H11+K11+N11+Q11+T11+W11+Z11+AC11+AF11+AI11+AL11+AO11+AR11+AU11+AX11</f>
        <v>33</v>
      </c>
      <c r="BB11" s="21">
        <f>INT(I11+L11+O11+R11+U11+X11+AA11+AD11+AG11+AJ11+AM11+AP11+AS11+AV11+AY11)</f>
        <v>296</v>
      </c>
      <c r="BC11" s="21">
        <f>ROUND(I11+L11+O11+R11+U11,0)</f>
        <v>229</v>
      </c>
      <c r="BD11" s="21">
        <f>IF(A11=0,0,(+J11+M11+P11+S11+V11+Y11+AB11+AE11+AH11+AK11+AN11+AQ11+AT11+AW11+AZ11))</f>
        <v>0</v>
      </c>
      <c r="BE11" s="22" t="e">
        <f>IF(A11=0,0,SUMIFS([1]Poblacion!C:C,[1]Poblacion!A:A,'MASTER-2025'!A11))</f>
        <v>#VALUE!</v>
      </c>
      <c r="BF11" s="22" t="e">
        <f>IF(A11=0,0,SUMIFS([1]Poblacion!D:D,[1]Poblacion!A:A,'MASTER-2025'!A11))</f>
        <v>#VALUE!</v>
      </c>
      <c r="BG11" s="22" t="e">
        <f>IF(A11=0,0,SUMIFS([1]Poblacion!E:E,[1]Poblacion!A:A,'MASTER-2025'!A11))</f>
        <v>#VALUE!</v>
      </c>
      <c r="BH11" s="22" t="e">
        <f>IF(A11=0,0,SUMIFS([1]Poblacion!F:F,[1]Poblacion!A:A,'MASTER-2025'!A11))</f>
        <v>#VALUE!</v>
      </c>
      <c r="BI11" s="22" t="e">
        <f>+BF11+BG11+BH11</f>
        <v>#VALUE!</v>
      </c>
      <c r="BJ11" s="23" t="e">
        <f t="shared" si="7"/>
        <v>#VALUE!</v>
      </c>
      <c r="BK11" s="22" t="e">
        <f>IF(A11=0,0,SUMIFS([1]Poblacion!G:G,[1]Poblacion!A:A,'MASTER-2025'!A11))</f>
        <v>#VALUE!</v>
      </c>
      <c r="BL11" s="24" cm="1">
        <f t="array" ref="BL11:BW11">IFERROR(VLOOKUP(A11,'[1]Acum-OB-kg-pob-25'!A:AQ,{3,4,5,6,7,8,9,10,11,12,13,14},0),0)</f>
        <v>41</v>
      </c>
      <c r="BM11" s="24">
        <v>33</v>
      </c>
      <c r="BN11" s="24">
        <v>33</v>
      </c>
      <c r="BO11" s="24">
        <v>0</v>
      </c>
      <c r="BP11" s="24">
        <v>0</v>
      </c>
      <c r="BQ11" s="24">
        <v>0</v>
      </c>
      <c r="BR11" s="24">
        <v>0</v>
      </c>
      <c r="BS11" s="24">
        <v>0</v>
      </c>
      <c r="BT11" s="24">
        <v>0</v>
      </c>
      <c r="BU11" s="24">
        <v>0</v>
      </c>
      <c r="BV11" s="24">
        <v>0</v>
      </c>
      <c r="BW11" s="24">
        <v>0</v>
      </c>
      <c r="BX11" s="24">
        <f t="shared" si="8"/>
        <v>107</v>
      </c>
      <c r="BY11" s="25" cm="1">
        <f t="array" ref="BY11:CJ11">IFERROR(VLOOKUP(A11,'[1]Acum-OB-kg-pob-25'!A:AQ,{17,18,19,20,21,22,23,24,25,26,27,28},0),0)</f>
        <v>650</v>
      </c>
      <c r="BZ11" s="25">
        <v>1596</v>
      </c>
      <c r="CA11" s="25">
        <v>388</v>
      </c>
      <c r="CB11" s="25">
        <v>0</v>
      </c>
      <c r="CC11" s="25">
        <v>0</v>
      </c>
      <c r="CD11" s="25">
        <v>0</v>
      </c>
      <c r="CE11" s="25">
        <v>0</v>
      </c>
      <c r="CF11" s="25">
        <v>0</v>
      </c>
      <c r="CG11" s="25">
        <v>0</v>
      </c>
      <c r="CH11" s="25">
        <v>0</v>
      </c>
      <c r="CI11" s="25">
        <v>0</v>
      </c>
      <c r="CJ11" s="25">
        <v>0</v>
      </c>
      <c r="CK11" s="25">
        <f t="shared" si="9"/>
        <v>2634</v>
      </c>
      <c r="CL11" s="26" cm="1">
        <f t="array" ref="CL11:CW11">IFERROR(VLOOKUP(A11,'[1]Acum-OB-kg-pob-25'!A:AQ,{31,32,33,34,35,36,37,38,39,40,41,42},0),0)</f>
        <v>10195</v>
      </c>
      <c r="CM11" s="26">
        <v>11526</v>
      </c>
      <c r="CN11" s="26">
        <v>13490</v>
      </c>
      <c r="CO11" s="26">
        <v>0</v>
      </c>
      <c r="CP11" s="26">
        <v>0</v>
      </c>
      <c r="CQ11" s="26">
        <v>0</v>
      </c>
      <c r="CR11" s="26">
        <v>0</v>
      </c>
      <c r="CS11" s="26">
        <v>0</v>
      </c>
      <c r="CT11" s="26">
        <v>0</v>
      </c>
      <c r="CU11" s="26">
        <v>0</v>
      </c>
      <c r="CV11" s="26">
        <v>0</v>
      </c>
      <c r="CW11" s="26">
        <v>0</v>
      </c>
      <c r="CX11" s="26">
        <f t="shared" si="10"/>
        <v>35211</v>
      </c>
      <c r="CY11" s="29" t="str">
        <f>IF(A11=0,0,IFERROR(VLOOKUP(A11,'[1]Info Donantes'!C:F,2,0),"Sin Contacto"))</f>
        <v>Marcela Vallarino</v>
      </c>
      <c r="CZ11" s="29" t="str">
        <f>IF(A11=0,0,IFERROR(VLOOKUP(A11,'[1]Info Donantes'!C:F,3,0),"Sin Correo"))</f>
        <v>marcellavallarino@felipemotta.com</v>
      </c>
      <c r="DA11" s="29" t="str">
        <f>IF(A11=0,0,IFERROR(VLOOKUP(A11,'[1]Info Donantes'!C:F,4,0),"Sin Telefono"))</f>
        <v>302-5555</v>
      </c>
      <c r="DB11" s="29" t="str">
        <f>IF(A11=0,0,"Reporte de Trazabiidad"&amp;" - "&amp;'[1]Resumen Donantes'!$C$2&amp;" - "&amp;A11&amp;"")</f>
        <v>Reporte de Trazabiidad -  - FELIPE MOTTA, S.A</v>
      </c>
    </row>
    <row r="12" spans="1:106" x14ac:dyDescent="0.55000000000000004">
      <c r="A12" s="14" t="s">
        <v>116</v>
      </c>
      <c r="B12" s="15">
        <f>INT(IFERROR(VLOOKUP(A12,'[1]Resumen Donantes'!C:F,3,0),0))</f>
        <v>0</v>
      </c>
      <c r="C12" s="15">
        <f>INT(ROUND(IFERROR(VLOOKUP(A12,'[1]Resumen Donantes'!C:F,4,0),0),1))</f>
        <v>446</v>
      </c>
      <c r="D12" s="16">
        <f>INT(ROUND(C12-B12,1))</f>
        <v>446</v>
      </c>
      <c r="E12" s="17" t="str">
        <f>IF(A12=0,"",TEXT((IFERROR(D12/C12,0)),"0.00%"))</f>
        <v>100.00%</v>
      </c>
      <c r="F12" s="17" t="str">
        <f>IF(A12=0,"",TEXT((IFERROR(B12/C12,0)),"0.0%"))</f>
        <v>0.0%</v>
      </c>
      <c r="G12" s="15">
        <f>INT(D12*3)</f>
        <v>1338</v>
      </c>
      <c r="H12" s="18"/>
      <c r="I12" s="18">
        <f>IFERROR(VLOOKUP(A12,'[1]Lot All by Part'!T:Y,6,0),0)</f>
        <v>0</v>
      </c>
      <c r="J12" s="18"/>
      <c r="K12" s="19">
        <f>IFERROR(VLOOKUP($A12,'[1]OB Atendidas por Donantes'!A:N,3,0),0)</f>
        <v>12</v>
      </c>
      <c r="L12" s="19">
        <f>ROUNDUP(IF(A12=0,0,IFERROR(VLOOKUP($A12,'[1]Kilos Asignado del Donante'!A:O,3,0),0)),0)</f>
        <v>54</v>
      </c>
      <c r="M12" s="19">
        <f>IF(A12=0,0,IFERROR(SUMIFS([1]Poblacion!M:M,[1]Poblacion!J:J,'MASTER-2025'!A12),0))</f>
        <v>0</v>
      </c>
      <c r="N12" s="20">
        <f>IFERROR(VLOOKUP($A12,'[1]OB Atendidas por Donantes'!A:N,4,0),0)</f>
        <v>25</v>
      </c>
      <c r="O12" s="20">
        <f>ROUNDUP(IF(A12=0,0,IFERROR(VLOOKUP($A12,'[1]Kilos Asignado del Donante'!A:O,4,0),0)),0)</f>
        <v>162</v>
      </c>
      <c r="P12" s="20">
        <f>IF(A12=0,0,IFERROR(SUMIFS([1]Poblacion!N:N,[1]Poblacion!J:J,'MASTER-2025'!A12),0))</f>
        <v>0</v>
      </c>
      <c r="Q12" s="18">
        <f>IFERROR(VLOOKUP($A12,'[1]OB Atendidas por Donantes'!A:N,2,0),0)</f>
        <v>9</v>
      </c>
      <c r="R12" s="18">
        <f>ROUNDUP(ROUND(IF(A12=0,0,IFERROR(VLOOKUP($A12,'[1]Kilos Asignado del Donante'!A:O,9,0),0)),1),0)</f>
        <v>32</v>
      </c>
      <c r="S12" s="18">
        <f>IF(A12=0,0,IFERROR(SUMIFS([1]Poblacion!S:S,[1]Poblacion!J:J,'MASTER-2025'!A12),0))</f>
        <v>0</v>
      </c>
      <c r="T12" s="19">
        <f>IFERROR(VLOOKUP($A12,'[1]OB Atendidas por Donantes'!A:N,12,0),0)</f>
        <v>5</v>
      </c>
      <c r="U12" s="19">
        <f>ROUNDUP(IF(A12=0,0,IF(A12=0,0,IFERROR(VLOOKUP($A12,'[1]Kilos Asignado del Donante'!A:O,7,0),0))),0)</f>
        <v>22</v>
      </c>
      <c r="V12" s="19">
        <f>IF(A12=0,0,IFERROR(SUMIFS([1]Poblacion!Q:Q,[1]Poblacion!J:J,'MASTER-2025'!A12),0))</f>
        <v>0</v>
      </c>
      <c r="W12" s="20">
        <f>IFERROR(VLOOKUP($A12,'[1]OB Atendidas por Donantes'!A:N,10,0),0)</f>
        <v>9</v>
      </c>
      <c r="X12" s="20">
        <f>ROUNDUP(IF(A12=0,0,IFERROR(VLOOKUP($A12,'[1]Kilos Asignado del Donante'!A:N,5,0),0)),0)</f>
        <v>38</v>
      </c>
      <c r="Y12" s="20">
        <f>IF(A12=0,0,IFERROR(SUMIFS([1]Poblacion!O:O,[1]Poblacion!J:J,'MASTER-2025'!A12),0))</f>
        <v>0</v>
      </c>
      <c r="Z12" s="18">
        <f>IFERROR(VLOOKUP($A12,'[1]OB Atendidas por Donantes'!A:N,6,0),0)</f>
        <v>0</v>
      </c>
      <c r="AA12" s="18">
        <f>ROUNDUP(IF(A12=0,0,IFERROR(VLOOKUP($A12,'[1]Kilos Asignado del Donante'!A:N,11,0),0)),0)</f>
        <v>0</v>
      </c>
      <c r="AB12" s="18">
        <f>IF(A12=0,0,IFERROR(SUMIFS([1]Poblacion!U:U,[1]Poblacion!J:J,'MASTER-2025'!A12),0))</f>
        <v>0</v>
      </c>
      <c r="AC12" s="19">
        <f>IFERROR(VLOOKUP($A12,'[1]OB Atendidas por Donantes'!A:N,7,0),0)</f>
        <v>3</v>
      </c>
      <c r="AD12" s="19">
        <f>ROUNDUP(IF(A12=0,0,IFERROR(VLOOKUP($A12,'[1]Kilos Asignado del Donante'!A:N,8,0),0)),0)</f>
        <v>38</v>
      </c>
      <c r="AE12" s="19">
        <f>IF(A12=0,0,IFERROR(SUMIFS([1]Poblacion!R:R,[1]Poblacion!J:J,'MASTER-2025'!A12),0))</f>
        <v>0</v>
      </c>
      <c r="AF12" s="20">
        <f>IFERROR(VLOOKUP($A12,'[1]OB Atendidas por Donantes'!A:N,8,0),0)</f>
        <v>1</v>
      </c>
      <c r="AG12" s="20">
        <f>ROUNDUP(IF(A12=0,0,IFERROR(VLOOKUP($A12,'[1]Kilos Asignado del Donante'!A:N,6,0),0)),0)</f>
        <v>4</v>
      </c>
      <c r="AH12" s="20">
        <f>IF(A12=0,0,IFERROR(SUMIFS([1]Poblacion!P:P,[1]Poblacion!J:J,'MASTER-2025'!A12),0))</f>
        <v>0</v>
      </c>
      <c r="AI12" s="18">
        <f>IFERROR(VLOOKUP($A12,'[1]OB Atendidas por Donantes'!A:N,9,0),0)</f>
        <v>0</v>
      </c>
      <c r="AJ12" s="18">
        <f>ROUNDUP(IF(A12=0,0,IFERROR(VLOOKUP($A12,'[1]Kilos Asignado del Donante'!A:N,12,0),0)),0)</f>
        <v>0</v>
      </c>
      <c r="AK12" s="18">
        <f>IF(A12=0,0,IFERROR(SUMIFS([1]Poblacion!V:V,[1]Poblacion!J:J,'MASTER-2025'!A12),0))</f>
        <v>0</v>
      </c>
      <c r="AL12" s="19">
        <f>IFERROR(VLOOKUP($A12,'[1]OB Atendidas por Donantes'!A:N,16,0),0)</f>
        <v>0</v>
      </c>
      <c r="AM12" s="19">
        <f>ROUNDUP(IF(A12=0,0,IFERROR(VLOOKUP($A12,'[1]Kilos Asignado del Donante'!A:O,16,0),0)),0)</f>
        <v>0</v>
      </c>
      <c r="AN12" s="19">
        <f>IF(A12=0,0,IFERROR(SUMIFS([1]Poblacion!Z:Z,[1]Poblacion!J:J,'MASTER-2025'!A12),0))</f>
        <v>0</v>
      </c>
      <c r="AO12" s="20">
        <f>IFERROR(VLOOKUP($A12,'[1]OB Atendidas por Donantes'!A:N,11,0),0)</f>
        <v>0</v>
      </c>
      <c r="AP12" s="20">
        <f>ROUNDUP(IF(A12=0,0,IFERROR(VLOOKUP($A12,'[1]Kilos Asignado del Donante'!A:N,13,0),0)),0)</f>
        <v>0</v>
      </c>
      <c r="AQ12" s="20">
        <f>IF(A12=0,0,IFERROR(SUMIFS([1]Poblacion!W:W,[1]Poblacion!J:J,'MASTER-2025'!A12),0))</f>
        <v>0</v>
      </c>
      <c r="AR12" s="18">
        <f>IFERROR(VLOOKUP($A12,'[1]OB Atendidas por Donantes'!A:N,5,0),0)</f>
        <v>0</v>
      </c>
      <c r="AS12" s="18">
        <f>ROUNDUP(IF(A12=0,0,IFERROR(VLOOKUP($A12,'[1]Kilos Asignado del Donante'!A:N,10,0),0)),0)</f>
        <v>0</v>
      </c>
      <c r="AT12" s="18">
        <f>IF(A12=0,0,IFERROR(SUMIFS([1]Poblacion!T:T,[1]Poblacion!J:J,'MASTER-2025'!A12),0))</f>
        <v>0</v>
      </c>
      <c r="AU12" s="19">
        <f>IFERROR(VLOOKUP($A12,'[1]OB Atendidas por Donantes'!A:N,13,0),0)</f>
        <v>0</v>
      </c>
      <c r="AV12" s="19">
        <f>ROUNDUP(IF(A12=0,0,IFERROR(VLOOKUP($A12,'[1]Kilos Asignado del Donante'!A:N,14,0),0)),0)</f>
        <v>0</v>
      </c>
      <c r="AW12" s="19">
        <f>IF(A12=0,0,IFERROR(SUMIFS([1]Poblacion!X:X,[1]Poblacion!J:J,'MASTER-2025'!A12),0))</f>
        <v>0</v>
      </c>
      <c r="AX12" s="20">
        <f>IFERROR(VLOOKUP($A12,'[1]OB Atendidas por Donantes'!A:N,16,0),0)</f>
        <v>0</v>
      </c>
      <c r="AY12" s="20">
        <f>ROUNDUP(IF(A12=0,0,IFERROR(VLOOKUP($A12,'[1]Kilos Asignado del Donante'!A:O,16,0),0)),0)</f>
        <v>0</v>
      </c>
      <c r="AZ12" s="20">
        <f>IF(A12=0,0,IFERROR(SUMIFS([1]Poblacion!Y:Y,[1]Poblacion!J:J,'MASTER-2025'!A12),0))</f>
        <v>0</v>
      </c>
      <c r="BA12" s="21">
        <f t="shared" ref="BA12:BA75" si="15">+H12+K12+N12+Q12+T12+W12+Z12+AC12+AF12+AI12+AL12+AO12+AR12+AU12+AX12</f>
        <v>64</v>
      </c>
      <c r="BB12" s="21">
        <f>INT(I12+L12+O12+R12+U12+X12+AA12+AD12+AG12+AJ12+AM12+AP12+AS12+AV12+AY12)</f>
        <v>350</v>
      </c>
      <c r="BC12" s="21">
        <f t="shared" ref="BC12:BC15" si="16">ROUND(I12+L12+O12+R12+U12,0)</f>
        <v>270</v>
      </c>
      <c r="BD12" s="21">
        <f t="shared" ref="BD12:BD24" si="17">IF(A12=0,0,(+J12+M12+P12+S12+V12+Y12+AB12+AE12+AH12+AK12+AN12+AQ12+AT12+AW12+AZ12))</f>
        <v>0</v>
      </c>
      <c r="BE12" s="22" t="e">
        <f>IF(A12=0,0,SUMIFS([1]Poblacion!C:C,[1]Poblacion!A:A,'MASTER-2025'!A12))</f>
        <v>#VALUE!</v>
      </c>
      <c r="BF12" s="22" t="e">
        <f>IF(A12=0,0,SUMIFS([1]Poblacion!D:D,[1]Poblacion!A:A,'MASTER-2025'!A12))</f>
        <v>#VALUE!</v>
      </c>
      <c r="BG12" s="22" t="e">
        <f>IF(A12=0,0,SUMIFS([1]Poblacion!E:E,[1]Poblacion!A:A,'MASTER-2025'!A12))</f>
        <v>#VALUE!</v>
      </c>
      <c r="BH12" s="22" t="e">
        <f>IF(A12=0,0,SUMIFS([1]Poblacion!F:F,[1]Poblacion!A:A,'MASTER-2025'!A12))</f>
        <v>#VALUE!</v>
      </c>
      <c r="BI12" s="22" t="e">
        <f t="shared" ref="BI12:BI75" si="18">+BF12+BG12+BH12</f>
        <v>#VALUE!</v>
      </c>
      <c r="BJ12" s="23" t="e">
        <f t="shared" si="7"/>
        <v>#VALUE!</v>
      </c>
      <c r="BK12" s="22" t="e">
        <f>IF(A12=0,0,SUMIFS([1]Poblacion!G:G,[1]Poblacion!A:A,'MASTER-2025'!A12))</f>
        <v>#VALUE!</v>
      </c>
      <c r="BL12" s="24" cm="1">
        <f t="array" ref="BL12:BW12">IFERROR(VLOOKUP(A12,'[1]Acum-OB-kg-pob-25'!A:AQ,{3,4,5,6,7,8,9,10,11,12,13,14},0),0)</f>
        <v>77</v>
      </c>
      <c r="BM12" s="24">
        <v>62</v>
      </c>
      <c r="BN12" s="24">
        <v>64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24">
        <v>0</v>
      </c>
      <c r="BU12" s="24">
        <v>0</v>
      </c>
      <c r="BV12" s="24">
        <v>0</v>
      </c>
      <c r="BW12" s="24">
        <v>0</v>
      </c>
      <c r="BX12" s="24">
        <f t="shared" si="8"/>
        <v>203</v>
      </c>
      <c r="BY12" s="25" cm="1">
        <f t="array" ref="BY12:CJ12">IFERROR(VLOOKUP(A12,'[1]Acum-OB-kg-pob-25'!A:AQ,{17,18,19,20,21,22,23,24,25,26,27,28},0),0)</f>
        <v>492</v>
      </c>
      <c r="BZ12" s="25">
        <v>340</v>
      </c>
      <c r="CA12" s="25">
        <v>446</v>
      </c>
      <c r="CB12" s="25">
        <v>0</v>
      </c>
      <c r="CC12" s="25">
        <v>0</v>
      </c>
      <c r="CD12" s="25">
        <v>0</v>
      </c>
      <c r="CE12" s="25">
        <v>0</v>
      </c>
      <c r="CF12" s="25">
        <v>0</v>
      </c>
      <c r="CG12" s="25">
        <v>0</v>
      </c>
      <c r="CH12" s="25">
        <v>0</v>
      </c>
      <c r="CI12" s="25">
        <v>0</v>
      </c>
      <c r="CJ12" s="25">
        <v>0</v>
      </c>
      <c r="CK12" s="25">
        <f t="shared" si="9"/>
        <v>1278</v>
      </c>
      <c r="CL12" s="26" cm="1">
        <f t="array" ref="CL12:CW12">IFERROR(VLOOKUP(A12,'[1]Acum-OB-kg-pob-25'!A:AQ,{31,32,33,34,35,36,37,38,39,40,41,42},0),0)</f>
        <v>22206</v>
      </c>
      <c r="CM12" s="26">
        <v>14083</v>
      </c>
      <c r="CN12" s="26">
        <v>21155</v>
      </c>
      <c r="CO12" s="26">
        <v>0</v>
      </c>
      <c r="CP12" s="26">
        <v>0</v>
      </c>
      <c r="CQ12" s="26">
        <v>0</v>
      </c>
      <c r="CR12" s="26">
        <v>0</v>
      </c>
      <c r="CS12" s="26">
        <v>0</v>
      </c>
      <c r="CT12" s="26">
        <v>0</v>
      </c>
      <c r="CU12" s="26">
        <v>0</v>
      </c>
      <c r="CV12" s="26">
        <v>0</v>
      </c>
      <c r="CW12" s="26">
        <v>0</v>
      </c>
      <c r="CX12" s="26">
        <f t="shared" si="10"/>
        <v>57444</v>
      </c>
      <c r="CY12" s="14" t="str">
        <f>IF(A12=0,0,IFERROR(VLOOKUP(A12,'[1]Info Donantes'!C:F,2,0),"Sin Contacto"))</f>
        <v>Nelva Santos</v>
      </c>
      <c r="CZ12" s="14" t="str">
        <f>IF(A12=0,0,IFERROR(VLOOKUP(A12,'[1]Info Donantes'!C:F,3,0),"Sin Correo"))</f>
        <v>nelva.santos@franpan.com</v>
      </c>
      <c r="DA12" s="14" t="str">
        <f>IF(A12=0,0,IFERROR(VLOOKUP(A12,'[1]Info Donantes'!C:F,4,0),"Sin Telefono"))</f>
        <v>300-5732</v>
      </c>
      <c r="DB12" s="14" t="str">
        <f>IF(A12=0,0,"Reporte de Trazabiidad"&amp;" - "&amp;'[1]Resumen Donantes'!$C$2&amp;" - "&amp;A12&amp;"")</f>
        <v>Reporte de Trazabiidad -  - FRANQUICIAS PANAMEÑAS</v>
      </c>
    </row>
    <row r="13" spans="1:106" x14ac:dyDescent="0.55000000000000004">
      <c r="A13" s="14" t="s">
        <v>117</v>
      </c>
      <c r="B13" s="15">
        <f>INT(IFERROR(VLOOKUP(A13,'[1]Resumen Donantes'!C:F,3,0),0))</f>
        <v>0</v>
      </c>
      <c r="C13" s="15">
        <f>INT(ROUND(IFERROR(VLOOKUP(A13,'[1]Resumen Donantes'!C:F,4,0),0),1))</f>
        <v>15</v>
      </c>
      <c r="D13" s="16">
        <f t="shared" ref="D13:D76" si="19">INT(ROUND(C13-B13,1))</f>
        <v>15</v>
      </c>
      <c r="E13" s="17" t="str">
        <f t="shared" ref="E13:E76" si="20">IF(A13=0,"",TEXT((IFERROR(D13/C13,0)),"0.00%"))</f>
        <v>100.00%</v>
      </c>
      <c r="F13" s="17" t="str">
        <f t="shared" ref="F13:F76" si="21">IF(A13=0,"",TEXT((IFERROR(B13/C13,0)),"0.0%"))</f>
        <v>0.0%</v>
      </c>
      <c r="G13" s="15">
        <f t="shared" ref="G13:G24" si="22">INT(D13*3)</f>
        <v>45</v>
      </c>
      <c r="H13" s="18"/>
      <c r="I13" s="18">
        <f>IFERROR(VLOOKUP(A13,'[1]Lot All by Part'!T:Y,6,0),0)</f>
        <v>0</v>
      </c>
      <c r="J13" s="18"/>
      <c r="K13" s="19">
        <f>IFERROR(VLOOKUP($A13,'[1]OB Atendidas por Donantes'!A:N,3,0),0)</f>
        <v>0</v>
      </c>
      <c r="L13" s="19">
        <f>ROUNDUP(IF(A13=0,0,IFERROR(VLOOKUP($A13,'[1]Kilos Asignado del Donante'!A:O,3,0),0)),0)</f>
        <v>0</v>
      </c>
      <c r="M13" s="19">
        <f>IF(A13=0,0,IFERROR(SUMIFS([1]Poblacion!M:M,[1]Poblacion!J:J,'MASTER-2025'!A13),0))</f>
        <v>0</v>
      </c>
      <c r="N13" s="20">
        <f>IFERROR(VLOOKUP($A13,'[1]OB Atendidas por Donantes'!A:N,4,0),0)</f>
        <v>3</v>
      </c>
      <c r="O13" s="20">
        <f>ROUNDUP(IF(A13=0,0,IFERROR(VLOOKUP($A13,'[1]Kilos Asignado del Donante'!A:O,4,0),0)),0)</f>
        <v>15</v>
      </c>
      <c r="P13" s="20">
        <f>IF(A13=0,0,IFERROR(SUMIFS([1]Poblacion!N:N,[1]Poblacion!J:J,'MASTER-2025'!A13),0))</f>
        <v>0</v>
      </c>
      <c r="Q13" s="18">
        <f>IFERROR(VLOOKUP($A13,'[1]OB Atendidas por Donantes'!A:N,2,0),0)</f>
        <v>0</v>
      </c>
      <c r="R13" s="18">
        <f>ROUNDUP(ROUND(IF(A13=0,0,IFERROR(VLOOKUP($A13,'[1]Kilos Asignado del Donante'!A:O,9,0),0)),1),0)</f>
        <v>0</v>
      </c>
      <c r="S13" s="18">
        <f>IF(A13=0,0,IFERROR(SUMIFS([1]Poblacion!S:S,[1]Poblacion!J:J,'MASTER-2025'!A13),0))</f>
        <v>0</v>
      </c>
      <c r="T13" s="19">
        <f>IFERROR(VLOOKUP($A13,'[1]OB Atendidas por Donantes'!A:N,12,0),0)</f>
        <v>0</v>
      </c>
      <c r="U13" s="19">
        <f>ROUNDUP(IF(A13=0,0,IF(A13=0,0,IFERROR(VLOOKUP($A13,'[1]Kilos Asignado del Donante'!A:O,7,0),0))),0)</f>
        <v>0</v>
      </c>
      <c r="V13" s="19">
        <f>IF(A13=0,0,IFERROR(SUMIFS([1]Poblacion!Q:Q,[1]Poblacion!J:J,'MASTER-2025'!A13),0))</f>
        <v>0</v>
      </c>
      <c r="W13" s="20">
        <f>IFERROR(VLOOKUP($A13,'[1]OB Atendidas por Donantes'!A:N,10,0),0)</f>
        <v>0</v>
      </c>
      <c r="X13" s="20">
        <f>ROUNDUP(IF(A13=0,0,IFERROR(VLOOKUP($A13,'[1]Kilos Asignado del Donante'!A:N,5,0),0)),0)</f>
        <v>0</v>
      </c>
      <c r="Y13" s="20">
        <f>IF(A13=0,0,IFERROR(SUMIFS([1]Poblacion!O:O,[1]Poblacion!J:J,'MASTER-2025'!A13),0))</f>
        <v>0</v>
      </c>
      <c r="Z13" s="18">
        <f>IFERROR(VLOOKUP($A13,'[1]OB Atendidas por Donantes'!A:N,6,0),0)</f>
        <v>0</v>
      </c>
      <c r="AA13" s="18">
        <f>ROUNDUP(IF(A13=0,0,IFERROR(VLOOKUP($A13,'[1]Kilos Asignado del Donante'!A:N,11,0),0)),0)</f>
        <v>0</v>
      </c>
      <c r="AB13" s="18">
        <f>IF(A13=0,0,IFERROR(SUMIFS([1]Poblacion!U:U,[1]Poblacion!J:J,'MASTER-2025'!A13),0))</f>
        <v>0</v>
      </c>
      <c r="AC13" s="19">
        <f>IFERROR(VLOOKUP($A13,'[1]OB Atendidas por Donantes'!A:N,7,0),0)</f>
        <v>0</v>
      </c>
      <c r="AD13" s="19">
        <f>ROUNDUP(IF(A13=0,0,IFERROR(VLOOKUP($A13,'[1]Kilos Asignado del Donante'!A:N,8,0),0)),0)</f>
        <v>0</v>
      </c>
      <c r="AE13" s="19">
        <f>IF(A13=0,0,IFERROR(SUMIFS([1]Poblacion!R:R,[1]Poblacion!J:J,'MASTER-2025'!A13),0))</f>
        <v>0</v>
      </c>
      <c r="AF13" s="20">
        <f>IFERROR(VLOOKUP($A13,'[1]OB Atendidas por Donantes'!A:N,8,0),0)</f>
        <v>0</v>
      </c>
      <c r="AG13" s="20">
        <f>ROUNDUP(IF(A13=0,0,IFERROR(VLOOKUP($A13,'[1]Kilos Asignado del Donante'!A:N,6,0),0)),0)</f>
        <v>0</v>
      </c>
      <c r="AH13" s="20">
        <f>IF(A13=0,0,IFERROR(SUMIFS([1]Poblacion!P:P,[1]Poblacion!J:J,'MASTER-2025'!A13),0))</f>
        <v>0</v>
      </c>
      <c r="AI13" s="18">
        <f>IFERROR(VLOOKUP($A13,'[1]OB Atendidas por Donantes'!A:N,9,0),0)</f>
        <v>0</v>
      </c>
      <c r="AJ13" s="18">
        <f>ROUNDUP(IF(A13=0,0,IFERROR(VLOOKUP($A13,'[1]Kilos Asignado del Donante'!A:N,12,0),0)),0)</f>
        <v>0</v>
      </c>
      <c r="AK13" s="18">
        <f>IF(A13=0,0,IFERROR(SUMIFS([1]Poblacion!V:V,[1]Poblacion!J:J,'MASTER-2025'!A13),0))</f>
        <v>0</v>
      </c>
      <c r="AL13" s="19">
        <f>IFERROR(VLOOKUP($A13,'[1]OB Atendidas por Donantes'!A:N,16,0),0)</f>
        <v>0</v>
      </c>
      <c r="AM13" s="19">
        <f>ROUNDUP(IF(A13=0,0,IFERROR(VLOOKUP($A13,'[1]Kilos Asignado del Donante'!A:O,16,0),0)),0)</f>
        <v>0</v>
      </c>
      <c r="AN13" s="19">
        <f>IF(A13=0,0,IFERROR(SUMIFS([1]Poblacion!Z:Z,[1]Poblacion!J:J,'MASTER-2025'!A13),0))</f>
        <v>0</v>
      </c>
      <c r="AO13" s="20">
        <f>IFERROR(VLOOKUP($A13,'[1]OB Atendidas por Donantes'!A:N,11,0),0)</f>
        <v>0</v>
      </c>
      <c r="AP13" s="20">
        <f>ROUNDUP(IF(A13=0,0,IFERROR(VLOOKUP($A13,'[1]Kilos Asignado del Donante'!A:N,13,0),0)),0)</f>
        <v>0</v>
      </c>
      <c r="AQ13" s="20">
        <f>IF(A13=0,0,IFERROR(SUMIFS([1]Poblacion!W:W,[1]Poblacion!J:J,'MASTER-2025'!A13),0))</f>
        <v>0</v>
      </c>
      <c r="AR13" s="18">
        <f>IFERROR(VLOOKUP($A13,'[1]OB Atendidas por Donantes'!A:N,5,0),0)</f>
        <v>0</v>
      </c>
      <c r="AS13" s="18">
        <f>ROUNDUP(IF(A13=0,0,IFERROR(VLOOKUP($A13,'[1]Kilos Asignado del Donante'!A:N,10,0),0)),0)</f>
        <v>0</v>
      </c>
      <c r="AT13" s="18">
        <f>IF(A13=0,0,IFERROR(SUMIFS([1]Poblacion!T:T,[1]Poblacion!J:J,'MASTER-2025'!A13),0))</f>
        <v>0</v>
      </c>
      <c r="AU13" s="19">
        <f>IFERROR(VLOOKUP($A13,'[1]OB Atendidas por Donantes'!A:N,13,0),0)</f>
        <v>0</v>
      </c>
      <c r="AV13" s="19">
        <f>ROUNDUP(IF(A13=0,0,IFERROR(VLOOKUP($A13,'[1]Kilos Asignado del Donante'!A:N,14,0),0)),0)</f>
        <v>0</v>
      </c>
      <c r="AW13" s="19">
        <f>IF(A13=0,0,IFERROR(SUMIFS([1]Poblacion!X:X,[1]Poblacion!J:J,'MASTER-2025'!A13),0))</f>
        <v>0</v>
      </c>
      <c r="AX13" s="20">
        <f>IFERROR(VLOOKUP($A13,'[1]OB Atendidas por Donantes'!A:N,16,0),0)</f>
        <v>0</v>
      </c>
      <c r="AY13" s="20">
        <f>ROUNDUP(IF(A13=0,0,IFERROR(VLOOKUP($A13,'[1]Kilos Asignado del Donante'!A:O,16,0),0)),0)</f>
        <v>0</v>
      </c>
      <c r="AZ13" s="20">
        <f>IF(A13=0,0,IFERROR(SUMIFS([1]Poblacion!Y:Y,[1]Poblacion!J:J,'MASTER-2025'!A13),0))</f>
        <v>0</v>
      </c>
      <c r="BA13" s="21">
        <f t="shared" si="15"/>
        <v>3</v>
      </c>
      <c r="BB13" s="21">
        <f t="shared" ref="BB13:BB47" si="23">INT(I13+L13+O13+R13+U13+X13+AA13+AD13+AG13+AJ13+AM13+AP13+AS13+AV13+AY13)</f>
        <v>15</v>
      </c>
      <c r="BC13" s="21">
        <f t="shared" si="16"/>
        <v>15</v>
      </c>
      <c r="BD13" s="21">
        <f t="shared" si="17"/>
        <v>0</v>
      </c>
      <c r="BE13" s="22" t="e">
        <f>IF(A13=0,0,SUMIFS([1]Poblacion!C:C,[1]Poblacion!A:A,'MASTER-2025'!A13))</f>
        <v>#VALUE!</v>
      </c>
      <c r="BF13" s="22" t="e">
        <f>IF(A13=0,0,SUMIFS([1]Poblacion!D:D,[1]Poblacion!A:A,'MASTER-2025'!A13))</f>
        <v>#VALUE!</v>
      </c>
      <c r="BG13" s="22" t="e">
        <f>IF(A13=0,0,SUMIFS([1]Poblacion!E:E,[1]Poblacion!A:A,'MASTER-2025'!A13))</f>
        <v>#VALUE!</v>
      </c>
      <c r="BH13" s="22" t="e">
        <f>IF(A13=0,0,SUMIFS([1]Poblacion!F:F,[1]Poblacion!A:A,'MASTER-2025'!A13))</f>
        <v>#VALUE!</v>
      </c>
      <c r="BI13" s="22" t="e">
        <f t="shared" si="18"/>
        <v>#VALUE!</v>
      </c>
      <c r="BJ13" s="23" t="e">
        <f t="shared" si="7"/>
        <v>#VALUE!</v>
      </c>
      <c r="BK13" s="22" t="e">
        <f>IF(A13=0,0,SUMIFS([1]Poblacion!G:G,[1]Poblacion!A:A,'MASTER-2025'!A13))</f>
        <v>#VALUE!</v>
      </c>
      <c r="BL13" s="24" cm="1">
        <f t="array" ref="BL13:BW13">IFERROR(VLOOKUP(A13,'[1]Acum-OB-kg-pob-25'!A:AQ,{3,4,5,6,7,8,9,10,11,12,13,14},0),0)</f>
        <v>6</v>
      </c>
      <c r="BM13" s="24">
        <v>4</v>
      </c>
      <c r="BN13" s="24">
        <v>3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24">
        <v>0</v>
      </c>
      <c r="BU13" s="24">
        <v>0</v>
      </c>
      <c r="BV13" s="24">
        <v>0</v>
      </c>
      <c r="BW13" s="24">
        <v>0</v>
      </c>
      <c r="BX13" s="24">
        <f t="shared" si="8"/>
        <v>13</v>
      </c>
      <c r="BY13" s="25" cm="1">
        <f t="array" ref="BY13:CJ13">IFERROR(VLOOKUP(A13,'[1]Acum-OB-kg-pob-25'!A:AQ,{17,18,19,20,21,22,23,24,25,26,27,28},0),0)</f>
        <v>11</v>
      </c>
      <c r="BZ13" s="25">
        <v>9</v>
      </c>
      <c r="CA13" s="25">
        <v>15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f t="shared" si="9"/>
        <v>35</v>
      </c>
      <c r="CL13" s="26" cm="1">
        <f t="array" ref="CL13:CW13">IFERROR(VLOOKUP(A13,'[1]Acum-OB-kg-pob-25'!A:AQ,{31,32,33,34,35,36,37,38,39,40,41,42},0),0)</f>
        <v>756</v>
      </c>
      <c r="CM13" s="26">
        <v>782</v>
      </c>
      <c r="CN13" s="26">
        <v>1205</v>
      </c>
      <c r="CO13" s="26">
        <v>0</v>
      </c>
      <c r="CP13" s="26">
        <v>0</v>
      </c>
      <c r="CQ13" s="26">
        <v>0</v>
      </c>
      <c r="CR13" s="26">
        <v>0</v>
      </c>
      <c r="CS13" s="26">
        <v>0</v>
      </c>
      <c r="CT13" s="26">
        <v>0</v>
      </c>
      <c r="CU13" s="26">
        <v>0</v>
      </c>
      <c r="CV13" s="26">
        <v>0</v>
      </c>
      <c r="CW13" s="26">
        <v>0</v>
      </c>
      <c r="CX13" s="26">
        <f t="shared" si="10"/>
        <v>2743</v>
      </c>
      <c r="CY13" s="14">
        <f>IF(A13=0,0,IFERROR(VLOOKUP(A13,'[1]Info Donantes'!C:F,2,0),"Sin Contacto"))</f>
        <v>0</v>
      </c>
      <c r="CZ13" s="14">
        <f>IF(A13=0,0,IFERROR(VLOOKUP(A13,'[1]Info Donantes'!C:F,3,0),"Sin Correo"))</f>
        <v>0</v>
      </c>
      <c r="DA13" s="14">
        <f>IF(A13=0,0,IFERROR(VLOOKUP(A13,'[1]Info Donantes'!C:F,4,0),"Sin Telefono"))</f>
        <v>0</v>
      </c>
      <c r="DB13" s="14" t="str">
        <f>IF(A13=0,0,"Reporte de Trazabiidad"&amp;" - "&amp;'[1]Resumen Donantes'!$C$2&amp;" - "&amp;A13&amp;"")</f>
        <v>Reporte de Trazabiidad -  - GENTILE - G &amp; H. S.A.</v>
      </c>
    </row>
    <row r="14" spans="1:106" x14ac:dyDescent="0.55000000000000004">
      <c r="A14" s="14" t="s">
        <v>118</v>
      </c>
      <c r="B14" s="15">
        <f>INT(IFERROR(VLOOKUP(A14,'[1]Resumen Donantes'!C:F,3,0),0))</f>
        <v>4</v>
      </c>
      <c r="C14" s="15">
        <f>INT(ROUND(IFERROR(VLOOKUP(A14,'[1]Resumen Donantes'!C:F,4,0),0),1))</f>
        <v>1797</v>
      </c>
      <c r="D14" s="16">
        <f t="shared" si="19"/>
        <v>1793</v>
      </c>
      <c r="E14" s="17" t="str">
        <f t="shared" si="20"/>
        <v>99.78%</v>
      </c>
      <c r="F14" s="17" t="str">
        <f t="shared" si="21"/>
        <v>0.2%</v>
      </c>
      <c r="G14" s="15">
        <f t="shared" si="22"/>
        <v>5379</v>
      </c>
      <c r="H14" s="18"/>
      <c r="I14" s="18">
        <f>IFERROR(VLOOKUP(A14,'[1]Lot All by Part'!T:Y,6,0),0)</f>
        <v>0</v>
      </c>
      <c r="J14" s="18"/>
      <c r="K14" s="19">
        <f>IFERROR(VLOOKUP($A14,'[1]OB Atendidas por Donantes'!A:N,3,0),0)</f>
        <v>13</v>
      </c>
      <c r="L14" s="19">
        <f>ROUNDUP(IF(A14=0,0,IFERROR(VLOOKUP($A14,'[1]Kilos Asignado del Donante'!A:O,3,0),0)),0)</f>
        <v>97</v>
      </c>
      <c r="M14" s="19">
        <f>IF(A14=0,0,IFERROR(SUMIFS([1]Poblacion!M:M,[1]Poblacion!J:J,'MASTER-2025'!A14),0))</f>
        <v>0</v>
      </c>
      <c r="N14" s="20">
        <f>IFERROR(VLOOKUP($A14,'[1]OB Atendidas por Donantes'!A:N,4,0),0)</f>
        <v>18</v>
      </c>
      <c r="O14" s="20">
        <f>ROUNDUP(IF(A14=0,0,IFERROR(VLOOKUP($A14,'[1]Kilos Asignado del Donante'!A:O,4,0),0)),0)</f>
        <v>117</v>
      </c>
      <c r="P14" s="20">
        <f>IF(A14=0,0,IFERROR(SUMIFS([1]Poblacion!N:N,[1]Poblacion!J:J,'MASTER-2025'!A14),0))</f>
        <v>0</v>
      </c>
      <c r="Q14" s="18">
        <f>IFERROR(VLOOKUP($A14,'[1]OB Atendidas por Donantes'!A:N,2,0),0)</f>
        <v>4</v>
      </c>
      <c r="R14" s="18">
        <f>ROUNDUP(ROUND(IF(A14=0,0,IFERROR(VLOOKUP($A14,'[1]Kilos Asignado del Donante'!A:O,9,0),0)),1),0)</f>
        <v>13</v>
      </c>
      <c r="S14" s="18">
        <f>IF(A14=0,0,IFERROR(SUMIFS([1]Poblacion!S:S,[1]Poblacion!J:J,'MASTER-2025'!A14),0))</f>
        <v>0</v>
      </c>
      <c r="T14" s="19">
        <f>IFERROR(VLOOKUP($A14,'[1]OB Atendidas por Donantes'!A:N,12,0),0)</f>
        <v>0</v>
      </c>
      <c r="U14" s="19">
        <f>ROUNDUP(IF(A14=0,0,IF(A14=0,0,IFERROR(VLOOKUP($A14,'[1]Kilos Asignado del Donante'!A:O,7,0),0))),0)</f>
        <v>0</v>
      </c>
      <c r="V14" s="19">
        <f>IF(A14=0,0,IFERROR(SUMIFS([1]Poblacion!Q:Q,[1]Poblacion!J:J,'MASTER-2025'!A14),0))</f>
        <v>0</v>
      </c>
      <c r="W14" s="20">
        <f>IFERROR(VLOOKUP($A14,'[1]OB Atendidas por Donantes'!A:N,10,0),0)</f>
        <v>10</v>
      </c>
      <c r="X14" s="20">
        <f>ROUNDUP(IF(A14=0,0,IFERROR(VLOOKUP($A14,'[1]Kilos Asignado del Donante'!A:N,5,0),0)),0)</f>
        <v>58</v>
      </c>
      <c r="Y14" s="20">
        <f>IF(A14=0,0,IFERROR(SUMIFS([1]Poblacion!O:O,[1]Poblacion!J:J,'MASTER-2025'!A14),0))</f>
        <v>0</v>
      </c>
      <c r="Z14" s="18">
        <f>IFERROR(VLOOKUP($A14,'[1]OB Atendidas por Donantes'!A:N,6,0),0)</f>
        <v>0</v>
      </c>
      <c r="AA14" s="18">
        <f>ROUNDUP(IF(A14=0,0,IFERROR(VLOOKUP($A14,'[1]Kilos Asignado del Donante'!A:N,11,0),0)),0)</f>
        <v>0</v>
      </c>
      <c r="AB14" s="18">
        <f>IF(A14=0,0,IFERROR(SUMIFS([1]Poblacion!U:U,[1]Poblacion!J:J,'MASTER-2025'!A14),0))</f>
        <v>0</v>
      </c>
      <c r="AC14" s="19">
        <f>IFERROR(VLOOKUP($A14,'[1]OB Atendidas por Donantes'!A:N,7,0),0)</f>
        <v>2</v>
      </c>
      <c r="AD14" s="19">
        <f>ROUNDUP(IF(A14=0,0,IFERROR(VLOOKUP($A14,'[1]Kilos Asignado del Donante'!A:N,8,0),0)),0)</f>
        <v>28</v>
      </c>
      <c r="AE14" s="19">
        <f>IF(A14=0,0,IFERROR(SUMIFS([1]Poblacion!R:R,[1]Poblacion!J:J,'MASTER-2025'!A14),0))</f>
        <v>0</v>
      </c>
      <c r="AF14" s="20">
        <f>IFERROR(VLOOKUP($A14,'[1]OB Atendidas por Donantes'!A:N,8,0),0)</f>
        <v>1</v>
      </c>
      <c r="AG14" s="20">
        <f>ROUNDUP(IF(A14=0,0,IFERROR(VLOOKUP($A14,'[1]Kilos Asignado del Donante'!A:N,6,0),0)),0)</f>
        <v>4</v>
      </c>
      <c r="AH14" s="20">
        <f>IF(A14=0,0,IFERROR(SUMIFS([1]Poblacion!P:P,[1]Poblacion!J:J,'MASTER-2025'!A14),0))</f>
        <v>0</v>
      </c>
      <c r="AI14" s="18">
        <f>IFERROR(VLOOKUP($A14,'[1]OB Atendidas por Donantes'!A:N,9,0),0)</f>
        <v>0</v>
      </c>
      <c r="AJ14" s="18">
        <f>ROUNDUP(IF(A14=0,0,IFERROR(VLOOKUP($A14,'[1]Kilos Asignado del Donante'!A:N,12,0),0)),0)</f>
        <v>0</v>
      </c>
      <c r="AK14" s="18">
        <f>IF(A14=0,0,IFERROR(SUMIFS([1]Poblacion!V:V,[1]Poblacion!J:J,'MASTER-2025'!A14),0))</f>
        <v>0</v>
      </c>
      <c r="AL14" s="19">
        <f>IFERROR(VLOOKUP($A14,'[1]OB Atendidas por Donantes'!A:N,16,0),0)</f>
        <v>0</v>
      </c>
      <c r="AM14" s="19">
        <f>ROUNDUP(IF(A14=0,0,IFERROR(VLOOKUP($A14,'[1]Kilos Asignado del Donante'!A:O,16,0),0)),0)</f>
        <v>0</v>
      </c>
      <c r="AN14" s="19">
        <f>IF(A14=0,0,IFERROR(SUMIFS([1]Poblacion!Z:Z,[1]Poblacion!J:J,'MASTER-2025'!A14),0))</f>
        <v>0</v>
      </c>
      <c r="AO14" s="20">
        <f>IFERROR(VLOOKUP($A14,'[1]OB Atendidas por Donantes'!A:N,11,0),0)</f>
        <v>0</v>
      </c>
      <c r="AP14" s="20">
        <f>ROUNDUP(IF(A14=0,0,IFERROR(VLOOKUP($A14,'[1]Kilos Asignado del Donante'!A:N,13,0),0)),0)</f>
        <v>0</v>
      </c>
      <c r="AQ14" s="20">
        <f>IF(A14=0,0,IFERROR(SUMIFS([1]Poblacion!W:W,[1]Poblacion!J:J,'MASTER-2025'!A14),0))</f>
        <v>0</v>
      </c>
      <c r="AR14" s="18">
        <f>IFERROR(VLOOKUP($A14,'[1]OB Atendidas por Donantes'!A:N,5,0),0)</f>
        <v>0</v>
      </c>
      <c r="AS14" s="18">
        <f>ROUNDUP(IF(A14=0,0,IFERROR(VLOOKUP($A14,'[1]Kilos Asignado del Donante'!A:N,10,0),0)),0)</f>
        <v>0</v>
      </c>
      <c r="AT14" s="18">
        <f>IF(A14=0,0,IFERROR(SUMIFS([1]Poblacion!T:T,[1]Poblacion!J:J,'MASTER-2025'!A14),0))</f>
        <v>0</v>
      </c>
      <c r="AU14" s="19">
        <f>IFERROR(VLOOKUP($A14,'[1]OB Atendidas por Donantes'!A:N,13,0),0)</f>
        <v>0</v>
      </c>
      <c r="AV14" s="19">
        <f>ROUNDUP(IF(A14=0,0,IFERROR(VLOOKUP($A14,'[1]Kilos Asignado del Donante'!A:N,14,0),0)),0)</f>
        <v>0</v>
      </c>
      <c r="AW14" s="19">
        <f>IF(A14=0,0,IFERROR(SUMIFS([1]Poblacion!X:X,[1]Poblacion!J:J,'MASTER-2025'!A14),0))</f>
        <v>0</v>
      </c>
      <c r="AX14" s="20">
        <f>IFERROR(VLOOKUP($A14,'[1]OB Atendidas por Donantes'!A:N,16,0),0)</f>
        <v>0</v>
      </c>
      <c r="AY14" s="20">
        <f>ROUNDUP(IF(A14=0,0,IFERROR(VLOOKUP($A14,'[1]Kilos Asignado del Donante'!A:O,16,0),0)),0)</f>
        <v>0</v>
      </c>
      <c r="AZ14" s="20">
        <f>IF(A14=0,0,IFERROR(SUMIFS([1]Poblacion!Y:Y,[1]Poblacion!J:J,'MASTER-2025'!A14),0))</f>
        <v>0</v>
      </c>
      <c r="BA14" s="21">
        <f t="shared" si="15"/>
        <v>48</v>
      </c>
      <c r="BB14" s="21">
        <f t="shared" si="23"/>
        <v>317</v>
      </c>
      <c r="BC14" s="21">
        <f t="shared" si="16"/>
        <v>227</v>
      </c>
      <c r="BD14" s="21">
        <f t="shared" si="17"/>
        <v>0</v>
      </c>
      <c r="BE14" s="22" t="e">
        <f>IF(A14=0,0,SUMIFS([1]Poblacion!C:C,[1]Poblacion!A:A,'MASTER-2025'!A14))</f>
        <v>#VALUE!</v>
      </c>
      <c r="BF14" s="22" t="e">
        <f>IF(A14=0,0,SUMIFS([1]Poblacion!D:D,[1]Poblacion!A:A,'MASTER-2025'!A14))</f>
        <v>#VALUE!</v>
      </c>
      <c r="BG14" s="22" t="e">
        <f>IF(A14=0,0,SUMIFS([1]Poblacion!E:E,[1]Poblacion!A:A,'MASTER-2025'!A14))</f>
        <v>#VALUE!</v>
      </c>
      <c r="BH14" s="22" t="e">
        <f>IF(A14=0,0,SUMIFS([1]Poblacion!F:F,[1]Poblacion!A:A,'MASTER-2025'!A14))</f>
        <v>#VALUE!</v>
      </c>
      <c r="BI14" s="22" t="e">
        <f t="shared" si="18"/>
        <v>#VALUE!</v>
      </c>
      <c r="BJ14" s="23" t="e">
        <f t="shared" si="7"/>
        <v>#VALUE!</v>
      </c>
      <c r="BK14" s="22" t="e">
        <f>IF(A14=0,0,SUMIFS([1]Poblacion!G:G,[1]Poblacion!A:A,'MASTER-2025'!A14))</f>
        <v>#VALUE!</v>
      </c>
      <c r="BL14" s="24" cm="1">
        <f t="array" ref="BL14:BW14">IFERROR(VLOOKUP(A14,'[1]Acum-OB-kg-pob-25'!A:AQ,{3,4,5,6,7,8,9,10,11,12,13,14},0),0)</f>
        <v>21</v>
      </c>
      <c r="BM14" s="24">
        <v>34</v>
      </c>
      <c r="BN14" s="24">
        <v>48</v>
      </c>
      <c r="BO14" s="24">
        <v>0</v>
      </c>
      <c r="BP14" s="24">
        <v>0</v>
      </c>
      <c r="BQ14" s="24">
        <v>0</v>
      </c>
      <c r="BR14" s="24">
        <v>0</v>
      </c>
      <c r="BS14" s="24">
        <v>0</v>
      </c>
      <c r="BT14" s="24">
        <v>0</v>
      </c>
      <c r="BU14" s="24">
        <v>0</v>
      </c>
      <c r="BV14" s="24">
        <v>0</v>
      </c>
      <c r="BW14" s="24">
        <v>0</v>
      </c>
      <c r="BX14" s="24">
        <f t="shared" si="8"/>
        <v>103</v>
      </c>
      <c r="BY14" s="25" cm="1">
        <f t="array" ref="BY14:CJ14">IFERROR(VLOOKUP(A14,'[1]Acum-OB-kg-pob-25'!A:AQ,{17,18,19,20,21,22,23,24,25,26,27,28},0),0)</f>
        <v>376</v>
      </c>
      <c r="BZ14" s="25">
        <v>233</v>
      </c>
      <c r="CA14" s="25">
        <v>1797</v>
      </c>
      <c r="CB14" s="25">
        <v>0</v>
      </c>
      <c r="CC14" s="25">
        <v>0</v>
      </c>
      <c r="CD14" s="25">
        <v>0</v>
      </c>
      <c r="CE14" s="25">
        <v>0</v>
      </c>
      <c r="CF14" s="25">
        <v>0</v>
      </c>
      <c r="CG14" s="25">
        <v>0</v>
      </c>
      <c r="CH14" s="25">
        <v>0</v>
      </c>
      <c r="CI14" s="25">
        <v>0</v>
      </c>
      <c r="CJ14" s="25">
        <v>0</v>
      </c>
      <c r="CK14" s="25">
        <f t="shared" si="9"/>
        <v>2406</v>
      </c>
      <c r="CL14" s="26" cm="1">
        <f t="array" ref="CL14:CW14">IFERROR(VLOOKUP(A14,'[1]Acum-OB-kg-pob-25'!A:AQ,{31,32,33,34,35,36,37,38,39,40,41,42},0),0)</f>
        <v>5593</v>
      </c>
      <c r="CM14" s="26">
        <v>7802</v>
      </c>
      <c r="CN14" s="26">
        <v>12950</v>
      </c>
      <c r="CO14" s="26">
        <v>0</v>
      </c>
      <c r="CP14" s="26">
        <v>0</v>
      </c>
      <c r="CQ14" s="26">
        <v>0</v>
      </c>
      <c r="CR14" s="26">
        <v>0</v>
      </c>
      <c r="CS14" s="26">
        <v>0</v>
      </c>
      <c r="CT14" s="26">
        <v>0</v>
      </c>
      <c r="CU14" s="26">
        <v>0</v>
      </c>
      <c r="CV14" s="26">
        <v>0</v>
      </c>
      <c r="CW14" s="26">
        <v>0</v>
      </c>
      <c r="CX14" s="26">
        <f t="shared" si="10"/>
        <v>26345</v>
      </c>
      <c r="CY14" s="14" t="str">
        <f>IF(A14=0,0,IFERROR(VLOOKUP(A14,'[1]Info Donantes'!C:F,2,0),"Sin Contacto"))</f>
        <v>Mariana Victoria</v>
      </c>
      <c r="CZ14" s="14" t="str">
        <f>IF(A14=0,0,IFERROR(VLOOKUP(A14,'[1]Info Donantes'!C:F,3,0),"Sin Correo"))</f>
        <v>mariana.victoria@dicarina.com</v>
      </c>
      <c r="DA14" s="14" t="str">
        <f>IF(A14=0,0,IFERROR(VLOOKUP(A14,'[1]Info Donantes'!C:F,4,0),"Sin Telefono"))</f>
        <v>62 187513</v>
      </c>
      <c r="DB14" s="14" t="str">
        <f>IF(A14=0,0,"Reporte de Trazabiidad"&amp;" - "&amp;'[1]Resumen Donantes'!$C$2&amp;" - "&amp;A14&amp;"")</f>
        <v>Reporte de Trazabiidad -  - GLOBAL PRODUCTS AND LOGISTIC SERVICES, INC. (Dicarina)</v>
      </c>
    </row>
    <row r="15" spans="1:106" x14ac:dyDescent="0.55000000000000004">
      <c r="A15" s="14" t="s">
        <v>119</v>
      </c>
      <c r="B15" s="15">
        <f>INT(IFERROR(VLOOKUP(A15,'[1]Resumen Donantes'!C:F,3,0),0))</f>
        <v>0</v>
      </c>
      <c r="C15" s="15">
        <f>INT(ROUND(IFERROR(VLOOKUP(A15,'[1]Resumen Donantes'!C:F,4,0),0),1))</f>
        <v>125</v>
      </c>
      <c r="D15" s="16">
        <f t="shared" si="19"/>
        <v>125</v>
      </c>
      <c r="E15" s="17" t="str">
        <f t="shared" si="20"/>
        <v>100.00%</v>
      </c>
      <c r="F15" s="17" t="str">
        <f t="shared" si="21"/>
        <v>0.0%</v>
      </c>
      <c r="G15" s="15">
        <f t="shared" si="22"/>
        <v>375</v>
      </c>
      <c r="H15" s="18"/>
      <c r="I15" s="18">
        <f>IFERROR(VLOOKUP(A15,'[1]Lot All by Part'!T:Y,6,0),0)</f>
        <v>0</v>
      </c>
      <c r="J15" s="18"/>
      <c r="K15" s="19">
        <f>IFERROR(VLOOKUP($A15,'[1]OB Atendidas por Donantes'!A:N,3,0),0)</f>
        <v>9</v>
      </c>
      <c r="L15" s="19">
        <f>ROUNDUP(IF(A15=0,0,IFERROR(VLOOKUP($A15,'[1]Kilos Asignado del Donante'!A:O,3,0),0)),0)</f>
        <v>34</v>
      </c>
      <c r="M15" s="19">
        <f>IF(A15=0,0,IFERROR(SUMIFS([1]Poblacion!M:M,[1]Poblacion!J:J,'MASTER-2025'!A15),0))</f>
        <v>0</v>
      </c>
      <c r="N15" s="20">
        <f>IFERROR(VLOOKUP($A15,'[1]OB Atendidas por Donantes'!A:N,4,0),0)</f>
        <v>12</v>
      </c>
      <c r="O15" s="20">
        <f>ROUNDUP(IF(A15=0,0,IFERROR(VLOOKUP($A15,'[1]Kilos Asignado del Donante'!A:O,4,0),0)),0)</f>
        <v>46</v>
      </c>
      <c r="P15" s="20">
        <f>IF(A15=0,0,IFERROR(SUMIFS([1]Poblacion!N:N,[1]Poblacion!J:J,'MASTER-2025'!A15),0))</f>
        <v>0</v>
      </c>
      <c r="Q15" s="18">
        <f>IFERROR(VLOOKUP($A15,'[1]OB Atendidas por Donantes'!A:N,2,0),0)</f>
        <v>1</v>
      </c>
      <c r="R15" s="18">
        <f>ROUNDUP(ROUND(IF(A15=0,0,IFERROR(VLOOKUP($A15,'[1]Kilos Asignado del Donante'!A:O,9,0),0)),1),0)</f>
        <v>2</v>
      </c>
      <c r="S15" s="18">
        <f>IF(A15=0,0,IFERROR(SUMIFS([1]Poblacion!S:S,[1]Poblacion!J:J,'MASTER-2025'!A15),0))</f>
        <v>0</v>
      </c>
      <c r="T15" s="19">
        <f>IFERROR(VLOOKUP($A15,'[1]OB Atendidas por Donantes'!A:N,12,0),0)</f>
        <v>2</v>
      </c>
      <c r="U15" s="19">
        <f>ROUNDUP(IF(A15=0,0,IF(A15=0,0,IFERROR(VLOOKUP($A15,'[1]Kilos Asignado del Donante'!A:O,7,0),0))),0)</f>
        <v>8</v>
      </c>
      <c r="V15" s="19">
        <f>IF(A15=0,0,IFERROR(SUMIFS([1]Poblacion!Q:Q,[1]Poblacion!J:J,'MASTER-2025'!A15),0))</f>
        <v>0</v>
      </c>
      <c r="W15" s="20">
        <f>IFERROR(VLOOKUP($A15,'[1]OB Atendidas por Donantes'!A:N,10,0),0)</f>
        <v>3</v>
      </c>
      <c r="X15" s="20">
        <f>ROUNDUP(IF(A15=0,0,IFERROR(VLOOKUP($A15,'[1]Kilos Asignado del Donante'!A:N,5,0),0)),0)</f>
        <v>9</v>
      </c>
      <c r="Y15" s="20">
        <f>IF(A15=0,0,IFERROR(SUMIFS([1]Poblacion!O:O,[1]Poblacion!J:J,'MASTER-2025'!A15),0))</f>
        <v>0</v>
      </c>
      <c r="Z15" s="18">
        <f>IFERROR(VLOOKUP($A15,'[1]OB Atendidas por Donantes'!A:N,6,0),0)</f>
        <v>0</v>
      </c>
      <c r="AA15" s="18">
        <f>ROUNDUP(IF(A15=0,0,IFERROR(VLOOKUP($A15,'[1]Kilos Asignado del Donante'!A:N,11,0),0)),0)</f>
        <v>0</v>
      </c>
      <c r="AB15" s="18">
        <f>IF(A15=0,0,IFERROR(SUMIFS([1]Poblacion!U:U,[1]Poblacion!J:J,'MASTER-2025'!A15),0))</f>
        <v>0</v>
      </c>
      <c r="AC15" s="19">
        <f>IFERROR(VLOOKUP($A15,'[1]OB Atendidas por Donantes'!A:N,7,0),0)</f>
        <v>1</v>
      </c>
      <c r="AD15" s="19">
        <f>ROUNDUP(IF(A15=0,0,IFERROR(VLOOKUP($A15,'[1]Kilos Asignado del Donante'!A:N,8,0),0)),0)</f>
        <v>6</v>
      </c>
      <c r="AE15" s="19">
        <f>IF(A15=0,0,IFERROR(SUMIFS([1]Poblacion!R:R,[1]Poblacion!J:J,'MASTER-2025'!A15),0))</f>
        <v>0</v>
      </c>
      <c r="AF15" s="20">
        <f>IFERROR(VLOOKUP($A15,'[1]OB Atendidas por Donantes'!A:N,8,0),0)</f>
        <v>0</v>
      </c>
      <c r="AG15" s="20">
        <f>ROUNDUP(IF(A15=0,0,IFERROR(VLOOKUP($A15,'[1]Kilos Asignado del Donante'!A:N,6,0),0)),0)</f>
        <v>0</v>
      </c>
      <c r="AH15" s="20">
        <f>IF(A15=0,0,IFERROR(SUMIFS([1]Poblacion!P:P,[1]Poblacion!J:J,'MASTER-2025'!A15),0))</f>
        <v>0</v>
      </c>
      <c r="AI15" s="18">
        <f>IFERROR(VLOOKUP($A15,'[1]OB Atendidas por Donantes'!A:N,9,0),0)</f>
        <v>0</v>
      </c>
      <c r="AJ15" s="18">
        <f>ROUNDUP(IF(A15=0,0,IFERROR(VLOOKUP($A15,'[1]Kilos Asignado del Donante'!A:N,12,0),0)),0)</f>
        <v>0</v>
      </c>
      <c r="AK15" s="18">
        <f>IF(A15=0,0,IFERROR(SUMIFS([1]Poblacion!V:V,[1]Poblacion!J:J,'MASTER-2025'!A15),0))</f>
        <v>0</v>
      </c>
      <c r="AL15" s="19">
        <f>IFERROR(VLOOKUP($A15,'[1]OB Atendidas por Donantes'!A:N,16,0),0)</f>
        <v>0</v>
      </c>
      <c r="AM15" s="19">
        <f>ROUNDUP(IF(A15=0,0,IFERROR(VLOOKUP($A15,'[1]Kilos Asignado del Donante'!A:O,16,0),0)),0)</f>
        <v>0</v>
      </c>
      <c r="AN15" s="19">
        <f>IF(A15=0,0,IFERROR(SUMIFS([1]Poblacion!Z:Z,[1]Poblacion!J:J,'MASTER-2025'!A15),0))</f>
        <v>0</v>
      </c>
      <c r="AO15" s="20">
        <f>IFERROR(VLOOKUP($A15,'[1]OB Atendidas por Donantes'!A:N,11,0),0)</f>
        <v>0</v>
      </c>
      <c r="AP15" s="20">
        <f>ROUNDUP(IF(A15=0,0,IFERROR(VLOOKUP($A15,'[1]Kilos Asignado del Donante'!A:N,13,0),0)),0)</f>
        <v>0</v>
      </c>
      <c r="AQ15" s="20">
        <f>IF(A15=0,0,IFERROR(SUMIFS([1]Poblacion!W:W,[1]Poblacion!J:J,'MASTER-2025'!A15),0))</f>
        <v>0</v>
      </c>
      <c r="AR15" s="18">
        <f>IFERROR(VLOOKUP($A15,'[1]OB Atendidas por Donantes'!A:N,5,0),0)</f>
        <v>0</v>
      </c>
      <c r="AS15" s="18">
        <f>ROUNDUP(IF(A15=0,0,IFERROR(VLOOKUP($A15,'[1]Kilos Asignado del Donante'!A:N,10,0),0)),0)</f>
        <v>0</v>
      </c>
      <c r="AT15" s="18">
        <f>IF(A15=0,0,IFERROR(SUMIFS([1]Poblacion!T:T,[1]Poblacion!J:J,'MASTER-2025'!A15),0))</f>
        <v>0</v>
      </c>
      <c r="AU15" s="19">
        <f>IFERROR(VLOOKUP($A15,'[1]OB Atendidas por Donantes'!A:N,13,0),0)</f>
        <v>0</v>
      </c>
      <c r="AV15" s="19">
        <f>ROUNDUP(IF(A15=0,0,IFERROR(VLOOKUP($A15,'[1]Kilos Asignado del Donante'!A:N,14,0),0)),0)</f>
        <v>0</v>
      </c>
      <c r="AW15" s="19">
        <f>IF(A15=0,0,IFERROR(SUMIFS([1]Poblacion!X:X,[1]Poblacion!J:J,'MASTER-2025'!A15),0))</f>
        <v>0</v>
      </c>
      <c r="AX15" s="20">
        <f>IFERROR(VLOOKUP($A15,'[1]OB Atendidas por Donantes'!A:N,16,0),0)</f>
        <v>0</v>
      </c>
      <c r="AY15" s="20">
        <f>ROUNDUP(IF(A15=0,0,IFERROR(VLOOKUP($A15,'[1]Kilos Asignado del Donante'!A:O,16,0),0)),0)</f>
        <v>0</v>
      </c>
      <c r="AZ15" s="20">
        <f>IF(A15=0,0,IFERROR(SUMIFS([1]Poblacion!Y:Y,[1]Poblacion!J:J,'MASTER-2025'!A15),0))</f>
        <v>0</v>
      </c>
      <c r="BA15" s="21">
        <f t="shared" si="15"/>
        <v>28</v>
      </c>
      <c r="BB15" s="21">
        <f t="shared" si="23"/>
        <v>105</v>
      </c>
      <c r="BC15" s="21">
        <f t="shared" si="16"/>
        <v>90</v>
      </c>
      <c r="BD15" s="21">
        <f t="shared" si="17"/>
        <v>0</v>
      </c>
      <c r="BE15" s="22" t="e">
        <f>IF(A15=0,0,SUMIFS([1]Poblacion!C:C,[1]Poblacion!A:A,'MASTER-2025'!A15))</f>
        <v>#VALUE!</v>
      </c>
      <c r="BF15" s="22" t="e">
        <f>IF(A15=0,0,SUMIFS([1]Poblacion!D:D,[1]Poblacion!A:A,'MASTER-2025'!A15))</f>
        <v>#VALUE!</v>
      </c>
      <c r="BG15" s="22" t="e">
        <f>IF(A15=0,0,SUMIFS([1]Poblacion!E:E,[1]Poblacion!A:A,'MASTER-2025'!A15))</f>
        <v>#VALUE!</v>
      </c>
      <c r="BH15" s="22" t="e">
        <f>IF(A15=0,0,SUMIFS([1]Poblacion!F:F,[1]Poblacion!A:A,'MASTER-2025'!A15))</f>
        <v>#VALUE!</v>
      </c>
      <c r="BI15" s="22" t="e">
        <f t="shared" si="18"/>
        <v>#VALUE!</v>
      </c>
      <c r="BJ15" s="23" t="e">
        <f t="shared" si="7"/>
        <v>#VALUE!</v>
      </c>
      <c r="BK15" s="22" t="e">
        <f>IF(A15=0,0,SUMIFS([1]Poblacion!G:G,[1]Poblacion!A:A,'MASTER-2025'!A15))</f>
        <v>#VALUE!</v>
      </c>
      <c r="BL15" s="24" cm="1">
        <f t="array" ref="BL15:BW15">IFERROR(VLOOKUP(A15,'[1]Acum-OB-kg-pob-25'!A:AQ,{3,4,5,6,7,8,9,10,11,12,13,14},0),0)</f>
        <v>2</v>
      </c>
      <c r="BM15" s="24">
        <v>20</v>
      </c>
      <c r="BN15" s="24">
        <v>28</v>
      </c>
      <c r="BO15" s="24">
        <v>0</v>
      </c>
      <c r="BP15" s="24">
        <v>0</v>
      </c>
      <c r="BQ15" s="24">
        <v>0</v>
      </c>
      <c r="BR15" s="24">
        <v>0</v>
      </c>
      <c r="BS15" s="24">
        <v>0</v>
      </c>
      <c r="BT15" s="24">
        <v>0</v>
      </c>
      <c r="BU15" s="24">
        <v>0</v>
      </c>
      <c r="BV15" s="24">
        <v>0</v>
      </c>
      <c r="BW15" s="24">
        <v>0</v>
      </c>
      <c r="BX15" s="24">
        <f t="shared" si="8"/>
        <v>50</v>
      </c>
      <c r="BY15" s="25" cm="1">
        <f t="array" ref="BY15:CJ15">IFERROR(VLOOKUP(A15,'[1]Acum-OB-kg-pob-25'!A:AQ,{17,18,19,20,21,22,23,24,25,26,27,28},0),0)</f>
        <v>124</v>
      </c>
      <c r="BZ15" s="25">
        <v>0</v>
      </c>
      <c r="CA15" s="25">
        <v>125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0</v>
      </c>
      <c r="CH15" s="25">
        <v>0</v>
      </c>
      <c r="CI15" s="25">
        <v>0</v>
      </c>
      <c r="CJ15" s="25">
        <v>0</v>
      </c>
      <c r="CK15" s="25">
        <f t="shared" si="9"/>
        <v>249</v>
      </c>
      <c r="CL15" s="26" cm="1">
        <f t="array" ref="CL15:CW15">IFERROR(VLOOKUP(A15,'[1]Acum-OB-kg-pob-25'!A:AQ,{31,32,33,34,35,36,37,38,39,40,41,42},0),0)</f>
        <v>1892</v>
      </c>
      <c r="CM15" s="26">
        <v>7708</v>
      </c>
      <c r="CN15" s="26">
        <v>7178</v>
      </c>
      <c r="CO15" s="26">
        <v>0</v>
      </c>
      <c r="CP15" s="26">
        <v>0</v>
      </c>
      <c r="CQ15" s="26">
        <v>0</v>
      </c>
      <c r="CR15" s="26">
        <v>0</v>
      </c>
      <c r="CS15" s="26">
        <v>0</v>
      </c>
      <c r="CT15" s="26">
        <v>0</v>
      </c>
      <c r="CU15" s="26">
        <v>0</v>
      </c>
      <c r="CV15" s="26">
        <v>0</v>
      </c>
      <c r="CW15" s="26">
        <v>0</v>
      </c>
      <c r="CX15" s="26">
        <f t="shared" si="10"/>
        <v>16778</v>
      </c>
      <c r="CY15" s="14" t="str">
        <f>IF(A15=0,0,IFERROR(VLOOKUP(A15,'[1]Info Donantes'!C:F,2,0),"Sin Contacto"))</f>
        <v>Naresh Camargo</v>
      </c>
      <c r="CZ15" s="14" t="str">
        <f>IF(A15=0,0,IFERROR(VLOOKUP(A15,'[1]Info Donantes'!C:F,3,0),"Sin Correo"))</f>
        <v>naresh.camargo@grupocalesa.com</v>
      </c>
      <c r="DA15" s="14" t="str">
        <f>IF(A15=0,0,IFERROR(VLOOKUP(A15,'[1]Info Donantes'!C:F,4,0),"Sin Telefono"))</f>
        <v>236-1512</v>
      </c>
      <c r="DB15" s="14" t="str">
        <f>IF(A15=0,0,"Reporte de Trazabiidad"&amp;" - "&amp;'[1]Resumen Donantes'!$C$2&amp;" - "&amp;A15&amp;"")</f>
        <v>Reporte de Trazabiidad -  - Grupo Calesa</v>
      </c>
    </row>
    <row r="16" spans="1:106" x14ac:dyDescent="0.55000000000000004">
      <c r="A16" s="14" t="s">
        <v>120</v>
      </c>
      <c r="B16" s="15">
        <f>INT(IFERROR(VLOOKUP(A16,'[1]Resumen Donantes'!C:F,3,0),0))</f>
        <v>227</v>
      </c>
      <c r="C16" s="15">
        <f>INT(ROUND(IFERROR(VLOOKUP(A16,'[1]Resumen Donantes'!C:F,4,0),0),1))</f>
        <v>6400</v>
      </c>
      <c r="D16" s="16">
        <f t="shared" si="19"/>
        <v>6173</v>
      </c>
      <c r="E16" s="17" t="str">
        <f t="shared" si="20"/>
        <v>96.45%</v>
      </c>
      <c r="F16" s="17" t="str">
        <f t="shared" si="21"/>
        <v>3.5%</v>
      </c>
      <c r="G16" s="15">
        <f t="shared" si="22"/>
        <v>18519</v>
      </c>
      <c r="H16" s="18"/>
      <c r="I16" s="18">
        <f>IFERROR(VLOOKUP(A16,'[1]Lot All by Part'!T:Y,6,0),0)</f>
        <v>8</v>
      </c>
      <c r="J16" s="18"/>
      <c r="K16" s="19">
        <f>IFERROR(VLOOKUP($A16,'[1]OB Atendidas por Donantes'!A:N,3,0),0)</f>
        <v>26</v>
      </c>
      <c r="L16" s="19">
        <f>ROUNDUP(IF(A16=0,0,IFERROR(VLOOKUP($A16,'[1]Kilos Asignado del Donante'!A:O,3,0),0)),0)</f>
        <v>1552</v>
      </c>
      <c r="M16" s="19">
        <f>IF(A16=0,0,IFERROR(SUMIFS([1]Poblacion!M:M,[1]Poblacion!J:J,'MASTER-2025'!A16),0))</f>
        <v>0</v>
      </c>
      <c r="N16" s="20">
        <f>IFERROR(VLOOKUP($A16,'[1]OB Atendidas por Donantes'!A:N,4,0),0)</f>
        <v>40</v>
      </c>
      <c r="O16" s="20">
        <f>ROUNDUP(IF(A16=0,0,IFERROR(VLOOKUP($A16,'[1]Kilos Asignado del Donante'!A:O,4,0),0)),0)</f>
        <v>1709</v>
      </c>
      <c r="P16" s="20">
        <f>IF(A16=0,0,IFERROR(SUMIFS([1]Poblacion!N:N,[1]Poblacion!J:J,'MASTER-2025'!A16),0))</f>
        <v>0</v>
      </c>
      <c r="Q16" s="18">
        <f>IFERROR(VLOOKUP($A16,'[1]OB Atendidas por Donantes'!A:N,2,0),0)</f>
        <v>13</v>
      </c>
      <c r="R16" s="18">
        <f>ROUNDUP(ROUND(IF(A16=0,0,IFERROR(VLOOKUP($A16,'[1]Kilos Asignado del Donante'!A:O,9,0),0)),1),0)</f>
        <v>351</v>
      </c>
      <c r="S16" s="18">
        <f>IF(A16=0,0,IFERROR(SUMIFS([1]Poblacion!S:S,[1]Poblacion!J:J,'MASTER-2025'!A16),0))</f>
        <v>0</v>
      </c>
      <c r="T16" s="19">
        <f>IFERROR(VLOOKUP($A16,'[1]OB Atendidas por Donantes'!A:N,12,0),0)</f>
        <v>6</v>
      </c>
      <c r="U16" s="19">
        <f>ROUNDUP(IF(A16=0,0,IF(A16=0,0,IFERROR(VLOOKUP($A16,'[1]Kilos Asignado del Donante'!A:O,7,0),0))),0)</f>
        <v>321</v>
      </c>
      <c r="V16" s="19">
        <f>IF(A16=0,0,IFERROR(SUMIFS([1]Poblacion!Q:Q,[1]Poblacion!J:J,'MASTER-2025'!A16),0))</f>
        <v>0</v>
      </c>
      <c r="W16" s="20">
        <f>IFERROR(VLOOKUP($A16,'[1]OB Atendidas por Donantes'!A:N,10,0),0)</f>
        <v>18</v>
      </c>
      <c r="X16" s="20">
        <f>ROUNDUP(IF(A16=0,0,IFERROR(VLOOKUP($A16,'[1]Kilos Asignado del Donante'!A:N,5,0),0)),0)</f>
        <v>920</v>
      </c>
      <c r="Y16" s="20">
        <f>IF(A16=0,0,IFERROR(SUMIFS([1]Poblacion!O:O,[1]Poblacion!J:J,'MASTER-2025'!A16),0))</f>
        <v>0</v>
      </c>
      <c r="Z16" s="18">
        <f>IFERROR(VLOOKUP($A16,'[1]OB Atendidas por Donantes'!A:N,6,0),0)</f>
        <v>2</v>
      </c>
      <c r="AA16" s="18">
        <f>ROUNDUP(IF(A16=0,0,IFERROR(VLOOKUP($A16,'[1]Kilos Asignado del Donante'!A:N,11,0),0)),0)</f>
        <v>40</v>
      </c>
      <c r="AB16" s="18">
        <f>IF(A16=0,0,IFERROR(SUMIFS([1]Poblacion!U:U,[1]Poblacion!J:J,'MASTER-2025'!A16),0))</f>
        <v>0</v>
      </c>
      <c r="AC16" s="19">
        <f>IFERROR(VLOOKUP($A16,'[1]OB Atendidas por Donantes'!A:N,7,0),0)</f>
        <v>6</v>
      </c>
      <c r="AD16" s="19">
        <f>ROUNDUP(IF(A16=0,0,IFERROR(VLOOKUP($A16,'[1]Kilos Asignado del Donante'!A:N,8,0),0)),0)</f>
        <v>595</v>
      </c>
      <c r="AE16" s="19">
        <f>IF(A16=0,0,IFERROR(SUMIFS([1]Poblacion!R:R,[1]Poblacion!J:J,'MASTER-2025'!A16),0))</f>
        <v>0</v>
      </c>
      <c r="AF16" s="20">
        <f>IFERROR(VLOOKUP($A16,'[1]OB Atendidas por Donantes'!A:N,8,0),0)</f>
        <v>3</v>
      </c>
      <c r="AG16" s="20">
        <f>ROUNDUP(IF(A16=0,0,IFERROR(VLOOKUP($A16,'[1]Kilos Asignado del Donante'!A:N,6,0),0)),0)</f>
        <v>74</v>
      </c>
      <c r="AH16" s="20">
        <f>IF(A16=0,0,IFERROR(SUMIFS([1]Poblacion!P:P,[1]Poblacion!J:J,'MASTER-2025'!A16),0))</f>
        <v>0</v>
      </c>
      <c r="AI16" s="18">
        <f>IFERROR(VLOOKUP($A16,'[1]OB Atendidas por Donantes'!A:N,9,0),0)</f>
        <v>3</v>
      </c>
      <c r="AJ16" s="18">
        <f>ROUNDUP(IF(A16=0,0,IFERROR(VLOOKUP($A16,'[1]Kilos Asignado del Donante'!A:N,12,0),0)),0)</f>
        <v>118</v>
      </c>
      <c r="AK16" s="18">
        <f>IF(A16=0,0,IFERROR(SUMIFS([1]Poblacion!V:V,[1]Poblacion!J:J,'MASTER-2025'!A16),0))</f>
        <v>0</v>
      </c>
      <c r="AL16" s="19">
        <f>IFERROR(VLOOKUP($A16,'[1]OB Atendidas por Donantes'!A:N,16,0),0)</f>
        <v>0</v>
      </c>
      <c r="AM16" s="19">
        <f>ROUNDUP(IF(A16=0,0,IFERROR(VLOOKUP($A16,'[1]Kilos Asignado del Donante'!A:O,16,0),0)),0)</f>
        <v>0</v>
      </c>
      <c r="AN16" s="19">
        <f>IF(A16=0,0,IFERROR(SUMIFS([1]Poblacion!Z:Z,[1]Poblacion!J:J,'MASTER-2025'!A16),0))</f>
        <v>0</v>
      </c>
      <c r="AO16" s="20">
        <f>IFERROR(VLOOKUP($A16,'[1]OB Atendidas por Donantes'!A:N,11,0),0)</f>
        <v>2</v>
      </c>
      <c r="AP16" s="20">
        <f>ROUNDUP(IF(A16=0,0,IFERROR(VLOOKUP($A16,'[1]Kilos Asignado del Donante'!A:N,13,0),0)),0)</f>
        <v>72</v>
      </c>
      <c r="AQ16" s="20">
        <f>IF(A16=0,0,IFERROR(SUMIFS([1]Poblacion!W:W,[1]Poblacion!J:J,'MASTER-2025'!A16),0))</f>
        <v>0</v>
      </c>
      <c r="AR16" s="18">
        <f>IFERROR(VLOOKUP($A16,'[1]OB Atendidas por Donantes'!A:N,5,0),0)</f>
        <v>0</v>
      </c>
      <c r="AS16" s="18">
        <f>ROUNDUP(IF(A16=0,0,IFERROR(VLOOKUP($A16,'[1]Kilos Asignado del Donante'!A:N,10,0),0)),0)</f>
        <v>0</v>
      </c>
      <c r="AT16" s="18">
        <f>IF(A16=0,0,IFERROR(SUMIFS([1]Poblacion!T:T,[1]Poblacion!J:J,'MASTER-2025'!A16),0))</f>
        <v>0</v>
      </c>
      <c r="AU16" s="19">
        <f>IFERROR(VLOOKUP($A16,'[1]OB Atendidas por Donantes'!A:N,13,0),0)</f>
        <v>0</v>
      </c>
      <c r="AV16" s="19">
        <f>ROUNDUP(IF(A16=0,0,IFERROR(VLOOKUP($A16,'[1]Kilos Asignado del Donante'!A:N,14,0),0)),0)</f>
        <v>0</v>
      </c>
      <c r="AW16" s="19">
        <f>IF(A16=0,0,IFERROR(SUMIFS([1]Poblacion!X:X,[1]Poblacion!J:J,'MASTER-2025'!A16),0))</f>
        <v>0</v>
      </c>
      <c r="AX16" s="20">
        <f>IFERROR(VLOOKUP($A16,'[1]OB Atendidas por Donantes'!A:N,16,0),0)</f>
        <v>0</v>
      </c>
      <c r="AY16" s="20">
        <f>ROUNDUP(IF(A16=0,0,IFERROR(VLOOKUP($A16,'[1]Kilos Asignado del Donante'!A:O,16,0),0)),0)</f>
        <v>0</v>
      </c>
      <c r="AZ16" s="20">
        <f>IF(A16=0,0,IFERROR(SUMIFS([1]Poblacion!Y:Y,[1]Poblacion!J:J,'MASTER-2025'!A16),0))</f>
        <v>0</v>
      </c>
      <c r="BA16" s="21">
        <f t="shared" si="15"/>
        <v>119</v>
      </c>
      <c r="BB16" s="21">
        <f t="shared" si="23"/>
        <v>5760</v>
      </c>
      <c r="BC16" s="21">
        <f>ROUND(I16+L16+O16+R16+U16,0)</f>
        <v>3941</v>
      </c>
      <c r="BD16" s="21">
        <f t="shared" si="17"/>
        <v>0</v>
      </c>
      <c r="BE16" s="22" t="e">
        <f>IF(A16=0,0,SUMIFS([1]Poblacion!C:C,[1]Poblacion!A:A,'MASTER-2025'!A16))</f>
        <v>#VALUE!</v>
      </c>
      <c r="BF16" s="22" t="e">
        <f>IF(A16=0,0,SUMIFS([1]Poblacion!D:D,[1]Poblacion!A:A,'MASTER-2025'!A16))</f>
        <v>#VALUE!</v>
      </c>
      <c r="BG16" s="22" t="e">
        <f>IF(A16=0,0,SUMIFS([1]Poblacion!E:E,[1]Poblacion!A:A,'MASTER-2025'!A16))</f>
        <v>#VALUE!</v>
      </c>
      <c r="BH16" s="22" t="e">
        <f>IF(A16=0,0,SUMIFS([1]Poblacion!F:F,[1]Poblacion!A:A,'MASTER-2025'!A16))</f>
        <v>#VALUE!</v>
      </c>
      <c r="BI16" s="22" t="e">
        <f t="shared" si="18"/>
        <v>#VALUE!</v>
      </c>
      <c r="BJ16" s="23" t="e">
        <f t="shared" si="7"/>
        <v>#VALUE!</v>
      </c>
      <c r="BK16" s="22" t="e">
        <f>IF(A16=0,0,SUMIFS([1]Poblacion!G:G,[1]Poblacion!A:A,'MASTER-2025'!A16))</f>
        <v>#VALUE!</v>
      </c>
      <c r="BL16" s="24" cm="1">
        <f t="array" ref="BL16:BW16">IFERROR(VLOOKUP(A16,'[1]Acum-OB-kg-pob-25'!A:AQ,{3,4,5,6,7,8,9,10,11,12,13,14},0),0)</f>
        <v>110</v>
      </c>
      <c r="BM16" s="24">
        <v>102</v>
      </c>
      <c r="BN16" s="24">
        <v>119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24">
        <v>0</v>
      </c>
      <c r="BU16" s="24">
        <v>0</v>
      </c>
      <c r="BV16" s="24">
        <v>0</v>
      </c>
      <c r="BW16" s="24">
        <v>0</v>
      </c>
      <c r="BX16" s="24">
        <f t="shared" si="8"/>
        <v>331</v>
      </c>
      <c r="BY16" s="25" cm="1">
        <f t="array" ref="BY16:CJ16">IFERROR(VLOOKUP(A16,'[1]Acum-OB-kg-pob-25'!A:AQ,{17,18,19,20,21,22,23,24,25,26,27,28},0),0)</f>
        <v>8400</v>
      </c>
      <c r="BZ16" s="25">
        <v>4255</v>
      </c>
      <c r="CA16" s="25">
        <v>6400</v>
      </c>
      <c r="CB16" s="25">
        <v>0</v>
      </c>
      <c r="CC16" s="25">
        <v>0</v>
      </c>
      <c r="CD16" s="25">
        <v>0</v>
      </c>
      <c r="CE16" s="25">
        <v>0</v>
      </c>
      <c r="CF16" s="25">
        <v>0</v>
      </c>
      <c r="CG16" s="25">
        <v>0</v>
      </c>
      <c r="CH16" s="25">
        <v>0</v>
      </c>
      <c r="CI16" s="25">
        <v>0</v>
      </c>
      <c r="CJ16" s="25">
        <v>0</v>
      </c>
      <c r="CK16" s="25">
        <f t="shared" si="9"/>
        <v>19055</v>
      </c>
      <c r="CL16" s="26" cm="1">
        <f t="array" ref="CL16:CW16">IFERROR(VLOOKUP(A16,'[1]Acum-OB-kg-pob-25'!A:AQ,{31,32,33,34,35,36,37,38,39,40,41,42},0),0)</f>
        <v>35737</v>
      </c>
      <c r="CM16" s="26">
        <v>30269</v>
      </c>
      <c r="CN16" s="26">
        <v>34778</v>
      </c>
      <c r="CO16" s="26">
        <v>0</v>
      </c>
      <c r="CP16" s="26">
        <v>0</v>
      </c>
      <c r="CQ16" s="26">
        <v>0</v>
      </c>
      <c r="CR16" s="26">
        <v>0</v>
      </c>
      <c r="CS16" s="26">
        <v>0</v>
      </c>
      <c r="CT16" s="26">
        <v>0</v>
      </c>
      <c r="CU16" s="26">
        <v>0</v>
      </c>
      <c r="CV16" s="26">
        <v>0</v>
      </c>
      <c r="CW16" s="26">
        <v>0</v>
      </c>
      <c r="CX16" s="26">
        <f t="shared" si="10"/>
        <v>100784</v>
      </c>
      <c r="CY16" s="14" t="str">
        <f>IF(A16=0,0,IFERROR(VLOOKUP(A16,'[1]Info Donantes'!C:F,2,0),"Sin Contacto"))</f>
        <v>Ricardo Chávez</v>
      </c>
      <c r="CZ16" s="14" t="str">
        <f>IF(A16=0,0,IFERROR(VLOOKUP(A16,'[1]Info Donantes'!C:F,3,0),"Sin Correo"))</f>
        <v>rchavez@smrey.com</v>
      </c>
      <c r="DA16" s="14" t="str">
        <f>IF(A16=0,0,IFERROR(VLOOKUP(A16,'[1]Info Donantes'!C:F,4,0),"Sin Telefono"))</f>
        <v>6868-1690</v>
      </c>
      <c r="DB16" s="14" t="str">
        <f>IF(A16=0,0,"Reporte de Trazabiidad"&amp;" - "&amp;'[1]Resumen Donantes'!$C$2&amp;" - "&amp;A16&amp;"")</f>
        <v>Reporte de Trazabiidad -  - GRUPO REY</v>
      </c>
    </row>
    <row r="17" spans="1:106" x14ac:dyDescent="0.55000000000000004">
      <c r="A17" s="14" t="s">
        <v>121</v>
      </c>
      <c r="B17" s="15">
        <f>INT(IFERROR(VLOOKUP(A17,'[1]Resumen Donantes'!C:F,3,0),0))</f>
        <v>0</v>
      </c>
      <c r="C17" s="15">
        <f>INT(ROUND(IFERROR(VLOOKUP(A17,'[1]Resumen Donantes'!C:F,4,0),0),1))</f>
        <v>0</v>
      </c>
      <c r="D17" s="16">
        <f t="shared" si="19"/>
        <v>0</v>
      </c>
      <c r="E17" s="17" t="str">
        <f t="shared" si="20"/>
        <v>0.00%</v>
      </c>
      <c r="F17" s="17" t="str">
        <f t="shared" si="21"/>
        <v>0.0%</v>
      </c>
      <c r="G17" s="15">
        <f t="shared" si="22"/>
        <v>0</v>
      </c>
      <c r="H17" s="18"/>
      <c r="I17" s="18">
        <f>IFERROR(VLOOKUP(A17,'[1]Lot All by Part'!T:Y,6,0),0)</f>
        <v>0</v>
      </c>
      <c r="J17" s="18"/>
      <c r="K17" s="19">
        <f>IFERROR(VLOOKUP($A17,'[1]OB Atendidas por Donantes'!A:N,3,0),0)</f>
        <v>0</v>
      </c>
      <c r="L17" s="19">
        <f>ROUNDUP(IF(A17=0,0,IFERROR(VLOOKUP($A17,'[1]Kilos Asignado del Donante'!A:O,3,0),0)),0)</f>
        <v>0</v>
      </c>
      <c r="M17" s="19">
        <f>IF(A17=0,0,IFERROR(SUMIFS([1]Poblacion!M:M,[1]Poblacion!J:J,'MASTER-2025'!A17),0))</f>
        <v>0</v>
      </c>
      <c r="N17" s="20">
        <f>IFERROR(VLOOKUP($A17,'[1]OB Atendidas por Donantes'!A:N,4,0),0)</f>
        <v>0</v>
      </c>
      <c r="O17" s="20">
        <f>ROUNDUP(IF(A17=0,0,IFERROR(VLOOKUP($A17,'[1]Kilos Asignado del Donante'!A:O,4,0),0)),0)</f>
        <v>0</v>
      </c>
      <c r="P17" s="20">
        <f>IF(A17=0,0,IFERROR(SUMIFS([1]Poblacion!N:N,[1]Poblacion!J:J,'MASTER-2025'!A17),0))</f>
        <v>0</v>
      </c>
      <c r="Q17" s="18">
        <f>IFERROR(VLOOKUP($A17,'[1]OB Atendidas por Donantes'!A:N,2,0),0)</f>
        <v>0</v>
      </c>
      <c r="R17" s="18">
        <f>ROUNDUP(ROUND(IF(A17=0,0,IFERROR(VLOOKUP($A17,'[1]Kilos Asignado del Donante'!A:O,9,0),0)),1),0)</f>
        <v>0</v>
      </c>
      <c r="S17" s="18">
        <f>IF(A17=0,0,IFERROR(SUMIFS([1]Poblacion!S:S,[1]Poblacion!J:J,'MASTER-2025'!A17),0))</f>
        <v>0</v>
      </c>
      <c r="T17" s="19">
        <f>IFERROR(VLOOKUP($A17,'[1]OB Atendidas por Donantes'!A:N,12,0),0)</f>
        <v>0</v>
      </c>
      <c r="U17" s="19">
        <f>ROUNDUP(IF(A17=0,0,IF(A17=0,0,IFERROR(VLOOKUP($A17,'[1]Kilos Asignado del Donante'!A:O,7,0),0))),0)</f>
        <v>0</v>
      </c>
      <c r="V17" s="19">
        <f>IF(A17=0,0,IFERROR(SUMIFS([1]Poblacion!Q:Q,[1]Poblacion!J:J,'MASTER-2025'!A17),0))</f>
        <v>0</v>
      </c>
      <c r="W17" s="20">
        <f>IFERROR(VLOOKUP($A17,'[1]OB Atendidas por Donantes'!A:N,10,0),0)</f>
        <v>0</v>
      </c>
      <c r="X17" s="20">
        <f>ROUNDUP(IF(A17=0,0,IFERROR(VLOOKUP($A17,'[1]Kilos Asignado del Donante'!A:N,5,0),0)),0)</f>
        <v>0</v>
      </c>
      <c r="Y17" s="20">
        <f>IF(A17=0,0,IFERROR(SUMIFS([1]Poblacion!O:O,[1]Poblacion!J:J,'MASTER-2025'!A17),0))</f>
        <v>0</v>
      </c>
      <c r="Z17" s="18">
        <f>IFERROR(VLOOKUP($A17,'[1]OB Atendidas por Donantes'!A:N,6,0),0)</f>
        <v>0</v>
      </c>
      <c r="AA17" s="18">
        <f>ROUNDUP(IF(A17=0,0,IFERROR(VLOOKUP($A17,'[1]Kilos Asignado del Donante'!A:N,11,0),0)),0)</f>
        <v>0</v>
      </c>
      <c r="AB17" s="18">
        <f>IF(A17=0,0,IFERROR(SUMIFS([1]Poblacion!U:U,[1]Poblacion!J:J,'MASTER-2025'!A17),0))</f>
        <v>0</v>
      </c>
      <c r="AC17" s="19">
        <f>IFERROR(VLOOKUP($A17,'[1]OB Atendidas por Donantes'!A:N,7,0),0)</f>
        <v>0</v>
      </c>
      <c r="AD17" s="19">
        <f>ROUNDUP(IF(A17=0,0,IFERROR(VLOOKUP($A17,'[1]Kilos Asignado del Donante'!A:N,8,0),0)),0)</f>
        <v>0</v>
      </c>
      <c r="AE17" s="19">
        <f>IF(A17=0,0,IFERROR(SUMIFS([1]Poblacion!R:R,[1]Poblacion!J:J,'MASTER-2025'!A17),0))</f>
        <v>0</v>
      </c>
      <c r="AF17" s="20">
        <f>IFERROR(VLOOKUP($A17,'[1]OB Atendidas por Donantes'!A:N,8,0),0)</f>
        <v>0</v>
      </c>
      <c r="AG17" s="20">
        <f>ROUNDUP(IF(A17=0,0,IFERROR(VLOOKUP($A17,'[1]Kilos Asignado del Donante'!A:N,6,0),0)),0)</f>
        <v>0</v>
      </c>
      <c r="AH17" s="20">
        <f>IF(A17=0,0,IFERROR(SUMIFS([1]Poblacion!P:P,[1]Poblacion!J:J,'MASTER-2025'!A17),0))</f>
        <v>0</v>
      </c>
      <c r="AI17" s="18">
        <f>IFERROR(VLOOKUP($A17,'[1]OB Atendidas por Donantes'!A:N,9,0),0)</f>
        <v>0</v>
      </c>
      <c r="AJ17" s="18">
        <f>ROUNDUP(IF(A17=0,0,IFERROR(VLOOKUP($A17,'[1]Kilos Asignado del Donante'!A:N,12,0),0)),0)</f>
        <v>0</v>
      </c>
      <c r="AK17" s="18">
        <f>IF(A17=0,0,IFERROR(SUMIFS([1]Poblacion!V:V,[1]Poblacion!J:J,'MASTER-2025'!A17),0))</f>
        <v>0</v>
      </c>
      <c r="AL17" s="19">
        <f>IFERROR(VLOOKUP($A17,'[1]OB Atendidas por Donantes'!A:N,16,0),0)</f>
        <v>0</v>
      </c>
      <c r="AM17" s="19">
        <f>ROUNDUP(IF(A17=0,0,IFERROR(VLOOKUP($A17,'[1]Kilos Asignado del Donante'!A:O,16,0),0)),0)</f>
        <v>0</v>
      </c>
      <c r="AN17" s="19">
        <f>IF(A17=0,0,IFERROR(SUMIFS([1]Poblacion!Z:Z,[1]Poblacion!J:J,'MASTER-2025'!A17),0))</f>
        <v>0</v>
      </c>
      <c r="AO17" s="20">
        <f>IFERROR(VLOOKUP($A17,'[1]OB Atendidas por Donantes'!A:N,11,0),0)</f>
        <v>0</v>
      </c>
      <c r="AP17" s="20">
        <f>ROUNDUP(IF(A17=0,0,IFERROR(VLOOKUP($A17,'[1]Kilos Asignado del Donante'!A:N,13,0),0)),0)</f>
        <v>0</v>
      </c>
      <c r="AQ17" s="20">
        <f>IF(A17=0,0,IFERROR(SUMIFS([1]Poblacion!W:W,[1]Poblacion!J:J,'MASTER-2025'!A17),0))</f>
        <v>0</v>
      </c>
      <c r="AR17" s="18">
        <f>IFERROR(VLOOKUP($A17,'[1]OB Atendidas por Donantes'!A:N,5,0),0)</f>
        <v>0</v>
      </c>
      <c r="AS17" s="18">
        <f>ROUNDUP(IF(A17=0,0,IFERROR(VLOOKUP($A17,'[1]Kilos Asignado del Donante'!A:N,10,0),0)),0)</f>
        <v>0</v>
      </c>
      <c r="AT17" s="18">
        <f>IF(A17=0,0,IFERROR(SUMIFS([1]Poblacion!T:T,[1]Poblacion!J:J,'MASTER-2025'!A17),0))</f>
        <v>0</v>
      </c>
      <c r="AU17" s="19">
        <f>IFERROR(VLOOKUP($A17,'[1]OB Atendidas por Donantes'!A:N,13,0),0)</f>
        <v>0</v>
      </c>
      <c r="AV17" s="19">
        <f>ROUNDUP(IF(A17=0,0,IFERROR(VLOOKUP($A17,'[1]Kilos Asignado del Donante'!A:N,14,0),0)),0)</f>
        <v>0</v>
      </c>
      <c r="AW17" s="19">
        <f>IF(A17=0,0,IFERROR(SUMIFS([1]Poblacion!X:X,[1]Poblacion!J:J,'MASTER-2025'!A17),0))</f>
        <v>0</v>
      </c>
      <c r="AX17" s="20">
        <f>IFERROR(VLOOKUP($A17,'[1]OB Atendidas por Donantes'!A:N,16,0),0)</f>
        <v>0</v>
      </c>
      <c r="AY17" s="20">
        <f>ROUNDUP(IF(A17=0,0,IFERROR(VLOOKUP($A17,'[1]Kilos Asignado del Donante'!A:O,16,0),0)),0)</f>
        <v>0</v>
      </c>
      <c r="AZ17" s="20">
        <f>IF(A17=0,0,IFERROR(SUMIFS([1]Poblacion!Y:Y,[1]Poblacion!J:J,'MASTER-2025'!A17),0))</f>
        <v>0</v>
      </c>
      <c r="BA17" s="21">
        <f t="shared" si="15"/>
        <v>0</v>
      </c>
      <c r="BB17" s="21">
        <f t="shared" si="23"/>
        <v>0</v>
      </c>
      <c r="BC17" s="21">
        <f t="shared" ref="BC17:BC80" si="24">ROUND(I17+L17+O17+R17+U17,0)</f>
        <v>0</v>
      </c>
      <c r="BD17" s="21">
        <f t="shared" si="17"/>
        <v>0</v>
      </c>
      <c r="BE17" s="22" t="e">
        <f>IF(A17=0,0,SUMIFS([1]Poblacion!C:C,[1]Poblacion!A:A,'MASTER-2025'!A17))</f>
        <v>#VALUE!</v>
      </c>
      <c r="BF17" s="22" t="e">
        <f>IF(A17=0,0,SUMIFS([1]Poblacion!D:D,[1]Poblacion!A:A,'MASTER-2025'!A17))</f>
        <v>#VALUE!</v>
      </c>
      <c r="BG17" s="22" t="e">
        <f>IF(A17=0,0,SUMIFS([1]Poblacion!E:E,[1]Poblacion!A:A,'MASTER-2025'!A17))</f>
        <v>#VALUE!</v>
      </c>
      <c r="BH17" s="22" t="e">
        <f>IF(A17=0,0,SUMIFS([1]Poblacion!F:F,[1]Poblacion!A:A,'MASTER-2025'!A17))</f>
        <v>#VALUE!</v>
      </c>
      <c r="BI17" s="22" t="e">
        <f t="shared" si="18"/>
        <v>#VALUE!</v>
      </c>
      <c r="BJ17" s="23" t="e">
        <f t="shared" si="7"/>
        <v>#VALUE!</v>
      </c>
      <c r="BK17" s="22" t="e">
        <f>IF(A17=0,0,SUMIFS([1]Poblacion!G:G,[1]Poblacion!A:A,'MASTER-2025'!A17))</f>
        <v>#VALUE!</v>
      </c>
      <c r="BL17" s="24" cm="1">
        <f t="array" ref="BL17:BW17">IFERROR(VLOOKUP(A17,'[1]Acum-OB-kg-pob-25'!A:AQ,{3,4,5,6,7,8,9,10,11,12,13,14},0),0)</f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f t="shared" si="8"/>
        <v>0</v>
      </c>
      <c r="BY17" s="25" cm="1">
        <f t="array" ref="BY17:CJ17">IFERROR(VLOOKUP(A17,'[1]Acum-OB-kg-pob-25'!A:AQ,{17,18,19,20,21,22,23,24,25,26,27,28},0),0)</f>
        <v>0</v>
      </c>
      <c r="BZ17" s="25">
        <v>0</v>
      </c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0</v>
      </c>
      <c r="CI17" s="25">
        <v>0</v>
      </c>
      <c r="CJ17" s="25">
        <v>0</v>
      </c>
      <c r="CK17" s="25">
        <f t="shared" si="9"/>
        <v>0</v>
      </c>
      <c r="CL17" s="26" cm="1">
        <f t="array" ref="CL17:CW17">IFERROR(VLOOKUP(A17,'[1]Acum-OB-kg-pob-25'!A:AQ,{31,32,33,34,35,36,37,38,39,40,41,42},0),0)</f>
        <v>0</v>
      </c>
      <c r="CM17" s="26">
        <v>0</v>
      </c>
      <c r="CN17" s="26">
        <v>0</v>
      </c>
      <c r="CO17" s="26">
        <v>0</v>
      </c>
      <c r="CP17" s="26">
        <v>0</v>
      </c>
      <c r="CQ17" s="26">
        <v>0</v>
      </c>
      <c r="CR17" s="26">
        <v>0</v>
      </c>
      <c r="CS17" s="26">
        <v>0</v>
      </c>
      <c r="CT17" s="26">
        <v>0</v>
      </c>
      <c r="CU17" s="26">
        <v>0</v>
      </c>
      <c r="CV17" s="26">
        <v>0</v>
      </c>
      <c r="CW17" s="26">
        <v>0</v>
      </c>
      <c r="CX17" s="26">
        <f t="shared" si="10"/>
        <v>0</v>
      </c>
      <c r="CY17" s="14" t="str">
        <f>IF(A17=0,0,IFERROR(VLOOKUP(A17,'[1]Info Donantes'!C:F,2,0),"Sin Contacto"))</f>
        <v>Milagros Rodriguez</v>
      </c>
      <c r="CZ17" s="14" t="str">
        <f>IF(A17=0,0,IFERROR(VLOOKUP(A17,'[1]Info Donantes'!C:F,3,0),"Sin Correo"))</f>
        <v>mrodriguez@htzanetatos.com</v>
      </c>
      <c r="DA17" s="14" t="str">
        <f>IF(A17=0,0,IFERROR(VLOOKUP(A17,'[1]Info Donantes'!C:F,4,0),"Sin Telefono"))</f>
        <v>305-8231</v>
      </c>
      <c r="DB17" s="14" t="str">
        <f>IF(A17=0,0,"Reporte de Trazabiidad"&amp;" - "&amp;'[1]Resumen Donantes'!$C$2&amp;" - "&amp;A17&amp;"")</f>
        <v>Reporte de Trazabiidad -  - HT ZANETATO INC</v>
      </c>
    </row>
    <row r="18" spans="1:106" x14ac:dyDescent="0.55000000000000004">
      <c r="A18" s="14" t="s">
        <v>122</v>
      </c>
      <c r="B18" s="15">
        <f>INT(IFERROR(VLOOKUP(A18,'[1]Resumen Donantes'!C:F,3,0),0))</f>
        <v>1419</v>
      </c>
      <c r="C18" s="15">
        <f>INT(ROUND(IFERROR(VLOOKUP(A18,'[1]Resumen Donantes'!C:F,4,0),0),1))</f>
        <v>13264</v>
      </c>
      <c r="D18" s="16">
        <f t="shared" si="19"/>
        <v>11845</v>
      </c>
      <c r="E18" s="17" t="str">
        <f t="shared" si="20"/>
        <v>89.30%</v>
      </c>
      <c r="F18" s="17" t="str">
        <f t="shared" si="21"/>
        <v>10.7%</v>
      </c>
      <c r="G18" s="15">
        <f t="shared" si="22"/>
        <v>35535</v>
      </c>
      <c r="H18" s="18"/>
      <c r="I18" s="18">
        <f>IFERROR(VLOOKUP(A18,'[1]Lot All by Part'!T:Y,6,0),0)</f>
        <v>0</v>
      </c>
      <c r="J18" s="18"/>
      <c r="K18" s="19">
        <f>IFERROR(VLOOKUP($A18,'[1]OB Atendidas por Donantes'!A:N,3,0),0)</f>
        <v>13</v>
      </c>
      <c r="L18" s="19">
        <f>ROUNDUP(IF(A18=0,0,IFERROR(VLOOKUP($A18,'[1]Kilos Asignado del Donante'!A:O,3,0),0)),0)</f>
        <v>3341</v>
      </c>
      <c r="M18" s="19">
        <f>IF(A18=0,0,IFERROR(SUMIFS([1]Poblacion!M:M,[1]Poblacion!J:J,'MASTER-2025'!A18),0))</f>
        <v>0</v>
      </c>
      <c r="N18" s="20">
        <f>IFERROR(VLOOKUP($A18,'[1]OB Atendidas por Donantes'!A:N,4,0),0)</f>
        <v>25</v>
      </c>
      <c r="O18" s="20">
        <f>ROUNDUP(IF(A18=0,0,IFERROR(VLOOKUP($A18,'[1]Kilos Asignado del Donante'!A:O,4,0),0)),0)</f>
        <v>4440</v>
      </c>
      <c r="P18" s="20">
        <f>IF(A18=0,0,IFERROR(SUMIFS([1]Poblacion!N:N,[1]Poblacion!J:J,'MASTER-2025'!A18),0))</f>
        <v>0</v>
      </c>
      <c r="Q18" s="18">
        <f>IFERROR(VLOOKUP($A18,'[1]OB Atendidas por Donantes'!A:N,2,0),0)</f>
        <v>2</v>
      </c>
      <c r="R18" s="18">
        <f>ROUNDUP(ROUND(IF(A18=0,0,IFERROR(VLOOKUP($A18,'[1]Kilos Asignado del Donante'!A:O,9,0),0)),1),0)</f>
        <v>350</v>
      </c>
      <c r="S18" s="18">
        <f>IF(A18=0,0,IFERROR(SUMIFS([1]Poblacion!S:S,[1]Poblacion!J:J,'MASTER-2025'!A18),0))</f>
        <v>0</v>
      </c>
      <c r="T18" s="19">
        <f>IFERROR(VLOOKUP($A18,'[1]OB Atendidas por Donantes'!A:N,12,0),0)</f>
        <v>1</v>
      </c>
      <c r="U18" s="19">
        <f>ROUNDUP(IF(A18=0,0,IF(A18=0,0,IFERROR(VLOOKUP($A18,'[1]Kilos Asignado del Donante'!A:O,7,0),0))),0)</f>
        <v>150</v>
      </c>
      <c r="V18" s="19">
        <f>IF(A18=0,0,IFERROR(SUMIFS([1]Poblacion!Q:Q,[1]Poblacion!J:J,'MASTER-2025'!A18),0))</f>
        <v>0</v>
      </c>
      <c r="W18" s="20">
        <f>IFERROR(VLOOKUP($A18,'[1]OB Atendidas por Donantes'!A:N,10,0),0)</f>
        <v>11</v>
      </c>
      <c r="X18" s="20">
        <f>ROUNDUP(IF(A18=0,0,IFERROR(VLOOKUP($A18,'[1]Kilos Asignado del Donante'!A:N,5,0),0)),0)</f>
        <v>1290</v>
      </c>
      <c r="Y18" s="20">
        <f>IF(A18=0,0,IFERROR(SUMIFS([1]Poblacion!O:O,[1]Poblacion!J:J,'MASTER-2025'!A18),0))</f>
        <v>0</v>
      </c>
      <c r="Z18" s="18">
        <f>IFERROR(VLOOKUP($A18,'[1]OB Atendidas por Donantes'!A:N,6,0),0)</f>
        <v>1</v>
      </c>
      <c r="AA18" s="18">
        <f>ROUNDUP(IF(A18=0,0,IFERROR(VLOOKUP($A18,'[1]Kilos Asignado del Donante'!A:N,11,0),0)),0)</f>
        <v>20</v>
      </c>
      <c r="AB18" s="18">
        <f>IF(A18=0,0,IFERROR(SUMIFS([1]Poblacion!U:U,[1]Poblacion!J:J,'MASTER-2025'!A18),0))</f>
        <v>0</v>
      </c>
      <c r="AC18" s="19">
        <f>IFERROR(VLOOKUP($A18,'[1]OB Atendidas por Donantes'!A:N,7,0),0)</f>
        <v>2</v>
      </c>
      <c r="AD18" s="19">
        <f>ROUNDUP(IF(A18=0,0,IFERROR(VLOOKUP($A18,'[1]Kilos Asignado del Donante'!A:N,8,0),0)),0)</f>
        <v>800</v>
      </c>
      <c r="AE18" s="19">
        <f>IF(A18=0,0,IFERROR(SUMIFS([1]Poblacion!R:R,[1]Poblacion!J:J,'MASTER-2025'!A18),0))</f>
        <v>0</v>
      </c>
      <c r="AF18" s="20">
        <f>IFERROR(VLOOKUP($A18,'[1]OB Atendidas por Donantes'!A:N,8,0),0)</f>
        <v>1</v>
      </c>
      <c r="AG18" s="20">
        <f>ROUNDUP(IF(A18=0,0,IFERROR(VLOOKUP($A18,'[1]Kilos Asignado del Donante'!A:N,6,0),0)),0)</f>
        <v>20</v>
      </c>
      <c r="AH18" s="20">
        <f>IF(A18=0,0,IFERROR(SUMIFS([1]Poblacion!P:P,[1]Poblacion!J:J,'MASTER-2025'!A18),0))</f>
        <v>0</v>
      </c>
      <c r="AI18" s="18">
        <f>IFERROR(VLOOKUP($A18,'[1]OB Atendidas por Donantes'!A:N,9,0),0)</f>
        <v>0</v>
      </c>
      <c r="AJ18" s="18">
        <f>ROUNDUP(IF(A18=0,0,IFERROR(VLOOKUP($A18,'[1]Kilos Asignado del Donante'!A:N,12,0),0)),0)</f>
        <v>0</v>
      </c>
      <c r="AK18" s="18">
        <f>IF(A18=0,0,IFERROR(SUMIFS([1]Poblacion!V:V,[1]Poblacion!J:J,'MASTER-2025'!A18),0))</f>
        <v>0</v>
      </c>
      <c r="AL18" s="19">
        <f>IFERROR(VLOOKUP($A18,'[1]OB Atendidas por Donantes'!A:N,16,0),0)</f>
        <v>0</v>
      </c>
      <c r="AM18" s="19">
        <f>ROUNDUP(IF(A18=0,0,IFERROR(VLOOKUP($A18,'[1]Kilos Asignado del Donante'!A:O,16,0),0)),0)</f>
        <v>0</v>
      </c>
      <c r="AN18" s="19">
        <f>IF(A18=0,0,IFERROR(SUMIFS([1]Poblacion!Z:Z,[1]Poblacion!J:J,'MASTER-2025'!A18),0))</f>
        <v>0</v>
      </c>
      <c r="AO18" s="20">
        <f>IFERROR(VLOOKUP($A18,'[1]OB Atendidas por Donantes'!A:N,11,0),0)</f>
        <v>0</v>
      </c>
      <c r="AP18" s="20">
        <f>ROUNDUP(IF(A18=0,0,IFERROR(VLOOKUP($A18,'[1]Kilos Asignado del Donante'!A:N,13,0),0)),0)</f>
        <v>0</v>
      </c>
      <c r="AQ18" s="20">
        <f>IF(A18=0,0,IFERROR(SUMIFS([1]Poblacion!W:W,[1]Poblacion!J:J,'MASTER-2025'!A18),0))</f>
        <v>0</v>
      </c>
      <c r="AR18" s="18">
        <f>IFERROR(VLOOKUP($A18,'[1]OB Atendidas por Donantes'!A:N,5,0),0)</f>
        <v>2</v>
      </c>
      <c r="AS18" s="18">
        <f>ROUNDUP(IF(A18=0,0,IFERROR(VLOOKUP($A18,'[1]Kilos Asignado del Donante'!A:N,10,0),0)),0)</f>
        <v>70</v>
      </c>
      <c r="AT18" s="18">
        <f>IF(A18=0,0,IFERROR(SUMIFS([1]Poblacion!T:T,[1]Poblacion!J:J,'MASTER-2025'!A18),0))</f>
        <v>0</v>
      </c>
      <c r="AU18" s="19">
        <f>IFERROR(VLOOKUP($A18,'[1]OB Atendidas por Donantes'!A:N,13,0),0)</f>
        <v>0</v>
      </c>
      <c r="AV18" s="19">
        <f>ROUNDUP(IF(A18=0,0,IFERROR(VLOOKUP($A18,'[1]Kilos Asignado del Donante'!A:N,14,0),0)),0)</f>
        <v>0</v>
      </c>
      <c r="AW18" s="19">
        <f>IF(A18=0,0,IFERROR(SUMIFS([1]Poblacion!X:X,[1]Poblacion!J:J,'MASTER-2025'!A18),0))</f>
        <v>0</v>
      </c>
      <c r="AX18" s="20">
        <f>IFERROR(VLOOKUP($A18,'[1]OB Atendidas por Donantes'!A:N,16,0),0)</f>
        <v>0</v>
      </c>
      <c r="AY18" s="20">
        <f>ROUNDUP(IF(A18=0,0,IFERROR(VLOOKUP($A18,'[1]Kilos Asignado del Donante'!A:O,16,0),0)),0)</f>
        <v>0</v>
      </c>
      <c r="AZ18" s="20">
        <f>IF(A18=0,0,IFERROR(SUMIFS([1]Poblacion!Y:Y,[1]Poblacion!J:J,'MASTER-2025'!A18),0))</f>
        <v>0</v>
      </c>
      <c r="BA18" s="21">
        <f t="shared" si="15"/>
        <v>58</v>
      </c>
      <c r="BB18" s="21">
        <f t="shared" si="23"/>
        <v>10481</v>
      </c>
      <c r="BC18" s="21">
        <f t="shared" si="24"/>
        <v>8281</v>
      </c>
      <c r="BD18" s="21">
        <f t="shared" si="17"/>
        <v>0</v>
      </c>
      <c r="BE18" s="22" t="e">
        <f>IF(A18=0,0,SUMIFS([1]Poblacion!C:C,[1]Poblacion!A:A,'MASTER-2025'!A18))</f>
        <v>#VALUE!</v>
      </c>
      <c r="BF18" s="22" t="e">
        <f>IF(A18=0,0,SUMIFS([1]Poblacion!D:D,[1]Poblacion!A:A,'MASTER-2025'!A18))</f>
        <v>#VALUE!</v>
      </c>
      <c r="BG18" s="22" t="e">
        <f>IF(A18=0,0,SUMIFS([1]Poblacion!E:E,[1]Poblacion!A:A,'MASTER-2025'!A18))</f>
        <v>#VALUE!</v>
      </c>
      <c r="BH18" s="22" t="e">
        <f>IF(A18=0,0,SUMIFS([1]Poblacion!F:F,[1]Poblacion!A:A,'MASTER-2025'!A18))</f>
        <v>#VALUE!</v>
      </c>
      <c r="BI18" s="22" t="e">
        <f t="shared" si="18"/>
        <v>#VALUE!</v>
      </c>
      <c r="BJ18" s="23" t="e">
        <f t="shared" si="7"/>
        <v>#VALUE!</v>
      </c>
      <c r="BK18" s="22" t="e">
        <f>IF(A18=0,0,SUMIFS([1]Poblacion!G:G,[1]Poblacion!A:A,'MASTER-2025'!A18))</f>
        <v>#VALUE!</v>
      </c>
      <c r="BL18" s="24" cm="1">
        <f t="array" ref="BL18:BW18">IFERROR(VLOOKUP(A18,'[1]Acum-OB-kg-pob-25'!A:AQ,{3,4,5,6,7,8,9,10,11,12,13,14},0),0)</f>
        <v>57</v>
      </c>
      <c r="BM18" s="24">
        <v>63</v>
      </c>
      <c r="BN18" s="24">
        <v>58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f t="shared" si="8"/>
        <v>178</v>
      </c>
      <c r="BY18" s="25" cm="1">
        <f t="array" ref="BY18:CJ18">IFERROR(VLOOKUP(A18,'[1]Acum-OB-kg-pob-25'!A:AQ,{17,18,19,20,21,22,23,24,25,26,27,28},0),0)</f>
        <v>6710</v>
      </c>
      <c r="BZ18" s="25">
        <v>7498</v>
      </c>
      <c r="CA18" s="25">
        <v>13264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f t="shared" si="9"/>
        <v>27472</v>
      </c>
      <c r="CL18" s="26" cm="1">
        <f t="array" ref="CL18:CW18">IFERROR(VLOOKUP(A18,'[1]Acum-OB-kg-pob-25'!A:AQ,{31,32,33,34,35,36,37,38,39,40,41,42},0),0)</f>
        <v>18178</v>
      </c>
      <c r="CM18" s="26">
        <v>23417</v>
      </c>
      <c r="CN18" s="26">
        <v>14825</v>
      </c>
      <c r="CO18" s="26">
        <v>0</v>
      </c>
      <c r="CP18" s="26">
        <v>0</v>
      </c>
      <c r="CQ18" s="26">
        <v>0</v>
      </c>
      <c r="CR18" s="26">
        <v>0</v>
      </c>
      <c r="CS18" s="26">
        <v>0</v>
      </c>
      <c r="CT18" s="26">
        <v>0</v>
      </c>
      <c r="CU18" s="26">
        <v>0</v>
      </c>
      <c r="CV18" s="26">
        <v>0</v>
      </c>
      <c r="CW18" s="26">
        <v>0</v>
      </c>
      <c r="CX18" s="26">
        <f t="shared" si="10"/>
        <v>56420</v>
      </c>
      <c r="CY18" s="14">
        <f>IF(A18=0,0,IFERROR(VLOOKUP(A18,'[1]Info Donantes'!C:F,2,0),"Sin Contacto"))</f>
        <v>0</v>
      </c>
      <c r="CZ18" s="14">
        <f>IF(A18=0,0,IFERROR(VLOOKUP(A18,'[1]Info Donantes'!C:F,3,0),"Sin Correo"))</f>
        <v>0</v>
      </c>
      <c r="DA18" s="14" t="str">
        <f>IF(A18=0,0,IFERROR(VLOOKUP(A18,'[1]Info Donantes'!C:F,4,0),"Sin Telefono"))</f>
        <v>524 1939</v>
      </c>
      <c r="DB18" s="14" t="str">
        <f>IF(A18=0,0,"Reporte de Trazabiidad"&amp;" - "&amp;'[1]Resumen Donantes'!$C$2&amp;" - "&amp;A18&amp;"")</f>
        <v>Reporte de Trazabiidad -  - MERCA PANAMA</v>
      </c>
    </row>
    <row r="19" spans="1:106" x14ac:dyDescent="0.55000000000000004">
      <c r="A19" s="14" t="s">
        <v>123</v>
      </c>
      <c r="B19" s="15">
        <f>INT(IFERROR(VLOOKUP(A19,'[1]Resumen Donantes'!C:F,3,0),0))</f>
        <v>0</v>
      </c>
      <c r="C19" s="15">
        <f>INT(ROUND(IFERROR(VLOOKUP(A19,'[1]Resumen Donantes'!C:F,4,0),0),1))</f>
        <v>195</v>
      </c>
      <c r="D19" s="16">
        <f t="shared" si="19"/>
        <v>195</v>
      </c>
      <c r="E19" s="17" t="str">
        <f t="shared" si="20"/>
        <v>100.00%</v>
      </c>
      <c r="F19" s="17" t="str">
        <f t="shared" si="21"/>
        <v>0.0%</v>
      </c>
      <c r="G19" s="15">
        <f t="shared" si="22"/>
        <v>585</v>
      </c>
      <c r="H19" s="18"/>
      <c r="I19" s="18">
        <f>IFERROR(VLOOKUP(A19,'[1]Lot All by Part'!T:Y,6,0),0)</f>
        <v>0</v>
      </c>
      <c r="J19" s="18"/>
      <c r="K19" s="19">
        <f>IFERROR(VLOOKUP($A19,'[1]OB Atendidas por Donantes'!A:N,3,0),0)</f>
        <v>6</v>
      </c>
      <c r="L19" s="19">
        <f>ROUNDUP(IF(A19=0,0,IFERROR(VLOOKUP($A19,'[1]Kilos Asignado del Donante'!A:O,3,0),0)),0)</f>
        <v>43</v>
      </c>
      <c r="M19" s="19">
        <f>IF(A19=0,0,IFERROR(SUMIFS([1]Poblacion!M:M,[1]Poblacion!J:J,'MASTER-2025'!A19),0))</f>
        <v>0</v>
      </c>
      <c r="N19" s="20">
        <f>IFERROR(VLOOKUP($A19,'[1]OB Atendidas por Donantes'!A:N,4,0),0)</f>
        <v>14</v>
      </c>
      <c r="O19" s="20">
        <f>ROUNDUP(IF(A19=0,0,IFERROR(VLOOKUP($A19,'[1]Kilos Asignado del Donante'!A:O,4,0),0)),0)</f>
        <v>126</v>
      </c>
      <c r="P19" s="20">
        <f>IF(A19=0,0,IFERROR(SUMIFS([1]Poblacion!N:N,[1]Poblacion!J:J,'MASTER-2025'!A19),0))</f>
        <v>0</v>
      </c>
      <c r="Q19" s="18">
        <f>IFERROR(VLOOKUP($A19,'[1]OB Atendidas por Donantes'!A:N,2,0),0)</f>
        <v>3</v>
      </c>
      <c r="R19" s="18">
        <f>ROUNDUP(ROUND(IF(A19=0,0,IFERROR(VLOOKUP($A19,'[1]Kilos Asignado del Donante'!A:O,9,0),0)),1),0)</f>
        <v>16</v>
      </c>
      <c r="S19" s="18">
        <f>IF(A19=0,0,IFERROR(SUMIFS([1]Poblacion!S:S,[1]Poblacion!J:J,'MASTER-2025'!A19),0))</f>
        <v>0</v>
      </c>
      <c r="T19" s="19">
        <f>IFERROR(VLOOKUP($A19,'[1]OB Atendidas por Donantes'!A:N,12,0),0)</f>
        <v>3</v>
      </c>
      <c r="U19" s="19">
        <f>ROUNDUP(IF(A19=0,0,IF(A19=0,0,IFERROR(VLOOKUP($A19,'[1]Kilos Asignado del Donante'!A:O,7,0),0))),0)</f>
        <v>8</v>
      </c>
      <c r="V19" s="19">
        <f>IF(A19=0,0,IFERROR(SUMIFS([1]Poblacion!Q:Q,[1]Poblacion!J:J,'MASTER-2025'!A19),0))</f>
        <v>0</v>
      </c>
      <c r="W19" s="20">
        <f>IFERROR(VLOOKUP($A19,'[1]OB Atendidas por Donantes'!A:N,10,0),0)</f>
        <v>4</v>
      </c>
      <c r="X19" s="20">
        <f>ROUNDUP(IF(A19=0,0,IFERROR(VLOOKUP($A19,'[1]Kilos Asignado del Donante'!A:N,5,0),0)),0)</f>
        <v>22</v>
      </c>
      <c r="Y19" s="20">
        <f>IF(A19=0,0,IFERROR(SUMIFS([1]Poblacion!O:O,[1]Poblacion!J:J,'MASTER-2025'!A19),0))</f>
        <v>0</v>
      </c>
      <c r="Z19" s="18">
        <f>IFERROR(VLOOKUP($A19,'[1]OB Atendidas por Donantes'!A:N,6,0),0)</f>
        <v>0</v>
      </c>
      <c r="AA19" s="18">
        <f>ROUNDUP(IF(A19=0,0,IFERROR(VLOOKUP($A19,'[1]Kilos Asignado del Donante'!A:N,11,0),0)),0)</f>
        <v>0</v>
      </c>
      <c r="AB19" s="18">
        <f>IF(A19=0,0,IFERROR(SUMIFS([1]Poblacion!U:U,[1]Poblacion!J:J,'MASTER-2025'!A19),0))</f>
        <v>0</v>
      </c>
      <c r="AC19" s="19">
        <f>IFERROR(VLOOKUP($A19,'[1]OB Atendidas por Donantes'!A:N,7,0),0)</f>
        <v>2</v>
      </c>
      <c r="AD19" s="19">
        <f>ROUNDUP(IF(A19=0,0,IFERROR(VLOOKUP($A19,'[1]Kilos Asignado del Donante'!A:N,8,0),0)),0)</f>
        <v>42</v>
      </c>
      <c r="AE19" s="19">
        <f>IF(A19=0,0,IFERROR(SUMIFS([1]Poblacion!R:R,[1]Poblacion!J:J,'MASTER-2025'!A19),0))</f>
        <v>0</v>
      </c>
      <c r="AF19" s="20">
        <f>IFERROR(VLOOKUP($A19,'[1]OB Atendidas por Donantes'!A:N,8,0),0)</f>
        <v>0</v>
      </c>
      <c r="AG19" s="20">
        <f>ROUNDUP(IF(A19=0,0,IFERROR(VLOOKUP($A19,'[1]Kilos Asignado del Donante'!A:N,6,0),0)),0)</f>
        <v>0</v>
      </c>
      <c r="AH19" s="20">
        <f>IF(A19=0,0,IFERROR(SUMIFS([1]Poblacion!P:P,[1]Poblacion!J:J,'MASTER-2025'!A19),0))</f>
        <v>0</v>
      </c>
      <c r="AI19" s="18">
        <f>IFERROR(VLOOKUP($A19,'[1]OB Atendidas por Donantes'!A:N,9,0),0)</f>
        <v>0</v>
      </c>
      <c r="AJ19" s="18">
        <f>ROUNDUP(IF(A19=0,0,IFERROR(VLOOKUP($A19,'[1]Kilos Asignado del Donante'!A:N,12,0),0)),0)</f>
        <v>0</v>
      </c>
      <c r="AK19" s="18">
        <f>IF(A19=0,0,IFERROR(SUMIFS([1]Poblacion!V:V,[1]Poblacion!J:J,'MASTER-2025'!A19),0))</f>
        <v>0</v>
      </c>
      <c r="AL19" s="19">
        <f>IFERROR(VLOOKUP($A19,'[1]OB Atendidas por Donantes'!A:N,16,0),0)</f>
        <v>0</v>
      </c>
      <c r="AM19" s="19">
        <f>ROUNDUP(IF(A19=0,0,IFERROR(VLOOKUP($A19,'[1]Kilos Asignado del Donante'!A:O,16,0),0)),0)</f>
        <v>0</v>
      </c>
      <c r="AN19" s="19">
        <f>IF(A19=0,0,IFERROR(SUMIFS([1]Poblacion!Z:Z,[1]Poblacion!J:J,'MASTER-2025'!A19),0))</f>
        <v>0</v>
      </c>
      <c r="AO19" s="20">
        <f>IFERROR(VLOOKUP($A19,'[1]OB Atendidas por Donantes'!A:N,11,0),0)</f>
        <v>0</v>
      </c>
      <c r="AP19" s="20">
        <f>ROUNDUP(IF(A19=0,0,IFERROR(VLOOKUP($A19,'[1]Kilos Asignado del Donante'!A:N,13,0),0)),0)</f>
        <v>0</v>
      </c>
      <c r="AQ19" s="20">
        <f>IF(A19=0,0,IFERROR(SUMIFS([1]Poblacion!W:W,[1]Poblacion!J:J,'MASTER-2025'!A19),0))</f>
        <v>0</v>
      </c>
      <c r="AR19" s="18">
        <f>IFERROR(VLOOKUP($A19,'[1]OB Atendidas por Donantes'!A:N,5,0),0)</f>
        <v>0</v>
      </c>
      <c r="AS19" s="18">
        <f>ROUNDUP(IF(A19=0,0,IFERROR(VLOOKUP($A19,'[1]Kilos Asignado del Donante'!A:N,10,0),0)),0)</f>
        <v>0</v>
      </c>
      <c r="AT19" s="18">
        <f>IF(A19=0,0,IFERROR(SUMIFS([1]Poblacion!T:T,[1]Poblacion!J:J,'MASTER-2025'!A19),0))</f>
        <v>0</v>
      </c>
      <c r="AU19" s="19">
        <f>IFERROR(VLOOKUP($A19,'[1]OB Atendidas por Donantes'!A:N,13,0),0)</f>
        <v>0</v>
      </c>
      <c r="AV19" s="19">
        <f>ROUNDUP(IF(A19=0,0,IFERROR(VLOOKUP($A19,'[1]Kilos Asignado del Donante'!A:N,14,0),0)),0)</f>
        <v>0</v>
      </c>
      <c r="AW19" s="19">
        <f>IF(A19=0,0,IFERROR(SUMIFS([1]Poblacion!X:X,[1]Poblacion!J:J,'MASTER-2025'!A19),0))</f>
        <v>0</v>
      </c>
      <c r="AX19" s="20">
        <f>IFERROR(VLOOKUP($A19,'[1]OB Atendidas por Donantes'!A:N,16,0),0)</f>
        <v>0</v>
      </c>
      <c r="AY19" s="20">
        <f>ROUNDUP(IF(A19=0,0,IFERROR(VLOOKUP($A19,'[1]Kilos Asignado del Donante'!A:O,16,0),0)),0)</f>
        <v>0</v>
      </c>
      <c r="AZ19" s="20">
        <f>IF(A19=0,0,IFERROR(SUMIFS([1]Poblacion!Y:Y,[1]Poblacion!J:J,'MASTER-2025'!A19),0))</f>
        <v>0</v>
      </c>
      <c r="BA19" s="21">
        <f t="shared" si="15"/>
        <v>32</v>
      </c>
      <c r="BB19" s="21">
        <f t="shared" si="23"/>
        <v>257</v>
      </c>
      <c r="BC19" s="21">
        <f t="shared" si="24"/>
        <v>193</v>
      </c>
      <c r="BD19" s="21">
        <f t="shared" si="17"/>
        <v>0</v>
      </c>
      <c r="BE19" s="22" t="e">
        <f>IF(A19=0,0,SUMIFS([1]Poblacion!C:C,[1]Poblacion!A:A,'MASTER-2025'!A19))</f>
        <v>#VALUE!</v>
      </c>
      <c r="BF19" s="22" t="e">
        <f>IF(A19=0,0,SUMIFS([1]Poblacion!D:D,[1]Poblacion!A:A,'MASTER-2025'!A19))</f>
        <v>#VALUE!</v>
      </c>
      <c r="BG19" s="22" t="e">
        <f>IF(A19=0,0,SUMIFS([1]Poblacion!E:E,[1]Poblacion!A:A,'MASTER-2025'!A19))</f>
        <v>#VALUE!</v>
      </c>
      <c r="BH19" s="22" t="e">
        <f>IF(A19=0,0,SUMIFS([1]Poblacion!F:F,[1]Poblacion!A:A,'MASTER-2025'!A19))</f>
        <v>#VALUE!</v>
      </c>
      <c r="BI19" s="22" t="e">
        <f t="shared" si="18"/>
        <v>#VALUE!</v>
      </c>
      <c r="BJ19" s="23" t="e">
        <f t="shared" si="7"/>
        <v>#VALUE!</v>
      </c>
      <c r="BK19" s="22" t="e">
        <f>IF(A19=0,0,SUMIFS([1]Poblacion!G:G,[1]Poblacion!A:A,'MASTER-2025'!A19))</f>
        <v>#VALUE!</v>
      </c>
      <c r="BL19" s="24" cm="1">
        <f t="array" ref="BL19:BW19">IFERROR(VLOOKUP(A19,'[1]Acum-OB-kg-pob-25'!A:AQ,{3,4,5,6,7,8,9,10,11,12,13,14},0),0)</f>
        <v>0</v>
      </c>
      <c r="BM19" s="24">
        <v>15</v>
      </c>
      <c r="BN19" s="24">
        <v>32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f t="shared" si="8"/>
        <v>47</v>
      </c>
      <c r="BY19" s="25" cm="1">
        <f t="array" ref="BY19:CJ19">IFERROR(VLOOKUP(A19,'[1]Acum-OB-kg-pob-25'!A:AQ,{17,18,19,20,21,22,23,24,25,26,27,28},0),0)</f>
        <v>0</v>
      </c>
      <c r="BZ19" s="25">
        <v>163</v>
      </c>
      <c r="CA19" s="25">
        <v>195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f t="shared" si="9"/>
        <v>358</v>
      </c>
      <c r="CL19" s="26" cm="1">
        <f t="array" ref="CL19:CW19">IFERROR(VLOOKUP(A19,'[1]Acum-OB-kg-pob-25'!A:AQ,{31,32,33,34,35,36,37,38,39,40,41,42},0),0)</f>
        <v>0</v>
      </c>
      <c r="CM19" s="26">
        <v>3339</v>
      </c>
      <c r="CN19" s="26">
        <v>8260</v>
      </c>
      <c r="CO19" s="26">
        <v>0</v>
      </c>
      <c r="CP19" s="26">
        <v>0</v>
      </c>
      <c r="CQ19" s="26">
        <v>0</v>
      </c>
      <c r="CR19" s="26">
        <v>0</v>
      </c>
      <c r="CS19" s="26">
        <v>0</v>
      </c>
      <c r="CT19" s="26">
        <v>0</v>
      </c>
      <c r="CU19" s="26">
        <v>0</v>
      </c>
      <c r="CV19" s="26">
        <v>0</v>
      </c>
      <c r="CW19" s="26">
        <v>0</v>
      </c>
      <c r="CX19" s="26">
        <f t="shared" si="10"/>
        <v>11599</v>
      </c>
      <c r="CY19" s="14" t="str">
        <f>IF(A19=0,0,IFERROR(VLOOKUP(A19,'[1]Info Donantes'!C:F,2,0),"Sin Contacto"))</f>
        <v>Viksi Hartmann</v>
      </c>
      <c r="CZ19" s="14" t="str">
        <f>IF(A19=0,0,IFERROR(VLOOKUP(A19,'[1]Info Donantes'!C:F,3,0),"Sin Correo"))</f>
        <v>vhartmann@colombina.com</v>
      </c>
      <c r="DA19" s="14" t="str">
        <f>IF(A19=0,0,IFERROR(VLOOKUP(A19,'[1]Info Donantes'!C:F,4,0),"Sin Telefono"))</f>
        <v>378-0900</v>
      </c>
      <c r="DB19" s="14" t="str">
        <f>IF(A19=0,0,"Reporte de Trazabiidad"&amp;" - "&amp;'[1]Resumen Donantes'!$C$2&amp;" - "&amp;A19&amp;"")</f>
        <v>Reporte de Trazabiidad -  - NEGOCIOS CENTROAMERICANOS, S.A</v>
      </c>
    </row>
    <row r="20" spans="1:106" x14ac:dyDescent="0.55000000000000004">
      <c r="A20" s="14" t="s">
        <v>124</v>
      </c>
      <c r="B20" s="15">
        <f>INT(IFERROR(VLOOKUP(A20,'[1]Resumen Donantes'!C:F,3,0),0))</f>
        <v>0</v>
      </c>
      <c r="C20" s="15">
        <f>INT(ROUND(IFERROR(VLOOKUP(A20,'[1]Resumen Donantes'!C:F,4,0),0),1))</f>
        <v>12986</v>
      </c>
      <c r="D20" s="16">
        <f t="shared" si="19"/>
        <v>12986</v>
      </c>
      <c r="E20" s="17" t="str">
        <f t="shared" si="20"/>
        <v>100.00%</v>
      </c>
      <c r="F20" s="17" t="str">
        <f t="shared" si="21"/>
        <v>0.0%</v>
      </c>
      <c r="G20" s="15">
        <f t="shared" si="22"/>
        <v>38958</v>
      </c>
      <c r="H20" s="18"/>
      <c r="I20" s="18">
        <f>IFERROR(VLOOKUP(A20,'[1]Lot All by Part'!T:Y,6,0),0)</f>
        <v>0</v>
      </c>
      <c r="J20" s="18"/>
      <c r="K20" s="19">
        <f>IFERROR(VLOOKUP($A20,'[1]OB Atendidas por Donantes'!A:N,3,0),0)</f>
        <v>25</v>
      </c>
      <c r="L20" s="19">
        <f>ROUNDUP(IF(A20=0,0,IFERROR(VLOOKUP($A20,'[1]Kilos Asignado del Donante'!A:O,3,0),0)),0)</f>
        <v>3790</v>
      </c>
      <c r="M20" s="19">
        <f>IF(A20=0,0,IFERROR(SUMIFS([1]Poblacion!M:M,[1]Poblacion!J:J,'MASTER-2025'!A20),0))</f>
        <v>0</v>
      </c>
      <c r="N20" s="20">
        <f>IFERROR(VLOOKUP($A20,'[1]OB Atendidas por Donantes'!A:N,4,0),0)</f>
        <v>34</v>
      </c>
      <c r="O20" s="20">
        <f>ROUNDUP(IF(A20=0,0,IFERROR(VLOOKUP($A20,'[1]Kilos Asignado del Donante'!A:O,4,0),0)),0)</f>
        <v>5244</v>
      </c>
      <c r="P20" s="20">
        <f>IF(A20=0,0,IFERROR(SUMIFS([1]Poblacion!N:N,[1]Poblacion!J:J,'MASTER-2025'!A20),0))</f>
        <v>0</v>
      </c>
      <c r="Q20" s="18">
        <f>IFERROR(VLOOKUP($A20,'[1]OB Atendidas por Donantes'!A:N,2,0),0)</f>
        <v>9</v>
      </c>
      <c r="R20" s="18">
        <f>ROUNDUP(ROUND(IF(A20=0,0,IFERROR(VLOOKUP($A20,'[1]Kilos Asignado del Donante'!A:O,9,0),0)),1),0)</f>
        <v>526</v>
      </c>
      <c r="S20" s="18">
        <f>IF(A20=0,0,IFERROR(SUMIFS([1]Poblacion!S:S,[1]Poblacion!J:J,'MASTER-2025'!A20),0))</f>
        <v>0</v>
      </c>
      <c r="T20" s="19">
        <f>IFERROR(VLOOKUP($A20,'[1]OB Atendidas por Donantes'!A:N,12,0),0)</f>
        <v>5</v>
      </c>
      <c r="U20" s="19">
        <f>ROUNDUP(IF(A20=0,0,IF(A20=0,0,IFERROR(VLOOKUP($A20,'[1]Kilos Asignado del Donante'!A:O,7,0),0))),0)</f>
        <v>514</v>
      </c>
      <c r="V20" s="19">
        <f>IF(A20=0,0,IFERROR(SUMIFS([1]Poblacion!Q:Q,[1]Poblacion!J:J,'MASTER-2025'!A20),0))</f>
        <v>0</v>
      </c>
      <c r="W20" s="20">
        <f>IFERROR(VLOOKUP($A20,'[1]OB Atendidas por Donantes'!A:N,10,0),0)</f>
        <v>18</v>
      </c>
      <c r="X20" s="20">
        <f>ROUNDUP(IF(A20=0,0,IFERROR(VLOOKUP($A20,'[1]Kilos Asignado del Donante'!A:N,5,0),0)),0)</f>
        <v>1839</v>
      </c>
      <c r="Y20" s="20">
        <f>IF(A20=0,0,IFERROR(SUMIFS([1]Poblacion!O:O,[1]Poblacion!J:J,'MASTER-2025'!A20),0))</f>
        <v>0</v>
      </c>
      <c r="Z20" s="18">
        <f>IFERROR(VLOOKUP($A20,'[1]OB Atendidas por Donantes'!A:N,6,0),0)</f>
        <v>5</v>
      </c>
      <c r="AA20" s="18">
        <f>ROUNDUP(IF(A20=0,0,IFERROR(VLOOKUP($A20,'[1]Kilos Asignado del Donante'!A:N,11,0),0)),0)</f>
        <v>5338</v>
      </c>
      <c r="AB20" s="18">
        <f>IF(A20=0,0,IFERROR(SUMIFS([1]Poblacion!U:U,[1]Poblacion!J:J,'MASTER-2025'!A20),0))</f>
        <v>0</v>
      </c>
      <c r="AC20" s="19">
        <f>IFERROR(VLOOKUP($A20,'[1]OB Atendidas por Donantes'!A:N,7,0),0)</f>
        <v>6</v>
      </c>
      <c r="AD20" s="19">
        <f>ROUNDUP(IF(A20=0,0,IFERROR(VLOOKUP($A20,'[1]Kilos Asignado del Donante'!A:N,8,0),0)),0)</f>
        <v>1723</v>
      </c>
      <c r="AE20" s="19">
        <f>IF(A20=0,0,IFERROR(SUMIFS([1]Poblacion!R:R,[1]Poblacion!J:J,'MASTER-2025'!A20),0))</f>
        <v>0</v>
      </c>
      <c r="AF20" s="20">
        <f>IFERROR(VLOOKUP($A20,'[1]OB Atendidas por Donantes'!A:N,8,0),0)</f>
        <v>3</v>
      </c>
      <c r="AG20" s="20">
        <f>ROUNDUP(IF(A20=0,0,IFERROR(VLOOKUP($A20,'[1]Kilos Asignado del Donante'!A:N,6,0),0)),0)</f>
        <v>100</v>
      </c>
      <c r="AH20" s="20">
        <f>IF(A20=0,0,IFERROR(SUMIFS([1]Poblacion!P:P,[1]Poblacion!J:J,'MASTER-2025'!A20),0))</f>
        <v>0</v>
      </c>
      <c r="AI20" s="18">
        <f>IFERROR(VLOOKUP($A20,'[1]OB Atendidas por Donantes'!A:N,9,0),0)</f>
        <v>2</v>
      </c>
      <c r="AJ20" s="18">
        <f>ROUNDUP(IF(A20=0,0,IFERROR(VLOOKUP($A20,'[1]Kilos Asignado del Donante'!A:N,12,0),0)),0)</f>
        <v>190</v>
      </c>
      <c r="AK20" s="18">
        <f>IF(A20=0,0,IFERROR(SUMIFS([1]Poblacion!V:V,[1]Poblacion!J:J,'MASTER-2025'!A20),0))</f>
        <v>0</v>
      </c>
      <c r="AL20" s="19">
        <f>IFERROR(VLOOKUP($A20,'[1]OB Atendidas por Donantes'!A:N,16,0),0)</f>
        <v>0</v>
      </c>
      <c r="AM20" s="19">
        <f>ROUNDUP(IF(A20=0,0,IFERROR(VLOOKUP($A20,'[1]Kilos Asignado del Donante'!A:O,16,0),0)),0)</f>
        <v>0</v>
      </c>
      <c r="AN20" s="19">
        <f>IF(A20=0,0,IFERROR(SUMIFS([1]Poblacion!Z:Z,[1]Poblacion!J:J,'MASTER-2025'!A20),0))</f>
        <v>0</v>
      </c>
      <c r="AO20" s="20">
        <f>IFERROR(VLOOKUP($A20,'[1]OB Atendidas por Donantes'!A:N,11,0),0)</f>
        <v>3</v>
      </c>
      <c r="AP20" s="20">
        <f>ROUNDUP(IF(A20=0,0,IFERROR(VLOOKUP($A20,'[1]Kilos Asignado del Donante'!A:N,13,0),0)),0)</f>
        <v>190</v>
      </c>
      <c r="AQ20" s="20">
        <f>IF(A20=0,0,IFERROR(SUMIFS([1]Poblacion!W:W,[1]Poblacion!J:J,'MASTER-2025'!A20),0))</f>
        <v>0</v>
      </c>
      <c r="AR20" s="18">
        <f>IFERROR(VLOOKUP($A20,'[1]OB Atendidas por Donantes'!A:N,5,0),0)</f>
        <v>8</v>
      </c>
      <c r="AS20" s="18">
        <f>ROUNDUP(IF(A20=0,0,IFERROR(VLOOKUP($A20,'[1]Kilos Asignado del Donante'!A:N,10,0),0)),0)</f>
        <v>4735</v>
      </c>
      <c r="AT20" s="18">
        <f>IF(A20=0,0,IFERROR(SUMIFS([1]Poblacion!T:T,[1]Poblacion!J:J,'MASTER-2025'!A20),0))</f>
        <v>0</v>
      </c>
      <c r="AU20" s="19">
        <f>IFERROR(VLOOKUP($A20,'[1]OB Atendidas por Donantes'!A:N,13,0),0)</f>
        <v>0</v>
      </c>
      <c r="AV20" s="19">
        <f>ROUNDUP(IF(A20=0,0,IFERROR(VLOOKUP($A20,'[1]Kilos Asignado del Donante'!A:N,14,0),0)),0)</f>
        <v>0</v>
      </c>
      <c r="AW20" s="19">
        <f>IF(A20=0,0,IFERROR(SUMIFS([1]Poblacion!X:X,[1]Poblacion!J:J,'MASTER-2025'!A20),0))</f>
        <v>0</v>
      </c>
      <c r="AX20" s="20">
        <f>IFERROR(VLOOKUP($A20,'[1]OB Atendidas por Donantes'!A:N,16,0),0)</f>
        <v>0</v>
      </c>
      <c r="AY20" s="20">
        <f>ROUNDUP(IF(A20=0,0,IFERROR(VLOOKUP($A20,'[1]Kilos Asignado del Donante'!A:O,16,0),0)),0)</f>
        <v>0</v>
      </c>
      <c r="AZ20" s="20">
        <f>IF(A20=0,0,IFERROR(SUMIFS([1]Poblacion!Y:Y,[1]Poblacion!J:J,'MASTER-2025'!A20),0))</f>
        <v>0</v>
      </c>
      <c r="BA20" s="21">
        <f t="shared" si="15"/>
        <v>118</v>
      </c>
      <c r="BB20" s="21">
        <f t="shared" si="23"/>
        <v>24189</v>
      </c>
      <c r="BC20" s="21">
        <f t="shared" si="24"/>
        <v>10074</v>
      </c>
      <c r="BD20" s="21">
        <f t="shared" si="17"/>
        <v>0</v>
      </c>
      <c r="BE20" s="22" t="e">
        <f>IF(A20=0,0,SUMIFS([1]Poblacion!C:C,[1]Poblacion!A:A,'MASTER-2025'!A20))</f>
        <v>#VALUE!</v>
      </c>
      <c r="BF20" s="22" t="e">
        <f>IF(A20=0,0,SUMIFS([1]Poblacion!D:D,[1]Poblacion!A:A,'MASTER-2025'!A20))</f>
        <v>#VALUE!</v>
      </c>
      <c r="BG20" s="22" t="e">
        <f>IF(A20=0,0,SUMIFS([1]Poblacion!E:E,[1]Poblacion!A:A,'MASTER-2025'!A20))</f>
        <v>#VALUE!</v>
      </c>
      <c r="BH20" s="22" t="e">
        <f>IF(A20=0,0,SUMIFS([1]Poblacion!F:F,[1]Poblacion!A:A,'MASTER-2025'!A20))</f>
        <v>#VALUE!</v>
      </c>
      <c r="BI20" s="22" t="e">
        <f t="shared" si="18"/>
        <v>#VALUE!</v>
      </c>
      <c r="BJ20" s="23" t="e">
        <f t="shared" si="7"/>
        <v>#VALUE!</v>
      </c>
      <c r="BK20" s="22" t="e">
        <f>IF(A20=0,0,SUMIFS([1]Poblacion!G:G,[1]Poblacion!A:A,'MASTER-2025'!A20))</f>
        <v>#VALUE!</v>
      </c>
      <c r="BL20" s="24" cm="1">
        <f t="array" ref="BL20:BW20">IFERROR(VLOOKUP(A20,'[1]Acum-OB-kg-pob-25'!A:AQ,{3,4,5,6,7,8,9,10,11,12,13,14},0),0)</f>
        <v>119</v>
      </c>
      <c r="BM20" s="24">
        <v>116</v>
      </c>
      <c r="BN20" s="24">
        <v>118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f t="shared" si="8"/>
        <v>353</v>
      </c>
      <c r="BY20" s="25" cm="1">
        <f t="array" ref="BY20:CJ20">IFERROR(VLOOKUP(A20,'[1]Acum-OB-kg-pob-25'!A:AQ,{17,18,19,20,21,22,23,24,25,26,27,28},0),0)</f>
        <v>64580</v>
      </c>
      <c r="BZ20" s="25">
        <v>27360</v>
      </c>
      <c r="CA20" s="25">
        <v>12986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f t="shared" si="9"/>
        <v>104926</v>
      </c>
      <c r="CL20" s="26" cm="1">
        <f t="array" ref="CL20:CW20">IFERROR(VLOOKUP(A20,'[1]Acum-OB-kg-pob-25'!A:AQ,{31,32,33,34,35,36,37,38,39,40,41,42},0),0)</f>
        <v>35910</v>
      </c>
      <c r="CM20" s="26">
        <v>33480</v>
      </c>
      <c r="CN20" s="26">
        <v>34296</v>
      </c>
      <c r="CO20" s="26">
        <v>0</v>
      </c>
      <c r="CP20" s="26">
        <v>0</v>
      </c>
      <c r="CQ20" s="26">
        <v>0</v>
      </c>
      <c r="CR20" s="26">
        <v>0</v>
      </c>
      <c r="CS20" s="26">
        <v>0</v>
      </c>
      <c r="CT20" s="26">
        <v>0</v>
      </c>
      <c r="CU20" s="26">
        <v>0</v>
      </c>
      <c r="CV20" s="26">
        <v>0</v>
      </c>
      <c r="CW20" s="26">
        <v>0</v>
      </c>
      <c r="CX20" s="26">
        <f t="shared" si="10"/>
        <v>103686</v>
      </c>
      <c r="CY20" s="14" t="str">
        <f>IF(A20=0,0,IFERROR(VLOOKUP(A20,'[1]Info Donantes'!C:F,2,0),"Sin Contacto"))</f>
        <v>Yira Matute</v>
      </c>
      <c r="CZ20" s="14" t="str">
        <f>IF(A20=0,0,IFERROR(VLOOKUP(A20,'[1]Info Donantes'!C:F,3,0),"Sin Correo"))</f>
        <v>yira.matute1@pa.nestle.com</v>
      </c>
      <c r="DA20" s="14" t="str">
        <f>IF(A20=0,0,IFERROR(VLOOKUP(A20,'[1]Info Donantes'!C:F,4,0),"Sin Telefono"))</f>
        <v>229-1333</v>
      </c>
      <c r="DB20" s="14" t="str">
        <f>IF(A20=0,0,"Reporte de Trazabiidad"&amp;" - "&amp;'[1]Resumen Donantes'!$C$2&amp;" - "&amp;A20&amp;"")</f>
        <v>Reporte de Trazabiidad -  - NESTLE PANAMA</v>
      </c>
    </row>
    <row r="21" spans="1:106" x14ac:dyDescent="0.55000000000000004">
      <c r="A21" s="14" t="s">
        <v>125</v>
      </c>
      <c r="B21" s="15">
        <f>INT(IFERROR(VLOOKUP(A21,'[1]Resumen Donantes'!C:F,3,0),0))</f>
        <v>0</v>
      </c>
      <c r="C21" s="15">
        <f>INT(ROUND(IFERROR(VLOOKUP(A21,'[1]Resumen Donantes'!C:F,4,0),0),1))</f>
        <v>8126</v>
      </c>
      <c r="D21" s="16">
        <f t="shared" si="19"/>
        <v>8126</v>
      </c>
      <c r="E21" s="17" t="str">
        <f t="shared" si="20"/>
        <v>100.00%</v>
      </c>
      <c r="F21" s="17" t="str">
        <f t="shared" si="21"/>
        <v>0.0%</v>
      </c>
      <c r="G21" s="15">
        <f t="shared" si="22"/>
        <v>24378</v>
      </c>
      <c r="H21" s="18"/>
      <c r="I21" s="18">
        <f>IFERROR(VLOOKUP(A21,'[1]Lot All by Part'!T:Y,6,0),0)</f>
        <v>0</v>
      </c>
      <c r="J21" s="18"/>
      <c r="K21" s="19">
        <f>IFERROR(VLOOKUP($A21,'[1]OB Atendidas por Donantes'!A:N,3,0),0)</f>
        <v>4</v>
      </c>
      <c r="L21" s="19">
        <f>ROUNDUP(IF(A21=0,0,IFERROR(VLOOKUP($A21,'[1]Kilos Asignado del Donante'!A:O,3,0),0)),0)</f>
        <v>719</v>
      </c>
      <c r="M21" s="19">
        <f>IF(A21=0,0,IFERROR(SUMIFS([1]Poblacion!M:M,[1]Poblacion!J:J,'MASTER-2025'!A21),0))</f>
        <v>0</v>
      </c>
      <c r="N21" s="20">
        <f>IFERROR(VLOOKUP($A21,'[1]OB Atendidas por Donantes'!A:N,4,0),0)</f>
        <v>7</v>
      </c>
      <c r="O21" s="20">
        <f>ROUNDUP(IF(A21=0,0,IFERROR(VLOOKUP($A21,'[1]Kilos Asignado del Donante'!A:O,4,0),0)),0)</f>
        <v>991</v>
      </c>
      <c r="P21" s="20">
        <f>IF(A21=0,0,IFERROR(SUMIFS([1]Poblacion!N:N,[1]Poblacion!J:J,'MASTER-2025'!A21),0))</f>
        <v>0</v>
      </c>
      <c r="Q21" s="18">
        <f>IFERROR(VLOOKUP($A21,'[1]OB Atendidas por Donantes'!A:N,2,0),0)</f>
        <v>1</v>
      </c>
      <c r="R21" s="18">
        <f>ROUNDUP(ROUND(IF(A21=0,0,IFERROR(VLOOKUP($A21,'[1]Kilos Asignado del Donante'!A:O,9,0),0)),1),0)</f>
        <v>5</v>
      </c>
      <c r="S21" s="18">
        <f>IF(A21=0,0,IFERROR(SUMIFS([1]Poblacion!S:S,[1]Poblacion!J:J,'MASTER-2025'!A21),0))</f>
        <v>0</v>
      </c>
      <c r="T21" s="19">
        <f>IFERROR(VLOOKUP($A21,'[1]OB Atendidas por Donantes'!A:N,12,0),0)</f>
        <v>3</v>
      </c>
      <c r="U21" s="19">
        <f>ROUNDUP(IF(A21=0,0,IF(A21=0,0,IFERROR(VLOOKUP($A21,'[1]Kilos Asignado del Donante'!A:O,7,0),0))),0)</f>
        <v>75</v>
      </c>
      <c r="V21" s="19">
        <f>IF(A21=0,0,IFERROR(SUMIFS([1]Poblacion!Q:Q,[1]Poblacion!J:J,'MASTER-2025'!A21),0))</f>
        <v>0</v>
      </c>
      <c r="W21" s="20">
        <f>IFERROR(VLOOKUP($A21,'[1]OB Atendidas por Donantes'!A:N,10,0),0)</f>
        <v>3</v>
      </c>
      <c r="X21" s="20">
        <f>ROUNDUP(IF(A21=0,0,IFERROR(VLOOKUP($A21,'[1]Kilos Asignado del Donante'!A:N,5,0),0)),0)</f>
        <v>130</v>
      </c>
      <c r="Y21" s="20">
        <f>IF(A21=0,0,IFERROR(SUMIFS([1]Poblacion!O:O,[1]Poblacion!J:J,'MASTER-2025'!A21),0))</f>
        <v>0</v>
      </c>
      <c r="Z21" s="18">
        <f>IFERROR(VLOOKUP($A21,'[1]OB Atendidas por Donantes'!A:N,6,0),0)</f>
        <v>5</v>
      </c>
      <c r="AA21" s="18">
        <f>ROUNDUP(IF(A21=0,0,IFERROR(VLOOKUP($A21,'[1]Kilos Asignado del Donante'!A:N,11,0),0)),0)</f>
        <v>210</v>
      </c>
      <c r="AB21" s="18">
        <f>IF(A21=0,0,IFERROR(SUMIFS([1]Poblacion!U:U,[1]Poblacion!J:J,'MASTER-2025'!A21),0))</f>
        <v>0</v>
      </c>
      <c r="AC21" s="19">
        <f>IFERROR(VLOOKUP($A21,'[1]OB Atendidas por Donantes'!A:N,7,0),0)</f>
        <v>0</v>
      </c>
      <c r="AD21" s="19">
        <f>ROUNDUP(IF(A21=0,0,IFERROR(VLOOKUP($A21,'[1]Kilos Asignado del Donante'!A:N,8,0),0)),0)</f>
        <v>0</v>
      </c>
      <c r="AE21" s="19">
        <f>IF(A21=0,0,IFERROR(SUMIFS([1]Poblacion!R:R,[1]Poblacion!J:J,'MASTER-2025'!A21),0))</f>
        <v>0</v>
      </c>
      <c r="AF21" s="20">
        <f>IFERROR(VLOOKUP($A21,'[1]OB Atendidas por Donantes'!A:N,8,0),0)</f>
        <v>1</v>
      </c>
      <c r="AG21" s="20">
        <f>ROUNDUP(IF(A21=0,0,IFERROR(VLOOKUP($A21,'[1]Kilos Asignado del Donante'!A:N,6,0),0)),0)</f>
        <v>15</v>
      </c>
      <c r="AH21" s="20">
        <f>IF(A21=0,0,IFERROR(SUMIFS([1]Poblacion!P:P,[1]Poblacion!J:J,'MASTER-2025'!A21),0))</f>
        <v>0</v>
      </c>
      <c r="AI21" s="18">
        <f>IFERROR(VLOOKUP($A21,'[1]OB Atendidas por Donantes'!A:N,9,0),0)</f>
        <v>2</v>
      </c>
      <c r="AJ21" s="18">
        <f>ROUNDUP(IF(A21=0,0,IFERROR(VLOOKUP($A21,'[1]Kilos Asignado del Donante'!A:N,12,0),0)),0)</f>
        <v>266</v>
      </c>
      <c r="AK21" s="18">
        <f>IF(A21=0,0,IFERROR(SUMIFS([1]Poblacion!V:V,[1]Poblacion!J:J,'MASTER-2025'!A21),0))</f>
        <v>0</v>
      </c>
      <c r="AL21" s="19">
        <f>IFERROR(VLOOKUP($A21,'[1]OB Atendidas por Donantes'!A:N,16,0),0)</f>
        <v>0</v>
      </c>
      <c r="AM21" s="19">
        <f>ROUNDUP(IF(A21=0,0,IFERROR(VLOOKUP($A21,'[1]Kilos Asignado del Donante'!A:O,16,0),0)),0)</f>
        <v>0</v>
      </c>
      <c r="AN21" s="19">
        <f>IF(A21=0,0,IFERROR(SUMIFS([1]Poblacion!Z:Z,[1]Poblacion!J:J,'MASTER-2025'!A21),0))</f>
        <v>0</v>
      </c>
      <c r="AO21" s="20">
        <f>IFERROR(VLOOKUP($A21,'[1]OB Atendidas por Donantes'!A:N,11,0),0)</f>
        <v>2</v>
      </c>
      <c r="AP21" s="20">
        <f>ROUNDUP(IF(A21=0,0,IFERROR(VLOOKUP($A21,'[1]Kilos Asignado del Donante'!A:N,13,0),0)),0)</f>
        <v>70</v>
      </c>
      <c r="AQ21" s="20">
        <f>IF(A21=0,0,IFERROR(SUMIFS([1]Poblacion!W:W,[1]Poblacion!J:J,'MASTER-2025'!A21),0))</f>
        <v>0</v>
      </c>
      <c r="AR21" s="18">
        <f>IFERROR(VLOOKUP($A21,'[1]OB Atendidas por Donantes'!A:N,5,0),0)</f>
        <v>4</v>
      </c>
      <c r="AS21" s="18">
        <f>ROUNDUP(IF(A21=0,0,IFERROR(VLOOKUP($A21,'[1]Kilos Asignado del Donante'!A:N,10,0),0)),0)</f>
        <v>294</v>
      </c>
      <c r="AT21" s="18">
        <f>IF(A21=0,0,IFERROR(SUMIFS([1]Poblacion!T:T,[1]Poblacion!J:J,'MASTER-2025'!A21),0))</f>
        <v>0</v>
      </c>
      <c r="AU21" s="19">
        <f>IFERROR(VLOOKUP($A21,'[1]OB Atendidas por Donantes'!A:N,13,0),0)</f>
        <v>0</v>
      </c>
      <c r="AV21" s="19">
        <f>ROUNDUP(IF(A21=0,0,IFERROR(VLOOKUP($A21,'[1]Kilos Asignado del Donante'!A:N,14,0),0)),0)</f>
        <v>0</v>
      </c>
      <c r="AW21" s="19">
        <f>IF(A21=0,0,IFERROR(SUMIFS([1]Poblacion!X:X,[1]Poblacion!J:J,'MASTER-2025'!A21),0))</f>
        <v>0</v>
      </c>
      <c r="AX21" s="20">
        <f>IFERROR(VLOOKUP($A21,'[1]OB Atendidas por Donantes'!A:N,16,0),0)</f>
        <v>0</v>
      </c>
      <c r="AY21" s="20">
        <f>ROUNDUP(IF(A21=0,0,IFERROR(VLOOKUP($A21,'[1]Kilos Asignado del Donante'!A:O,16,0),0)),0)</f>
        <v>0</v>
      </c>
      <c r="AZ21" s="20">
        <f>IF(A21=0,0,IFERROR(SUMIFS([1]Poblacion!Y:Y,[1]Poblacion!J:J,'MASTER-2025'!A21),0))</f>
        <v>0</v>
      </c>
      <c r="BA21" s="21">
        <f t="shared" si="15"/>
        <v>32</v>
      </c>
      <c r="BB21" s="21">
        <f t="shared" si="23"/>
        <v>2775</v>
      </c>
      <c r="BC21" s="21">
        <f t="shared" si="24"/>
        <v>1790</v>
      </c>
      <c r="BD21" s="21">
        <f t="shared" si="17"/>
        <v>0</v>
      </c>
      <c r="BE21" s="22" t="e">
        <f>IF(A21=0,0,SUMIFS([1]Poblacion!C:C,[1]Poblacion!A:A,'MASTER-2025'!A21))</f>
        <v>#VALUE!</v>
      </c>
      <c r="BF21" s="22" t="e">
        <f>IF(A21=0,0,SUMIFS([1]Poblacion!D:D,[1]Poblacion!A:A,'MASTER-2025'!A21))</f>
        <v>#VALUE!</v>
      </c>
      <c r="BG21" s="22" t="e">
        <f>IF(A21=0,0,SUMIFS([1]Poblacion!E:E,[1]Poblacion!A:A,'MASTER-2025'!A21))</f>
        <v>#VALUE!</v>
      </c>
      <c r="BH21" s="22" t="e">
        <f>IF(A21=0,0,SUMIFS([1]Poblacion!F:F,[1]Poblacion!A:A,'MASTER-2025'!A21))</f>
        <v>#VALUE!</v>
      </c>
      <c r="BI21" s="22" t="e">
        <f t="shared" si="18"/>
        <v>#VALUE!</v>
      </c>
      <c r="BJ21" s="23" t="e">
        <f t="shared" si="7"/>
        <v>#VALUE!</v>
      </c>
      <c r="BK21" s="22" t="e">
        <f>IF(A21=0,0,SUMIFS([1]Poblacion!G:G,[1]Poblacion!A:A,'MASTER-2025'!A21))</f>
        <v>#VALUE!</v>
      </c>
      <c r="BL21" s="24" cm="1">
        <f t="array" ref="BL21:BW21">IFERROR(VLOOKUP(A21,'[1]Acum-OB-kg-pob-25'!A:AQ,{3,4,5,6,7,8,9,10,11,12,13,14},0),0)</f>
        <v>34</v>
      </c>
      <c r="BM21" s="24">
        <v>49</v>
      </c>
      <c r="BN21" s="24">
        <v>32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f t="shared" si="8"/>
        <v>115</v>
      </c>
      <c r="BY21" s="25" cm="1">
        <f t="array" ref="BY21:CJ21">IFERROR(VLOOKUP(A21,'[1]Acum-OB-kg-pob-25'!A:AQ,{17,18,19,20,21,22,23,24,25,26,27,28},0),0)</f>
        <v>4842</v>
      </c>
      <c r="BZ21" s="25">
        <v>4059</v>
      </c>
      <c r="CA21" s="25">
        <v>8126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0</v>
      </c>
      <c r="CH21" s="25">
        <v>0</v>
      </c>
      <c r="CI21" s="25">
        <v>0</v>
      </c>
      <c r="CJ21" s="25">
        <v>0</v>
      </c>
      <c r="CK21" s="25">
        <f t="shared" si="9"/>
        <v>17027</v>
      </c>
      <c r="CL21" s="26" cm="1">
        <f t="array" ref="CL21:CW21">IFERROR(VLOOKUP(A21,'[1]Acum-OB-kg-pob-25'!A:AQ,{31,32,33,34,35,36,37,38,39,40,41,42},0),0)</f>
        <v>9935</v>
      </c>
      <c r="CM21" s="26">
        <v>18038</v>
      </c>
      <c r="CN21" s="26">
        <v>13644</v>
      </c>
      <c r="CO21" s="26">
        <v>0</v>
      </c>
      <c r="CP21" s="26">
        <v>0</v>
      </c>
      <c r="CQ21" s="26">
        <v>0</v>
      </c>
      <c r="CR21" s="26">
        <v>0</v>
      </c>
      <c r="CS21" s="26">
        <v>0</v>
      </c>
      <c r="CT21" s="26">
        <v>0</v>
      </c>
      <c r="CU21" s="26">
        <v>0</v>
      </c>
      <c r="CV21" s="26">
        <v>0</v>
      </c>
      <c r="CW21" s="26">
        <v>0</v>
      </c>
      <c r="CX21" s="26">
        <f t="shared" si="10"/>
        <v>41617</v>
      </c>
      <c r="CY21" s="14" t="str">
        <f>IF(A21=0,0,IFERROR(VLOOKUP(A21,'[1]Info Donantes'!C:F,2,0),"Sin Contacto"))</f>
        <v>Lynn R. Carranza</v>
      </c>
      <c r="CZ21" s="14" t="str">
        <f>IF(A21=0,0,IFERROR(VLOOKUP(A21,'[1]Info Donantes'!C:F,3,0),"Sin Correo"))</f>
        <v>ordendemaltapanama@gmail.com</v>
      </c>
      <c r="DA21" s="14" t="str">
        <f>IF(A21=0,0,IFERROR(VLOOKUP(A21,'[1]Info Donantes'!C:F,4,0),"Sin Telefono"))</f>
        <v>270-1496</v>
      </c>
      <c r="DB21" s="14" t="str">
        <f>IF(A21=0,0,"Reporte de Trazabiidad"&amp;" - "&amp;'[1]Resumen Donantes'!$C$2&amp;" - "&amp;A21&amp;"")</f>
        <v>Reporte de Trazabiidad -  - ORDEN DE MALTA PANAMA ASOCIACION PANAMEÑA</v>
      </c>
    </row>
    <row r="22" spans="1:106" x14ac:dyDescent="0.55000000000000004">
      <c r="A22" s="14" t="s">
        <v>126</v>
      </c>
      <c r="B22" s="15">
        <f>INT(IFERROR(VLOOKUP(A22,'[1]Resumen Donantes'!C:F,3,0),0))</f>
        <v>0</v>
      </c>
      <c r="C22" s="15">
        <f>INT(ROUND(IFERROR(VLOOKUP(A22,'[1]Resumen Donantes'!C:F,4,0),0),1))</f>
        <v>60</v>
      </c>
      <c r="D22" s="16">
        <f t="shared" si="19"/>
        <v>60</v>
      </c>
      <c r="E22" s="17" t="str">
        <f t="shared" si="20"/>
        <v>100.00%</v>
      </c>
      <c r="F22" s="17" t="str">
        <f t="shared" si="21"/>
        <v>0.0%</v>
      </c>
      <c r="G22" s="15">
        <f t="shared" si="22"/>
        <v>180</v>
      </c>
      <c r="H22" s="18"/>
      <c r="I22" s="18">
        <f>IFERROR(VLOOKUP(A22,'[1]Lot All by Part'!T:Y,6,0),0)</f>
        <v>0</v>
      </c>
      <c r="J22" s="18"/>
      <c r="K22" s="19">
        <f>IFERROR(VLOOKUP($A22,'[1]OB Atendidas por Donantes'!A:N,3,0),0)</f>
        <v>6</v>
      </c>
      <c r="L22" s="19">
        <f>ROUNDUP(IF(A22=0,0,IFERROR(VLOOKUP($A22,'[1]Kilos Asignado del Donante'!A:O,3,0),0)),0)</f>
        <v>19</v>
      </c>
      <c r="M22" s="19">
        <f>IF(A22=0,0,IFERROR(SUMIFS([1]Poblacion!M:M,[1]Poblacion!J:J,'MASTER-2025'!A22),0))</f>
        <v>0</v>
      </c>
      <c r="N22" s="20">
        <f>IFERROR(VLOOKUP($A22,'[1]OB Atendidas por Donantes'!A:N,4,0),0)</f>
        <v>8</v>
      </c>
      <c r="O22" s="20">
        <f>ROUNDUP(IF(A22=0,0,IFERROR(VLOOKUP($A22,'[1]Kilos Asignado del Donante'!A:O,4,0),0)),0)</f>
        <v>18</v>
      </c>
      <c r="P22" s="20">
        <f>IF(A22=0,0,IFERROR(SUMIFS([1]Poblacion!N:N,[1]Poblacion!J:J,'MASTER-2025'!A22),0))</f>
        <v>0</v>
      </c>
      <c r="Q22" s="18">
        <f>IFERROR(VLOOKUP($A22,'[1]OB Atendidas por Donantes'!A:N,2,0),0)</f>
        <v>4</v>
      </c>
      <c r="R22" s="18">
        <f>ROUNDUP(ROUND(IF(A22=0,0,IFERROR(VLOOKUP($A22,'[1]Kilos Asignado del Donante'!A:O,9,0),0)),1),0)</f>
        <v>6</v>
      </c>
      <c r="S22" s="18">
        <f>IF(A22=0,0,IFERROR(SUMIFS([1]Poblacion!S:S,[1]Poblacion!J:J,'MASTER-2025'!A22),0))</f>
        <v>0</v>
      </c>
      <c r="T22" s="19">
        <f>IFERROR(VLOOKUP($A22,'[1]OB Atendidas por Donantes'!A:N,12,0),0)</f>
        <v>1</v>
      </c>
      <c r="U22" s="19">
        <f>ROUNDUP(IF(A22=0,0,IF(A22=0,0,IFERROR(VLOOKUP($A22,'[1]Kilos Asignado del Donante'!A:O,7,0),0))),0)</f>
        <v>1</v>
      </c>
      <c r="V22" s="19">
        <f>IF(A22=0,0,IFERROR(SUMIFS([1]Poblacion!Q:Q,[1]Poblacion!J:J,'MASTER-2025'!A22),0))</f>
        <v>0</v>
      </c>
      <c r="W22" s="20">
        <f>IFERROR(VLOOKUP($A22,'[1]OB Atendidas por Donantes'!A:N,10,0),0)</f>
        <v>2</v>
      </c>
      <c r="X22" s="20">
        <f>ROUNDUP(IF(A22=0,0,IFERROR(VLOOKUP($A22,'[1]Kilos Asignado del Donante'!A:N,5,0),0)),0)</f>
        <v>2</v>
      </c>
      <c r="Y22" s="20">
        <f>IF(A22=0,0,IFERROR(SUMIFS([1]Poblacion!O:O,[1]Poblacion!J:J,'MASTER-2025'!A22),0))</f>
        <v>0</v>
      </c>
      <c r="Z22" s="18">
        <f>IFERROR(VLOOKUP($A22,'[1]OB Atendidas por Donantes'!A:N,6,0),0)</f>
        <v>0</v>
      </c>
      <c r="AA22" s="18">
        <f>ROUNDUP(IF(A22=0,0,IFERROR(VLOOKUP($A22,'[1]Kilos Asignado del Donante'!A:N,11,0),0)),0)</f>
        <v>0</v>
      </c>
      <c r="AB22" s="18">
        <f>IF(A22=0,0,IFERROR(SUMIFS([1]Poblacion!U:U,[1]Poblacion!J:J,'MASTER-2025'!A22),0))</f>
        <v>0</v>
      </c>
      <c r="AC22" s="19">
        <f>IFERROR(VLOOKUP($A22,'[1]OB Atendidas por Donantes'!A:N,7,0),0)</f>
        <v>2</v>
      </c>
      <c r="AD22" s="19">
        <f>ROUNDUP(IF(A22=0,0,IFERROR(VLOOKUP($A22,'[1]Kilos Asignado del Donante'!A:N,8,0),0)),0)</f>
        <v>10</v>
      </c>
      <c r="AE22" s="19">
        <f>IF(A22=0,0,IFERROR(SUMIFS([1]Poblacion!R:R,[1]Poblacion!J:J,'MASTER-2025'!A22),0))</f>
        <v>0</v>
      </c>
      <c r="AF22" s="20">
        <f>IFERROR(VLOOKUP($A22,'[1]OB Atendidas por Donantes'!A:N,8,0),0)</f>
        <v>0</v>
      </c>
      <c r="AG22" s="20">
        <f>ROUNDUP(IF(A22=0,0,IFERROR(VLOOKUP($A22,'[1]Kilos Asignado del Donante'!A:N,6,0),0)),0)</f>
        <v>0</v>
      </c>
      <c r="AH22" s="20">
        <f>IF(A22=0,0,IFERROR(SUMIFS([1]Poblacion!P:P,[1]Poblacion!J:J,'MASTER-2025'!A22),0))</f>
        <v>0</v>
      </c>
      <c r="AI22" s="18">
        <f>IFERROR(VLOOKUP($A22,'[1]OB Atendidas por Donantes'!A:N,9,0),0)</f>
        <v>0</v>
      </c>
      <c r="AJ22" s="18">
        <f>ROUNDUP(IF(A22=0,0,IFERROR(VLOOKUP($A22,'[1]Kilos Asignado del Donante'!A:N,12,0),0)),0)</f>
        <v>0</v>
      </c>
      <c r="AK22" s="18">
        <f>IF(A22=0,0,IFERROR(SUMIFS([1]Poblacion!V:V,[1]Poblacion!J:J,'MASTER-2025'!A22),0))</f>
        <v>0</v>
      </c>
      <c r="AL22" s="19">
        <f>IFERROR(VLOOKUP($A22,'[1]OB Atendidas por Donantes'!A:N,16,0),0)</f>
        <v>0</v>
      </c>
      <c r="AM22" s="19">
        <f>ROUNDUP(IF(A22=0,0,IFERROR(VLOOKUP($A22,'[1]Kilos Asignado del Donante'!A:O,16,0),0)),0)</f>
        <v>0</v>
      </c>
      <c r="AN22" s="19">
        <f>IF(A22=0,0,IFERROR(SUMIFS([1]Poblacion!Z:Z,[1]Poblacion!J:J,'MASTER-2025'!A22),0))</f>
        <v>0</v>
      </c>
      <c r="AO22" s="20">
        <f>IFERROR(VLOOKUP($A22,'[1]OB Atendidas por Donantes'!A:N,11,0),0)</f>
        <v>0</v>
      </c>
      <c r="AP22" s="20">
        <f>ROUNDUP(IF(A22=0,0,IFERROR(VLOOKUP($A22,'[1]Kilos Asignado del Donante'!A:N,13,0),0)),0)</f>
        <v>0</v>
      </c>
      <c r="AQ22" s="20">
        <f>IF(A22=0,0,IFERROR(SUMIFS([1]Poblacion!W:W,[1]Poblacion!J:J,'MASTER-2025'!A22),0))</f>
        <v>0</v>
      </c>
      <c r="AR22" s="18">
        <f>IFERROR(VLOOKUP($A22,'[1]OB Atendidas por Donantes'!A:N,5,0),0)</f>
        <v>0</v>
      </c>
      <c r="AS22" s="18">
        <f>ROUNDUP(IF(A22=0,0,IFERROR(VLOOKUP($A22,'[1]Kilos Asignado del Donante'!A:N,10,0),0)),0)</f>
        <v>0</v>
      </c>
      <c r="AT22" s="18">
        <f>IF(A22=0,0,IFERROR(SUMIFS([1]Poblacion!T:T,[1]Poblacion!J:J,'MASTER-2025'!A22),0))</f>
        <v>0</v>
      </c>
      <c r="AU22" s="19">
        <f>IFERROR(VLOOKUP($A22,'[1]OB Atendidas por Donantes'!A:N,13,0),0)</f>
        <v>0</v>
      </c>
      <c r="AV22" s="19">
        <f>ROUNDUP(IF(A22=0,0,IFERROR(VLOOKUP($A22,'[1]Kilos Asignado del Donante'!A:N,14,0),0)),0)</f>
        <v>0</v>
      </c>
      <c r="AW22" s="19">
        <f>IF(A22=0,0,IFERROR(SUMIFS([1]Poblacion!X:X,[1]Poblacion!J:J,'MASTER-2025'!A22),0))</f>
        <v>0</v>
      </c>
      <c r="AX22" s="20">
        <f>IFERROR(VLOOKUP($A22,'[1]OB Atendidas por Donantes'!A:N,16,0),0)</f>
        <v>0</v>
      </c>
      <c r="AY22" s="20">
        <f>ROUNDUP(IF(A22=0,0,IFERROR(VLOOKUP($A22,'[1]Kilos Asignado del Donante'!A:O,16,0),0)),0)</f>
        <v>0</v>
      </c>
      <c r="AZ22" s="20">
        <f>IF(A22=0,0,IFERROR(SUMIFS([1]Poblacion!Y:Y,[1]Poblacion!J:J,'MASTER-2025'!A22),0))</f>
        <v>0</v>
      </c>
      <c r="BA22" s="21">
        <f t="shared" si="15"/>
        <v>23</v>
      </c>
      <c r="BB22" s="21">
        <f t="shared" si="23"/>
        <v>56</v>
      </c>
      <c r="BC22" s="21">
        <f t="shared" si="24"/>
        <v>44</v>
      </c>
      <c r="BD22" s="21">
        <f t="shared" si="17"/>
        <v>0</v>
      </c>
      <c r="BE22" s="22" t="e">
        <f>IF(A22=0,0,SUMIFS([1]Poblacion!C:C,[1]Poblacion!A:A,'MASTER-2025'!A22))</f>
        <v>#VALUE!</v>
      </c>
      <c r="BF22" s="22" t="e">
        <f>IF(A22=0,0,SUMIFS([1]Poblacion!D:D,[1]Poblacion!A:A,'MASTER-2025'!A22))</f>
        <v>#VALUE!</v>
      </c>
      <c r="BG22" s="22" t="e">
        <f>IF(A22=0,0,SUMIFS([1]Poblacion!E:E,[1]Poblacion!A:A,'MASTER-2025'!A22))</f>
        <v>#VALUE!</v>
      </c>
      <c r="BH22" s="22" t="e">
        <f>IF(A22=0,0,SUMIFS([1]Poblacion!F:F,[1]Poblacion!A:A,'MASTER-2025'!A22))</f>
        <v>#VALUE!</v>
      </c>
      <c r="BI22" s="22" t="e">
        <f t="shared" si="18"/>
        <v>#VALUE!</v>
      </c>
      <c r="BJ22" s="23" t="e">
        <f t="shared" si="7"/>
        <v>#VALUE!</v>
      </c>
      <c r="BK22" s="22" t="e">
        <f>IF(A22=0,0,SUMIFS([1]Poblacion!G:G,[1]Poblacion!A:A,'MASTER-2025'!A22))</f>
        <v>#VALUE!</v>
      </c>
      <c r="BL22" s="24" cm="1">
        <f t="array" ref="BL22:BW22">IFERROR(VLOOKUP(A22,'[1]Acum-OB-kg-pob-25'!A:AQ,{3,4,5,6,7,8,9,10,11,12,13,14},0),0)</f>
        <v>11</v>
      </c>
      <c r="BM22" s="24">
        <v>17</v>
      </c>
      <c r="BN22" s="24">
        <v>23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4">
        <v>0</v>
      </c>
      <c r="BV22" s="24">
        <v>0</v>
      </c>
      <c r="BW22" s="24">
        <v>0</v>
      </c>
      <c r="BX22" s="24">
        <f t="shared" si="8"/>
        <v>51</v>
      </c>
      <c r="BY22" s="25" cm="1">
        <f t="array" ref="BY22:CJ22">IFERROR(VLOOKUP(A22,'[1]Acum-OB-kg-pob-25'!A:AQ,{17,18,19,20,21,22,23,24,25,26,27,28},0),0)</f>
        <v>60</v>
      </c>
      <c r="BZ22" s="25">
        <v>60</v>
      </c>
      <c r="CA22" s="25">
        <v>60</v>
      </c>
      <c r="CB22" s="25">
        <v>0</v>
      </c>
      <c r="CC22" s="25">
        <v>0</v>
      </c>
      <c r="CD22" s="25">
        <v>0</v>
      </c>
      <c r="CE22" s="25">
        <v>0</v>
      </c>
      <c r="CF22" s="25">
        <v>0</v>
      </c>
      <c r="CG22" s="25">
        <v>0</v>
      </c>
      <c r="CH22" s="25">
        <v>0</v>
      </c>
      <c r="CI22" s="25">
        <v>0</v>
      </c>
      <c r="CJ22" s="25">
        <v>0</v>
      </c>
      <c r="CK22" s="25">
        <f t="shared" si="9"/>
        <v>180</v>
      </c>
      <c r="CL22" s="26" cm="1">
        <f t="array" ref="CL22:CW22">IFERROR(VLOOKUP(A22,'[1]Acum-OB-kg-pob-25'!A:AQ,{31,32,33,34,35,36,37,38,39,40,41,42},0),0)</f>
        <v>6410</v>
      </c>
      <c r="CM22" s="26">
        <v>6617</v>
      </c>
      <c r="CN22" s="26">
        <v>8108</v>
      </c>
      <c r="CO22" s="26">
        <v>0</v>
      </c>
      <c r="CP22" s="26">
        <v>0</v>
      </c>
      <c r="CQ22" s="26">
        <v>0</v>
      </c>
      <c r="CR22" s="26">
        <v>0</v>
      </c>
      <c r="CS22" s="26">
        <v>0</v>
      </c>
      <c r="CT22" s="26">
        <v>0</v>
      </c>
      <c r="CU22" s="26">
        <v>0</v>
      </c>
      <c r="CV22" s="26">
        <v>0</v>
      </c>
      <c r="CW22" s="26">
        <v>0</v>
      </c>
      <c r="CX22" s="26">
        <f t="shared" si="10"/>
        <v>21135</v>
      </c>
      <c r="CY22" s="14" t="str">
        <f>IF(A22=0,0,IFERROR(VLOOKUP(A22,'[1]Info Donantes'!C:F,2,0),"Sin Contacto"))</f>
        <v>Irma Ramos de Lopez</v>
      </c>
      <c r="CZ22" s="14" t="str">
        <f>IF(A22=0,0,IFERROR(VLOOKUP(A22,'[1]Info Donantes'!C:F,3,0),"Sin Correo"))</f>
        <v>panasal@cwpanama.net</v>
      </c>
      <c r="DA22" s="14" t="str">
        <f>IF(A22=0,0,IFERROR(VLOOKUP(A22,'[1]Info Donantes'!C:F,4,0),"Sin Telefono"))</f>
        <v>2208588</v>
      </c>
      <c r="DB22" s="14" t="str">
        <f>IF(A22=0,0,"Reporte de Trazabiidad"&amp;" - "&amp;'[1]Resumen Donantes'!$C$2&amp;" - "&amp;A22&amp;"")</f>
        <v>Reporte de Trazabiidad -  - PANASAL</v>
      </c>
    </row>
    <row r="23" spans="1:106" x14ac:dyDescent="0.55000000000000004">
      <c r="A23" s="14" t="s">
        <v>127</v>
      </c>
      <c r="B23" s="15">
        <f>INT(IFERROR(VLOOKUP(A23,'[1]Resumen Donantes'!C:F,3,0),0))</f>
        <v>0</v>
      </c>
      <c r="C23" s="15">
        <f>INT(ROUND(IFERROR(VLOOKUP(A23,'[1]Resumen Donantes'!C:F,4,0),0),1))</f>
        <v>0</v>
      </c>
      <c r="D23" s="16">
        <f t="shared" si="19"/>
        <v>0</v>
      </c>
      <c r="E23" s="17" t="str">
        <f t="shared" si="20"/>
        <v>0.00%</v>
      </c>
      <c r="F23" s="17" t="str">
        <f t="shared" si="21"/>
        <v>0.0%</v>
      </c>
      <c r="G23" s="15">
        <f t="shared" si="22"/>
        <v>0</v>
      </c>
      <c r="H23" s="18"/>
      <c r="I23" s="18">
        <f>IFERROR(VLOOKUP(A23,'[1]Lot All by Part'!T:Y,6,0),0)</f>
        <v>0</v>
      </c>
      <c r="J23" s="18"/>
      <c r="K23" s="19">
        <f>IFERROR(VLOOKUP($A23,'[1]OB Atendidas por Donantes'!A:N,3,0),0)</f>
        <v>4</v>
      </c>
      <c r="L23" s="19">
        <f>ROUNDUP(IF(A23=0,0,IFERROR(VLOOKUP($A23,'[1]Kilos Asignado del Donante'!A:O,3,0),0)),0)</f>
        <v>35</v>
      </c>
      <c r="M23" s="19">
        <f>IF(A23=0,0,IFERROR(SUMIFS([1]Poblacion!M:M,[1]Poblacion!J:J,'MASTER-2025'!A23),0))</f>
        <v>0</v>
      </c>
      <c r="N23" s="20">
        <f>IFERROR(VLOOKUP($A23,'[1]OB Atendidas por Donantes'!A:N,4,0),0)</f>
        <v>4</v>
      </c>
      <c r="O23" s="20">
        <f>ROUNDUP(IF(A23=0,0,IFERROR(VLOOKUP($A23,'[1]Kilos Asignado del Donante'!A:O,4,0),0)),0)</f>
        <v>20</v>
      </c>
      <c r="P23" s="20">
        <f>IF(A23=0,0,IFERROR(SUMIFS([1]Poblacion!N:N,[1]Poblacion!J:J,'MASTER-2025'!A23),0))</f>
        <v>0</v>
      </c>
      <c r="Q23" s="18">
        <f>IFERROR(VLOOKUP($A23,'[1]OB Atendidas por Donantes'!A:N,2,0),0)</f>
        <v>5</v>
      </c>
      <c r="R23" s="18">
        <f>ROUNDUP(ROUND(IF(A23=0,0,IFERROR(VLOOKUP($A23,'[1]Kilos Asignado del Donante'!A:O,9,0),0)),1),0)</f>
        <v>45</v>
      </c>
      <c r="S23" s="18">
        <f>IF(A23=0,0,IFERROR(SUMIFS([1]Poblacion!S:S,[1]Poblacion!J:J,'MASTER-2025'!A23),0))</f>
        <v>0</v>
      </c>
      <c r="T23" s="19">
        <f>IFERROR(VLOOKUP($A23,'[1]OB Atendidas por Donantes'!A:N,12,0),0)</f>
        <v>2</v>
      </c>
      <c r="U23" s="19">
        <f>ROUNDUP(IF(A23=0,0,IF(A23=0,0,IFERROR(VLOOKUP($A23,'[1]Kilos Asignado del Donante'!A:O,7,0),0))),0)</f>
        <v>10</v>
      </c>
      <c r="V23" s="19">
        <f>IF(A23=0,0,IFERROR(SUMIFS([1]Poblacion!Q:Q,[1]Poblacion!J:J,'MASTER-2025'!A23),0))</f>
        <v>0</v>
      </c>
      <c r="W23" s="20">
        <f>IFERROR(VLOOKUP($A23,'[1]OB Atendidas por Donantes'!A:N,10,0),0)</f>
        <v>4</v>
      </c>
      <c r="X23" s="20">
        <f>ROUNDUP(IF(A23=0,0,IFERROR(VLOOKUP($A23,'[1]Kilos Asignado del Donante'!A:N,5,0),0)),0)</f>
        <v>20</v>
      </c>
      <c r="Y23" s="20">
        <f>IF(A23=0,0,IFERROR(SUMIFS([1]Poblacion!O:O,[1]Poblacion!J:J,'MASTER-2025'!A23),0))</f>
        <v>0</v>
      </c>
      <c r="Z23" s="18">
        <f>IFERROR(VLOOKUP($A23,'[1]OB Atendidas por Donantes'!A:N,6,0),0)</f>
        <v>0</v>
      </c>
      <c r="AA23" s="18">
        <f>ROUNDUP(IF(A23=0,0,IFERROR(VLOOKUP($A23,'[1]Kilos Asignado del Donante'!A:N,11,0),0)),0)</f>
        <v>0</v>
      </c>
      <c r="AB23" s="18">
        <f>IF(A23=0,0,IFERROR(SUMIFS([1]Poblacion!U:U,[1]Poblacion!J:J,'MASTER-2025'!A23),0))</f>
        <v>0</v>
      </c>
      <c r="AC23" s="19">
        <f>IFERROR(VLOOKUP($A23,'[1]OB Atendidas por Donantes'!A:N,7,0),0)</f>
        <v>0</v>
      </c>
      <c r="AD23" s="19">
        <f>ROUNDUP(IF(A23=0,0,IFERROR(VLOOKUP($A23,'[1]Kilos Asignado del Donante'!A:N,8,0),0)),0)</f>
        <v>0</v>
      </c>
      <c r="AE23" s="19">
        <f>IF(A23=0,0,IFERROR(SUMIFS([1]Poblacion!R:R,[1]Poblacion!J:J,'MASTER-2025'!A23),0))</f>
        <v>0</v>
      </c>
      <c r="AF23" s="20">
        <f>IFERROR(VLOOKUP($A23,'[1]OB Atendidas por Donantes'!A:N,8,0),0)</f>
        <v>0</v>
      </c>
      <c r="AG23" s="20">
        <f>ROUNDUP(IF(A23=0,0,IFERROR(VLOOKUP($A23,'[1]Kilos Asignado del Donante'!A:N,6,0),0)),0)</f>
        <v>0</v>
      </c>
      <c r="AH23" s="20">
        <f>IF(A23=0,0,IFERROR(SUMIFS([1]Poblacion!P:P,[1]Poblacion!J:J,'MASTER-2025'!A23),0))</f>
        <v>0</v>
      </c>
      <c r="AI23" s="18">
        <f>IFERROR(VLOOKUP($A23,'[1]OB Atendidas por Donantes'!A:N,9,0),0)</f>
        <v>0</v>
      </c>
      <c r="AJ23" s="18">
        <f>ROUNDUP(IF(A23=0,0,IFERROR(VLOOKUP($A23,'[1]Kilos Asignado del Donante'!A:N,12,0),0)),0)</f>
        <v>0</v>
      </c>
      <c r="AK23" s="18">
        <f>IF(A23=0,0,IFERROR(SUMIFS([1]Poblacion!V:V,[1]Poblacion!J:J,'MASTER-2025'!A23),0))</f>
        <v>0</v>
      </c>
      <c r="AL23" s="19">
        <f>IFERROR(VLOOKUP($A23,'[1]OB Atendidas por Donantes'!A:N,16,0),0)</f>
        <v>0</v>
      </c>
      <c r="AM23" s="19">
        <f>ROUNDUP(IF(A23=0,0,IFERROR(VLOOKUP($A23,'[1]Kilos Asignado del Donante'!A:O,16,0),0)),0)</f>
        <v>0</v>
      </c>
      <c r="AN23" s="19">
        <f>IF(A23=0,0,IFERROR(SUMIFS([1]Poblacion!Z:Z,[1]Poblacion!J:J,'MASTER-2025'!A23),0))</f>
        <v>0</v>
      </c>
      <c r="AO23" s="20">
        <f>IFERROR(VLOOKUP($A23,'[1]OB Atendidas por Donantes'!A:N,11,0),0)</f>
        <v>0</v>
      </c>
      <c r="AP23" s="20">
        <f>ROUNDUP(IF(A23=0,0,IFERROR(VLOOKUP($A23,'[1]Kilos Asignado del Donante'!A:N,13,0),0)),0)</f>
        <v>0</v>
      </c>
      <c r="AQ23" s="20">
        <f>IF(A23=0,0,IFERROR(SUMIFS([1]Poblacion!W:W,[1]Poblacion!J:J,'MASTER-2025'!A23),0))</f>
        <v>0</v>
      </c>
      <c r="AR23" s="18">
        <f>IFERROR(VLOOKUP($A23,'[1]OB Atendidas por Donantes'!A:N,5,0),0)</f>
        <v>0</v>
      </c>
      <c r="AS23" s="18">
        <f>ROUNDUP(IF(A23=0,0,IFERROR(VLOOKUP($A23,'[1]Kilos Asignado del Donante'!A:N,10,0),0)),0)</f>
        <v>0</v>
      </c>
      <c r="AT23" s="18">
        <f>IF(A23=0,0,IFERROR(SUMIFS([1]Poblacion!T:T,[1]Poblacion!J:J,'MASTER-2025'!A23),0))</f>
        <v>0</v>
      </c>
      <c r="AU23" s="19">
        <f>IFERROR(VLOOKUP($A23,'[1]OB Atendidas por Donantes'!A:N,13,0),0)</f>
        <v>0</v>
      </c>
      <c r="AV23" s="19">
        <f>ROUNDUP(IF(A23=0,0,IFERROR(VLOOKUP($A23,'[1]Kilos Asignado del Donante'!A:N,14,0),0)),0)</f>
        <v>0</v>
      </c>
      <c r="AW23" s="19">
        <f>IF(A23=0,0,IFERROR(SUMIFS([1]Poblacion!X:X,[1]Poblacion!J:J,'MASTER-2025'!A23),0))</f>
        <v>0</v>
      </c>
      <c r="AX23" s="20">
        <f>IFERROR(VLOOKUP($A23,'[1]OB Atendidas por Donantes'!A:N,16,0),0)</f>
        <v>0</v>
      </c>
      <c r="AY23" s="20">
        <f>ROUNDUP(IF(A23=0,0,IFERROR(VLOOKUP($A23,'[1]Kilos Asignado del Donante'!A:O,16,0),0)),0)</f>
        <v>0</v>
      </c>
      <c r="AZ23" s="20">
        <f>IF(A23=0,0,IFERROR(SUMIFS([1]Poblacion!Y:Y,[1]Poblacion!J:J,'MASTER-2025'!A23),0))</f>
        <v>0</v>
      </c>
      <c r="BA23" s="21">
        <f t="shared" si="15"/>
        <v>19</v>
      </c>
      <c r="BB23" s="21">
        <f t="shared" si="23"/>
        <v>130</v>
      </c>
      <c r="BC23" s="21">
        <f t="shared" si="24"/>
        <v>110</v>
      </c>
      <c r="BD23" s="21">
        <f t="shared" si="17"/>
        <v>0</v>
      </c>
      <c r="BE23" s="22" t="e">
        <f>IF(A23=0,0,SUMIFS([1]Poblacion!C:C,[1]Poblacion!A:A,'MASTER-2025'!A23))</f>
        <v>#VALUE!</v>
      </c>
      <c r="BF23" s="22" t="e">
        <f>IF(A23=0,0,SUMIFS([1]Poblacion!D:D,[1]Poblacion!A:A,'MASTER-2025'!A23))</f>
        <v>#VALUE!</v>
      </c>
      <c r="BG23" s="22" t="e">
        <f>IF(A23=0,0,SUMIFS([1]Poblacion!E:E,[1]Poblacion!A:A,'MASTER-2025'!A23))</f>
        <v>#VALUE!</v>
      </c>
      <c r="BH23" s="22" t="e">
        <f>IF(A23=0,0,SUMIFS([1]Poblacion!F:F,[1]Poblacion!A:A,'MASTER-2025'!A23))</f>
        <v>#VALUE!</v>
      </c>
      <c r="BI23" s="22" t="e">
        <f t="shared" si="18"/>
        <v>#VALUE!</v>
      </c>
      <c r="BJ23" s="23" t="e">
        <f t="shared" si="7"/>
        <v>#VALUE!</v>
      </c>
      <c r="BK23" s="22" t="e">
        <f>IF(A23=0,0,SUMIFS([1]Poblacion!G:G,[1]Poblacion!A:A,'MASTER-2025'!A23))</f>
        <v>#VALUE!</v>
      </c>
      <c r="BL23" s="24" cm="1">
        <f t="array" ref="BL23:BW23">IFERROR(VLOOKUP(A23,'[1]Acum-OB-kg-pob-25'!A:AQ,{3,4,5,6,7,8,9,10,11,12,13,14},0),0)</f>
        <v>17</v>
      </c>
      <c r="BM23" s="24">
        <v>36</v>
      </c>
      <c r="BN23" s="24">
        <v>19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  <c r="BU23" s="24">
        <v>0</v>
      </c>
      <c r="BV23" s="24">
        <v>0</v>
      </c>
      <c r="BW23" s="24">
        <v>0</v>
      </c>
      <c r="BX23" s="24">
        <f t="shared" si="8"/>
        <v>72</v>
      </c>
      <c r="BY23" s="25" cm="1">
        <f t="array" ref="BY23:CJ23">IFERROR(VLOOKUP(A23,'[1]Acum-OB-kg-pob-25'!A:AQ,{17,18,19,20,21,22,23,24,25,26,27,28},0),0)</f>
        <v>141</v>
      </c>
      <c r="BZ23" s="25">
        <v>500</v>
      </c>
      <c r="CA23" s="25">
        <v>0</v>
      </c>
      <c r="CB23" s="25">
        <v>0</v>
      </c>
      <c r="CC23" s="25">
        <v>0</v>
      </c>
      <c r="CD23" s="25">
        <v>0</v>
      </c>
      <c r="CE23" s="25">
        <v>0</v>
      </c>
      <c r="CF23" s="25">
        <v>0</v>
      </c>
      <c r="CG23" s="25">
        <v>0</v>
      </c>
      <c r="CH23" s="25">
        <v>0</v>
      </c>
      <c r="CI23" s="25">
        <v>0</v>
      </c>
      <c r="CJ23" s="25">
        <v>0</v>
      </c>
      <c r="CK23" s="25">
        <f t="shared" si="9"/>
        <v>641</v>
      </c>
      <c r="CL23" s="26" cm="1">
        <f t="array" ref="CL23:CW23">IFERROR(VLOOKUP(A23,'[1]Acum-OB-kg-pob-25'!A:AQ,{31,32,33,34,35,36,37,38,39,40,41,42},0),0)</f>
        <v>5006</v>
      </c>
      <c r="CM23" s="26">
        <v>13004</v>
      </c>
      <c r="CN23" s="26">
        <v>2793</v>
      </c>
      <c r="CO23" s="26">
        <v>0</v>
      </c>
      <c r="CP23" s="26">
        <v>0</v>
      </c>
      <c r="CQ23" s="26">
        <v>0</v>
      </c>
      <c r="CR23" s="26">
        <v>0</v>
      </c>
      <c r="CS23" s="26">
        <v>0</v>
      </c>
      <c r="CT23" s="26">
        <v>0</v>
      </c>
      <c r="CU23" s="26">
        <v>0</v>
      </c>
      <c r="CV23" s="26">
        <v>0</v>
      </c>
      <c r="CW23" s="26">
        <v>0</v>
      </c>
      <c r="CX23" s="26">
        <f t="shared" si="10"/>
        <v>20803</v>
      </c>
      <c r="CY23" s="14" t="str">
        <f>IF(A23=0,0,IFERROR(VLOOKUP(A23,'[1]Info Donantes'!C:F,2,0),"Sin Contacto"))</f>
        <v>Sheila Samaniego</v>
      </c>
      <c r="CZ23" s="14" t="str">
        <f>IF(A23=0,0,IFERROR(VLOOKUP(A23,'[1]Info Donantes'!C:F,3,0),"Sin Correo"))</f>
        <v>sheila.samaniego@pffsa.com</v>
      </c>
      <c r="DA23" s="14" t="str">
        <f>IF(A23=0,0,IFERROR(VLOOKUP(A23,'[1]Info Donantes'!C:F,4,0),"Sin Telefono"))</f>
        <v>222-2555</v>
      </c>
      <c r="DB23" s="14" t="str">
        <f>IF(A23=0,0,"Reporte de Trazabiidad"&amp;" - "&amp;'[1]Resumen Donantes'!$C$2&amp;" - "&amp;A23&amp;"")</f>
        <v>Reporte de Trazabiidad -  - PEDERSEN FINE FOODS, S.A</v>
      </c>
    </row>
    <row r="24" spans="1:106" x14ac:dyDescent="0.55000000000000004">
      <c r="A24" s="14" t="s">
        <v>128</v>
      </c>
      <c r="B24" s="15">
        <f>INT(IFERROR(VLOOKUP(A24,'[1]Resumen Donantes'!C:F,3,0),0))</f>
        <v>597</v>
      </c>
      <c r="C24" s="15">
        <f>INT(ROUND(IFERROR(VLOOKUP(A24,'[1]Resumen Donantes'!C:F,4,0),0),1))</f>
        <v>6631</v>
      </c>
      <c r="D24" s="16">
        <f t="shared" si="19"/>
        <v>6034</v>
      </c>
      <c r="E24" s="17" t="str">
        <f t="shared" si="20"/>
        <v>91.00%</v>
      </c>
      <c r="F24" s="17" t="str">
        <f t="shared" si="21"/>
        <v>9.0%</v>
      </c>
      <c r="G24" s="15">
        <f t="shared" si="22"/>
        <v>18102</v>
      </c>
      <c r="H24" s="18"/>
      <c r="I24" s="18">
        <f>IFERROR(VLOOKUP(A24,'[1]Lot All by Part'!T:Y,6,0),0)</f>
        <v>0</v>
      </c>
      <c r="J24" s="18"/>
      <c r="K24" s="19">
        <f>IFERROR(VLOOKUP($A24,'[1]OB Atendidas por Donantes'!A:N,3,0),0)</f>
        <v>18</v>
      </c>
      <c r="L24" s="19">
        <f>ROUNDUP(IF(A24=0,0,IFERROR(VLOOKUP($A24,'[1]Kilos Asignado del Donante'!A:O,3,0),0)),0)</f>
        <v>1044</v>
      </c>
      <c r="M24" s="19">
        <f>IF(A24=0,0,IFERROR(SUMIFS([1]Poblacion!M:M,[1]Poblacion!J:J,'MASTER-2025'!A24),0))</f>
        <v>0</v>
      </c>
      <c r="N24" s="20">
        <f>IFERROR(VLOOKUP($A24,'[1]OB Atendidas por Donantes'!A:N,4,0),0)</f>
        <v>35</v>
      </c>
      <c r="O24" s="20">
        <f>ROUNDUP(IF(A24=0,0,IFERROR(VLOOKUP($A24,'[1]Kilos Asignado del Donante'!A:O,4,0),0)),0)</f>
        <v>2150</v>
      </c>
      <c r="P24" s="20">
        <f>IF(A24=0,0,IFERROR(SUMIFS([1]Poblacion!N:N,[1]Poblacion!J:J,'MASTER-2025'!A24),0))</f>
        <v>0</v>
      </c>
      <c r="Q24" s="18">
        <f>IFERROR(VLOOKUP($A24,'[1]OB Atendidas por Donantes'!A:N,2,0),0)</f>
        <v>8</v>
      </c>
      <c r="R24" s="18">
        <f>ROUNDUP(ROUND(IF(A24=0,0,IFERROR(VLOOKUP($A24,'[1]Kilos Asignado del Donante'!A:O,9,0),0)),1),0)</f>
        <v>150</v>
      </c>
      <c r="S24" s="18">
        <f>IF(A24=0,0,IFERROR(SUMIFS([1]Poblacion!S:S,[1]Poblacion!J:J,'MASTER-2025'!A24),0))</f>
        <v>0</v>
      </c>
      <c r="T24" s="19">
        <f>IFERROR(VLOOKUP($A24,'[1]OB Atendidas por Donantes'!A:N,12,0),0)</f>
        <v>4</v>
      </c>
      <c r="U24" s="19">
        <f>ROUNDUP(IF(A24=0,0,IF(A24=0,0,IFERROR(VLOOKUP($A24,'[1]Kilos Asignado del Donante'!A:O,7,0),0))),0)</f>
        <v>79</v>
      </c>
      <c r="V24" s="19">
        <f>IF(A24=0,0,IFERROR(SUMIFS([1]Poblacion!Q:Q,[1]Poblacion!J:J,'MASTER-2025'!A24),0))</f>
        <v>0</v>
      </c>
      <c r="W24" s="20">
        <f>IFERROR(VLOOKUP($A24,'[1]OB Atendidas por Donantes'!A:N,10,0),0)</f>
        <v>16</v>
      </c>
      <c r="X24" s="20">
        <f>ROUNDUP(IF(A24=0,0,IFERROR(VLOOKUP($A24,'[1]Kilos Asignado del Donante'!A:N,5,0),0)),0)</f>
        <v>731</v>
      </c>
      <c r="Y24" s="20">
        <f>IF(A24=0,0,IFERROR(SUMIFS([1]Poblacion!O:O,[1]Poblacion!J:J,'MASTER-2025'!A24),0))</f>
        <v>0</v>
      </c>
      <c r="Z24" s="18">
        <f>IFERROR(VLOOKUP($A24,'[1]OB Atendidas por Donantes'!A:N,6,0),0)</f>
        <v>3</v>
      </c>
      <c r="AA24" s="18">
        <f>ROUNDUP(IF(A24=0,0,IFERROR(VLOOKUP($A24,'[1]Kilos Asignado del Donante'!A:N,11,0),0)),0)</f>
        <v>163</v>
      </c>
      <c r="AB24" s="18">
        <f>IF(A24=0,0,IFERROR(SUMIFS([1]Poblacion!U:U,[1]Poblacion!J:J,'MASTER-2025'!A24),0))</f>
        <v>0</v>
      </c>
      <c r="AC24" s="19">
        <f>IFERROR(VLOOKUP($A24,'[1]OB Atendidas por Donantes'!A:N,7,0),0)</f>
        <v>4</v>
      </c>
      <c r="AD24" s="19">
        <f>ROUNDUP(IF(A24=0,0,IFERROR(VLOOKUP($A24,'[1]Kilos Asignado del Donante'!A:N,8,0),0)),0)</f>
        <v>492</v>
      </c>
      <c r="AE24" s="19">
        <f>IF(A24=0,0,IFERROR(SUMIFS([1]Poblacion!R:R,[1]Poblacion!J:J,'MASTER-2025'!A24),0))</f>
        <v>0</v>
      </c>
      <c r="AF24" s="20">
        <f>IFERROR(VLOOKUP($A24,'[1]OB Atendidas por Donantes'!A:N,8,0),0)</f>
        <v>2</v>
      </c>
      <c r="AG24" s="20">
        <f>ROUNDUP(IF(A24=0,0,IFERROR(VLOOKUP($A24,'[1]Kilos Asignado del Donante'!A:N,6,0),0)),0)</f>
        <v>16</v>
      </c>
      <c r="AH24" s="20">
        <f>IF(A24=0,0,IFERROR(SUMIFS([1]Poblacion!P:P,[1]Poblacion!J:J,'MASTER-2025'!A24),0))</f>
        <v>0</v>
      </c>
      <c r="AI24" s="18">
        <f>IFERROR(VLOOKUP($A24,'[1]OB Atendidas por Donantes'!A:N,9,0),0)</f>
        <v>3</v>
      </c>
      <c r="AJ24" s="18">
        <f>ROUNDUP(IF(A24=0,0,IFERROR(VLOOKUP($A24,'[1]Kilos Asignado del Donante'!A:N,12,0),0)),0)</f>
        <v>192</v>
      </c>
      <c r="AK24" s="18">
        <f>IF(A24=0,0,IFERROR(SUMIFS([1]Poblacion!V:V,[1]Poblacion!J:J,'MASTER-2025'!A24),0))</f>
        <v>0</v>
      </c>
      <c r="AL24" s="19">
        <f>IFERROR(VLOOKUP($A24,'[1]OB Atendidas por Donantes'!A:N,16,0),0)</f>
        <v>0</v>
      </c>
      <c r="AM24" s="19">
        <f>ROUNDUP(IF(A24=0,0,IFERROR(VLOOKUP($A24,'[1]Kilos Asignado del Donante'!A:O,16,0),0)),0)</f>
        <v>0</v>
      </c>
      <c r="AN24" s="19">
        <f>IF(A24=0,0,IFERROR(SUMIFS([1]Poblacion!Z:Z,[1]Poblacion!J:J,'MASTER-2025'!A24),0))</f>
        <v>0</v>
      </c>
      <c r="AO24" s="20">
        <f>IFERROR(VLOOKUP($A24,'[1]OB Atendidas por Donantes'!A:N,11,0),0)</f>
        <v>3</v>
      </c>
      <c r="AP24" s="20">
        <f>ROUNDUP(IF(A24=0,0,IFERROR(VLOOKUP($A24,'[1]Kilos Asignado del Donante'!A:N,13,0),0)),0)</f>
        <v>135</v>
      </c>
      <c r="AQ24" s="20">
        <f>IF(A24=0,0,IFERROR(SUMIFS([1]Poblacion!W:W,[1]Poblacion!J:J,'MASTER-2025'!A24),0))</f>
        <v>0</v>
      </c>
      <c r="AR24" s="18">
        <f>IFERROR(VLOOKUP($A24,'[1]OB Atendidas por Donantes'!A:N,5,0),0)</f>
        <v>9</v>
      </c>
      <c r="AS24" s="18">
        <f>ROUNDUP(IF(A24=0,0,IFERROR(VLOOKUP($A24,'[1]Kilos Asignado del Donante'!A:N,10,0),0)),0)</f>
        <v>265</v>
      </c>
      <c r="AT24" s="18">
        <f>IF(A24=0,0,IFERROR(SUMIFS([1]Poblacion!T:T,[1]Poblacion!J:J,'MASTER-2025'!A24),0))</f>
        <v>0</v>
      </c>
      <c r="AU24" s="19">
        <f>IFERROR(VLOOKUP($A24,'[1]OB Atendidas por Donantes'!A:N,13,0),0)</f>
        <v>0</v>
      </c>
      <c r="AV24" s="19">
        <f>ROUNDUP(IF(A24=0,0,IFERROR(VLOOKUP($A24,'[1]Kilos Asignado del Donante'!A:N,14,0),0)),0)</f>
        <v>0</v>
      </c>
      <c r="AW24" s="19">
        <f>IF(A24=0,0,IFERROR(SUMIFS([1]Poblacion!X:X,[1]Poblacion!J:J,'MASTER-2025'!A24),0))</f>
        <v>0</v>
      </c>
      <c r="AX24" s="20">
        <f>IFERROR(VLOOKUP($A24,'[1]OB Atendidas por Donantes'!A:N,16,0),0)</f>
        <v>0</v>
      </c>
      <c r="AY24" s="20">
        <f>ROUNDUP(IF(A24=0,0,IFERROR(VLOOKUP($A24,'[1]Kilos Asignado del Donante'!A:O,16,0),0)),0)</f>
        <v>0</v>
      </c>
      <c r="AZ24" s="20">
        <f>IF(A24=0,0,IFERROR(SUMIFS([1]Poblacion!Y:Y,[1]Poblacion!J:J,'MASTER-2025'!A24),0))</f>
        <v>0</v>
      </c>
      <c r="BA24" s="21">
        <f t="shared" si="15"/>
        <v>105</v>
      </c>
      <c r="BB24" s="21">
        <f t="shared" si="23"/>
        <v>5417</v>
      </c>
      <c r="BC24" s="21">
        <f t="shared" si="24"/>
        <v>3423</v>
      </c>
      <c r="BD24" s="21">
        <f t="shared" si="17"/>
        <v>0</v>
      </c>
      <c r="BE24" s="22" t="e">
        <f>IF(A24=0,0,SUMIFS([1]Poblacion!C:C,[1]Poblacion!A:A,'MASTER-2025'!A24))</f>
        <v>#VALUE!</v>
      </c>
      <c r="BF24" s="22" t="e">
        <f>IF(A24=0,0,SUMIFS([1]Poblacion!D:D,[1]Poblacion!A:A,'MASTER-2025'!A24))</f>
        <v>#VALUE!</v>
      </c>
      <c r="BG24" s="22" t="e">
        <f>IF(A24=0,0,SUMIFS([1]Poblacion!E:E,[1]Poblacion!A:A,'MASTER-2025'!A24))</f>
        <v>#VALUE!</v>
      </c>
      <c r="BH24" s="22" t="e">
        <f>IF(A24=0,0,SUMIFS([1]Poblacion!F:F,[1]Poblacion!A:A,'MASTER-2025'!A24))</f>
        <v>#VALUE!</v>
      </c>
      <c r="BI24" s="22" t="e">
        <f t="shared" si="18"/>
        <v>#VALUE!</v>
      </c>
      <c r="BJ24" s="23" t="e">
        <f t="shared" si="7"/>
        <v>#VALUE!</v>
      </c>
      <c r="BK24" s="22" t="e">
        <f>IF(A24=0,0,SUMIFS([1]Poblacion!G:G,[1]Poblacion!A:A,'MASTER-2025'!A24))</f>
        <v>#VALUE!</v>
      </c>
      <c r="BL24" s="24" cm="1">
        <f t="array" ref="BL24:BW24">IFERROR(VLOOKUP(A24,'[1]Acum-OB-kg-pob-25'!A:AQ,{3,4,5,6,7,8,9,10,11,12,13,14},0),0)</f>
        <v>83</v>
      </c>
      <c r="BM24" s="24">
        <v>96</v>
      </c>
      <c r="BN24" s="24">
        <v>105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  <c r="BU24" s="24">
        <v>0</v>
      </c>
      <c r="BV24" s="24">
        <v>0</v>
      </c>
      <c r="BW24" s="24">
        <v>0</v>
      </c>
      <c r="BX24" s="24">
        <f t="shared" si="8"/>
        <v>284</v>
      </c>
      <c r="BY24" s="25" cm="1">
        <f t="array" ref="BY24:CJ24">IFERROR(VLOOKUP(A24,'[1]Acum-OB-kg-pob-25'!A:AQ,{17,18,19,20,21,22,23,24,25,26,27,28},0),0)</f>
        <v>7423</v>
      </c>
      <c r="BZ24" s="25">
        <v>6052</v>
      </c>
      <c r="CA24" s="25">
        <v>6631</v>
      </c>
      <c r="CB24" s="25">
        <v>0</v>
      </c>
      <c r="CC24" s="25">
        <v>0</v>
      </c>
      <c r="CD24" s="25">
        <v>0</v>
      </c>
      <c r="CE24" s="25">
        <v>0</v>
      </c>
      <c r="CF24" s="25">
        <v>0</v>
      </c>
      <c r="CG24" s="25">
        <v>0</v>
      </c>
      <c r="CH24" s="25">
        <v>0</v>
      </c>
      <c r="CI24" s="25">
        <v>0</v>
      </c>
      <c r="CJ24" s="25">
        <v>0</v>
      </c>
      <c r="CK24" s="25">
        <f t="shared" si="9"/>
        <v>20106</v>
      </c>
      <c r="CL24" s="26" cm="1">
        <f t="array" ref="CL24:CW24">IFERROR(VLOOKUP(A24,'[1]Acum-OB-kg-pob-25'!A:AQ,{31,32,33,34,35,36,37,38,39,40,41,42},0),0)</f>
        <v>27876</v>
      </c>
      <c r="CM24" s="26">
        <v>31318</v>
      </c>
      <c r="CN24" s="26">
        <v>25606</v>
      </c>
      <c r="CO24" s="26">
        <v>0</v>
      </c>
      <c r="CP24" s="26">
        <v>0</v>
      </c>
      <c r="CQ24" s="26">
        <v>0</v>
      </c>
      <c r="CR24" s="26">
        <v>0</v>
      </c>
      <c r="CS24" s="26">
        <v>0</v>
      </c>
      <c r="CT24" s="26">
        <v>0</v>
      </c>
      <c r="CU24" s="26">
        <v>0</v>
      </c>
      <c r="CV24" s="26">
        <v>0</v>
      </c>
      <c r="CW24" s="26">
        <v>0</v>
      </c>
      <c r="CX24" s="26">
        <f t="shared" si="10"/>
        <v>84800</v>
      </c>
      <c r="CY24" s="14" t="str">
        <f>IF(A24=0,0,IFERROR(VLOOKUP(A24,'[1]Info Donantes'!C:F,2,0),"Sin Contacto"))</f>
        <v>Marabeth Gonzalez</v>
      </c>
      <c r="CZ24" s="14" t="str">
        <f>IF(A24=0,0,IFERROR(VLOOKUP(A24,'[1]Info Donantes'!C:F,3,0),"Sin Correo"))</f>
        <v>jbarron@pricephilanthropies.org</v>
      </c>
      <c r="DA24" s="14" t="str">
        <f>IF(A24=0,0,IFERROR(VLOOKUP(A24,'[1]Info Donantes'!C:F,4,0),"Sin Telefono"))</f>
        <v>217-8100</v>
      </c>
      <c r="DB24" s="14" t="str">
        <f>IF(A24=0,0,"Reporte de Trazabiidad"&amp;" - "&amp;'[1]Resumen Donantes'!$C$2&amp;" - "&amp;A24&amp;"")</f>
        <v>Reporte de Trazabiidad -  - Price-Smart-Panama S.A</v>
      </c>
    </row>
    <row r="25" spans="1:106" x14ac:dyDescent="0.55000000000000004">
      <c r="A25" s="14" t="s">
        <v>129</v>
      </c>
      <c r="B25" s="15">
        <f>INT(IFERROR(VLOOKUP(A25,'[1]Resumen Donantes'!C:F,3,0),0))</f>
        <v>0</v>
      </c>
      <c r="C25" s="15">
        <f>INT(ROUND(IFERROR(VLOOKUP(A25,'[1]Resumen Donantes'!C:F,4,0),0),1))</f>
        <v>144</v>
      </c>
      <c r="D25" s="16">
        <f t="shared" si="19"/>
        <v>144</v>
      </c>
      <c r="E25" s="17" t="str">
        <f t="shared" si="20"/>
        <v>100.00%</v>
      </c>
      <c r="F25" s="17" t="str">
        <f t="shared" si="21"/>
        <v>0.0%</v>
      </c>
      <c r="G25" s="15">
        <f>INT(D25*3)</f>
        <v>432</v>
      </c>
      <c r="H25" s="18"/>
      <c r="I25" s="18">
        <f>IFERROR(VLOOKUP(A25,'[1]Lot All by Part'!T:Y,6,0),0)</f>
        <v>0</v>
      </c>
      <c r="J25" s="18"/>
      <c r="K25" s="19">
        <f>IFERROR(VLOOKUP($A25,'[1]OB Atendidas por Donantes'!A:N,3,0),0)</f>
        <v>0</v>
      </c>
      <c r="L25" s="19">
        <f>ROUNDUP(IF(A25=0,0,IFERROR(VLOOKUP($A25,'[1]Kilos Asignado del Donante'!A:O,3,0),0)),0)</f>
        <v>0</v>
      </c>
      <c r="M25" s="19">
        <f>IF(A25=0,0,IFERROR(SUMIFS([1]Poblacion!M:M,[1]Poblacion!J:J,'MASTER-2025'!A25),0))</f>
        <v>0</v>
      </c>
      <c r="N25" s="20">
        <f>IFERROR(VLOOKUP($A25,'[1]OB Atendidas por Donantes'!A:N,4,0),0)</f>
        <v>0</v>
      </c>
      <c r="O25" s="20">
        <f>ROUNDUP(IF(A25=0,0,IFERROR(VLOOKUP($A25,'[1]Kilos Asignado del Donante'!A:O,4,0),0)),0)</f>
        <v>0</v>
      </c>
      <c r="P25" s="20">
        <f>IF(A25=0,0,IFERROR(SUMIFS([1]Poblacion!N:N,[1]Poblacion!J:J,'MASTER-2025'!A25),0))</f>
        <v>0</v>
      </c>
      <c r="Q25" s="18">
        <f>IFERROR(VLOOKUP($A25,'[1]OB Atendidas por Donantes'!A:N,2,0),0)</f>
        <v>0</v>
      </c>
      <c r="R25" s="18">
        <f>ROUNDUP(ROUND(IF(A25=0,0,IFERROR(VLOOKUP($A25,'[1]Kilos Asignado del Donante'!A:O,9,0),0)),1),0)</f>
        <v>0</v>
      </c>
      <c r="S25" s="18">
        <f>IF(A25=0,0,IFERROR(SUMIFS([1]Poblacion!S:S,[1]Poblacion!J:J,'MASTER-2025'!A25),0))</f>
        <v>0</v>
      </c>
      <c r="T25" s="19">
        <f>IFERROR(VLOOKUP($A25,'[1]OB Atendidas por Donantes'!A:N,12,0),0)</f>
        <v>0</v>
      </c>
      <c r="U25" s="19">
        <f>ROUNDUP(IF(A25=0,0,IF(A25=0,0,IFERROR(VLOOKUP($A25,'[1]Kilos Asignado del Donante'!A:O,7,0),0))),0)</f>
        <v>0</v>
      </c>
      <c r="V25" s="19">
        <f>IF(A25=0,0,IFERROR(SUMIFS([1]Poblacion!Q:Q,[1]Poblacion!J:J,'MASTER-2025'!A25),0))</f>
        <v>0</v>
      </c>
      <c r="W25" s="20">
        <f>IFERROR(VLOOKUP($A25,'[1]OB Atendidas por Donantes'!A:N,10,0),0)</f>
        <v>0</v>
      </c>
      <c r="X25" s="20">
        <f>ROUNDUP(IF(A25=0,0,IFERROR(VLOOKUP($A25,'[1]Kilos Asignado del Donante'!A:N,5,0),0)),0)</f>
        <v>0</v>
      </c>
      <c r="Y25" s="20">
        <f>IF(A25=0,0,IFERROR(SUMIFS([1]Poblacion!O:O,[1]Poblacion!J:J,'MASTER-2025'!A25),0))</f>
        <v>0</v>
      </c>
      <c r="Z25" s="18">
        <f>IFERROR(VLOOKUP($A25,'[1]OB Atendidas por Donantes'!A:N,6,0),0)</f>
        <v>0</v>
      </c>
      <c r="AA25" s="18">
        <f>ROUNDUP(IF(A25=0,0,IFERROR(VLOOKUP($A25,'[1]Kilos Asignado del Donante'!A:N,11,0),0)),0)</f>
        <v>0</v>
      </c>
      <c r="AB25" s="18">
        <f>IF(A25=0,0,IFERROR(SUMIFS([1]Poblacion!U:U,[1]Poblacion!J:J,'MASTER-2025'!A25),0))</f>
        <v>0</v>
      </c>
      <c r="AC25" s="19">
        <f>IFERROR(VLOOKUP($A25,'[1]OB Atendidas por Donantes'!A:N,7,0),0)</f>
        <v>0</v>
      </c>
      <c r="AD25" s="19">
        <f>ROUNDUP(IF(A25=0,0,IFERROR(VLOOKUP($A25,'[1]Kilos Asignado del Donante'!A:N,8,0),0)),0)</f>
        <v>0</v>
      </c>
      <c r="AE25" s="19">
        <f>IF(A25=0,0,IFERROR(SUMIFS([1]Poblacion!R:R,[1]Poblacion!J:J,'MASTER-2025'!A25),0))</f>
        <v>0</v>
      </c>
      <c r="AF25" s="20">
        <f>IFERROR(VLOOKUP($A25,'[1]OB Atendidas por Donantes'!A:N,8,0),0)</f>
        <v>0</v>
      </c>
      <c r="AG25" s="20">
        <f>ROUNDUP(IF(A25=0,0,IFERROR(VLOOKUP($A25,'[1]Kilos Asignado del Donante'!A:N,6,0),0)),0)</f>
        <v>0</v>
      </c>
      <c r="AH25" s="20">
        <f>IF(A25=0,0,IFERROR(SUMIFS([1]Poblacion!P:P,[1]Poblacion!J:J,'MASTER-2025'!A25),0))</f>
        <v>0</v>
      </c>
      <c r="AI25" s="18">
        <f>IFERROR(VLOOKUP($A25,'[1]OB Atendidas por Donantes'!A:N,9,0),0)</f>
        <v>0</v>
      </c>
      <c r="AJ25" s="18">
        <f>ROUNDUP(IF(A25=0,0,IFERROR(VLOOKUP($A25,'[1]Kilos Asignado del Donante'!A:N,12,0),0)),0)</f>
        <v>0</v>
      </c>
      <c r="AK25" s="18">
        <f>IF(A25=0,0,IFERROR(SUMIFS([1]Poblacion!V:V,[1]Poblacion!J:J,'MASTER-2025'!A25),0))</f>
        <v>0</v>
      </c>
      <c r="AL25" s="19">
        <f>IFERROR(VLOOKUP($A25,'[1]OB Atendidas por Donantes'!A:N,16,0),0)</f>
        <v>0</v>
      </c>
      <c r="AM25" s="19">
        <f>ROUNDUP(IF(A25=0,0,IFERROR(VLOOKUP($A25,'[1]Kilos Asignado del Donante'!A:O,16,0),0)),0)</f>
        <v>0</v>
      </c>
      <c r="AN25" s="19">
        <f>IF(A25=0,0,IFERROR(SUMIFS([1]Poblacion!Z:Z,[1]Poblacion!J:J,'MASTER-2025'!A25),0))</f>
        <v>0</v>
      </c>
      <c r="AO25" s="20">
        <f>IFERROR(VLOOKUP($A25,'[1]OB Atendidas por Donantes'!A:N,11,0),0)</f>
        <v>0</v>
      </c>
      <c r="AP25" s="20">
        <f>ROUNDUP(IF(A25=0,0,IFERROR(VLOOKUP($A25,'[1]Kilos Asignado del Donante'!A:N,13,0),0)),0)</f>
        <v>0</v>
      </c>
      <c r="AQ25" s="20">
        <f>IF(A25=0,0,IFERROR(SUMIFS([1]Poblacion!W:W,[1]Poblacion!J:J,'MASTER-2025'!A25),0))</f>
        <v>0</v>
      </c>
      <c r="AR25" s="18">
        <f>IFERROR(VLOOKUP($A25,'[1]OB Atendidas por Donantes'!A:N,5,0),0)</f>
        <v>0</v>
      </c>
      <c r="AS25" s="18">
        <f>ROUNDUP(IF(A25=0,0,IFERROR(VLOOKUP($A25,'[1]Kilos Asignado del Donante'!A:N,10,0),0)),0)</f>
        <v>0</v>
      </c>
      <c r="AT25" s="18">
        <f>IF(A25=0,0,IFERROR(SUMIFS([1]Poblacion!T:T,[1]Poblacion!J:J,'MASTER-2025'!A25),0))</f>
        <v>0</v>
      </c>
      <c r="AU25" s="19">
        <f>IFERROR(VLOOKUP($A25,'[1]OB Atendidas por Donantes'!A:N,13,0),0)</f>
        <v>0</v>
      </c>
      <c r="AV25" s="19">
        <f>ROUNDUP(IF(A25=0,0,IFERROR(VLOOKUP($A25,'[1]Kilos Asignado del Donante'!A:N,14,0),0)),0)</f>
        <v>0</v>
      </c>
      <c r="AW25" s="19">
        <f>IF(A25=0,0,IFERROR(SUMIFS([1]Poblacion!X:X,[1]Poblacion!J:J,'MASTER-2025'!A25),0))</f>
        <v>0</v>
      </c>
      <c r="AX25" s="20">
        <f>IFERROR(VLOOKUP($A25,'[1]OB Atendidas por Donantes'!A:N,16,0),0)</f>
        <v>0</v>
      </c>
      <c r="AY25" s="20">
        <f>ROUNDUP(IF(A25=0,0,IFERROR(VLOOKUP($A25,'[1]Kilos Asignado del Donante'!A:O,16,0),0)),0)</f>
        <v>0</v>
      </c>
      <c r="AZ25" s="20">
        <f>IF(A25=0,0,IFERROR(SUMIFS([1]Poblacion!Y:Y,[1]Poblacion!J:J,'MASTER-2025'!A25),0))</f>
        <v>0</v>
      </c>
      <c r="BA25" s="21">
        <f t="shared" si="15"/>
        <v>0</v>
      </c>
      <c r="BB25" s="21">
        <f t="shared" si="23"/>
        <v>0</v>
      </c>
      <c r="BC25" s="21">
        <f t="shared" si="24"/>
        <v>0</v>
      </c>
      <c r="BD25" s="21">
        <f>IF(A25=0,0,(+J25+M25+P25+S25+V25+Y25+AB25+AE25+AH25+AK25+AN25+AQ25+AT25+AW25+AZ25))</f>
        <v>0</v>
      </c>
      <c r="BE25" s="22" t="e">
        <f>IF(A25=0,0,SUMIFS([1]Poblacion!C:C,[1]Poblacion!A:A,'MASTER-2025'!A25))</f>
        <v>#VALUE!</v>
      </c>
      <c r="BF25" s="22" t="e">
        <f>IF(A25=0,0,SUMIFS([1]Poblacion!D:D,[1]Poblacion!A:A,'MASTER-2025'!A25))</f>
        <v>#VALUE!</v>
      </c>
      <c r="BG25" s="22" t="e">
        <f>IF(A25=0,0,SUMIFS([1]Poblacion!E:E,[1]Poblacion!A:A,'MASTER-2025'!A25))</f>
        <v>#VALUE!</v>
      </c>
      <c r="BH25" s="22" t="e">
        <f>IF(A25=0,0,SUMIFS([1]Poblacion!F:F,[1]Poblacion!A:A,'MASTER-2025'!A25))</f>
        <v>#VALUE!</v>
      </c>
      <c r="BI25" s="22" t="e">
        <f t="shared" si="18"/>
        <v>#VALUE!</v>
      </c>
      <c r="BJ25" s="23" t="e">
        <f t="shared" si="7"/>
        <v>#VALUE!</v>
      </c>
      <c r="BK25" s="22" t="e">
        <f>IF(A25=0,0,SUMIFS([1]Poblacion!G:G,[1]Poblacion!A:A,'MASTER-2025'!A25))</f>
        <v>#VALUE!</v>
      </c>
      <c r="BL25" s="24" cm="1">
        <f t="array" ref="BL25:BW25">IFERROR(VLOOKUP(A25,'[1]Acum-OB-kg-pob-25'!A:AQ,{3,4,5,6,7,8,9,10,11,12,13,14},0),0)</f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f t="shared" si="8"/>
        <v>0</v>
      </c>
      <c r="BY25" s="25" cm="1">
        <f t="array" ref="BY25:CJ25">IFERROR(VLOOKUP(A25,'[1]Acum-OB-kg-pob-25'!A:AQ,{17,18,19,20,21,22,23,24,25,26,27,28},0),0)</f>
        <v>0</v>
      </c>
      <c r="BZ25" s="25">
        <v>0</v>
      </c>
      <c r="CA25" s="25">
        <v>144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f t="shared" si="9"/>
        <v>144</v>
      </c>
      <c r="CL25" s="26" cm="1">
        <f t="array" ref="CL25:CW25">IFERROR(VLOOKUP(A25,'[1]Acum-OB-kg-pob-25'!A:AQ,{31,32,33,34,35,36,37,38,39,40,41,42},0),0)</f>
        <v>0</v>
      </c>
      <c r="CM25" s="26">
        <v>0</v>
      </c>
      <c r="CN25" s="26">
        <v>0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0</v>
      </c>
      <c r="CU25" s="26">
        <v>0</v>
      </c>
      <c r="CV25" s="26">
        <v>0</v>
      </c>
      <c r="CW25" s="26">
        <v>0</v>
      </c>
      <c r="CX25" s="26">
        <f t="shared" si="10"/>
        <v>0</v>
      </c>
      <c r="CY25" s="14" t="str">
        <f>IF(A25=0,0,IFERROR(VLOOKUP(A25,'[1]Info Donantes'!C:F,2,0),"Sin Contacto"))</f>
        <v>Melissa Fernández</v>
      </c>
      <c r="CZ25" s="14" t="str">
        <f>IF(A25=0,0,IFERROR(VLOOKUP(A25,'[1]Info Donantes'!C:F,3,0),"Sin Correo"))</f>
        <v>mmfernandez@lynns.com.pa</v>
      </c>
      <c r="DA25" s="14" t="str">
        <f>IF(A25=0,0,IFERROR(VLOOKUP(A25,'[1]Info Donantes'!C:F,4,0),"Sin Telefono"))</f>
        <v>6671-5091</v>
      </c>
      <c r="DB25" s="14" t="str">
        <f>IF(A25=0,0,"Reporte de Trazabiidad"&amp;" - "&amp;'[1]Resumen Donantes'!$C$2&amp;" - "&amp;A25&amp;"")</f>
        <v>Reporte de Trazabiidad -  - PRODISA TRADING S.A.</v>
      </c>
    </row>
    <row r="26" spans="1:106" x14ac:dyDescent="0.55000000000000004">
      <c r="A26" s="14" t="s">
        <v>130</v>
      </c>
      <c r="B26" s="15">
        <f>INT(IFERROR(VLOOKUP(A26,'[1]Resumen Donantes'!C:F,3,0),0))</f>
        <v>0</v>
      </c>
      <c r="C26" s="15">
        <f>INT(ROUND(IFERROR(VLOOKUP(A26,'[1]Resumen Donantes'!C:F,4,0),0),1))</f>
        <v>627</v>
      </c>
      <c r="D26" s="16">
        <f t="shared" si="19"/>
        <v>627</v>
      </c>
      <c r="E26" s="17" t="str">
        <f t="shared" si="20"/>
        <v>100.00%</v>
      </c>
      <c r="F26" s="17" t="str">
        <f t="shared" si="21"/>
        <v>0.0%</v>
      </c>
      <c r="G26" s="15">
        <f t="shared" ref="G26:G89" si="25">INT(D26*3)</f>
        <v>1881</v>
      </c>
      <c r="H26" s="18"/>
      <c r="I26" s="18">
        <f>IFERROR(VLOOKUP(A26,'[1]Lot All by Part'!T:Y,6,0),0)</f>
        <v>0</v>
      </c>
      <c r="J26" s="18"/>
      <c r="K26" s="19">
        <f>IFERROR(VLOOKUP($A26,'[1]OB Atendidas por Donantes'!A:N,3,0),0)</f>
        <v>21</v>
      </c>
      <c r="L26" s="19">
        <f>ROUNDUP(IF(A26=0,0,IFERROR(VLOOKUP($A26,'[1]Kilos Asignado del Donante'!A:O,3,0),0)),0)</f>
        <v>243</v>
      </c>
      <c r="M26" s="19">
        <f>IF(A26=0,0,IFERROR(SUMIFS([1]Poblacion!M:M,[1]Poblacion!J:J,'MASTER-2025'!A26),0))</f>
        <v>0</v>
      </c>
      <c r="N26" s="20">
        <f>IFERROR(VLOOKUP($A26,'[1]OB Atendidas por Donantes'!A:N,4,0),0)</f>
        <v>31</v>
      </c>
      <c r="O26" s="20">
        <f>ROUNDUP(IF(A26=0,0,IFERROR(VLOOKUP($A26,'[1]Kilos Asignado del Donante'!A:O,4,0),0)),0)</f>
        <v>314</v>
      </c>
      <c r="P26" s="20">
        <f>IF(A26=0,0,IFERROR(SUMIFS([1]Poblacion!N:N,[1]Poblacion!J:J,'MASTER-2025'!A26),0))</f>
        <v>0</v>
      </c>
      <c r="Q26" s="18">
        <f>IFERROR(VLOOKUP($A26,'[1]OB Atendidas por Donantes'!A:N,2,0),0)</f>
        <v>9</v>
      </c>
      <c r="R26" s="18">
        <f>ROUNDUP(ROUND(IF(A26=0,0,IFERROR(VLOOKUP($A26,'[1]Kilos Asignado del Donante'!A:O,9,0),0)),1),0)</f>
        <v>52</v>
      </c>
      <c r="S26" s="18">
        <f>IF(A26=0,0,IFERROR(SUMIFS([1]Poblacion!S:S,[1]Poblacion!J:J,'MASTER-2025'!A26),0))</f>
        <v>0</v>
      </c>
      <c r="T26" s="19">
        <f>IFERROR(VLOOKUP($A26,'[1]OB Atendidas por Donantes'!A:N,12,0),0)</f>
        <v>5</v>
      </c>
      <c r="U26" s="19">
        <f>ROUNDUP(IF(A26=0,0,IF(A26=0,0,IFERROR(VLOOKUP($A26,'[1]Kilos Asignado del Donante'!A:O,7,0),0))),0)</f>
        <v>38</v>
      </c>
      <c r="V26" s="19">
        <f>IF(A26=0,0,IFERROR(SUMIFS([1]Poblacion!Q:Q,[1]Poblacion!J:J,'MASTER-2025'!A26),0))</f>
        <v>0</v>
      </c>
      <c r="W26" s="20">
        <f>IFERROR(VLOOKUP($A26,'[1]OB Atendidas por Donantes'!A:N,10,0),0)</f>
        <v>16</v>
      </c>
      <c r="X26" s="20">
        <f>ROUNDUP(IF(A26=0,0,IFERROR(VLOOKUP($A26,'[1]Kilos Asignado del Donante'!A:N,5,0),0)),0)</f>
        <v>74</v>
      </c>
      <c r="Y26" s="20">
        <f>IF(A26=0,0,IFERROR(SUMIFS([1]Poblacion!O:O,[1]Poblacion!J:J,'MASTER-2025'!A26),0))</f>
        <v>0</v>
      </c>
      <c r="Z26" s="18">
        <f>IFERROR(VLOOKUP($A26,'[1]OB Atendidas por Donantes'!A:N,6,0),0)</f>
        <v>0</v>
      </c>
      <c r="AA26" s="18">
        <f>ROUNDUP(IF(A26=0,0,IFERROR(VLOOKUP($A26,'[1]Kilos Asignado del Donante'!A:N,11,0),0)),0)</f>
        <v>0</v>
      </c>
      <c r="AB26" s="18">
        <f>IF(A26=0,0,IFERROR(SUMIFS([1]Poblacion!U:U,[1]Poblacion!J:J,'MASTER-2025'!A26),0))</f>
        <v>0</v>
      </c>
      <c r="AC26" s="19">
        <f>IFERROR(VLOOKUP($A26,'[1]OB Atendidas por Donantes'!A:N,7,0),0)</f>
        <v>2</v>
      </c>
      <c r="AD26" s="19">
        <f>ROUNDUP(IF(A26=0,0,IFERROR(VLOOKUP($A26,'[1]Kilos Asignado del Donante'!A:N,8,0),0)),0)</f>
        <v>18</v>
      </c>
      <c r="AE26" s="19">
        <f>IF(A26=0,0,IFERROR(SUMIFS([1]Poblacion!R:R,[1]Poblacion!J:J,'MASTER-2025'!A26),0))</f>
        <v>0</v>
      </c>
      <c r="AF26" s="20">
        <f>IFERROR(VLOOKUP($A26,'[1]OB Atendidas por Donantes'!A:N,8,0),0)</f>
        <v>2</v>
      </c>
      <c r="AG26" s="20">
        <f>ROUNDUP(IF(A26=0,0,IFERROR(VLOOKUP($A26,'[1]Kilos Asignado del Donante'!A:N,6,0),0)),0)</f>
        <v>32</v>
      </c>
      <c r="AH26" s="20">
        <f>IF(A26=0,0,IFERROR(SUMIFS([1]Poblacion!P:P,[1]Poblacion!J:J,'MASTER-2025'!A26),0))</f>
        <v>0</v>
      </c>
      <c r="AI26" s="18">
        <f>IFERROR(VLOOKUP($A26,'[1]OB Atendidas por Donantes'!A:N,9,0),0)</f>
        <v>0</v>
      </c>
      <c r="AJ26" s="18">
        <f>ROUNDUP(IF(A26=0,0,IFERROR(VLOOKUP($A26,'[1]Kilos Asignado del Donante'!A:N,12,0),0)),0)</f>
        <v>0</v>
      </c>
      <c r="AK26" s="18">
        <f>IF(A26=0,0,IFERROR(SUMIFS([1]Poblacion!V:V,[1]Poblacion!J:J,'MASTER-2025'!A26),0))</f>
        <v>0</v>
      </c>
      <c r="AL26" s="19">
        <f>IFERROR(VLOOKUP($A26,'[1]OB Atendidas por Donantes'!A:N,16,0),0)</f>
        <v>0</v>
      </c>
      <c r="AM26" s="19">
        <f>ROUNDUP(IF(A26=0,0,IFERROR(VLOOKUP($A26,'[1]Kilos Asignado del Donante'!A:O,16,0),0)),0)</f>
        <v>0</v>
      </c>
      <c r="AN26" s="19">
        <f>IF(A26=0,0,IFERROR(SUMIFS([1]Poblacion!Z:Z,[1]Poblacion!J:J,'MASTER-2025'!A26),0))</f>
        <v>0</v>
      </c>
      <c r="AO26" s="20">
        <f>IFERROR(VLOOKUP($A26,'[1]OB Atendidas por Donantes'!A:N,11,0),0)</f>
        <v>0</v>
      </c>
      <c r="AP26" s="20">
        <f>ROUNDUP(IF(A26=0,0,IFERROR(VLOOKUP($A26,'[1]Kilos Asignado del Donante'!A:N,13,0),0)),0)</f>
        <v>0</v>
      </c>
      <c r="AQ26" s="20">
        <f>IF(A26=0,0,IFERROR(SUMIFS([1]Poblacion!W:W,[1]Poblacion!J:J,'MASTER-2025'!A26),0))</f>
        <v>0</v>
      </c>
      <c r="AR26" s="18">
        <f>IFERROR(VLOOKUP($A26,'[1]OB Atendidas por Donantes'!A:N,5,0),0)</f>
        <v>1</v>
      </c>
      <c r="AS26" s="18">
        <f>ROUNDUP(IF(A26=0,0,IFERROR(VLOOKUP($A26,'[1]Kilos Asignado del Donante'!A:N,10,0),0)),0)</f>
        <v>2</v>
      </c>
      <c r="AT26" s="18">
        <f>IF(A26=0,0,IFERROR(SUMIFS([1]Poblacion!T:T,[1]Poblacion!J:J,'MASTER-2025'!A26),0))</f>
        <v>0</v>
      </c>
      <c r="AU26" s="19">
        <f>IFERROR(VLOOKUP($A26,'[1]OB Atendidas por Donantes'!A:N,13,0),0)</f>
        <v>0</v>
      </c>
      <c r="AV26" s="19">
        <f>ROUNDUP(IF(A26=0,0,IFERROR(VLOOKUP($A26,'[1]Kilos Asignado del Donante'!A:N,14,0),0)),0)</f>
        <v>0</v>
      </c>
      <c r="AW26" s="19">
        <f>IF(A26=0,0,IFERROR(SUMIFS([1]Poblacion!X:X,[1]Poblacion!J:J,'MASTER-2025'!A26),0))</f>
        <v>0</v>
      </c>
      <c r="AX26" s="20">
        <f>IFERROR(VLOOKUP($A26,'[1]OB Atendidas por Donantes'!A:N,16,0),0)</f>
        <v>0</v>
      </c>
      <c r="AY26" s="20">
        <f>ROUNDUP(IF(A26=0,0,IFERROR(VLOOKUP($A26,'[1]Kilos Asignado del Donante'!A:O,16,0),0)),0)</f>
        <v>0</v>
      </c>
      <c r="AZ26" s="20">
        <f>IF(A26=0,0,IFERROR(SUMIFS([1]Poblacion!Y:Y,[1]Poblacion!J:J,'MASTER-2025'!A26),0))</f>
        <v>0</v>
      </c>
      <c r="BA26" s="21">
        <f t="shared" si="15"/>
        <v>87</v>
      </c>
      <c r="BB26" s="21">
        <f t="shared" si="23"/>
        <v>773</v>
      </c>
      <c r="BC26" s="21">
        <f t="shared" si="24"/>
        <v>647</v>
      </c>
      <c r="BD26" s="21">
        <f t="shared" ref="BD26:BD89" si="26">IF(A26=0,0,(+J26+M26+P26+S26+V26+Y26+AB26+AE26+AH26+AK26+AN26+AQ26+AT26+AW26+AZ26))</f>
        <v>0</v>
      </c>
      <c r="BE26" s="22" t="e">
        <f>IF(A26=0,0,SUMIFS([1]Poblacion!C:C,[1]Poblacion!A:A,'MASTER-2025'!A26))</f>
        <v>#VALUE!</v>
      </c>
      <c r="BF26" s="22" t="e">
        <f>IF(A26=0,0,SUMIFS([1]Poblacion!D:D,[1]Poblacion!A:A,'MASTER-2025'!A26))</f>
        <v>#VALUE!</v>
      </c>
      <c r="BG26" s="22" t="e">
        <f>IF(A26=0,0,SUMIFS([1]Poblacion!E:E,[1]Poblacion!A:A,'MASTER-2025'!A26))</f>
        <v>#VALUE!</v>
      </c>
      <c r="BH26" s="22" t="e">
        <f>IF(A26=0,0,SUMIFS([1]Poblacion!F:F,[1]Poblacion!A:A,'MASTER-2025'!A26))</f>
        <v>#VALUE!</v>
      </c>
      <c r="BI26" s="22" t="e">
        <f t="shared" si="18"/>
        <v>#VALUE!</v>
      </c>
      <c r="BJ26" s="23" t="e">
        <f t="shared" si="7"/>
        <v>#VALUE!</v>
      </c>
      <c r="BK26" s="22" t="e">
        <f>IF(A26=0,0,SUMIFS([1]Poblacion!G:G,[1]Poblacion!A:A,'MASTER-2025'!A26))</f>
        <v>#VALUE!</v>
      </c>
      <c r="BL26" s="24" cm="1">
        <f t="array" ref="BL26:BW26">IFERROR(VLOOKUP(A26,'[1]Acum-OB-kg-pob-25'!A:AQ,{3,4,5,6,7,8,9,10,11,12,13,14},0),0)</f>
        <v>32</v>
      </c>
      <c r="BM26" s="24">
        <v>64</v>
      </c>
      <c r="BN26" s="24">
        <v>87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24">
        <v>0</v>
      </c>
      <c r="BU26" s="24">
        <v>0</v>
      </c>
      <c r="BV26" s="24">
        <v>0</v>
      </c>
      <c r="BW26" s="24">
        <v>0</v>
      </c>
      <c r="BX26" s="24">
        <f t="shared" si="8"/>
        <v>183</v>
      </c>
      <c r="BY26" s="25" cm="1">
        <f t="array" ref="BY26:CJ26">IFERROR(VLOOKUP(A26,'[1]Acum-OB-kg-pob-25'!A:AQ,{17,18,19,20,21,22,23,24,25,26,27,28},0),0)</f>
        <v>264</v>
      </c>
      <c r="BZ26" s="25">
        <v>480</v>
      </c>
      <c r="CA26" s="25">
        <v>627</v>
      </c>
      <c r="CB26" s="25">
        <v>0</v>
      </c>
      <c r="CC26" s="25">
        <v>0</v>
      </c>
      <c r="CD26" s="25">
        <v>0</v>
      </c>
      <c r="CE26" s="25">
        <v>0</v>
      </c>
      <c r="CF26" s="25">
        <v>0</v>
      </c>
      <c r="CG26" s="25">
        <v>0</v>
      </c>
      <c r="CH26" s="25">
        <v>0</v>
      </c>
      <c r="CI26" s="25">
        <v>0</v>
      </c>
      <c r="CJ26" s="25">
        <v>0</v>
      </c>
      <c r="CK26" s="25">
        <f t="shared" si="9"/>
        <v>1371</v>
      </c>
      <c r="CL26" s="26" cm="1">
        <f t="array" ref="CL26:CW26">IFERROR(VLOOKUP(A26,'[1]Acum-OB-kg-pob-25'!A:AQ,{31,32,33,34,35,36,37,38,39,40,41,42},0),0)</f>
        <v>10837</v>
      </c>
      <c r="CM26" s="26">
        <v>19409</v>
      </c>
      <c r="CN26" s="26">
        <v>28022</v>
      </c>
      <c r="CO26" s="26">
        <v>0</v>
      </c>
      <c r="CP26" s="26">
        <v>0</v>
      </c>
      <c r="CQ26" s="26">
        <v>0</v>
      </c>
      <c r="CR26" s="26">
        <v>0</v>
      </c>
      <c r="CS26" s="26">
        <v>0</v>
      </c>
      <c r="CT26" s="26">
        <v>0</v>
      </c>
      <c r="CU26" s="26">
        <v>0</v>
      </c>
      <c r="CV26" s="26">
        <v>0</v>
      </c>
      <c r="CW26" s="26">
        <v>0</v>
      </c>
      <c r="CX26" s="26">
        <f t="shared" si="10"/>
        <v>58268</v>
      </c>
      <c r="CY26" s="14">
        <f>IF(A26=0,0,IFERROR(VLOOKUP(A26,'[1]Info Donantes'!C:F,2,0),"Sin Contacto"))</f>
        <v>0</v>
      </c>
      <c r="CZ26" s="14">
        <f>IF(A26=0,0,IFERROR(VLOOKUP(A26,'[1]Info Donantes'!C:F,3,0),"Sin Correo"))</f>
        <v>0</v>
      </c>
      <c r="DA26" s="14" t="str">
        <f>IF(A26=0,0,IFERROR(VLOOKUP(A26,'[1]Info Donantes'!C:F,4,0),"Sin Telefono"))</f>
        <v>278 6450</v>
      </c>
      <c r="DB26" s="14" t="str">
        <f>IF(A26=0,0,"Reporte de Trazabiidad"&amp;" - "&amp;'[1]Resumen Donantes'!$C$2&amp;" - "&amp;A26&amp;"")</f>
        <v>Reporte de Trazabiidad -  - PRODUCTOS KIENER</v>
      </c>
    </row>
    <row r="27" spans="1:106" x14ac:dyDescent="0.55000000000000004">
      <c r="A27" s="14" t="s">
        <v>131</v>
      </c>
      <c r="B27" s="15">
        <f>INT(IFERROR(VLOOKUP(A27,'[1]Resumen Donantes'!C:F,3,0),0))</f>
        <v>14</v>
      </c>
      <c r="C27" s="15">
        <f>INT(ROUND(IFERROR(VLOOKUP(A27,'[1]Resumen Donantes'!C:F,4,0),0),1))</f>
        <v>4696</v>
      </c>
      <c r="D27" s="16">
        <f t="shared" si="19"/>
        <v>4682</v>
      </c>
      <c r="E27" s="17" t="str">
        <f t="shared" si="20"/>
        <v>99.70%</v>
      </c>
      <c r="F27" s="17" t="str">
        <f t="shared" si="21"/>
        <v>0.3%</v>
      </c>
      <c r="G27" s="15">
        <f t="shared" si="25"/>
        <v>14046</v>
      </c>
      <c r="H27" s="18"/>
      <c r="I27" s="18">
        <f>IFERROR(VLOOKUP(A27,'[1]Lot All by Part'!T:Y,6,0),0)</f>
        <v>42</v>
      </c>
      <c r="J27" s="18"/>
      <c r="K27" s="19">
        <f>IFERROR(VLOOKUP($A27,'[1]OB Atendidas por Donantes'!A:N,3,0),0)</f>
        <v>24</v>
      </c>
      <c r="L27" s="19">
        <f>ROUNDUP(IF(A27=0,0,IFERROR(VLOOKUP($A27,'[1]Kilos Asignado del Donante'!A:O,3,0),0)),0)</f>
        <v>458</v>
      </c>
      <c r="M27" s="19">
        <f>IF(A27=0,0,IFERROR(SUMIFS([1]Poblacion!M:M,[1]Poblacion!J:J,'MASTER-2025'!A27),0))</f>
        <v>0</v>
      </c>
      <c r="N27" s="20">
        <f>IFERROR(VLOOKUP($A27,'[1]OB Atendidas por Donantes'!A:N,4,0),0)</f>
        <v>34</v>
      </c>
      <c r="O27" s="20">
        <f>ROUNDUP(IF(A27=0,0,IFERROR(VLOOKUP($A27,'[1]Kilos Asignado del Donante'!A:O,4,0),0)),0)</f>
        <v>665</v>
      </c>
      <c r="P27" s="20">
        <f>IF(A27=0,0,IFERROR(SUMIFS([1]Poblacion!N:N,[1]Poblacion!J:J,'MASTER-2025'!A27),0))</f>
        <v>0</v>
      </c>
      <c r="Q27" s="18">
        <f>IFERROR(VLOOKUP($A27,'[1]OB Atendidas por Donantes'!A:N,2,0),0)</f>
        <v>8</v>
      </c>
      <c r="R27" s="18">
        <f>ROUNDUP(ROUND(IF(A27=0,0,IFERROR(VLOOKUP($A27,'[1]Kilos Asignado del Donante'!A:O,9,0),0)),1),0)</f>
        <v>72</v>
      </c>
      <c r="S27" s="18">
        <f>IF(A27=0,0,IFERROR(SUMIFS([1]Poblacion!S:S,[1]Poblacion!J:J,'MASTER-2025'!A27),0))</f>
        <v>0</v>
      </c>
      <c r="T27" s="19">
        <f>IFERROR(VLOOKUP($A27,'[1]OB Atendidas por Donantes'!A:N,12,0),0)</f>
        <v>6</v>
      </c>
      <c r="U27" s="19">
        <f>ROUNDUP(IF(A27=0,0,IF(A27=0,0,IFERROR(VLOOKUP($A27,'[1]Kilos Asignado del Donante'!A:O,7,0),0))),0)</f>
        <v>117</v>
      </c>
      <c r="V27" s="19">
        <f>IF(A27=0,0,IFERROR(SUMIFS([1]Poblacion!Q:Q,[1]Poblacion!J:J,'MASTER-2025'!A27),0))</f>
        <v>0</v>
      </c>
      <c r="W27" s="20">
        <f>IFERROR(VLOOKUP($A27,'[1]OB Atendidas por Donantes'!A:N,10,0),0)</f>
        <v>18</v>
      </c>
      <c r="X27" s="20">
        <f>ROUNDUP(IF(A27=0,0,IFERROR(VLOOKUP($A27,'[1]Kilos Asignado del Donante'!A:N,5,0),0)),0)</f>
        <v>246</v>
      </c>
      <c r="Y27" s="20">
        <f>IF(A27=0,0,IFERROR(SUMIFS([1]Poblacion!O:O,[1]Poblacion!J:J,'MASTER-2025'!A27),0))</f>
        <v>0</v>
      </c>
      <c r="Z27" s="18">
        <f>IFERROR(VLOOKUP($A27,'[1]OB Atendidas por Donantes'!A:N,6,0),0)</f>
        <v>6</v>
      </c>
      <c r="AA27" s="18">
        <f>ROUNDUP(IF(A27=0,0,IFERROR(VLOOKUP($A27,'[1]Kilos Asignado del Donante'!A:N,11,0),0)),0)</f>
        <v>168</v>
      </c>
      <c r="AB27" s="18">
        <f>IF(A27=0,0,IFERROR(SUMIFS([1]Poblacion!U:U,[1]Poblacion!J:J,'MASTER-2025'!A27),0))</f>
        <v>0</v>
      </c>
      <c r="AC27" s="19">
        <f>IFERROR(VLOOKUP($A27,'[1]OB Atendidas por Donantes'!A:N,7,0),0)</f>
        <v>4</v>
      </c>
      <c r="AD27" s="19">
        <f>ROUNDUP(IF(A27=0,0,IFERROR(VLOOKUP($A27,'[1]Kilos Asignado del Donante'!A:N,8,0),0)),0)</f>
        <v>147</v>
      </c>
      <c r="AE27" s="19">
        <f>IF(A27=0,0,IFERROR(SUMIFS([1]Poblacion!R:R,[1]Poblacion!J:J,'MASTER-2025'!A27),0))</f>
        <v>0</v>
      </c>
      <c r="AF27" s="20">
        <f>IFERROR(VLOOKUP($A27,'[1]OB Atendidas por Donantes'!A:N,8,0),0)</f>
        <v>3</v>
      </c>
      <c r="AG27" s="20">
        <f>ROUNDUP(IF(A27=0,0,IFERROR(VLOOKUP($A27,'[1]Kilos Asignado del Donante'!A:N,6,0),0)),0)</f>
        <v>42</v>
      </c>
      <c r="AH27" s="20">
        <f>IF(A27=0,0,IFERROR(SUMIFS([1]Poblacion!P:P,[1]Poblacion!J:J,'MASTER-2025'!A27),0))</f>
        <v>0</v>
      </c>
      <c r="AI27" s="18">
        <f>IFERROR(VLOOKUP($A27,'[1]OB Atendidas por Donantes'!A:N,9,0),0)</f>
        <v>1</v>
      </c>
      <c r="AJ27" s="18">
        <f>ROUNDUP(IF(A27=0,0,IFERROR(VLOOKUP($A27,'[1]Kilos Asignado del Donante'!A:N,12,0),0)),0)</f>
        <v>78</v>
      </c>
      <c r="AK27" s="18">
        <f>IF(A27=0,0,IFERROR(SUMIFS([1]Poblacion!V:V,[1]Poblacion!J:J,'MASTER-2025'!A27),0))</f>
        <v>0</v>
      </c>
      <c r="AL27" s="19">
        <f>IFERROR(VLOOKUP($A27,'[1]OB Atendidas por Donantes'!A:N,16,0),0)</f>
        <v>0</v>
      </c>
      <c r="AM27" s="19">
        <f>ROUNDUP(IF(A27=0,0,IFERROR(VLOOKUP($A27,'[1]Kilos Asignado del Donante'!A:O,16,0),0)),0)</f>
        <v>0</v>
      </c>
      <c r="AN27" s="19">
        <f>IF(A27=0,0,IFERROR(SUMIFS([1]Poblacion!Z:Z,[1]Poblacion!J:J,'MASTER-2025'!A27),0))</f>
        <v>0</v>
      </c>
      <c r="AO27" s="20">
        <f>IFERROR(VLOOKUP($A27,'[1]OB Atendidas por Donantes'!A:N,11,0),0)</f>
        <v>2</v>
      </c>
      <c r="AP27" s="20">
        <f>ROUNDUP(IF(A27=0,0,IFERROR(VLOOKUP($A27,'[1]Kilos Asignado del Donante'!A:N,13,0),0)),0)</f>
        <v>23</v>
      </c>
      <c r="AQ27" s="20">
        <f>IF(A27=0,0,IFERROR(SUMIFS([1]Poblacion!W:W,[1]Poblacion!J:J,'MASTER-2025'!A27),0))</f>
        <v>0</v>
      </c>
      <c r="AR27" s="18">
        <f>IFERROR(VLOOKUP($A27,'[1]OB Atendidas por Donantes'!A:N,5,0),0)</f>
        <v>7</v>
      </c>
      <c r="AS27" s="18">
        <f>ROUNDUP(IF(A27=0,0,IFERROR(VLOOKUP($A27,'[1]Kilos Asignado del Donante'!A:N,10,0),0)),0)</f>
        <v>208</v>
      </c>
      <c r="AT27" s="18">
        <f>IF(A27=0,0,IFERROR(SUMIFS([1]Poblacion!T:T,[1]Poblacion!J:J,'MASTER-2025'!A27),0))</f>
        <v>0</v>
      </c>
      <c r="AU27" s="19">
        <f>IFERROR(VLOOKUP($A27,'[1]OB Atendidas por Donantes'!A:N,13,0),0)</f>
        <v>0</v>
      </c>
      <c r="AV27" s="19">
        <f>ROUNDUP(IF(A27=0,0,IFERROR(VLOOKUP($A27,'[1]Kilos Asignado del Donante'!A:N,14,0),0)),0)</f>
        <v>0</v>
      </c>
      <c r="AW27" s="19">
        <f>IF(A27=0,0,IFERROR(SUMIFS([1]Poblacion!X:X,[1]Poblacion!J:J,'MASTER-2025'!A27),0))</f>
        <v>0</v>
      </c>
      <c r="AX27" s="20">
        <f>IFERROR(VLOOKUP($A27,'[1]OB Atendidas por Donantes'!A:N,16,0),0)</f>
        <v>0</v>
      </c>
      <c r="AY27" s="20">
        <f>ROUNDUP(IF(A27=0,0,IFERROR(VLOOKUP($A27,'[1]Kilos Asignado del Donante'!A:O,16,0),0)),0)</f>
        <v>0</v>
      </c>
      <c r="AZ27" s="20">
        <f>IF(A27=0,0,IFERROR(SUMIFS([1]Poblacion!Y:Y,[1]Poblacion!J:J,'MASTER-2025'!A27),0))</f>
        <v>0</v>
      </c>
      <c r="BA27" s="21">
        <f t="shared" si="15"/>
        <v>113</v>
      </c>
      <c r="BB27" s="21">
        <f t="shared" si="23"/>
        <v>2266</v>
      </c>
      <c r="BC27" s="21">
        <f t="shared" si="24"/>
        <v>1354</v>
      </c>
      <c r="BD27" s="21">
        <f t="shared" si="26"/>
        <v>0</v>
      </c>
      <c r="BE27" s="22" t="e">
        <f>IF(A27=0,0,SUMIFS([1]Poblacion!C:C,[1]Poblacion!A:A,'MASTER-2025'!A27))</f>
        <v>#VALUE!</v>
      </c>
      <c r="BF27" s="22" t="e">
        <f>IF(A27=0,0,SUMIFS([1]Poblacion!D:D,[1]Poblacion!A:A,'MASTER-2025'!A27))</f>
        <v>#VALUE!</v>
      </c>
      <c r="BG27" s="22" t="e">
        <f>IF(A27=0,0,SUMIFS([1]Poblacion!E:E,[1]Poblacion!A:A,'MASTER-2025'!A27))</f>
        <v>#VALUE!</v>
      </c>
      <c r="BH27" s="22" t="e">
        <f>IF(A27=0,0,SUMIFS([1]Poblacion!F:F,[1]Poblacion!A:A,'MASTER-2025'!A27))</f>
        <v>#VALUE!</v>
      </c>
      <c r="BI27" s="22" t="e">
        <f t="shared" si="18"/>
        <v>#VALUE!</v>
      </c>
      <c r="BJ27" s="23" t="e">
        <f t="shared" si="7"/>
        <v>#VALUE!</v>
      </c>
      <c r="BK27" s="22" t="e">
        <f>IF(A27=0,0,SUMIFS([1]Poblacion!G:G,[1]Poblacion!A:A,'MASTER-2025'!A27))</f>
        <v>#VALUE!</v>
      </c>
      <c r="BL27" s="24" cm="1">
        <f t="array" ref="BL27:BW27">IFERROR(VLOOKUP(A27,'[1]Acum-OB-kg-pob-25'!A:AQ,{3,4,5,6,7,8,9,10,11,12,13,14},0),0)</f>
        <v>86</v>
      </c>
      <c r="BM27" s="24">
        <v>76</v>
      </c>
      <c r="BN27" s="24">
        <v>113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f t="shared" si="8"/>
        <v>275</v>
      </c>
      <c r="BY27" s="25" cm="1">
        <f t="array" ref="BY27:CJ27">IFERROR(VLOOKUP(A27,'[1]Acum-OB-kg-pob-25'!A:AQ,{17,18,19,20,21,22,23,24,25,26,27,28},0),0)</f>
        <v>2914</v>
      </c>
      <c r="BZ27" s="25">
        <v>2081</v>
      </c>
      <c r="CA27" s="25">
        <v>4696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f t="shared" si="9"/>
        <v>9691</v>
      </c>
      <c r="CL27" s="26" cm="1">
        <f t="array" ref="CL27:CW27">IFERROR(VLOOKUP(A27,'[1]Acum-OB-kg-pob-25'!A:AQ,{31,32,33,34,35,36,37,38,39,40,41,42},0),0)</f>
        <v>26281</v>
      </c>
      <c r="CM27" s="26">
        <v>19039</v>
      </c>
      <c r="CN27" s="26">
        <v>35885</v>
      </c>
      <c r="CO27" s="26">
        <v>0</v>
      </c>
      <c r="CP27" s="26">
        <v>0</v>
      </c>
      <c r="CQ27" s="26">
        <v>0</v>
      </c>
      <c r="CR27" s="26">
        <v>0</v>
      </c>
      <c r="CS27" s="26">
        <v>0</v>
      </c>
      <c r="CT27" s="26">
        <v>0</v>
      </c>
      <c r="CU27" s="26">
        <v>0</v>
      </c>
      <c r="CV27" s="26">
        <v>0</v>
      </c>
      <c r="CW27" s="26">
        <v>0</v>
      </c>
      <c r="CX27" s="26">
        <f t="shared" si="10"/>
        <v>81205</v>
      </c>
      <c r="CY27" s="14" t="str">
        <f>IF(A27=0,0,IFERROR(VLOOKUP(A27,'[1]Info Donantes'!C:F,2,0),"Sin Contacto"))</f>
        <v>Jose Sobrino</v>
      </c>
      <c r="CZ27" s="14" t="str">
        <f>IF(A27=0,0,IFERROR(VLOOKUP(A27,'[1]Info Donantes'!C:F,3,0),"Sin Correo"))</f>
        <v>operaciones@ladona.com.pa</v>
      </c>
      <c r="DA27" s="14" t="str">
        <f>IF(A27=0,0,IFERROR(VLOOKUP(A27,'[1]Info Donantes'!C:F,4,0),"Sin Telefono"))</f>
        <v>220-1000</v>
      </c>
      <c r="DB27" s="14" t="str">
        <f>IF(A27=0,0,"Reporte de Trazabiidad"&amp;" - "&amp;'[1]Resumen Donantes'!$C$2&amp;" - "&amp;A27&amp;"")</f>
        <v>Reporte de Trazabiidad -  - PRODUCTOS LA DOÑA, S.A</v>
      </c>
    </row>
    <row r="28" spans="1:106" x14ac:dyDescent="0.55000000000000004">
      <c r="A28" s="14" t="s">
        <v>132</v>
      </c>
      <c r="B28" s="15">
        <f>INT(IFERROR(VLOOKUP(A28,'[1]Resumen Donantes'!C:F,3,0),0))</f>
        <v>0</v>
      </c>
      <c r="C28" s="15">
        <f>INT(ROUND(IFERROR(VLOOKUP(A28,'[1]Resumen Donantes'!C:F,4,0),0),1))</f>
        <v>0</v>
      </c>
      <c r="D28" s="16">
        <f t="shared" si="19"/>
        <v>0</v>
      </c>
      <c r="E28" s="17" t="str">
        <f t="shared" si="20"/>
        <v>0.00%</v>
      </c>
      <c r="F28" s="17" t="str">
        <f t="shared" si="21"/>
        <v>0.0%</v>
      </c>
      <c r="G28" s="15">
        <f t="shared" si="25"/>
        <v>0</v>
      </c>
      <c r="H28" s="18"/>
      <c r="I28" s="18">
        <f>IFERROR(VLOOKUP(A28,'[1]Lot All by Part'!T:Y,6,0),0)</f>
        <v>0</v>
      </c>
      <c r="J28" s="18"/>
      <c r="K28" s="19">
        <f>IFERROR(VLOOKUP($A28,'[1]OB Atendidas por Donantes'!A:N,3,0),0)</f>
        <v>5</v>
      </c>
      <c r="L28" s="19">
        <f>ROUNDUP(IF(A28=0,0,IFERROR(VLOOKUP($A28,'[1]Kilos Asignado del Donante'!A:O,3,0),0)),0)</f>
        <v>274</v>
      </c>
      <c r="M28" s="19">
        <f>IF(A28=0,0,IFERROR(SUMIFS([1]Poblacion!M:M,[1]Poblacion!J:J,'MASTER-2025'!A28),0))</f>
        <v>0</v>
      </c>
      <c r="N28" s="20">
        <f>IFERROR(VLOOKUP($A28,'[1]OB Atendidas por Donantes'!A:N,4,0),0)</f>
        <v>9</v>
      </c>
      <c r="O28" s="20">
        <f>ROUNDUP(IF(A28=0,0,IFERROR(VLOOKUP($A28,'[1]Kilos Asignado del Donante'!A:O,4,0),0)),0)</f>
        <v>160</v>
      </c>
      <c r="P28" s="20">
        <f>IF(A28=0,0,IFERROR(SUMIFS([1]Poblacion!N:N,[1]Poblacion!J:J,'MASTER-2025'!A28),0))</f>
        <v>0</v>
      </c>
      <c r="Q28" s="18">
        <f>IFERROR(VLOOKUP($A28,'[1]OB Atendidas por Donantes'!A:N,2,0),0)</f>
        <v>3</v>
      </c>
      <c r="R28" s="18">
        <f>ROUNDUP(ROUND(IF(A28=0,0,IFERROR(VLOOKUP($A28,'[1]Kilos Asignado del Donante'!A:O,9,0),0)),1),0)</f>
        <v>51</v>
      </c>
      <c r="S28" s="18">
        <f>IF(A28=0,0,IFERROR(SUMIFS([1]Poblacion!S:S,[1]Poblacion!J:J,'MASTER-2025'!A28),0))</f>
        <v>0</v>
      </c>
      <c r="T28" s="19">
        <f>IFERROR(VLOOKUP($A28,'[1]OB Atendidas por Donantes'!A:N,12,0),0)</f>
        <v>3</v>
      </c>
      <c r="U28" s="19">
        <f>ROUNDUP(IF(A28=0,0,IF(A28=0,0,IFERROR(VLOOKUP($A28,'[1]Kilos Asignado del Donante'!A:O,7,0),0))),0)</f>
        <v>32</v>
      </c>
      <c r="V28" s="19">
        <f>IF(A28=0,0,IFERROR(SUMIFS([1]Poblacion!Q:Q,[1]Poblacion!J:J,'MASTER-2025'!A28),0))</f>
        <v>0</v>
      </c>
      <c r="W28" s="20">
        <f>IFERROR(VLOOKUP($A28,'[1]OB Atendidas por Donantes'!A:N,10,0),0)</f>
        <v>4</v>
      </c>
      <c r="X28" s="20">
        <f>ROUNDUP(IF(A28=0,0,IFERROR(VLOOKUP($A28,'[1]Kilos Asignado del Donante'!A:N,5,0),0)),0)</f>
        <v>64</v>
      </c>
      <c r="Y28" s="20">
        <f>IF(A28=0,0,IFERROR(SUMIFS([1]Poblacion!O:O,[1]Poblacion!J:J,'MASTER-2025'!A28),0))</f>
        <v>0</v>
      </c>
      <c r="Z28" s="18">
        <f>IFERROR(VLOOKUP($A28,'[1]OB Atendidas por Donantes'!A:N,6,0),0)</f>
        <v>0</v>
      </c>
      <c r="AA28" s="18">
        <f>ROUNDUP(IF(A28=0,0,IFERROR(VLOOKUP($A28,'[1]Kilos Asignado del Donante'!A:N,11,0),0)),0)</f>
        <v>0</v>
      </c>
      <c r="AB28" s="18">
        <f>IF(A28=0,0,IFERROR(SUMIFS([1]Poblacion!U:U,[1]Poblacion!J:J,'MASTER-2025'!A28),0))</f>
        <v>0</v>
      </c>
      <c r="AC28" s="19">
        <f>IFERROR(VLOOKUP($A28,'[1]OB Atendidas por Donantes'!A:N,7,0),0)</f>
        <v>1</v>
      </c>
      <c r="AD28" s="19">
        <f>ROUNDUP(IF(A28=0,0,IFERROR(VLOOKUP($A28,'[1]Kilos Asignado del Donante'!A:N,8,0),0)),0)</f>
        <v>32</v>
      </c>
      <c r="AE28" s="19">
        <f>IF(A28=0,0,IFERROR(SUMIFS([1]Poblacion!R:R,[1]Poblacion!J:J,'MASTER-2025'!A28),0))</f>
        <v>0</v>
      </c>
      <c r="AF28" s="20">
        <f>IFERROR(VLOOKUP($A28,'[1]OB Atendidas por Donantes'!A:N,8,0),0)</f>
        <v>1</v>
      </c>
      <c r="AG28" s="20">
        <f>ROUNDUP(IF(A28=0,0,IFERROR(VLOOKUP($A28,'[1]Kilos Asignado del Donante'!A:N,6,0),0)),0)</f>
        <v>13</v>
      </c>
      <c r="AH28" s="20">
        <f>IF(A28=0,0,IFERROR(SUMIFS([1]Poblacion!P:P,[1]Poblacion!J:J,'MASTER-2025'!A28),0))</f>
        <v>0</v>
      </c>
      <c r="AI28" s="18">
        <f>IFERROR(VLOOKUP($A28,'[1]OB Atendidas por Donantes'!A:N,9,0),0)</f>
        <v>0</v>
      </c>
      <c r="AJ28" s="18">
        <f>ROUNDUP(IF(A28=0,0,IFERROR(VLOOKUP($A28,'[1]Kilos Asignado del Donante'!A:N,12,0),0)),0)</f>
        <v>0</v>
      </c>
      <c r="AK28" s="18">
        <f>IF(A28=0,0,IFERROR(SUMIFS([1]Poblacion!V:V,[1]Poblacion!J:J,'MASTER-2025'!A28),0))</f>
        <v>0</v>
      </c>
      <c r="AL28" s="19">
        <f>IFERROR(VLOOKUP($A28,'[1]OB Atendidas por Donantes'!A:N,16,0),0)</f>
        <v>0</v>
      </c>
      <c r="AM28" s="19">
        <f>ROUNDUP(IF(A28=0,0,IFERROR(VLOOKUP($A28,'[1]Kilos Asignado del Donante'!A:O,16,0),0)),0)</f>
        <v>0</v>
      </c>
      <c r="AN28" s="19">
        <f>IF(A28=0,0,IFERROR(SUMIFS([1]Poblacion!Z:Z,[1]Poblacion!J:J,'MASTER-2025'!A28),0))</f>
        <v>0</v>
      </c>
      <c r="AO28" s="20">
        <f>IFERROR(VLOOKUP($A28,'[1]OB Atendidas por Donantes'!A:N,11,0),0)</f>
        <v>0</v>
      </c>
      <c r="AP28" s="20">
        <f>ROUNDUP(IF(A28=0,0,IFERROR(VLOOKUP($A28,'[1]Kilos Asignado del Donante'!A:N,13,0),0)),0)</f>
        <v>0</v>
      </c>
      <c r="AQ28" s="20">
        <f>IF(A28=0,0,IFERROR(SUMIFS([1]Poblacion!W:W,[1]Poblacion!J:J,'MASTER-2025'!A28),0))</f>
        <v>0</v>
      </c>
      <c r="AR28" s="18">
        <f>IFERROR(VLOOKUP($A28,'[1]OB Atendidas por Donantes'!A:N,5,0),0)</f>
        <v>0</v>
      </c>
      <c r="AS28" s="18">
        <f>ROUNDUP(IF(A28=0,0,IFERROR(VLOOKUP($A28,'[1]Kilos Asignado del Donante'!A:N,10,0),0)),0)</f>
        <v>0</v>
      </c>
      <c r="AT28" s="18">
        <f>IF(A28=0,0,IFERROR(SUMIFS([1]Poblacion!T:T,[1]Poblacion!J:J,'MASTER-2025'!A28),0))</f>
        <v>0</v>
      </c>
      <c r="AU28" s="19">
        <f>IFERROR(VLOOKUP($A28,'[1]OB Atendidas por Donantes'!A:N,13,0),0)</f>
        <v>0</v>
      </c>
      <c r="AV28" s="19">
        <f>ROUNDUP(IF(A28=0,0,IFERROR(VLOOKUP($A28,'[1]Kilos Asignado del Donante'!A:N,14,0),0)),0)</f>
        <v>0</v>
      </c>
      <c r="AW28" s="19">
        <f>IF(A28=0,0,IFERROR(SUMIFS([1]Poblacion!X:X,[1]Poblacion!J:J,'MASTER-2025'!A28),0))</f>
        <v>0</v>
      </c>
      <c r="AX28" s="20">
        <f>IFERROR(VLOOKUP($A28,'[1]OB Atendidas por Donantes'!A:N,16,0),0)</f>
        <v>0</v>
      </c>
      <c r="AY28" s="20">
        <f>ROUNDUP(IF(A28=0,0,IFERROR(VLOOKUP($A28,'[1]Kilos Asignado del Donante'!A:O,16,0),0)),0)</f>
        <v>0</v>
      </c>
      <c r="AZ28" s="20">
        <f>IF(A28=0,0,IFERROR(SUMIFS([1]Poblacion!Y:Y,[1]Poblacion!J:J,'MASTER-2025'!A28),0))</f>
        <v>0</v>
      </c>
      <c r="BA28" s="21">
        <f t="shared" si="15"/>
        <v>26</v>
      </c>
      <c r="BB28" s="21">
        <f t="shared" si="23"/>
        <v>626</v>
      </c>
      <c r="BC28" s="21">
        <f t="shared" si="24"/>
        <v>517</v>
      </c>
      <c r="BD28" s="21">
        <f t="shared" si="26"/>
        <v>0</v>
      </c>
      <c r="BE28" s="22" t="e">
        <f>IF(A28=0,0,SUMIFS([1]Poblacion!C:C,[1]Poblacion!A:A,'MASTER-2025'!A28))</f>
        <v>#VALUE!</v>
      </c>
      <c r="BF28" s="22" t="e">
        <f>IF(A28=0,0,SUMIFS([1]Poblacion!D:D,[1]Poblacion!A:A,'MASTER-2025'!A28))</f>
        <v>#VALUE!</v>
      </c>
      <c r="BG28" s="22" t="e">
        <f>IF(A28=0,0,SUMIFS([1]Poblacion!E:E,[1]Poblacion!A:A,'MASTER-2025'!A28))</f>
        <v>#VALUE!</v>
      </c>
      <c r="BH28" s="22" t="e">
        <f>IF(A28=0,0,SUMIFS([1]Poblacion!F:F,[1]Poblacion!A:A,'MASTER-2025'!A28))</f>
        <v>#VALUE!</v>
      </c>
      <c r="BI28" s="22" t="e">
        <f t="shared" si="18"/>
        <v>#VALUE!</v>
      </c>
      <c r="BJ28" s="23" t="e">
        <f t="shared" si="7"/>
        <v>#VALUE!</v>
      </c>
      <c r="BK28" s="22" t="e">
        <f>IF(A28=0,0,SUMIFS([1]Poblacion!G:G,[1]Poblacion!A:A,'MASTER-2025'!A28))</f>
        <v>#VALUE!</v>
      </c>
      <c r="BL28" s="24" cm="1">
        <f t="array" ref="BL28:BW28">IFERROR(VLOOKUP(A28,'[1]Acum-OB-kg-pob-25'!A:AQ,{3,4,5,6,7,8,9,10,11,12,13,14},0),0)</f>
        <v>0</v>
      </c>
      <c r="BM28" s="24">
        <v>68</v>
      </c>
      <c r="BN28" s="24">
        <v>26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f t="shared" si="8"/>
        <v>94</v>
      </c>
      <c r="BY28" s="25" cm="1">
        <f t="array" ref="BY28:CJ28">IFERROR(VLOOKUP(A28,'[1]Acum-OB-kg-pob-25'!A:AQ,{17,18,19,20,21,22,23,24,25,26,27,28},0),0)</f>
        <v>520</v>
      </c>
      <c r="BZ28" s="25">
        <v>1484</v>
      </c>
      <c r="CA28" s="25">
        <v>0</v>
      </c>
      <c r="CB28" s="25">
        <v>0</v>
      </c>
      <c r="CC28" s="25">
        <v>0</v>
      </c>
      <c r="CD28" s="25">
        <v>0</v>
      </c>
      <c r="CE28" s="25">
        <v>0</v>
      </c>
      <c r="CF28" s="25">
        <v>0</v>
      </c>
      <c r="CG28" s="25">
        <v>0</v>
      </c>
      <c r="CH28" s="25">
        <v>0</v>
      </c>
      <c r="CI28" s="25">
        <v>0</v>
      </c>
      <c r="CJ28" s="25">
        <v>0</v>
      </c>
      <c r="CK28" s="25">
        <f t="shared" si="9"/>
        <v>2004</v>
      </c>
      <c r="CL28" s="26" cm="1">
        <f t="array" ref="CL28:CW28">IFERROR(VLOOKUP(A28,'[1]Acum-OB-kg-pob-25'!A:AQ,{31,32,33,34,35,36,37,38,39,40,41,42},0),0)</f>
        <v>0</v>
      </c>
      <c r="CM28" s="26">
        <v>22889</v>
      </c>
      <c r="CN28" s="26">
        <v>6216</v>
      </c>
      <c r="CO28" s="26">
        <v>0</v>
      </c>
      <c r="CP28" s="26">
        <v>0</v>
      </c>
      <c r="CQ28" s="26">
        <v>0</v>
      </c>
      <c r="CR28" s="26">
        <v>0</v>
      </c>
      <c r="CS28" s="26">
        <v>0</v>
      </c>
      <c r="CT28" s="26">
        <v>0</v>
      </c>
      <c r="CU28" s="26">
        <v>0</v>
      </c>
      <c r="CV28" s="26">
        <v>0</v>
      </c>
      <c r="CW28" s="26">
        <v>0</v>
      </c>
      <c r="CX28" s="26">
        <f t="shared" si="10"/>
        <v>29105</v>
      </c>
      <c r="CY28" s="14" t="str">
        <f>IF(A28=0,0,IFERROR(VLOOKUP(A28,'[1]Info Donantes'!C:F,2,0),"Sin Contacto"))</f>
        <v>Ana Gabriela Piedra</v>
      </c>
      <c r="CZ28" s="14" t="str">
        <f>IF(A28=0,0,IFERROR(VLOOKUP(A28,'[1]Info Donantes'!C:F,3,0),"Sin Correo"))</f>
        <v>anapiedra@dospinos.com</v>
      </c>
      <c r="DA28" s="14" t="str">
        <f>IF(A28=0,0,IFERROR(VLOOKUP(A28,'[1]Info Donantes'!C:F,4,0),"Sin Telefono"))</f>
        <v>66148881</v>
      </c>
      <c r="DB28" s="14" t="str">
        <f>IF(A28=0,0,"Reporte de Trazabiidad"&amp;" - "&amp;'[1]Resumen Donantes'!$C$2&amp;" - "&amp;A28&amp;"")</f>
        <v>Reporte de Trazabiidad -  - PRODUCTOS NEVADA S.A</v>
      </c>
    </row>
    <row r="29" spans="1:106" x14ac:dyDescent="0.55000000000000004">
      <c r="A29" s="14" t="s">
        <v>133</v>
      </c>
      <c r="B29" s="15">
        <f>INT(IFERROR(VLOOKUP(A29,'[1]Resumen Donantes'!C:F,3,0),0))</f>
        <v>5</v>
      </c>
      <c r="C29" s="15">
        <f>INT(ROUND(IFERROR(VLOOKUP(A29,'[1]Resumen Donantes'!C:F,4,0),0),1))</f>
        <v>5231</v>
      </c>
      <c r="D29" s="16">
        <f t="shared" si="19"/>
        <v>5226</v>
      </c>
      <c r="E29" s="17" t="str">
        <f t="shared" si="20"/>
        <v>99.90%</v>
      </c>
      <c r="F29" s="17" t="str">
        <f t="shared" si="21"/>
        <v>0.1%</v>
      </c>
      <c r="G29" s="15">
        <f t="shared" si="25"/>
        <v>15678</v>
      </c>
      <c r="H29" s="18"/>
      <c r="I29" s="18">
        <f>IFERROR(VLOOKUP(A29,'[1]Lot All by Part'!T:Y,6,0),0)</f>
        <v>0</v>
      </c>
      <c r="J29" s="18"/>
      <c r="K29" s="19">
        <f>IFERROR(VLOOKUP($A29,'[1]OB Atendidas por Donantes'!A:N,3,0),0)</f>
        <v>12</v>
      </c>
      <c r="L29" s="19">
        <f>ROUNDUP(IF(A29=0,0,IFERROR(VLOOKUP($A29,'[1]Kilos Asignado del Donante'!A:O,3,0),0)),0)</f>
        <v>394</v>
      </c>
      <c r="M29" s="19">
        <f>IF(A29=0,0,IFERROR(SUMIFS([1]Poblacion!M:M,[1]Poblacion!J:J,'MASTER-2025'!A29),0))</f>
        <v>0</v>
      </c>
      <c r="N29" s="20">
        <f>IFERROR(VLOOKUP($A29,'[1]OB Atendidas por Donantes'!A:N,4,0),0)</f>
        <v>26</v>
      </c>
      <c r="O29" s="20">
        <f>ROUNDUP(IF(A29=0,0,IFERROR(VLOOKUP($A29,'[1]Kilos Asignado del Donante'!A:O,4,0),0)),0)</f>
        <v>854</v>
      </c>
      <c r="P29" s="20">
        <f>IF(A29=0,0,IFERROR(SUMIFS([1]Poblacion!N:N,[1]Poblacion!J:J,'MASTER-2025'!A29),0))</f>
        <v>0</v>
      </c>
      <c r="Q29" s="18">
        <f>IFERROR(VLOOKUP($A29,'[1]OB Atendidas por Donantes'!A:N,2,0),0)</f>
        <v>7</v>
      </c>
      <c r="R29" s="18">
        <f>ROUNDUP(ROUND(IF(A29=0,0,IFERROR(VLOOKUP($A29,'[1]Kilos Asignado del Donante'!A:O,9,0),0)),1),0)</f>
        <v>109</v>
      </c>
      <c r="S29" s="18">
        <f>IF(A29=0,0,IFERROR(SUMIFS([1]Poblacion!S:S,[1]Poblacion!J:J,'MASTER-2025'!A29),0))</f>
        <v>0</v>
      </c>
      <c r="T29" s="19">
        <f>IFERROR(VLOOKUP($A29,'[1]OB Atendidas por Donantes'!A:N,12,0),0)</f>
        <v>5</v>
      </c>
      <c r="U29" s="19">
        <f>ROUNDUP(IF(A29=0,0,IF(A29=0,0,IFERROR(VLOOKUP($A29,'[1]Kilos Asignado del Donante'!A:O,7,0),0))),0)</f>
        <v>74</v>
      </c>
      <c r="V29" s="19">
        <f>IF(A29=0,0,IFERROR(SUMIFS([1]Poblacion!Q:Q,[1]Poblacion!J:J,'MASTER-2025'!A29),0))</f>
        <v>0</v>
      </c>
      <c r="W29" s="20">
        <f>IFERROR(VLOOKUP($A29,'[1]OB Atendidas por Donantes'!A:N,10,0),0)</f>
        <v>14</v>
      </c>
      <c r="X29" s="20">
        <f>ROUNDUP(IF(A29=0,0,IFERROR(VLOOKUP($A29,'[1]Kilos Asignado del Donante'!A:N,5,0),0)),0)</f>
        <v>383</v>
      </c>
      <c r="Y29" s="20">
        <f>IF(A29=0,0,IFERROR(SUMIFS([1]Poblacion!O:O,[1]Poblacion!J:J,'MASTER-2025'!A29),0))</f>
        <v>0</v>
      </c>
      <c r="Z29" s="18">
        <f>IFERROR(VLOOKUP($A29,'[1]OB Atendidas por Donantes'!A:N,6,0),0)</f>
        <v>4</v>
      </c>
      <c r="AA29" s="18">
        <f>ROUNDUP(IF(A29=0,0,IFERROR(VLOOKUP($A29,'[1]Kilos Asignado del Donante'!A:N,11,0),0)),0)</f>
        <v>1350</v>
      </c>
      <c r="AB29" s="18">
        <f>IF(A29=0,0,IFERROR(SUMIFS([1]Poblacion!U:U,[1]Poblacion!J:J,'MASTER-2025'!A29),0))</f>
        <v>0</v>
      </c>
      <c r="AC29" s="19">
        <f>IFERROR(VLOOKUP($A29,'[1]OB Atendidas por Donantes'!A:N,7,0),0)</f>
        <v>2</v>
      </c>
      <c r="AD29" s="19">
        <f>ROUNDUP(IF(A29=0,0,IFERROR(VLOOKUP($A29,'[1]Kilos Asignado del Donante'!A:N,8,0),0)),0)</f>
        <v>42</v>
      </c>
      <c r="AE29" s="19">
        <f>IF(A29=0,0,IFERROR(SUMIFS([1]Poblacion!R:R,[1]Poblacion!J:J,'MASTER-2025'!A29),0))</f>
        <v>0</v>
      </c>
      <c r="AF29" s="20">
        <f>IFERROR(VLOOKUP($A29,'[1]OB Atendidas por Donantes'!A:N,8,0),0)</f>
        <v>3</v>
      </c>
      <c r="AG29" s="20">
        <f>ROUNDUP(IF(A29=0,0,IFERROR(VLOOKUP($A29,'[1]Kilos Asignado del Donante'!A:N,6,0),0)),0)</f>
        <v>58</v>
      </c>
      <c r="AH29" s="20">
        <f>IF(A29=0,0,IFERROR(SUMIFS([1]Poblacion!P:P,[1]Poblacion!J:J,'MASTER-2025'!A29),0))</f>
        <v>0</v>
      </c>
      <c r="AI29" s="18">
        <f>IFERROR(VLOOKUP($A29,'[1]OB Atendidas por Donantes'!A:N,9,0),0)</f>
        <v>4</v>
      </c>
      <c r="AJ29" s="18">
        <f>ROUNDUP(IF(A29=0,0,IFERROR(VLOOKUP($A29,'[1]Kilos Asignado del Donante'!A:N,12,0),0)),0)</f>
        <v>357</v>
      </c>
      <c r="AK29" s="18">
        <f>IF(A29=0,0,IFERROR(SUMIFS([1]Poblacion!V:V,[1]Poblacion!J:J,'MASTER-2025'!A29),0))</f>
        <v>0</v>
      </c>
      <c r="AL29" s="19">
        <f>IFERROR(VLOOKUP($A29,'[1]OB Atendidas por Donantes'!A:N,16,0),0)</f>
        <v>0</v>
      </c>
      <c r="AM29" s="19">
        <f>ROUNDUP(IF(A29=0,0,IFERROR(VLOOKUP($A29,'[1]Kilos Asignado del Donante'!A:O,16,0),0)),0)</f>
        <v>0</v>
      </c>
      <c r="AN29" s="19">
        <f>IF(A29=0,0,IFERROR(SUMIFS([1]Poblacion!Z:Z,[1]Poblacion!J:J,'MASTER-2025'!A29),0))</f>
        <v>0</v>
      </c>
      <c r="AO29" s="20">
        <f>IFERROR(VLOOKUP($A29,'[1]OB Atendidas por Donantes'!A:N,11,0),0)</f>
        <v>3</v>
      </c>
      <c r="AP29" s="20">
        <f>ROUNDUP(IF(A29=0,0,IFERROR(VLOOKUP($A29,'[1]Kilos Asignado del Donante'!A:N,13,0),0)),0)</f>
        <v>379</v>
      </c>
      <c r="AQ29" s="20">
        <f>IF(A29=0,0,IFERROR(SUMIFS([1]Poblacion!W:W,[1]Poblacion!J:J,'MASTER-2025'!A29),0))</f>
        <v>0</v>
      </c>
      <c r="AR29" s="18">
        <f>IFERROR(VLOOKUP($A29,'[1]OB Atendidas por Donantes'!A:N,5,0),0)</f>
        <v>11</v>
      </c>
      <c r="AS29" s="18">
        <f>ROUNDUP(IF(A29=0,0,IFERROR(VLOOKUP($A29,'[1]Kilos Asignado del Donante'!A:N,10,0),0)),0)</f>
        <v>395</v>
      </c>
      <c r="AT29" s="18">
        <f>IF(A29=0,0,IFERROR(SUMIFS([1]Poblacion!T:T,[1]Poblacion!J:J,'MASTER-2025'!A29),0))</f>
        <v>0</v>
      </c>
      <c r="AU29" s="19">
        <f>IFERROR(VLOOKUP($A29,'[1]OB Atendidas por Donantes'!A:N,13,0),0)</f>
        <v>0</v>
      </c>
      <c r="AV29" s="19">
        <f>ROUNDUP(IF(A29=0,0,IFERROR(VLOOKUP($A29,'[1]Kilos Asignado del Donante'!A:N,14,0),0)),0)</f>
        <v>0</v>
      </c>
      <c r="AW29" s="19">
        <f>IF(A29=0,0,IFERROR(SUMIFS([1]Poblacion!X:X,[1]Poblacion!J:J,'MASTER-2025'!A29),0))</f>
        <v>0</v>
      </c>
      <c r="AX29" s="20">
        <f>IFERROR(VLOOKUP($A29,'[1]OB Atendidas por Donantes'!A:N,16,0),0)</f>
        <v>0</v>
      </c>
      <c r="AY29" s="20">
        <f>ROUNDUP(IF(A29=0,0,IFERROR(VLOOKUP($A29,'[1]Kilos Asignado del Donante'!A:O,16,0),0)),0)</f>
        <v>0</v>
      </c>
      <c r="AZ29" s="20">
        <f>IF(A29=0,0,IFERROR(SUMIFS([1]Poblacion!Y:Y,[1]Poblacion!J:J,'MASTER-2025'!A29),0))</f>
        <v>0</v>
      </c>
      <c r="BA29" s="21">
        <f t="shared" si="15"/>
        <v>91</v>
      </c>
      <c r="BB29" s="21">
        <f t="shared" si="23"/>
        <v>4395</v>
      </c>
      <c r="BC29" s="21">
        <f t="shared" si="24"/>
        <v>1431</v>
      </c>
      <c r="BD29" s="21">
        <f t="shared" si="26"/>
        <v>0</v>
      </c>
      <c r="BE29" s="22" t="e">
        <f>IF(A29=0,0,SUMIFS([1]Poblacion!C:C,[1]Poblacion!A:A,'MASTER-2025'!A29))</f>
        <v>#VALUE!</v>
      </c>
      <c r="BF29" s="22" t="e">
        <f>IF(A29=0,0,SUMIFS([1]Poblacion!D:D,[1]Poblacion!A:A,'MASTER-2025'!A29))</f>
        <v>#VALUE!</v>
      </c>
      <c r="BG29" s="22" t="e">
        <f>IF(A29=0,0,SUMIFS([1]Poblacion!E:E,[1]Poblacion!A:A,'MASTER-2025'!A29))</f>
        <v>#VALUE!</v>
      </c>
      <c r="BH29" s="22" t="e">
        <f>IF(A29=0,0,SUMIFS([1]Poblacion!F:F,[1]Poblacion!A:A,'MASTER-2025'!A29))</f>
        <v>#VALUE!</v>
      </c>
      <c r="BI29" s="22" t="e">
        <f t="shared" si="18"/>
        <v>#VALUE!</v>
      </c>
      <c r="BJ29" s="23" t="e">
        <f t="shared" si="7"/>
        <v>#VALUE!</v>
      </c>
      <c r="BK29" s="22" t="e">
        <f>IF(A29=0,0,SUMIFS([1]Poblacion!G:G,[1]Poblacion!A:A,'MASTER-2025'!A29))</f>
        <v>#VALUE!</v>
      </c>
      <c r="BL29" s="24" cm="1">
        <f t="array" ref="BL29:BW29">IFERROR(VLOOKUP(A29,'[1]Acum-OB-kg-pob-25'!A:AQ,{3,4,5,6,7,8,9,10,11,12,13,14},0),0)</f>
        <v>108</v>
      </c>
      <c r="BM29" s="24">
        <v>111</v>
      </c>
      <c r="BN29" s="24">
        <v>91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BX29" s="24">
        <f t="shared" si="8"/>
        <v>310</v>
      </c>
      <c r="BY29" s="25" cm="1">
        <f t="array" ref="BY29:CJ29">IFERROR(VLOOKUP(A29,'[1]Acum-OB-kg-pob-25'!A:AQ,{17,18,19,20,21,22,23,24,25,26,27,28},0),0)</f>
        <v>17272</v>
      </c>
      <c r="BZ29" s="25">
        <v>6230</v>
      </c>
      <c r="CA29" s="25">
        <v>5231</v>
      </c>
      <c r="CB29" s="25">
        <v>0</v>
      </c>
      <c r="CC29" s="25">
        <v>0</v>
      </c>
      <c r="CD29" s="25">
        <v>0</v>
      </c>
      <c r="CE29" s="25">
        <v>0</v>
      </c>
      <c r="CF29" s="25">
        <v>0</v>
      </c>
      <c r="CG29" s="25">
        <v>0</v>
      </c>
      <c r="CH29" s="25">
        <v>0</v>
      </c>
      <c r="CI29" s="25">
        <v>0</v>
      </c>
      <c r="CJ29" s="25">
        <v>0</v>
      </c>
      <c r="CK29" s="25">
        <f t="shared" si="9"/>
        <v>28733</v>
      </c>
      <c r="CL29" s="26" cm="1">
        <f t="array" ref="CL29:CW29">IFERROR(VLOOKUP(A29,'[1]Acum-OB-kg-pob-25'!A:AQ,{31,32,33,34,35,36,37,38,39,40,41,42},0),0)</f>
        <v>33883</v>
      </c>
      <c r="CM29" s="26">
        <v>35343</v>
      </c>
      <c r="CN29" s="26">
        <v>26104</v>
      </c>
      <c r="CO29" s="26">
        <v>0</v>
      </c>
      <c r="CP29" s="26">
        <v>0</v>
      </c>
      <c r="CQ29" s="26">
        <v>0</v>
      </c>
      <c r="CR29" s="26">
        <v>0</v>
      </c>
      <c r="CS29" s="26">
        <v>0</v>
      </c>
      <c r="CT29" s="26">
        <v>0</v>
      </c>
      <c r="CU29" s="26">
        <v>0</v>
      </c>
      <c r="CV29" s="26">
        <v>0</v>
      </c>
      <c r="CW29" s="26">
        <v>0</v>
      </c>
      <c r="CX29" s="26">
        <f t="shared" si="10"/>
        <v>95330</v>
      </c>
      <c r="CY29" s="14" t="str">
        <f>IF(A29=0,0,IFERROR(VLOOKUP(A29,'[1]Info Donantes'!C:F,2,0),"Sin Contacto"))</f>
        <v>Marlene Duran</v>
      </c>
      <c r="CZ29" s="14" t="str">
        <f>IF(A29=0,0,IFERROR(VLOOKUP(A29,'[1]Info Donantes'!C:F,3,0),"Sin Correo"))</f>
        <v>mduran@toledano.com</v>
      </c>
      <c r="DA29" s="14" t="str">
        <f>IF(A29=0,0,IFERROR(VLOOKUP(A29,'[1]Info Donantes'!C:F,4,0),"Sin Telefono"))</f>
        <v>290-8200</v>
      </c>
      <c r="DB29" s="14" t="str">
        <f>IF(A29=0,0,"Reporte de Trazabiidad"&amp;" - "&amp;'[1]Resumen Donantes'!$C$2&amp;" - "&amp;A29&amp;"")</f>
        <v>Reporte de Trazabiidad -  - PRODUCTOS TOLEDANO</v>
      </c>
    </row>
    <row r="30" spans="1:106" x14ac:dyDescent="0.55000000000000004">
      <c r="A30" s="14" t="s">
        <v>134</v>
      </c>
      <c r="B30" s="15">
        <f>INT(IFERROR(VLOOKUP(A30,'[1]Resumen Donantes'!C:F,3,0),0))</f>
        <v>0</v>
      </c>
      <c r="C30" s="15">
        <f>INT(ROUND(IFERROR(VLOOKUP(A30,'[1]Resumen Donantes'!C:F,4,0),0),1))</f>
        <v>673</v>
      </c>
      <c r="D30" s="16">
        <f t="shared" si="19"/>
        <v>673</v>
      </c>
      <c r="E30" s="17" t="str">
        <f t="shared" si="20"/>
        <v>100.00%</v>
      </c>
      <c r="F30" s="17" t="str">
        <f t="shared" si="21"/>
        <v>0.0%</v>
      </c>
      <c r="G30" s="15">
        <f t="shared" si="25"/>
        <v>2019</v>
      </c>
      <c r="H30" s="18"/>
      <c r="I30" s="18">
        <f>IFERROR(VLOOKUP(A30,'[1]Lot All by Part'!T:Y,6,0),0)</f>
        <v>0</v>
      </c>
      <c r="J30" s="18"/>
      <c r="K30" s="19">
        <f>IFERROR(VLOOKUP($A30,'[1]OB Atendidas por Donantes'!A:N,3,0),0)</f>
        <v>13</v>
      </c>
      <c r="L30" s="19">
        <f>ROUNDUP(IF(A30=0,0,IFERROR(VLOOKUP($A30,'[1]Kilos Asignado del Donante'!A:O,3,0),0)),0)</f>
        <v>136</v>
      </c>
      <c r="M30" s="19">
        <f>IF(A30=0,0,IFERROR(SUMIFS([1]Poblacion!M:M,[1]Poblacion!J:J,'MASTER-2025'!A30),0))</f>
        <v>0</v>
      </c>
      <c r="N30" s="20">
        <f>IFERROR(VLOOKUP($A30,'[1]OB Atendidas por Donantes'!A:N,4,0),0)</f>
        <v>16</v>
      </c>
      <c r="O30" s="20">
        <f>ROUNDUP(IF(A30=0,0,IFERROR(VLOOKUP($A30,'[1]Kilos Asignado del Donante'!A:O,4,0),0)),0)</f>
        <v>148</v>
      </c>
      <c r="P30" s="20">
        <f>IF(A30=0,0,IFERROR(SUMIFS([1]Poblacion!N:N,[1]Poblacion!J:J,'MASTER-2025'!A30),0))</f>
        <v>0</v>
      </c>
      <c r="Q30" s="18">
        <f>IFERROR(VLOOKUP($A30,'[1]OB Atendidas por Donantes'!A:N,2,0),0)</f>
        <v>5</v>
      </c>
      <c r="R30" s="18">
        <f>ROUNDUP(ROUND(IF(A30=0,0,IFERROR(VLOOKUP($A30,'[1]Kilos Asignado del Donante'!A:O,9,0),0)),1),0)</f>
        <v>22</v>
      </c>
      <c r="S30" s="18">
        <f>IF(A30=0,0,IFERROR(SUMIFS([1]Poblacion!S:S,[1]Poblacion!J:J,'MASTER-2025'!A30),0))</f>
        <v>0</v>
      </c>
      <c r="T30" s="19">
        <f>IFERROR(VLOOKUP($A30,'[1]OB Atendidas por Donantes'!A:N,12,0),0)</f>
        <v>4</v>
      </c>
      <c r="U30" s="19">
        <f>ROUNDUP(IF(A30=0,0,IF(A30=0,0,IFERROR(VLOOKUP($A30,'[1]Kilos Asignado del Donante'!A:O,7,0),0))),0)</f>
        <v>17</v>
      </c>
      <c r="V30" s="19">
        <f>IF(A30=0,0,IFERROR(SUMIFS([1]Poblacion!Q:Q,[1]Poblacion!J:J,'MASTER-2025'!A30),0))</f>
        <v>0</v>
      </c>
      <c r="W30" s="20">
        <f>IFERROR(VLOOKUP($A30,'[1]OB Atendidas por Donantes'!A:N,10,0),0)</f>
        <v>10</v>
      </c>
      <c r="X30" s="20">
        <f>ROUNDUP(IF(A30=0,0,IFERROR(VLOOKUP($A30,'[1]Kilos Asignado del Donante'!A:N,5,0),0)),0)</f>
        <v>128</v>
      </c>
      <c r="Y30" s="20">
        <f>IF(A30=0,0,IFERROR(SUMIFS([1]Poblacion!O:O,[1]Poblacion!J:J,'MASTER-2025'!A30),0))</f>
        <v>0</v>
      </c>
      <c r="Z30" s="18">
        <f>IFERROR(VLOOKUP($A30,'[1]OB Atendidas por Donantes'!A:N,6,0),0)</f>
        <v>0</v>
      </c>
      <c r="AA30" s="18">
        <f>ROUNDUP(IF(A30=0,0,IFERROR(VLOOKUP($A30,'[1]Kilos Asignado del Donante'!A:N,11,0),0)),0)</f>
        <v>0</v>
      </c>
      <c r="AB30" s="18">
        <f>IF(A30=0,0,IFERROR(SUMIFS([1]Poblacion!U:U,[1]Poblacion!J:J,'MASTER-2025'!A30),0))</f>
        <v>0</v>
      </c>
      <c r="AC30" s="19">
        <f>IFERROR(VLOOKUP($A30,'[1]OB Atendidas por Donantes'!A:N,7,0),0)</f>
        <v>3</v>
      </c>
      <c r="AD30" s="19">
        <f>ROUNDUP(IF(A30=0,0,IFERROR(VLOOKUP($A30,'[1]Kilos Asignado del Donante'!A:N,8,0),0)),0)</f>
        <v>69</v>
      </c>
      <c r="AE30" s="19">
        <f>IF(A30=0,0,IFERROR(SUMIFS([1]Poblacion!R:R,[1]Poblacion!J:J,'MASTER-2025'!A30),0))</f>
        <v>0</v>
      </c>
      <c r="AF30" s="20">
        <f>IFERROR(VLOOKUP($A30,'[1]OB Atendidas por Donantes'!A:N,8,0),0)</f>
        <v>1</v>
      </c>
      <c r="AG30" s="20">
        <f>ROUNDUP(IF(A30=0,0,IFERROR(VLOOKUP($A30,'[1]Kilos Asignado del Donante'!A:N,6,0),0)),0)</f>
        <v>6</v>
      </c>
      <c r="AH30" s="20">
        <f>IF(A30=0,0,IFERROR(SUMIFS([1]Poblacion!P:P,[1]Poblacion!J:J,'MASTER-2025'!A30),0))</f>
        <v>0</v>
      </c>
      <c r="AI30" s="18">
        <f>IFERROR(VLOOKUP($A30,'[1]OB Atendidas por Donantes'!A:N,9,0),0)</f>
        <v>0</v>
      </c>
      <c r="AJ30" s="18">
        <f>ROUNDUP(IF(A30=0,0,IFERROR(VLOOKUP($A30,'[1]Kilos Asignado del Donante'!A:N,12,0),0)),0)</f>
        <v>0</v>
      </c>
      <c r="AK30" s="18">
        <f>IF(A30=0,0,IFERROR(SUMIFS([1]Poblacion!V:V,[1]Poblacion!J:J,'MASTER-2025'!A30),0))</f>
        <v>0</v>
      </c>
      <c r="AL30" s="19">
        <f>IFERROR(VLOOKUP($A30,'[1]OB Atendidas por Donantes'!A:N,16,0),0)</f>
        <v>0</v>
      </c>
      <c r="AM30" s="19">
        <f>ROUNDUP(IF(A30=0,0,IFERROR(VLOOKUP($A30,'[1]Kilos Asignado del Donante'!A:O,16,0),0)),0)</f>
        <v>0</v>
      </c>
      <c r="AN30" s="19">
        <f>IF(A30=0,0,IFERROR(SUMIFS([1]Poblacion!Z:Z,[1]Poblacion!J:J,'MASTER-2025'!A30),0))</f>
        <v>0</v>
      </c>
      <c r="AO30" s="20">
        <f>IFERROR(VLOOKUP($A30,'[1]OB Atendidas por Donantes'!A:N,11,0),0)</f>
        <v>0</v>
      </c>
      <c r="AP30" s="20">
        <f>ROUNDUP(IF(A30=0,0,IFERROR(VLOOKUP($A30,'[1]Kilos Asignado del Donante'!A:N,13,0),0)),0)</f>
        <v>0</v>
      </c>
      <c r="AQ30" s="20">
        <f>IF(A30=0,0,IFERROR(SUMIFS([1]Poblacion!W:W,[1]Poblacion!J:J,'MASTER-2025'!A30),0))</f>
        <v>0</v>
      </c>
      <c r="AR30" s="18">
        <f>IFERROR(VLOOKUP($A30,'[1]OB Atendidas por Donantes'!A:N,5,0),0)</f>
        <v>0</v>
      </c>
      <c r="AS30" s="18">
        <f>ROUNDUP(IF(A30=0,0,IFERROR(VLOOKUP($A30,'[1]Kilos Asignado del Donante'!A:N,10,0),0)),0)</f>
        <v>0</v>
      </c>
      <c r="AT30" s="18">
        <f>IF(A30=0,0,IFERROR(SUMIFS([1]Poblacion!T:T,[1]Poblacion!J:J,'MASTER-2025'!A30),0))</f>
        <v>0</v>
      </c>
      <c r="AU30" s="19">
        <f>IFERROR(VLOOKUP($A30,'[1]OB Atendidas por Donantes'!A:N,13,0),0)</f>
        <v>0</v>
      </c>
      <c r="AV30" s="19">
        <f>ROUNDUP(IF(A30=0,0,IFERROR(VLOOKUP($A30,'[1]Kilos Asignado del Donante'!A:N,14,0),0)),0)</f>
        <v>0</v>
      </c>
      <c r="AW30" s="19">
        <f>IF(A30=0,0,IFERROR(SUMIFS([1]Poblacion!X:X,[1]Poblacion!J:J,'MASTER-2025'!A30),0))</f>
        <v>0</v>
      </c>
      <c r="AX30" s="20">
        <f>IFERROR(VLOOKUP($A30,'[1]OB Atendidas por Donantes'!A:N,16,0),0)</f>
        <v>0</v>
      </c>
      <c r="AY30" s="20">
        <f>ROUNDUP(IF(A30=0,0,IFERROR(VLOOKUP($A30,'[1]Kilos Asignado del Donante'!A:O,16,0),0)),0)</f>
        <v>0</v>
      </c>
      <c r="AZ30" s="20">
        <f>IF(A30=0,0,IFERROR(SUMIFS([1]Poblacion!Y:Y,[1]Poblacion!J:J,'MASTER-2025'!A30),0))</f>
        <v>0</v>
      </c>
      <c r="BA30" s="21">
        <f t="shared" si="15"/>
        <v>52</v>
      </c>
      <c r="BB30" s="21">
        <f t="shared" si="23"/>
        <v>526</v>
      </c>
      <c r="BC30" s="21">
        <f t="shared" si="24"/>
        <v>323</v>
      </c>
      <c r="BD30" s="21">
        <f t="shared" si="26"/>
        <v>0</v>
      </c>
      <c r="BE30" s="22" t="e">
        <f>IF(A30=0,0,SUMIFS([1]Poblacion!C:C,[1]Poblacion!A:A,'MASTER-2025'!A30))</f>
        <v>#VALUE!</v>
      </c>
      <c r="BF30" s="22" t="e">
        <f>IF(A30=0,0,SUMIFS([1]Poblacion!D:D,[1]Poblacion!A:A,'MASTER-2025'!A30))</f>
        <v>#VALUE!</v>
      </c>
      <c r="BG30" s="22" t="e">
        <f>IF(A30=0,0,SUMIFS([1]Poblacion!E:E,[1]Poblacion!A:A,'MASTER-2025'!A30))</f>
        <v>#VALUE!</v>
      </c>
      <c r="BH30" s="22" t="e">
        <f>IF(A30=0,0,SUMIFS([1]Poblacion!F:F,[1]Poblacion!A:A,'MASTER-2025'!A30))</f>
        <v>#VALUE!</v>
      </c>
      <c r="BI30" s="22" t="e">
        <f t="shared" si="18"/>
        <v>#VALUE!</v>
      </c>
      <c r="BJ30" s="23" t="e">
        <f t="shared" si="7"/>
        <v>#VALUE!</v>
      </c>
      <c r="BK30" s="22" t="e">
        <f>IF(A30=0,0,SUMIFS([1]Poblacion!G:G,[1]Poblacion!A:A,'MASTER-2025'!A30))</f>
        <v>#VALUE!</v>
      </c>
      <c r="BL30" s="24" cm="1">
        <f t="array" ref="BL30:BW30">IFERROR(VLOOKUP(A30,'[1]Acum-OB-kg-pob-25'!A:AQ,{3,4,5,6,7,8,9,10,11,12,13,14},0),0)</f>
        <v>9</v>
      </c>
      <c r="BM30" s="24">
        <v>30</v>
      </c>
      <c r="BN30" s="24">
        <v>52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f t="shared" si="8"/>
        <v>91</v>
      </c>
      <c r="BY30" s="25" cm="1">
        <f t="array" ref="BY30:CJ30">IFERROR(VLOOKUP(A30,'[1]Acum-OB-kg-pob-25'!A:AQ,{17,18,19,20,21,22,23,24,25,26,27,28},0),0)</f>
        <v>231</v>
      </c>
      <c r="BZ30" s="25">
        <v>190</v>
      </c>
      <c r="CA30" s="25">
        <v>673</v>
      </c>
      <c r="CB30" s="25">
        <v>0</v>
      </c>
      <c r="CC30" s="25">
        <v>0</v>
      </c>
      <c r="CD30" s="25">
        <v>0</v>
      </c>
      <c r="CE30" s="25">
        <v>0</v>
      </c>
      <c r="CF30" s="25">
        <v>0</v>
      </c>
      <c r="CG30" s="25">
        <v>0</v>
      </c>
      <c r="CH30" s="25">
        <v>0</v>
      </c>
      <c r="CI30" s="25">
        <v>0</v>
      </c>
      <c r="CJ30" s="25">
        <v>0</v>
      </c>
      <c r="CK30" s="25">
        <f t="shared" si="9"/>
        <v>1094</v>
      </c>
      <c r="CL30" s="26" cm="1">
        <f t="array" ref="CL30:CW30">IFERROR(VLOOKUP(A30,'[1]Acum-OB-kg-pob-25'!A:AQ,{31,32,33,34,35,36,37,38,39,40,41,42},0),0)</f>
        <v>6572</v>
      </c>
      <c r="CM30" s="26">
        <v>7619</v>
      </c>
      <c r="CN30" s="26">
        <v>20817</v>
      </c>
      <c r="CO30" s="26">
        <v>0</v>
      </c>
      <c r="CP30" s="26">
        <v>0</v>
      </c>
      <c r="CQ30" s="26">
        <v>0</v>
      </c>
      <c r="CR30" s="26">
        <v>0</v>
      </c>
      <c r="CS30" s="26">
        <v>0</v>
      </c>
      <c r="CT30" s="26">
        <v>0</v>
      </c>
      <c r="CU30" s="26">
        <v>0</v>
      </c>
      <c r="CV30" s="26">
        <v>0</v>
      </c>
      <c r="CW30" s="26">
        <v>0</v>
      </c>
      <c r="CX30" s="26">
        <f t="shared" si="10"/>
        <v>35008</v>
      </c>
      <c r="CY30" s="14">
        <f>IF(A30=0,0,IFERROR(VLOOKUP(A30,'[1]Info Donantes'!C:F,2,0),"Sin Contacto"))</f>
        <v>0</v>
      </c>
      <c r="CZ30" s="14" t="str">
        <f>IF(A30=0,0,IFERROR(VLOOKUP(A30,'[1]Info Donantes'!C:F,3,0),"Sin Correo"))</f>
        <v>c.ingreso2@banalimentospty.com</v>
      </c>
      <c r="DA30" s="14" t="str">
        <f>IF(A30=0,0,IFERROR(VLOOKUP(A30,'[1]Info Donantes'!C:F,4,0),"Sin Telefono"))</f>
        <v>+5072920162</v>
      </c>
      <c r="DB30" s="14" t="str">
        <f>IF(A30=0,0,"Reporte de Trazabiidad"&amp;" - "&amp;'[1]Resumen Donantes'!$C$2&amp;" - "&amp;A30&amp;"")</f>
        <v>Reporte de Trazabiidad -  - PROGRAMA KILOS DE ESPERANZA</v>
      </c>
    </row>
    <row r="31" spans="1:106" x14ac:dyDescent="0.55000000000000004">
      <c r="A31" s="14" t="s">
        <v>135</v>
      </c>
      <c r="B31" s="15">
        <f>INT(IFERROR(VLOOKUP(A31,'[1]Resumen Donantes'!C:F,3,0),0))</f>
        <v>0</v>
      </c>
      <c r="C31" s="15">
        <f>INT(ROUND(IFERROR(VLOOKUP(A31,'[1]Resumen Donantes'!C:F,4,0),0),1))</f>
        <v>2100</v>
      </c>
      <c r="D31" s="16">
        <f t="shared" si="19"/>
        <v>2100</v>
      </c>
      <c r="E31" s="17" t="str">
        <f t="shared" si="20"/>
        <v>100.00%</v>
      </c>
      <c r="F31" s="17" t="str">
        <f t="shared" si="21"/>
        <v>0.0%</v>
      </c>
      <c r="G31" s="15">
        <f t="shared" si="25"/>
        <v>6300</v>
      </c>
      <c r="H31" s="18"/>
      <c r="I31" s="18">
        <f>IFERROR(VLOOKUP(A31,'[1]Lot All by Part'!T:Y,6,0),0)</f>
        <v>0</v>
      </c>
      <c r="J31" s="18"/>
      <c r="K31" s="19">
        <f>IFERROR(VLOOKUP($A31,'[1]OB Atendidas por Donantes'!A:N,3,0),0)</f>
        <v>13</v>
      </c>
      <c r="L31" s="19">
        <f>ROUNDUP(IF(A31=0,0,IFERROR(VLOOKUP($A31,'[1]Kilos Asignado del Donante'!A:O,3,0),0)),0)</f>
        <v>520</v>
      </c>
      <c r="M31" s="19">
        <f>IF(A31=0,0,IFERROR(SUMIFS([1]Poblacion!M:M,[1]Poblacion!J:J,'MASTER-2025'!A31),0))</f>
        <v>0</v>
      </c>
      <c r="N31" s="20">
        <f>IFERROR(VLOOKUP($A31,'[1]OB Atendidas por Donantes'!A:N,4,0),0)</f>
        <v>23</v>
      </c>
      <c r="O31" s="20">
        <f>ROUNDUP(IF(A31=0,0,IFERROR(VLOOKUP($A31,'[1]Kilos Asignado del Donante'!A:O,4,0),0)),0)</f>
        <v>863</v>
      </c>
      <c r="P31" s="20">
        <f>IF(A31=0,0,IFERROR(SUMIFS([1]Poblacion!N:N,[1]Poblacion!J:J,'MASTER-2025'!A31),0))</f>
        <v>0</v>
      </c>
      <c r="Q31" s="18">
        <f>IFERROR(VLOOKUP($A31,'[1]OB Atendidas por Donantes'!A:N,2,0),0)</f>
        <v>3</v>
      </c>
      <c r="R31" s="18">
        <f>ROUNDUP(ROUND(IF(A31=0,0,IFERROR(VLOOKUP($A31,'[1]Kilos Asignado del Donante'!A:O,9,0),0)),1),0)</f>
        <v>44</v>
      </c>
      <c r="S31" s="18">
        <f>IF(A31=0,0,IFERROR(SUMIFS([1]Poblacion!S:S,[1]Poblacion!J:J,'MASTER-2025'!A31),0))</f>
        <v>0</v>
      </c>
      <c r="T31" s="19">
        <f>IFERROR(VLOOKUP($A31,'[1]OB Atendidas por Donantes'!A:N,12,0),0)</f>
        <v>2</v>
      </c>
      <c r="U31" s="19">
        <f>ROUNDUP(IF(A31=0,0,IF(A31=0,0,IFERROR(VLOOKUP($A31,'[1]Kilos Asignado del Donante'!A:O,7,0),0))),0)</f>
        <v>44</v>
      </c>
      <c r="V31" s="19">
        <f>IF(A31=0,0,IFERROR(SUMIFS([1]Poblacion!Q:Q,[1]Poblacion!J:J,'MASTER-2025'!A31),0))</f>
        <v>0</v>
      </c>
      <c r="W31" s="20">
        <f>IFERROR(VLOOKUP($A31,'[1]OB Atendidas por Donantes'!A:N,10,0),0)</f>
        <v>7</v>
      </c>
      <c r="X31" s="20">
        <f>ROUNDUP(IF(A31=0,0,IFERROR(VLOOKUP($A31,'[1]Kilos Asignado del Donante'!A:N,5,0),0)),0)</f>
        <v>128</v>
      </c>
      <c r="Y31" s="20">
        <f>IF(A31=0,0,IFERROR(SUMIFS([1]Poblacion!O:O,[1]Poblacion!J:J,'MASTER-2025'!A31),0))</f>
        <v>0</v>
      </c>
      <c r="Z31" s="18">
        <f>IFERROR(VLOOKUP($A31,'[1]OB Atendidas por Donantes'!A:N,6,0),0)</f>
        <v>2</v>
      </c>
      <c r="AA31" s="18">
        <f>ROUNDUP(IF(A31=0,0,IFERROR(VLOOKUP($A31,'[1]Kilos Asignado del Donante'!A:N,11,0),0)),0)</f>
        <v>50</v>
      </c>
      <c r="AB31" s="18">
        <f>IF(A31=0,0,IFERROR(SUMIFS([1]Poblacion!U:U,[1]Poblacion!J:J,'MASTER-2025'!A31),0))</f>
        <v>0</v>
      </c>
      <c r="AC31" s="19">
        <f>IFERROR(VLOOKUP($A31,'[1]OB Atendidas por Donantes'!A:N,7,0),0)</f>
        <v>3</v>
      </c>
      <c r="AD31" s="19">
        <f>ROUNDUP(IF(A31=0,0,IFERROR(VLOOKUP($A31,'[1]Kilos Asignado del Donante'!A:N,8,0),0)),0)</f>
        <v>116</v>
      </c>
      <c r="AE31" s="19">
        <f>IF(A31=0,0,IFERROR(SUMIFS([1]Poblacion!R:R,[1]Poblacion!J:J,'MASTER-2025'!A31),0))</f>
        <v>0</v>
      </c>
      <c r="AF31" s="20">
        <f>IFERROR(VLOOKUP($A31,'[1]OB Atendidas por Donantes'!A:N,8,0),0)</f>
        <v>1</v>
      </c>
      <c r="AG31" s="20">
        <f>ROUNDUP(IF(A31=0,0,IFERROR(VLOOKUP($A31,'[1]Kilos Asignado del Donante'!A:N,6,0),0)),0)</f>
        <v>40</v>
      </c>
      <c r="AH31" s="20">
        <f>IF(A31=0,0,IFERROR(SUMIFS([1]Poblacion!P:P,[1]Poblacion!J:J,'MASTER-2025'!A31),0))</f>
        <v>0</v>
      </c>
      <c r="AI31" s="18">
        <f>IFERROR(VLOOKUP($A31,'[1]OB Atendidas por Donantes'!A:N,9,0),0)</f>
        <v>1</v>
      </c>
      <c r="AJ31" s="18">
        <f>ROUNDUP(IF(A31=0,0,IFERROR(VLOOKUP($A31,'[1]Kilos Asignado del Donante'!A:N,12,0),0)),0)</f>
        <v>14</v>
      </c>
      <c r="AK31" s="18">
        <f>IF(A31=0,0,IFERROR(SUMIFS([1]Poblacion!V:V,[1]Poblacion!J:J,'MASTER-2025'!A31),0))</f>
        <v>0</v>
      </c>
      <c r="AL31" s="19">
        <f>IFERROR(VLOOKUP($A31,'[1]OB Atendidas por Donantes'!A:N,16,0),0)</f>
        <v>0</v>
      </c>
      <c r="AM31" s="19">
        <f>ROUNDUP(IF(A31=0,0,IFERROR(VLOOKUP($A31,'[1]Kilos Asignado del Donante'!A:O,16,0),0)),0)</f>
        <v>0</v>
      </c>
      <c r="AN31" s="19">
        <f>IF(A31=0,0,IFERROR(SUMIFS([1]Poblacion!Z:Z,[1]Poblacion!J:J,'MASTER-2025'!A31),0))</f>
        <v>0</v>
      </c>
      <c r="AO31" s="20">
        <f>IFERROR(VLOOKUP($A31,'[1]OB Atendidas por Donantes'!A:N,11,0),0)</f>
        <v>1</v>
      </c>
      <c r="AP31" s="20">
        <f>ROUNDUP(IF(A31=0,0,IFERROR(VLOOKUP($A31,'[1]Kilos Asignado del Donante'!A:N,13,0),0)),0)</f>
        <v>5</v>
      </c>
      <c r="AQ31" s="20">
        <f>IF(A31=0,0,IFERROR(SUMIFS([1]Poblacion!W:W,[1]Poblacion!J:J,'MASTER-2025'!A31),0))</f>
        <v>0</v>
      </c>
      <c r="AR31" s="18">
        <f>IFERROR(VLOOKUP($A31,'[1]OB Atendidas por Donantes'!A:N,5,0),0)</f>
        <v>2</v>
      </c>
      <c r="AS31" s="18">
        <f>ROUNDUP(IF(A31=0,0,IFERROR(VLOOKUP($A31,'[1]Kilos Asignado del Donante'!A:N,10,0),0)),0)</f>
        <v>45</v>
      </c>
      <c r="AT31" s="18">
        <f>IF(A31=0,0,IFERROR(SUMIFS([1]Poblacion!T:T,[1]Poblacion!J:J,'MASTER-2025'!A31),0))</f>
        <v>0</v>
      </c>
      <c r="AU31" s="19">
        <f>IFERROR(VLOOKUP($A31,'[1]OB Atendidas por Donantes'!A:N,13,0),0)</f>
        <v>0</v>
      </c>
      <c r="AV31" s="19">
        <f>ROUNDUP(IF(A31=0,0,IFERROR(VLOOKUP($A31,'[1]Kilos Asignado del Donante'!A:N,14,0),0)),0)</f>
        <v>0</v>
      </c>
      <c r="AW31" s="19">
        <f>IF(A31=0,0,IFERROR(SUMIFS([1]Poblacion!X:X,[1]Poblacion!J:J,'MASTER-2025'!A31),0))</f>
        <v>0</v>
      </c>
      <c r="AX31" s="20">
        <f>IFERROR(VLOOKUP($A31,'[1]OB Atendidas por Donantes'!A:N,16,0),0)</f>
        <v>0</v>
      </c>
      <c r="AY31" s="20">
        <f>ROUNDUP(IF(A31=0,0,IFERROR(VLOOKUP($A31,'[1]Kilos Asignado del Donante'!A:O,16,0),0)),0)</f>
        <v>0</v>
      </c>
      <c r="AZ31" s="20">
        <f>IF(A31=0,0,IFERROR(SUMIFS([1]Poblacion!Y:Y,[1]Poblacion!J:J,'MASTER-2025'!A31),0))</f>
        <v>0</v>
      </c>
      <c r="BA31" s="21">
        <f t="shared" si="15"/>
        <v>58</v>
      </c>
      <c r="BB31" s="21">
        <f t="shared" si="23"/>
        <v>1869</v>
      </c>
      <c r="BC31" s="21">
        <f t="shared" si="24"/>
        <v>1471</v>
      </c>
      <c r="BD31" s="21">
        <f t="shared" si="26"/>
        <v>0</v>
      </c>
      <c r="BE31" s="22" t="e">
        <f>IF(A31=0,0,SUMIFS([1]Poblacion!C:C,[1]Poblacion!A:A,'MASTER-2025'!A31))</f>
        <v>#VALUE!</v>
      </c>
      <c r="BF31" s="22" t="e">
        <f>IF(A31=0,0,SUMIFS([1]Poblacion!D:D,[1]Poblacion!A:A,'MASTER-2025'!A31))</f>
        <v>#VALUE!</v>
      </c>
      <c r="BG31" s="22" t="e">
        <f>IF(A31=0,0,SUMIFS([1]Poblacion!E:E,[1]Poblacion!A:A,'MASTER-2025'!A31))</f>
        <v>#VALUE!</v>
      </c>
      <c r="BH31" s="22" t="e">
        <f>IF(A31=0,0,SUMIFS([1]Poblacion!F:F,[1]Poblacion!A:A,'MASTER-2025'!A31))</f>
        <v>#VALUE!</v>
      </c>
      <c r="BI31" s="22" t="e">
        <f t="shared" si="18"/>
        <v>#VALUE!</v>
      </c>
      <c r="BJ31" s="23" t="e">
        <f t="shared" si="7"/>
        <v>#VALUE!</v>
      </c>
      <c r="BK31" s="22" t="e">
        <f>IF(A31=0,0,SUMIFS([1]Poblacion!G:G,[1]Poblacion!A:A,'MASTER-2025'!A31))</f>
        <v>#VALUE!</v>
      </c>
      <c r="BL31" s="24" cm="1">
        <f t="array" ref="BL31:BW31">IFERROR(VLOOKUP(A31,'[1]Acum-OB-kg-pob-25'!A:AQ,{3,4,5,6,7,8,9,10,11,12,13,14},0),0)</f>
        <v>78</v>
      </c>
      <c r="BM31" s="24">
        <v>50</v>
      </c>
      <c r="BN31" s="24">
        <v>58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f t="shared" si="8"/>
        <v>186</v>
      </c>
      <c r="BY31" s="25" cm="1">
        <f t="array" ref="BY31:CJ31">IFERROR(VLOOKUP(A31,'[1]Acum-OB-kg-pob-25'!A:AQ,{17,18,19,20,21,22,23,24,25,26,27,28},0),0)</f>
        <v>1940</v>
      </c>
      <c r="BZ31" s="25">
        <v>1150</v>
      </c>
      <c r="CA31" s="25">
        <v>2100</v>
      </c>
      <c r="CB31" s="25">
        <v>0</v>
      </c>
      <c r="CC31" s="25">
        <v>0</v>
      </c>
      <c r="CD31" s="25">
        <v>0</v>
      </c>
      <c r="CE31" s="25">
        <v>0</v>
      </c>
      <c r="CF31" s="25">
        <v>0</v>
      </c>
      <c r="CG31" s="25">
        <v>0</v>
      </c>
      <c r="CH31" s="25">
        <v>0</v>
      </c>
      <c r="CI31" s="25">
        <v>0</v>
      </c>
      <c r="CJ31" s="25">
        <v>0</v>
      </c>
      <c r="CK31" s="25">
        <f t="shared" si="9"/>
        <v>5190</v>
      </c>
      <c r="CL31" s="26" cm="1">
        <f t="array" ref="CL31:CW31">IFERROR(VLOOKUP(A31,'[1]Acum-OB-kg-pob-25'!A:AQ,{31,32,33,34,35,36,37,38,39,40,41,42},0),0)</f>
        <v>23569</v>
      </c>
      <c r="CM31" s="26">
        <v>16081</v>
      </c>
      <c r="CN31" s="26">
        <v>17263</v>
      </c>
      <c r="CO31" s="26">
        <v>0</v>
      </c>
      <c r="CP31" s="26">
        <v>0</v>
      </c>
      <c r="CQ31" s="26">
        <v>0</v>
      </c>
      <c r="CR31" s="26">
        <v>0</v>
      </c>
      <c r="CS31" s="26">
        <v>0</v>
      </c>
      <c r="CT31" s="26">
        <v>0</v>
      </c>
      <c r="CU31" s="26">
        <v>0</v>
      </c>
      <c r="CV31" s="26">
        <v>0</v>
      </c>
      <c r="CW31" s="26">
        <v>0</v>
      </c>
      <c r="CX31" s="26">
        <f t="shared" si="10"/>
        <v>56913</v>
      </c>
      <c r="CY31" s="14" t="str">
        <f>IF(A31=0,0,IFERROR(VLOOKUP(A31,'[1]Info Donantes'!C:F,2,0),"Sin Contacto"))</f>
        <v>MARIA PINZON</v>
      </c>
      <c r="CZ31" s="14" t="str">
        <f>IF(A31=0,0,IFERROR(VLOOKUP(A31,'[1]Info Donantes'!C:F,3,0),"Sin Correo"))</f>
        <v>igalvez@proserv.com.pa</v>
      </c>
      <c r="DA31" s="14" t="str">
        <f>IF(A31=0,0,IFERROR(VLOOKUP(A31,'[1]Info Donantes'!C:F,4,0),"Sin Telefono"))</f>
        <v>6672-0932</v>
      </c>
      <c r="DB31" s="14" t="str">
        <f>IF(A31=0,0,"Reporte de Trazabiidad"&amp;" - "&amp;'[1]Resumen Donantes'!$C$2&amp;" - "&amp;A31&amp;"")</f>
        <v>Reporte de Trazabiidad -  - PROSERV</v>
      </c>
    </row>
    <row r="32" spans="1:106" x14ac:dyDescent="0.55000000000000004">
      <c r="A32" s="14" t="s">
        <v>136</v>
      </c>
      <c r="B32" s="15">
        <f>INT(IFERROR(VLOOKUP(A32,'[1]Resumen Donantes'!C:F,3,0),0))</f>
        <v>0</v>
      </c>
      <c r="C32" s="15">
        <f>INT(ROUND(IFERROR(VLOOKUP(A32,'[1]Resumen Donantes'!C:F,4,0),0),1))</f>
        <v>3465</v>
      </c>
      <c r="D32" s="16">
        <f t="shared" si="19"/>
        <v>3465</v>
      </c>
      <c r="E32" s="17" t="str">
        <f t="shared" si="20"/>
        <v>100.00%</v>
      </c>
      <c r="F32" s="17" t="str">
        <f t="shared" si="21"/>
        <v>0.0%</v>
      </c>
      <c r="G32" s="15">
        <f t="shared" si="25"/>
        <v>10395</v>
      </c>
      <c r="H32" s="18"/>
      <c r="I32" s="18">
        <f>IFERROR(VLOOKUP(A32,'[1]Lot All by Part'!T:Y,6,0),0)</f>
        <v>0</v>
      </c>
      <c r="J32" s="18"/>
      <c r="K32" s="19">
        <f>IFERROR(VLOOKUP($A32,'[1]OB Atendidas por Donantes'!A:N,3,0),0)</f>
        <v>5</v>
      </c>
      <c r="L32" s="19">
        <f>ROUNDUP(IF(A32=0,0,IFERROR(VLOOKUP($A32,'[1]Kilos Asignado del Donante'!A:O,3,0),0)),0)</f>
        <v>230</v>
      </c>
      <c r="M32" s="19">
        <f>IF(A32=0,0,IFERROR(SUMIFS([1]Poblacion!M:M,[1]Poblacion!J:J,'MASTER-2025'!A32),0))</f>
        <v>0</v>
      </c>
      <c r="N32" s="20">
        <f>IFERROR(VLOOKUP($A32,'[1]OB Atendidas por Donantes'!A:N,4,0),0)</f>
        <v>9</v>
      </c>
      <c r="O32" s="20">
        <f>ROUNDUP(IF(A32=0,0,IFERROR(VLOOKUP($A32,'[1]Kilos Asignado del Donante'!A:O,4,0),0)),0)</f>
        <v>332</v>
      </c>
      <c r="P32" s="20">
        <f>IF(A32=0,0,IFERROR(SUMIFS([1]Poblacion!N:N,[1]Poblacion!J:J,'MASTER-2025'!A32),0))</f>
        <v>0</v>
      </c>
      <c r="Q32" s="18">
        <f>IFERROR(VLOOKUP($A32,'[1]OB Atendidas por Donantes'!A:N,2,0),0)</f>
        <v>5</v>
      </c>
      <c r="R32" s="18">
        <f>ROUNDUP(ROUND(IF(A32=0,0,IFERROR(VLOOKUP($A32,'[1]Kilos Asignado del Donante'!A:O,9,0),0)),1),0)</f>
        <v>141</v>
      </c>
      <c r="S32" s="18">
        <f>IF(A32=0,0,IFERROR(SUMIFS([1]Poblacion!S:S,[1]Poblacion!J:J,'MASTER-2025'!A32),0))</f>
        <v>0</v>
      </c>
      <c r="T32" s="19">
        <f>IFERROR(VLOOKUP($A32,'[1]OB Atendidas por Donantes'!A:N,12,0),0)</f>
        <v>2</v>
      </c>
      <c r="U32" s="19">
        <f>ROUNDUP(IF(A32=0,0,IF(A32=0,0,IFERROR(VLOOKUP($A32,'[1]Kilos Asignado del Donante'!A:O,7,0),0))),0)</f>
        <v>46</v>
      </c>
      <c r="V32" s="19">
        <f>IF(A32=0,0,IFERROR(SUMIFS([1]Poblacion!Q:Q,[1]Poblacion!J:J,'MASTER-2025'!A32),0))</f>
        <v>0</v>
      </c>
      <c r="W32" s="20">
        <f>IFERROR(VLOOKUP($A32,'[1]OB Atendidas por Donantes'!A:N,10,0),0)</f>
        <v>2</v>
      </c>
      <c r="X32" s="20">
        <f>ROUNDUP(IF(A32=0,0,IFERROR(VLOOKUP($A32,'[1]Kilos Asignado del Donante'!A:N,5,0),0)),0)</f>
        <v>124</v>
      </c>
      <c r="Y32" s="20">
        <f>IF(A32=0,0,IFERROR(SUMIFS([1]Poblacion!O:O,[1]Poblacion!J:J,'MASTER-2025'!A32),0))</f>
        <v>0</v>
      </c>
      <c r="Z32" s="18">
        <f>IFERROR(VLOOKUP($A32,'[1]OB Atendidas por Donantes'!A:N,6,0),0)</f>
        <v>0</v>
      </c>
      <c r="AA32" s="18">
        <f>ROUNDUP(IF(A32=0,0,IFERROR(VLOOKUP($A32,'[1]Kilos Asignado del Donante'!A:N,11,0),0)),0)</f>
        <v>0</v>
      </c>
      <c r="AB32" s="18">
        <f>IF(A32=0,0,IFERROR(SUMIFS([1]Poblacion!U:U,[1]Poblacion!J:J,'MASTER-2025'!A32),0))</f>
        <v>0</v>
      </c>
      <c r="AC32" s="19">
        <f>IFERROR(VLOOKUP($A32,'[1]OB Atendidas por Donantes'!A:N,7,0),0)</f>
        <v>1</v>
      </c>
      <c r="AD32" s="19">
        <f>ROUNDUP(IF(A32=0,0,IFERROR(VLOOKUP($A32,'[1]Kilos Asignado del Donante'!A:N,8,0),0)),0)</f>
        <v>30</v>
      </c>
      <c r="AE32" s="19">
        <f>IF(A32=0,0,IFERROR(SUMIFS([1]Poblacion!R:R,[1]Poblacion!J:J,'MASTER-2025'!A32),0))</f>
        <v>0</v>
      </c>
      <c r="AF32" s="20">
        <f>IFERROR(VLOOKUP($A32,'[1]OB Atendidas por Donantes'!A:N,8,0),0)</f>
        <v>0</v>
      </c>
      <c r="AG32" s="20">
        <f>ROUNDUP(IF(A32=0,0,IFERROR(VLOOKUP($A32,'[1]Kilos Asignado del Donante'!A:N,6,0),0)),0)</f>
        <v>0</v>
      </c>
      <c r="AH32" s="20">
        <f>IF(A32=0,0,IFERROR(SUMIFS([1]Poblacion!P:P,[1]Poblacion!J:J,'MASTER-2025'!A32),0))</f>
        <v>0</v>
      </c>
      <c r="AI32" s="18">
        <f>IFERROR(VLOOKUP($A32,'[1]OB Atendidas por Donantes'!A:N,9,0),0)</f>
        <v>1</v>
      </c>
      <c r="AJ32" s="18">
        <f>ROUNDUP(IF(A32=0,0,IFERROR(VLOOKUP($A32,'[1]Kilos Asignado del Donante'!A:N,12,0),0)),0)</f>
        <v>227</v>
      </c>
      <c r="AK32" s="18">
        <f>IF(A32=0,0,IFERROR(SUMIFS([1]Poblacion!V:V,[1]Poblacion!J:J,'MASTER-2025'!A32),0))</f>
        <v>0</v>
      </c>
      <c r="AL32" s="19">
        <f>IFERROR(VLOOKUP($A32,'[1]OB Atendidas por Donantes'!A:N,16,0),0)</f>
        <v>0</v>
      </c>
      <c r="AM32" s="19">
        <f>ROUNDUP(IF(A32=0,0,IFERROR(VLOOKUP($A32,'[1]Kilos Asignado del Donante'!A:O,16,0),0)),0)</f>
        <v>0</v>
      </c>
      <c r="AN32" s="19">
        <f>IF(A32=0,0,IFERROR(SUMIFS([1]Poblacion!Z:Z,[1]Poblacion!J:J,'MASTER-2025'!A32),0))</f>
        <v>0</v>
      </c>
      <c r="AO32" s="20">
        <f>IFERROR(VLOOKUP($A32,'[1]OB Atendidas por Donantes'!A:N,11,0),0)</f>
        <v>1</v>
      </c>
      <c r="AP32" s="20">
        <f>ROUNDUP(IF(A32=0,0,IFERROR(VLOOKUP($A32,'[1]Kilos Asignado del Donante'!A:N,13,0),0)),0)</f>
        <v>121</v>
      </c>
      <c r="AQ32" s="20">
        <f>IF(A32=0,0,IFERROR(SUMIFS([1]Poblacion!W:W,[1]Poblacion!J:J,'MASTER-2025'!A32),0))</f>
        <v>0</v>
      </c>
      <c r="AR32" s="18">
        <f>IFERROR(VLOOKUP($A32,'[1]OB Atendidas por Donantes'!A:N,5,0),0)</f>
        <v>0</v>
      </c>
      <c r="AS32" s="18">
        <f>ROUNDUP(IF(A32=0,0,IFERROR(VLOOKUP($A32,'[1]Kilos Asignado del Donante'!A:N,10,0),0)),0)</f>
        <v>0</v>
      </c>
      <c r="AT32" s="18">
        <f>IF(A32=0,0,IFERROR(SUMIFS([1]Poblacion!T:T,[1]Poblacion!J:J,'MASTER-2025'!A32),0))</f>
        <v>0</v>
      </c>
      <c r="AU32" s="19">
        <f>IFERROR(VLOOKUP($A32,'[1]OB Atendidas por Donantes'!A:N,13,0),0)</f>
        <v>0</v>
      </c>
      <c r="AV32" s="19">
        <f>ROUNDUP(IF(A32=0,0,IFERROR(VLOOKUP($A32,'[1]Kilos Asignado del Donante'!A:N,14,0),0)),0)</f>
        <v>0</v>
      </c>
      <c r="AW32" s="19">
        <f>IF(A32=0,0,IFERROR(SUMIFS([1]Poblacion!X:X,[1]Poblacion!J:J,'MASTER-2025'!A32),0))</f>
        <v>0</v>
      </c>
      <c r="AX32" s="20">
        <f>IFERROR(VLOOKUP($A32,'[1]OB Atendidas por Donantes'!A:N,16,0),0)</f>
        <v>0</v>
      </c>
      <c r="AY32" s="20">
        <f>ROUNDUP(IF(A32=0,0,IFERROR(VLOOKUP($A32,'[1]Kilos Asignado del Donante'!A:O,16,0),0)),0)</f>
        <v>0</v>
      </c>
      <c r="AZ32" s="20">
        <f>IF(A32=0,0,IFERROR(SUMIFS([1]Poblacion!Y:Y,[1]Poblacion!J:J,'MASTER-2025'!A32),0))</f>
        <v>0</v>
      </c>
      <c r="BA32" s="21">
        <f t="shared" si="15"/>
        <v>26</v>
      </c>
      <c r="BB32" s="21">
        <f t="shared" si="23"/>
        <v>1251</v>
      </c>
      <c r="BC32" s="21">
        <f t="shared" si="24"/>
        <v>749</v>
      </c>
      <c r="BD32" s="21">
        <f t="shared" si="26"/>
        <v>0</v>
      </c>
      <c r="BE32" s="22" t="e">
        <f>IF(A32=0,0,SUMIFS([1]Poblacion!C:C,[1]Poblacion!A:A,'MASTER-2025'!A32))</f>
        <v>#VALUE!</v>
      </c>
      <c r="BF32" s="22" t="e">
        <f>IF(A32=0,0,SUMIFS([1]Poblacion!D:D,[1]Poblacion!A:A,'MASTER-2025'!A32))</f>
        <v>#VALUE!</v>
      </c>
      <c r="BG32" s="22" t="e">
        <f>IF(A32=0,0,SUMIFS([1]Poblacion!E:E,[1]Poblacion!A:A,'MASTER-2025'!A32))</f>
        <v>#VALUE!</v>
      </c>
      <c r="BH32" s="22" t="e">
        <f>IF(A32=0,0,SUMIFS([1]Poblacion!F:F,[1]Poblacion!A:A,'MASTER-2025'!A32))</f>
        <v>#VALUE!</v>
      </c>
      <c r="BI32" s="22" t="e">
        <f t="shared" si="18"/>
        <v>#VALUE!</v>
      </c>
      <c r="BJ32" s="23" t="e">
        <f t="shared" si="7"/>
        <v>#VALUE!</v>
      </c>
      <c r="BK32" s="22" t="e">
        <f>IF(A32=0,0,SUMIFS([1]Poblacion!G:G,[1]Poblacion!A:A,'MASTER-2025'!A32))</f>
        <v>#VALUE!</v>
      </c>
      <c r="BL32" s="24" cm="1">
        <f t="array" ref="BL32:BW32">IFERROR(VLOOKUP(A32,'[1]Acum-OB-kg-pob-25'!A:AQ,{3,4,5,6,7,8,9,10,11,12,13,14},0),0)</f>
        <v>41</v>
      </c>
      <c r="BM32" s="24">
        <v>10</v>
      </c>
      <c r="BN32" s="24">
        <v>26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BX32" s="24">
        <f t="shared" si="8"/>
        <v>77</v>
      </c>
      <c r="BY32" s="25" cm="1">
        <f t="array" ref="BY32:CJ32">IFERROR(VLOOKUP(A32,'[1]Acum-OB-kg-pob-25'!A:AQ,{17,18,19,20,21,22,23,24,25,26,27,28},0),0)</f>
        <v>6399</v>
      </c>
      <c r="BZ32" s="25">
        <v>0</v>
      </c>
      <c r="CA32" s="25">
        <v>3465</v>
      </c>
      <c r="CB32" s="25">
        <v>0</v>
      </c>
      <c r="CC32" s="25">
        <v>0</v>
      </c>
      <c r="CD32" s="25">
        <v>0</v>
      </c>
      <c r="CE32" s="25">
        <v>0</v>
      </c>
      <c r="CF32" s="25">
        <v>0</v>
      </c>
      <c r="CG32" s="25">
        <v>0</v>
      </c>
      <c r="CH32" s="25">
        <v>0</v>
      </c>
      <c r="CI32" s="25">
        <v>0</v>
      </c>
      <c r="CJ32" s="25">
        <v>0</v>
      </c>
      <c r="CK32" s="25">
        <f t="shared" si="9"/>
        <v>9864</v>
      </c>
      <c r="CL32" s="26" cm="1">
        <f t="array" ref="CL32:CW32">IFERROR(VLOOKUP(A32,'[1]Acum-OB-kg-pob-25'!A:AQ,{31,32,33,34,35,36,37,38,39,40,41,42},0),0)</f>
        <v>12270</v>
      </c>
      <c r="CM32" s="26">
        <v>1588</v>
      </c>
      <c r="CN32" s="26">
        <v>4717</v>
      </c>
      <c r="CO32" s="26">
        <v>0</v>
      </c>
      <c r="CP32" s="26">
        <v>0</v>
      </c>
      <c r="CQ32" s="26">
        <v>0</v>
      </c>
      <c r="CR32" s="26">
        <v>0</v>
      </c>
      <c r="CS32" s="26">
        <v>0</v>
      </c>
      <c r="CT32" s="26">
        <v>0</v>
      </c>
      <c r="CU32" s="26">
        <v>0</v>
      </c>
      <c r="CV32" s="26">
        <v>0</v>
      </c>
      <c r="CW32" s="26">
        <v>0</v>
      </c>
      <c r="CX32" s="26">
        <f t="shared" si="10"/>
        <v>18575</v>
      </c>
      <c r="CY32" s="14" t="str">
        <f>IF(A32=0,0,IFERROR(VLOOKUP(A32,'[1]Info Donantes'!C:F,2,0),"Sin Contacto"))</f>
        <v>Raul Bultron</v>
      </c>
      <c r="CZ32" s="14" t="str">
        <f>IF(A32=0,0,IFERROR(VLOOKUP(A32,'[1]Info Donantes'!C:F,3,0),"Sin Correo"))</f>
        <v>lbrostella@aguasdelistmo.com</v>
      </c>
      <c r="DA32" s="14" t="str">
        <f>IF(A32=0,0,IFERROR(VLOOKUP(A32,'[1]Info Donantes'!C:F,4,0),"Sin Telefono"))</f>
        <v>221-7920</v>
      </c>
      <c r="DB32" s="14" t="str">
        <f>IF(A32=0,0,"Reporte de Trazabiidad"&amp;" - "&amp;'[1]Resumen Donantes'!$C$2&amp;" - "&amp;A32&amp;"")</f>
        <v>Reporte de Trazabiidad -  - PURISSIMA, S.A</v>
      </c>
    </row>
    <row r="33" spans="1:106" x14ac:dyDescent="0.55000000000000004">
      <c r="A33" s="14" t="s">
        <v>137</v>
      </c>
      <c r="B33" s="15">
        <f>INT(IFERROR(VLOOKUP(A33,'[1]Resumen Donantes'!C:F,3,0),0))</f>
        <v>0</v>
      </c>
      <c r="C33" s="15">
        <f>INT(ROUND(IFERROR(VLOOKUP(A33,'[1]Resumen Donantes'!C:F,4,0),0),1))</f>
        <v>0</v>
      </c>
      <c r="D33" s="16">
        <f t="shared" si="19"/>
        <v>0</v>
      </c>
      <c r="E33" s="17" t="str">
        <f t="shared" si="20"/>
        <v>0.00%</v>
      </c>
      <c r="F33" s="17" t="str">
        <f t="shared" si="21"/>
        <v>0.0%</v>
      </c>
      <c r="G33" s="15">
        <f t="shared" si="25"/>
        <v>0</v>
      </c>
      <c r="H33" s="18"/>
      <c r="I33" s="18">
        <f>IFERROR(VLOOKUP(A33,'[1]Lot All by Part'!T:Y,6,0),0)</f>
        <v>0</v>
      </c>
      <c r="J33" s="18"/>
      <c r="K33" s="19">
        <f>IFERROR(VLOOKUP($A33,'[1]OB Atendidas por Donantes'!A:N,3,0),0)</f>
        <v>0</v>
      </c>
      <c r="L33" s="19">
        <f>ROUNDUP(IF(A33=0,0,IFERROR(VLOOKUP($A33,'[1]Kilos Asignado del Donante'!A:O,3,0),0)),0)</f>
        <v>0</v>
      </c>
      <c r="M33" s="19">
        <f>IF(A33=0,0,IFERROR(SUMIFS([1]Poblacion!M:M,[1]Poblacion!J:J,'MASTER-2025'!A33),0))</f>
        <v>0</v>
      </c>
      <c r="N33" s="20">
        <f>IFERROR(VLOOKUP($A33,'[1]OB Atendidas por Donantes'!A:N,4,0),0)</f>
        <v>0</v>
      </c>
      <c r="O33" s="20">
        <f>ROUNDUP(IF(A33=0,0,IFERROR(VLOOKUP($A33,'[1]Kilos Asignado del Donante'!A:O,4,0),0)),0)</f>
        <v>0</v>
      </c>
      <c r="P33" s="20">
        <f>IF(A33=0,0,IFERROR(SUMIFS([1]Poblacion!N:N,[1]Poblacion!J:J,'MASTER-2025'!A33),0))</f>
        <v>0</v>
      </c>
      <c r="Q33" s="18">
        <f>IFERROR(VLOOKUP($A33,'[1]OB Atendidas por Donantes'!A:N,2,0),0)</f>
        <v>0</v>
      </c>
      <c r="R33" s="18">
        <f>ROUNDUP(ROUND(IF(A33=0,0,IFERROR(VLOOKUP($A33,'[1]Kilos Asignado del Donante'!A:O,9,0),0)),1),0)</f>
        <v>0</v>
      </c>
      <c r="S33" s="18">
        <f>IF(A33=0,0,IFERROR(SUMIFS([1]Poblacion!S:S,[1]Poblacion!J:J,'MASTER-2025'!A33),0))</f>
        <v>0</v>
      </c>
      <c r="T33" s="19">
        <f>IFERROR(VLOOKUP($A33,'[1]OB Atendidas por Donantes'!A:N,12,0),0)</f>
        <v>0</v>
      </c>
      <c r="U33" s="19">
        <f>ROUNDUP(IF(A33=0,0,IF(A33=0,0,IFERROR(VLOOKUP($A33,'[1]Kilos Asignado del Donante'!A:O,7,0),0))),0)</f>
        <v>0</v>
      </c>
      <c r="V33" s="19">
        <f>IF(A33=0,0,IFERROR(SUMIFS([1]Poblacion!Q:Q,[1]Poblacion!J:J,'MASTER-2025'!A33),0))</f>
        <v>0</v>
      </c>
      <c r="W33" s="20">
        <f>IFERROR(VLOOKUP($A33,'[1]OB Atendidas por Donantes'!A:N,10,0),0)</f>
        <v>0</v>
      </c>
      <c r="X33" s="20">
        <f>ROUNDUP(IF(A33=0,0,IFERROR(VLOOKUP($A33,'[1]Kilos Asignado del Donante'!A:N,5,0),0)),0)</f>
        <v>0</v>
      </c>
      <c r="Y33" s="20">
        <f>IF(A33=0,0,IFERROR(SUMIFS([1]Poblacion!O:O,[1]Poblacion!J:J,'MASTER-2025'!A33),0))</f>
        <v>0</v>
      </c>
      <c r="Z33" s="18">
        <f>IFERROR(VLOOKUP($A33,'[1]OB Atendidas por Donantes'!A:N,6,0),0)</f>
        <v>0</v>
      </c>
      <c r="AA33" s="18">
        <f>ROUNDUP(IF(A33=0,0,IFERROR(VLOOKUP($A33,'[1]Kilos Asignado del Donante'!A:N,11,0),0)),0)</f>
        <v>0</v>
      </c>
      <c r="AB33" s="18">
        <f>IF(A33=0,0,IFERROR(SUMIFS([1]Poblacion!U:U,[1]Poblacion!J:J,'MASTER-2025'!A33),0))</f>
        <v>0</v>
      </c>
      <c r="AC33" s="19">
        <f>IFERROR(VLOOKUP($A33,'[1]OB Atendidas por Donantes'!A:N,7,0),0)</f>
        <v>0</v>
      </c>
      <c r="AD33" s="19">
        <f>ROUNDUP(IF(A33=0,0,IFERROR(VLOOKUP($A33,'[1]Kilos Asignado del Donante'!A:N,8,0),0)),0)</f>
        <v>0</v>
      </c>
      <c r="AE33" s="19">
        <f>IF(A33=0,0,IFERROR(SUMIFS([1]Poblacion!R:R,[1]Poblacion!J:J,'MASTER-2025'!A33),0))</f>
        <v>0</v>
      </c>
      <c r="AF33" s="20">
        <f>IFERROR(VLOOKUP($A33,'[1]OB Atendidas por Donantes'!A:N,8,0),0)</f>
        <v>0</v>
      </c>
      <c r="AG33" s="20">
        <f>ROUNDUP(IF(A33=0,0,IFERROR(VLOOKUP($A33,'[1]Kilos Asignado del Donante'!A:N,6,0),0)),0)</f>
        <v>0</v>
      </c>
      <c r="AH33" s="20">
        <f>IF(A33=0,0,IFERROR(SUMIFS([1]Poblacion!P:P,[1]Poblacion!J:J,'MASTER-2025'!A33),0))</f>
        <v>0</v>
      </c>
      <c r="AI33" s="18">
        <f>IFERROR(VLOOKUP($A33,'[1]OB Atendidas por Donantes'!A:N,9,0),0)</f>
        <v>0</v>
      </c>
      <c r="AJ33" s="18">
        <f>ROUNDUP(IF(A33=0,0,IFERROR(VLOOKUP($A33,'[1]Kilos Asignado del Donante'!A:N,12,0),0)),0)</f>
        <v>0</v>
      </c>
      <c r="AK33" s="18">
        <f>IF(A33=0,0,IFERROR(SUMIFS([1]Poblacion!V:V,[1]Poblacion!J:J,'MASTER-2025'!A33),0))</f>
        <v>0</v>
      </c>
      <c r="AL33" s="19">
        <f>IFERROR(VLOOKUP($A33,'[1]OB Atendidas por Donantes'!A:N,16,0),0)</f>
        <v>0</v>
      </c>
      <c r="AM33" s="19">
        <f>ROUNDUP(IF(A33=0,0,IFERROR(VLOOKUP($A33,'[1]Kilos Asignado del Donante'!A:O,16,0),0)),0)</f>
        <v>0</v>
      </c>
      <c r="AN33" s="19">
        <f>IF(A33=0,0,IFERROR(SUMIFS([1]Poblacion!Z:Z,[1]Poblacion!J:J,'MASTER-2025'!A33),0))</f>
        <v>0</v>
      </c>
      <c r="AO33" s="20">
        <f>IFERROR(VLOOKUP($A33,'[1]OB Atendidas por Donantes'!A:N,11,0),0)</f>
        <v>0</v>
      </c>
      <c r="AP33" s="20">
        <f>ROUNDUP(IF(A33=0,0,IFERROR(VLOOKUP($A33,'[1]Kilos Asignado del Donante'!A:N,13,0),0)),0)</f>
        <v>0</v>
      </c>
      <c r="AQ33" s="20">
        <f>IF(A33=0,0,IFERROR(SUMIFS([1]Poblacion!W:W,[1]Poblacion!J:J,'MASTER-2025'!A33),0))</f>
        <v>0</v>
      </c>
      <c r="AR33" s="18">
        <f>IFERROR(VLOOKUP($A33,'[1]OB Atendidas por Donantes'!A:N,5,0),0)</f>
        <v>0</v>
      </c>
      <c r="AS33" s="18">
        <f>ROUNDUP(IF(A33=0,0,IFERROR(VLOOKUP($A33,'[1]Kilos Asignado del Donante'!A:N,10,0),0)),0)</f>
        <v>0</v>
      </c>
      <c r="AT33" s="18">
        <f>IF(A33=0,0,IFERROR(SUMIFS([1]Poblacion!T:T,[1]Poblacion!J:J,'MASTER-2025'!A33),0))</f>
        <v>0</v>
      </c>
      <c r="AU33" s="19">
        <f>IFERROR(VLOOKUP($A33,'[1]OB Atendidas por Donantes'!A:N,13,0),0)</f>
        <v>0</v>
      </c>
      <c r="AV33" s="19">
        <f>ROUNDUP(IF(A33=0,0,IFERROR(VLOOKUP($A33,'[1]Kilos Asignado del Donante'!A:N,14,0),0)),0)</f>
        <v>0</v>
      </c>
      <c r="AW33" s="19">
        <f>IF(A33=0,0,IFERROR(SUMIFS([1]Poblacion!X:X,[1]Poblacion!J:J,'MASTER-2025'!A33),0))</f>
        <v>0</v>
      </c>
      <c r="AX33" s="20">
        <f>IFERROR(VLOOKUP($A33,'[1]OB Atendidas por Donantes'!A:N,16,0),0)</f>
        <v>0</v>
      </c>
      <c r="AY33" s="20">
        <f>ROUNDUP(IF(A33=0,0,IFERROR(VLOOKUP($A33,'[1]Kilos Asignado del Donante'!A:O,16,0),0)),0)</f>
        <v>0</v>
      </c>
      <c r="AZ33" s="20">
        <f>IF(A33=0,0,IFERROR(SUMIFS([1]Poblacion!Y:Y,[1]Poblacion!J:J,'MASTER-2025'!A33),0))</f>
        <v>0</v>
      </c>
      <c r="BA33" s="21">
        <f t="shared" si="15"/>
        <v>0</v>
      </c>
      <c r="BB33" s="21">
        <f t="shared" si="23"/>
        <v>0</v>
      </c>
      <c r="BC33" s="21">
        <f t="shared" si="24"/>
        <v>0</v>
      </c>
      <c r="BD33" s="21">
        <f t="shared" si="26"/>
        <v>0</v>
      </c>
      <c r="BE33" s="22" t="e">
        <f>IF(A33=0,0,SUMIFS([1]Poblacion!C:C,[1]Poblacion!A:A,'MASTER-2025'!A33))</f>
        <v>#VALUE!</v>
      </c>
      <c r="BF33" s="22" t="e">
        <f>IF(A33=0,0,SUMIFS([1]Poblacion!D:D,[1]Poblacion!A:A,'MASTER-2025'!A33))</f>
        <v>#VALUE!</v>
      </c>
      <c r="BG33" s="22" t="e">
        <f>IF(A33=0,0,SUMIFS([1]Poblacion!E:E,[1]Poblacion!A:A,'MASTER-2025'!A33))</f>
        <v>#VALUE!</v>
      </c>
      <c r="BH33" s="22" t="e">
        <f>IF(A33=0,0,SUMIFS([1]Poblacion!F:F,[1]Poblacion!A:A,'MASTER-2025'!A33))</f>
        <v>#VALUE!</v>
      </c>
      <c r="BI33" s="22" t="e">
        <f t="shared" si="18"/>
        <v>#VALUE!</v>
      </c>
      <c r="BJ33" s="23" t="e">
        <f t="shared" si="7"/>
        <v>#VALUE!</v>
      </c>
      <c r="BK33" s="22" t="e">
        <f>IF(A33=0,0,SUMIFS([1]Poblacion!G:G,[1]Poblacion!A:A,'MASTER-2025'!A33))</f>
        <v>#VALUE!</v>
      </c>
      <c r="BL33" s="24" cm="1">
        <f t="array" ref="BL33:BW33">IFERROR(VLOOKUP(A33,'[1]Acum-OB-kg-pob-25'!A:AQ,{3,4,5,6,7,8,9,10,11,12,13,14},0),0)</f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BX33" s="24">
        <f t="shared" si="8"/>
        <v>0</v>
      </c>
      <c r="BY33" s="25" cm="1">
        <f t="array" ref="BY33:CJ33">IFERROR(VLOOKUP(A33,'[1]Acum-OB-kg-pob-25'!A:AQ,{17,18,19,20,21,22,23,24,25,26,27,28},0),0)</f>
        <v>0</v>
      </c>
      <c r="BZ33" s="25">
        <v>0</v>
      </c>
      <c r="CA33" s="25">
        <v>0</v>
      </c>
      <c r="CB33" s="25">
        <v>0</v>
      </c>
      <c r="CC33" s="25">
        <v>0</v>
      </c>
      <c r="CD33" s="25">
        <v>0</v>
      </c>
      <c r="CE33" s="25">
        <v>0</v>
      </c>
      <c r="CF33" s="25">
        <v>0</v>
      </c>
      <c r="CG33" s="25">
        <v>0</v>
      </c>
      <c r="CH33" s="25">
        <v>0</v>
      </c>
      <c r="CI33" s="25">
        <v>0</v>
      </c>
      <c r="CJ33" s="25">
        <v>0</v>
      </c>
      <c r="CK33" s="25">
        <f t="shared" si="9"/>
        <v>0</v>
      </c>
      <c r="CL33" s="26" cm="1">
        <f t="array" ref="CL33:CW33">IFERROR(VLOOKUP(A33,'[1]Acum-OB-kg-pob-25'!A:AQ,{31,32,33,34,35,36,37,38,39,40,41,42},0),0)</f>
        <v>0</v>
      </c>
      <c r="CM33" s="26">
        <v>0</v>
      </c>
      <c r="CN33" s="26">
        <v>0</v>
      </c>
      <c r="CO33" s="26">
        <v>0</v>
      </c>
      <c r="CP33" s="26">
        <v>0</v>
      </c>
      <c r="CQ33" s="26">
        <v>0</v>
      </c>
      <c r="CR33" s="26">
        <v>0</v>
      </c>
      <c r="CS33" s="26">
        <v>0</v>
      </c>
      <c r="CT33" s="26">
        <v>0</v>
      </c>
      <c r="CU33" s="26">
        <v>0</v>
      </c>
      <c r="CV33" s="26">
        <v>0</v>
      </c>
      <c r="CW33" s="26">
        <v>0</v>
      </c>
      <c r="CX33" s="26">
        <f t="shared" si="10"/>
        <v>0</v>
      </c>
      <c r="CY33" s="14" t="str">
        <f>IF(A33=0,0,IFERROR(VLOOKUP(A33,'[1]Info Donantes'!C:F,2,0),"Sin Contacto"))</f>
        <v>Itzel Tejeira</v>
      </c>
      <c r="CZ33" s="14" t="str">
        <f>IF(A33=0,0,IFERROR(VLOOKUP(A33,'[1]Info Donantes'!C:F,3,0),"Sin Correo"))</f>
        <v>itzeltejeira@gmail.com</v>
      </c>
      <c r="DA33" s="14" t="str">
        <f>IF(A33=0,0,IFERROR(VLOOKUP(A33,'[1]Info Donantes'!C:F,4,0),"Sin Telefono"))</f>
        <v>232 6790</v>
      </c>
      <c r="DB33" s="14" t="str">
        <f>IF(A33=0,0,"Reporte de Trazabiidad"&amp;" - "&amp;'[1]Resumen Donantes'!$C$2&amp;" - "&amp;A33&amp;"")</f>
        <v>Reporte de Trazabiidad -  - REPRESENTACIONES TEJEIRA, S.A</v>
      </c>
    </row>
    <row r="34" spans="1:106" x14ac:dyDescent="0.55000000000000004">
      <c r="A34" s="14" t="s">
        <v>138</v>
      </c>
      <c r="B34" s="15">
        <f>INT(IFERROR(VLOOKUP(A34,'[1]Resumen Donantes'!C:F,3,0),0))</f>
        <v>0</v>
      </c>
      <c r="C34" s="15">
        <f>INT(ROUND(IFERROR(VLOOKUP(A34,'[1]Resumen Donantes'!C:F,4,0),0),1))</f>
        <v>1021</v>
      </c>
      <c r="D34" s="16">
        <f t="shared" si="19"/>
        <v>1021</v>
      </c>
      <c r="E34" s="17" t="str">
        <f t="shared" si="20"/>
        <v>100.00%</v>
      </c>
      <c r="F34" s="17" t="str">
        <f t="shared" si="21"/>
        <v>0.0%</v>
      </c>
      <c r="G34" s="15">
        <f t="shared" si="25"/>
        <v>3063</v>
      </c>
      <c r="H34" s="18"/>
      <c r="I34" s="18">
        <f>IFERROR(VLOOKUP(A34,'[1]Lot All by Part'!T:Y,6,0),0)</f>
        <v>0</v>
      </c>
      <c r="J34" s="18">
        <f>+H34*55</f>
        <v>0</v>
      </c>
      <c r="K34" s="19">
        <f>IFERROR(VLOOKUP($A34,'[1]OB Atendidas por Donantes'!A:N,3,0),0)</f>
        <v>6</v>
      </c>
      <c r="L34" s="19">
        <f>ROUNDUP(IF(A34=0,0,IFERROR(VLOOKUP($A34,'[1]Kilos Asignado del Donante'!A:O,3,0),0)),0)</f>
        <v>120</v>
      </c>
      <c r="M34" s="19">
        <f>IF(A34=0,0,IFERROR(SUMIFS([1]Poblacion!M:M,[1]Poblacion!J:J,'MASTER-2025'!A34),0))</f>
        <v>0</v>
      </c>
      <c r="N34" s="20">
        <f>IFERROR(VLOOKUP($A34,'[1]OB Atendidas por Donantes'!A:N,4,0),0)</f>
        <v>15</v>
      </c>
      <c r="O34" s="20">
        <f>ROUNDUP(IF(A34=0,0,IFERROR(VLOOKUP($A34,'[1]Kilos Asignado del Donante'!A:O,4,0),0)),0)</f>
        <v>304</v>
      </c>
      <c r="P34" s="20">
        <f>IF(A34=0,0,IFERROR(SUMIFS([1]Poblacion!N:N,[1]Poblacion!J:J,'MASTER-2025'!A34),0))</f>
        <v>0</v>
      </c>
      <c r="Q34" s="18">
        <f>IFERROR(VLOOKUP($A34,'[1]OB Atendidas por Donantes'!A:N,2,0),0)</f>
        <v>2</v>
      </c>
      <c r="R34" s="18">
        <f>ROUNDUP(ROUND(IF(A34=0,0,IFERROR(VLOOKUP($A34,'[1]Kilos Asignado del Donante'!A:O,9,0),0)),1),0)</f>
        <v>24</v>
      </c>
      <c r="S34" s="18">
        <f>IF(A34=0,0,IFERROR(SUMIFS([1]Poblacion!S:S,[1]Poblacion!J:J,'MASTER-2025'!A34),0))</f>
        <v>0</v>
      </c>
      <c r="T34" s="19">
        <f>IFERROR(VLOOKUP($A34,'[1]OB Atendidas por Donantes'!A:N,12,0),0)</f>
        <v>1</v>
      </c>
      <c r="U34" s="19">
        <f>ROUNDUP(IF(A34=0,0,IF(A34=0,0,IFERROR(VLOOKUP($A34,'[1]Kilos Asignado del Donante'!A:O,7,0),0))),0)</f>
        <v>8</v>
      </c>
      <c r="V34" s="19">
        <f>IF(A34=0,0,IFERROR(SUMIFS([1]Poblacion!Q:Q,[1]Poblacion!J:J,'MASTER-2025'!A34),0))</f>
        <v>0</v>
      </c>
      <c r="W34" s="20">
        <f>IFERROR(VLOOKUP($A34,'[1]OB Atendidas por Donantes'!A:N,10,0),0)</f>
        <v>7</v>
      </c>
      <c r="X34" s="20">
        <f>ROUNDUP(IF(A34=0,0,IFERROR(VLOOKUP($A34,'[1]Kilos Asignado del Donante'!A:N,5,0),0)),0)</f>
        <v>104</v>
      </c>
      <c r="Y34" s="20">
        <f>IF(A34=0,0,IFERROR(SUMIFS([1]Poblacion!O:O,[1]Poblacion!J:J,'MASTER-2025'!A34),0))</f>
        <v>0</v>
      </c>
      <c r="Z34" s="18">
        <f>IFERROR(VLOOKUP($A34,'[1]OB Atendidas por Donantes'!A:N,6,0),0)</f>
        <v>4</v>
      </c>
      <c r="AA34" s="18">
        <f>ROUNDUP(IF(A34=0,0,IFERROR(VLOOKUP($A34,'[1]Kilos Asignado del Donante'!A:N,11,0),0)),0)</f>
        <v>65</v>
      </c>
      <c r="AB34" s="18">
        <f>IF(A34=0,0,IFERROR(SUMIFS([1]Poblacion!U:U,[1]Poblacion!J:J,'MASTER-2025'!A34),0))</f>
        <v>0</v>
      </c>
      <c r="AC34" s="19">
        <f>IFERROR(VLOOKUP($A34,'[1]OB Atendidas por Donantes'!A:N,7,0),0)</f>
        <v>2</v>
      </c>
      <c r="AD34" s="19">
        <f>ROUNDUP(IF(A34=0,0,IFERROR(VLOOKUP($A34,'[1]Kilos Asignado del Donante'!A:N,8,0),0)),0)</f>
        <v>96</v>
      </c>
      <c r="AE34" s="19">
        <f>IF(A34=0,0,IFERROR(SUMIFS([1]Poblacion!R:R,[1]Poblacion!J:J,'MASTER-2025'!A34),0))</f>
        <v>0</v>
      </c>
      <c r="AF34" s="20">
        <f>IFERROR(VLOOKUP($A34,'[1]OB Atendidas por Donantes'!A:N,8,0),0)</f>
        <v>0</v>
      </c>
      <c r="AG34" s="20">
        <f>ROUNDUP(IF(A34=0,0,IFERROR(VLOOKUP($A34,'[1]Kilos Asignado del Donante'!A:N,6,0),0)),0)</f>
        <v>0</v>
      </c>
      <c r="AH34" s="20">
        <f>IF(A34=0,0,IFERROR(SUMIFS([1]Poblacion!P:P,[1]Poblacion!J:J,'MASTER-2025'!A34),0))</f>
        <v>0</v>
      </c>
      <c r="AI34" s="18">
        <f>IFERROR(VLOOKUP($A34,'[1]OB Atendidas por Donantes'!A:N,9,0),0)</f>
        <v>1</v>
      </c>
      <c r="AJ34" s="18">
        <f>ROUNDUP(IF(A34=0,0,IFERROR(VLOOKUP($A34,'[1]Kilos Asignado del Donante'!A:N,12,0),0)),0)</f>
        <v>15</v>
      </c>
      <c r="AK34" s="18">
        <f>IF(A34=0,0,IFERROR(SUMIFS([1]Poblacion!V:V,[1]Poblacion!J:J,'MASTER-2025'!A34),0))</f>
        <v>0</v>
      </c>
      <c r="AL34" s="19">
        <f>IFERROR(VLOOKUP($A34,'[1]OB Atendidas por Donantes'!A:N,16,0),0)</f>
        <v>0</v>
      </c>
      <c r="AM34" s="19">
        <f>ROUNDUP(IF(A34=0,0,IFERROR(VLOOKUP($A34,'[1]Kilos Asignado del Donante'!A:O,16,0),0)),0)</f>
        <v>0</v>
      </c>
      <c r="AN34" s="19">
        <f>IF(A34=0,0,IFERROR(SUMIFS([1]Poblacion!Z:Z,[1]Poblacion!J:J,'MASTER-2025'!A34),0))</f>
        <v>0</v>
      </c>
      <c r="AO34" s="20">
        <f>IFERROR(VLOOKUP($A34,'[1]OB Atendidas por Donantes'!A:N,11,0),0)</f>
        <v>2</v>
      </c>
      <c r="AP34" s="20">
        <f>ROUNDUP(IF(A34=0,0,IFERROR(VLOOKUP($A34,'[1]Kilos Asignado del Donante'!A:N,13,0),0)),0)</f>
        <v>70</v>
      </c>
      <c r="AQ34" s="20">
        <f>IF(A34=0,0,IFERROR(SUMIFS([1]Poblacion!W:W,[1]Poblacion!J:J,'MASTER-2025'!A34),0))</f>
        <v>0</v>
      </c>
      <c r="AR34" s="18">
        <f>IFERROR(VLOOKUP($A34,'[1]OB Atendidas por Donantes'!A:N,5,0),0)</f>
        <v>3</v>
      </c>
      <c r="AS34" s="18">
        <f>ROUNDUP(IF(A34=0,0,IFERROR(VLOOKUP($A34,'[1]Kilos Asignado del Donante'!A:N,10,0),0)),0)</f>
        <v>153</v>
      </c>
      <c r="AT34" s="18">
        <f>IF(A34=0,0,IFERROR(SUMIFS([1]Poblacion!T:T,[1]Poblacion!J:J,'MASTER-2025'!A34),0))</f>
        <v>0</v>
      </c>
      <c r="AU34" s="19">
        <f>IFERROR(VLOOKUP($A34,'[1]OB Atendidas por Donantes'!A:N,13,0),0)</f>
        <v>0</v>
      </c>
      <c r="AV34" s="19">
        <f>ROUNDUP(IF(A34=0,0,IFERROR(VLOOKUP($A34,'[1]Kilos Asignado del Donante'!A:N,14,0),0)),0)</f>
        <v>0</v>
      </c>
      <c r="AW34" s="19">
        <f>IF(A34=0,0,IFERROR(SUMIFS([1]Poblacion!X:X,[1]Poblacion!J:J,'MASTER-2025'!A34),0))</f>
        <v>0</v>
      </c>
      <c r="AX34" s="20">
        <f>IFERROR(VLOOKUP($A34,'[1]OB Atendidas por Donantes'!A:N,16,0),0)</f>
        <v>0</v>
      </c>
      <c r="AY34" s="20">
        <f>ROUNDUP(IF(A34=0,0,IFERROR(VLOOKUP($A34,'[1]Kilos Asignado del Donante'!A:O,16,0),0)),0)</f>
        <v>0</v>
      </c>
      <c r="AZ34" s="20">
        <f>IF(A34=0,0,IFERROR(SUMIFS([1]Poblacion!Y:Y,[1]Poblacion!J:J,'MASTER-2025'!A34),0))</f>
        <v>0</v>
      </c>
      <c r="BA34" s="21">
        <f t="shared" si="15"/>
        <v>43</v>
      </c>
      <c r="BB34" s="21">
        <f t="shared" si="23"/>
        <v>959</v>
      </c>
      <c r="BC34" s="21">
        <f t="shared" si="24"/>
        <v>456</v>
      </c>
      <c r="BD34" s="21">
        <f t="shared" si="26"/>
        <v>0</v>
      </c>
      <c r="BE34" s="22" t="e">
        <f>IF(A34=0,0,SUMIFS([1]Poblacion!C:C,[1]Poblacion!A:A,'MASTER-2025'!A34))</f>
        <v>#VALUE!</v>
      </c>
      <c r="BF34" s="22" t="e">
        <f>IF(A34=0,0,SUMIFS([1]Poblacion!D:D,[1]Poblacion!A:A,'MASTER-2025'!A34))</f>
        <v>#VALUE!</v>
      </c>
      <c r="BG34" s="22" t="e">
        <f>IF(A34=0,0,SUMIFS([1]Poblacion!E:E,[1]Poblacion!A:A,'MASTER-2025'!A34))</f>
        <v>#VALUE!</v>
      </c>
      <c r="BH34" s="22" t="e">
        <f>IF(A34=0,0,SUMIFS([1]Poblacion!F:F,[1]Poblacion!A:A,'MASTER-2025'!A34))</f>
        <v>#VALUE!</v>
      </c>
      <c r="BI34" s="22" t="e">
        <f t="shared" si="18"/>
        <v>#VALUE!</v>
      </c>
      <c r="BJ34" s="23" t="e">
        <f t="shared" si="7"/>
        <v>#VALUE!</v>
      </c>
      <c r="BK34" s="22" t="e">
        <f>IF(A34=0,0,SUMIFS([1]Poblacion!G:G,[1]Poblacion!A:A,'MASTER-2025'!A34))</f>
        <v>#VALUE!</v>
      </c>
      <c r="BL34" s="24" cm="1">
        <f t="array" ref="BL34:BW34">IFERROR(VLOOKUP(A34,'[1]Acum-OB-kg-pob-25'!A:AQ,{3,4,5,6,7,8,9,10,11,12,13,14},0),0)</f>
        <v>64</v>
      </c>
      <c r="BM34" s="24">
        <v>26</v>
      </c>
      <c r="BN34" s="24">
        <v>43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f t="shared" si="8"/>
        <v>133</v>
      </c>
      <c r="BY34" s="25" cm="1">
        <f t="array" ref="BY34:CJ34">IFERROR(VLOOKUP(A34,'[1]Acum-OB-kg-pob-25'!A:AQ,{17,18,19,20,21,22,23,24,25,26,27,28},0),0)</f>
        <v>1040</v>
      </c>
      <c r="BZ34" s="25">
        <v>1007</v>
      </c>
      <c r="CA34" s="25">
        <v>1021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f t="shared" si="9"/>
        <v>3068</v>
      </c>
      <c r="CL34" s="26" cm="1">
        <f t="array" ref="CL34:CW34">IFERROR(VLOOKUP(A34,'[1]Acum-OB-kg-pob-25'!A:AQ,{31,32,33,34,35,36,37,38,39,40,41,42},0),0)</f>
        <v>9401</v>
      </c>
      <c r="CM34" s="26">
        <v>5731</v>
      </c>
      <c r="CN34" s="26">
        <v>12682</v>
      </c>
      <c r="CO34" s="26">
        <v>0</v>
      </c>
      <c r="CP34" s="26">
        <v>0</v>
      </c>
      <c r="CQ34" s="26">
        <v>0</v>
      </c>
      <c r="CR34" s="26">
        <v>0</v>
      </c>
      <c r="CS34" s="26">
        <v>0</v>
      </c>
      <c r="CT34" s="26">
        <v>0</v>
      </c>
      <c r="CU34" s="26">
        <v>0</v>
      </c>
      <c r="CV34" s="26">
        <v>0</v>
      </c>
      <c r="CW34" s="26">
        <v>0</v>
      </c>
      <c r="CX34" s="26">
        <f t="shared" si="10"/>
        <v>27814</v>
      </c>
      <c r="CY34" s="14" t="str">
        <f>IF(A34=0,0,IFERROR(VLOOKUP(A34,'[1]Info Donantes'!C:F,2,0),"Sin Contacto"))</f>
        <v>Zaida Lorena Gutierrez</v>
      </c>
      <c r="CZ34" s="14" t="str">
        <f>IF(A34=0,0,IFERROR(VLOOKUP(A34,'[1]Info Donantes'!C:F,3,0),"Sin Correo"))</f>
        <v>salvadorg@salva-mar.com</v>
      </c>
      <c r="DA34" s="14" t="str">
        <f>IF(A34=0,0,IFERROR(VLOOKUP(A34,'[1]Info Donantes'!C:F,4,0),"Sin Telefono"))</f>
        <v>6672 8733/ 6670-2354</v>
      </c>
      <c r="DB34" s="14" t="str">
        <f>IF(A34=0,0,"Reporte de Trazabiidad"&amp;" - "&amp;'[1]Resumen Donantes'!$C$2&amp;" - "&amp;A34&amp;"")</f>
        <v>Reporte de Trazabiidad -  - SALVA - MAR,</v>
      </c>
    </row>
    <row r="35" spans="1:106" x14ac:dyDescent="0.55000000000000004">
      <c r="A35" s="14" t="s">
        <v>139</v>
      </c>
      <c r="B35" s="15">
        <f>INT(IFERROR(VLOOKUP(A35,'[1]Resumen Donantes'!C:F,3,0),0))</f>
        <v>934</v>
      </c>
      <c r="C35" s="15">
        <f>INT(ROUND(IFERROR(VLOOKUP(A35,'[1]Resumen Donantes'!C:F,4,0),0),1))</f>
        <v>3799</v>
      </c>
      <c r="D35" s="16">
        <f t="shared" si="19"/>
        <v>2865</v>
      </c>
      <c r="E35" s="17" t="str">
        <f t="shared" si="20"/>
        <v>75.41%</v>
      </c>
      <c r="F35" s="17" t="str">
        <f t="shared" si="21"/>
        <v>24.6%</v>
      </c>
      <c r="G35" s="15">
        <f t="shared" si="25"/>
        <v>8595</v>
      </c>
      <c r="H35" s="18"/>
      <c r="I35" s="18">
        <f>IFERROR(VLOOKUP(A35,'[1]Lot All by Part'!T:Y,6,0),0)</f>
        <v>0</v>
      </c>
      <c r="J35" s="18"/>
      <c r="K35" s="19">
        <f>IFERROR(VLOOKUP($A35,'[1]OB Atendidas por Donantes'!A:N,3,0),0)</f>
        <v>0</v>
      </c>
      <c r="L35" s="19">
        <f>ROUNDUP(IF(A35=0,0,IFERROR(VLOOKUP($A35,'[1]Kilos Asignado del Donante'!A:O,3,0),0)),0)</f>
        <v>0</v>
      </c>
      <c r="M35" s="19">
        <f>IF(A35=0,0,IFERROR(SUMIFS([1]Poblacion!M:M,[1]Poblacion!J:J,'MASTER-2025'!A35),0))</f>
        <v>0</v>
      </c>
      <c r="N35" s="20">
        <f>IFERROR(VLOOKUP($A35,'[1]OB Atendidas por Donantes'!A:N,4,0),0)</f>
        <v>1</v>
      </c>
      <c r="O35" s="20">
        <f>ROUNDUP(IF(A35=0,0,IFERROR(VLOOKUP($A35,'[1]Kilos Asignado del Donante'!A:O,4,0),0)),0)</f>
        <v>380</v>
      </c>
      <c r="P35" s="20">
        <f>IF(A35=0,0,IFERROR(SUMIFS([1]Poblacion!N:N,[1]Poblacion!J:J,'MASTER-2025'!A35),0))</f>
        <v>0</v>
      </c>
      <c r="Q35" s="18">
        <f>IFERROR(VLOOKUP($A35,'[1]OB Atendidas por Donantes'!A:N,2,0),0)</f>
        <v>0</v>
      </c>
      <c r="R35" s="18">
        <f>ROUNDUP(ROUND(IF(A35=0,0,IFERROR(VLOOKUP($A35,'[1]Kilos Asignado del Donante'!A:O,9,0),0)),1),0)</f>
        <v>0</v>
      </c>
      <c r="S35" s="18">
        <f>IF(A35=0,0,IFERROR(SUMIFS([1]Poblacion!S:S,[1]Poblacion!J:J,'MASTER-2025'!A35),0))</f>
        <v>0</v>
      </c>
      <c r="T35" s="19">
        <f>IFERROR(VLOOKUP($A35,'[1]OB Atendidas por Donantes'!A:N,12,0),0)</f>
        <v>0</v>
      </c>
      <c r="U35" s="19">
        <f>ROUNDUP(IF(A35=0,0,IF(A35=0,0,IFERROR(VLOOKUP($A35,'[1]Kilos Asignado del Donante'!A:O,7,0),0))),0)</f>
        <v>0</v>
      </c>
      <c r="V35" s="19">
        <f>IF(A35=0,0,IFERROR(SUMIFS([1]Poblacion!Q:Q,[1]Poblacion!J:J,'MASTER-2025'!A35),0))</f>
        <v>0</v>
      </c>
      <c r="W35" s="20">
        <f>IFERROR(VLOOKUP($A35,'[1]OB Atendidas por Donantes'!A:N,10,0),0)</f>
        <v>0</v>
      </c>
      <c r="X35" s="20">
        <f>ROUNDUP(IF(A35=0,0,IFERROR(VLOOKUP($A35,'[1]Kilos Asignado del Donante'!A:N,5,0),0)),0)</f>
        <v>0</v>
      </c>
      <c r="Y35" s="20">
        <f>IF(A35=0,0,IFERROR(SUMIFS([1]Poblacion!O:O,[1]Poblacion!J:J,'MASTER-2025'!A35),0))</f>
        <v>0</v>
      </c>
      <c r="Z35" s="18">
        <f>IFERROR(VLOOKUP($A35,'[1]OB Atendidas por Donantes'!A:N,6,0),0)</f>
        <v>4</v>
      </c>
      <c r="AA35" s="18">
        <f>ROUNDUP(IF(A35=0,0,IFERROR(VLOOKUP($A35,'[1]Kilos Asignado del Donante'!A:N,11,0),0)),0)</f>
        <v>820</v>
      </c>
      <c r="AB35" s="18">
        <f>IF(A35=0,0,IFERROR(SUMIFS([1]Poblacion!U:U,[1]Poblacion!J:J,'MASTER-2025'!A35),0))</f>
        <v>0</v>
      </c>
      <c r="AC35" s="19">
        <f>IFERROR(VLOOKUP($A35,'[1]OB Atendidas por Donantes'!A:N,7,0),0)</f>
        <v>0</v>
      </c>
      <c r="AD35" s="19">
        <f>ROUNDUP(IF(A35=0,0,IFERROR(VLOOKUP($A35,'[1]Kilos Asignado del Donante'!A:N,8,0),0)),0)</f>
        <v>0</v>
      </c>
      <c r="AE35" s="19">
        <f>IF(A35=0,0,IFERROR(SUMIFS([1]Poblacion!R:R,[1]Poblacion!J:J,'MASTER-2025'!A35),0))</f>
        <v>0</v>
      </c>
      <c r="AF35" s="20">
        <f>IFERROR(VLOOKUP($A35,'[1]OB Atendidas por Donantes'!A:N,8,0),0)</f>
        <v>0</v>
      </c>
      <c r="AG35" s="20">
        <f>ROUNDUP(IF(A35=0,0,IFERROR(VLOOKUP($A35,'[1]Kilos Asignado del Donante'!A:N,6,0),0)),0)</f>
        <v>0</v>
      </c>
      <c r="AH35" s="20">
        <f>IF(A35=0,0,IFERROR(SUMIFS([1]Poblacion!P:P,[1]Poblacion!J:J,'MASTER-2025'!A35),0))</f>
        <v>0</v>
      </c>
      <c r="AI35" s="18">
        <f>IFERROR(VLOOKUP($A35,'[1]OB Atendidas por Donantes'!A:N,9,0),0)</f>
        <v>3</v>
      </c>
      <c r="AJ35" s="18">
        <f>ROUNDUP(IF(A35=0,0,IFERROR(VLOOKUP($A35,'[1]Kilos Asignado del Donante'!A:N,12,0),0)),0)</f>
        <v>235</v>
      </c>
      <c r="AK35" s="18">
        <f>IF(A35=0,0,IFERROR(SUMIFS([1]Poblacion!V:V,[1]Poblacion!J:J,'MASTER-2025'!A35),0))</f>
        <v>0</v>
      </c>
      <c r="AL35" s="19">
        <f>IFERROR(VLOOKUP($A35,'[1]OB Atendidas por Donantes'!A:N,16,0),0)</f>
        <v>0</v>
      </c>
      <c r="AM35" s="19">
        <f>ROUNDUP(IF(A35=0,0,IFERROR(VLOOKUP($A35,'[1]Kilos Asignado del Donante'!A:O,16,0),0)),0)</f>
        <v>0</v>
      </c>
      <c r="AN35" s="19">
        <f>IF(A35=0,0,IFERROR(SUMIFS([1]Poblacion!Z:Z,[1]Poblacion!J:J,'MASTER-2025'!A35),0))</f>
        <v>0</v>
      </c>
      <c r="AO35" s="20">
        <f>IFERROR(VLOOKUP($A35,'[1]OB Atendidas por Donantes'!A:N,11,0),0)</f>
        <v>2</v>
      </c>
      <c r="AP35" s="20">
        <f>ROUNDUP(IF(A35=0,0,IFERROR(VLOOKUP($A35,'[1]Kilos Asignado del Donante'!A:N,13,0),0)),0)</f>
        <v>290</v>
      </c>
      <c r="AQ35" s="20">
        <f>IF(A35=0,0,IFERROR(SUMIFS([1]Poblacion!W:W,[1]Poblacion!J:J,'MASTER-2025'!A35),0))</f>
        <v>0</v>
      </c>
      <c r="AR35" s="18">
        <f>IFERROR(VLOOKUP($A35,'[1]OB Atendidas por Donantes'!A:N,5,0),0)</f>
        <v>8</v>
      </c>
      <c r="AS35" s="18">
        <f>ROUNDUP(IF(A35=0,0,IFERROR(VLOOKUP($A35,'[1]Kilos Asignado del Donante'!A:N,10,0),0)),0)</f>
        <v>1100</v>
      </c>
      <c r="AT35" s="18">
        <f>IF(A35=0,0,IFERROR(SUMIFS([1]Poblacion!T:T,[1]Poblacion!J:J,'MASTER-2025'!A35),0))</f>
        <v>0</v>
      </c>
      <c r="AU35" s="19">
        <f>IFERROR(VLOOKUP($A35,'[1]OB Atendidas por Donantes'!A:N,13,0),0)</f>
        <v>0</v>
      </c>
      <c r="AV35" s="19">
        <f>ROUNDUP(IF(A35=0,0,IFERROR(VLOOKUP($A35,'[1]Kilos Asignado del Donante'!A:N,14,0),0)),0)</f>
        <v>0</v>
      </c>
      <c r="AW35" s="19">
        <f>IF(A35=0,0,IFERROR(SUMIFS([1]Poblacion!X:X,[1]Poblacion!J:J,'MASTER-2025'!A35),0))</f>
        <v>0</v>
      </c>
      <c r="AX35" s="20">
        <f>IFERROR(VLOOKUP($A35,'[1]OB Atendidas por Donantes'!A:N,16,0),0)</f>
        <v>0</v>
      </c>
      <c r="AY35" s="20">
        <f>ROUNDUP(IF(A35=0,0,IFERROR(VLOOKUP($A35,'[1]Kilos Asignado del Donante'!A:O,16,0),0)),0)</f>
        <v>0</v>
      </c>
      <c r="AZ35" s="20">
        <f>IF(A35=0,0,IFERROR(SUMIFS([1]Poblacion!Y:Y,[1]Poblacion!J:J,'MASTER-2025'!A35),0))</f>
        <v>0</v>
      </c>
      <c r="BA35" s="21">
        <f t="shared" si="15"/>
        <v>18</v>
      </c>
      <c r="BB35" s="21">
        <f t="shared" si="23"/>
        <v>2825</v>
      </c>
      <c r="BC35" s="21">
        <f t="shared" si="24"/>
        <v>380</v>
      </c>
      <c r="BD35" s="21">
        <f t="shared" si="26"/>
        <v>0</v>
      </c>
      <c r="BE35" s="22" t="e">
        <f>IF(A35=0,0,SUMIFS([1]Poblacion!C:C,[1]Poblacion!A:A,'MASTER-2025'!A35))</f>
        <v>#VALUE!</v>
      </c>
      <c r="BF35" s="22" t="e">
        <f>IF(A35=0,0,SUMIFS([1]Poblacion!D:D,[1]Poblacion!A:A,'MASTER-2025'!A35))</f>
        <v>#VALUE!</v>
      </c>
      <c r="BG35" s="22" t="e">
        <f>IF(A35=0,0,SUMIFS([1]Poblacion!E:E,[1]Poblacion!A:A,'MASTER-2025'!A35))</f>
        <v>#VALUE!</v>
      </c>
      <c r="BH35" s="22" t="e">
        <f>IF(A35=0,0,SUMIFS([1]Poblacion!F:F,[1]Poblacion!A:A,'MASTER-2025'!A35))</f>
        <v>#VALUE!</v>
      </c>
      <c r="BI35" s="22" t="e">
        <f t="shared" si="18"/>
        <v>#VALUE!</v>
      </c>
      <c r="BJ35" s="23" t="e">
        <f t="shared" si="7"/>
        <v>#VALUE!</v>
      </c>
      <c r="BK35" s="22" t="e">
        <f>IF(A35=0,0,SUMIFS([1]Poblacion!G:G,[1]Poblacion!A:A,'MASTER-2025'!A35))</f>
        <v>#VALUE!</v>
      </c>
      <c r="BL35" s="24" cm="1">
        <f t="array" ref="BL35:BW35">IFERROR(VLOOKUP(A35,'[1]Acum-OB-kg-pob-25'!A:AQ,{3,4,5,6,7,8,9,10,11,12,13,14},0),0)</f>
        <v>14</v>
      </c>
      <c r="BM35" s="24">
        <v>16</v>
      </c>
      <c r="BN35" s="24">
        <v>18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f t="shared" si="8"/>
        <v>48</v>
      </c>
      <c r="BY35" s="25" cm="1">
        <f t="array" ref="BY35:CJ35">IFERROR(VLOOKUP(A35,'[1]Acum-OB-kg-pob-25'!A:AQ,{17,18,19,20,21,22,23,24,25,26,27,28},0),0)</f>
        <v>3130</v>
      </c>
      <c r="BZ35" s="25">
        <v>2993</v>
      </c>
      <c r="CA35" s="25">
        <v>3799</v>
      </c>
      <c r="CB35" s="25">
        <v>0</v>
      </c>
      <c r="CC35" s="25">
        <v>0</v>
      </c>
      <c r="CD35" s="25">
        <v>0</v>
      </c>
      <c r="CE35" s="25">
        <v>0</v>
      </c>
      <c r="CF35" s="25">
        <v>0</v>
      </c>
      <c r="CG35" s="25">
        <v>0</v>
      </c>
      <c r="CH35" s="25">
        <v>0</v>
      </c>
      <c r="CI35" s="25">
        <v>0</v>
      </c>
      <c r="CJ35" s="25">
        <v>0</v>
      </c>
      <c r="CK35" s="25">
        <f t="shared" si="9"/>
        <v>9922</v>
      </c>
      <c r="CL35" s="26" cm="1">
        <f t="array" ref="CL35:CW35">IFERROR(VLOOKUP(A35,'[1]Acum-OB-kg-pob-25'!A:AQ,{31,32,33,34,35,36,37,38,39,40,41,42},0),0)</f>
        <v>1750</v>
      </c>
      <c r="CM35" s="26">
        <v>2418</v>
      </c>
      <c r="CN35" s="26">
        <v>2155</v>
      </c>
      <c r="CO35" s="26">
        <v>0</v>
      </c>
      <c r="CP35" s="26">
        <v>0</v>
      </c>
      <c r="CQ35" s="26">
        <v>0</v>
      </c>
      <c r="CR35" s="26">
        <v>0</v>
      </c>
      <c r="CS35" s="26">
        <v>0</v>
      </c>
      <c r="CT35" s="26">
        <v>0</v>
      </c>
      <c r="CU35" s="26">
        <v>0</v>
      </c>
      <c r="CV35" s="26">
        <v>0</v>
      </c>
      <c r="CW35" s="26">
        <v>0</v>
      </c>
      <c r="CX35" s="26">
        <f t="shared" si="10"/>
        <v>6323</v>
      </c>
      <c r="CY35" s="14" t="str">
        <f>IF(A35=0,0,IFERROR(VLOOKUP(A35,'[1]Info Donantes'!C:F,2,0),"Sin Contacto"))</f>
        <v>Liurys Jimenez</v>
      </c>
      <c r="CZ35" s="14" t="str">
        <f>IF(A35=0,0,IFERROR(VLOOKUP(A35,'[1]Info Donantes'!C:F,3,0),"Sin Correo"))</f>
        <v>liurys.jimenez@supercarnes.com</v>
      </c>
      <c r="DA35" s="14" t="str">
        <f>IF(A35=0,0,IFERROR(VLOOKUP(A35,'[1]Info Donantes'!C:F,4,0),"Sin Telefono"))</f>
        <v>958-9699</v>
      </c>
      <c r="DB35" s="14" t="str">
        <f>IF(A35=0,0,"Reporte de Trazabiidad"&amp;" - "&amp;'[1]Resumen Donantes'!$C$2&amp;" - "&amp;A35&amp;"")</f>
        <v>Reporte de Trazabiidad -  - SUPER CARNES</v>
      </c>
    </row>
    <row r="36" spans="1:106" x14ac:dyDescent="0.55000000000000004">
      <c r="A36" s="14" t="s">
        <v>140</v>
      </c>
      <c r="B36" s="15">
        <f>INT(IFERROR(VLOOKUP(A36,'[1]Resumen Donantes'!C:F,3,0),0))</f>
        <v>0</v>
      </c>
      <c r="C36" s="15">
        <f>INT(ROUND(IFERROR(VLOOKUP(A36,'[1]Resumen Donantes'!C:F,4,0),0),1))</f>
        <v>0</v>
      </c>
      <c r="D36" s="16">
        <f t="shared" si="19"/>
        <v>0</v>
      </c>
      <c r="E36" s="17" t="str">
        <f t="shared" si="20"/>
        <v>0.00%</v>
      </c>
      <c r="F36" s="17" t="str">
        <f t="shared" si="21"/>
        <v>0.0%</v>
      </c>
      <c r="G36" s="15">
        <f t="shared" si="25"/>
        <v>0</v>
      </c>
      <c r="H36" s="18"/>
      <c r="I36" s="18">
        <f>IFERROR(VLOOKUP(A36,'[1]Lot All by Part'!T:Y,6,0),0)</f>
        <v>0</v>
      </c>
      <c r="J36" s="18"/>
      <c r="K36" s="19">
        <f>IFERROR(VLOOKUP($A36,'[1]OB Atendidas por Donantes'!A:N,3,0),0)</f>
        <v>0</v>
      </c>
      <c r="L36" s="19">
        <f>ROUNDUP(IF(A36=0,0,IFERROR(VLOOKUP($A36,'[1]Kilos Asignado del Donante'!A:O,3,0),0)),0)</f>
        <v>0</v>
      </c>
      <c r="M36" s="19">
        <f>IF(A36=0,0,IFERROR(SUMIFS([1]Poblacion!M:M,[1]Poblacion!J:J,'MASTER-2025'!A36),0))</f>
        <v>0</v>
      </c>
      <c r="N36" s="20">
        <f>IFERROR(VLOOKUP($A36,'[1]OB Atendidas por Donantes'!A:N,4,0),0)</f>
        <v>0</v>
      </c>
      <c r="O36" s="20">
        <f>ROUNDUP(IF(A36=0,0,IFERROR(VLOOKUP($A36,'[1]Kilos Asignado del Donante'!A:O,4,0),0)),0)</f>
        <v>0</v>
      </c>
      <c r="P36" s="20">
        <f>IF(A36=0,0,IFERROR(SUMIFS([1]Poblacion!N:N,[1]Poblacion!J:J,'MASTER-2025'!A36),0))</f>
        <v>0</v>
      </c>
      <c r="Q36" s="18">
        <f>IFERROR(VLOOKUP($A36,'[1]OB Atendidas por Donantes'!A:N,2,0),0)</f>
        <v>0</v>
      </c>
      <c r="R36" s="18">
        <f>ROUNDUP(ROUND(IF(A36=0,0,IFERROR(VLOOKUP($A36,'[1]Kilos Asignado del Donante'!A:O,9,0),0)),1),0)</f>
        <v>0</v>
      </c>
      <c r="S36" s="18">
        <f>IF(A36=0,0,IFERROR(SUMIFS([1]Poblacion!S:S,[1]Poblacion!J:J,'MASTER-2025'!A36),0))</f>
        <v>0</v>
      </c>
      <c r="T36" s="19">
        <f>IFERROR(VLOOKUP($A36,'[1]OB Atendidas por Donantes'!A:N,12,0),0)</f>
        <v>0</v>
      </c>
      <c r="U36" s="19">
        <f>ROUNDUP(IF(A36=0,0,IF(A36=0,0,IFERROR(VLOOKUP($A36,'[1]Kilos Asignado del Donante'!A:O,7,0),0))),0)</f>
        <v>0</v>
      </c>
      <c r="V36" s="19">
        <f>IF(A36=0,0,IFERROR(SUMIFS([1]Poblacion!Q:Q,[1]Poblacion!J:J,'MASTER-2025'!A36),0))</f>
        <v>0</v>
      </c>
      <c r="W36" s="20">
        <f>IFERROR(VLOOKUP($A36,'[1]OB Atendidas por Donantes'!A:N,10,0),0)</f>
        <v>0</v>
      </c>
      <c r="X36" s="20">
        <f>ROUNDUP(IF(A36=0,0,IFERROR(VLOOKUP($A36,'[1]Kilos Asignado del Donante'!A:N,5,0),0)),0)</f>
        <v>0</v>
      </c>
      <c r="Y36" s="20">
        <f>IF(A36=0,0,IFERROR(SUMIFS([1]Poblacion!O:O,[1]Poblacion!J:J,'MASTER-2025'!A36),0))</f>
        <v>0</v>
      </c>
      <c r="Z36" s="18">
        <f>IFERROR(VLOOKUP($A36,'[1]OB Atendidas por Donantes'!A:N,6,0),0)</f>
        <v>0</v>
      </c>
      <c r="AA36" s="18">
        <f>ROUNDUP(IF(A36=0,0,IFERROR(VLOOKUP($A36,'[1]Kilos Asignado del Donante'!A:N,11,0),0)),0)</f>
        <v>0</v>
      </c>
      <c r="AB36" s="18">
        <f>IF(A36=0,0,IFERROR(SUMIFS([1]Poblacion!U:U,[1]Poblacion!J:J,'MASTER-2025'!A36),0))</f>
        <v>0</v>
      </c>
      <c r="AC36" s="19">
        <f>IFERROR(VLOOKUP($A36,'[1]OB Atendidas por Donantes'!A:N,7,0),0)</f>
        <v>0</v>
      </c>
      <c r="AD36" s="19">
        <f>ROUNDUP(IF(A36=0,0,IFERROR(VLOOKUP($A36,'[1]Kilos Asignado del Donante'!A:N,8,0),0)),0)</f>
        <v>0</v>
      </c>
      <c r="AE36" s="19">
        <f>IF(A36=0,0,IFERROR(SUMIFS([1]Poblacion!R:R,[1]Poblacion!J:J,'MASTER-2025'!A36),0))</f>
        <v>0</v>
      </c>
      <c r="AF36" s="20">
        <f>IFERROR(VLOOKUP($A36,'[1]OB Atendidas por Donantes'!A:N,8,0),0)</f>
        <v>0</v>
      </c>
      <c r="AG36" s="20">
        <f>ROUNDUP(IF(A36=0,0,IFERROR(VLOOKUP($A36,'[1]Kilos Asignado del Donante'!A:N,6,0),0)),0)</f>
        <v>0</v>
      </c>
      <c r="AH36" s="20">
        <f>IF(A36=0,0,IFERROR(SUMIFS([1]Poblacion!P:P,[1]Poblacion!J:J,'MASTER-2025'!A36),0))</f>
        <v>0</v>
      </c>
      <c r="AI36" s="18">
        <f>IFERROR(VLOOKUP($A36,'[1]OB Atendidas por Donantes'!A:N,9,0),0)</f>
        <v>0</v>
      </c>
      <c r="AJ36" s="18">
        <f>ROUNDUP(IF(A36=0,0,IFERROR(VLOOKUP($A36,'[1]Kilos Asignado del Donante'!A:N,12,0),0)),0)</f>
        <v>0</v>
      </c>
      <c r="AK36" s="18">
        <f>IF(A36=0,0,IFERROR(SUMIFS([1]Poblacion!V:V,[1]Poblacion!J:J,'MASTER-2025'!A36),0))</f>
        <v>0</v>
      </c>
      <c r="AL36" s="19">
        <f>IFERROR(VLOOKUP($A36,'[1]OB Atendidas por Donantes'!A:N,16,0),0)</f>
        <v>0</v>
      </c>
      <c r="AM36" s="19">
        <f>ROUNDUP(IF(A36=0,0,IFERROR(VLOOKUP($A36,'[1]Kilos Asignado del Donante'!A:O,16,0),0)),0)</f>
        <v>0</v>
      </c>
      <c r="AN36" s="19">
        <f>IF(A36=0,0,IFERROR(SUMIFS([1]Poblacion!Z:Z,[1]Poblacion!J:J,'MASTER-2025'!A36),0))</f>
        <v>0</v>
      </c>
      <c r="AO36" s="20">
        <f>IFERROR(VLOOKUP($A36,'[1]OB Atendidas por Donantes'!A:N,11,0),0)</f>
        <v>0</v>
      </c>
      <c r="AP36" s="20">
        <f>ROUNDUP(IF(A36=0,0,IFERROR(VLOOKUP($A36,'[1]Kilos Asignado del Donante'!A:N,13,0),0)),0)</f>
        <v>0</v>
      </c>
      <c r="AQ36" s="20">
        <f>IF(A36=0,0,IFERROR(SUMIFS([1]Poblacion!W:W,[1]Poblacion!J:J,'MASTER-2025'!A36),0))</f>
        <v>0</v>
      </c>
      <c r="AR36" s="18">
        <f>IFERROR(VLOOKUP($A36,'[1]OB Atendidas por Donantes'!A:N,5,0),0)</f>
        <v>0</v>
      </c>
      <c r="AS36" s="18">
        <f>ROUNDUP(IF(A36=0,0,IFERROR(VLOOKUP($A36,'[1]Kilos Asignado del Donante'!A:N,10,0),0)),0)</f>
        <v>0</v>
      </c>
      <c r="AT36" s="18">
        <f>IF(A36=0,0,IFERROR(SUMIFS([1]Poblacion!T:T,[1]Poblacion!J:J,'MASTER-2025'!A36),0))</f>
        <v>0</v>
      </c>
      <c r="AU36" s="19">
        <f>IFERROR(VLOOKUP($A36,'[1]OB Atendidas por Donantes'!A:N,13,0),0)</f>
        <v>0</v>
      </c>
      <c r="AV36" s="19">
        <f>ROUNDUP(IF(A36=0,0,IFERROR(VLOOKUP($A36,'[1]Kilos Asignado del Donante'!A:N,14,0),0)),0)</f>
        <v>0</v>
      </c>
      <c r="AW36" s="19">
        <f>IF(A36=0,0,IFERROR(SUMIFS([1]Poblacion!X:X,[1]Poblacion!J:J,'MASTER-2025'!A36),0))</f>
        <v>0</v>
      </c>
      <c r="AX36" s="20">
        <f>IFERROR(VLOOKUP($A36,'[1]OB Atendidas por Donantes'!A:N,16,0),0)</f>
        <v>0</v>
      </c>
      <c r="AY36" s="20">
        <f>ROUNDUP(IF(A36=0,0,IFERROR(VLOOKUP($A36,'[1]Kilos Asignado del Donante'!A:O,16,0),0)),0)</f>
        <v>0</v>
      </c>
      <c r="AZ36" s="20">
        <f>IF(A36=0,0,IFERROR(SUMIFS([1]Poblacion!Y:Y,[1]Poblacion!J:J,'MASTER-2025'!A36),0))</f>
        <v>0</v>
      </c>
      <c r="BA36" s="21">
        <f t="shared" si="15"/>
        <v>0</v>
      </c>
      <c r="BB36" s="21">
        <f t="shared" si="23"/>
        <v>0</v>
      </c>
      <c r="BC36" s="21">
        <f t="shared" si="24"/>
        <v>0</v>
      </c>
      <c r="BD36" s="21">
        <f t="shared" si="26"/>
        <v>0</v>
      </c>
      <c r="BE36" s="22" t="e">
        <f>IF(A36=0,0,SUMIFS([1]Poblacion!C:C,[1]Poblacion!A:A,'MASTER-2025'!A36))</f>
        <v>#VALUE!</v>
      </c>
      <c r="BF36" s="22" t="e">
        <f>IF(A36=0,0,SUMIFS([1]Poblacion!D:D,[1]Poblacion!A:A,'MASTER-2025'!A36))</f>
        <v>#VALUE!</v>
      </c>
      <c r="BG36" s="22" t="e">
        <f>IF(A36=0,0,SUMIFS([1]Poblacion!E:E,[1]Poblacion!A:A,'MASTER-2025'!A36))</f>
        <v>#VALUE!</v>
      </c>
      <c r="BH36" s="22" t="e">
        <f>IF(A36=0,0,SUMIFS([1]Poblacion!F:F,[1]Poblacion!A:A,'MASTER-2025'!A36))</f>
        <v>#VALUE!</v>
      </c>
      <c r="BI36" s="22" t="e">
        <f t="shared" si="18"/>
        <v>#VALUE!</v>
      </c>
      <c r="BJ36" s="23" t="e">
        <f t="shared" si="7"/>
        <v>#VALUE!</v>
      </c>
      <c r="BK36" s="22" t="e">
        <f>IF(A36=0,0,SUMIFS([1]Poblacion!G:G,[1]Poblacion!A:A,'MASTER-2025'!A36))</f>
        <v>#VALUE!</v>
      </c>
      <c r="BL36" s="24" cm="1">
        <f t="array" ref="BL36:BW36">IFERROR(VLOOKUP(A36,'[1]Acum-OB-kg-pob-25'!A:AQ,{3,4,5,6,7,8,9,10,11,12,13,14},0),0)</f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BX36" s="24">
        <f t="shared" si="8"/>
        <v>0</v>
      </c>
      <c r="BY36" s="25" cm="1">
        <f t="array" ref="BY36:CJ36">IFERROR(VLOOKUP(A36,'[1]Acum-OB-kg-pob-25'!A:AQ,{17,18,19,20,21,22,23,24,25,26,27,28},0),0)</f>
        <v>0</v>
      </c>
      <c r="BZ36" s="25">
        <v>0</v>
      </c>
      <c r="CA36" s="25">
        <v>0</v>
      </c>
      <c r="CB36" s="25">
        <v>0</v>
      </c>
      <c r="CC36" s="25">
        <v>0</v>
      </c>
      <c r="CD36" s="25">
        <v>0</v>
      </c>
      <c r="CE36" s="25">
        <v>0</v>
      </c>
      <c r="CF36" s="25">
        <v>0</v>
      </c>
      <c r="CG36" s="25">
        <v>0</v>
      </c>
      <c r="CH36" s="25">
        <v>0</v>
      </c>
      <c r="CI36" s="25">
        <v>0</v>
      </c>
      <c r="CJ36" s="25">
        <v>0</v>
      </c>
      <c r="CK36" s="25">
        <f t="shared" si="9"/>
        <v>0</v>
      </c>
      <c r="CL36" s="26" cm="1">
        <f t="array" ref="CL36:CW36">IFERROR(VLOOKUP(A36,'[1]Acum-OB-kg-pob-25'!A:AQ,{31,32,33,34,35,36,37,38,39,40,41,42},0),0)</f>
        <v>0</v>
      </c>
      <c r="CM36" s="26">
        <v>0</v>
      </c>
      <c r="CN36" s="26">
        <v>0</v>
      </c>
      <c r="CO36" s="26">
        <v>0</v>
      </c>
      <c r="CP36" s="26">
        <v>0</v>
      </c>
      <c r="CQ36" s="26">
        <v>0</v>
      </c>
      <c r="CR36" s="26">
        <v>0</v>
      </c>
      <c r="CS36" s="26">
        <v>0</v>
      </c>
      <c r="CT36" s="26">
        <v>0</v>
      </c>
      <c r="CU36" s="26">
        <v>0</v>
      </c>
      <c r="CV36" s="26">
        <v>0</v>
      </c>
      <c r="CW36" s="26">
        <v>0</v>
      </c>
      <c r="CX36" s="26">
        <f t="shared" si="10"/>
        <v>0</v>
      </c>
      <c r="CY36" s="14" t="str">
        <f>IF(A36=0,0,IFERROR(VLOOKUP(A36,'[1]Info Donantes'!C:F,2,0),"Sin Contacto"))</f>
        <v>Karina Hernandez</v>
      </c>
      <c r="CZ36" s="14" t="str">
        <f>IF(A36=0,0,IFERROR(VLOOKUP(A36,'[1]Info Donantes'!C:F,3,0),"Sin Correo"))</f>
        <v>karina.hernandezl@kof.com.mx</v>
      </c>
      <c r="DA36" s="14" t="str">
        <f>IF(A36=0,0,IFERROR(VLOOKUP(A36,'[1]Info Donantes'!C:F,4,0),"Sin Telefono"))</f>
        <v>274-9000 EXT. 5270</v>
      </c>
      <c r="DB36" s="14" t="str">
        <f>IF(A36=0,0,"Reporte de Trazabiidad"&amp;" - "&amp;'[1]Resumen Donantes'!$C$2&amp;" - "&amp;A36&amp;"")</f>
        <v>Reporte de Trazabiidad -  - VENTAS Y MERCADEO, S.A</v>
      </c>
    </row>
    <row r="37" spans="1:106" x14ac:dyDescent="0.55000000000000004">
      <c r="A37" s="14" t="s">
        <v>141</v>
      </c>
      <c r="B37" s="15">
        <f>INT(IFERROR(VLOOKUP(A37,'[1]Resumen Donantes'!C:F,3,0),0))</f>
        <v>13</v>
      </c>
      <c r="C37" s="15">
        <f>INT(ROUND(IFERROR(VLOOKUP(A37,'[1]Resumen Donantes'!C:F,4,0),0),1))</f>
        <v>2464</v>
      </c>
      <c r="D37" s="16">
        <f t="shared" si="19"/>
        <v>2451</v>
      </c>
      <c r="E37" s="17" t="str">
        <f t="shared" si="20"/>
        <v>99.47%</v>
      </c>
      <c r="F37" s="17" t="str">
        <f t="shared" si="21"/>
        <v>0.5%</v>
      </c>
      <c r="G37" s="15">
        <f t="shared" si="25"/>
        <v>7353</v>
      </c>
      <c r="H37" s="18"/>
      <c r="I37" s="18">
        <f>IFERROR(VLOOKUP(A37,'[1]Lot All by Part'!T:Y,6,0),0)</f>
        <v>0</v>
      </c>
      <c r="J37" s="18"/>
      <c r="K37" s="19">
        <f>IFERROR(VLOOKUP($A37,'[1]OB Atendidas por Donantes'!A:N,3,0),0)</f>
        <v>12</v>
      </c>
      <c r="L37" s="19">
        <f>ROUNDUP(IF(A37=0,0,IFERROR(VLOOKUP($A37,'[1]Kilos Asignado del Donante'!A:O,3,0),0)),0)</f>
        <v>161</v>
      </c>
      <c r="M37" s="19">
        <f>IF(A37=0,0,IFERROR(SUMIFS([1]Poblacion!M:M,[1]Poblacion!J:J,'MASTER-2025'!A37),0))</f>
        <v>0</v>
      </c>
      <c r="N37" s="20">
        <f>IFERROR(VLOOKUP($A37,'[1]OB Atendidas por Donantes'!A:N,4,0),0)</f>
        <v>21</v>
      </c>
      <c r="O37" s="20">
        <f>ROUNDUP(IF(A37=0,0,IFERROR(VLOOKUP($A37,'[1]Kilos Asignado del Donante'!A:O,4,0),0)),0)</f>
        <v>173</v>
      </c>
      <c r="P37" s="20">
        <f>IF(A37=0,0,IFERROR(SUMIFS([1]Poblacion!N:N,[1]Poblacion!J:J,'MASTER-2025'!A37),0))</f>
        <v>0</v>
      </c>
      <c r="Q37" s="18">
        <f>IFERROR(VLOOKUP($A37,'[1]OB Atendidas por Donantes'!A:N,2,0),0)</f>
        <v>7</v>
      </c>
      <c r="R37" s="18">
        <f>ROUNDUP(ROUND(IF(A37=0,0,IFERROR(VLOOKUP($A37,'[1]Kilos Asignado del Donante'!A:O,9,0),0)),1),0)</f>
        <v>38</v>
      </c>
      <c r="S37" s="18">
        <f>IF(A37=0,0,IFERROR(SUMIFS([1]Poblacion!S:S,[1]Poblacion!J:J,'MASTER-2025'!A37),0))</f>
        <v>0</v>
      </c>
      <c r="T37" s="19">
        <f>IFERROR(VLOOKUP($A37,'[1]OB Atendidas por Donantes'!A:N,12,0),0)</f>
        <v>4</v>
      </c>
      <c r="U37" s="19">
        <f>ROUNDUP(IF(A37=0,0,IF(A37=0,0,IFERROR(VLOOKUP($A37,'[1]Kilos Asignado del Donante'!A:O,7,0),0))),0)</f>
        <v>14</v>
      </c>
      <c r="V37" s="19">
        <f>IF(A37=0,0,IFERROR(SUMIFS([1]Poblacion!Q:Q,[1]Poblacion!J:J,'MASTER-2025'!A37),0))</f>
        <v>0</v>
      </c>
      <c r="W37" s="20">
        <f>IFERROR(VLOOKUP($A37,'[1]OB Atendidas por Donantes'!A:N,10,0),0)</f>
        <v>10</v>
      </c>
      <c r="X37" s="20">
        <f>ROUNDUP(IF(A37=0,0,IFERROR(VLOOKUP($A37,'[1]Kilos Asignado del Donante'!A:N,5,0),0)),0)</f>
        <v>84</v>
      </c>
      <c r="Y37" s="20">
        <f>IF(A37=0,0,IFERROR(SUMIFS([1]Poblacion!O:O,[1]Poblacion!J:J,'MASTER-2025'!A37),0))</f>
        <v>0</v>
      </c>
      <c r="Z37" s="18">
        <f>IFERROR(VLOOKUP($A37,'[1]OB Atendidas por Donantes'!A:N,6,0),0)</f>
        <v>1</v>
      </c>
      <c r="AA37" s="18">
        <f>ROUNDUP(IF(A37=0,0,IFERROR(VLOOKUP($A37,'[1]Kilos Asignado del Donante'!A:N,11,0),0)),0)</f>
        <v>40</v>
      </c>
      <c r="AB37" s="18">
        <f>IF(A37=0,0,IFERROR(SUMIFS([1]Poblacion!U:U,[1]Poblacion!J:J,'MASTER-2025'!A37),0))</f>
        <v>0</v>
      </c>
      <c r="AC37" s="19">
        <f>IFERROR(VLOOKUP($A37,'[1]OB Atendidas por Donantes'!A:N,7,0),0)</f>
        <v>1</v>
      </c>
      <c r="AD37" s="19">
        <f>ROUNDUP(IF(A37=0,0,IFERROR(VLOOKUP($A37,'[1]Kilos Asignado del Donante'!A:N,8,0),0)),0)</f>
        <v>29</v>
      </c>
      <c r="AE37" s="19">
        <f>IF(A37=0,0,IFERROR(SUMIFS([1]Poblacion!R:R,[1]Poblacion!J:J,'MASTER-2025'!A37),0))</f>
        <v>0</v>
      </c>
      <c r="AF37" s="20">
        <f>IFERROR(VLOOKUP($A37,'[1]OB Atendidas por Donantes'!A:N,8,0),0)</f>
        <v>2</v>
      </c>
      <c r="AG37" s="20">
        <f>ROUNDUP(IF(A37=0,0,IFERROR(VLOOKUP($A37,'[1]Kilos Asignado del Donante'!A:N,6,0),0)),0)</f>
        <v>14</v>
      </c>
      <c r="AH37" s="20">
        <f>IF(A37=0,0,IFERROR(SUMIFS([1]Poblacion!P:P,[1]Poblacion!J:J,'MASTER-2025'!A37),0))</f>
        <v>0</v>
      </c>
      <c r="AI37" s="18">
        <f>IFERROR(VLOOKUP($A37,'[1]OB Atendidas por Donantes'!A:N,9,0),0)</f>
        <v>2</v>
      </c>
      <c r="AJ37" s="18">
        <f>ROUNDUP(IF(A37=0,0,IFERROR(VLOOKUP($A37,'[1]Kilos Asignado del Donante'!A:N,12,0),0)),0)</f>
        <v>14</v>
      </c>
      <c r="AK37" s="18">
        <f>IF(A37=0,0,IFERROR(SUMIFS([1]Poblacion!V:V,[1]Poblacion!J:J,'MASTER-2025'!A37),0))</f>
        <v>0</v>
      </c>
      <c r="AL37" s="19">
        <f>IFERROR(VLOOKUP($A37,'[1]OB Atendidas por Donantes'!A:N,16,0),0)</f>
        <v>0</v>
      </c>
      <c r="AM37" s="19">
        <f>ROUNDUP(IF(A37=0,0,IFERROR(VLOOKUP($A37,'[1]Kilos Asignado del Donante'!A:O,16,0),0)),0)</f>
        <v>0</v>
      </c>
      <c r="AN37" s="19">
        <f>IF(A37=0,0,IFERROR(SUMIFS([1]Poblacion!Z:Z,[1]Poblacion!J:J,'MASTER-2025'!A37),0))</f>
        <v>0</v>
      </c>
      <c r="AO37" s="20">
        <f>IFERROR(VLOOKUP($A37,'[1]OB Atendidas por Donantes'!A:N,11,0),0)</f>
        <v>1</v>
      </c>
      <c r="AP37" s="20">
        <f>ROUNDUP(IF(A37=0,0,IFERROR(VLOOKUP($A37,'[1]Kilos Asignado del Donante'!A:N,13,0),0)),0)</f>
        <v>6</v>
      </c>
      <c r="AQ37" s="20">
        <f>IF(A37=0,0,IFERROR(SUMIFS([1]Poblacion!W:W,[1]Poblacion!J:J,'MASTER-2025'!A37),0))</f>
        <v>0</v>
      </c>
      <c r="AR37" s="18">
        <f>IFERROR(VLOOKUP($A37,'[1]OB Atendidas por Donantes'!A:N,5,0),0)</f>
        <v>5</v>
      </c>
      <c r="AS37" s="18">
        <f>ROUNDUP(IF(A37=0,0,IFERROR(VLOOKUP($A37,'[1]Kilos Asignado del Donante'!A:N,10,0),0)),0)</f>
        <v>34</v>
      </c>
      <c r="AT37" s="18">
        <f>IF(A37=0,0,IFERROR(SUMIFS([1]Poblacion!T:T,[1]Poblacion!J:J,'MASTER-2025'!A37),0))</f>
        <v>0</v>
      </c>
      <c r="AU37" s="19">
        <f>IFERROR(VLOOKUP($A37,'[1]OB Atendidas por Donantes'!A:N,13,0),0)</f>
        <v>0</v>
      </c>
      <c r="AV37" s="19">
        <f>ROUNDUP(IF(A37=0,0,IFERROR(VLOOKUP($A37,'[1]Kilos Asignado del Donante'!A:N,14,0),0)),0)</f>
        <v>0</v>
      </c>
      <c r="AW37" s="19">
        <f>IF(A37=0,0,IFERROR(SUMIFS([1]Poblacion!X:X,[1]Poblacion!J:J,'MASTER-2025'!A37),0))</f>
        <v>0</v>
      </c>
      <c r="AX37" s="20">
        <f>IFERROR(VLOOKUP($A37,'[1]OB Atendidas por Donantes'!A:N,16,0),0)</f>
        <v>0</v>
      </c>
      <c r="AY37" s="20">
        <f>ROUNDUP(IF(A37=0,0,IFERROR(VLOOKUP($A37,'[1]Kilos Asignado del Donante'!A:O,16,0),0)),0)</f>
        <v>0</v>
      </c>
      <c r="AZ37" s="20">
        <f>IF(A37=0,0,IFERROR(SUMIFS([1]Poblacion!Y:Y,[1]Poblacion!J:J,'MASTER-2025'!A37),0))</f>
        <v>0</v>
      </c>
      <c r="BA37" s="21">
        <f t="shared" si="15"/>
        <v>66</v>
      </c>
      <c r="BB37" s="21">
        <f t="shared" si="23"/>
        <v>607</v>
      </c>
      <c r="BC37" s="21">
        <f t="shared" si="24"/>
        <v>386</v>
      </c>
      <c r="BD37" s="21">
        <f t="shared" si="26"/>
        <v>0</v>
      </c>
      <c r="BE37" s="22" t="e">
        <f>IF(A37=0,0,SUMIFS([1]Poblacion!C:C,[1]Poblacion!A:A,'MASTER-2025'!A37))</f>
        <v>#VALUE!</v>
      </c>
      <c r="BF37" s="22" t="e">
        <f>IF(A37=0,0,SUMIFS([1]Poblacion!D:D,[1]Poblacion!A:A,'MASTER-2025'!A37))</f>
        <v>#VALUE!</v>
      </c>
      <c r="BG37" s="22" t="e">
        <f>IF(A37=0,0,SUMIFS([1]Poblacion!E:E,[1]Poblacion!A:A,'MASTER-2025'!A37))</f>
        <v>#VALUE!</v>
      </c>
      <c r="BH37" s="22" t="e">
        <f>IF(A37=0,0,SUMIFS([1]Poblacion!F:F,[1]Poblacion!A:A,'MASTER-2025'!A37))</f>
        <v>#VALUE!</v>
      </c>
      <c r="BI37" s="22" t="e">
        <f t="shared" si="18"/>
        <v>#VALUE!</v>
      </c>
      <c r="BJ37" s="23" t="e">
        <f t="shared" si="7"/>
        <v>#VALUE!</v>
      </c>
      <c r="BK37" s="22" t="e">
        <f>IF(A37=0,0,SUMIFS([1]Poblacion!G:G,[1]Poblacion!A:A,'MASTER-2025'!A37))</f>
        <v>#VALUE!</v>
      </c>
      <c r="BL37" s="24" cm="1">
        <f t="array" ref="BL37:BW37">IFERROR(VLOOKUP(A37,'[1]Acum-OB-kg-pob-25'!A:AQ,{3,4,5,6,7,8,9,10,11,12,13,14},0),0)</f>
        <v>92</v>
      </c>
      <c r="BM37" s="24">
        <v>88</v>
      </c>
      <c r="BN37" s="24">
        <v>66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f t="shared" si="8"/>
        <v>246</v>
      </c>
      <c r="BY37" s="25" cm="1">
        <f t="array" ref="BY37:CJ37">IFERROR(VLOOKUP(A37,'[1]Acum-OB-kg-pob-25'!A:AQ,{17,18,19,20,21,22,23,24,25,26,27,28},0),0)</f>
        <v>4741</v>
      </c>
      <c r="BZ37" s="25">
        <v>1030</v>
      </c>
      <c r="CA37" s="25">
        <v>2464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f t="shared" si="9"/>
        <v>8235</v>
      </c>
      <c r="CL37" s="26" cm="1">
        <f t="array" ref="CL37:CW37">IFERROR(VLOOKUP(A37,'[1]Acum-OB-kg-pob-25'!A:AQ,{31,32,33,34,35,36,37,38,39,40,41,42},0),0)</f>
        <v>24800</v>
      </c>
      <c r="CM37" s="26">
        <v>24370</v>
      </c>
      <c r="CN37" s="26">
        <v>16281</v>
      </c>
      <c r="CO37" s="26">
        <v>0</v>
      </c>
      <c r="CP37" s="26">
        <v>0</v>
      </c>
      <c r="CQ37" s="26">
        <v>0</v>
      </c>
      <c r="CR37" s="26">
        <v>0</v>
      </c>
      <c r="CS37" s="26">
        <v>0</v>
      </c>
      <c r="CT37" s="26">
        <v>0</v>
      </c>
      <c r="CU37" s="26">
        <v>0</v>
      </c>
      <c r="CV37" s="26">
        <v>0</v>
      </c>
      <c r="CW37" s="26">
        <v>0</v>
      </c>
      <c r="CX37" s="26">
        <f t="shared" si="10"/>
        <v>65451</v>
      </c>
      <c r="CY37" s="14" t="str">
        <f>IF(A37=0,0,IFERROR(VLOOKUP(A37,'[1]Info Donantes'!C:F,2,0),"Sin Contacto"))</f>
        <v>Ramon Aguilar</v>
      </c>
      <c r="CZ37" s="14" t="str">
        <f>IF(A37=0,0,IFERROR(VLOOKUP(A37,'[1]Info Donantes'!C:F,3,0),"Sin Correo"))</f>
        <v>ramon_a_aguilar@colpal.com</v>
      </c>
      <c r="DA37" s="14" t="str">
        <f>IF(A37=0,0,IFERROR(VLOOKUP(A37,'[1]Info Donantes'!C:F,4,0),"Sin Telefono"))</f>
        <v>6678-5925</v>
      </c>
      <c r="DB37" s="14" t="str">
        <f>IF(A37=0,0,"Reporte de Trazabiidad"&amp;" - "&amp;'[1]Resumen Donantes'!$C$2&amp;" - "&amp;A37&amp;"")</f>
        <v>Reporte de Trazabiidad -  - Colgate Palmolive (CENTRAL AMERICA) INC</v>
      </c>
    </row>
    <row r="38" spans="1:106" x14ac:dyDescent="0.55000000000000004">
      <c r="A38" s="14" t="s">
        <v>142</v>
      </c>
      <c r="B38" s="15">
        <f>INT(IFERROR(VLOOKUP(A38,'[1]Resumen Donantes'!C:F,3,0),0))</f>
        <v>6</v>
      </c>
      <c r="C38" s="15">
        <f>INT(ROUND(IFERROR(VLOOKUP(A38,'[1]Resumen Donantes'!C:F,4,0),0),1))</f>
        <v>3940</v>
      </c>
      <c r="D38" s="16">
        <f t="shared" si="19"/>
        <v>3934</v>
      </c>
      <c r="E38" s="17" t="str">
        <f t="shared" si="20"/>
        <v>99.85%</v>
      </c>
      <c r="F38" s="17" t="str">
        <f t="shared" si="21"/>
        <v>0.2%</v>
      </c>
      <c r="G38" s="15">
        <f t="shared" si="25"/>
        <v>11802</v>
      </c>
      <c r="H38" s="18"/>
      <c r="I38" s="18">
        <f>IFERROR(VLOOKUP(A38,'[1]Lot All by Part'!T:Y,6,0),0)</f>
        <v>0</v>
      </c>
      <c r="J38" s="18"/>
      <c r="K38" s="19">
        <f>IFERROR(VLOOKUP($A38,'[1]OB Atendidas por Donantes'!A:N,3,0),0)</f>
        <v>9</v>
      </c>
      <c r="L38" s="19">
        <f>ROUNDUP(IF(A38=0,0,IFERROR(VLOOKUP($A38,'[1]Kilos Asignado del Donante'!A:O,3,0),0)),0)</f>
        <v>632</v>
      </c>
      <c r="M38" s="19">
        <f>IF(A38=0,0,IFERROR(SUMIFS([1]Poblacion!M:M,[1]Poblacion!J:J,'MASTER-2025'!A38),0))</f>
        <v>0</v>
      </c>
      <c r="N38" s="20">
        <f>IFERROR(VLOOKUP($A38,'[1]OB Atendidas por Donantes'!A:N,4,0),0)</f>
        <v>18</v>
      </c>
      <c r="O38" s="20">
        <f>ROUNDUP(IF(A38=0,0,IFERROR(VLOOKUP($A38,'[1]Kilos Asignado del Donante'!A:O,4,0),0)),0)</f>
        <v>1292</v>
      </c>
      <c r="P38" s="20">
        <f>IF(A38=0,0,IFERROR(SUMIFS([1]Poblacion!N:N,[1]Poblacion!J:J,'MASTER-2025'!A38),0))</f>
        <v>0</v>
      </c>
      <c r="Q38" s="18">
        <f>IFERROR(VLOOKUP($A38,'[1]OB Atendidas por Donantes'!A:N,2,0),0)</f>
        <v>4</v>
      </c>
      <c r="R38" s="18">
        <f>ROUNDUP(ROUND(IF(A38=0,0,IFERROR(VLOOKUP($A38,'[1]Kilos Asignado del Donante'!A:O,9,0),0)),1),0)</f>
        <v>240</v>
      </c>
      <c r="S38" s="18">
        <f>IF(A38=0,0,IFERROR(SUMIFS([1]Poblacion!S:S,[1]Poblacion!J:J,'MASTER-2025'!A38),0))</f>
        <v>0</v>
      </c>
      <c r="T38" s="19">
        <f>IFERROR(VLOOKUP($A38,'[1]OB Atendidas por Donantes'!A:N,12,0),0)</f>
        <v>0</v>
      </c>
      <c r="U38" s="19">
        <f>ROUNDUP(IF(A38=0,0,IF(A38=0,0,IFERROR(VLOOKUP($A38,'[1]Kilos Asignado del Donante'!A:O,7,0),0))),0)</f>
        <v>0</v>
      </c>
      <c r="V38" s="19">
        <f>IF(A38=0,0,IFERROR(SUMIFS([1]Poblacion!Q:Q,[1]Poblacion!J:J,'MASTER-2025'!A38),0))</f>
        <v>0</v>
      </c>
      <c r="W38" s="20">
        <f>IFERROR(VLOOKUP($A38,'[1]OB Atendidas por Donantes'!A:N,10,0),0)</f>
        <v>6</v>
      </c>
      <c r="X38" s="20">
        <f>ROUNDUP(IF(A38=0,0,IFERROR(VLOOKUP($A38,'[1]Kilos Asignado del Donante'!A:N,5,0),0)),0)</f>
        <v>380</v>
      </c>
      <c r="Y38" s="20">
        <f>IF(A38=0,0,IFERROR(SUMIFS([1]Poblacion!O:O,[1]Poblacion!J:J,'MASTER-2025'!A38),0))</f>
        <v>0</v>
      </c>
      <c r="Z38" s="18">
        <f>IFERROR(VLOOKUP($A38,'[1]OB Atendidas por Donantes'!A:N,6,0),0)</f>
        <v>0</v>
      </c>
      <c r="AA38" s="18">
        <f>ROUNDUP(IF(A38=0,0,IFERROR(VLOOKUP($A38,'[1]Kilos Asignado del Donante'!A:N,11,0),0)),0)</f>
        <v>0</v>
      </c>
      <c r="AB38" s="18">
        <f>IF(A38=0,0,IFERROR(SUMIFS([1]Poblacion!U:U,[1]Poblacion!J:J,'MASTER-2025'!A38),0))</f>
        <v>0</v>
      </c>
      <c r="AC38" s="19">
        <f>IFERROR(VLOOKUP($A38,'[1]OB Atendidas por Donantes'!A:N,7,0),0)</f>
        <v>3</v>
      </c>
      <c r="AD38" s="19">
        <f>ROUNDUP(IF(A38=0,0,IFERROR(VLOOKUP($A38,'[1]Kilos Asignado del Donante'!A:N,8,0),0)),0)</f>
        <v>520</v>
      </c>
      <c r="AE38" s="19">
        <f>IF(A38=0,0,IFERROR(SUMIFS([1]Poblacion!R:R,[1]Poblacion!J:J,'MASTER-2025'!A38),0))</f>
        <v>0</v>
      </c>
      <c r="AF38" s="20">
        <f>IFERROR(VLOOKUP($A38,'[1]OB Atendidas por Donantes'!A:N,8,0),0)</f>
        <v>0</v>
      </c>
      <c r="AG38" s="20">
        <f>ROUNDUP(IF(A38=0,0,IFERROR(VLOOKUP($A38,'[1]Kilos Asignado del Donante'!A:N,6,0),0)),0)</f>
        <v>0</v>
      </c>
      <c r="AH38" s="20">
        <f>IF(A38=0,0,IFERROR(SUMIFS([1]Poblacion!P:P,[1]Poblacion!J:J,'MASTER-2025'!A38),0))</f>
        <v>0</v>
      </c>
      <c r="AI38" s="18">
        <f>IFERROR(VLOOKUP($A38,'[1]OB Atendidas por Donantes'!A:N,9,0),0)</f>
        <v>0</v>
      </c>
      <c r="AJ38" s="18">
        <f>ROUNDUP(IF(A38=0,0,IFERROR(VLOOKUP($A38,'[1]Kilos Asignado del Donante'!A:N,12,0),0)),0)</f>
        <v>0</v>
      </c>
      <c r="AK38" s="18">
        <f>IF(A38=0,0,IFERROR(SUMIFS([1]Poblacion!V:V,[1]Poblacion!J:J,'MASTER-2025'!A38),0))</f>
        <v>0</v>
      </c>
      <c r="AL38" s="19">
        <f>IFERROR(VLOOKUP($A38,'[1]OB Atendidas por Donantes'!A:N,16,0),0)</f>
        <v>0</v>
      </c>
      <c r="AM38" s="19">
        <f>ROUNDUP(IF(A38=0,0,IFERROR(VLOOKUP($A38,'[1]Kilos Asignado del Donante'!A:O,16,0),0)),0)</f>
        <v>0</v>
      </c>
      <c r="AN38" s="19">
        <f>IF(A38=0,0,IFERROR(SUMIFS([1]Poblacion!Z:Z,[1]Poblacion!J:J,'MASTER-2025'!A38),0))</f>
        <v>0</v>
      </c>
      <c r="AO38" s="20">
        <f>IFERROR(VLOOKUP($A38,'[1]OB Atendidas por Donantes'!A:N,11,0),0)</f>
        <v>0</v>
      </c>
      <c r="AP38" s="20">
        <f>ROUNDUP(IF(A38=0,0,IFERROR(VLOOKUP($A38,'[1]Kilos Asignado del Donante'!A:N,13,0),0)),0)</f>
        <v>0</v>
      </c>
      <c r="AQ38" s="20">
        <f>IF(A38=0,0,IFERROR(SUMIFS([1]Poblacion!W:W,[1]Poblacion!J:J,'MASTER-2025'!A38),0))</f>
        <v>0</v>
      </c>
      <c r="AR38" s="18">
        <f>IFERROR(VLOOKUP($A38,'[1]OB Atendidas por Donantes'!A:N,5,0),0)</f>
        <v>1</v>
      </c>
      <c r="AS38" s="18">
        <f>ROUNDUP(IF(A38=0,0,IFERROR(VLOOKUP($A38,'[1]Kilos Asignado del Donante'!A:N,10,0),0)),0)</f>
        <v>40</v>
      </c>
      <c r="AT38" s="18">
        <f>IF(A38=0,0,IFERROR(SUMIFS([1]Poblacion!T:T,[1]Poblacion!J:J,'MASTER-2025'!A38),0))</f>
        <v>0</v>
      </c>
      <c r="AU38" s="19">
        <f>IFERROR(VLOOKUP($A38,'[1]OB Atendidas por Donantes'!A:N,13,0),0)</f>
        <v>0</v>
      </c>
      <c r="AV38" s="19">
        <f>ROUNDUP(IF(A38=0,0,IFERROR(VLOOKUP($A38,'[1]Kilos Asignado del Donante'!A:N,14,0),0)),0)</f>
        <v>0</v>
      </c>
      <c r="AW38" s="19">
        <f>IF(A38=0,0,IFERROR(SUMIFS([1]Poblacion!X:X,[1]Poblacion!J:J,'MASTER-2025'!A38),0))</f>
        <v>0</v>
      </c>
      <c r="AX38" s="20">
        <f>IFERROR(VLOOKUP($A38,'[1]OB Atendidas por Donantes'!A:N,16,0),0)</f>
        <v>0</v>
      </c>
      <c r="AY38" s="20">
        <f>ROUNDUP(IF(A38=0,0,IFERROR(VLOOKUP($A38,'[1]Kilos Asignado del Donante'!A:O,16,0),0)),0)</f>
        <v>0</v>
      </c>
      <c r="AZ38" s="20">
        <f>IF(A38=0,0,IFERROR(SUMIFS([1]Poblacion!Y:Y,[1]Poblacion!J:J,'MASTER-2025'!A38),0))</f>
        <v>0</v>
      </c>
      <c r="BA38" s="21">
        <f t="shared" si="15"/>
        <v>41</v>
      </c>
      <c r="BB38" s="21">
        <f t="shared" si="23"/>
        <v>3104</v>
      </c>
      <c r="BC38" s="21">
        <f t="shared" si="24"/>
        <v>2164</v>
      </c>
      <c r="BD38" s="21">
        <f t="shared" si="26"/>
        <v>0</v>
      </c>
      <c r="BE38" s="22" t="e">
        <f>IF(A38=0,0,SUMIFS([1]Poblacion!C:C,[1]Poblacion!A:A,'MASTER-2025'!A38))</f>
        <v>#VALUE!</v>
      </c>
      <c r="BF38" s="22" t="e">
        <f>IF(A38=0,0,SUMIFS([1]Poblacion!D:D,[1]Poblacion!A:A,'MASTER-2025'!A38))</f>
        <v>#VALUE!</v>
      </c>
      <c r="BG38" s="22" t="e">
        <f>IF(A38=0,0,SUMIFS([1]Poblacion!E:E,[1]Poblacion!A:A,'MASTER-2025'!A38))</f>
        <v>#VALUE!</v>
      </c>
      <c r="BH38" s="22" t="e">
        <f>IF(A38=0,0,SUMIFS([1]Poblacion!F:F,[1]Poblacion!A:A,'MASTER-2025'!A38))</f>
        <v>#VALUE!</v>
      </c>
      <c r="BI38" s="22" t="e">
        <f t="shared" si="18"/>
        <v>#VALUE!</v>
      </c>
      <c r="BJ38" s="23" t="e">
        <f t="shared" si="7"/>
        <v>#VALUE!</v>
      </c>
      <c r="BK38" s="22" t="e">
        <f>IF(A38=0,0,SUMIFS([1]Poblacion!G:G,[1]Poblacion!A:A,'MASTER-2025'!A38))</f>
        <v>#VALUE!</v>
      </c>
      <c r="BL38" s="24" cm="1">
        <f t="array" ref="BL38:BW38">IFERROR(VLOOKUP(A38,'[1]Acum-OB-kg-pob-25'!A:AQ,{3,4,5,6,7,8,9,10,11,12,13,14},0),0)</f>
        <v>7</v>
      </c>
      <c r="BM38" s="24">
        <v>7</v>
      </c>
      <c r="BN38" s="24">
        <v>41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f t="shared" si="8"/>
        <v>55</v>
      </c>
      <c r="BY38" s="25" cm="1">
        <f t="array" ref="BY38:CJ38">IFERROR(VLOOKUP(A38,'[1]Acum-OB-kg-pob-25'!A:AQ,{17,18,19,20,21,22,23,24,25,26,27,28},0),0)</f>
        <v>560</v>
      </c>
      <c r="BZ38" s="25">
        <v>168</v>
      </c>
      <c r="CA38" s="25">
        <v>3940</v>
      </c>
      <c r="CB38" s="25">
        <v>0</v>
      </c>
      <c r="CC38" s="25">
        <v>0</v>
      </c>
      <c r="CD38" s="25">
        <v>0</v>
      </c>
      <c r="CE38" s="25">
        <v>0</v>
      </c>
      <c r="CF38" s="25">
        <v>0</v>
      </c>
      <c r="CG38" s="25">
        <v>0</v>
      </c>
      <c r="CH38" s="25">
        <v>0</v>
      </c>
      <c r="CI38" s="25">
        <v>0</v>
      </c>
      <c r="CJ38" s="25">
        <v>0</v>
      </c>
      <c r="CK38" s="25">
        <f t="shared" si="9"/>
        <v>4668</v>
      </c>
      <c r="CL38" s="26" cm="1">
        <f t="array" ref="CL38:CW38">IFERROR(VLOOKUP(A38,'[1]Acum-OB-kg-pob-25'!A:AQ,{31,32,33,34,35,36,37,38,39,40,41,42},0),0)</f>
        <v>1207</v>
      </c>
      <c r="CM38" s="26">
        <v>2068</v>
      </c>
      <c r="CN38" s="26">
        <v>10535</v>
      </c>
      <c r="CO38" s="26">
        <v>0</v>
      </c>
      <c r="CP38" s="26">
        <v>0</v>
      </c>
      <c r="CQ38" s="26">
        <v>0</v>
      </c>
      <c r="CR38" s="26">
        <v>0</v>
      </c>
      <c r="CS38" s="26">
        <v>0</v>
      </c>
      <c r="CT38" s="26">
        <v>0</v>
      </c>
      <c r="CU38" s="26">
        <v>0</v>
      </c>
      <c r="CV38" s="26">
        <v>0</v>
      </c>
      <c r="CW38" s="26">
        <v>0</v>
      </c>
      <c r="CX38" s="26">
        <f t="shared" si="10"/>
        <v>13810</v>
      </c>
      <c r="CY38" s="14" t="str">
        <f>IF(A38=0,0,IFERROR(VLOOKUP(A38,'[1]Info Donantes'!C:F,2,0),"Sin Contacto"))</f>
        <v>Sin Contacto</v>
      </c>
      <c r="CZ38" s="14" t="str">
        <f>IF(A38=0,0,IFERROR(VLOOKUP(A38,'[1]Info Donantes'!C:F,3,0),"Sin Correo"))</f>
        <v>Sin Correo</v>
      </c>
      <c r="DA38" s="14" t="str">
        <f>IF(A38=0,0,IFERROR(VLOOKUP(A38,'[1]Info Donantes'!C:F,4,0),"Sin Telefono"))</f>
        <v>Sin Telefono</v>
      </c>
      <c r="DB38" s="14" t="str">
        <f>IF(A38=0,0,"Reporte de Trazabiidad"&amp;" - "&amp;'[1]Resumen Donantes'!$C$2&amp;" - "&amp;A38&amp;"")</f>
        <v>Reporte de Trazabiidad -  - IMPORTADORA FRUTA INTERNACIONAL PANAMÁ, S.A.</v>
      </c>
    </row>
    <row r="39" spans="1:106" x14ac:dyDescent="0.55000000000000004">
      <c r="A39" s="14" t="s">
        <v>143</v>
      </c>
      <c r="B39" s="15">
        <f>INT(IFERROR(VLOOKUP(A39,'[1]Resumen Donantes'!C:F,3,0),0))</f>
        <v>0</v>
      </c>
      <c r="C39" s="15">
        <f>INT(ROUND(IFERROR(VLOOKUP(A39,'[1]Resumen Donantes'!C:F,4,0),0),1))</f>
        <v>0</v>
      </c>
      <c r="D39" s="16">
        <f t="shared" si="19"/>
        <v>0</v>
      </c>
      <c r="E39" s="17" t="str">
        <f t="shared" si="20"/>
        <v>0.00%</v>
      </c>
      <c r="F39" s="17" t="str">
        <f t="shared" si="21"/>
        <v>0.0%</v>
      </c>
      <c r="G39" s="15">
        <f t="shared" si="25"/>
        <v>0</v>
      </c>
      <c r="H39" s="18"/>
      <c r="I39" s="18">
        <f>IFERROR(VLOOKUP(A39,'[1]Lot All by Part'!T:Y,6,0),0)</f>
        <v>0</v>
      </c>
      <c r="J39" s="18"/>
      <c r="K39" s="19">
        <f>IFERROR(VLOOKUP($A39,'[1]OB Atendidas por Donantes'!A:N,3,0),0)</f>
        <v>0</v>
      </c>
      <c r="L39" s="19">
        <f>ROUNDUP(IF(A39=0,0,IFERROR(VLOOKUP($A39,'[1]Kilos Asignado del Donante'!A:O,3,0),0)),0)</f>
        <v>0</v>
      </c>
      <c r="M39" s="19">
        <f>IF(A39=0,0,IFERROR(SUMIFS([1]Poblacion!M:M,[1]Poblacion!J:J,'MASTER-2025'!A39),0))</f>
        <v>0</v>
      </c>
      <c r="N39" s="20">
        <f>IFERROR(VLOOKUP($A39,'[1]OB Atendidas por Donantes'!A:N,4,0),0)</f>
        <v>0</v>
      </c>
      <c r="O39" s="20">
        <f>ROUNDUP(IF(A39=0,0,IFERROR(VLOOKUP($A39,'[1]Kilos Asignado del Donante'!A:O,4,0),0)),0)</f>
        <v>0</v>
      </c>
      <c r="P39" s="20">
        <f>IF(A39=0,0,IFERROR(SUMIFS([1]Poblacion!N:N,[1]Poblacion!J:J,'MASTER-2025'!A39),0))</f>
        <v>0</v>
      </c>
      <c r="Q39" s="18">
        <f>IFERROR(VLOOKUP($A39,'[1]OB Atendidas por Donantes'!A:N,2,0),0)</f>
        <v>0</v>
      </c>
      <c r="R39" s="18">
        <f>ROUNDUP(ROUND(IF(A39=0,0,IFERROR(VLOOKUP($A39,'[1]Kilos Asignado del Donante'!A:O,9,0),0)),1),0)</f>
        <v>0</v>
      </c>
      <c r="S39" s="18">
        <f>IF(A39=0,0,IFERROR(SUMIFS([1]Poblacion!S:S,[1]Poblacion!J:J,'MASTER-2025'!A39),0))</f>
        <v>0</v>
      </c>
      <c r="T39" s="19">
        <f>IFERROR(VLOOKUP($A39,'[1]OB Atendidas por Donantes'!A:N,12,0),0)</f>
        <v>0</v>
      </c>
      <c r="U39" s="19">
        <f>ROUNDUP(IF(A39=0,0,IF(A39=0,0,IFERROR(VLOOKUP($A39,'[1]Kilos Asignado del Donante'!A:O,7,0),0))),0)</f>
        <v>0</v>
      </c>
      <c r="V39" s="19">
        <f>IF(A39=0,0,IFERROR(SUMIFS([1]Poblacion!Q:Q,[1]Poblacion!J:J,'MASTER-2025'!A39),0))</f>
        <v>0</v>
      </c>
      <c r="W39" s="20">
        <f>IFERROR(VLOOKUP($A39,'[1]OB Atendidas por Donantes'!A:N,10,0),0)</f>
        <v>0</v>
      </c>
      <c r="X39" s="20">
        <f>ROUNDUP(IF(A39=0,0,IFERROR(VLOOKUP($A39,'[1]Kilos Asignado del Donante'!A:N,5,0),0)),0)</f>
        <v>0</v>
      </c>
      <c r="Y39" s="20">
        <f>IF(A39=0,0,IFERROR(SUMIFS([1]Poblacion!O:O,[1]Poblacion!J:J,'MASTER-2025'!A39),0))</f>
        <v>0</v>
      </c>
      <c r="Z39" s="18">
        <f>IFERROR(VLOOKUP($A39,'[1]OB Atendidas por Donantes'!A:N,6,0),0)</f>
        <v>0</v>
      </c>
      <c r="AA39" s="18">
        <f>ROUNDUP(IF(A39=0,0,IFERROR(VLOOKUP($A39,'[1]Kilos Asignado del Donante'!A:N,11,0),0)),0)</f>
        <v>0</v>
      </c>
      <c r="AB39" s="18">
        <f>IF(A39=0,0,IFERROR(SUMIFS([1]Poblacion!U:U,[1]Poblacion!J:J,'MASTER-2025'!A39),0))</f>
        <v>0</v>
      </c>
      <c r="AC39" s="19">
        <f>IFERROR(VLOOKUP($A39,'[1]OB Atendidas por Donantes'!A:N,7,0),0)</f>
        <v>0</v>
      </c>
      <c r="AD39" s="19">
        <f>ROUNDUP(IF(A39=0,0,IFERROR(VLOOKUP($A39,'[1]Kilos Asignado del Donante'!A:N,8,0),0)),0)</f>
        <v>0</v>
      </c>
      <c r="AE39" s="19">
        <f>IF(A39=0,0,IFERROR(SUMIFS([1]Poblacion!R:R,[1]Poblacion!J:J,'MASTER-2025'!A39),0))</f>
        <v>0</v>
      </c>
      <c r="AF39" s="20">
        <f>IFERROR(VLOOKUP($A39,'[1]OB Atendidas por Donantes'!A:N,8,0),0)</f>
        <v>0</v>
      </c>
      <c r="AG39" s="20">
        <f>ROUNDUP(IF(A39=0,0,IFERROR(VLOOKUP($A39,'[1]Kilos Asignado del Donante'!A:N,6,0),0)),0)</f>
        <v>0</v>
      </c>
      <c r="AH39" s="20">
        <f>IF(A39=0,0,IFERROR(SUMIFS([1]Poblacion!P:P,[1]Poblacion!J:J,'MASTER-2025'!A39),0))</f>
        <v>0</v>
      </c>
      <c r="AI39" s="18">
        <f>IFERROR(VLOOKUP($A39,'[1]OB Atendidas por Donantes'!A:N,9,0),0)</f>
        <v>0</v>
      </c>
      <c r="AJ39" s="18">
        <f>ROUNDUP(IF(A39=0,0,IFERROR(VLOOKUP($A39,'[1]Kilos Asignado del Donante'!A:N,12,0),0)),0)</f>
        <v>0</v>
      </c>
      <c r="AK39" s="18">
        <f>IF(A39=0,0,IFERROR(SUMIFS([1]Poblacion!V:V,[1]Poblacion!J:J,'MASTER-2025'!A39),0))</f>
        <v>0</v>
      </c>
      <c r="AL39" s="19">
        <f>IFERROR(VLOOKUP($A39,'[1]OB Atendidas por Donantes'!A:N,16,0),0)</f>
        <v>0</v>
      </c>
      <c r="AM39" s="19">
        <f>ROUNDUP(IF(A39=0,0,IFERROR(VLOOKUP($A39,'[1]Kilos Asignado del Donante'!A:O,16,0),0)),0)</f>
        <v>0</v>
      </c>
      <c r="AN39" s="19">
        <f>IF(A39=0,0,IFERROR(SUMIFS([1]Poblacion!Z:Z,[1]Poblacion!J:J,'MASTER-2025'!A39),0))</f>
        <v>0</v>
      </c>
      <c r="AO39" s="20">
        <f>IFERROR(VLOOKUP($A39,'[1]OB Atendidas por Donantes'!A:N,11,0),0)</f>
        <v>0</v>
      </c>
      <c r="AP39" s="20">
        <f>ROUNDUP(IF(A39=0,0,IFERROR(VLOOKUP($A39,'[1]Kilos Asignado del Donante'!A:N,13,0),0)),0)</f>
        <v>0</v>
      </c>
      <c r="AQ39" s="20">
        <f>IF(A39=0,0,IFERROR(SUMIFS([1]Poblacion!W:W,[1]Poblacion!J:J,'MASTER-2025'!A39),0))</f>
        <v>0</v>
      </c>
      <c r="AR39" s="18">
        <f>IFERROR(VLOOKUP($A39,'[1]OB Atendidas por Donantes'!A:N,5,0),0)</f>
        <v>0</v>
      </c>
      <c r="AS39" s="18">
        <f>ROUNDUP(IF(A39=0,0,IFERROR(VLOOKUP($A39,'[1]Kilos Asignado del Donante'!A:N,10,0),0)),0)</f>
        <v>0</v>
      </c>
      <c r="AT39" s="18">
        <f>IF(A39=0,0,IFERROR(SUMIFS([1]Poblacion!T:T,[1]Poblacion!J:J,'MASTER-2025'!A39),0))</f>
        <v>0</v>
      </c>
      <c r="AU39" s="19">
        <f>IFERROR(VLOOKUP($A39,'[1]OB Atendidas por Donantes'!A:N,13,0),0)</f>
        <v>0</v>
      </c>
      <c r="AV39" s="19">
        <f>ROUNDUP(IF(A39=0,0,IFERROR(VLOOKUP($A39,'[1]Kilos Asignado del Donante'!A:N,14,0),0)),0)</f>
        <v>0</v>
      </c>
      <c r="AW39" s="19">
        <f>IF(A39=0,0,IFERROR(SUMIFS([1]Poblacion!X:X,[1]Poblacion!J:J,'MASTER-2025'!A39),0))</f>
        <v>0</v>
      </c>
      <c r="AX39" s="20">
        <f>IFERROR(VLOOKUP($A39,'[1]OB Atendidas por Donantes'!A:N,16,0),0)</f>
        <v>0</v>
      </c>
      <c r="AY39" s="20">
        <f>ROUNDUP(IF(A39=0,0,IFERROR(VLOOKUP($A39,'[1]Kilos Asignado del Donante'!A:O,16,0),0)),0)</f>
        <v>0</v>
      </c>
      <c r="AZ39" s="20">
        <f>IF(A39=0,0,IFERROR(SUMIFS([1]Poblacion!Y:Y,[1]Poblacion!J:J,'MASTER-2025'!A39),0))</f>
        <v>0</v>
      </c>
      <c r="BA39" s="21">
        <f t="shared" si="15"/>
        <v>0</v>
      </c>
      <c r="BB39" s="21">
        <f t="shared" si="23"/>
        <v>0</v>
      </c>
      <c r="BC39" s="21">
        <f t="shared" si="24"/>
        <v>0</v>
      </c>
      <c r="BD39" s="21">
        <f t="shared" si="26"/>
        <v>0</v>
      </c>
      <c r="BE39" s="22" t="e">
        <f>IF(A39=0,0,SUMIFS([1]Poblacion!C:C,[1]Poblacion!A:A,'MASTER-2025'!A39))</f>
        <v>#VALUE!</v>
      </c>
      <c r="BF39" s="22" t="e">
        <f>IF(A39=0,0,SUMIFS([1]Poblacion!D:D,[1]Poblacion!A:A,'MASTER-2025'!A39))</f>
        <v>#VALUE!</v>
      </c>
      <c r="BG39" s="22" t="e">
        <f>IF(A39=0,0,SUMIFS([1]Poblacion!E:E,[1]Poblacion!A:A,'MASTER-2025'!A39))</f>
        <v>#VALUE!</v>
      </c>
      <c r="BH39" s="22" t="e">
        <f>IF(A39=0,0,SUMIFS([1]Poblacion!F:F,[1]Poblacion!A:A,'MASTER-2025'!A39))</f>
        <v>#VALUE!</v>
      </c>
      <c r="BI39" s="22" t="e">
        <f t="shared" si="18"/>
        <v>#VALUE!</v>
      </c>
      <c r="BJ39" s="23" t="e">
        <f t="shared" si="7"/>
        <v>#VALUE!</v>
      </c>
      <c r="BK39" s="22" t="e">
        <f>IF(A39=0,0,SUMIFS([1]Poblacion!G:G,[1]Poblacion!A:A,'MASTER-2025'!A39))</f>
        <v>#VALUE!</v>
      </c>
      <c r="BL39" s="24" cm="1">
        <f t="array" ref="BL39:BW39">IFERROR(VLOOKUP(A39,'[1]Acum-OB-kg-pob-25'!A:AQ,{3,4,5,6,7,8,9,10,11,12,13,14},0),0)</f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4">
        <v>0</v>
      </c>
      <c r="BX39" s="24">
        <f t="shared" si="8"/>
        <v>0</v>
      </c>
      <c r="BY39" s="25" cm="1">
        <f t="array" ref="BY39:CJ39">IFERROR(VLOOKUP(A39,'[1]Acum-OB-kg-pob-25'!A:AQ,{17,18,19,20,21,22,23,24,25,26,27,28},0),0)</f>
        <v>0</v>
      </c>
      <c r="BZ39" s="25">
        <v>0</v>
      </c>
      <c r="CA39" s="25">
        <v>0</v>
      </c>
      <c r="CB39" s="25">
        <v>0</v>
      </c>
      <c r="CC39" s="25">
        <v>0</v>
      </c>
      <c r="CD39" s="25">
        <v>0</v>
      </c>
      <c r="CE39" s="25">
        <v>0</v>
      </c>
      <c r="CF39" s="25">
        <v>0</v>
      </c>
      <c r="CG39" s="25">
        <v>0</v>
      </c>
      <c r="CH39" s="25">
        <v>0</v>
      </c>
      <c r="CI39" s="25">
        <v>0</v>
      </c>
      <c r="CJ39" s="25">
        <v>0</v>
      </c>
      <c r="CK39" s="25">
        <f t="shared" si="9"/>
        <v>0</v>
      </c>
      <c r="CL39" s="26" cm="1">
        <f t="array" ref="CL39:CW39">IFERROR(VLOOKUP(A39,'[1]Acum-OB-kg-pob-25'!A:AQ,{31,32,33,34,35,36,37,38,39,40,41,42},0),0)</f>
        <v>0</v>
      </c>
      <c r="CM39" s="26">
        <v>0</v>
      </c>
      <c r="CN39" s="26">
        <v>0</v>
      </c>
      <c r="CO39" s="26">
        <v>0</v>
      </c>
      <c r="CP39" s="26">
        <v>0</v>
      </c>
      <c r="CQ39" s="26">
        <v>0</v>
      </c>
      <c r="CR39" s="26">
        <v>0</v>
      </c>
      <c r="CS39" s="26">
        <v>0</v>
      </c>
      <c r="CT39" s="26">
        <v>0</v>
      </c>
      <c r="CU39" s="26">
        <v>0</v>
      </c>
      <c r="CV39" s="26">
        <v>0</v>
      </c>
      <c r="CW39" s="26">
        <v>0</v>
      </c>
      <c r="CX39" s="26">
        <f t="shared" si="10"/>
        <v>0</v>
      </c>
      <c r="CY39" s="14" t="str">
        <f>IF(A39=0,0,IFERROR(VLOOKUP(A39,'[1]Info Donantes'!C:F,2,0),"Sin Contacto"))</f>
        <v>Jose Duarte</v>
      </c>
      <c r="CZ39" s="14">
        <f>IF(A39=0,0,IFERROR(VLOOKUP(A39,'[1]Info Donantes'!C:F,3,0),"Sin Correo"))</f>
        <v>0</v>
      </c>
      <c r="DA39" s="14" t="str">
        <f>IF(A39=0,0,IFERROR(VLOOKUP(A39,'[1]Info Donantes'!C:F,4,0),"Sin Telefono"))</f>
        <v>233-9200</v>
      </c>
      <c r="DB39" s="14" t="str">
        <f>IF(A39=0,0,"Reporte de Trazabiidad"&amp;" - "&amp;'[1]Resumen Donantes'!$C$2&amp;" - "&amp;A39&amp;"")</f>
        <v>Reporte de Trazabiidad -  - IMPORTADORA TRANSMUNDI, S.A</v>
      </c>
    </row>
    <row r="40" spans="1:106" x14ac:dyDescent="0.55000000000000004">
      <c r="A40" s="14" t="s">
        <v>144</v>
      </c>
      <c r="B40" s="15">
        <f>INT(IFERROR(VLOOKUP(A40,'[1]Resumen Donantes'!C:F,3,0),0))</f>
        <v>0</v>
      </c>
      <c r="C40" s="15">
        <f>INT(ROUND(IFERROR(VLOOKUP(A40,'[1]Resumen Donantes'!C:F,4,0),0),1))</f>
        <v>0</v>
      </c>
      <c r="D40" s="16">
        <f t="shared" si="19"/>
        <v>0</v>
      </c>
      <c r="E40" s="17" t="str">
        <f t="shared" si="20"/>
        <v>0.00%</v>
      </c>
      <c r="F40" s="17" t="str">
        <f t="shared" si="21"/>
        <v>0.0%</v>
      </c>
      <c r="G40" s="15">
        <f t="shared" si="25"/>
        <v>0</v>
      </c>
      <c r="H40" s="18"/>
      <c r="I40" s="18">
        <f>IFERROR(VLOOKUP(A40,'[1]Lot All by Part'!T:Y,6,0),0)</f>
        <v>0</v>
      </c>
      <c r="J40" s="18"/>
      <c r="K40" s="19">
        <f>IFERROR(VLOOKUP($A40,'[1]OB Atendidas por Donantes'!A:N,3,0),0)</f>
        <v>0</v>
      </c>
      <c r="L40" s="19">
        <f>ROUNDUP(IF(A40=0,0,IFERROR(VLOOKUP($A40,'[1]Kilos Asignado del Donante'!A:O,3,0),0)),0)</f>
        <v>0</v>
      </c>
      <c r="M40" s="19">
        <f>IF(A40=0,0,IFERROR(SUMIFS([1]Poblacion!M:M,[1]Poblacion!J:J,'MASTER-2025'!A40),0))</f>
        <v>0</v>
      </c>
      <c r="N40" s="20">
        <f>IFERROR(VLOOKUP($A40,'[1]OB Atendidas por Donantes'!A:N,4,0),0)</f>
        <v>0</v>
      </c>
      <c r="O40" s="20">
        <f>ROUNDUP(IF(A40=0,0,IFERROR(VLOOKUP($A40,'[1]Kilos Asignado del Donante'!A:O,4,0),0)),0)</f>
        <v>0</v>
      </c>
      <c r="P40" s="20">
        <f>IF(A40=0,0,IFERROR(SUMIFS([1]Poblacion!N:N,[1]Poblacion!J:J,'MASTER-2025'!A40),0))</f>
        <v>0</v>
      </c>
      <c r="Q40" s="18">
        <f>IFERROR(VLOOKUP($A40,'[1]OB Atendidas por Donantes'!A:N,2,0),0)</f>
        <v>0</v>
      </c>
      <c r="R40" s="18">
        <f>ROUNDUP(ROUND(IF(A40=0,0,IFERROR(VLOOKUP($A40,'[1]Kilos Asignado del Donante'!A:O,9,0),0)),1),0)</f>
        <v>0</v>
      </c>
      <c r="S40" s="18">
        <f>IF(A40=0,0,IFERROR(SUMIFS([1]Poblacion!S:S,[1]Poblacion!J:J,'MASTER-2025'!A40),0))</f>
        <v>0</v>
      </c>
      <c r="T40" s="19">
        <f>IFERROR(VLOOKUP($A40,'[1]OB Atendidas por Donantes'!A:N,12,0),0)</f>
        <v>0</v>
      </c>
      <c r="U40" s="19">
        <f>ROUNDUP(IF(A40=0,0,IF(A40=0,0,IFERROR(VLOOKUP($A40,'[1]Kilos Asignado del Donante'!A:O,7,0),0))),0)</f>
        <v>0</v>
      </c>
      <c r="V40" s="19">
        <f>IF(A40=0,0,IFERROR(SUMIFS([1]Poblacion!Q:Q,[1]Poblacion!J:J,'MASTER-2025'!A40),0))</f>
        <v>0</v>
      </c>
      <c r="W40" s="20">
        <f>IFERROR(VLOOKUP($A40,'[1]OB Atendidas por Donantes'!A:N,10,0),0)</f>
        <v>0</v>
      </c>
      <c r="X40" s="20">
        <f>ROUNDUP(IF(A40=0,0,IFERROR(VLOOKUP($A40,'[1]Kilos Asignado del Donante'!A:N,5,0),0)),0)</f>
        <v>0</v>
      </c>
      <c r="Y40" s="20">
        <f>IF(A40=0,0,IFERROR(SUMIFS([1]Poblacion!O:O,[1]Poblacion!J:J,'MASTER-2025'!A40),0))</f>
        <v>0</v>
      </c>
      <c r="Z40" s="18">
        <f>IFERROR(VLOOKUP($A40,'[1]OB Atendidas por Donantes'!A:N,6,0),0)</f>
        <v>0</v>
      </c>
      <c r="AA40" s="18">
        <f>ROUNDUP(IF(A40=0,0,IFERROR(VLOOKUP($A40,'[1]Kilos Asignado del Donante'!A:N,11,0),0)),0)</f>
        <v>0</v>
      </c>
      <c r="AB40" s="18">
        <f>IF(A40=0,0,IFERROR(SUMIFS([1]Poblacion!U:U,[1]Poblacion!J:J,'MASTER-2025'!A40),0))</f>
        <v>0</v>
      </c>
      <c r="AC40" s="19">
        <f>IFERROR(VLOOKUP($A40,'[1]OB Atendidas por Donantes'!A:N,7,0),0)</f>
        <v>0</v>
      </c>
      <c r="AD40" s="19">
        <f>ROUNDUP(IF(A40=0,0,IFERROR(VLOOKUP($A40,'[1]Kilos Asignado del Donante'!A:N,8,0),0)),0)</f>
        <v>0</v>
      </c>
      <c r="AE40" s="19">
        <f>IF(A40=0,0,IFERROR(SUMIFS([1]Poblacion!R:R,[1]Poblacion!J:J,'MASTER-2025'!A40),0))</f>
        <v>0</v>
      </c>
      <c r="AF40" s="20">
        <f>IFERROR(VLOOKUP($A40,'[1]OB Atendidas por Donantes'!A:N,8,0),0)</f>
        <v>0</v>
      </c>
      <c r="AG40" s="20">
        <f>ROUNDUP(IF(A40=0,0,IFERROR(VLOOKUP($A40,'[1]Kilos Asignado del Donante'!A:N,6,0),0)),0)</f>
        <v>0</v>
      </c>
      <c r="AH40" s="20">
        <f>IF(A40=0,0,IFERROR(SUMIFS([1]Poblacion!P:P,[1]Poblacion!J:J,'MASTER-2025'!A40),0))</f>
        <v>0</v>
      </c>
      <c r="AI40" s="18">
        <f>IFERROR(VLOOKUP($A40,'[1]OB Atendidas por Donantes'!A:N,9,0),0)</f>
        <v>0</v>
      </c>
      <c r="AJ40" s="18">
        <f>ROUNDUP(IF(A40=0,0,IFERROR(VLOOKUP($A40,'[1]Kilos Asignado del Donante'!A:N,12,0),0)),0)</f>
        <v>0</v>
      </c>
      <c r="AK40" s="18">
        <f>IF(A40=0,0,IFERROR(SUMIFS([1]Poblacion!V:V,[1]Poblacion!J:J,'MASTER-2025'!A40),0))</f>
        <v>0</v>
      </c>
      <c r="AL40" s="19">
        <f>IFERROR(VLOOKUP($A40,'[1]OB Atendidas por Donantes'!A:N,16,0),0)</f>
        <v>0</v>
      </c>
      <c r="AM40" s="19">
        <f>ROUNDUP(IF(A40=0,0,IFERROR(VLOOKUP($A40,'[1]Kilos Asignado del Donante'!A:O,16,0),0)),0)</f>
        <v>0</v>
      </c>
      <c r="AN40" s="19">
        <f>IF(A40=0,0,IFERROR(SUMIFS([1]Poblacion!Z:Z,[1]Poblacion!J:J,'MASTER-2025'!A40),0))</f>
        <v>0</v>
      </c>
      <c r="AO40" s="20">
        <f>IFERROR(VLOOKUP($A40,'[1]OB Atendidas por Donantes'!A:N,11,0),0)</f>
        <v>0</v>
      </c>
      <c r="AP40" s="20">
        <f>ROUNDUP(IF(A40=0,0,IFERROR(VLOOKUP($A40,'[1]Kilos Asignado del Donante'!A:N,13,0),0)),0)</f>
        <v>0</v>
      </c>
      <c r="AQ40" s="20">
        <f>IF(A40=0,0,IFERROR(SUMIFS([1]Poblacion!W:W,[1]Poblacion!J:J,'MASTER-2025'!A40),0))</f>
        <v>0</v>
      </c>
      <c r="AR40" s="18">
        <f>IFERROR(VLOOKUP($A40,'[1]OB Atendidas por Donantes'!A:N,5,0),0)</f>
        <v>0</v>
      </c>
      <c r="AS40" s="18">
        <f>ROUNDUP(IF(A40=0,0,IFERROR(VLOOKUP($A40,'[1]Kilos Asignado del Donante'!A:N,10,0),0)),0)</f>
        <v>0</v>
      </c>
      <c r="AT40" s="18">
        <f>IF(A40=0,0,IFERROR(SUMIFS([1]Poblacion!T:T,[1]Poblacion!J:J,'MASTER-2025'!A40),0))</f>
        <v>0</v>
      </c>
      <c r="AU40" s="19">
        <f>IFERROR(VLOOKUP($A40,'[1]OB Atendidas por Donantes'!A:N,13,0),0)</f>
        <v>0</v>
      </c>
      <c r="AV40" s="19">
        <f>ROUNDUP(IF(A40=0,0,IFERROR(VLOOKUP($A40,'[1]Kilos Asignado del Donante'!A:N,14,0),0)),0)</f>
        <v>0</v>
      </c>
      <c r="AW40" s="19">
        <f>IF(A40=0,0,IFERROR(SUMIFS([1]Poblacion!X:X,[1]Poblacion!J:J,'MASTER-2025'!A40),0))</f>
        <v>0</v>
      </c>
      <c r="AX40" s="20">
        <f>IFERROR(VLOOKUP($A40,'[1]OB Atendidas por Donantes'!A:N,16,0),0)</f>
        <v>0</v>
      </c>
      <c r="AY40" s="20">
        <f>ROUNDUP(IF(A40=0,0,IFERROR(VLOOKUP($A40,'[1]Kilos Asignado del Donante'!A:O,16,0),0)),0)</f>
        <v>0</v>
      </c>
      <c r="AZ40" s="20">
        <f>IF(A40=0,0,IFERROR(SUMIFS([1]Poblacion!Y:Y,[1]Poblacion!J:J,'MASTER-2025'!A40),0))</f>
        <v>0</v>
      </c>
      <c r="BA40" s="21">
        <f t="shared" si="15"/>
        <v>0</v>
      </c>
      <c r="BB40" s="21">
        <f t="shared" si="23"/>
        <v>0</v>
      </c>
      <c r="BC40" s="21">
        <f t="shared" si="24"/>
        <v>0</v>
      </c>
      <c r="BD40" s="21">
        <f t="shared" si="26"/>
        <v>0</v>
      </c>
      <c r="BE40" s="22" t="e">
        <f>IF(A40=0,0,SUMIFS([1]Poblacion!C:C,[1]Poblacion!A:A,'MASTER-2025'!A40))</f>
        <v>#VALUE!</v>
      </c>
      <c r="BF40" s="22" t="e">
        <f>IF(A40=0,0,SUMIFS([1]Poblacion!D:D,[1]Poblacion!A:A,'MASTER-2025'!A40))</f>
        <v>#VALUE!</v>
      </c>
      <c r="BG40" s="22" t="e">
        <f>IF(A40=0,0,SUMIFS([1]Poblacion!E:E,[1]Poblacion!A:A,'MASTER-2025'!A40))</f>
        <v>#VALUE!</v>
      </c>
      <c r="BH40" s="22" t="e">
        <f>IF(A40=0,0,SUMIFS([1]Poblacion!F:F,[1]Poblacion!A:A,'MASTER-2025'!A40))</f>
        <v>#VALUE!</v>
      </c>
      <c r="BI40" s="22" t="e">
        <f t="shared" si="18"/>
        <v>#VALUE!</v>
      </c>
      <c r="BJ40" s="23" t="e">
        <f t="shared" si="7"/>
        <v>#VALUE!</v>
      </c>
      <c r="BK40" s="22" t="e">
        <f>IF(A40=0,0,SUMIFS([1]Poblacion!G:G,[1]Poblacion!A:A,'MASTER-2025'!A40))</f>
        <v>#VALUE!</v>
      </c>
      <c r="BL40" s="24" cm="1">
        <f t="array" ref="BL40:BW40">IFERROR(VLOOKUP(A40,'[1]Acum-OB-kg-pob-25'!A:AQ,{3,4,5,6,7,8,9,10,11,12,13,14},0),0)</f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BX40" s="24">
        <f t="shared" si="8"/>
        <v>0</v>
      </c>
      <c r="BY40" s="25" cm="1">
        <f t="array" ref="BY40:CJ40">IFERROR(VLOOKUP(A40,'[1]Acum-OB-kg-pob-25'!A:AQ,{17,18,19,20,21,22,23,24,25,26,27,28},0),0)</f>
        <v>0</v>
      </c>
      <c r="BZ40" s="25">
        <v>0</v>
      </c>
      <c r="CA40" s="25">
        <v>0</v>
      </c>
      <c r="CB40" s="25">
        <v>0</v>
      </c>
      <c r="CC40" s="25">
        <v>0</v>
      </c>
      <c r="CD40" s="25">
        <v>0</v>
      </c>
      <c r="CE40" s="25">
        <v>0</v>
      </c>
      <c r="CF40" s="25">
        <v>0</v>
      </c>
      <c r="CG40" s="25">
        <v>0</v>
      </c>
      <c r="CH40" s="25">
        <v>0</v>
      </c>
      <c r="CI40" s="25">
        <v>0</v>
      </c>
      <c r="CJ40" s="25">
        <v>0</v>
      </c>
      <c r="CK40" s="25">
        <f t="shared" si="9"/>
        <v>0</v>
      </c>
      <c r="CL40" s="26" cm="1">
        <f t="array" ref="CL40:CW40">IFERROR(VLOOKUP(A40,'[1]Acum-OB-kg-pob-25'!A:AQ,{31,32,33,34,35,36,37,38,39,40,41,42},0),0)</f>
        <v>0</v>
      </c>
      <c r="CM40" s="26">
        <v>0</v>
      </c>
      <c r="CN40" s="26">
        <v>0</v>
      </c>
      <c r="CO40" s="26">
        <v>0</v>
      </c>
      <c r="CP40" s="26">
        <v>0</v>
      </c>
      <c r="CQ40" s="26">
        <v>0</v>
      </c>
      <c r="CR40" s="26">
        <v>0</v>
      </c>
      <c r="CS40" s="26">
        <v>0</v>
      </c>
      <c r="CT40" s="26">
        <v>0</v>
      </c>
      <c r="CU40" s="26">
        <v>0</v>
      </c>
      <c r="CV40" s="26">
        <v>0</v>
      </c>
      <c r="CW40" s="26">
        <v>0</v>
      </c>
      <c r="CX40" s="26">
        <f t="shared" si="10"/>
        <v>0</v>
      </c>
      <c r="CY40" s="14" t="str">
        <f>IF(A40=0,0,IFERROR(VLOOKUP(A40,'[1]Info Donantes'!C:F,2,0),"Sin Contacto"))</f>
        <v>Sin Contacto</v>
      </c>
      <c r="CZ40" s="14" t="str">
        <f>IF(A40=0,0,IFERROR(VLOOKUP(A40,'[1]Info Donantes'!C:F,3,0),"Sin Correo"))</f>
        <v>Sin Correo</v>
      </c>
      <c r="DA40" s="14" t="str">
        <f>IF(A40=0,0,IFERROR(VLOOKUP(A40,'[1]Info Donantes'!C:F,4,0),"Sin Telefono"))</f>
        <v>Sin Telefono</v>
      </c>
      <c r="DB40" s="14" t="str">
        <f>IF(A40=0,0,"Reporte de Trazabiidad"&amp;" - "&amp;'[1]Resumen Donantes'!$C$2&amp;" - "&amp;A40&amp;"")</f>
        <v>Reporte de Trazabiidad -  - FOREVER OCEANS PANAMÁ, S.A.</v>
      </c>
    </row>
    <row r="41" spans="1:106" x14ac:dyDescent="0.55000000000000004">
      <c r="A41" s="14" t="s">
        <v>145</v>
      </c>
      <c r="B41" s="15">
        <f>INT(IFERROR(VLOOKUP(A41,'[1]Resumen Donantes'!C:F,3,0),0))</f>
        <v>0</v>
      </c>
      <c r="C41" s="15">
        <f>INT(ROUND(IFERROR(VLOOKUP(A41,'[1]Resumen Donantes'!C:F,4,0),0),1))</f>
        <v>0</v>
      </c>
      <c r="D41" s="16">
        <f t="shared" si="19"/>
        <v>0</v>
      </c>
      <c r="E41" s="17" t="str">
        <f t="shared" si="20"/>
        <v>0.00%</v>
      </c>
      <c r="F41" s="17" t="str">
        <f t="shared" si="21"/>
        <v>0.0%</v>
      </c>
      <c r="G41" s="15">
        <f t="shared" si="25"/>
        <v>0</v>
      </c>
      <c r="H41" s="18"/>
      <c r="I41" s="18">
        <f>IFERROR(VLOOKUP(A41,'[1]Lot All by Part'!T:Y,6,0),0)</f>
        <v>0</v>
      </c>
      <c r="J41" s="18"/>
      <c r="K41" s="19">
        <f>IFERROR(VLOOKUP($A41,'[1]OB Atendidas por Donantes'!A:N,3,0),0)</f>
        <v>0</v>
      </c>
      <c r="L41" s="19">
        <f>ROUNDUP(IF(A41=0,0,IFERROR(VLOOKUP($A41,'[1]Kilos Asignado del Donante'!A:O,3,0),0)),0)</f>
        <v>0</v>
      </c>
      <c r="M41" s="19">
        <f>IF(A41=0,0,IFERROR(SUMIFS([1]Poblacion!M:M,[1]Poblacion!J:J,'MASTER-2025'!A41),0))</f>
        <v>0</v>
      </c>
      <c r="N41" s="20">
        <f>IFERROR(VLOOKUP($A41,'[1]OB Atendidas por Donantes'!A:N,4,0),0)</f>
        <v>0</v>
      </c>
      <c r="O41" s="20">
        <f>ROUNDUP(IF(A41=0,0,IFERROR(VLOOKUP($A41,'[1]Kilos Asignado del Donante'!A:O,4,0),0)),0)</f>
        <v>0</v>
      </c>
      <c r="P41" s="20">
        <f>IF(A41=0,0,IFERROR(SUMIFS([1]Poblacion!N:N,[1]Poblacion!J:J,'MASTER-2025'!A41),0))</f>
        <v>0</v>
      </c>
      <c r="Q41" s="18">
        <f>IFERROR(VLOOKUP($A41,'[1]OB Atendidas por Donantes'!A:N,2,0),0)</f>
        <v>0</v>
      </c>
      <c r="R41" s="18">
        <f>ROUNDUP(ROUND(IF(A41=0,0,IFERROR(VLOOKUP($A41,'[1]Kilos Asignado del Donante'!A:O,9,0),0)),1),0)</f>
        <v>0</v>
      </c>
      <c r="S41" s="18">
        <f>IF(A41=0,0,IFERROR(SUMIFS([1]Poblacion!S:S,[1]Poblacion!J:J,'MASTER-2025'!A41),0))</f>
        <v>0</v>
      </c>
      <c r="T41" s="19">
        <f>IFERROR(VLOOKUP($A41,'[1]OB Atendidas por Donantes'!A:N,12,0),0)</f>
        <v>0</v>
      </c>
      <c r="U41" s="19">
        <f>ROUNDUP(IF(A41=0,0,IF(A41=0,0,IFERROR(VLOOKUP($A41,'[1]Kilos Asignado del Donante'!A:O,7,0),0))),0)</f>
        <v>0</v>
      </c>
      <c r="V41" s="19">
        <f>IF(A41=0,0,IFERROR(SUMIFS([1]Poblacion!Q:Q,[1]Poblacion!J:J,'MASTER-2025'!A41),0))</f>
        <v>0</v>
      </c>
      <c r="W41" s="20">
        <f>IFERROR(VLOOKUP($A41,'[1]OB Atendidas por Donantes'!A:N,10,0),0)</f>
        <v>0</v>
      </c>
      <c r="X41" s="20">
        <f>ROUNDUP(IF(A41=0,0,IFERROR(VLOOKUP($A41,'[1]Kilos Asignado del Donante'!A:N,5,0),0)),0)</f>
        <v>0</v>
      </c>
      <c r="Y41" s="20">
        <f>IF(A41=0,0,IFERROR(SUMIFS([1]Poblacion!O:O,[1]Poblacion!J:J,'MASTER-2025'!A41),0))</f>
        <v>0</v>
      </c>
      <c r="Z41" s="18">
        <f>IFERROR(VLOOKUP($A41,'[1]OB Atendidas por Donantes'!A:N,6,0),0)</f>
        <v>0</v>
      </c>
      <c r="AA41" s="18">
        <f>ROUNDUP(IF(A41=0,0,IFERROR(VLOOKUP($A41,'[1]Kilos Asignado del Donante'!A:N,11,0),0)),0)</f>
        <v>0</v>
      </c>
      <c r="AB41" s="18">
        <f>IF(A41=0,0,IFERROR(SUMIFS([1]Poblacion!U:U,[1]Poblacion!J:J,'MASTER-2025'!A41),0))</f>
        <v>0</v>
      </c>
      <c r="AC41" s="19">
        <f>IFERROR(VLOOKUP($A41,'[1]OB Atendidas por Donantes'!A:N,7,0),0)</f>
        <v>0</v>
      </c>
      <c r="AD41" s="19">
        <f>ROUNDUP(IF(A41=0,0,IFERROR(VLOOKUP($A41,'[1]Kilos Asignado del Donante'!A:N,8,0),0)),0)</f>
        <v>0</v>
      </c>
      <c r="AE41" s="19">
        <f>IF(A41=0,0,IFERROR(SUMIFS([1]Poblacion!R:R,[1]Poblacion!J:J,'MASTER-2025'!A41),0))</f>
        <v>0</v>
      </c>
      <c r="AF41" s="20">
        <f>IFERROR(VLOOKUP($A41,'[1]OB Atendidas por Donantes'!A:N,8,0),0)</f>
        <v>0</v>
      </c>
      <c r="AG41" s="20">
        <f>ROUNDUP(IF(A41=0,0,IFERROR(VLOOKUP($A41,'[1]Kilos Asignado del Donante'!A:N,6,0),0)),0)</f>
        <v>0</v>
      </c>
      <c r="AH41" s="20">
        <f>IF(A41=0,0,IFERROR(SUMIFS([1]Poblacion!P:P,[1]Poblacion!J:J,'MASTER-2025'!A41),0))</f>
        <v>0</v>
      </c>
      <c r="AI41" s="18">
        <f>IFERROR(VLOOKUP($A41,'[1]OB Atendidas por Donantes'!A:N,9,0),0)</f>
        <v>0</v>
      </c>
      <c r="AJ41" s="18">
        <f>ROUNDUP(IF(A41=0,0,IFERROR(VLOOKUP($A41,'[1]Kilos Asignado del Donante'!A:N,12,0),0)),0)</f>
        <v>0</v>
      </c>
      <c r="AK41" s="18">
        <f>IF(A41=0,0,IFERROR(SUMIFS([1]Poblacion!V:V,[1]Poblacion!J:J,'MASTER-2025'!A41),0))</f>
        <v>0</v>
      </c>
      <c r="AL41" s="19">
        <f>IFERROR(VLOOKUP($A41,'[1]OB Atendidas por Donantes'!A:N,16,0),0)</f>
        <v>0</v>
      </c>
      <c r="AM41" s="19">
        <f>ROUNDUP(IF(A41=0,0,IFERROR(VLOOKUP($A41,'[1]Kilos Asignado del Donante'!A:O,16,0),0)),0)</f>
        <v>0</v>
      </c>
      <c r="AN41" s="19">
        <f>IF(A41=0,0,IFERROR(SUMIFS([1]Poblacion!Z:Z,[1]Poblacion!J:J,'MASTER-2025'!A41),0))</f>
        <v>0</v>
      </c>
      <c r="AO41" s="20">
        <f>IFERROR(VLOOKUP($A41,'[1]OB Atendidas por Donantes'!A:N,11,0),0)</f>
        <v>0</v>
      </c>
      <c r="AP41" s="20">
        <f>ROUNDUP(IF(A41=0,0,IFERROR(VLOOKUP($A41,'[1]Kilos Asignado del Donante'!A:N,13,0),0)),0)</f>
        <v>0</v>
      </c>
      <c r="AQ41" s="20">
        <f>IF(A41=0,0,IFERROR(SUMIFS([1]Poblacion!W:W,[1]Poblacion!J:J,'MASTER-2025'!A41),0))</f>
        <v>0</v>
      </c>
      <c r="AR41" s="18">
        <f>IFERROR(VLOOKUP($A41,'[1]OB Atendidas por Donantes'!A:N,5,0),0)</f>
        <v>0</v>
      </c>
      <c r="AS41" s="18">
        <f>ROUNDUP(IF(A41=0,0,IFERROR(VLOOKUP($A41,'[1]Kilos Asignado del Donante'!A:N,10,0),0)),0)</f>
        <v>0</v>
      </c>
      <c r="AT41" s="18">
        <f>IF(A41=0,0,IFERROR(SUMIFS([1]Poblacion!T:T,[1]Poblacion!J:J,'MASTER-2025'!A41),0))</f>
        <v>0</v>
      </c>
      <c r="AU41" s="19">
        <f>IFERROR(VLOOKUP($A41,'[1]OB Atendidas por Donantes'!A:N,13,0),0)</f>
        <v>0</v>
      </c>
      <c r="AV41" s="19">
        <f>ROUNDUP(IF(A41=0,0,IFERROR(VLOOKUP($A41,'[1]Kilos Asignado del Donante'!A:N,14,0),0)),0)</f>
        <v>0</v>
      </c>
      <c r="AW41" s="19">
        <f>IF(A41=0,0,IFERROR(SUMIFS([1]Poblacion!X:X,[1]Poblacion!J:J,'MASTER-2025'!A41),0))</f>
        <v>0</v>
      </c>
      <c r="AX41" s="20">
        <f>IFERROR(VLOOKUP($A41,'[1]OB Atendidas por Donantes'!A:N,16,0),0)</f>
        <v>0</v>
      </c>
      <c r="AY41" s="20">
        <f>ROUNDUP(IF(A41=0,0,IFERROR(VLOOKUP($A41,'[1]Kilos Asignado del Donante'!A:O,16,0),0)),0)</f>
        <v>0</v>
      </c>
      <c r="AZ41" s="20">
        <f>IF(A41=0,0,IFERROR(SUMIFS([1]Poblacion!Y:Y,[1]Poblacion!J:J,'MASTER-2025'!A41),0))</f>
        <v>0</v>
      </c>
      <c r="BA41" s="21">
        <f t="shared" si="15"/>
        <v>0</v>
      </c>
      <c r="BB41" s="21">
        <f t="shared" si="23"/>
        <v>0</v>
      </c>
      <c r="BC41" s="21">
        <f t="shared" si="24"/>
        <v>0</v>
      </c>
      <c r="BD41" s="21">
        <f t="shared" si="26"/>
        <v>0</v>
      </c>
      <c r="BE41" s="22" t="e">
        <f>IF(A41=0,0,SUMIFS([1]Poblacion!C:C,[1]Poblacion!A:A,'MASTER-2025'!A41))</f>
        <v>#VALUE!</v>
      </c>
      <c r="BF41" s="22" t="e">
        <f>IF(A41=0,0,SUMIFS([1]Poblacion!D:D,[1]Poblacion!A:A,'MASTER-2025'!A41))</f>
        <v>#VALUE!</v>
      </c>
      <c r="BG41" s="22" t="e">
        <f>IF(A41=0,0,SUMIFS([1]Poblacion!E:E,[1]Poblacion!A:A,'MASTER-2025'!A41))</f>
        <v>#VALUE!</v>
      </c>
      <c r="BH41" s="22" t="e">
        <f>IF(A41=0,0,SUMIFS([1]Poblacion!F:F,[1]Poblacion!A:A,'MASTER-2025'!A41))</f>
        <v>#VALUE!</v>
      </c>
      <c r="BI41" s="22" t="e">
        <f t="shared" si="18"/>
        <v>#VALUE!</v>
      </c>
      <c r="BJ41" s="23" t="e">
        <f t="shared" si="7"/>
        <v>#VALUE!</v>
      </c>
      <c r="BK41" s="22" t="e">
        <f>IF(A41=0,0,SUMIFS([1]Poblacion!G:G,[1]Poblacion!A:A,'MASTER-2025'!A41))</f>
        <v>#VALUE!</v>
      </c>
      <c r="BL41" s="24" cm="1">
        <f t="array" ref="BL41:BW41">IFERROR(VLOOKUP(A41,'[1]Acum-OB-kg-pob-25'!A:AQ,{3,4,5,6,7,8,9,10,11,12,13,14},0),0)</f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BX41" s="24">
        <f t="shared" si="8"/>
        <v>0</v>
      </c>
      <c r="BY41" s="25" cm="1">
        <f t="array" ref="BY41:CJ41">IFERROR(VLOOKUP(A41,'[1]Acum-OB-kg-pob-25'!A:AQ,{17,18,19,20,21,22,23,24,25,26,27,28},0),0)</f>
        <v>0</v>
      </c>
      <c r="BZ41" s="25">
        <v>0</v>
      </c>
      <c r="CA41" s="25">
        <v>0</v>
      </c>
      <c r="CB41" s="25">
        <v>0</v>
      </c>
      <c r="CC41" s="25">
        <v>0</v>
      </c>
      <c r="CD41" s="25">
        <v>0</v>
      </c>
      <c r="CE41" s="25">
        <v>0</v>
      </c>
      <c r="CF41" s="25">
        <v>0</v>
      </c>
      <c r="CG41" s="25">
        <v>0</v>
      </c>
      <c r="CH41" s="25">
        <v>0</v>
      </c>
      <c r="CI41" s="25">
        <v>0</v>
      </c>
      <c r="CJ41" s="25">
        <v>0</v>
      </c>
      <c r="CK41" s="25">
        <f t="shared" si="9"/>
        <v>0</v>
      </c>
      <c r="CL41" s="26" cm="1">
        <f t="array" ref="CL41:CW41">IFERROR(VLOOKUP(A41,'[1]Acum-OB-kg-pob-25'!A:AQ,{31,32,33,34,35,36,37,38,39,40,41,42},0),0)</f>
        <v>0</v>
      </c>
      <c r="CM41" s="26">
        <v>0</v>
      </c>
      <c r="CN41" s="26">
        <v>0</v>
      </c>
      <c r="CO41" s="26">
        <v>0</v>
      </c>
      <c r="CP41" s="26">
        <v>0</v>
      </c>
      <c r="CQ41" s="26">
        <v>0</v>
      </c>
      <c r="CR41" s="26">
        <v>0</v>
      </c>
      <c r="CS41" s="26">
        <v>0</v>
      </c>
      <c r="CT41" s="26">
        <v>0</v>
      </c>
      <c r="CU41" s="26">
        <v>0</v>
      </c>
      <c r="CV41" s="26">
        <v>0</v>
      </c>
      <c r="CW41" s="26">
        <v>0</v>
      </c>
      <c r="CX41" s="26">
        <f t="shared" si="10"/>
        <v>0</v>
      </c>
      <c r="CY41" s="14" t="str">
        <f>IF(A41=0,0,IFERROR(VLOOKUP(A41,'[1]Info Donantes'!C:F,2,0),"Sin Contacto"))</f>
        <v>Sin Contacto</v>
      </c>
      <c r="CZ41" s="14" t="str">
        <f>IF(A41=0,0,IFERROR(VLOOKUP(A41,'[1]Info Donantes'!C:F,3,0),"Sin Correo"))</f>
        <v>Sin Correo</v>
      </c>
      <c r="DA41" s="14" t="str">
        <f>IF(A41=0,0,IFERROR(VLOOKUP(A41,'[1]Info Donantes'!C:F,4,0),"Sin Telefono"))</f>
        <v>Sin Telefono</v>
      </c>
      <c r="DB41" s="14" t="str">
        <f>IF(A41=0,0,"Reporte de Trazabiidad"&amp;" - "&amp;'[1]Resumen Donantes'!$C$2&amp;" - "&amp;A41&amp;"")</f>
        <v>Reporte de Trazabiidad -  - SUPER BRANDS CORPORATION</v>
      </c>
    </row>
    <row r="42" spans="1:106" x14ac:dyDescent="0.55000000000000004">
      <c r="A42" s="14" t="s">
        <v>146</v>
      </c>
      <c r="B42" s="15">
        <f>INT(IFERROR(VLOOKUP(A42,'[1]Resumen Donantes'!C:F,3,0),0))</f>
        <v>0</v>
      </c>
      <c r="C42" s="15">
        <f>INT(ROUND(IFERROR(VLOOKUP(A42,'[1]Resumen Donantes'!C:F,4,0),0),1))</f>
        <v>0</v>
      </c>
      <c r="D42" s="16">
        <f t="shared" si="19"/>
        <v>0</v>
      </c>
      <c r="E42" s="17" t="str">
        <f t="shared" si="20"/>
        <v>0.00%</v>
      </c>
      <c r="F42" s="17" t="str">
        <f t="shared" si="21"/>
        <v>0.0%</v>
      </c>
      <c r="G42" s="15">
        <f t="shared" si="25"/>
        <v>0</v>
      </c>
      <c r="H42" s="18"/>
      <c r="I42" s="18">
        <f>IFERROR(VLOOKUP(A42,'[1]Lot All by Part'!T:Y,6,0),0)</f>
        <v>0</v>
      </c>
      <c r="J42" s="18"/>
      <c r="K42" s="19">
        <f>IFERROR(VLOOKUP($A42,'[1]OB Atendidas por Donantes'!A:N,3,0),0)</f>
        <v>0</v>
      </c>
      <c r="L42" s="19">
        <f>ROUNDUP(IF(A42=0,0,IFERROR(VLOOKUP($A42,'[1]Kilos Asignado del Donante'!A:O,3,0),0)),0)</f>
        <v>0</v>
      </c>
      <c r="M42" s="19">
        <f>IF(A42=0,0,IFERROR(SUMIFS([1]Poblacion!M:M,[1]Poblacion!J:J,'MASTER-2025'!A42),0))</f>
        <v>0</v>
      </c>
      <c r="N42" s="20">
        <f>IFERROR(VLOOKUP($A42,'[1]OB Atendidas por Donantes'!A:N,4,0),0)</f>
        <v>0</v>
      </c>
      <c r="O42" s="20">
        <f>ROUNDUP(IF(A42=0,0,IFERROR(VLOOKUP($A42,'[1]Kilos Asignado del Donante'!A:O,4,0),0)),0)</f>
        <v>0</v>
      </c>
      <c r="P42" s="20">
        <f>IF(A42=0,0,IFERROR(SUMIFS([1]Poblacion!N:N,[1]Poblacion!J:J,'MASTER-2025'!A42),0))</f>
        <v>0</v>
      </c>
      <c r="Q42" s="18">
        <f>IFERROR(VLOOKUP($A42,'[1]OB Atendidas por Donantes'!A:N,2,0),0)</f>
        <v>0</v>
      </c>
      <c r="R42" s="18">
        <f>ROUNDUP(ROUND(IF(A42=0,0,IFERROR(VLOOKUP($A42,'[1]Kilos Asignado del Donante'!A:O,9,0),0)),1),0)</f>
        <v>0</v>
      </c>
      <c r="S42" s="18">
        <f>IF(A42=0,0,IFERROR(SUMIFS([1]Poblacion!S:S,[1]Poblacion!J:J,'MASTER-2025'!A42),0))</f>
        <v>0</v>
      </c>
      <c r="T42" s="19">
        <f>IFERROR(VLOOKUP($A42,'[1]OB Atendidas por Donantes'!A:N,12,0),0)</f>
        <v>0</v>
      </c>
      <c r="U42" s="19">
        <f>ROUNDUP(IF(A42=0,0,IF(A42=0,0,IFERROR(VLOOKUP($A42,'[1]Kilos Asignado del Donante'!A:O,7,0),0))),0)</f>
        <v>0</v>
      </c>
      <c r="V42" s="19">
        <f>IF(A42=0,0,IFERROR(SUMIFS([1]Poblacion!Q:Q,[1]Poblacion!J:J,'MASTER-2025'!A42),0))</f>
        <v>0</v>
      </c>
      <c r="W42" s="20">
        <f>IFERROR(VLOOKUP($A42,'[1]OB Atendidas por Donantes'!A:N,10,0),0)</f>
        <v>0</v>
      </c>
      <c r="X42" s="20">
        <f>ROUNDUP(IF(A42=0,0,IFERROR(VLOOKUP($A42,'[1]Kilos Asignado del Donante'!A:N,5,0),0)),0)</f>
        <v>0</v>
      </c>
      <c r="Y42" s="20">
        <f>IF(A42=0,0,IFERROR(SUMIFS([1]Poblacion!O:O,[1]Poblacion!J:J,'MASTER-2025'!A42),0))</f>
        <v>0</v>
      </c>
      <c r="Z42" s="18">
        <f>IFERROR(VLOOKUP($A42,'[1]OB Atendidas por Donantes'!A:N,6,0),0)</f>
        <v>0</v>
      </c>
      <c r="AA42" s="18">
        <f>ROUNDUP(IF(A42=0,0,IFERROR(VLOOKUP($A42,'[1]Kilos Asignado del Donante'!A:N,11,0),0)),0)</f>
        <v>0</v>
      </c>
      <c r="AB42" s="18">
        <f>IF(A42=0,0,IFERROR(SUMIFS([1]Poblacion!U:U,[1]Poblacion!J:J,'MASTER-2025'!A42),0))</f>
        <v>0</v>
      </c>
      <c r="AC42" s="19">
        <f>IFERROR(VLOOKUP($A42,'[1]OB Atendidas por Donantes'!A:N,7,0),0)</f>
        <v>0</v>
      </c>
      <c r="AD42" s="19">
        <f>ROUNDUP(IF(A42=0,0,IFERROR(VLOOKUP($A42,'[1]Kilos Asignado del Donante'!A:N,8,0),0)),0)</f>
        <v>0</v>
      </c>
      <c r="AE42" s="19">
        <f>IF(A42=0,0,IFERROR(SUMIFS([1]Poblacion!R:R,[1]Poblacion!J:J,'MASTER-2025'!A42),0))</f>
        <v>0</v>
      </c>
      <c r="AF42" s="20">
        <f>IFERROR(VLOOKUP($A42,'[1]OB Atendidas por Donantes'!A:N,8,0),0)</f>
        <v>0</v>
      </c>
      <c r="AG42" s="20">
        <f>ROUNDUP(IF(A42=0,0,IFERROR(VLOOKUP($A42,'[1]Kilos Asignado del Donante'!A:N,6,0),0)),0)</f>
        <v>0</v>
      </c>
      <c r="AH42" s="20">
        <f>IF(A42=0,0,IFERROR(SUMIFS([1]Poblacion!P:P,[1]Poblacion!J:J,'MASTER-2025'!A42),0))</f>
        <v>0</v>
      </c>
      <c r="AI42" s="18">
        <f>IFERROR(VLOOKUP($A42,'[1]OB Atendidas por Donantes'!A:N,9,0),0)</f>
        <v>0</v>
      </c>
      <c r="AJ42" s="18">
        <f>ROUNDUP(IF(A42=0,0,IFERROR(VLOOKUP($A42,'[1]Kilos Asignado del Donante'!A:N,12,0),0)),0)</f>
        <v>0</v>
      </c>
      <c r="AK42" s="18">
        <f>IF(A42=0,0,IFERROR(SUMIFS([1]Poblacion!V:V,[1]Poblacion!J:J,'MASTER-2025'!A42),0))</f>
        <v>0</v>
      </c>
      <c r="AL42" s="19">
        <f>IFERROR(VLOOKUP($A42,'[1]OB Atendidas por Donantes'!A:N,16,0),0)</f>
        <v>0</v>
      </c>
      <c r="AM42" s="19">
        <f>ROUNDUP(IF(A42=0,0,IFERROR(VLOOKUP($A42,'[1]Kilos Asignado del Donante'!A:O,16,0),0)),0)</f>
        <v>0</v>
      </c>
      <c r="AN42" s="19">
        <f>IF(A42=0,0,IFERROR(SUMIFS([1]Poblacion!Z:Z,[1]Poblacion!J:J,'MASTER-2025'!A42),0))</f>
        <v>0</v>
      </c>
      <c r="AO42" s="20">
        <f>IFERROR(VLOOKUP($A42,'[1]OB Atendidas por Donantes'!A:N,11,0),0)</f>
        <v>0</v>
      </c>
      <c r="AP42" s="20">
        <f>ROUNDUP(IF(A42=0,0,IFERROR(VLOOKUP($A42,'[1]Kilos Asignado del Donante'!A:N,13,0),0)),0)</f>
        <v>0</v>
      </c>
      <c r="AQ42" s="20">
        <f>IF(A42=0,0,IFERROR(SUMIFS([1]Poblacion!W:W,[1]Poblacion!J:J,'MASTER-2025'!A42),0))</f>
        <v>0</v>
      </c>
      <c r="AR42" s="18">
        <f>IFERROR(VLOOKUP($A42,'[1]OB Atendidas por Donantes'!A:N,5,0),0)</f>
        <v>0</v>
      </c>
      <c r="AS42" s="18">
        <f>ROUNDUP(IF(A42=0,0,IFERROR(VLOOKUP($A42,'[1]Kilos Asignado del Donante'!A:N,10,0),0)),0)</f>
        <v>0</v>
      </c>
      <c r="AT42" s="18">
        <f>IF(A42=0,0,IFERROR(SUMIFS([1]Poblacion!T:T,[1]Poblacion!J:J,'MASTER-2025'!A42),0))</f>
        <v>0</v>
      </c>
      <c r="AU42" s="19">
        <f>IFERROR(VLOOKUP($A42,'[1]OB Atendidas por Donantes'!A:N,13,0),0)</f>
        <v>0</v>
      </c>
      <c r="AV42" s="19">
        <f>ROUNDUP(IF(A42=0,0,IFERROR(VLOOKUP($A42,'[1]Kilos Asignado del Donante'!A:N,14,0),0)),0)</f>
        <v>0</v>
      </c>
      <c r="AW42" s="19">
        <f>IF(A42=0,0,IFERROR(SUMIFS([1]Poblacion!X:X,[1]Poblacion!J:J,'MASTER-2025'!A42),0))</f>
        <v>0</v>
      </c>
      <c r="AX42" s="20">
        <f>IFERROR(VLOOKUP($A42,'[1]OB Atendidas por Donantes'!A:N,16,0),0)</f>
        <v>0</v>
      </c>
      <c r="AY42" s="20">
        <f>ROUNDUP(IF(A42=0,0,IFERROR(VLOOKUP($A42,'[1]Kilos Asignado del Donante'!A:O,16,0),0)),0)</f>
        <v>0</v>
      </c>
      <c r="AZ42" s="20">
        <f>IF(A42=0,0,IFERROR(SUMIFS([1]Poblacion!Y:Y,[1]Poblacion!J:J,'MASTER-2025'!A42),0))</f>
        <v>0</v>
      </c>
      <c r="BA42" s="21">
        <f t="shared" si="15"/>
        <v>0</v>
      </c>
      <c r="BB42" s="21">
        <f t="shared" si="23"/>
        <v>0</v>
      </c>
      <c r="BC42" s="21">
        <f t="shared" si="24"/>
        <v>0</v>
      </c>
      <c r="BD42" s="21">
        <f t="shared" si="26"/>
        <v>0</v>
      </c>
      <c r="BE42" s="22" t="e">
        <f>IF(A42=0,0,SUMIFS([1]Poblacion!C:C,[1]Poblacion!A:A,'MASTER-2025'!A42))</f>
        <v>#VALUE!</v>
      </c>
      <c r="BF42" s="22" t="e">
        <f>IF(A42=0,0,SUMIFS([1]Poblacion!D:D,[1]Poblacion!A:A,'MASTER-2025'!A42))</f>
        <v>#VALUE!</v>
      </c>
      <c r="BG42" s="22" t="e">
        <f>IF(A42=0,0,SUMIFS([1]Poblacion!E:E,[1]Poblacion!A:A,'MASTER-2025'!A42))</f>
        <v>#VALUE!</v>
      </c>
      <c r="BH42" s="22" t="e">
        <f>IF(A42=0,0,SUMIFS([1]Poblacion!F:F,[1]Poblacion!A:A,'MASTER-2025'!A42))</f>
        <v>#VALUE!</v>
      </c>
      <c r="BI42" s="22" t="e">
        <f t="shared" si="18"/>
        <v>#VALUE!</v>
      </c>
      <c r="BJ42" s="23" t="e">
        <f t="shared" si="7"/>
        <v>#VALUE!</v>
      </c>
      <c r="BK42" s="22" t="e">
        <f>IF(A42=0,0,SUMIFS([1]Poblacion!G:G,[1]Poblacion!A:A,'MASTER-2025'!A42))</f>
        <v>#VALUE!</v>
      </c>
      <c r="BL42" s="24" cm="1">
        <f t="array" ref="BL42:BW42">IFERROR(VLOOKUP(A42,'[1]Acum-OB-kg-pob-25'!A:AQ,{3,4,5,6,7,8,9,10,11,12,13,14},0),0)</f>
        <v>27</v>
      </c>
      <c r="BM42" s="24">
        <v>32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f t="shared" si="8"/>
        <v>59</v>
      </c>
      <c r="BY42" s="25" cm="1">
        <f t="array" ref="BY42:CJ42">IFERROR(VLOOKUP(A42,'[1]Acum-OB-kg-pob-25'!A:AQ,{17,18,19,20,21,22,23,24,25,26,27,28},0),0)</f>
        <v>1198</v>
      </c>
      <c r="BZ42" s="25">
        <v>0</v>
      </c>
      <c r="CA42" s="25">
        <v>0</v>
      </c>
      <c r="CB42" s="25">
        <v>0</v>
      </c>
      <c r="CC42" s="25">
        <v>0</v>
      </c>
      <c r="CD42" s="25">
        <v>0</v>
      </c>
      <c r="CE42" s="25">
        <v>0</v>
      </c>
      <c r="CF42" s="25">
        <v>0</v>
      </c>
      <c r="CG42" s="25">
        <v>0</v>
      </c>
      <c r="CH42" s="25">
        <v>0</v>
      </c>
      <c r="CI42" s="25">
        <v>0</v>
      </c>
      <c r="CJ42" s="25">
        <v>0</v>
      </c>
      <c r="CK42" s="25">
        <f t="shared" si="9"/>
        <v>1198</v>
      </c>
      <c r="CL42" s="26" cm="1">
        <f t="array" ref="CL42:CW42">IFERROR(VLOOKUP(A42,'[1]Acum-OB-kg-pob-25'!A:AQ,{31,32,33,34,35,36,37,38,39,40,41,42},0),0)</f>
        <v>7518</v>
      </c>
      <c r="CM42" s="26">
        <v>6534</v>
      </c>
      <c r="CN42" s="26">
        <v>0</v>
      </c>
      <c r="CO42" s="26">
        <v>0</v>
      </c>
      <c r="CP42" s="26">
        <v>0</v>
      </c>
      <c r="CQ42" s="26">
        <v>0</v>
      </c>
      <c r="CR42" s="26">
        <v>0</v>
      </c>
      <c r="CS42" s="26">
        <v>0</v>
      </c>
      <c r="CT42" s="26">
        <v>0</v>
      </c>
      <c r="CU42" s="26">
        <v>0</v>
      </c>
      <c r="CV42" s="26">
        <v>0</v>
      </c>
      <c r="CW42" s="26">
        <v>0</v>
      </c>
      <c r="CX42" s="26">
        <f t="shared" si="10"/>
        <v>14052</v>
      </c>
      <c r="CY42" s="14" t="str">
        <f>IF(A42=0,0,IFERROR(VLOOKUP(A42,'[1]Info Donantes'!C:F,2,0),"Sin Contacto"))</f>
        <v>Sin Contacto</v>
      </c>
      <c r="CZ42" s="14" t="str">
        <f>IF(A42=0,0,IFERROR(VLOOKUP(A42,'[1]Info Donantes'!C:F,3,0),"Sin Correo"))</f>
        <v>Sin Correo</v>
      </c>
      <c r="DA42" s="14" t="str">
        <f>IF(A42=0,0,IFERROR(VLOOKUP(A42,'[1]Info Donantes'!C:F,4,0),"Sin Telefono"))</f>
        <v>Sin Telefono</v>
      </c>
      <c r="DB42" s="14" t="str">
        <f>IF(A42=0,0,"Reporte de Trazabiidad"&amp;" - "&amp;'[1]Resumen Donantes'!$C$2&amp;" - "&amp;A42&amp;"")</f>
        <v>Reporte de Trazabiidad -  - Jacach S.A.</v>
      </c>
    </row>
    <row r="43" spans="1:106" x14ac:dyDescent="0.55000000000000004">
      <c r="A43" s="14" t="s">
        <v>147</v>
      </c>
      <c r="B43" s="15">
        <f>INT(IFERROR(VLOOKUP(A43,'[1]Resumen Donantes'!C:F,3,0),0))</f>
        <v>0</v>
      </c>
      <c r="C43" s="15">
        <f>INT(ROUND(IFERROR(VLOOKUP(A43,'[1]Resumen Donantes'!C:F,4,0),0),1))</f>
        <v>0</v>
      </c>
      <c r="D43" s="16">
        <f t="shared" si="19"/>
        <v>0</v>
      </c>
      <c r="E43" s="17" t="str">
        <f t="shared" si="20"/>
        <v>0.00%</v>
      </c>
      <c r="F43" s="17" t="str">
        <f t="shared" si="21"/>
        <v>0.0%</v>
      </c>
      <c r="G43" s="15">
        <f t="shared" si="25"/>
        <v>0</v>
      </c>
      <c r="H43" s="18"/>
      <c r="I43" s="18">
        <f>IFERROR(VLOOKUP(A43,'[1]Lot All by Part'!T:Y,6,0),0)</f>
        <v>0</v>
      </c>
      <c r="J43" s="18"/>
      <c r="K43" s="19">
        <f>IFERROR(VLOOKUP($A43,'[1]OB Atendidas por Donantes'!A:N,3,0),0)</f>
        <v>0</v>
      </c>
      <c r="L43" s="19">
        <f>ROUNDUP(IF(A43=0,0,IFERROR(VLOOKUP($A43,'[1]Kilos Asignado del Donante'!A:O,3,0),0)),0)</f>
        <v>0</v>
      </c>
      <c r="M43" s="19">
        <f>IF(A43=0,0,IFERROR(SUMIFS([1]Poblacion!M:M,[1]Poblacion!J:J,'MASTER-2025'!A43),0))</f>
        <v>0</v>
      </c>
      <c r="N43" s="20">
        <f>IFERROR(VLOOKUP($A43,'[1]OB Atendidas por Donantes'!A:N,4,0),0)</f>
        <v>0</v>
      </c>
      <c r="O43" s="20">
        <f>ROUNDUP(IF(A43=0,0,IFERROR(VLOOKUP($A43,'[1]Kilos Asignado del Donante'!A:O,4,0),0)),0)</f>
        <v>0</v>
      </c>
      <c r="P43" s="20">
        <f>IF(A43=0,0,IFERROR(SUMIFS([1]Poblacion!N:N,[1]Poblacion!J:J,'MASTER-2025'!A43),0))</f>
        <v>0</v>
      </c>
      <c r="Q43" s="18">
        <f>IFERROR(VLOOKUP($A43,'[1]OB Atendidas por Donantes'!A:N,2,0),0)</f>
        <v>0</v>
      </c>
      <c r="R43" s="18">
        <f>ROUNDUP(ROUND(IF(A43=0,0,IFERROR(VLOOKUP($A43,'[1]Kilos Asignado del Donante'!A:O,9,0),0)),1),0)</f>
        <v>0</v>
      </c>
      <c r="S43" s="18">
        <f>IF(A43=0,0,IFERROR(SUMIFS([1]Poblacion!S:S,[1]Poblacion!J:J,'MASTER-2025'!A43),0))</f>
        <v>0</v>
      </c>
      <c r="T43" s="19">
        <f>IFERROR(VLOOKUP($A43,'[1]OB Atendidas por Donantes'!A:N,12,0),0)</f>
        <v>0</v>
      </c>
      <c r="U43" s="19">
        <f>ROUNDUP(IF(A43=0,0,IF(A43=0,0,IFERROR(VLOOKUP($A43,'[1]Kilos Asignado del Donante'!A:O,7,0),0))),0)</f>
        <v>0</v>
      </c>
      <c r="V43" s="19">
        <f>IF(A43=0,0,IFERROR(SUMIFS([1]Poblacion!Q:Q,[1]Poblacion!J:J,'MASTER-2025'!A43),0))</f>
        <v>0</v>
      </c>
      <c r="W43" s="20">
        <f>IFERROR(VLOOKUP($A43,'[1]OB Atendidas por Donantes'!A:N,10,0),0)</f>
        <v>0</v>
      </c>
      <c r="X43" s="20">
        <f>ROUNDUP(IF(A43=0,0,IFERROR(VLOOKUP($A43,'[1]Kilos Asignado del Donante'!A:N,5,0),0)),0)</f>
        <v>0</v>
      </c>
      <c r="Y43" s="20">
        <f>IF(A43=0,0,IFERROR(SUMIFS([1]Poblacion!O:O,[1]Poblacion!J:J,'MASTER-2025'!A43),0))</f>
        <v>0</v>
      </c>
      <c r="Z43" s="18">
        <f>IFERROR(VLOOKUP($A43,'[1]OB Atendidas por Donantes'!A:N,6,0),0)</f>
        <v>0</v>
      </c>
      <c r="AA43" s="18">
        <f>ROUNDUP(IF(A43=0,0,IFERROR(VLOOKUP($A43,'[1]Kilos Asignado del Donante'!A:N,11,0),0)),0)</f>
        <v>0</v>
      </c>
      <c r="AB43" s="18">
        <f>IF(A43=0,0,IFERROR(SUMIFS([1]Poblacion!U:U,[1]Poblacion!J:J,'MASTER-2025'!A43),0))</f>
        <v>0</v>
      </c>
      <c r="AC43" s="19">
        <f>IFERROR(VLOOKUP($A43,'[1]OB Atendidas por Donantes'!A:N,7,0),0)</f>
        <v>0</v>
      </c>
      <c r="AD43" s="19">
        <f>ROUNDUP(IF(A43=0,0,IFERROR(VLOOKUP($A43,'[1]Kilos Asignado del Donante'!A:N,8,0),0)),0)</f>
        <v>0</v>
      </c>
      <c r="AE43" s="19">
        <f>IF(A43=0,0,IFERROR(SUMIFS([1]Poblacion!R:R,[1]Poblacion!J:J,'MASTER-2025'!A43),0))</f>
        <v>0</v>
      </c>
      <c r="AF43" s="20">
        <f>IFERROR(VLOOKUP($A43,'[1]OB Atendidas por Donantes'!A:N,8,0),0)</f>
        <v>0</v>
      </c>
      <c r="AG43" s="20">
        <f>ROUNDUP(IF(A43=0,0,IFERROR(VLOOKUP($A43,'[1]Kilos Asignado del Donante'!A:N,6,0),0)),0)</f>
        <v>0</v>
      </c>
      <c r="AH43" s="20">
        <f>IF(A43=0,0,IFERROR(SUMIFS([1]Poblacion!P:P,[1]Poblacion!J:J,'MASTER-2025'!A43),0))</f>
        <v>0</v>
      </c>
      <c r="AI43" s="18">
        <f>IFERROR(VLOOKUP($A43,'[1]OB Atendidas por Donantes'!A:N,9,0),0)</f>
        <v>0</v>
      </c>
      <c r="AJ43" s="18">
        <f>ROUNDUP(IF(A43=0,0,IFERROR(VLOOKUP($A43,'[1]Kilos Asignado del Donante'!A:N,12,0),0)),0)</f>
        <v>0</v>
      </c>
      <c r="AK43" s="18">
        <f>IF(A43=0,0,IFERROR(SUMIFS([1]Poblacion!V:V,[1]Poblacion!J:J,'MASTER-2025'!A43),0))</f>
        <v>0</v>
      </c>
      <c r="AL43" s="19">
        <f>IFERROR(VLOOKUP($A43,'[1]OB Atendidas por Donantes'!A:N,16,0),0)</f>
        <v>0</v>
      </c>
      <c r="AM43" s="19">
        <f>ROUNDUP(IF(A43=0,0,IFERROR(VLOOKUP($A43,'[1]Kilos Asignado del Donante'!A:O,16,0),0)),0)</f>
        <v>0</v>
      </c>
      <c r="AN43" s="19">
        <f>IF(A43=0,0,IFERROR(SUMIFS([1]Poblacion!Z:Z,[1]Poblacion!J:J,'MASTER-2025'!A43),0))</f>
        <v>0</v>
      </c>
      <c r="AO43" s="20">
        <f>IFERROR(VLOOKUP($A43,'[1]OB Atendidas por Donantes'!A:N,11,0),0)</f>
        <v>0</v>
      </c>
      <c r="AP43" s="20">
        <f>ROUNDUP(IF(A43=0,0,IFERROR(VLOOKUP($A43,'[1]Kilos Asignado del Donante'!A:N,13,0),0)),0)</f>
        <v>0</v>
      </c>
      <c r="AQ43" s="20">
        <f>IF(A43=0,0,IFERROR(SUMIFS([1]Poblacion!W:W,[1]Poblacion!J:J,'MASTER-2025'!A43),0))</f>
        <v>0</v>
      </c>
      <c r="AR43" s="18">
        <f>IFERROR(VLOOKUP($A43,'[1]OB Atendidas por Donantes'!A:N,5,0),0)</f>
        <v>0</v>
      </c>
      <c r="AS43" s="18">
        <f>ROUNDUP(IF(A43=0,0,IFERROR(VLOOKUP($A43,'[1]Kilos Asignado del Donante'!A:N,10,0),0)),0)</f>
        <v>0</v>
      </c>
      <c r="AT43" s="18">
        <f>IF(A43=0,0,IFERROR(SUMIFS([1]Poblacion!T:T,[1]Poblacion!J:J,'MASTER-2025'!A43),0))</f>
        <v>0</v>
      </c>
      <c r="AU43" s="19">
        <f>IFERROR(VLOOKUP($A43,'[1]OB Atendidas por Donantes'!A:N,13,0),0)</f>
        <v>0</v>
      </c>
      <c r="AV43" s="19">
        <f>ROUNDUP(IF(A43=0,0,IFERROR(VLOOKUP($A43,'[1]Kilos Asignado del Donante'!A:N,14,0),0)),0)</f>
        <v>0</v>
      </c>
      <c r="AW43" s="19">
        <f>IF(A43=0,0,IFERROR(SUMIFS([1]Poblacion!X:X,[1]Poblacion!J:J,'MASTER-2025'!A43),0))</f>
        <v>0</v>
      </c>
      <c r="AX43" s="20">
        <f>IFERROR(VLOOKUP($A43,'[1]OB Atendidas por Donantes'!A:N,16,0),0)</f>
        <v>0</v>
      </c>
      <c r="AY43" s="20">
        <f>ROUNDUP(IF(A43=0,0,IFERROR(VLOOKUP($A43,'[1]Kilos Asignado del Donante'!A:O,16,0),0)),0)</f>
        <v>0</v>
      </c>
      <c r="AZ43" s="20">
        <f>IF(A43=0,0,IFERROR(SUMIFS([1]Poblacion!Y:Y,[1]Poblacion!J:J,'MASTER-2025'!A43),0))</f>
        <v>0</v>
      </c>
      <c r="BA43" s="21">
        <f t="shared" si="15"/>
        <v>0</v>
      </c>
      <c r="BB43" s="21">
        <f t="shared" si="23"/>
        <v>0</v>
      </c>
      <c r="BC43" s="21">
        <f t="shared" si="24"/>
        <v>0</v>
      </c>
      <c r="BD43" s="21">
        <f t="shared" si="26"/>
        <v>0</v>
      </c>
      <c r="BE43" s="22" t="e">
        <f>IF(A43=0,0,SUMIFS([1]Poblacion!C:C,[1]Poblacion!A:A,'MASTER-2025'!A43))</f>
        <v>#VALUE!</v>
      </c>
      <c r="BF43" s="22" t="e">
        <f>IF(A43=0,0,SUMIFS([1]Poblacion!D:D,[1]Poblacion!A:A,'MASTER-2025'!A43))</f>
        <v>#VALUE!</v>
      </c>
      <c r="BG43" s="22" t="e">
        <f>IF(A43=0,0,SUMIFS([1]Poblacion!E:E,[1]Poblacion!A:A,'MASTER-2025'!A43))</f>
        <v>#VALUE!</v>
      </c>
      <c r="BH43" s="22" t="e">
        <f>IF(A43=0,0,SUMIFS([1]Poblacion!F:F,[1]Poblacion!A:A,'MASTER-2025'!A43))</f>
        <v>#VALUE!</v>
      </c>
      <c r="BI43" s="22" t="e">
        <f t="shared" si="18"/>
        <v>#VALUE!</v>
      </c>
      <c r="BJ43" s="23" t="e">
        <f t="shared" si="7"/>
        <v>#VALUE!</v>
      </c>
      <c r="BK43" s="22" t="e">
        <f>IF(A43=0,0,SUMIFS([1]Poblacion!G:G,[1]Poblacion!A:A,'MASTER-2025'!A43))</f>
        <v>#VALUE!</v>
      </c>
      <c r="BL43" s="24" cm="1">
        <f t="array" ref="BL43:BW43">IFERROR(VLOOKUP(A43,'[1]Acum-OB-kg-pob-25'!A:AQ,{3,4,5,6,7,8,9,10,11,12,13,14},0),0)</f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0</v>
      </c>
      <c r="BW43" s="24">
        <v>0</v>
      </c>
      <c r="BX43" s="24">
        <f t="shared" si="8"/>
        <v>0</v>
      </c>
      <c r="BY43" s="25" cm="1">
        <f t="array" ref="BY43:CJ43">IFERROR(VLOOKUP(A43,'[1]Acum-OB-kg-pob-25'!A:AQ,{17,18,19,20,21,22,23,24,25,26,27,28},0),0)</f>
        <v>0</v>
      </c>
      <c r="BZ43" s="25">
        <v>0</v>
      </c>
      <c r="CA43" s="25">
        <v>0</v>
      </c>
      <c r="CB43" s="25">
        <v>0</v>
      </c>
      <c r="CC43" s="25">
        <v>0</v>
      </c>
      <c r="CD43" s="25">
        <v>0</v>
      </c>
      <c r="CE43" s="25">
        <v>0</v>
      </c>
      <c r="CF43" s="25">
        <v>0</v>
      </c>
      <c r="CG43" s="25">
        <v>0</v>
      </c>
      <c r="CH43" s="25">
        <v>0</v>
      </c>
      <c r="CI43" s="25">
        <v>0</v>
      </c>
      <c r="CJ43" s="25">
        <v>0</v>
      </c>
      <c r="CK43" s="25">
        <f t="shared" si="9"/>
        <v>0</v>
      </c>
      <c r="CL43" s="26" cm="1">
        <f t="array" ref="CL43:CW43">IFERROR(VLOOKUP(A43,'[1]Acum-OB-kg-pob-25'!A:AQ,{31,32,33,34,35,36,37,38,39,40,41,42},0),0)</f>
        <v>0</v>
      </c>
      <c r="CM43" s="26">
        <v>0</v>
      </c>
      <c r="CN43" s="26">
        <v>0</v>
      </c>
      <c r="CO43" s="26">
        <v>0</v>
      </c>
      <c r="CP43" s="26">
        <v>0</v>
      </c>
      <c r="CQ43" s="26">
        <v>0</v>
      </c>
      <c r="CR43" s="26">
        <v>0</v>
      </c>
      <c r="CS43" s="26">
        <v>0</v>
      </c>
      <c r="CT43" s="26">
        <v>0</v>
      </c>
      <c r="CU43" s="26">
        <v>0</v>
      </c>
      <c r="CV43" s="26">
        <v>0</v>
      </c>
      <c r="CW43" s="26">
        <v>0</v>
      </c>
      <c r="CX43" s="26">
        <f t="shared" si="10"/>
        <v>0</v>
      </c>
      <c r="CY43" s="14" t="str">
        <f>IF(A43=0,0,IFERROR(VLOOKUP(A43,'[1]Info Donantes'!C:F,2,0),"Sin Contacto"))</f>
        <v>Sin Contacto</v>
      </c>
      <c r="CZ43" s="14" t="str">
        <f>IF(A43=0,0,IFERROR(VLOOKUP(A43,'[1]Info Donantes'!C:F,3,0),"Sin Correo"))</f>
        <v>Sin Correo</v>
      </c>
      <c r="DA43" s="14" t="str">
        <f>IF(A43=0,0,IFERROR(VLOOKUP(A43,'[1]Info Donantes'!C:F,4,0),"Sin Telefono"))</f>
        <v>Sin Telefono</v>
      </c>
      <c r="DB43" s="14" t="str">
        <f>IF(A43=0,0,"Reporte de Trazabiidad"&amp;" - "&amp;'[1]Resumen Donantes'!$C$2&amp;" - "&amp;A43&amp;"")</f>
        <v>Reporte de Trazabiidad -  - Marketing Roots Inc.</v>
      </c>
    </row>
    <row r="44" spans="1:106" x14ac:dyDescent="0.55000000000000004">
      <c r="A44" s="14" t="s">
        <v>148</v>
      </c>
      <c r="B44" s="15">
        <f>INT(IFERROR(VLOOKUP(A44,'[1]Resumen Donantes'!C:F,3,0),0))</f>
        <v>0</v>
      </c>
      <c r="C44" s="15">
        <f>INT(ROUND(IFERROR(VLOOKUP(A44,'[1]Resumen Donantes'!C:F,4,0),0),1))</f>
        <v>39</v>
      </c>
      <c r="D44" s="16">
        <f t="shared" si="19"/>
        <v>39</v>
      </c>
      <c r="E44" s="17" t="str">
        <f t="shared" si="20"/>
        <v>100.00%</v>
      </c>
      <c r="F44" s="17" t="str">
        <f t="shared" si="21"/>
        <v>0.0%</v>
      </c>
      <c r="G44" s="15">
        <f t="shared" si="25"/>
        <v>117</v>
      </c>
      <c r="H44" s="18"/>
      <c r="I44" s="18">
        <f>IFERROR(VLOOKUP(A44,'[1]Lot All by Part'!T:Y,6,0),0)</f>
        <v>0</v>
      </c>
      <c r="J44" s="18"/>
      <c r="K44" s="19">
        <f>IFERROR(VLOOKUP($A44,'[1]OB Atendidas por Donantes'!A:N,3,0),0)</f>
        <v>3</v>
      </c>
      <c r="L44" s="19">
        <f>ROUNDUP(IF(A44=0,0,IFERROR(VLOOKUP($A44,'[1]Kilos Asignado del Donante'!A:O,3,0),0)),0)</f>
        <v>9</v>
      </c>
      <c r="M44" s="19">
        <f>IF(A44=0,0,IFERROR(SUMIFS([1]Poblacion!M:M,[1]Poblacion!J:J,'MASTER-2025'!A44),0))</f>
        <v>0</v>
      </c>
      <c r="N44" s="20">
        <f>IFERROR(VLOOKUP($A44,'[1]OB Atendidas por Donantes'!A:N,4,0),0)</f>
        <v>9</v>
      </c>
      <c r="O44" s="20">
        <f>ROUNDUP(IF(A44=0,0,IFERROR(VLOOKUP($A44,'[1]Kilos Asignado del Donante'!A:O,4,0),0)),0)</f>
        <v>15</v>
      </c>
      <c r="P44" s="20">
        <f>IF(A44=0,0,IFERROR(SUMIFS([1]Poblacion!N:N,[1]Poblacion!J:J,'MASTER-2025'!A44),0))</f>
        <v>0</v>
      </c>
      <c r="Q44" s="18">
        <f>IFERROR(VLOOKUP($A44,'[1]OB Atendidas por Donantes'!A:N,2,0),0)</f>
        <v>1</v>
      </c>
      <c r="R44" s="18">
        <f>ROUNDUP(ROUND(IF(A44=0,0,IFERROR(VLOOKUP($A44,'[1]Kilos Asignado del Donante'!A:O,9,0),0)),1),0)</f>
        <v>2</v>
      </c>
      <c r="S44" s="18">
        <f>IF(A44=0,0,IFERROR(SUMIFS([1]Poblacion!S:S,[1]Poblacion!J:J,'MASTER-2025'!A44),0))</f>
        <v>0</v>
      </c>
      <c r="T44" s="19">
        <f>IFERROR(VLOOKUP($A44,'[1]OB Atendidas por Donantes'!A:N,12,0),0)</f>
        <v>1</v>
      </c>
      <c r="U44" s="19">
        <f>ROUNDUP(IF(A44=0,0,IF(A44=0,0,IFERROR(VLOOKUP($A44,'[1]Kilos Asignado del Donante'!A:O,7,0),0))),0)</f>
        <v>1</v>
      </c>
      <c r="V44" s="19">
        <f>IF(A44=0,0,IFERROR(SUMIFS([1]Poblacion!Q:Q,[1]Poblacion!J:J,'MASTER-2025'!A44),0))</f>
        <v>0</v>
      </c>
      <c r="W44" s="20">
        <f>IFERROR(VLOOKUP($A44,'[1]OB Atendidas por Donantes'!A:N,10,0),0)</f>
        <v>4</v>
      </c>
      <c r="X44" s="20">
        <f>ROUNDUP(IF(A44=0,0,IFERROR(VLOOKUP($A44,'[1]Kilos Asignado del Donante'!A:N,5,0),0)),0)</f>
        <v>8</v>
      </c>
      <c r="Y44" s="20">
        <f>IF(A44=0,0,IFERROR(SUMIFS([1]Poblacion!O:O,[1]Poblacion!J:J,'MASTER-2025'!A44),0))</f>
        <v>0</v>
      </c>
      <c r="Z44" s="18">
        <f>IFERROR(VLOOKUP($A44,'[1]OB Atendidas por Donantes'!A:N,6,0),0)</f>
        <v>0</v>
      </c>
      <c r="AA44" s="18">
        <f>ROUNDUP(IF(A44=0,0,IFERROR(VLOOKUP($A44,'[1]Kilos Asignado del Donante'!A:N,11,0),0)),0)</f>
        <v>0</v>
      </c>
      <c r="AB44" s="18">
        <f>IF(A44=0,0,IFERROR(SUMIFS([1]Poblacion!U:U,[1]Poblacion!J:J,'MASTER-2025'!A44),0))</f>
        <v>0</v>
      </c>
      <c r="AC44" s="19">
        <f>IFERROR(VLOOKUP($A44,'[1]OB Atendidas por Donantes'!A:N,7,0),0)</f>
        <v>0</v>
      </c>
      <c r="AD44" s="19">
        <f>ROUNDUP(IF(A44=0,0,IFERROR(VLOOKUP($A44,'[1]Kilos Asignado del Donante'!A:N,8,0),0)),0)</f>
        <v>0</v>
      </c>
      <c r="AE44" s="19">
        <f>IF(A44=0,0,IFERROR(SUMIFS([1]Poblacion!R:R,[1]Poblacion!J:J,'MASTER-2025'!A44),0))</f>
        <v>0</v>
      </c>
      <c r="AF44" s="20">
        <f>IFERROR(VLOOKUP($A44,'[1]OB Atendidas por Donantes'!A:N,8,0),0)</f>
        <v>1</v>
      </c>
      <c r="AG44" s="20">
        <f>ROUNDUP(IF(A44=0,0,IFERROR(VLOOKUP($A44,'[1]Kilos Asignado del Donante'!A:N,6,0),0)),0)</f>
        <v>4</v>
      </c>
      <c r="AH44" s="20">
        <f>IF(A44=0,0,IFERROR(SUMIFS([1]Poblacion!P:P,[1]Poblacion!J:J,'MASTER-2025'!A44),0))</f>
        <v>0</v>
      </c>
      <c r="AI44" s="18">
        <f>IFERROR(VLOOKUP($A44,'[1]OB Atendidas por Donantes'!A:N,9,0),0)</f>
        <v>0</v>
      </c>
      <c r="AJ44" s="18">
        <f>ROUNDUP(IF(A44=0,0,IFERROR(VLOOKUP($A44,'[1]Kilos Asignado del Donante'!A:N,12,0),0)),0)</f>
        <v>0</v>
      </c>
      <c r="AK44" s="18">
        <f>IF(A44=0,0,IFERROR(SUMIFS([1]Poblacion!V:V,[1]Poblacion!J:J,'MASTER-2025'!A44),0))</f>
        <v>0</v>
      </c>
      <c r="AL44" s="19">
        <f>IFERROR(VLOOKUP($A44,'[1]OB Atendidas por Donantes'!A:N,16,0),0)</f>
        <v>0</v>
      </c>
      <c r="AM44" s="19">
        <f>ROUNDUP(IF(A44=0,0,IFERROR(VLOOKUP($A44,'[1]Kilos Asignado del Donante'!A:O,16,0),0)),0)</f>
        <v>0</v>
      </c>
      <c r="AN44" s="19">
        <f>IF(A44=0,0,IFERROR(SUMIFS([1]Poblacion!Z:Z,[1]Poblacion!J:J,'MASTER-2025'!A44),0))</f>
        <v>0</v>
      </c>
      <c r="AO44" s="20">
        <f>IFERROR(VLOOKUP($A44,'[1]OB Atendidas por Donantes'!A:N,11,0),0)</f>
        <v>0</v>
      </c>
      <c r="AP44" s="20">
        <f>ROUNDUP(IF(A44=0,0,IFERROR(VLOOKUP($A44,'[1]Kilos Asignado del Donante'!A:N,13,0),0)),0)</f>
        <v>0</v>
      </c>
      <c r="AQ44" s="20">
        <f>IF(A44=0,0,IFERROR(SUMIFS([1]Poblacion!W:W,[1]Poblacion!J:J,'MASTER-2025'!A44),0))</f>
        <v>0</v>
      </c>
      <c r="AR44" s="18">
        <f>IFERROR(VLOOKUP($A44,'[1]OB Atendidas por Donantes'!A:N,5,0),0)</f>
        <v>0</v>
      </c>
      <c r="AS44" s="18">
        <f>ROUNDUP(IF(A44=0,0,IFERROR(VLOOKUP($A44,'[1]Kilos Asignado del Donante'!A:N,10,0),0)),0)</f>
        <v>0</v>
      </c>
      <c r="AT44" s="18">
        <f>IF(A44=0,0,IFERROR(SUMIFS([1]Poblacion!T:T,[1]Poblacion!J:J,'MASTER-2025'!A44),0))</f>
        <v>0</v>
      </c>
      <c r="AU44" s="19">
        <f>IFERROR(VLOOKUP($A44,'[1]OB Atendidas por Donantes'!A:N,13,0),0)</f>
        <v>0</v>
      </c>
      <c r="AV44" s="19">
        <f>ROUNDUP(IF(A44=0,0,IFERROR(VLOOKUP($A44,'[1]Kilos Asignado del Donante'!A:N,14,0),0)),0)</f>
        <v>0</v>
      </c>
      <c r="AW44" s="19">
        <f>IF(A44=0,0,IFERROR(SUMIFS([1]Poblacion!X:X,[1]Poblacion!J:J,'MASTER-2025'!A44),0))</f>
        <v>0</v>
      </c>
      <c r="AX44" s="20">
        <f>IFERROR(VLOOKUP($A44,'[1]OB Atendidas por Donantes'!A:N,16,0),0)</f>
        <v>0</v>
      </c>
      <c r="AY44" s="20">
        <f>ROUNDUP(IF(A44=0,0,IFERROR(VLOOKUP($A44,'[1]Kilos Asignado del Donante'!A:O,16,0),0)),0)</f>
        <v>0</v>
      </c>
      <c r="AZ44" s="20">
        <f>IF(A44=0,0,IFERROR(SUMIFS([1]Poblacion!Y:Y,[1]Poblacion!J:J,'MASTER-2025'!A44),0))</f>
        <v>0</v>
      </c>
      <c r="BA44" s="21">
        <f t="shared" si="15"/>
        <v>19</v>
      </c>
      <c r="BB44" s="21">
        <f t="shared" si="23"/>
        <v>39</v>
      </c>
      <c r="BC44" s="21">
        <f t="shared" si="24"/>
        <v>27</v>
      </c>
      <c r="BD44" s="21">
        <f t="shared" si="26"/>
        <v>0</v>
      </c>
      <c r="BE44" s="22" t="e">
        <f>IF(A44=0,0,SUMIFS([1]Poblacion!C:C,[1]Poblacion!A:A,'MASTER-2025'!A44))</f>
        <v>#VALUE!</v>
      </c>
      <c r="BF44" s="22" t="e">
        <f>IF(A44=0,0,SUMIFS([1]Poblacion!D:D,[1]Poblacion!A:A,'MASTER-2025'!A44))</f>
        <v>#VALUE!</v>
      </c>
      <c r="BG44" s="22" t="e">
        <f>IF(A44=0,0,SUMIFS([1]Poblacion!E:E,[1]Poblacion!A:A,'MASTER-2025'!A44))</f>
        <v>#VALUE!</v>
      </c>
      <c r="BH44" s="22" t="e">
        <f>IF(A44=0,0,SUMIFS([1]Poblacion!F:F,[1]Poblacion!A:A,'MASTER-2025'!A44))</f>
        <v>#VALUE!</v>
      </c>
      <c r="BI44" s="22" t="e">
        <f t="shared" si="18"/>
        <v>#VALUE!</v>
      </c>
      <c r="BJ44" s="23" t="e">
        <f t="shared" si="7"/>
        <v>#VALUE!</v>
      </c>
      <c r="BK44" s="22" t="e">
        <f>IF(A44=0,0,SUMIFS([1]Poblacion!G:G,[1]Poblacion!A:A,'MASTER-2025'!A44))</f>
        <v>#VALUE!</v>
      </c>
      <c r="BL44" s="24" cm="1">
        <f t="array" ref="BL44:BW44">IFERROR(VLOOKUP(A44,'[1]Acum-OB-kg-pob-25'!A:AQ,{3,4,5,6,7,8,9,10,11,12,13,14},0),0)</f>
        <v>0</v>
      </c>
      <c r="BM44" s="24">
        <v>43</v>
      </c>
      <c r="BN44" s="24">
        <v>19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BX44" s="24">
        <f t="shared" si="8"/>
        <v>62</v>
      </c>
      <c r="BY44" s="25" cm="1">
        <f t="array" ref="BY44:CJ44">IFERROR(VLOOKUP(A44,'[1]Acum-OB-kg-pob-25'!A:AQ,{17,18,19,20,21,22,23,24,25,26,27,28},0),0)</f>
        <v>600</v>
      </c>
      <c r="BZ44" s="25">
        <v>0</v>
      </c>
      <c r="CA44" s="25">
        <v>39</v>
      </c>
      <c r="CB44" s="25">
        <v>0</v>
      </c>
      <c r="CC44" s="25">
        <v>0</v>
      </c>
      <c r="CD44" s="25">
        <v>0</v>
      </c>
      <c r="CE44" s="25">
        <v>0</v>
      </c>
      <c r="CF44" s="25">
        <v>0</v>
      </c>
      <c r="CG44" s="25">
        <v>0</v>
      </c>
      <c r="CH44" s="25">
        <v>0</v>
      </c>
      <c r="CI44" s="25">
        <v>0</v>
      </c>
      <c r="CJ44" s="25">
        <v>0</v>
      </c>
      <c r="CK44" s="25">
        <f t="shared" si="9"/>
        <v>639</v>
      </c>
      <c r="CL44" s="26" cm="1">
        <f t="array" ref="CL44:CW44">IFERROR(VLOOKUP(A44,'[1]Acum-OB-kg-pob-25'!A:AQ,{31,32,33,34,35,36,37,38,39,40,41,42},0),0)</f>
        <v>0</v>
      </c>
      <c r="CM44" s="26">
        <v>17158</v>
      </c>
      <c r="CN44" s="26">
        <v>4968</v>
      </c>
      <c r="CO44" s="26">
        <v>0</v>
      </c>
      <c r="CP44" s="26">
        <v>0</v>
      </c>
      <c r="CQ44" s="26">
        <v>0</v>
      </c>
      <c r="CR44" s="26">
        <v>0</v>
      </c>
      <c r="CS44" s="26">
        <v>0</v>
      </c>
      <c r="CT44" s="26">
        <v>0</v>
      </c>
      <c r="CU44" s="26">
        <v>0</v>
      </c>
      <c r="CV44" s="26">
        <v>0</v>
      </c>
      <c r="CW44" s="26">
        <v>0</v>
      </c>
      <c r="CX44" s="26">
        <f t="shared" si="10"/>
        <v>22126</v>
      </c>
      <c r="CY44" s="14" t="str">
        <f>IF(A44=0,0,IFERROR(VLOOKUP(A44,'[1]Info Donantes'!C:F,2,0),"Sin Contacto"))</f>
        <v>Sin Contacto</v>
      </c>
      <c r="CZ44" s="14" t="str">
        <f>IF(A44=0,0,IFERROR(VLOOKUP(A44,'[1]Info Donantes'!C:F,3,0),"Sin Correo"))</f>
        <v>Sin Correo</v>
      </c>
      <c r="DA44" s="14" t="str">
        <f>IF(A44=0,0,IFERROR(VLOOKUP(A44,'[1]Info Donantes'!C:F,4,0),"Sin Telefono"))</f>
        <v>Sin Telefono</v>
      </c>
      <c r="DB44" s="14" t="str">
        <f>IF(A44=0,0,"Reporte de Trazabiidad"&amp;" - "&amp;'[1]Resumen Donantes'!$C$2&amp;" - "&amp;A44&amp;"")</f>
        <v>Reporte de Trazabiidad -  - Vima Foods Panamá S.A.</v>
      </c>
    </row>
    <row r="45" spans="1:106" x14ac:dyDescent="0.55000000000000004">
      <c r="A45" s="14" t="s">
        <v>149</v>
      </c>
      <c r="B45" s="15">
        <f>INT(IFERROR(VLOOKUP(A45,'[1]Resumen Donantes'!C:F,3,0),0))</f>
        <v>0</v>
      </c>
      <c r="C45" s="15">
        <f>INT(ROUND(IFERROR(VLOOKUP(A45,'[1]Resumen Donantes'!C:F,4,0),0),1))</f>
        <v>818</v>
      </c>
      <c r="D45" s="16">
        <f t="shared" si="19"/>
        <v>818</v>
      </c>
      <c r="E45" s="17" t="str">
        <f t="shared" si="20"/>
        <v>100.00%</v>
      </c>
      <c r="F45" s="17" t="str">
        <f t="shared" si="21"/>
        <v>0.0%</v>
      </c>
      <c r="G45" s="15">
        <f t="shared" si="25"/>
        <v>2454</v>
      </c>
      <c r="H45" s="18"/>
      <c r="I45" s="18">
        <f>IFERROR(VLOOKUP(A45,'[1]Lot All by Part'!T:Y,6,0),0)</f>
        <v>0</v>
      </c>
      <c r="J45" s="18"/>
      <c r="K45" s="19">
        <f>IFERROR(VLOOKUP($A45,'[1]OB Atendidas por Donantes'!A:N,3,0),0)</f>
        <v>16</v>
      </c>
      <c r="L45" s="19">
        <f>ROUNDUP(IF(A45=0,0,IFERROR(VLOOKUP($A45,'[1]Kilos Asignado del Donante'!A:O,3,0),0)),0)</f>
        <v>156</v>
      </c>
      <c r="M45" s="19">
        <f>IF(A45=0,0,IFERROR(SUMIFS([1]Poblacion!M:M,[1]Poblacion!J:J,'MASTER-2025'!A45),0))</f>
        <v>0</v>
      </c>
      <c r="N45" s="20">
        <f>IFERROR(VLOOKUP($A45,'[1]OB Atendidas por Donantes'!A:N,4,0),0)</f>
        <v>17</v>
      </c>
      <c r="O45" s="20">
        <f>ROUNDUP(IF(A45=0,0,IFERROR(VLOOKUP($A45,'[1]Kilos Asignado del Donante'!A:O,4,0),0)),0)</f>
        <v>179</v>
      </c>
      <c r="P45" s="20">
        <f>IF(A45=0,0,IFERROR(SUMIFS([1]Poblacion!N:N,[1]Poblacion!J:J,'MASTER-2025'!A45),0))</f>
        <v>0</v>
      </c>
      <c r="Q45" s="18">
        <f>IFERROR(VLOOKUP($A45,'[1]OB Atendidas por Donantes'!A:N,2,0),0)</f>
        <v>6</v>
      </c>
      <c r="R45" s="18">
        <f>ROUNDUP(ROUND(IF(A45=0,0,IFERROR(VLOOKUP($A45,'[1]Kilos Asignado del Donante'!A:O,9,0),0)),1),0)</f>
        <v>22</v>
      </c>
      <c r="S45" s="18">
        <f>IF(A45=0,0,IFERROR(SUMIFS([1]Poblacion!S:S,[1]Poblacion!J:J,'MASTER-2025'!A45),0))</f>
        <v>0</v>
      </c>
      <c r="T45" s="19">
        <f>IFERROR(VLOOKUP($A45,'[1]OB Atendidas por Donantes'!A:N,12,0),0)</f>
        <v>3</v>
      </c>
      <c r="U45" s="19">
        <f>ROUNDUP(IF(A45=0,0,IF(A45=0,0,IFERROR(VLOOKUP($A45,'[1]Kilos Asignado del Donante'!A:O,7,0),0))),0)</f>
        <v>7</v>
      </c>
      <c r="V45" s="19">
        <f>IF(A45=0,0,IFERROR(SUMIFS([1]Poblacion!Q:Q,[1]Poblacion!J:J,'MASTER-2025'!A45),0))</f>
        <v>0</v>
      </c>
      <c r="W45" s="20">
        <f>IFERROR(VLOOKUP($A45,'[1]OB Atendidas por Donantes'!A:N,10,0),0)</f>
        <v>9</v>
      </c>
      <c r="X45" s="20">
        <f>ROUNDUP(IF(A45=0,0,IFERROR(VLOOKUP($A45,'[1]Kilos Asignado del Donante'!A:N,5,0),0)),0)</f>
        <v>101</v>
      </c>
      <c r="Y45" s="20">
        <f>IF(A45=0,0,IFERROR(SUMIFS([1]Poblacion!O:O,[1]Poblacion!J:J,'MASTER-2025'!A45),0))</f>
        <v>0</v>
      </c>
      <c r="Z45" s="18">
        <f>IFERROR(VLOOKUP($A45,'[1]OB Atendidas por Donantes'!A:N,6,0),0)</f>
        <v>3</v>
      </c>
      <c r="AA45" s="18">
        <f>ROUNDUP(IF(A45=0,0,IFERROR(VLOOKUP($A45,'[1]Kilos Asignado del Donante'!A:N,11,0),0)),0)</f>
        <v>8</v>
      </c>
      <c r="AB45" s="18">
        <f>IF(A45=0,0,IFERROR(SUMIFS([1]Poblacion!U:U,[1]Poblacion!J:J,'MASTER-2025'!A45),0))</f>
        <v>0</v>
      </c>
      <c r="AC45" s="19">
        <f>IFERROR(VLOOKUP($A45,'[1]OB Atendidas por Donantes'!A:N,7,0),0)</f>
        <v>1</v>
      </c>
      <c r="AD45" s="19">
        <f>ROUNDUP(IF(A45=0,0,IFERROR(VLOOKUP($A45,'[1]Kilos Asignado del Donante'!A:N,8,0),0)),0)</f>
        <v>113</v>
      </c>
      <c r="AE45" s="19">
        <f>IF(A45=0,0,IFERROR(SUMIFS([1]Poblacion!R:R,[1]Poblacion!J:J,'MASTER-2025'!A45),0))</f>
        <v>0</v>
      </c>
      <c r="AF45" s="20">
        <f>IFERROR(VLOOKUP($A45,'[1]OB Atendidas por Donantes'!A:N,8,0),0)</f>
        <v>2</v>
      </c>
      <c r="AG45" s="20">
        <f>ROUNDUP(IF(A45=0,0,IFERROR(VLOOKUP($A45,'[1]Kilos Asignado del Donante'!A:N,6,0),0)),0)</f>
        <v>27</v>
      </c>
      <c r="AH45" s="20">
        <f>IF(A45=0,0,IFERROR(SUMIFS([1]Poblacion!P:P,[1]Poblacion!J:J,'MASTER-2025'!A45),0))</f>
        <v>0</v>
      </c>
      <c r="AI45" s="18">
        <f>IFERROR(VLOOKUP($A45,'[1]OB Atendidas por Donantes'!A:N,9,0),0)</f>
        <v>0</v>
      </c>
      <c r="AJ45" s="18">
        <f>ROUNDUP(IF(A45=0,0,IFERROR(VLOOKUP($A45,'[1]Kilos Asignado del Donante'!A:N,12,0),0)),0)</f>
        <v>0</v>
      </c>
      <c r="AK45" s="18">
        <f>IF(A45=0,0,IFERROR(SUMIFS([1]Poblacion!V:V,[1]Poblacion!J:J,'MASTER-2025'!A45),0))</f>
        <v>0</v>
      </c>
      <c r="AL45" s="19">
        <f>IFERROR(VLOOKUP($A45,'[1]OB Atendidas por Donantes'!A:N,16,0),0)</f>
        <v>0</v>
      </c>
      <c r="AM45" s="19">
        <f>ROUNDUP(IF(A45=0,0,IFERROR(VLOOKUP($A45,'[1]Kilos Asignado del Donante'!A:O,16,0),0)),0)</f>
        <v>0</v>
      </c>
      <c r="AN45" s="19">
        <f>IF(A45=0,0,IFERROR(SUMIFS([1]Poblacion!Z:Z,[1]Poblacion!J:J,'MASTER-2025'!A45),0))</f>
        <v>0</v>
      </c>
      <c r="AO45" s="20">
        <f>IFERROR(VLOOKUP($A45,'[1]OB Atendidas por Donantes'!A:N,11,0),0)</f>
        <v>1</v>
      </c>
      <c r="AP45" s="20">
        <f>ROUNDUP(IF(A45=0,0,IFERROR(VLOOKUP($A45,'[1]Kilos Asignado del Donante'!A:N,13,0),0)),0)</f>
        <v>2</v>
      </c>
      <c r="AQ45" s="20">
        <f>IF(A45=0,0,IFERROR(SUMIFS([1]Poblacion!W:W,[1]Poblacion!J:J,'MASTER-2025'!A45),0))</f>
        <v>0</v>
      </c>
      <c r="AR45" s="18">
        <f>IFERROR(VLOOKUP($A45,'[1]OB Atendidas por Donantes'!A:N,5,0),0)</f>
        <v>2</v>
      </c>
      <c r="AS45" s="18">
        <f>ROUNDUP(IF(A45=0,0,IFERROR(VLOOKUP($A45,'[1]Kilos Asignado del Donante'!A:N,10,0),0)),0)</f>
        <v>14</v>
      </c>
      <c r="AT45" s="18">
        <f>IF(A45=0,0,IFERROR(SUMIFS([1]Poblacion!T:T,[1]Poblacion!J:J,'MASTER-2025'!A45),0))</f>
        <v>0</v>
      </c>
      <c r="AU45" s="19">
        <f>IFERROR(VLOOKUP($A45,'[1]OB Atendidas por Donantes'!A:N,13,0),0)</f>
        <v>0</v>
      </c>
      <c r="AV45" s="19">
        <f>ROUNDUP(IF(A45=0,0,IFERROR(VLOOKUP($A45,'[1]Kilos Asignado del Donante'!A:N,14,0),0)),0)</f>
        <v>0</v>
      </c>
      <c r="AW45" s="19">
        <f>IF(A45=0,0,IFERROR(SUMIFS([1]Poblacion!X:X,[1]Poblacion!J:J,'MASTER-2025'!A45),0))</f>
        <v>0</v>
      </c>
      <c r="AX45" s="20">
        <f>IFERROR(VLOOKUP($A45,'[1]OB Atendidas por Donantes'!A:N,16,0),0)</f>
        <v>0</v>
      </c>
      <c r="AY45" s="20">
        <f>ROUNDUP(IF(A45=0,0,IFERROR(VLOOKUP($A45,'[1]Kilos Asignado del Donante'!A:O,16,0),0)),0)</f>
        <v>0</v>
      </c>
      <c r="AZ45" s="20">
        <f>IF(A45=0,0,IFERROR(SUMIFS([1]Poblacion!Y:Y,[1]Poblacion!J:J,'MASTER-2025'!A45),0))</f>
        <v>0</v>
      </c>
      <c r="BA45" s="21">
        <f t="shared" si="15"/>
        <v>60</v>
      </c>
      <c r="BB45" s="21">
        <f t="shared" si="23"/>
        <v>629</v>
      </c>
      <c r="BC45" s="21">
        <f t="shared" si="24"/>
        <v>364</v>
      </c>
      <c r="BD45" s="21">
        <f t="shared" si="26"/>
        <v>0</v>
      </c>
      <c r="BE45" s="22" t="e">
        <f>IF(A45=0,0,SUMIFS([1]Poblacion!C:C,[1]Poblacion!A:A,'MASTER-2025'!A45))</f>
        <v>#VALUE!</v>
      </c>
      <c r="BF45" s="22" t="e">
        <f>IF(A45=0,0,SUMIFS([1]Poblacion!D:D,[1]Poblacion!A:A,'MASTER-2025'!A45))</f>
        <v>#VALUE!</v>
      </c>
      <c r="BG45" s="22" t="e">
        <f>IF(A45=0,0,SUMIFS([1]Poblacion!E:E,[1]Poblacion!A:A,'MASTER-2025'!A45))</f>
        <v>#VALUE!</v>
      </c>
      <c r="BH45" s="22" t="e">
        <f>IF(A45=0,0,SUMIFS([1]Poblacion!F:F,[1]Poblacion!A:A,'MASTER-2025'!A45))</f>
        <v>#VALUE!</v>
      </c>
      <c r="BI45" s="22" t="e">
        <f t="shared" si="18"/>
        <v>#VALUE!</v>
      </c>
      <c r="BJ45" s="23" t="e">
        <f t="shared" si="7"/>
        <v>#VALUE!</v>
      </c>
      <c r="BK45" s="22" t="e">
        <f>IF(A45=0,0,SUMIFS([1]Poblacion!G:G,[1]Poblacion!A:A,'MASTER-2025'!A45))</f>
        <v>#VALUE!</v>
      </c>
      <c r="BL45" s="24" cm="1">
        <f t="array" ref="BL45:BW45">IFERROR(VLOOKUP(A45,'[1]Acum-OB-kg-pob-25'!A:AQ,{3,4,5,6,7,8,9,10,11,12,13,14},0),0)</f>
        <v>0</v>
      </c>
      <c r="BM45" s="24">
        <v>45</v>
      </c>
      <c r="BN45" s="24">
        <v>60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f t="shared" si="8"/>
        <v>105</v>
      </c>
      <c r="BY45" s="25" cm="1">
        <f t="array" ref="BY45:CJ45">IFERROR(VLOOKUP(A45,'[1]Acum-OB-kg-pob-25'!A:AQ,{17,18,19,20,21,22,23,24,25,26,27,28},0),0)</f>
        <v>1409</v>
      </c>
      <c r="BZ45" s="25">
        <v>987</v>
      </c>
      <c r="CA45" s="25">
        <v>818</v>
      </c>
      <c r="CB45" s="25">
        <v>0</v>
      </c>
      <c r="CC45" s="25">
        <v>0</v>
      </c>
      <c r="CD45" s="25">
        <v>0</v>
      </c>
      <c r="CE45" s="25">
        <v>0</v>
      </c>
      <c r="CF45" s="25">
        <v>0</v>
      </c>
      <c r="CG45" s="25">
        <v>0</v>
      </c>
      <c r="CH45" s="25">
        <v>0</v>
      </c>
      <c r="CI45" s="25">
        <v>0</v>
      </c>
      <c r="CJ45" s="25">
        <v>0</v>
      </c>
      <c r="CK45" s="25">
        <f t="shared" si="9"/>
        <v>3214</v>
      </c>
      <c r="CL45" s="26" cm="1">
        <f t="array" ref="CL45:CW45">IFERROR(VLOOKUP(A45,'[1]Acum-OB-kg-pob-25'!A:AQ,{31,32,33,34,35,36,37,38,39,40,41,42},0),0)</f>
        <v>0</v>
      </c>
      <c r="CM45" s="26">
        <v>12662</v>
      </c>
      <c r="CN45" s="26">
        <v>15214</v>
      </c>
      <c r="CO45" s="26">
        <v>0</v>
      </c>
      <c r="CP45" s="26">
        <v>0</v>
      </c>
      <c r="CQ45" s="26">
        <v>0</v>
      </c>
      <c r="CR45" s="26">
        <v>0</v>
      </c>
      <c r="CS45" s="26">
        <v>0</v>
      </c>
      <c r="CT45" s="26">
        <v>0</v>
      </c>
      <c r="CU45" s="26">
        <v>0</v>
      </c>
      <c r="CV45" s="26">
        <v>0</v>
      </c>
      <c r="CW45" s="26">
        <v>0</v>
      </c>
      <c r="CX45" s="26">
        <f t="shared" si="10"/>
        <v>27876</v>
      </c>
      <c r="CY45" s="14" t="str">
        <f>IF(A45=0,0,IFERROR(VLOOKUP(A45,'[1]Info Donantes'!C:F,2,0),"Sin Contacto"))</f>
        <v>Dayrineth De León</v>
      </c>
      <c r="CZ45" s="14" t="str">
        <f>IF(A45=0,0,IFERROR(VLOOKUP(A45,'[1]Info Donantes'!C:F,3,0),"Sin Correo"))</f>
        <v>ddeleon@proluxsa.com</v>
      </c>
      <c r="DA45" s="14" t="str">
        <f>IF(A45=0,0,IFERROR(VLOOKUP(A45,'[1]Info Donantes'!C:F,4,0),"Sin Telefono"))</f>
        <v>224-9095</v>
      </c>
      <c r="DB45" s="14" t="str">
        <f>IF(A45=0,0,"Reporte de Trazabiidad"&amp;" - "&amp;'[1]Resumen Donantes'!$C$2&amp;" - "&amp;A45&amp;"")</f>
        <v>Reporte de Trazabiidad -  - PRODUCTOS LUX, S.A ( Proluxa)</v>
      </c>
    </row>
    <row r="46" spans="1:106" x14ac:dyDescent="0.55000000000000004">
      <c r="A46" s="14" t="s">
        <v>150</v>
      </c>
      <c r="B46" s="15">
        <f>INT(IFERROR(VLOOKUP(A46,'[1]Resumen Donantes'!C:F,3,0),0))</f>
        <v>0</v>
      </c>
      <c r="C46" s="15">
        <f>INT(ROUND(IFERROR(VLOOKUP(A46,'[1]Resumen Donantes'!C:F,4,0),0),1))</f>
        <v>0</v>
      </c>
      <c r="D46" s="16">
        <f t="shared" si="19"/>
        <v>0</v>
      </c>
      <c r="E46" s="17" t="str">
        <f t="shared" si="20"/>
        <v>0.00%</v>
      </c>
      <c r="F46" s="17" t="str">
        <f t="shared" si="21"/>
        <v>0.0%</v>
      </c>
      <c r="G46" s="15">
        <f t="shared" si="25"/>
        <v>0</v>
      </c>
      <c r="H46" s="18"/>
      <c r="I46" s="18">
        <f>IFERROR(VLOOKUP(A46,'[1]Lot All by Part'!T:Y,6,0),0)</f>
        <v>0</v>
      </c>
      <c r="J46" s="18"/>
      <c r="K46" s="19">
        <f>IFERROR(VLOOKUP($A46,'[1]OB Atendidas por Donantes'!A:N,3,0),0)</f>
        <v>0</v>
      </c>
      <c r="L46" s="19">
        <f>ROUNDUP(IF(A46=0,0,IFERROR(VLOOKUP($A46,'[1]Kilos Asignado del Donante'!A:O,3,0),0)),0)</f>
        <v>0</v>
      </c>
      <c r="M46" s="19">
        <f>IF(A46=0,0,IFERROR(SUMIFS([1]Poblacion!M:M,[1]Poblacion!J:J,'MASTER-2025'!A46),0))</f>
        <v>0</v>
      </c>
      <c r="N46" s="20">
        <f>IFERROR(VLOOKUP($A46,'[1]OB Atendidas por Donantes'!A:N,4,0),0)</f>
        <v>0</v>
      </c>
      <c r="O46" s="20">
        <f>ROUNDUP(IF(A46=0,0,IFERROR(VLOOKUP($A46,'[1]Kilos Asignado del Donante'!A:O,4,0),0)),0)</f>
        <v>0</v>
      </c>
      <c r="P46" s="20">
        <f>IF(A46=0,0,IFERROR(SUMIFS([1]Poblacion!N:N,[1]Poblacion!J:J,'MASTER-2025'!A46),0))</f>
        <v>0</v>
      </c>
      <c r="Q46" s="18">
        <f>IFERROR(VLOOKUP($A46,'[1]OB Atendidas por Donantes'!A:N,2,0),0)</f>
        <v>0</v>
      </c>
      <c r="R46" s="18">
        <f>ROUNDUP(ROUND(IF(A46=0,0,IFERROR(VLOOKUP($A46,'[1]Kilos Asignado del Donante'!A:O,9,0),0)),1),0)</f>
        <v>0</v>
      </c>
      <c r="S46" s="18">
        <f>IF(A46=0,0,IFERROR(SUMIFS([1]Poblacion!S:S,[1]Poblacion!J:J,'MASTER-2025'!A46),0))</f>
        <v>0</v>
      </c>
      <c r="T46" s="19">
        <f>IFERROR(VLOOKUP($A46,'[1]OB Atendidas por Donantes'!A:N,12,0),0)</f>
        <v>0</v>
      </c>
      <c r="U46" s="19">
        <f>ROUNDUP(IF(A46=0,0,IF(A46=0,0,IFERROR(VLOOKUP($A46,'[1]Kilos Asignado del Donante'!A:O,7,0),0))),0)</f>
        <v>0</v>
      </c>
      <c r="V46" s="19">
        <f>IF(A46=0,0,IFERROR(SUMIFS([1]Poblacion!Q:Q,[1]Poblacion!J:J,'MASTER-2025'!A46),0))</f>
        <v>0</v>
      </c>
      <c r="W46" s="20">
        <f>IFERROR(VLOOKUP($A46,'[1]OB Atendidas por Donantes'!A:N,10,0),0)</f>
        <v>0</v>
      </c>
      <c r="X46" s="20">
        <f>ROUNDUP(IF(A46=0,0,IFERROR(VLOOKUP($A46,'[1]Kilos Asignado del Donante'!A:N,5,0),0)),0)</f>
        <v>0</v>
      </c>
      <c r="Y46" s="20">
        <f>IF(A46=0,0,IFERROR(SUMIFS([1]Poblacion!O:O,[1]Poblacion!J:J,'MASTER-2025'!A46),0))</f>
        <v>0</v>
      </c>
      <c r="Z46" s="18">
        <f>IFERROR(VLOOKUP($A46,'[1]OB Atendidas por Donantes'!A:N,6,0),0)</f>
        <v>0</v>
      </c>
      <c r="AA46" s="18">
        <f>ROUNDUP(IF(A46=0,0,IFERROR(VLOOKUP($A46,'[1]Kilos Asignado del Donante'!A:N,11,0),0)),0)</f>
        <v>0</v>
      </c>
      <c r="AB46" s="18">
        <f>IF(A46=0,0,IFERROR(SUMIFS([1]Poblacion!U:U,[1]Poblacion!J:J,'MASTER-2025'!A46),0))</f>
        <v>0</v>
      </c>
      <c r="AC46" s="19">
        <f>IFERROR(VLOOKUP($A46,'[1]OB Atendidas por Donantes'!A:N,7,0),0)</f>
        <v>0</v>
      </c>
      <c r="AD46" s="19">
        <f>ROUNDUP(IF(A46=0,0,IFERROR(VLOOKUP($A46,'[1]Kilos Asignado del Donante'!A:N,8,0),0)),0)</f>
        <v>0</v>
      </c>
      <c r="AE46" s="19">
        <f>IF(A46=0,0,IFERROR(SUMIFS([1]Poblacion!R:R,[1]Poblacion!J:J,'MASTER-2025'!A46),0))</f>
        <v>0</v>
      </c>
      <c r="AF46" s="20">
        <f>IFERROR(VLOOKUP($A46,'[1]OB Atendidas por Donantes'!A:N,8,0),0)</f>
        <v>0</v>
      </c>
      <c r="AG46" s="20">
        <f>ROUNDUP(IF(A46=0,0,IFERROR(VLOOKUP($A46,'[1]Kilos Asignado del Donante'!A:N,6,0),0)),0)</f>
        <v>0</v>
      </c>
      <c r="AH46" s="20">
        <f>IF(A46=0,0,IFERROR(SUMIFS([1]Poblacion!P:P,[1]Poblacion!J:J,'MASTER-2025'!A46),0))</f>
        <v>0</v>
      </c>
      <c r="AI46" s="18">
        <f>IFERROR(VLOOKUP($A46,'[1]OB Atendidas por Donantes'!A:N,9,0),0)</f>
        <v>0</v>
      </c>
      <c r="AJ46" s="18">
        <f>ROUNDUP(IF(A46=0,0,IFERROR(VLOOKUP($A46,'[1]Kilos Asignado del Donante'!A:N,12,0),0)),0)</f>
        <v>0</v>
      </c>
      <c r="AK46" s="18">
        <f>IF(A46=0,0,IFERROR(SUMIFS([1]Poblacion!V:V,[1]Poblacion!J:J,'MASTER-2025'!A46),0))</f>
        <v>0</v>
      </c>
      <c r="AL46" s="19">
        <f>IFERROR(VLOOKUP($A46,'[1]OB Atendidas por Donantes'!A:N,16,0),0)</f>
        <v>0</v>
      </c>
      <c r="AM46" s="19">
        <f>ROUNDUP(IF(A46=0,0,IFERROR(VLOOKUP($A46,'[1]Kilos Asignado del Donante'!A:O,16,0),0)),0)</f>
        <v>0</v>
      </c>
      <c r="AN46" s="19">
        <f>IF(A46=0,0,IFERROR(SUMIFS([1]Poblacion!Z:Z,[1]Poblacion!J:J,'MASTER-2025'!A46),0))</f>
        <v>0</v>
      </c>
      <c r="AO46" s="20">
        <f>IFERROR(VLOOKUP($A46,'[1]OB Atendidas por Donantes'!A:N,11,0),0)</f>
        <v>0</v>
      </c>
      <c r="AP46" s="20">
        <f>ROUNDUP(IF(A46=0,0,IFERROR(VLOOKUP($A46,'[1]Kilos Asignado del Donante'!A:N,13,0),0)),0)</f>
        <v>0</v>
      </c>
      <c r="AQ46" s="20">
        <f>IF(A46=0,0,IFERROR(SUMIFS([1]Poblacion!W:W,[1]Poblacion!J:J,'MASTER-2025'!A46),0))</f>
        <v>0</v>
      </c>
      <c r="AR46" s="18">
        <f>IFERROR(VLOOKUP($A46,'[1]OB Atendidas por Donantes'!A:N,5,0),0)</f>
        <v>0</v>
      </c>
      <c r="AS46" s="18">
        <f>ROUNDUP(IF(A46=0,0,IFERROR(VLOOKUP($A46,'[1]Kilos Asignado del Donante'!A:N,10,0),0)),0)</f>
        <v>0</v>
      </c>
      <c r="AT46" s="18">
        <f>IF(A46=0,0,IFERROR(SUMIFS([1]Poblacion!T:T,[1]Poblacion!J:J,'MASTER-2025'!A46),0))</f>
        <v>0</v>
      </c>
      <c r="AU46" s="19">
        <f>IFERROR(VLOOKUP($A46,'[1]OB Atendidas por Donantes'!A:N,13,0),0)</f>
        <v>0</v>
      </c>
      <c r="AV46" s="19">
        <f>ROUNDUP(IF(A46=0,0,IFERROR(VLOOKUP($A46,'[1]Kilos Asignado del Donante'!A:N,14,0),0)),0)</f>
        <v>0</v>
      </c>
      <c r="AW46" s="19">
        <f>IF(A46=0,0,IFERROR(SUMIFS([1]Poblacion!X:X,[1]Poblacion!J:J,'MASTER-2025'!A46),0))</f>
        <v>0</v>
      </c>
      <c r="AX46" s="20">
        <f>IFERROR(VLOOKUP($A46,'[1]OB Atendidas por Donantes'!A:N,16,0),0)</f>
        <v>0</v>
      </c>
      <c r="AY46" s="20">
        <f>ROUNDUP(IF(A46=0,0,IFERROR(VLOOKUP($A46,'[1]Kilos Asignado del Donante'!A:O,16,0),0)),0)</f>
        <v>0</v>
      </c>
      <c r="AZ46" s="20">
        <f>IF(A46=0,0,IFERROR(SUMIFS([1]Poblacion!Y:Y,[1]Poblacion!J:J,'MASTER-2025'!A46),0))</f>
        <v>0</v>
      </c>
      <c r="BA46" s="21">
        <f t="shared" si="15"/>
        <v>0</v>
      </c>
      <c r="BB46" s="21">
        <f t="shared" si="23"/>
        <v>0</v>
      </c>
      <c r="BC46" s="21">
        <f t="shared" si="24"/>
        <v>0</v>
      </c>
      <c r="BD46" s="21">
        <f t="shared" si="26"/>
        <v>0</v>
      </c>
      <c r="BE46" s="22" t="e">
        <f>IF(A46=0,0,SUMIFS([1]Poblacion!C:C,[1]Poblacion!A:A,'MASTER-2025'!A46))</f>
        <v>#VALUE!</v>
      </c>
      <c r="BF46" s="22" t="e">
        <f>IF(A46=0,0,SUMIFS([1]Poblacion!D:D,[1]Poblacion!A:A,'MASTER-2025'!A46))</f>
        <v>#VALUE!</v>
      </c>
      <c r="BG46" s="22" t="e">
        <f>IF(A46=0,0,SUMIFS([1]Poblacion!E:E,[1]Poblacion!A:A,'MASTER-2025'!A46))</f>
        <v>#VALUE!</v>
      </c>
      <c r="BH46" s="22" t="e">
        <f>IF(A46=0,0,SUMIFS([1]Poblacion!F:F,[1]Poblacion!A:A,'MASTER-2025'!A46))</f>
        <v>#VALUE!</v>
      </c>
      <c r="BI46" s="22" t="e">
        <f t="shared" si="18"/>
        <v>#VALUE!</v>
      </c>
      <c r="BJ46" s="23" t="e">
        <f t="shared" si="7"/>
        <v>#VALUE!</v>
      </c>
      <c r="BK46" s="22" t="e">
        <f>IF(A46=0,0,SUMIFS([1]Poblacion!G:G,[1]Poblacion!A:A,'MASTER-2025'!A46))</f>
        <v>#VALUE!</v>
      </c>
      <c r="BL46" s="24" cm="1">
        <f t="array" ref="BL46:BW46">IFERROR(VLOOKUP(A46,'[1]Acum-OB-kg-pob-25'!A:AQ,{3,4,5,6,7,8,9,10,11,12,13,14},0),0)</f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f t="shared" si="8"/>
        <v>0</v>
      </c>
      <c r="BY46" s="25" cm="1">
        <f t="array" ref="BY46:CJ46">IFERROR(VLOOKUP(A46,'[1]Acum-OB-kg-pob-25'!A:AQ,{17,18,19,20,21,22,23,24,25,26,27,28},0),0)</f>
        <v>0</v>
      </c>
      <c r="BZ46" s="25">
        <v>0</v>
      </c>
      <c r="CA46" s="25">
        <v>0</v>
      </c>
      <c r="CB46" s="25">
        <v>0</v>
      </c>
      <c r="CC46" s="25">
        <v>0</v>
      </c>
      <c r="CD46" s="25">
        <v>0</v>
      </c>
      <c r="CE46" s="25">
        <v>0</v>
      </c>
      <c r="CF46" s="25">
        <v>0</v>
      </c>
      <c r="CG46" s="25">
        <v>0</v>
      </c>
      <c r="CH46" s="25">
        <v>0</v>
      </c>
      <c r="CI46" s="25">
        <v>0</v>
      </c>
      <c r="CJ46" s="25">
        <v>0</v>
      </c>
      <c r="CK46" s="25">
        <f t="shared" si="9"/>
        <v>0</v>
      </c>
      <c r="CL46" s="26" cm="1">
        <f t="array" ref="CL46:CW46">IFERROR(VLOOKUP(A46,'[1]Acum-OB-kg-pob-25'!A:AQ,{31,32,33,34,35,36,37,38,39,40,41,42},0),0)</f>
        <v>0</v>
      </c>
      <c r="CM46" s="26">
        <v>0</v>
      </c>
      <c r="CN46" s="26">
        <v>0</v>
      </c>
      <c r="CO46" s="26">
        <v>0</v>
      </c>
      <c r="CP46" s="26">
        <v>0</v>
      </c>
      <c r="CQ46" s="26">
        <v>0</v>
      </c>
      <c r="CR46" s="26">
        <v>0</v>
      </c>
      <c r="CS46" s="26">
        <v>0</v>
      </c>
      <c r="CT46" s="26">
        <v>0</v>
      </c>
      <c r="CU46" s="26">
        <v>0</v>
      </c>
      <c r="CV46" s="26">
        <v>0</v>
      </c>
      <c r="CW46" s="26">
        <v>0</v>
      </c>
      <c r="CX46" s="26">
        <f t="shared" si="10"/>
        <v>0</v>
      </c>
      <c r="CY46" s="14" t="str">
        <f>IF(A46=0,0,IFERROR(VLOOKUP(A46,'[1]Info Donantes'!C:F,2,0),"Sin Contacto"))</f>
        <v>Jay Kinlock</v>
      </c>
      <c r="CZ46" s="14" t="str">
        <f>IF(A46=0,0,IFERROR(VLOOKUP(A46,'[1]Info Donantes'!C:F,3,0),"Sin Correo"))</f>
        <v>jkinlock1@martin-brower.com</v>
      </c>
      <c r="DA46" s="14" t="str">
        <f>IF(A46=0,0,IFERROR(VLOOKUP(A46,'[1]Info Donantes'!C:F,4,0),"Sin Telefono"))</f>
        <v>202-5100</v>
      </c>
      <c r="DB46" s="14" t="str">
        <f>IF(A46=0,0,"Reporte de Trazabiidad"&amp;" - "&amp;'[1]Resumen Donantes'!$C$2&amp;" - "&amp;A46&amp;"")</f>
        <v>Reporte de Trazabiidad -  - MARTÍN BROWER</v>
      </c>
    </row>
    <row r="47" spans="1:106" x14ac:dyDescent="0.55000000000000004">
      <c r="A47" s="14" t="s">
        <v>151</v>
      </c>
      <c r="B47" s="15">
        <f>INT(IFERROR(VLOOKUP(A47,'[1]Resumen Donantes'!C:F,3,0),0))</f>
        <v>0</v>
      </c>
      <c r="C47" s="15">
        <f>INT(ROUND(IFERROR(VLOOKUP(A47,'[1]Resumen Donantes'!C:F,4,0),0),1))</f>
        <v>0</v>
      </c>
      <c r="D47" s="16">
        <f t="shared" si="19"/>
        <v>0</v>
      </c>
      <c r="E47" s="17" t="str">
        <f t="shared" si="20"/>
        <v>0.00%</v>
      </c>
      <c r="F47" s="17" t="str">
        <f t="shared" si="21"/>
        <v>0.0%</v>
      </c>
      <c r="G47" s="15">
        <f t="shared" si="25"/>
        <v>0</v>
      </c>
      <c r="H47" s="18"/>
      <c r="I47" s="18">
        <f>IFERROR(VLOOKUP(A47,'[1]Lot All by Part'!T:Y,6,0),0)</f>
        <v>0</v>
      </c>
      <c r="J47" s="18"/>
      <c r="K47" s="19">
        <f>IFERROR(VLOOKUP($A47,'[1]OB Atendidas por Donantes'!A:N,3,0),0)</f>
        <v>0</v>
      </c>
      <c r="L47" s="19">
        <f>ROUNDUP(IF(A47=0,0,IFERROR(VLOOKUP($A47,'[1]Kilos Asignado del Donante'!A:O,3,0),0)),0)</f>
        <v>0</v>
      </c>
      <c r="M47" s="19">
        <f>IF(A47=0,0,IFERROR(SUMIFS([1]Poblacion!M:M,[1]Poblacion!J:J,'MASTER-2025'!A47),0))</f>
        <v>0</v>
      </c>
      <c r="N47" s="20">
        <f>IFERROR(VLOOKUP($A47,'[1]OB Atendidas por Donantes'!A:N,4,0),0)</f>
        <v>0</v>
      </c>
      <c r="O47" s="20">
        <f>ROUNDUP(IF(A47=0,0,IFERROR(VLOOKUP($A47,'[1]Kilos Asignado del Donante'!A:O,4,0),0)),0)</f>
        <v>0</v>
      </c>
      <c r="P47" s="20">
        <f>IF(A47=0,0,IFERROR(SUMIFS([1]Poblacion!N:N,[1]Poblacion!J:J,'MASTER-2025'!A47),0))</f>
        <v>0</v>
      </c>
      <c r="Q47" s="18">
        <f>IFERROR(VLOOKUP($A47,'[1]OB Atendidas por Donantes'!A:N,2,0),0)</f>
        <v>0</v>
      </c>
      <c r="R47" s="18">
        <f>ROUNDUP(ROUND(IF(A47=0,0,IFERROR(VLOOKUP($A47,'[1]Kilos Asignado del Donante'!A:O,9,0),0)),1),0)</f>
        <v>0</v>
      </c>
      <c r="S47" s="18">
        <f>IF(A47=0,0,IFERROR(SUMIFS([1]Poblacion!S:S,[1]Poblacion!J:J,'MASTER-2025'!A47),0))</f>
        <v>0</v>
      </c>
      <c r="T47" s="19">
        <f>IFERROR(VLOOKUP($A47,'[1]OB Atendidas por Donantes'!A:N,12,0),0)</f>
        <v>0</v>
      </c>
      <c r="U47" s="19">
        <f>ROUNDUP(IF(A47=0,0,IF(A47=0,0,IFERROR(VLOOKUP($A47,'[1]Kilos Asignado del Donante'!A:O,7,0),0))),0)</f>
        <v>0</v>
      </c>
      <c r="V47" s="19">
        <f>IF(A47=0,0,IFERROR(SUMIFS([1]Poblacion!Q:Q,[1]Poblacion!J:J,'MASTER-2025'!A47),0))</f>
        <v>0</v>
      </c>
      <c r="W47" s="20">
        <f>IFERROR(VLOOKUP($A47,'[1]OB Atendidas por Donantes'!A:N,10,0),0)</f>
        <v>0</v>
      </c>
      <c r="X47" s="20">
        <f>ROUNDUP(IF(A47=0,0,IFERROR(VLOOKUP($A47,'[1]Kilos Asignado del Donante'!A:N,5,0),0)),0)</f>
        <v>0</v>
      </c>
      <c r="Y47" s="20">
        <f>IF(A47=0,0,IFERROR(SUMIFS([1]Poblacion!O:O,[1]Poblacion!J:J,'MASTER-2025'!A47),0))</f>
        <v>0</v>
      </c>
      <c r="Z47" s="18">
        <f>IFERROR(VLOOKUP($A47,'[1]OB Atendidas por Donantes'!A:N,6,0),0)</f>
        <v>0</v>
      </c>
      <c r="AA47" s="18">
        <f>ROUNDUP(IF(A47=0,0,IFERROR(VLOOKUP($A47,'[1]Kilos Asignado del Donante'!A:N,11,0),0)),0)</f>
        <v>0</v>
      </c>
      <c r="AB47" s="18">
        <f>IF(A47=0,0,IFERROR(SUMIFS([1]Poblacion!U:U,[1]Poblacion!J:J,'MASTER-2025'!A47),0))</f>
        <v>0</v>
      </c>
      <c r="AC47" s="19">
        <f>IFERROR(VLOOKUP($A47,'[1]OB Atendidas por Donantes'!A:N,7,0),0)</f>
        <v>0</v>
      </c>
      <c r="AD47" s="19">
        <f>ROUNDUP(IF(A47=0,0,IFERROR(VLOOKUP($A47,'[1]Kilos Asignado del Donante'!A:N,8,0),0)),0)</f>
        <v>0</v>
      </c>
      <c r="AE47" s="19">
        <f>IF(A47=0,0,IFERROR(SUMIFS([1]Poblacion!R:R,[1]Poblacion!J:J,'MASTER-2025'!A47),0))</f>
        <v>0</v>
      </c>
      <c r="AF47" s="20">
        <f>IFERROR(VLOOKUP($A47,'[1]OB Atendidas por Donantes'!A:N,8,0),0)</f>
        <v>0</v>
      </c>
      <c r="AG47" s="20">
        <f>ROUNDUP(IF(A47=0,0,IFERROR(VLOOKUP($A47,'[1]Kilos Asignado del Donante'!A:N,6,0),0)),0)</f>
        <v>0</v>
      </c>
      <c r="AH47" s="20">
        <f>IF(A47=0,0,IFERROR(SUMIFS([1]Poblacion!P:P,[1]Poblacion!J:J,'MASTER-2025'!A47),0))</f>
        <v>0</v>
      </c>
      <c r="AI47" s="18">
        <f>IFERROR(VLOOKUP($A47,'[1]OB Atendidas por Donantes'!A:N,9,0),0)</f>
        <v>0</v>
      </c>
      <c r="AJ47" s="18">
        <f>ROUNDUP(IF(A47=0,0,IFERROR(VLOOKUP($A47,'[1]Kilos Asignado del Donante'!A:N,12,0),0)),0)</f>
        <v>0</v>
      </c>
      <c r="AK47" s="18">
        <f>IF(A47=0,0,IFERROR(SUMIFS([1]Poblacion!V:V,[1]Poblacion!J:J,'MASTER-2025'!A47),0))</f>
        <v>0</v>
      </c>
      <c r="AL47" s="19">
        <f>IFERROR(VLOOKUP($A47,'[1]OB Atendidas por Donantes'!A:N,16,0),0)</f>
        <v>0</v>
      </c>
      <c r="AM47" s="19">
        <f>ROUNDUP(IF(A47=0,0,IFERROR(VLOOKUP($A47,'[1]Kilos Asignado del Donante'!A:O,16,0),0)),0)</f>
        <v>0</v>
      </c>
      <c r="AN47" s="19">
        <f>IF(A47=0,0,IFERROR(SUMIFS([1]Poblacion!Z:Z,[1]Poblacion!J:J,'MASTER-2025'!A47),0))</f>
        <v>0</v>
      </c>
      <c r="AO47" s="20">
        <f>IFERROR(VLOOKUP($A47,'[1]OB Atendidas por Donantes'!A:N,11,0),0)</f>
        <v>0</v>
      </c>
      <c r="AP47" s="20">
        <f>ROUNDUP(IF(A47=0,0,IFERROR(VLOOKUP($A47,'[1]Kilos Asignado del Donante'!A:N,13,0),0)),0)</f>
        <v>0</v>
      </c>
      <c r="AQ47" s="20">
        <f>IF(A47=0,0,IFERROR(SUMIFS([1]Poblacion!W:W,[1]Poblacion!J:J,'MASTER-2025'!A47),0))</f>
        <v>0</v>
      </c>
      <c r="AR47" s="18">
        <f>IFERROR(VLOOKUP($A47,'[1]OB Atendidas por Donantes'!A:N,5,0),0)</f>
        <v>0</v>
      </c>
      <c r="AS47" s="18">
        <f>ROUNDUP(IF(A47=0,0,IFERROR(VLOOKUP($A47,'[1]Kilos Asignado del Donante'!A:N,10,0),0)),0)</f>
        <v>0</v>
      </c>
      <c r="AT47" s="18">
        <f>IF(A47=0,0,IFERROR(SUMIFS([1]Poblacion!T:T,[1]Poblacion!J:J,'MASTER-2025'!A47),0))</f>
        <v>0</v>
      </c>
      <c r="AU47" s="19">
        <f>IFERROR(VLOOKUP($A47,'[1]OB Atendidas por Donantes'!A:N,13,0),0)</f>
        <v>0</v>
      </c>
      <c r="AV47" s="19">
        <f>ROUNDUP(IF(A47=0,0,IFERROR(VLOOKUP($A47,'[1]Kilos Asignado del Donante'!A:N,14,0),0)),0)</f>
        <v>0</v>
      </c>
      <c r="AW47" s="19">
        <f>IF(A47=0,0,IFERROR(SUMIFS([1]Poblacion!X:X,[1]Poblacion!J:J,'MASTER-2025'!A47),0))</f>
        <v>0</v>
      </c>
      <c r="AX47" s="20">
        <f>IFERROR(VLOOKUP($A47,'[1]OB Atendidas por Donantes'!A:N,16,0),0)</f>
        <v>0</v>
      </c>
      <c r="AY47" s="20">
        <f>ROUNDUP(IF(A47=0,0,IFERROR(VLOOKUP($A47,'[1]Kilos Asignado del Donante'!A:O,16,0),0)),0)</f>
        <v>0</v>
      </c>
      <c r="AZ47" s="20">
        <f>IF(A47=0,0,IFERROR(SUMIFS([1]Poblacion!Y:Y,[1]Poblacion!J:J,'MASTER-2025'!A47),0))</f>
        <v>0</v>
      </c>
      <c r="BA47" s="21">
        <f t="shared" si="15"/>
        <v>0</v>
      </c>
      <c r="BB47" s="21">
        <f t="shared" si="23"/>
        <v>0</v>
      </c>
      <c r="BC47" s="21">
        <f t="shared" si="24"/>
        <v>0</v>
      </c>
      <c r="BD47" s="21">
        <f t="shared" si="26"/>
        <v>0</v>
      </c>
      <c r="BE47" s="22" t="e">
        <f>IF(A47=0,0,SUMIFS([1]Poblacion!C:C,[1]Poblacion!A:A,'MASTER-2025'!A47))</f>
        <v>#VALUE!</v>
      </c>
      <c r="BF47" s="22" t="e">
        <f>IF(A47=0,0,SUMIFS([1]Poblacion!D:D,[1]Poblacion!A:A,'MASTER-2025'!A47))</f>
        <v>#VALUE!</v>
      </c>
      <c r="BG47" s="22" t="e">
        <f>IF(A47=0,0,SUMIFS([1]Poblacion!E:E,[1]Poblacion!A:A,'MASTER-2025'!A47))</f>
        <v>#VALUE!</v>
      </c>
      <c r="BH47" s="22" t="e">
        <f>IF(A47=0,0,SUMIFS([1]Poblacion!F:F,[1]Poblacion!A:A,'MASTER-2025'!A47))</f>
        <v>#VALUE!</v>
      </c>
      <c r="BI47" s="22" t="e">
        <f t="shared" si="18"/>
        <v>#VALUE!</v>
      </c>
      <c r="BJ47" s="23" t="e">
        <f t="shared" si="7"/>
        <v>#VALUE!</v>
      </c>
      <c r="BK47" s="22" t="e">
        <f>IF(A47=0,0,SUMIFS([1]Poblacion!G:G,[1]Poblacion!A:A,'MASTER-2025'!A47))</f>
        <v>#VALUE!</v>
      </c>
      <c r="BL47" s="24" cm="1">
        <f t="array" ref="BL47:BW47">IFERROR(VLOOKUP(A47,'[1]Acum-OB-kg-pob-25'!A:AQ,{3,4,5,6,7,8,9,10,11,12,13,14},0),0)</f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f t="shared" si="8"/>
        <v>0</v>
      </c>
      <c r="BY47" s="25" cm="1">
        <f t="array" ref="BY47:CJ47">IFERROR(VLOOKUP(A47,'[1]Acum-OB-kg-pob-25'!A:AQ,{17,18,19,20,21,22,23,24,25,26,27,28},0),0)</f>
        <v>0</v>
      </c>
      <c r="BZ47" s="25">
        <v>0</v>
      </c>
      <c r="CA47" s="25">
        <v>0</v>
      </c>
      <c r="CB47" s="25">
        <v>0</v>
      </c>
      <c r="CC47" s="25">
        <v>0</v>
      </c>
      <c r="CD47" s="25">
        <v>0</v>
      </c>
      <c r="CE47" s="25">
        <v>0</v>
      </c>
      <c r="CF47" s="25">
        <v>0</v>
      </c>
      <c r="CG47" s="25">
        <v>0</v>
      </c>
      <c r="CH47" s="25">
        <v>0</v>
      </c>
      <c r="CI47" s="25">
        <v>0</v>
      </c>
      <c r="CJ47" s="25">
        <v>0</v>
      </c>
      <c r="CK47" s="25">
        <f t="shared" si="9"/>
        <v>0</v>
      </c>
      <c r="CL47" s="26" cm="1">
        <f t="array" ref="CL47:CW47">IFERROR(VLOOKUP(A47,'[1]Acum-OB-kg-pob-25'!A:AQ,{31,32,33,34,35,36,37,38,39,40,41,42},0),0)</f>
        <v>0</v>
      </c>
      <c r="CM47" s="26">
        <v>0</v>
      </c>
      <c r="CN47" s="26">
        <v>0</v>
      </c>
      <c r="CO47" s="26">
        <v>0</v>
      </c>
      <c r="CP47" s="26">
        <v>0</v>
      </c>
      <c r="CQ47" s="26">
        <v>0</v>
      </c>
      <c r="CR47" s="26">
        <v>0</v>
      </c>
      <c r="CS47" s="26">
        <v>0</v>
      </c>
      <c r="CT47" s="26">
        <v>0</v>
      </c>
      <c r="CU47" s="26">
        <v>0</v>
      </c>
      <c r="CV47" s="26">
        <v>0</v>
      </c>
      <c r="CW47" s="26">
        <v>0</v>
      </c>
      <c r="CX47" s="26">
        <f t="shared" si="10"/>
        <v>0</v>
      </c>
      <c r="CY47" s="14">
        <f>IF(A47=0,0,IFERROR(VLOOKUP(A47,'[1]Info Donantes'!C:F,2,0),"Sin Contacto"))</f>
        <v>0</v>
      </c>
      <c r="CZ47" s="14" t="str">
        <f>IF(A47=0,0,IFERROR(VLOOKUP(A47,'[1]Info Donantes'!C:F,3,0),"Sin Correo"))</f>
        <v>andreina.carrizo@nutriservipanama.net</v>
      </c>
      <c r="DA47" s="14" t="str">
        <f>IF(A47=0,0,IFERROR(VLOOKUP(A47,'[1]Info Donantes'!C:F,4,0),"Sin Telefono"))</f>
        <v>6319-9134</v>
      </c>
      <c r="DB47" s="14" t="str">
        <f>IF(A47=0,0,"Reporte de Trazabiidad"&amp;" - "&amp;'[1]Resumen Donantes'!$C$2&amp;" - "&amp;A47&amp;"")</f>
        <v>Reporte de Trazabiidad -  - NUTRISERVI PANAMA S.A</v>
      </c>
    </row>
    <row r="48" spans="1:106" x14ac:dyDescent="0.55000000000000004">
      <c r="A48" s="14" t="s">
        <v>152</v>
      </c>
      <c r="B48" s="15">
        <f>INT(IFERROR(VLOOKUP(A48,'[1]Resumen Donantes'!C:F,3,0),0))</f>
        <v>102</v>
      </c>
      <c r="C48" s="15">
        <f>INT(ROUND(IFERROR(VLOOKUP(A48,'[1]Resumen Donantes'!C:F,4,0),0),1))</f>
        <v>602</v>
      </c>
      <c r="D48" s="16">
        <f t="shared" si="19"/>
        <v>500</v>
      </c>
      <c r="E48" s="17" t="str">
        <f t="shared" si="20"/>
        <v>83.06%</v>
      </c>
      <c r="F48" s="17" t="str">
        <f t="shared" si="21"/>
        <v>16.9%</v>
      </c>
      <c r="G48" s="15">
        <f t="shared" si="25"/>
        <v>1500</v>
      </c>
      <c r="H48" s="18"/>
      <c r="I48" s="18">
        <f>IFERROR(VLOOKUP(A48,'[1]Lot All by Part'!T:Y,6,0),0)</f>
        <v>0</v>
      </c>
      <c r="J48" s="18"/>
      <c r="K48" s="19">
        <f>IFERROR(VLOOKUP($A48,'[1]OB Atendidas por Donantes'!A:N,3,0),0)</f>
        <v>11</v>
      </c>
      <c r="L48" s="19">
        <f>ROUNDUP(IF(A48=0,0,IFERROR(VLOOKUP($A48,'[1]Kilos Asignado del Donante'!A:O,3,0),0)),0)</f>
        <v>88</v>
      </c>
      <c r="M48" s="19">
        <f>IF(A48=0,0,IFERROR(SUMIFS([1]Poblacion!M:M,[1]Poblacion!J:J,'MASTER-2025'!A48),0))</f>
        <v>0</v>
      </c>
      <c r="N48" s="20">
        <f>IFERROR(VLOOKUP($A48,'[1]OB Atendidas por Donantes'!A:N,4,0),0)</f>
        <v>20</v>
      </c>
      <c r="O48" s="20">
        <f>ROUNDUP(IF(A48=0,0,IFERROR(VLOOKUP($A48,'[1]Kilos Asignado del Donante'!A:O,4,0),0)),0)</f>
        <v>134</v>
      </c>
      <c r="P48" s="20">
        <f>IF(A48=0,0,IFERROR(SUMIFS([1]Poblacion!N:N,[1]Poblacion!J:J,'MASTER-2025'!A48),0))</f>
        <v>0</v>
      </c>
      <c r="Q48" s="18">
        <f>IFERROR(VLOOKUP($A48,'[1]OB Atendidas por Donantes'!A:N,2,0),0)</f>
        <v>5</v>
      </c>
      <c r="R48" s="18">
        <f>ROUNDUP(ROUND(IF(A48=0,0,IFERROR(VLOOKUP($A48,'[1]Kilos Asignado del Donante'!A:O,9,0),0)),1),0)</f>
        <v>41</v>
      </c>
      <c r="S48" s="18">
        <f>IF(A48=0,0,IFERROR(SUMIFS([1]Poblacion!S:S,[1]Poblacion!J:J,'MASTER-2025'!A48),0))</f>
        <v>0</v>
      </c>
      <c r="T48" s="19">
        <f>IFERROR(VLOOKUP($A48,'[1]OB Atendidas por Donantes'!A:N,12,0),0)</f>
        <v>3</v>
      </c>
      <c r="U48" s="19">
        <f>ROUNDUP(IF(A48=0,0,IF(A48=0,0,IFERROR(VLOOKUP($A48,'[1]Kilos Asignado del Donante'!A:O,7,0),0))),0)</f>
        <v>4</v>
      </c>
      <c r="V48" s="19">
        <f>IF(A48=0,0,IFERROR(SUMIFS([1]Poblacion!Q:Q,[1]Poblacion!J:J,'MASTER-2025'!A48),0))</f>
        <v>0</v>
      </c>
      <c r="W48" s="20">
        <f>IFERROR(VLOOKUP($A48,'[1]OB Atendidas por Donantes'!A:N,10,0),0)</f>
        <v>8</v>
      </c>
      <c r="X48" s="20">
        <f>ROUNDUP(IF(A48=0,0,IFERROR(VLOOKUP($A48,'[1]Kilos Asignado del Donante'!A:N,5,0),0)),0)</f>
        <v>108</v>
      </c>
      <c r="Y48" s="20">
        <f>IF(A48=0,0,IFERROR(SUMIFS([1]Poblacion!O:O,[1]Poblacion!J:J,'MASTER-2025'!A48),0))</f>
        <v>0</v>
      </c>
      <c r="Z48" s="18">
        <f>IFERROR(VLOOKUP($A48,'[1]OB Atendidas por Donantes'!A:N,6,0),0)</f>
        <v>0</v>
      </c>
      <c r="AA48" s="18">
        <f>ROUNDUP(IF(A48=0,0,IFERROR(VLOOKUP($A48,'[1]Kilos Asignado del Donante'!A:N,11,0),0)),0)</f>
        <v>0</v>
      </c>
      <c r="AB48" s="18">
        <f>IF(A48=0,0,IFERROR(SUMIFS([1]Poblacion!U:U,[1]Poblacion!J:J,'MASTER-2025'!A48),0))</f>
        <v>0</v>
      </c>
      <c r="AC48" s="19">
        <f>IFERROR(VLOOKUP($A48,'[1]OB Atendidas por Donantes'!A:N,7,0),0)</f>
        <v>2</v>
      </c>
      <c r="AD48" s="19">
        <f>ROUNDUP(IF(A48=0,0,IFERROR(VLOOKUP($A48,'[1]Kilos Asignado del Donante'!A:N,8,0),0)),0)</f>
        <v>6</v>
      </c>
      <c r="AE48" s="19">
        <f>IF(A48=0,0,IFERROR(SUMIFS([1]Poblacion!R:R,[1]Poblacion!J:J,'MASTER-2025'!A48),0))</f>
        <v>0</v>
      </c>
      <c r="AF48" s="20">
        <f>IFERROR(VLOOKUP($A48,'[1]OB Atendidas por Donantes'!A:N,8,0),0)</f>
        <v>2</v>
      </c>
      <c r="AG48" s="20">
        <f>ROUNDUP(IF(A48=0,0,IFERROR(VLOOKUP($A48,'[1]Kilos Asignado del Donante'!A:N,6,0),0)),0)</f>
        <v>17</v>
      </c>
      <c r="AH48" s="20">
        <f>IF(A48=0,0,IFERROR(SUMIFS([1]Poblacion!P:P,[1]Poblacion!J:J,'MASTER-2025'!A48),0))</f>
        <v>0</v>
      </c>
      <c r="AI48" s="18">
        <f>IFERROR(VLOOKUP($A48,'[1]OB Atendidas por Donantes'!A:N,9,0),0)</f>
        <v>0</v>
      </c>
      <c r="AJ48" s="18">
        <f>ROUNDUP(IF(A48=0,0,IFERROR(VLOOKUP($A48,'[1]Kilos Asignado del Donante'!A:N,12,0),0)),0)</f>
        <v>0</v>
      </c>
      <c r="AK48" s="18">
        <f>IF(A48=0,0,IFERROR(SUMIFS([1]Poblacion!V:V,[1]Poblacion!J:J,'MASTER-2025'!A48),0))</f>
        <v>0</v>
      </c>
      <c r="AL48" s="19">
        <f>IFERROR(VLOOKUP($A48,'[1]OB Atendidas por Donantes'!A:N,16,0),0)</f>
        <v>0</v>
      </c>
      <c r="AM48" s="19">
        <f>ROUNDUP(IF(A48=0,0,IFERROR(VLOOKUP($A48,'[1]Kilos Asignado del Donante'!A:O,16,0),0)),0)</f>
        <v>0</v>
      </c>
      <c r="AN48" s="19">
        <f>IF(A48=0,0,IFERROR(SUMIFS([1]Poblacion!Z:Z,[1]Poblacion!J:J,'MASTER-2025'!A48),0))</f>
        <v>0</v>
      </c>
      <c r="AO48" s="20">
        <f>IFERROR(VLOOKUP($A48,'[1]OB Atendidas por Donantes'!A:N,11,0),0)</f>
        <v>0</v>
      </c>
      <c r="AP48" s="20">
        <f>ROUNDUP(IF(A48=0,0,IFERROR(VLOOKUP($A48,'[1]Kilos Asignado del Donante'!A:N,13,0),0)),0)</f>
        <v>0</v>
      </c>
      <c r="AQ48" s="20">
        <f>IF(A48=0,0,IFERROR(SUMIFS([1]Poblacion!W:W,[1]Poblacion!J:J,'MASTER-2025'!A48),0))</f>
        <v>0</v>
      </c>
      <c r="AR48" s="18">
        <f>IFERROR(VLOOKUP($A48,'[1]OB Atendidas por Donantes'!A:N,5,0),0)</f>
        <v>0</v>
      </c>
      <c r="AS48" s="18">
        <f>ROUNDUP(IF(A48=0,0,IFERROR(VLOOKUP($A48,'[1]Kilos Asignado del Donante'!A:N,10,0),0)),0)</f>
        <v>0</v>
      </c>
      <c r="AT48" s="18">
        <f>IF(A48=0,0,IFERROR(SUMIFS([1]Poblacion!T:T,[1]Poblacion!J:J,'MASTER-2025'!A48),0))</f>
        <v>0</v>
      </c>
      <c r="AU48" s="19">
        <f>IFERROR(VLOOKUP($A48,'[1]OB Atendidas por Donantes'!A:N,13,0),0)</f>
        <v>0</v>
      </c>
      <c r="AV48" s="19">
        <f>ROUNDUP(IF(A48=0,0,IFERROR(VLOOKUP($A48,'[1]Kilos Asignado del Donante'!A:N,14,0),0)),0)</f>
        <v>0</v>
      </c>
      <c r="AW48" s="19">
        <f>IF(A48=0,0,IFERROR(SUMIFS([1]Poblacion!X:X,[1]Poblacion!J:J,'MASTER-2025'!A48),0))</f>
        <v>0</v>
      </c>
      <c r="AX48" s="20">
        <f>IFERROR(VLOOKUP($A48,'[1]OB Atendidas por Donantes'!A:N,16,0),0)</f>
        <v>0</v>
      </c>
      <c r="AY48" s="20">
        <f>ROUNDUP(IF(A48=0,0,IFERROR(VLOOKUP($A48,'[1]Kilos Asignado del Donante'!A:O,16,0),0)),0)</f>
        <v>0</v>
      </c>
      <c r="AZ48" s="20">
        <f>IF(A48=0,0,IFERROR(SUMIFS([1]Poblacion!Y:Y,[1]Poblacion!J:J,'MASTER-2025'!A48),0))</f>
        <v>0</v>
      </c>
      <c r="BA48" s="21">
        <f t="shared" si="15"/>
        <v>51</v>
      </c>
      <c r="BB48" s="21">
        <f>INT(I48+L48+O48+R48+U48+X48+AA48+AD48+AG48+AJ48+AM48+AP48+AS48+AV48+AY48)</f>
        <v>398</v>
      </c>
      <c r="BC48" s="21">
        <f t="shared" si="24"/>
        <v>267</v>
      </c>
      <c r="BD48" s="21">
        <f t="shared" si="26"/>
        <v>0</v>
      </c>
      <c r="BE48" s="22" t="e">
        <f>IF(A48=0,0,SUMIFS([1]Poblacion!C:C,[1]Poblacion!A:A,'MASTER-2025'!A48))</f>
        <v>#VALUE!</v>
      </c>
      <c r="BF48" s="22" t="e">
        <f>IF(A48=0,0,SUMIFS([1]Poblacion!D:D,[1]Poblacion!A:A,'MASTER-2025'!A48))</f>
        <v>#VALUE!</v>
      </c>
      <c r="BG48" s="22" t="e">
        <f>IF(A48=0,0,SUMIFS([1]Poblacion!E:E,[1]Poblacion!A:A,'MASTER-2025'!A48))</f>
        <v>#VALUE!</v>
      </c>
      <c r="BH48" s="22" t="e">
        <f>IF(A48=0,0,SUMIFS([1]Poblacion!F:F,[1]Poblacion!A:A,'MASTER-2025'!A48))</f>
        <v>#VALUE!</v>
      </c>
      <c r="BI48" s="22" t="e">
        <f t="shared" si="18"/>
        <v>#VALUE!</v>
      </c>
      <c r="BJ48" s="23" t="e">
        <f t="shared" si="7"/>
        <v>#VALUE!</v>
      </c>
      <c r="BK48" s="22" t="e">
        <f>IF(A48=0,0,SUMIFS([1]Poblacion!G:G,[1]Poblacion!A:A,'MASTER-2025'!A48))</f>
        <v>#VALUE!</v>
      </c>
      <c r="BL48" s="24" cm="1">
        <f t="array" ref="BL48:BW48">IFERROR(VLOOKUP(A48,'[1]Acum-OB-kg-pob-25'!A:AQ,{3,4,5,6,7,8,9,10,11,12,13,14},0),0)</f>
        <v>20</v>
      </c>
      <c r="BM48" s="24">
        <v>30</v>
      </c>
      <c r="BN48" s="24">
        <v>51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f t="shared" si="8"/>
        <v>101</v>
      </c>
      <c r="BY48" s="25" cm="1">
        <f t="array" ref="BY48:CJ48">IFERROR(VLOOKUP(A48,'[1]Acum-OB-kg-pob-25'!A:AQ,{17,18,19,20,21,22,23,24,25,26,27,28},0),0)</f>
        <v>865</v>
      </c>
      <c r="BZ48" s="25">
        <v>0</v>
      </c>
      <c r="CA48" s="25">
        <v>602</v>
      </c>
      <c r="CB48" s="25">
        <v>0</v>
      </c>
      <c r="CC48" s="25">
        <v>0</v>
      </c>
      <c r="CD48" s="25">
        <v>0</v>
      </c>
      <c r="CE48" s="25">
        <v>0</v>
      </c>
      <c r="CF48" s="25">
        <v>0</v>
      </c>
      <c r="CG48" s="25">
        <v>0</v>
      </c>
      <c r="CH48" s="25">
        <v>0</v>
      </c>
      <c r="CI48" s="25">
        <v>0</v>
      </c>
      <c r="CJ48" s="25">
        <v>0</v>
      </c>
      <c r="CK48" s="25">
        <f t="shared" si="9"/>
        <v>1467</v>
      </c>
      <c r="CL48" s="26" cm="1">
        <f t="array" ref="CL48:CW48">IFERROR(VLOOKUP(A48,'[1]Acum-OB-kg-pob-25'!A:AQ,{31,32,33,34,35,36,37,38,39,40,41,42},0),0)</f>
        <v>8064</v>
      </c>
      <c r="CM48" s="26">
        <v>7023</v>
      </c>
      <c r="CN48" s="26">
        <v>13370</v>
      </c>
      <c r="CO48" s="26">
        <v>0</v>
      </c>
      <c r="CP48" s="26">
        <v>0</v>
      </c>
      <c r="CQ48" s="26">
        <v>0</v>
      </c>
      <c r="CR48" s="26">
        <v>0</v>
      </c>
      <c r="CS48" s="26">
        <v>0</v>
      </c>
      <c r="CT48" s="26">
        <v>0</v>
      </c>
      <c r="CU48" s="26">
        <v>0</v>
      </c>
      <c r="CV48" s="26">
        <v>0</v>
      </c>
      <c r="CW48" s="26">
        <v>0</v>
      </c>
      <c r="CX48" s="26">
        <f t="shared" si="10"/>
        <v>28457</v>
      </c>
      <c r="CY48" s="14" t="str">
        <f>IF(A48=0,0,IFERROR(VLOOKUP(A48,'[1]Info Donantes'!C:F,2,0),"Sin Contacto"))</f>
        <v>Joel Rivera</v>
      </c>
      <c r="CZ48" s="14" t="str">
        <f>IF(A48=0,0,IFERROR(VLOOKUP(A48,'[1]Info Donantes'!C:F,3,0),"Sin Correo"))</f>
        <v>joel.rivera@rimith.com</v>
      </c>
      <c r="DA48" s="14" t="str">
        <f>IF(A48=0,0,IFERROR(VLOOKUP(A48,'[1]Info Donantes'!C:F,4,0),"Sin Telefono"))</f>
        <v>309-5335</v>
      </c>
      <c r="DB48" s="14" t="str">
        <f>IF(A48=0,0,"Reporte de Trazabiidad"&amp;" - "&amp;'[1]Resumen Donantes'!$C$2&amp;" - "&amp;A48&amp;"")</f>
        <v>Reporte de Trazabiidad -  - RIBA SMITH, S.A.</v>
      </c>
    </row>
    <row r="49" spans="1:106" x14ac:dyDescent="0.55000000000000004">
      <c r="A49" s="14" t="s">
        <v>153</v>
      </c>
      <c r="B49" s="15">
        <f>INT(IFERROR(VLOOKUP(A49,'[1]Resumen Donantes'!C:F,3,0),0))</f>
        <v>0</v>
      </c>
      <c r="C49" s="15">
        <f>INT(ROUND(IFERROR(VLOOKUP(A49,'[1]Resumen Donantes'!C:F,4,0),0),1))</f>
        <v>0</v>
      </c>
      <c r="D49" s="16">
        <f t="shared" si="19"/>
        <v>0</v>
      </c>
      <c r="E49" s="17" t="str">
        <f t="shared" si="20"/>
        <v>0.00%</v>
      </c>
      <c r="F49" s="17" t="str">
        <f t="shared" si="21"/>
        <v>0.0%</v>
      </c>
      <c r="G49" s="15">
        <f t="shared" si="25"/>
        <v>0</v>
      </c>
      <c r="H49" s="18"/>
      <c r="I49" s="18">
        <f>IFERROR(VLOOKUP(A49,'[1]Lot All by Part'!T:Y,6,0),0)</f>
        <v>0</v>
      </c>
      <c r="J49" s="18"/>
      <c r="K49" s="19">
        <f>IFERROR(VLOOKUP($A49,'[1]OB Atendidas por Donantes'!A:N,3,0),0)</f>
        <v>0</v>
      </c>
      <c r="L49" s="19">
        <f>ROUNDUP(IF(A49=0,0,IFERROR(VLOOKUP($A49,'[1]Kilos Asignado del Donante'!A:O,3,0),0)),0)</f>
        <v>0</v>
      </c>
      <c r="M49" s="19">
        <f>IF(A49=0,0,IFERROR(SUMIFS([1]Poblacion!M:M,[1]Poblacion!J:J,'MASTER-2025'!A49),0))</f>
        <v>0</v>
      </c>
      <c r="N49" s="20">
        <f>IFERROR(VLOOKUP($A49,'[1]OB Atendidas por Donantes'!A:N,4,0),0)</f>
        <v>0</v>
      </c>
      <c r="O49" s="20">
        <f>ROUNDUP(IF(A49=0,0,IFERROR(VLOOKUP($A49,'[1]Kilos Asignado del Donante'!A:O,4,0),0)),0)</f>
        <v>0</v>
      </c>
      <c r="P49" s="20">
        <f>IF(A49=0,0,IFERROR(SUMIFS([1]Poblacion!N:N,[1]Poblacion!J:J,'MASTER-2025'!A49),0))</f>
        <v>0</v>
      </c>
      <c r="Q49" s="18">
        <f>IFERROR(VLOOKUP($A49,'[1]OB Atendidas por Donantes'!A:N,2,0),0)</f>
        <v>0</v>
      </c>
      <c r="R49" s="18">
        <f>ROUNDUP(ROUND(IF(A49=0,0,IFERROR(VLOOKUP($A49,'[1]Kilos Asignado del Donante'!A:O,9,0),0)),1),0)</f>
        <v>0</v>
      </c>
      <c r="S49" s="18">
        <f>IF(A49=0,0,IFERROR(SUMIFS([1]Poblacion!S:S,[1]Poblacion!J:J,'MASTER-2025'!A49),0))</f>
        <v>0</v>
      </c>
      <c r="T49" s="19">
        <f>IFERROR(VLOOKUP($A49,'[1]OB Atendidas por Donantes'!A:N,12,0),0)</f>
        <v>0</v>
      </c>
      <c r="U49" s="19">
        <f>ROUNDUP(IF(A49=0,0,IF(A49=0,0,IFERROR(VLOOKUP($A49,'[1]Kilos Asignado del Donante'!A:O,7,0),0))),0)</f>
        <v>0</v>
      </c>
      <c r="V49" s="19">
        <f>IF(A49=0,0,IFERROR(SUMIFS([1]Poblacion!Q:Q,[1]Poblacion!J:J,'MASTER-2025'!A49),0))</f>
        <v>0</v>
      </c>
      <c r="W49" s="20">
        <f>IFERROR(VLOOKUP($A49,'[1]OB Atendidas por Donantes'!A:N,10,0),0)</f>
        <v>0</v>
      </c>
      <c r="X49" s="20">
        <f>ROUNDUP(IF(A49=0,0,IFERROR(VLOOKUP($A49,'[1]Kilos Asignado del Donante'!A:N,5,0),0)),0)</f>
        <v>0</v>
      </c>
      <c r="Y49" s="20">
        <f>IF(A49=0,0,IFERROR(SUMIFS([1]Poblacion!O:O,[1]Poblacion!J:J,'MASTER-2025'!A49),0))</f>
        <v>0</v>
      </c>
      <c r="Z49" s="18">
        <f>IFERROR(VLOOKUP($A49,'[1]OB Atendidas por Donantes'!A:N,6,0),0)</f>
        <v>0</v>
      </c>
      <c r="AA49" s="18">
        <f>ROUNDUP(IF(A49=0,0,IFERROR(VLOOKUP($A49,'[1]Kilos Asignado del Donante'!A:N,11,0),0)),0)</f>
        <v>0</v>
      </c>
      <c r="AB49" s="18">
        <f>IF(A49=0,0,IFERROR(SUMIFS([1]Poblacion!U:U,[1]Poblacion!J:J,'MASTER-2025'!A49),0))</f>
        <v>0</v>
      </c>
      <c r="AC49" s="19">
        <f>IFERROR(VLOOKUP($A49,'[1]OB Atendidas por Donantes'!A:N,7,0),0)</f>
        <v>0</v>
      </c>
      <c r="AD49" s="19">
        <f>ROUNDUP(IF(A49=0,0,IFERROR(VLOOKUP($A49,'[1]Kilos Asignado del Donante'!A:N,8,0),0)),0)</f>
        <v>0</v>
      </c>
      <c r="AE49" s="19">
        <f>IF(A49=0,0,IFERROR(SUMIFS([1]Poblacion!R:R,[1]Poblacion!J:J,'MASTER-2025'!A49),0))</f>
        <v>0</v>
      </c>
      <c r="AF49" s="20">
        <f>IFERROR(VLOOKUP($A49,'[1]OB Atendidas por Donantes'!A:N,8,0),0)</f>
        <v>0</v>
      </c>
      <c r="AG49" s="20">
        <f>ROUNDUP(IF(A49=0,0,IFERROR(VLOOKUP($A49,'[1]Kilos Asignado del Donante'!A:N,6,0),0)),0)</f>
        <v>0</v>
      </c>
      <c r="AH49" s="20">
        <f>IF(A49=0,0,IFERROR(SUMIFS([1]Poblacion!P:P,[1]Poblacion!J:J,'MASTER-2025'!A49),0))</f>
        <v>0</v>
      </c>
      <c r="AI49" s="18">
        <f>IFERROR(VLOOKUP($A49,'[1]OB Atendidas por Donantes'!A:N,9,0),0)</f>
        <v>0</v>
      </c>
      <c r="AJ49" s="18">
        <f>ROUNDUP(IF(A49=0,0,IFERROR(VLOOKUP($A49,'[1]Kilos Asignado del Donante'!A:N,12,0),0)),0)</f>
        <v>0</v>
      </c>
      <c r="AK49" s="18">
        <f>IF(A49=0,0,IFERROR(SUMIFS([1]Poblacion!V:V,[1]Poblacion!J:J,'MASTER-2025'!A49),0))</f>
        <v>0</v>
      </c>
      <c r="AL49" s="19">
        <f>IFERROR(VLOOKUP($A49,'[1]OB Atendidas por Donantes'!A:N,16,0),0)</f>
        <v>0</v>
      </c>
      <c r="AM49" s="19">
        <f>ROUNDUP(IF(A49=0,0,IFERROR(VLOOKUP($A49,'[1]Kilos Asignado del Donante'!A:O,16,0),0)),0)</f>
        <v>0</v>
      </c>
      <c r="AN49" s="19">
        <f>IF(A49=0,0,IFERROR(SUMIFS([1]Poblacion!Z:Z,[1]Poblacion!J:J,'MASTER-2025'!A49),0))</f>
        <v>0</v>
      </c>
      <c r="AO49" s="20">
        <f>IFERROR(VLOOKUP($A49,'[1]OB Atendidas por Donantes'!A:N,11,0),0)</f>
        <v>0</v>
      </c>
      <c r="AP49" s="20">
        <f>ROUNDUP(IF(A49=0,0,IFERROR(VLOOKUP($A49,'[1]Kilos Asignado del Donante'!A:N,13,0),0)),0)</f>
        <v>0</v>
      </c>
      <c r="AQ49" s="20">
        <f>IF(A49=0,0,IFERROR(SUMIFS([1]Poblacion!W:W,[1]Poblacion!J:J,'MASTER-2025'!A49),0))</f>
        <v>0</v>
      </c>
      <c r="AR49" s="18">
        <f>IFERROR(VLOOKUP($A49,'[1]OB Atendidas por Donantes'!A:N,5,0),0)</f>
        <v>0</v>
      </c>
      <c r="AS49" s="18">
        <f>ROUNDUP(IF(A49=0,0,IFERROR(VLOOKUP($A49,'[1]Kilos Asignado del Donante'!A:N,10,0),0)),0)</f>
        <v>0</v>
      </c>
      <c r="AT49" s="18">
        <f>IF(A49=0,0,IFERROR(SUMIFS([1]Poblacion!T:T,[1]Poblacion!J:J,'MASTER-2025'!A49),0))</f>
        <v>0</v>
      </c>
      <c r="AU49" s="19">
        <f>IFERROR(VLOOKUP($A49,'[1]OB Atendidas por Donantes'!A:N,13,0),0)</f>
        <v>0</v>
      </c>
      <c r="AV49" s="19">
        <f>ROUNDUP(IF(A49=0,0,IFERROR(VLOOKUP($A49,'[1]Kilos Asignado del Donante'!A:N,14,0),0)),0)</f>
        <v>0</v>
      </c>
      <c r="AW49" s="19">
        <f>IF(A49=0,0,IFERROR(SUMIFS([1]Poblacion!X:X,[1]Poblacion!J:J,'MASTER-2025'!A49),0))</f>
        <v>0</v>
      </c>
      <c r="AX49" s="20">
        <f>IFERROR(VLOOKUP($A49,'[1]OB Atendidas por Donantes'!A:N,16,0),0)</f>
        <v>0</v>
      </c>
      <c r="AY49" s="20">
        <f>ROUNDUP(IF(A49=0,0,IFERROR(VLOOKUP($A49,'[1]Kilos Asignado del Donante'!A:O,16,0),0)),0)</f>
        <v>0</v>
      </c>
      <c r="AZ49" s="20">
        <f>IF(A49=0,0,IFERROR(SUMIFS([1]Poblacion!Y:Y,[1]Poblacion!J:J,'MASTER-2025'!A49),0))</f>
        <v>0</v>
      </c>
      <c r="BA49" s="21">
        <f t="shared" si="15"/>
        <v>0</v>
      </c>
      <c r="BB49" s="21">
        <f t="shared" ref="BB49:BB51" si="27">INT(I49+L49+O49+R49+U49+X49+AA49+AD49+AG49+AJ49+AM49+AP49+AS49+AV49+AY49)</f>
        <v>0</v>
      </c>
      <c r="BC49" s="21">
        <f t="shared" si="24"/>
        <v>0</v>
      </c>
      <c r="BD49" s="21">
        <f t="shared" si="26"/>
        <v>0</v>
      </c>
      <c r="BE49" s="22" t="e">
        <f>IF(A49=0,0,SUMIFS([1]Poblacion!C:C,[1]Poblacion!A:A,'MASTER-2025'!A49))</f>
        <v>#VALUE!</v>
      </c>
      <c r="BF49" s="22" t="e">
        <f>IF(A49=0,0,SUMIFS([1]Poblacion!D:D,[1]Poblacion!A:A,'MASTER-2025'!A49))</f>
        <v>#VALUE!</v>
      </c>
      <c r="BG49" s="22" t="e">
        <f>IF(A49=0,0,SUMIFS([1]Poblacion!E:E,[1]Poblacion!A:A,'MASTER-2025'!A49))</f>
        <v>#VALUE!</v>
      </c>
      <c r="BH49" s="22" t="e">
        <f>IF(A49=0,0,SUMIFS([1]Poblacion!F:F,[1]Poblacion!A:A,'MASTER-2025'!A49))</f>
        <v>#VALUE!</v>
      </c>
      <c r="BI49" s="22" t="e">
        <f t="shared" si="18"/>
        <v>#VALUE!</v>
      </c>
      <c r="BJ49" s="23" t="e">
        <f t="shared" si="7"/>
        <v>#VALUE!</v>
      </c>
      <c r="BK49" s="22" t="e">
        <f>IF(A49=0,0,SUMIFS([1]Poblacion!G:G,[1]Poblacion!A:A,'MASTER-2025'!A49))</f>
        <v>#VALUE!</v>
      </c>
      <c r="BL49" s="24" cm="1">
        <f t="array" ref="BL49:BW49">IFERROR(VLOOKUP(A49,'[1]Acum-OB-kg-pob-25'!A:AQ,{3,4,5,6,7,8,9,10,11,12,13,14},0),0)</f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f t="shared" si="8"/>
        <v>0</v>
      </c>
      <c r="BY49" s="25" cm="1">
        <f t="array" ref="BY49:CJ49">IFERROR(VLOOKUP(A49,'[1]Acum-OB-kg-pob-25'!A:AQ,{17,18,19,20,21,22,23,24,25,26,27,28},0),0)</f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0</v>
      </c>
      <c r="CG49" s="25">
        <v>0</v>
      </c>
      <c r="CH49" s="25">
        <v>0</v>
      </c>
      <c r="CI49" s="25">
        <v>0</v>
      </c>
      <c r="CJ49" s="25">
        <v>0</v>
      </c>
      <c r="CK49" s="25">
        <f t="shared" si="9"/>
        <v>0</v>
      </c>
      <c r="CL49" s="26" cm="1">
        <f t="array" ref="CL49:CW49">IFERROR(VLOOKUP(A49,'[1]Acum-OB-kg-pob-25'!A:AQ,{31,32,33,34,35,36,37,38,39,40,41,42},0),0)</f>
        <v>0</v>
      </c>
      <c r="CM49" s="26">
        <v>0</v>
      </c>
      <c r="CN49" s="26">
        <v>0</v>
      </c>
      <c r="CO49" s="26">
        <v>0</v>
      </c>
      <c r="CP49" s="26">
        <v>0</v>
      </c>
      <c r="CQ49" s="26">
        <v>0</v>
      </c>
      <c r="CR49" s="26">
        <v>0</v>
      </c>
      <c r="CS49" s="26">
        <v>0</v>
      </c>
      <c r="CT49" s="26">
        <v>0</v>
      </c>
      <c r="CU49" s="26">
        <v>0</v>
      </c>
      <c r="CV49" s="26">
        <v>0</v>
      </c>
      <c r="CW49" s="26">
        <v>0</v>
      </c>
      <c r="CX49" s="26">
        <f t="shared" si="10"/>
        <v>0</v>
      </c>
      <c r="CY49" s="14" t="str">
        <f>IF(A49=0,0,IFERROR(VLOOKUP(A49,'[1]Info Donantes'!C:F,2,0),"Sin Contacto"))</f>
        <v>Sin Contacto</v>
      </c>
      <c r="CZ49" s="14" t="str">
        <f>IF(A49=0,0,IFERROR(VLOOKUP(A49,'[1]Info Donantes'!C:F,3,0),"Sin Correo"))</f>
        <v>Sin Correo</v>
      </c>
      <c r="DA49" s="14" t="str">
        <f>IF(A49=0,0,IFERROR(VLOOKUP(A49,'[1]Info Donantes'!C:F,4,0),"Sin Telefono"))</f>
        <v>Sin Telefono</v>
      </c>
      <c r="DB49" s="14" t="str">
        <f>IF(A49=0,0,"Reporte de Trazabiidad"&amp;" - "&amp;'[1]Resumen Donantes'!$C$2&amp;" - "&amp;A49&amp;"")</f>
        <v>Reporte de Trazabiidad -  - SG Foods Latinoamérica, S.A.</v>
      </c>
    </row>
    <row r="50" spans="1:106" x14ac:dyDescent="0.55000000000000004">
      <c r="A50" s="14" t="s">
        <v>154</v>
      </c>
      <c r="B50" s="15">
        <f>INT(IFERROR(VLOOKUP(A50,'[1]Resumen Donantes'!C:F,3,0),0))</f>
        <v>4</v>
      </c>
      <c r="C50" s="15">
        <f>INT(ROUND(IFERROR(VLOOKUP(A50,'[1]Resumen Donantes'!C:F,4,0),0),1))</f>
        <v>189</v>
      </c>
      <c r="D50" s="16">
        <f t="shared" si="19"/>
        <v>185</v>
      </c>
      <c r="E50" s="17" t="str">
        <f t="shared" si="20"/>
        <v>97.88%</v>
      </c>
      <c r="F50" s="17" t="str">
        <f t="shared" si="21"/>
        <v>2.1%</v>
      </c>
      <c r="G50" s="15">
        <f t="shared" si="25"/>
        <v>555</v>
      </c>
      <c r="H50" s="18"/>
      <c r="I50" s="18">
        <f>IFERROR(VLOOKUP(A50,'[1]Lot All by Part'!T:Y,6,0),0)</f>
        <v>0</v>
      </c>
      <c r="J50" s="18"/>
      <c r="K50" s="19">
        <f>IFERROR(VLOOKUP($A50,'[1]OB Atendidas por Donantes'!A:N,3,0),0)</f>
        <v>10</v>
      </c>
      <c r="L50" s="19">
        <f>ROUNDUP(IF(A50=0,0,IFERROR(VLOOKUP($A50,'[1]Kilos Asignado del Donante'!A:O,3,0),0)),0)</f>
        <v>59</v>
      </c>
      <c r="M50" s="19">
        <f>IF(A50=0,0,IFERROR(SUMIFS([1]Poblacion!M:M,[1]Poblacion!J:J,'MASTER-2025'!A50),0))</f>
        <v>0</v>
      </c>
      <c r="N50" s="20">
        <f>IFERROR(VLOOKUP($A50,'[1]OB Atendidas por Donantes'!A:N,4,0),0)</f>
        <v>13</v>
      </c>
      <c r="O50" s="20">
        <f>ROUNDUP(IF(A50=0,0,IFERROR(VLOOKUP($A50,'[1]Kilos Asignado del Donante'!A:O,4,0),0)),0)</f>
        <v>60</v>
      </c>
      <c r="P50" s="20">
        <f>IF(A50=0,0,IFERROR(SUMIFS([1]Poblacion!N:N,[1]Poblacion!J:J,'MASTER-2025'!A50),0))</f>
        <v>0</v>
      </c>
      <c r="Q50" s="18">
        <f>IFERROR(VLOOKUP($A50,'[1]OB Atendidas por Donantes'!A:N,2,0),0)</f>
        <v>1</v>
      </c>
      <c r="R50" s="18">
        <f>ROUNDUP(ROUND(IF(A50=0,0,IFERROR(VLOOKUP($A50,'[1]Kilos Asignado del Donante'!A:O,9,0),0)),1),0)</f>
        <v>3</v>
      </c>
      <c r="S50" s="18">
        <f>IF(A50=0,0,IFERROR(SUMIFS([1]Poblacion!S:S,[1]Poblacion!J:J,'MASTER-2025'!A50),0))</f>
        <v>0</v>
      </c>
      <c r="T50" s="19">
        <f>IFERROR(VLOOKUP($A50,'[1]OB Atendidas por Donantes'!A:N,12,0),0)</f>
        <v>1</v>
      </c>
      <c r="U50" s="19">
        <f>ROUNDUP(IF(A50=0,0,IF(A50=0,0,IFERROR(VLOOKUP($A50,'[1]Kilos Asignado del Donante'!A:O,7,0),0))),0)</f>
        <v>1</v>
      </c>
      <c r="V50" s="19">
        <f>IF(A50=0,0,IFERROR(SUMIFS([1]Poblacion!Q:Q,[1]Poblacion!J:J,'MASTER-2025'!A50),0))</f>
        <v>0</v>
      </c>
      <c r="W50" s="20">
        <f>IFERROR(VLOOKUP($A50,'[1]OB Atendidas por Donantes'!A:N,10,0),0)</f>
        <v>7</v>
      </c>
      <c r="X50" s="20">
        <f>ROUNDUP(IF(A50=0,0,IFERROR(VLOOKUP($A50,'[1]Kilos Asignado del Donante'!A:N,5,0),0)),0)</f>
        <v>15</v>
      </c>
      <c r="Y50" s="20">
        <f>IF(A50=0,0,IFERROR(SUMIFS([1]Poblacion!O:O,[1]Poblacion!J:J,'MASTER-2025'!A50),0))</f>
        <v>0</v>
      </c>
      <c r="Z50" s="18">
        <f>IFERROR(VLOOKUP($A50,'[1]OB Atendidas por Donantes'!A:N,6,0),0)</f>
        <v>0</v>
      </c>
      <c r="AA50" s="18">
        <f>ROUNDUP(IF(A50=0,0,IFERROR(VLOOKUP($A50,'[1]Kilos Asignado del Donante'!A:N,11,0),0)),0)</f>
        <v>0</v>
      </c>
      <c r="AB50" s="18">
        <f>IF(A50=0,0,IFERROR(SUMIFS([1]Poblacion!U:U,[1]Poblacion!J:J,'MASTER-2025'!A50),0))</f>
        <v>0</v>
      </c>
      <c r="AC50" s="19">
        <f>IFERROR(VLOOKUP($A50,'[1]OB Atendidas por Donantes'!A:N,7,0),0)</f>
        <v>2</v>
      </c>
      <c r="AD50" s="19">
        <f>ROUNDUP(IF(A50=0,0,IFERROR(VLOOKUP($A50,'[1]Kilos Asignado del Donante'!A:N,8,0),0)),0)</f>
        <v>4</v>
      </c>
      <c r="AE50" s="19">
        <f>IF(A50=0,0,IFERROR(SUMIFS([1]Poblacion!R:R,[1]Poblacion!J:J,'MASTER-2025'!A50),0))</f>
        <v>0</v>
      </c>
      <c r="AF50" s="20">
        <f>IFERROR(VLOOKUP($A50,'[1]OB Atendidas por Donantes'!A:N,8,0),0)</f>
        <v>0</v>
      </c>
      <c r="AG50" s="20">
        <f>ROUNDUP(IF(A50=0,0,IFERROR(VLOOKUP($A50,'[1]Kilos Asignado del Donante'!A:N,6,0),0)),0)</f>
        <v>0</v>
      </c>
      <c r="AH50" s="20">
        <f>IF(A50=0,0,IFERROR(SUMIFS([1]Poblacion!P:P,[1]Poblacion!J:J,'MASTER-2025'!A50),0))</f>
        <v>0</v>
      </c>
      <c r="AI50" s="18">
        <f>IFERROR(VLOOKUP($A50,'[1]OB Atendidas por Donantes'!A:N,9,0),0)</f>
        <v>0</v>
      </c>
      <c r="AJ50" s="18">
        <f>ROUNDUP(IF(A50=0,0,IFERROR(VLOOKUP($A50,'[1]Kilos Asignado del Donante'!A:N,12,0),0)),0)</f>
        <v>0</v>
      </c>
      <c r="AK50" s="18">
        <f>IF(A50=0,0,IFERROR(SUMIFS([1]Poblacion!V:V,[1]Poblacion!J:J,'MASTER-2025'!A50),0))</f>
        <v>0</v>
      </c>
      <c r="AL50" s="19">
        <f>IFERROR(VLOOKUP($A50,'[1]OB Atendidas por Donantes'!A:N,16,0),0)</f>
        <v>0</v>
      </c>
      <c r="AM50" s="19">
        <f>ROUNDUP(IF(A50=0,0,IFERROR(VLOOKUP($A50,'[1]Kilos Asignado del Donante'!A:O,16,0),0)),0)</f>
        <v>0</v>
      </c>
      <c r="AN50" s="19">
        <f>IF(A50=0,0,IFERROR(SUMIFS([1]Poblacion!Z:Z,[1]Poblacion!J:J,'MASTER-2025'!A50),0))</f>
        <v>0</v>
      </c>
      <c r="AO50" s="20">
        <f>IFERROR(VLOOKUP($A50,'[1]OB Atendidas por Donantes'!A:N,11,0),0)</f>
        <v>0</v>
      </c>
      <c r="AP50" s="20">
        <f>ROUNDUP(IF(A50=0,0,IFERROR(VLOOKUP($A50,'[1]Kilos Asignado del Donante'!A:N,13,0),0)),0)</f>
        <v>0</v>
      </c>
      <c r="AQ50" s="20">
        <f>IF(A50=0,0,IFERROR(SUMIFS([1]Poblacion!W:W,[1]Poblacion!J:J,'MASTER-2025'!A50),0))</f>
        <v>0</v>
      </c>
      <c r="AR50" s="18">
        <f>IFERROR(VLOOKUP($A50,'[1]OB Atendidas por Donantes'!A:N,5,0),0)</f>
        <v>0</v>
      </c>
      <c r="AS50" s="18">
        <f>ROUNDUP(IF(A50=0,0,IFERROR(VLOOKUP($A50,'[1]Kilos Asignado del Donante'!A:N,10,0),0)),0)</f>
        <v>0</v>
      </c>
      <c r="AT50" s="18">
        <f>IF(A50=0,0,IFERROR(SUMIFS([1]Poblacion!T:T,[1]Poblacion!J:J,'MASTER-2025'!A50),0))</f>
        <v>0</v>
      </c>
      <c r="AU50" s="19">
        <f>IFERROR(VLOOKUP($A50,'[1]OB Atendidas por Donantes'!A:N,13,0),0)</f>
        <v>0</v>
      </c>
      <c r="AV50" s="19">
        <f>ROUNDUP(IF(A50=0,0,IFERROR(VLOOKUP($A50,'[1]Kilos Asignado del Donante'!A:N,14,0),0)),0)</f>
        <v>0</v>
      </c>
      <c r="AW50" s="19">
        <f>IF(A50=0,0,IFERROR(SUMIFS([1]Poblacion!X:X,[1]Poblacion!J:J,'MASTER-2025'!A50),0))</f>
        <v>0</v>
      </c>
      <c r="AX50" s="20">
        <f>IFERROR(VLOOKUP($A50,'[1]OB Atendidas por Donantes'!A:N,16,0),0)</f>
        <v>0</v>
      </c>
      <c r="AY50" s="20">
        <f>ROUNDUP(IF(A50=0,0,IFERROR(VLOOKUP($A50,'[1]Kilos Asignado del Donante'!A:O,16,0),0)),0)</f>
        <v>0</v>
      </c>
      <c r="AZ50" s="20">
        <f>IF(A50=0,0,IFERROR(SUMIFS([1]Poblacion!Y:Y,[1]Poblacion!J:J,'MASTER-2025'!A50),0))</f>
        <v>0</v>
      </c>
      <c r="BA50" s="21">
        <f t="shared" si="15"/>
        <v>34</v>
      </c>
      <c r="BB50" s="21">
        <f t="shared" si="27"/>
        <v>142</v>
      </c>
      <c r="BC50" s="21">
        <f t="shared" si="24"/>
        <v>123</v>
      </c>
      <c r="BD50" s="21">
        <f t="shared" si="26"/>
        <v>0</v>
      </c>
      <c r="BE50" s="22" t="e">
        <f>IF(A50=0,0,SUMIFS([1]Poblacion!C:C,[1]Poblacion!A:A,'MASTER-2025'!A50))</f>
        <v>#VALUE!</v>
      </c>
      <c r="BF50" s="22" t="e">
        <f>IF(A50=0,0,SUMIFS([1]Poblacion!D:D,[1]Poblacion!A:A,'MASTER-2025'!A50))</f>
        <v>#VALUE!</v>
      </c>
      <c r="BG50" s="22" t="e">
        <f>IF(A50=0,0,SUMIFS([1]Poblacion!E:E,[1]Poblacion!A:A,'MASTER-2025'!A50))</f>
        <v>#VALUE!</v>
      </c>
      <c r="BH50" s="22" t="e">
        <f>IF(A50=0,0,SUMIFS([1]Poblacion!F:F,[1]Poblacion!A:A,'MASTER-2025'!A50))</f>
        <v>#VALUE!</v>
      </c>
      <c r="BI50" s="22" t="e">
        <f t="shared" si="18"/>
        <v>#VALUE!</v>
      </c>
      <c r="BJ50" s="23" t="e">
        <f t="shared" si="7"/>
        <v>#VALUE!</v>
      </c>
      <c r="BK50" s="22" t="e">
        <f>IF(A50=0,0,SUMIFS([1]Poblacion!G:G,[1]Poblacion!A:A,'MASTER-2025'!A50))</f>
        <v>#VALUE!</v>
      </c>
      <c r="BL50" s="24" cm="1">
        <f t="array" ref="BL50:BW50">IFERROR(VLOOKUP(A50,'[1]Acum-OB-kg-pob-25'!A:AQ,{3,4,5,6,7,8,9,10,11,12,13,14},0),0)</f>
        <v>0</v>
      </c>
      <c r="BM50" s="24">
        <v>43</v>
      </c>
      <c r="BN50" s="24">
        <v>34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f t="shared" si="8"/>
        <v>77</v>
      </c>
      <c r="BY50" s="25" cm="1">
        <f t="array" ref="BY50:CJ50">IFERROR(VLOOKUP(A50,'[1]Acum-OB-kg-pob-25'!A:AQ,{17,18,19,20,21,22,23,24,25,26,27,28},0),0)</f>
        <v>0</v>
      </c>
      <c r="BZ50" s="25">
        <v>335</v>
      </c>
      <c r="CA50" s="25">
        <v>189</v>
      </c>
      <c r="CB50" s="25">
        <v>0</v>
      </c>
      <c r="CC50" s="25">
        <v>0</v>
      </c>
      <c r="CD50" s="25">
        <v>0</v>
      </c>
      <c r="CE50" s="25">
        <v>0</v>
      </c>
      <c r="CF50" s="25">
        <v>0</v>
      </c>
      <c r="CG50" s="25">
        <v>0</v>
      </c>
      <c r="CH50" s="25">
        <v>0</v>
      </c>
      <c r="CI50" s="25">
        <v>0</v>
      </c>
      <c r="CJ50" s="25">
        <v>0</v>
      </c>
      <c r="CK50" s="25">
        <f t="shared" si="9"/>
        <v>524</v>
      </c>
      <c r="CL50" s="26" cm="1">
        <f t="array" ref="CL50:CW50">IFERROR(VLOOKUP(A50,'[1]Acum-OB-kg-pob-25'!A:AQ,{31,32,33,34,35,36,37,38,39,40,41,42},0),0)</f>
        <v>0</v>
      </c>
      <c r="CM50" s="26">
        <v>14862</v>
      </c>
      <c r="CN50" s="26">
        <v>9224</v>
      </c>
      <c r="CO50" s="26">
        <v>0</v>
      </c>
      <c r="CP50" s="26">
        <v>0</v>
      </c>
      <c r="CQ50" s="26">
        <v>0</v>
      </c>
      <c r="CR50" s="26">
        <v>0</v>
      </c>
      <c r="CS50" s="26">
        <v>0</v>
      </c>
      <c r="CT50" s="26">
        <v>0</v>
      </c>
      <c r="CU50" s="26">
        <v>0</v>
      </c>
      <c r="CV50" s="26">
        <v>0</v>
      </c>
      <c r="CW50" s="26">
        <v>0</v>
      </c>
      <c r="CX50" s="26">
        <f t="shared" si="10"/>
        <v>24086</v>
      </c>
      <c r="CY50" s="14" t="str">
        <f>IF(A50=0,0,IFERROR(VLOOKUP(A50,'[1]Info Donantes'!C:F,2,0),"Sin Contacto"))</f>
        <v>Rafael Santamaria</v>
      </c>
      <c r="CZ50" s="14" t="str">
        <f>IF(A50=0,0,IFERROR(VLOOKUP(A50,'[1]Info Donantes'!C:F,3,0),"Sin Correo"))</f>
        <v>rafael@nimar.com.pa</v>
      </c>
      <c r="DA50" s="14" t="str">
        <f>IF(A50=0,0,IFERROR(VLOOKUP(A50,'[1]Info Donantes'!C:F,4,0),"Sin Telefono"))</f>
        <v>222-0528</v>
      </c>
      <c r="DB50" s="14" t="str">
        <f>IF(A50=0,0,"Reporte de Trazabiidad"&amp;" - "&amp;'[1]Resumen Donantes'!$C$2&amp;" - "&amp;A50&amp;"")</f>
        <v>Reporte de Trazabiidad -  - IMPORTADORA Y EXPORTADORA NIMAR</v>
      </c>
    </row>
    <row r="51" spans="1:106" x14ac:dyDescent="0.55000000000000004">
      <c r="A51" s="14" t="s">
        <v>155</v>
      </c>
      <c r="B51" s="15">
        <f>INT(IFERROR(VLOOKUP(A51,'[1]Resumen Donantes'!C:F,3,0),0))</f>
        <v>0</v>
      </c>
      <c r="C51" s="15">
        <f>INT(ROUND(IFERROR(VLOOKUP(A51,'[1]Resumen Donantes'!C:F,4,0),0),1))</f>
        <v>0</v>
      </c>
      <c r="D51" s="16">
        <f t="shared" si="19"/>
        <v>0</v>
      </c>
      <c r="E51" s="17" t="str">
        <f t="shared" si="20"/>
        <v>0.00%</v>
      </c>
      <c r="F51" s="17" t="str">
        <f t="shared" si="21"/>
        <v>0.0%</v>
      </c>
      <c r="G51" s="15">
        <f t="shared" si="25"/>
        <v>0</v>
      </c>
      <c r="H51" s="18"/>
      <c r="I51" s="18">
        <f>IFERROR(VLOOKUP(A51,'[1]Lot All by Part'!T:Y,6,0),0)</f>
        <v>0</v>
      </c>
      <c r="J51" s="18"/>
      <c r="K51" s="19">
        <f>IFERROR(VLOOKUP($A51,'[1]OB Atendidas por Donantes'!A:N,3,0),0)</f>
        <v>0</v>
      </c>
      <c r="L51" s="19">
        <f>ROUNDUP(IF(A51=0,0,IFERROR(VLOOKUP($A51,'[1]Kilos Asignado del Donante'!A:O,3,0),0)),0)</f>
        <v>0</v>
      </c>
      <c r="M51" s="19">
        <f>IF(A51=0,0,IFERROR(SUMIFS([1]Poblacion!M:M,[1]Poblacion!J:J,'MASTER-2025'!A51),0))</f>
        <v>0</v>
      </c>
      <c r="N51" s="20">
        <f>IFERROR(VLOOKUP($A51,'[1]OB Atendidas por Donantes'!A:N,4,0),0)</f>
        <v>0</v>
      </c>
      <c r="O51" s="20">
        <f>ROUNDUP(IF(A51=0,0,IFERROR(VLOOKUP($A51,'[1]Kilos Asignado del Donante'!A:O,4,0),0)),0)</f>
        <v>0</v>
      </c>
      <c r="P51" s="20">
        <f>IF(A51=0,0,IFERROR(SUMIFS([1]Poblacion!N:N,[1]Poblacion!J:J,'MASTER-2025'!A51),0))</f>
        <v>0</v>
      </c>
      <c r="Q51" s="18">
        <f>IFERROR(VLOOKUP($A51,'[1]OB Atendidas por Donantes'!A:N,2,0),0)</f>
        <v>0</v>
      </c>
      <c r="R51" s="18">
        <f>ROUNDUP(ROUND(IF(A51=0,0,IFERROR(VLOOKUP($A51,'[1]Kilos Asignado del Donante'!A:O,9,0),0)),1),0)</f>
        <v>0</v>
      </c>
      <c r="S51" s="18">
        <f>IF(A51=0,0,IFERROR(SUMIFS([1]Poblacion!S:S,[1]Poblacion!J:J,'MASTER-2025'!A51),0))</f>
        <v>0</v>
      </c>
      <c r="T51" s="19">
        <f>IFERROR(VLOOKUP($A51,'[1]OB Atendidas por Donantes'!A:N,12,0),0)</f>
        <v>0</v>
      </c>
      <c r="U51" s="19">
        <f>ROUNDUP(IF(A51=0,0,IF(A51=0,0,IFERROR(VLOOKUP($A51,'[1]Kilos Asignado del Donante'!A:O,7,0),0))),0)</f>
        <v>0</v>
      </c>
      <c r="V51" s="19">
        <f>IF(A51=0,0,IFERROR(SUMIFS([1]Poblacion!Q:Q,[1]Poblacion!J:J,'MASTER-2025'!A51),0))</f>
        <v>0</v>
      </c>
      <c r="W51" s="20">
        <f>IFERROR(VLOOKUP($A51,'[1]OB Atendidas por Donantes'!A:N,10,0),0)</f>
        <v>0</v>
      </c>
      <c r="X51" s="20">
        <f>ROUNDUP(IF(A51=0,0,IFERROR(VLOOKUP($A51,'[1]Kilos Asignado del Donante'!A:N,5,0),0)),0)</f>
        <v>0</v>
      </c>
      <c r="Y51" s="20">
        <f>IF(A51=0,0,IFERROR(SUMIFS([1]Poblacion!O:O,[1]Poblacion!J:J,'MASTER-2025'!A51),0))</f>
        <v>0</v>
      </c>
      <c r="Z51" s="18">
        <f>IFERROR(VLOOKUP($A51,'[1]OB Atendidas por Donantes'!A:N,6,0),0)</f>
        <v>0</v>
      </c>
      <c r="AA51" s="18">
        <f>ROUNDUP(IF(A51=0,0,IFERROR(VLOOKUP($A51,'[1]Kilos Asignado del Donante'!A:N,11,0),0)),0)</f>
        <v>0</v>
      </c>
      <c r="AB51" s="18">
        <f>IF(A51=0,0,IFERROR(SUMIFS([1]Poblacion!U:U,[1]Poblacion!J:J,'MASTER-2025'!A51),0))</f>
        <v>0</v>
      </c>
      <c r="AC51" s="19">
        <f>IFERROR(VLOOKUP($A51,'[1]OB Atendidas por Donantes'!A:N,7,0),0)</f>
        <v>0</v>
      </c>
      <c r="AD51" s="19">
        <f>ROUNDUP(IF(A51=0,0,IFERROR(VLOOKUP($A51,'[1]Kilos Asignado del Donante'!A:N,8,0),0)),0)</f>
        <v>0</v>
      </c>
      <c r="AE51" s="19">
        <f>IF(A51=0,0,IFERROR(SUMIFS([1]Poblacion!R:R,[1]Poblacion!J:J,'MASTER-2025'!A51),0))</f>
        <v>0</v>
      </c>
      <c r="AF51" s="20">
        <f>IFERROR(VLOOKUP($A51,'[1]OB Atendidas por Donantes'!A:N,8,0),0)</f>
        <v>0</v>
      </c>
      <c r="AG51" s="20">
        <f>ROUNDUP(IF(A51=0,0,IFERROR(VLOOKUP($A51,'[1]Kilos Asignado del Donante'!A:N,6,0),0)),0)</f>
        <v>0</v>
      </c>
      <c r="AH51" s="20">
        <f>IF(A51=0,0,IFERROR(SUMIFS([1]Poblacion!P:P,[1]Poblacion!J:J,'MASTER-2025'!A51),0))</f>
        <v>0</v>
      </c>
      <c r="AI51" s="18">
        <f>IFERROR(VLOOKUP($A51,'[1]OB Atendidas por Donantes'!A:N,9,0),0)</f>
        <v>0</v>
      </c>
      <c r="AJ51" s="18">
        <f>ROUNDUP(IF(A51=0,0,IFERROR(VLOOKUP($A51,'[1]Kilos Asignado del Donante'!A:N,12,0),0)),0)</f>
        <v>0</v>
      </c>
      <c r="AK51" s="18">
        <f>IF(A51=0,0,IFERROR(SUMIFS([1]Poblacion!V:V,[1]Poblacion!J:J,'MASTER-2025'!A51),0))</f>
        <v>0</v>
      </c>
      <c r="AL51" s="19">
        <f>IFERROR(VLOOKUP($A51,'[1]OB Atendidas por Donantes'!A:N,16,0),0)</f>
        <v>0</v>
      </c>
      <c r="AM51" s="19">
        <f>ROUNDUP(IF(A51=0,0,IFERROR(VLOOKUP($A51,'[1]Kilos Asignado del Donante'!A:O,16,0),0)),0)</f>
        <v>0</v>
      </c>
      <c r="AN51" s="19">
        <f>IF(A51=0,0,IFERROR(SUMIFS([1]Poblacion!Z:Z,[1]Poblacion!J:J,'MASTER-2025'!A51),0))</f>
        <v>0</v>
      </c>
      <c r="AO51" s="20">
        <f>IFERROR(VLOOKUP($A51,'[1]OB Atendidas por Donantes'!A:N,11,0),0)</f>
        <v>0</v>
      </c>
      <c r="AP51" s="20">
        <f>ROUNDUP(IF(A51=0,0,IFERROR(VLOOKUP($A51,'[1]Kilos Asignado del Donante'!A:N,13,0),0)),0)</f>
        <v>0</v>
      </c>
      <c r="AQ51" s="20">
        <f>IF(A51=0,0,IFERROR(SUMIFS([1]Poblacion!W:W,[1]Poblacion!J:J,'MASTER-2025'!A51),0))</f>
        <v>0</v>
      </c>
      <c r="AR51" s="18">
        <f>IFERROR(VLOOKUP($A51,'[1]OB Atendidas por Donantes'!A:N,5,0),0)</f>
        <v>0</v>
      </c>
      <c r="AS51" s="18">
        <f>ROUNDUP(IF(A51=0,0,IFERROR(VLOOKUP($A51,'[1]Kilos Asignado del Donante'!A:N,10,0),0)),0)</f>
        <v>0</v>
      </c>
      <c r="AT51" s="18">
        <f>IF(A51=0,0,IFERROR(SUMIFS([1]Poblacion!T:T,[1]Poblacion!J:J,'MASTER-2025'!A51),0))</f>
        <v>0</v>
      </c>
      <c r="AU51" s="19">
        <f>IFERROR(VLOOKUP($A51,'[1]OB Atendidas por Donantes'!A:N,13,0),0)</f>
        <v>0</v>
      </c>
      <c r="AV51" s="19">
        <f>ROUNDUP(IF(A51=0,0,IFERROR(VLOOKUP($A51,'[1]Kilos Asignado del Donante'!A:N,14,0),0)),0)</f>
        <v>0</v>
      </c>
      <c r="AW51" s="19">
        <f>IF(A51=0,0,IFERROR(SUMIFS([1]Poblacion!X:X,[1]Poblacion!J:J,'MASTER-2025'!A51),0))</f>
        <v>0</v>
      </c>
      <c r="AX51" s="20">
        <f>IFERROR(VLOOKUP($A51,'[1]OB Atendidas por Donantes'!A:N,16,0),0)</f>
        <v>0</v>
      </c>
      <c r="AY51" s="20">
        <f>ROUNDUP(IF(A51=0,0,IFERROR(VLOOKUP($A51,'[1]Kilos Asignado del Donante'!A:O,16,0),0)),0)</f>
        <v>0</v>
      </c>
      <c r="AZ51" s="20">
        <f>IF(A51=0,0,IFERROR(SUMIFS([1]Poblacion!Y:Y,[1]Poblacion!J:J,'MASTER-2025'!A51),0))</f>
        <v>0</v>
      </c>
      <c r="BA51" s="21">
        <f t="shared" si="15"/>
        <v>0</v>
      </c>
      <c r="BB51" s="21">
        <f t="shared" si="27"/>
        <v>0</v>
      </c>
      <c r="BC51" s="21">
        <f t="shared" si="24"/>
        <v>0</v>
      </c>
      <c r="BD51" s="21">
        <f t="shared" si="26"/>
        <v>0</v>
      </c>
      <c r="BE51" s="22" t="e">
        <f>IF(A51=0,0,SUMIFS([1]Poblacion!C:C,[1]Poblacion!A:A,'MASTER-2025'!A51))</f>
        <v>#VALUE!</v>
      </c>
      <c r="BF51" s="22" t="e">
        <f>IF(A51=0,0,SUMIFS([1]Poblacion!D:D,[1]Poblacion!A:A,'MASTER-2025'!A51))</f>
        <v>#VALUE!</v>
      </c>
      <c r="BG51" s="22" t="e">
        <f>IF(A51=0,0,SUMIFS([1]Poblacion!E:E,[1]Poblacion!A:A,'MASTER-2025'!A51))</f>
        <v>#VALUE!</v>
      </c>
      <c r="BH51" s="22" t="e">
        <f>IF(A51=0,0,SUMIFS([1]Poblacion!F:F,[1]Poblacion!A:A,'MASTER-2025'!A51))</f>
        <v>#VALUE!</v>
      </c>
      <c r="BI51" s="22" t="e">
        <f t="shared" si="18"/>
        <v>#VALUE!</v>
      </c>
      <c r="BJ51" s="23" t="e">
        <f t="shared" si="7"/>
        <v>#VALUE!</v>
      </c>
      <c r="BK51" s="22" t="e">
        <f>IF(A51=0,0,SUMIFS([1]Poblacion!G:G,[1]Poblacion!A:A,'MASTER-2025'!A51))</f>
        <v>#VALUE!</v>
      </c>
      <c r="BL51" s="24" cm="1">
        <f t="array" ref="BL51:BW51">IFERROR(VLOOKUP(A51,'[1]Acum-OB-kg-pob-25'!A:AQ,{3,4,5,6,7,8,9,10,11,12,13,14},0),0)</f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BX51" s="24">
        <f t="shared" si="8"/>
        <v>0</v>
      </c>
      <c r="BY51" s="25" cm="1">
        <f t="array" ref="BY51:CJ51">IFERROR(VLOOKUP(A51,'[1]Acum-OB-kg-pob-25'!A:AQ,{17,18,19,20,21,22,23,24,25,26,27,28},0),0)</f>
        <v>0</v>
      </c>
      <c r="BZ51" s="25">
        <v>0</v>
      </c>
      <c r="CA51" s="25">
        <v>0</v>
      </c>
      <c r="CB51" s="25">
        <v>0</v>
      </c>
      <c r="CC51" s="25">
        <v>0</v>
      </c>
      <c r="CD51" s="25">
        <v>0</v>
      </c>
      <c r="CE51" s="25">
        <v>0</v>
      </c>
      <c r="CF51" s="25">
        <v>0</v>
      </c>
      <c r="CG51" s="25">
        <v>0</v>
      </c>
      <c r="CH51" s="25">
        <v>0</v>
      </c>
      <c r="CI51" s="25">
        <v>0</v>
      </c>
      <c r="CJ51" s="25">
        <v>0</v>
      </c>
      <c r="CK51" s="25">
        <f t="shared" si="9"/>
        <v>0</v>
      </c>
      <c r="CL51" s="26" cm="1">
        <f t="array" ref="CL51:CW51">IFERROR(VLOOKUP(A51,'[1]Acum-OB-kg-pob-25'!A:AQ,{31,32,33,34,35,36,37,38,39,40,41,42},0),0)</f>
        <v>0</v>
      </c>
      <c r="CM51" s="26">
        <v>0</v>
      </c>
      <c r="CN51" s="26">
        <v>0</v>
      </c>
      <c r="CO51" s="26">
        <v>0</v>
      </c>
      <c r="CP51" s="26">
        <v>0</v>
      </c>
      <c r="CQ51" s="26">
        <v>0</v>
      </c>
      <c r="CR51" s="26">
        <v>0</v>
      </c>
      <c r="CS51" s="26">
        <v>0</v>
      </c>
      <c r="CT51" s="26">
        <v>0</v>
      </c>
      <c r="CU51" s="26">
        <v>0</v>
      </c>
      <c r="CV51" s="26">
        <v>0</v>
      </c>
      <c r="CW51" s="26">
        <v>0</v>
      </c>
      <c r="CX51" s="26">
        <f t="shared" si="10"/>
        <v>0</v>
      </c>
      <c r="CY51" s="14" t="str">
        <f>IF(A51=0,0,IFERROR(VLOOKUP(A51,'[1]Info Donantes'!C:F,2,0),"Sin Contacto"))</f>
        <v>Ricardo Wong</v>
      </c>
      <c r="CZ51" s="14">
        <f>IF(A51=0,0,IFERROR(VLOOKUP(A51,'[1]Info Donantes'!C:F,3,0),"Sin Correo"))</f>
        <v>0</v>
      </c>
      <c r="DA51" s="14" t="str">
        <f>IF(A51=0,0,IFERROR(VLOOKUP(A51,'[1]Info Donantes'!C:F,4,0),"Sin Telefono"))</f>
        <v>6626-7202</v>
      </c>
      <c r="DB51" s="14" t="str">
        <f>IF(A51=0,0,"Reporte de Trazabiidad"&amp;" - "&amp;'[1]Resumen Donantes'!$C$2&amp;" - "&amp;A51&amp;"")</f>
        <v>Reporte de Trazabiidad -  - GC DEV, S.A.</v>
      </c>
    </row>
    <row r="52" spans="1:106" x14ac:dyDescent="0.55000000000000004">
      <c r="A52" s="31" t="s">
        <v>156</v>
      </c>
      <c r="B52" s="15">
        <f>INT(IFERROR(VLOOKUP(A52,'[1]Resumen Donantes'!C:F,3,0),0))</f>
        <v>0</v>
      </c>
      <c r="C52" s="15">
        <f>INT(ROUND(IFERROR(VLOOKUP(A52,'[1]Resumen Donantes'!C:F,4,0),0),1))</f>
        <v>0</v>
      </c>
      <c r="D52" s="16">
        <f t="shared" si="19"/>
        <v>0</v>
      </c>
      <c r="E52" s="17" t="str">
        <f t="shared" si="20"/>
        <v>0.00%</v>
      </c>
      <c r="F52" s="17" t="str">
        <f t="shared" si="21"/>
        <v>0.0%</v>
      </c>
      <c r="G52" s="15">
        <f t="shared" si="25"/>
        <v>0</v>
      </c>
      <c r="H52" s="18"/>
      <c r="I52" s="18">
        <f>IFERROR(VLOOKUP(A52,'[1]Lot All by Part'!T:Y,6,0),0)</f>
        <v>0</v>
      </c>
      <c r="J52" s="18"/>
      <c r="K52" s="19">
        <f>IFERROR(VLOOKUP($A52,'[1]OB Atendidas por Donantes'!A:N,3,0),0)</f>
        <v>0</v>
      </c>
      <c r="L52" s="19">
        <f>ROUNDUP(IF(A52=0,0,IFERROR(VLOOKUP($A52,'[1]Kilos Asignado del Donante'!A:O,3,0),0)),0)</f>
        <v>0</v>
      </c>
      <c r="M52" s="19">
        <f>IF(A52=0,0,IFERROR(SUMIFS([1]Poblacion!M:M,[1]Poblacion!J:J,'MASTER-2025'!A52),0))</f>
        <v>0</v>
      </c>
      <c r="N52" s="20">
        <f>IFERROR(VLOOKUP($A52,'[1]OB Atendidas por Donantes'!A:N,4,0),0)</f>
        <v>0</v>
      </c>
      <c r="O52" s="20">
        <f>ROUNDUP(IF(A52=0,0,IFERROR(VLOOKUP($A52,'[1]Kilos Asignado del Donante'!A:O,4,0),0)),0)</f>
        <v>0</v>
      </c>
      <c r="P52" s="20">
        <f>IF(A52=0,0,IFERROR(SUMIFS([1]Poblacion!N:N,[1]Poblacion!J:J,'MASTER-2025'!A52),0))</f>
        <v>0</v>
      </c>
      <c r="Q52" s="18">
        <f>IFERROR(VLOOKUP($A52,'[1]OB Atendidas por Donantes'!A:N,2,0),0)</f>
        <v>0</v>
      </c>
      <c r="R52" s="18">
        <f>ROUNDUP(ROUND(IF(A52=0,0,IFERROR(VLOOKUP($A52,'[1]Kilos Asignado del Donante'!A:O,9,0),0)),1),0)</f>
        <v>0</v>
      </c>
      <c r="S52" s="18">
        <f>IF(A52=0,0,IFERROR(SUMIFS([1]Poblacion!S:S,[1]Poblacion!J:J,'MASTER-2025'!A52),0))</f>
        <v>0</v>
      </c>
      <c r="T52" s="19">
        <f>IFERROR(VLOOKUP($A52,'[1]OB Atendidas por Donantes'!A:N,12,0),0)</f>
        <v>0</v>
      </c>
      <c r="U52" s="19">
        <f>ROUNDUP(IF(A52=0,0,IF(A52=0,0,IFERROR(VLOOKUP($A52,'[1]Kilos Asignado del Donante'!A:O,7,0),0))),0)</f>
        <v>0</v>
      </c>
      <c r="V52" s="19">
        <f>IF(A52=0,0,IFERROR(SUMIFS([1]Poblacion!Q:Q,[1]Poblacion!J:J,'MASTER-2025'!A52),0))</f>
        <v>0</v>
      </c>
      <c r="W52" s="20">
        <f>IFERROR(VLOOKUP($A52,'[1]OB Atendidas por Donantes'!A:N,10,0),0)</f>
        <v>0</v>
      </c>
      <c r="X52" s="20">
        <f>ROUNDUP(IF(A52=0,0,IFERROR(VLOOKUP($A52,'[1]Kilos Asignado del Donante'!A:N,5,0),0)),0)</f>
        <v>0</v>
      </c>
      <c r="Y52" s="20">
        <f>IF(A52=0,0,IFERROR(SUMIFS([1]Poblacion!O:O,[1]Poblacion!J:J,'MASTER-2025'!A52),0))</f>
        <v>0</v>
      </c>
      <c r="Z52" s="18">
        <f>IFERROR(VLOOKUP($A52,'[1]OB Atendidas por Donantes'!A:N,6,0),0)</f>
        <v>0</v>
      </c>
      <c r="AA52" s="18">
        <f>ROUNDUP(IF(A52=0,0,IFERROR(VLOOKUP($A52,'[1]Kilos Asignado del Donante'!A:N,11,0),0)),0)</f>
        <v>0</v>
      </c>
      <c r="AB52" s="18">
        <f>IF(A52=0,0,IFERROR(SUMIFS([1]Poblacion!U:U,[1]Poblacion!J:J,'MASTER-2025'!A52),0))</f>
        <v>0</v>
      </c>
      <c r="AC52" s="19">
        <f>IFERROR(VLOOKUP($A52,'[1]OB Atendidas por Donantes'!A:N,7,0),0)</f>
        <v>0</v>
      </c>
      <c r="AD52" s="19">
        <f>ROUNDUP(IF(A52=0,0,IFERROR(VLOOKUP($A52,'[1]Kilos Asignado del Donante'!A:N,8,0),0)),0)</f>
        <v>0</v>
      </c>
      <c r="AE52" s="19">
        <f>IF(A52=0,0,IFERROR(SUMIFS([1]Poblacion!R:R,[1]Poblacion!J:J,'MASTER-2025'!A52),0))</f>
        <v>0</v>
      </c>
      <c r="AF52" s="20">
        <f>IFERROR(VLOOKUP($A52,'[1]OB Atendidas por Donantes'!A:N,8,0),0)</f>
        <v>0</v>
      </c>
      <c r="AG52" s="20">
        <f>ROUNDUP(IF(A52=0,0,IFERROR(VLOOKUP($A52,'[1]Kilos Asignado del Donante'!A:N,6,0),0)),0)</f>
        <v>0</v>
      </c>
      <c r="AH52" s="20">
        <f>IF(A52=0,0,IFERROR(SUMIFS([1]Poblacion!P:P,[1]Poblacion!J:J,'MASTER-2025'!A52),0))</f>
        <v>0</v>
      </c>
      <c r="AI52" s="18">
        <f>IFERROR(VLOOKUP($A52,'[1]OB Atendidas por Donantes'!A:N,9,0),0)</f>
        <v>0</v>
      </c>
      <c r="AJ52" s="18">
        <f>ROUNDUP(IF(A52=0,0,IFERROR(VLOOKUP($A52,'[1]Kilos Asignado del Donante'!A:N,12,0),0)),0)</f>
        <v>0</v>
      </c>
      <c r="AK52" s="18">
        <f>IF(A52=0,0,IFERROR(SUMIFS([1]Poblacion!V:V,[1]Poblacion!J:J,'MASTER-2025'!A52),0))</f>
        <v>0</v>
      </c>
      <c r="AL52" s="19">
        <f>IFERROR(VLOOKUP($A52,'[1]OB Atendidas por Donantes'!A:N,16,0),0)</f>
        <v>0</v>
      </c>
      <c r="AM52" s="19">
        <f>ROUNDUP(IF(A52=0,0,IFERROR(VLOOKUP($A52,'[1]Kilos Asignado del Donante'!A:O,16,0),0)),0)</f>
        <v>0</v>
      </c>
      <c r="AN52" s="19">
        <f>IF(A52=0,0,IFERROR(SUMIFS([1]Poblacion!Z:Z,[1]Poblacion!J:J,'MASTER-2025'!A52),0))</f>
        <v>0</v>
      </c>
      <c r="AO52" s="20">
        <f>IFERROR(VLOOKUP($A52,'[1]OB Atendidas por Donantes'!A:N,11,0),0)</f>
        <v>0</v>
      </c>
      <c r="AP52" s="20">
        <f>ROUNDUP(IF(A52=0,0,IFERROR(VLOOKUP($A52,'[1]Kilos Asignado del Donante'!A:N,13,0),0)),0)</f>
        <v>0</v>
      </c>
      <c r="AQ52" s="20">
        <f>IF(A52=0,0,IFERROR(SUMIFS([1]Poblacion!W:W,[1]Poblacion!J:J,'MASTER-2025'!A52),0))</f>
        <v>0</v>
      </c>
      <c r="AR52" s="18">
        <f>IFERROR(VLOOKUP($A52,'[1]OB Atendidas por Donantes'!A:N,5,0),0)</f>
        <v>0</v>
      </c>
      <c r="AS52" s="18">
        <f>ROUNDUP(IF(A52=0,0,IFERROR(VLOOKUP($A52,'[1]Kilos Asignado del Donante'!A:N,10,0),0)),0)</f>
        <v>0</v>
      </c>
      <c r="AT52" s="18">
        <f>IF(A52=0,0,IFERROR(SUMIFS([1]Poblacion!T:T,[1]Poblacion!J:J,'MASTER-2025'!A52),0))</f>
        <v>0</v>
      </c>
      <c r="AU52" s="19">
        <f>IFERROR(VLOOKUP($A52,'[1]OB Atendidas por Donantes'!A:N,13,0),0)</f>
        <v>0</v>
      </c>
      <c r="AV52" s="19">
        <f>ROUNDUP(IF(A52=0,0,IFERROR(VLOOKUP($A52,'[1]Kilos Asignado del Donante'!A:N,14,0),0)),0)</f>
        <v>0</v>
      </c>
      <c r="AW52" s="19">
        <f>IF(A52=0,0,IFERROR(SUMIFS([1]Poblacion!X:X,[1]Poblacion!J:J,'MASTER-2025'!A52),0))</f>
        <v>0</v>
      </c>
      <c r="AX52" s="20">
        <f>IFERROR(VLOOKUP($A52,'[1]OB Atendidas por Donantes'!A:N,16,0),0)</f>
        <v>0</v>
      </c>
      <c r="AY52" s="20">
        <f>ROUNDUP(IF(A52=0,0,IFERROR(VLOOKUP($A52,'[1]Kilos Asignado del Donante'!A:O,16,0),0)),0)</f>
        <v>0</v>
      </c>
      <c r="AZ52" s="20">
        <f>IF(A52=0,0,IFERROR(SUMIFS([1]Poblacion!Y:Y,[1]Poblacion!J:J,'MASTER-2025'!A52),0))</f>
        <v>0</v>
      </c>
      <c r="BA52" s="21">
        <f t="shared" si="15"/>
        <v>0</v>
      </c>
      <c r="BB52" s="21">
        <f>INT(I52+L52+O52+R52+U52+X52+AA52+AD52+AG52+AJ52+AM52+AP52+AS52+AV52+AY52)</f>
        <v>0</v>
      </c>
      <c r="BC52" s="21">
        <f t="shared" si="24"/>
        <v>0</v>
      </c>
      <c r="BD52" s="21">
        <f t="shared" si="26"/>
        <v>0</v>
      </c>
      <c r="BE52" s="22" t="e">
        <f>IF(A52=0,0,SUMIFS([1]Poblacion!C:C,[1]Poblacion!A:A,'MASTER-2025'!A52))</f>
        <v>#VALUE!</v>
      </c>
      <c r="BF52" s="22" t="e">
        <f>IF(A52=0,0,SUMIFS([1]Poblacion!D:D,[1]Poblacion!A:A,'MASTER-2025'!A52))</f>
        <v>#VALUE!</v>
      </c>
      <c r="BG52" s="22" t="e">
        <f>IF(A52=0,0,SUMIFS([1]Poblacion!E:E,[1]Poblacion!A:A,'MASTER-2025'!A52))</f>
        <v>#VALUE!</v>
      </c>
      <c r="BH52" s="22" t="e">
        <f>IF(A52=0,0,SUMIFS([1]Poblacion!F:F,[1]Poblacion!A:A,'MASTER-2025'!A52))</f>
        <v>#VALUE!</v>
      </c>
      <c r="BI52" s="22" t="e">
        <f t="shared" si="18"/>
        <v>#VALUE!</v>
      </c>
      <c r="BJ52" s="23" t="e">
        <f t="shared" si="7"/>
        <v>#VALUE!</v>
      </c>
      <c r="BK52" s="22" t="e">
        <f>IF(A52=0,0,SUMIFS([1]Poblacion!G:G,[1]Poblacion!A:A,'MASTER-2025'!A52))</f>
        <v>#VALUE!</v>
      </c>
      <c r="BL52" s="24" cm="1">
        <f t="array" ref="BL52:BW52">IFERROR(VLOOKUP(A52,'[1]Acum-OB-kg-pob-25'!A:AQ,{3,4,5,6,7,8,9,10,11,12,13,14},0),0)</f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BX52" s="24">
        <f t="shared" si="8"/>
        <v>0</v>
      </c>
      <c r="BY52" s="25" cm="1">
        <f t="array" ref="BY52:CJ52">IFERROR(VLOOKUP(A52,'[1]Acum-OB-kg-pob-25'!A:AQ,{17,18,19,20,21,22,23,24,25,26,27,28},0),0)</f>
        <v>0</v>
      </c>
      <c r="BZ52" s="25">
        <v>0</v>
      </c>
      <c r="CA52" s="25">
        <v>0</v>
      </c>
      <c r="CB52" s="25">
        <v>0</v>
      </c>
      <c r="CC52" s="25">
        <v>0</v>
      </c>
      <c r="CD52" s="25">
        <v>0</v>
      </c>
      <c r="CE52" s="25">
        <v>0</v>
      </c>
      <c r="CF52" s="25">
        <v>0</v>
      </c>
      <c r="CG52" s="25">
        <v>0</v>
      </c>
      <c r="CH52" s="25">
        <v>0</v>
      </c>
      <c r="CI52" s="25">
        <v>0</v>
      </c>
      <c r="CJ52" s="25">
        <v>0</v>
      </c>
      <c r="CK52" s="25">
        <f t="shared" si="9"/>
        <v>0</v>
      </c>
      <c r="CL52" s="26" cm="1">
        <f t="array" ref="CL52:CW52">IFERROR(VLOOKUP(A52,'[1]Acum-OB-kg-pob-25'!A:AQ,{31,32,33,34,35,36,37,38,39,40,41,42},0),0)</f>
        <v>0</v>
      </c>
      <c r="CM52" s="26">
        <v>0</v>
      </c>
      <c r="CN52" s="26">
        <v>0</v>
      </c>
      <c r="CO52" s="26">
        <v>0</v>
      </c>
      <c r="CP52" s="26">
        <v>0</v>
      </c>
      <c r="CQ52" s="26">
        <v>0</v>
      </c>
      <c r="CR52" s="26">
        <v>0</v>
      </c>
      <c r="CS52" s="26">
        <v>0</v>
      </c>
      <c r="CT52" s="26">
        <v>0</v>
      </c>
      <c r="CU52" s="26">
        <v>0</v>
      </c>
      <c r="CV52" s="26">
        <v>0</v>
      </c>
      <c r="CW52" s="26">
        <v>0</v>
      </c>
      <c r="CX52" s="26">
        <f t="shared" si="10"/>
        <v>0</v>
      </c>
      <c r="CY52" s="14" t="str">
        <f>IF(A52=0,0,IFERROR(VLOOKUP(A52,'[1]Info Donantes'!C:F,2,0),"Sin Contacto"))</f>
        <v>Yara Martínez</v>
      </c>
      <c r="CZ52" s="14" t="str">
        <f>IF(A52=0,0,IFERROR(VLOOKUP(A52,'[1]Info Donantes'!C:F,3,0),"Sin Correo"))</f>
        <v>creditosycobros@agricolalomita.com</v>
      </c>
      <c r="DA52" s="14" t="str">
        <f>IF(A52=0,0,IFERROR(VLOOKUP(A52,'[1]Info Donantes'!C:F,4,0),"Sin Telefono"))</f>
        <v>6317-6692</v>
      </c>
      <c r="DB52" s="14" t="str">
        <f>IF(A52=0,0,"Reporte de Trazabiidad"&amp;" - "&amp;'[1]Resumen Donantes'!$C$2&amp;" - "&amp;A52&amp;"")</f>
        <v>Reporte de Trazabiidad -  - Agrícola La Lomita, S.A.</v>
      </c>
    </row>
    <row r="53" spans="1:106" x14ac:dyDescent="0.55000000000000004">
      <c r="A53" s="31" t="s">
        <v>157</v>
      </c>
      <c r="B53" s="15">
        <f>INT(IFERROR(VLOOKUP(A53,'[1]Resumen Donantes'!C:F,3,0),0))</f>
        <v>0</v>
      </c>
      <c r="C53" s="15">
        <f>INT(ROUND(IFERROR(VLOOKUP(A53,'[1]Resumen Donantes'!C:F,4,0),0),1))</f>
        <v>0</v>
      </c>
      <c r="D53" s="16">
        <f t="shared" si="19"/>
        <v>0</v>
      </c>
      <c r="E53" s="17" t="str">
        <f t="shared" si="20"/>
        <v>0.00%</v>
      </c>
      <c r="F53" s="17" t="str">
        <f t="shared" si="21"/>
        <v>0.0%</v>
      </c>
      <c r="G53" s="15">
        <f t="shared" si="25"/>
        <v>0</v>
      </c>
      <c r="H53" s="18"/>
      <c r="I53" s="18">
        <f>IFERROR(VLOOKUP(A53,'[1]Lot All by Part'!T:Y,6,0),0)</f>
        <v>5860</v>
      </c>
      <c r="J53" s="18"/>
      <c r="K53" s="19">
        <f>IFERROR(VLOOKUP($A53,'[1]OB Atendidas por Donantes'!A:N,3,0),0)</f>
        <v>7</v>
      </c>
      <c r="L53" s="19">
        <f>ROUNDUP(IF(A53=0,0,IFERROR(VLOOKUP($A53,'[1]Kilos Asignado del Donante'!A:O,3,0),0)),0)</f>
        <v>3630</v>
      </c>
      <c r="M53" s="19">
        <f>IF(A53=0,0,IFERROR(SUMIFS([1]Poblacion!M:M,[1]Poblacion!J:J,'MASTER-2025'!A53),0))</f>
        <v>0</v>
      </c>
      <c r="N53" s="20">
        <f>IFERROR(VLOOKUP($A53,'[1]OB Atendidas por Donantes'!A:N,4,0),0)</f>
        <v>6</v>
      </c>
      <c r="O53" s="20">
        <f>ROUNDUP(IF(A53=0,0,IFERROR(VLOOKUP($A53,'[1]Kilos Asignado del Donante'!A:O,4,0),0)),0)</f>
        <v>3585</v>
      </c>
      <c r="P53" s="20">
        <f>IF(A53=0,0,IFERROR(SUMIFS([1]Poblacion!N:N,[1]Poblacion!J:J,'MASTER-2025'!A53),0))</f>
        <v>0</v>
      </c>
      <c r="Q53" s="18">
        <f>IFERROR(VLOOKUP($A53,'[1]OB Atendidas por Donantes'!A:N,2,0),0)</f>
        <v>4</v>
      </c>
      <c r="R53" s="18">
        <f>ROUNDUP(ROUND(IF(A53=0,0,IFERROR(VLOOKUP($A53,'[1]Kilos Asignado del Donante'!A:O,9,0),0)),1),0)</f>
        <v>3721</v>
      </c>
      <c r="S53" s="18">
        <f>IF(A53=0,0,IFERROR(SUMIFS([1]Poblacion!S:S,[1]Poblacion!J:J,'MASTER-2025'!A53),0))</f>
        <v>0</v>
      </c>
      <c r="T53" s="19">
        <f>IFERROR(VLOOKUP($A53,'[1]OB Atendidas por Donantes'!A:N,12,0),0)</f>
        <v>2</v>
      </c>
      <c r="U53" s="19">
        <f>ROUNDUP(IF(A53=0,0,IF(A53=0,0,IFERROR(VLOOKUP($A53,'[1]Kilos Asignado del Donante'!A:O,7,0),0))),0)</f>
        <v>827</v>
      </c>
      <c r="V53" s="19">
        <f>IF(A53=0,0,IFERROR(SUMIFS([1]Poblacion!Q:Q,[1]Poblacion!J:J,'MASTER-2025'!A53),0))</f>
        <v>0</v>
      </c>
      <c r="W53" s="20">
        <f>IFERROR(VLOOKUP($A53,'[1]OB Atendidas por Donantes'!A:N,10,0),0)</f>
        <v>6</v>
      </c>
      <c r="X53" s="20">
        <f>ROUNDUP(IF(A53=0,0,IFERROR(VLOOKUP($A53,'[1]Kilos Asignado del Donante'!A:N,5,0),0)),0)</f>
        <v>6023</v>
      </c>
      <c r="Y53" s="20">
        <f>IF(A53=0,0,IFERROR(SUMIFS([1]Poblacion!O:O,[1]Poblacion!J:J,'MASTER-2025'!A53),0))</f>
        <v>0</v>
      </c>
      <c r="Z53" s="18">
        <f>IFERROR(VLOOKUP($A53,'[1]OB Atendidas por Donantes'!A:N,6,0),0)</f>
        <v>1</v>
      </c>
      <c r="AA53" s="18">
        <f>ROUNDUP(IF(A53=0,0,IFERROR(VLOOKUP($A53,'[1]Kilos Asignado del Donante'!A:N,11,0),0)),0)</f>
        <v>275</v>
      </c>
      <c r="AB53" s="18">
        <f>IF(A53=0,0,IFERROR(SUMIFS([1]Poblacion!U:U,[1]Poblacion!J:J,'MASTER-2025'!A53),0))</f>
        <v>0</v>
      </c>
      <c r="AC53" s="19">
        <f>IFERROR(VLOOKUP($A53,'[1]OB Atendidas por Donantes'!A:N,7,0),0)</f>
        <v>3</v>
      </c>
      <c r="AD53" s="19">
        <f>ROUNDUP(IF(A53=0,0,IFERROR(VLOOKUP($A53,'[1]Kilos Asignado del Donante'!A:N,8,0),0)),0)</f>
        <v>2507</v>
      </c>
      <c r="AE53" s="19">
        <f>IF(A53=0,0,IFERROR(SUMIFS([1]Poblacion!R:R,[1]Poblacion!J:J,'MASTER-2025'!A53),0))</f>
        <v>0</v>
      </c>
      <c r="AF53" s="20">
        <f>IFERROR(VLOOKUP($A53,'[1]OB Atendidas por Donantes'!A:N,8,0),0)</f>
        <v>1</v>
      </c>
      <c r="AG53" s="20">
        <f>ROUNDUP(IF(A53=0,0,IFERROR(VLOOKUP($A53,'[1]Kilos Asignado del Donante'!A:N,6,0),0)),0)</f>
        <v>275</v>
      </c>
      <c r="AH53" s="20">
        <f>IF(A53=0,0,IFERROR(SUMIFS([1]Poblacion!P:P,[1]Poblacion!J:J,'MASTER-2025'!A53),0))</f>
        <v>0</v>
      </c>
      <c r="AI53" s="18">
        <f>IFERROR(VLOOKUP($A53,'[1]OB Atendidas por Donantes'!A:N,9,0),0)</f>
        <v>0</v>
      </c>
      <c r="AJ53" s="18">
        <f>ROUNDUP(IF(A53=0,0,IFERROR(VLOOKUP($A53,'[1]Kilos Asignado del Donante'!A:N,12,0),0)),0)</f>
        <v>0</v>
      </c>
      <c r="AK53" s="18">
        <f>IF(A53=0,0,IFERROR(SUMIFS([1]Poblacion!V:V,[1]Poblacion!J:J,'MASTER-2025'!A53),0))</f>
        <v>0</v>
      </c>
      <c r="AL53" s="19">
        <f>IFERROR(VLOOKUP($A53,'[1]OB Atendidas por Donantes'!A:N,16,0),0)</f>
        <v>0</v>
      </c>
      <c r="AM53" s="19">
        <f>ROUNDUP(IF(A53=0,0,IFERROR(VLOOKUP($A53,'[1]Kilos Asignado del Donante'!A:O,16,0),0)),0)</f>
        <v>0</v>
      </c>
      <c r="AN53" s="19">
        <f>IF(A53=0,0,IFERROR(SUMIFS([1]Poblacion!Z:Z,[1]Poblacion!J:J,'MASTER-2025'!A53),0))</f>
        <v>0</v>
      </c>
      <c r="AO53" s="20">
        <f>IFERROR(VLOOKUP($A53,'[1]OB Atendidas por Donantes'!A:N,11,0),0)</f>
        <v>3</v>
      </c>
      <c r="AP53" s="20">
        <f>ROUNDUP(IF(A53=0,0,IFERROR(VLOOKUP($A53,'[1]Kilos Asignado del Donante'!A:N,13,0),0)),0)</f>
        <v>17002</v>
      </c>
      <c r="AQ53" s="20">
        <f>IF(A53=0,0,IFERROR(SUMIFS([1]Poblacion!W:W,[1]Poblacion!J:J,'MASTER-2025'!A53),0))</f>
        <v>0</v>
      </c>
      <c r="AR53" s="18">
        <f>IFERROR(VLOOKUP($A53,'[1]OB Atendidas por Donantes'!A:N,5,0),0)</f>
        <v>2</v>
      </c>
      <c r="AS53" s="18">
        <f>ROUNDUP(IF(A53=0,0,IFERROR(VLOOKUP($A53,'[1]Kilos Asignado del Donante'!A:N,10,0),0)),0)</f>
        <v>758</v>
      </c>
      <c r="AT53" s="18">
        <f>IF(A53=0,0,IFERROR(SUMIFS([1]Poblacion!T:T,[1]Poblacion!J:J,'MASTER-2025'!A53),0))</f>
        <v>0</v>
      </c>
      <c r="AU53" s="19">
        <f>IFERROR(VLOOKUP($A53,'[1]OB Atendidas por Donantes'!A:N,13,0),0)</f>
        <v>1</v>
      </c>
      <c r="AV53" s="19">
        <f>ROUNDUP(IF(A53=0,0,IFERROR(VLOOKUP($A53,'[1]Kilos Asignado del Donante'!A:N,14,0),0)),0)</f>
        <v>1435</v>
      </c>
      <c r="AW53" s="19">
        <f>IF(A53=0,0,IFERROR(SUMIFS([1]Poblacion!X:X,[1]Poblacion!J:J,'MASTER-2025'!A53),0))</f>
        <v>0</v>
      </c>
      <c r="AX53" s="20">
        <f>IFERROR(VLOOKUP($A53,'[1]OB Atendidas por Donantes'!A:N,16,0),0)</f>
        <v>0</v>
      </c>
      <c r="AY53" s="20">
        <f>ROUNDUP(IF(A53=0,0,IFERROR(VLOOKUP($A53,'[1]Kilos Asignado del Donante'!A:O,16,0),0)),0)</f>
        <v>0</v>
      </c>
      <c r="AZ53" s="20">
        <f>IF(A53=0,0,IFERROR(SUMIFS([1]Poblacion!Y:Y,[1]Poblacion!J:J,'MASTER-2025'!A53),0))</f>
        <v>0</v>
      </c>
      <c r="BA53" s="21">
        <f t="shared" si="15"/>
        <v>36</v>
      </c>
      <c r="BB53" s="21">
        <f t="shared" ref="BB53:BB58" si="28">INT(I53+L53+O53+R53+U53+X53+AA53+AD53+AG53+AJ53+AM53+AP53+AS53+AV53+AY53)</f>
        <v>45898</v>
      </c>
      <c r="BC53" s="21">
        <f t="shared" si="24"/>
        <v>17623</v>
      </c>
      <c r="BD53" s="21">
        <f t="shared" si="26"/>
        <v>0</v>
      </c>
      <c r="BE53" s="22" t="e">
        <f>IF(A53=0,0,SUMIFS([1]Poblacion!C:C,[1]Poblacion!A:A,'MASTER-2025'!A53))</f>
        <v>#VALUE!</v>
      </c>
      <c r="BF53" s="22" t="e">
        <f>IF(A53=0,0,SUMIFS([1]Poblacion!D:D,[1]Poblacion!A:A,'MASTER-2025'!A53))</f>
        <v>#VALUE!</v>
      </c>
      <c r="BG53" s="22" t="e">
        <f>IF(A53=0,0,SUMIFS([1]Poblacion!E:E,[1]Poblacion!A:A,'MASTER-2025'!A53))</f>
        <v>#VALUE!</v>
      </c>
      <c r="BH53" s="22" t="e">
        <f>IF(A53=0,0,SUMIFS([1]Poblacion!F:F,[1]Poblacion!A:A,'MASTER-2025'!A53))</f>
        <v>#VALUE!</v>
      </c>
      <c r="BI53" s="22" t="e">
        <f t="shared" si="18"/>
        <v>#VALUE!</v>
      </c>
      <c r="BJ53" s="23" t="e">
        <f t="shared" si="7"/>
        <v>#VALUE!</v>
      </c>
      <c r="BK53" s="22" t="e">
        <f>IF(A53=0,0,SUMIFS([1]Poblacion!G:G,[1]Poblacion!A:A,'MASTER-2025'!A53))</f>
        <v>#VALUE!</v>
      </c>
      <c r="BL53" s="24" cm="1">
        <f t="array" ref="BL53:BW53">IFERROR(VLOOKUP(A53,'[1]Acum-OB-kg-pob-25'!A:AQ,{3,4,5,6,7,8,9,10,11,12,13,14},0),0)</f>
        <v>33</v>
      </c>
      <c r="BM53" s="24">
        <v>34</v>
      </c>
      <c r="BN53" s="24">
        <v>36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f t="shared" si="8"/>
        <v>103</v>
      </c>
      <c r="BY53" s="25" cm="1">
        <f t="array" ref="BY53:CJ53">IFERROR(VLOOKUP(A53,'[1]Acum-OB-kg-pob-25'!A:AQ,{17,18,19,20,21,22,23,24,25,26,27,28},0),0)</f>
        <v>0</v>
      </c>
      <c r="BZ53" s="25">
        <v>0</v>
      </c>
      <c r="CA53" s="25">
        <v>0</v>
      </c>
      <c r="CB53" s="25">
        <v>0</v>
      </c>
      <c r="CC53" s="25">
        <v>0</v>
      </c>
      <c r="CD53" s="25">
        <v>0</v>
      </c>
      <c r="CE53" s="25">
        <v>0</v>
      </c>
      <c r="CF53" s="25">
        <v>0</v>
      </c>
      <c r="CG53" s="25">
        <v>0</v>
      </c>
      <c r="CH53" s="25">
        <v>0</v>
      </c>
      <c r="CI53" s="25">
        <v>0</v>
      </c>
      <c r="CJ53" s="25">
        <v>0</v>
      </c>
      <c r="CK53" s="25">
        <f t="shared" si="9"/>
        <v>0</v>
      </c>
      <c r="CL53" s="26" cm="1">
        <f t="array" ref="CL53:CW53">IFERROR(VLOOKUP(A53,'[1]Acum-OB-kg-pob-25'!A:AQ,{31,32,33,34,35,36,37,38,39,40,41,42},0),0)</f>
        <v>1635</v>
      </c>
      <c r="CM53" s="26">
        <v>1635</v>
      </c>
      <c r="CN53" s="26">
        <v>1830</v>
      </c>
      <c r="CO53" s="26">
        <v>0</v>
      </c>
      <c r="CP53" s="26">
        <v>0</v>
      </c>
      <c r="CQ53" s="26">
        <v>0</v>
      </c>
      <c r="CR53" s="26">
        <v>0</v>
      </c>
      <c r="CS53" s="26">
        <v>0</v>
      </c>
      <c r="CT53" s="26">
        <v>0</v>
      </c>
      <c r="CU53" s="26">
        <v>0</v>
      </c>
      <c r="CV53" s="26">
        <v>0</v>
      </c>
      <c r="CW53" s="26">
        <v>0</v>
      </c>
      <c r="CX53" s="26">
        <f t="shared" si="10"/>
        <v>5100</v>
      </c>
      <c r="CY53" s="14">
        <f>IF(A53=0,0,IFERROR(VLOOKUP(A53,'[1]Info Donantes'!C:F,2,0),"Sin Contacto"))</f>
        <v>0</v>
      </c>
      <c r="CZ53" s="14">
        <f>IF(A53=0,0,IFERROR(VLOOKUP(A53,'[1]Info Donantes'!C:F,3,0),"Sin Correo"))</f>
        <v>0</v>
      </c>
      <c r="DA53" s="14">
        <f>IF(A53=0,0,IFERROR(VLOOKUP(A53,'[1]Info Donantes'!C:F,4,0),"Sin Telefono"))</f>
        <v>0</v>
      </c>
      <c r="DB53" s="14" t="str">
        <f>IF(A53=0,0,"Reporte de Trazabiidad"&amp;" - "&amp;'[1]Resumen Donantes'!$C$2&amp;" - "&amp;A53&amp;"")</f>
        <v>Reporte de Trazabiidad -  - CAMPAÑA NUTRIENDO VIDAS</v>
      </c>
    </row>
    <row r="54" spans="1:106" x14ac:dyDescent="0.55000000000000004">
      <c r="A54" s="31" t="s">
        <v>158</v>
      </c>
      <c r="B54" s="15">
        <f>INT(IFERROR(VLOOKUP(A54,'[1]Resumen Donantes'!C:F,3,0),0))</f>
        <v>8</v>
      </c>
      <c r="C54" s="15">
        <f>INT(ROUND(IFERROR(VLOOKUP(A54,'[1]Resumen Donantes'!C:F,4,0),0),1))</f>
        <v>738</v>
      </c>
      <c r="D54" s="16">
        <f t="shared" si="19"/>
        <v>730</v>
      </c>
      <c r="E54" s="17" t="str">
        <f t="shared" si="20"/>
        <v>98.92%</v>
      </c>
      <c r="F54" s="17" t="str">
        <f t="shared" si="21"/>
        <v>1.1%</v>
      </c>
      <c r="G54" s="15">
        <f t="shared" si="25"/>
        <v>2190</v>
      </c>
      <c r="H54" s="18"/>
      <c r="I54" s="18">
        <f>IFERROR(VLOOKUP(A54,'[1]Lot All by Part'!T:Y,6,0),0)</f>
        <v>0</v>
      </c>
      <c r="J54" s="18"/>
      <c r="K54" s="19">
        <f>IFERROR(VLOOKUP($A54,'[1]OB Atendidas por Donantes'!A:N,3,0),0)</f>
        <v>5</v>
      </c>
      <c r="L54" s="19">
        <f>ROUNDUP(IF(A54=0,0,IFERROR(VLOOKUP($A54,'[1]Kilos Asignado del Donante'!A:O,3,0),0)),0)</f>
        <v>210</v>
      </c>
      <c r="M54" s="19">
        <f>IF(A54=0,0,IFERROR(SUMIFS([1]Poblacion!M:M,[1]Poblacion!J:J,'MASTER-2025'!A54),0))</f>
        <v>0</v>
      </c>
      <c r="N54" s="20">
        <f>IFERROR(VLOOKUP($A54,'[1]OB Atendidas por Donantes'!A:N,4,0),0)</f>
        <v>10</v>
      </c>
      <c r="O54" s="20">
        <f>ROUNDUP(IF(A54=0,0,IFERROR(VLOOKUP($A54,'[1]Kilos Asignado del Donante'!A:O,4,0),0)),0)</f>
        <v>275</v>
      </c>
      <c r="P54" s="20">
        <f>IF(A54=0,0,IFERROR(SUMIFS([1]Poblacion!N:N,[1]Poblacion!J:J,'MASTER-2025'!A54),0))</f>
        <v>0</v>
      </c>
      <c r="Q54" s="18">
        <f>IFERROR(VLOOKUP($A54,'[1]OB Atendidas por Donantes'!A:N,2,0),0)</f>
        <v>2</v>
      </c>
      <c r="R54" s="18">
        <f>ROUNDUP(ROUND(IF(A54=0,0,IFERROR(VLOOKUP($A54,'[1]Kilos Asignado del Donante'!A:O,9,0),0)),1),0)</f>
        <v>60</v>
      </c>
      <c r="S54" s="18">
        <f>IF(A54=0,0,IFERROR(SUMIFS([1]Poblacion!S:S,[1]Poblacion!J:J,'MASTER-2025'!A54),0))</f>
        <v>0</v>
      </c>
      <c r="T54" s="19">
        <f>IFERROR(VLOOKUP($A54,'[1]OB Atendidas por Donantes'!A:N,12,0),0)</f>
        <v>1</v>
      </c>
      <c r="U54" s="19">
        <f>ROUNDUP(IF(A54=0,0,IF(A54=0,0,IFERROR(VLOOKUP($A54,'[1]Kilos Asignado del Donante'!A:O,7,0),0))),0)</f>
        <v>60</v>
      </c>
      <c r="V54" s="19">
        <f>IF(A54=0,0,IFERROR(SUMIFS([1]Poblacion!Q:Q,[1]Poblacion!J:J,'MASTER-2025'!A54),0))</f>
        <v>0</v>
      </c>
      <c r="W54" s="20">
        <f>IFERROR(VLOOKUP($A54,'[1]OB Atendidas por Donantes'!A:N,10,0),0)</f>
        <v>5</v>
      </c>
      <c r="X54" s="20">
        <f>ROUNDUP(IF(A54=0,0,IFERROR(VLOOKUP($A54,'[1]Kilos Asignado del Donante'!A:N,5,0),0)),0)</f>
        <v>75</v>
      </c>
      <c r="Y54" s="20">
        <f>IF(A54=0,0,IFERROR(SUMIFS([1]Poblacion!O:O,[1]Poblacion!J:J,'MASTER-2025'!A54),0))</f>
        <v>0</v>
      </c>
      <c r="Z54" s="18">
        <f>IFERROR(VLOOKUP($A54,'[1]OB Atendidas por Donantes'!A:N,6,0),0)</f>
        <v>0</v>
      </c>
      <c r="AA54" s="18">
        <f>ROUNDUP(IF(A54=0,0,IFERROR(VLOOKUP($A54,'[1]Kilos Asignado del Donante'!A:N,11,0),0)),0)</f>
        <v>0</v>
      </c>
      <c r="AB54" s="18">
        <f>IF(A54=0,0,IFERROR(SUMIFS([1]Poblacion!U:U,[1]Poblacion!J:J,'MASTER-2025'!A54),0))</f>
        <v>0</v>
      </c>
      <c r="AC54" s="19">
        <f>IFERROR(VLOOKUP($A54,'[1]OB Atendidas por Donantes'!A:N,7,0),0)</f>
        <v>1</v>
      </c>
      <c r="AD54" s="19">
        <f>ROUNDUP(IF(A54=0,0,IFERROR(VLOOKUP($A54,'[1]Kilos Asignado del Donante'!A:N,8,0),0)),0)</f>
        <v>15</v>
      </c>
      <c r="AE54" s="19">
        <f>IF(A54=0,0,IFERROR(SUMIFS([1]Poblacion!R:R,[1]Poblacion!J:J,'MASTER-2025'!A54),0))</f>
        <v>0</v>
      </c>
      <c r="AF54" s="20">
        <f>IFERROR(VLOOKUP($A54,'[1]OB Atendidas por Donantes'!A:N,8,0),0)</f>
        <v>0</v>
      </c>
      <c r="AG54" s="20">
        <f>ROUNDUP(IF(A54=0,0,IFERROR(VLOOKUP($A54,'[1]Kilos Asignado del Donante'!A:N,6,0),0)),0)</f>
        <v>0</v>
      </c>
      <c r="AH54" s="20">
        <f>IF(A54=0,0,IFERROR(SUMIFS([1]Poblacion!P:P,[1]Poblacion!J:J,'MASTER-2025'!A54),0))</f>
        <v>0</v>
      </c>
      <c r="AI54" s="18">
        <f>IFERROR(VLOOKUP($A54,'[1]OB Atendidas por Donantes'!A:N,9,0),0)</f>
        <v>0</v>
      </c>
      <c r="AJ54" s="18">
        <f>ROUNDUP(IF(A54=0,0,IFERROR(VLOOKUP($A54,'[1]Kilos Asignado del Donante'!A:N,12,0),0)),0)</f>
        <v>0</v>
      </c>
      <c r="AK54" s="18">
        <f>IF(A54=0,0,IFERROR(SUMIFS([1]Poblacion!V:V,[1]Poblacion!J:J,'MASTER-2025'!A54),0))</f>
        <v>0</v>
      </c>
      <c r="AL54" s="19">
        <f>IFERROR(VLOOKUP($A54,'[1]OB Atendidas por Donantes'!A:N,16,0),0)</f>
        <v>0</v>
      </c>
      <c r="AM54" s="19">
        <f>ROUNDUP(IF(A54=0,0,IFERROR(VLOOKUP($A54,'[1]Kilos Asignado del Donante'!A:O,16,0),0)),0)</f>
        <v>0</v>
      </c>
      <c r="AN54" s="19">
        <f>IF(A54=0,0,IFERROR(SUMIFS([1]Poblacion!Z:Z,[1]Poblacion!J:J,'MASTER-2025'!A54),0))</f>
        <v>0</v>
      </c>
      <c r="AO54" s="20">
        <f>IFERROR(VLOOKUP($A54,'[1]OB Atendidas por Donantes'!A:N,11,0),0)</f>
        <v>0</v>
      </c>
      <c r="AP54" s="20">
        <f>ROUNDUP(IF(A54=0,0,IFERROR(VLOOKUP($A54,'[1]Kilos Asignado del Donante'!A:N,13,0),0)),0)</f>
        <v>0</v>
      </c>
      <c r="AQ54" s="20">
        <f>IF(A54=0,0,IFERROR(SUMIFS([1]Poblacion!W:W,[1]Poblacion!J:J,'MASTER-2025'!A54),0))</f>
        <v>0</v>
      </c>
      <c r="AR54" s="18">
        <f>IFERROR(VLOOKUP($A54,'[1]OB Atendidas por Donantes'!A:N,5,0),0)</f>
        <v>1</v>
      </c>
      <c r="AS54" s="18">
        <f>ROUNDUP(IF(A54=0,0,IFERROR(VLOOKUP($A54,'[1]Kilos Asignado del Donante'!A:N,10,0),0)),0)</f>
        <v>15</v>
      </c>
      <c r="AT54" s="18">
        <f>IF(A54=0,0,IFERROR(SUMIFS([1]Poblacion!T:T,[1]Poblacion!J:J,'MASTER-2025'!A54),0))</f>
        <v>0</v>
      </c>
      <c r="AU54" s="19">
        <f>IFERROR(VLOOKUP($A54,'[1]OB Atendidas por Donantes'!A:N,13,0),0)</f>
        <v>0</v>
      </c>
      <c r="AV54" s="19">
        <f>ROUNDUP(IF(A54=0,0,IFERROR(VLOOKUP($A54,'[1]Kilos Asignado del Donante'!A:N,14,0),0)),0)</f>
        <v>0</v>
      </c>
      <c r="AW54" s="19">
        <f>IF(A54=0,0,IFERROR(SUMIFS([1]Poblacion!X:X,[1]Poblacion!J:J,'MASTER-2025'!A54),0))</f>
        <v>0</v>
      </c>
      <c r="AX54" s="20">
        <f>IFERROR(VLOOKUP($A54,'[1]OB Atendidas por Donantes'!A:N,16,0),0)</f>
        <v>0</v>
      </c>
      <c r="AY54" s="20">
        <f>ROUNDUP(IF(A54=0,0,IFERROR(VLOOKUP($A54,'[1]Kilos Asignado del Donante'!A:O,16,0),0)),0)</f>
        <v>0</v>
      </c>
      <c r="AZ54" s="20">
        <f>IF(A54=0,0,IFERROR(SUMIFS([1]Poblacion!Y:Y,[1]Poblacion!J:J,'MASTER-2025'!A54),0))</f>
        <v>0</v>
      </c>
      <c r="BA54" s="21">
        <f t="shared" si="15"/>
        <v>25</v>
      </c>
      <c r="BB54" s="21">
        <f t="shared" si="28"/>
        <v>710</v>
      </c>
      <c r="BC54" s="21">
        <f t="shared" si="24"/>
        <v>605</v>
      </c>
      <c r="BD54" s="21">
        <f t="shared" si="26"/>
        <v>0</v>
      </c>
      <c r="BE54" s="22" t="e">
        <f>IF(A54=0,0,SUMIFS([1]Poblacion!C:C,[1]Poblacion!A:A,'MASTER-2025'!A54))</f>
        <v>#VALUE!</v>
      </c>
      <c r="BF54" s="22" t="e">
        <f>IF(A54=0,0,SUMIFS([1]Poblacion!D:D,[1]Poblacion!A:A,'MASTER-2025'!A54))</f>
        <v>#VALUE!</v>
      </c>
      <c r="BG54" s="22" t="e">
        <f>IF(A54=0,0,SUMIFS([1]Poblacion!E:E,[1]Poblacion!A:A,'MASTER-2025'!A54))</f>
        <v>#VALUE!</v>
      </c>
      <c r="BH54" s="22" t="e">
        <f>IF(A54=0,0,SUMIFS([1]Poblacion!F:F,[1]Poblacion!A:A,'MASTER-2025'!A54))</f>
        <v>#VALUE!</v>
      </c>
      <c r="BI54" s="22" t="e">
        <f t="shared" si="18"/>
        <v>#VALUE!</v>
      </c>
      <c r="BJ54" s="23" t="e">
        <f t="shared" si="7"/>
        <v>#VALUE!</v>
      </c>
      <c r="BK54" s="22" t="e">
        <f>IF(A54=0,0,SUMIFS([1]Poblacion!G:G,[1]Poblacion!A:A,'MASTER-2025'!A54))</f>
        <v>#VALUE!</v>
      </c>
      <c r="BL54" s="24" cm="1">
        <f t="array" ref="BL54:BW54">IFERROR(VLOOKUP(A54,'[1]Acum-OB-kg-pob-25'!A:AQ,{3,4,5,6,7,8,9,10,11,12,13,14},0),0)</f>
        <v>0</v>
      </c>
      <c r="BM54" s="24">
        <v>22</v>
      </c>
      <c r="BN54" s="24">
        <v>25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f t="shared" si="8"/>
        <v>47</v>
      </c>
      <c r="BY54" s="25" cm="1">
        <f t="array" ref="BY54:CJ54">IFERROR(VLOOKUP(A54,'[1]Acum-OB-kg-pob-25'!A:AQ,{17,18,19,20,21,22,23,24,25,26,27,28},0),0)</f>
        <v>0</v>
      </c>
      <c r="BZ54" s="25">
        <v>710</v>
      </c>
      <c r="CA54" s="25">
        <v>738</v>
      </c>
      <c r="CB54" s="25">
        <v>0</v>
      </c>
      <c r="CC54" s="25">
        <v>0</v>
      </c>
      <c r="CD54" s="25">
        <v>0</v>
      </c>
      <c r="CE54" s="25">
        <v>0</v>
      </c>
      <c r="CF54" s="25">
        <v>0</v>
      </c>
      <c r="CG54" s="25">
        <v>0</v>
      </c>
      <c r="CH54" s="25">
        <v>0</v>
      </c>
      <c r="CI54" s="25">
        <v>0</v>
      </c>
      <c r="CJ54" s="25">
        <v>0</v>
      </c>
      <c r="CK54" s="25">
        <f t="shared" si="9"/>
        <v>1448</v>
      </c>
      <c r="CL54" s="26" cm="1">
        <f t="array" ref="CL54:CW54">IFERROR(VLOOKUP(A54,'[1]Acum-OB-kg-pob-25'!A:AQ,{31,32,33,34,35,36,37,38,39,40,41,42},0),0)</f>
        <v>0</v>
      </c>
      <c r="CM54" s="26">
        <v>5335</v>
      </c>
      <c r="CN54" s="26">
        <v>6715</v>
      </c>
      <c r="CO54" s="26">
        <v>0</v>
      </c>
      <c r="CP54" s="26">
        <v>0</v>
      </c>
      <c r="CQ54" s="26">
        <v>0</v>
      </c>
      <c r="CR54" s="26">
        <v>0</v>
      </c>
      <c r="CS54" s="26">
        <v>0</v>
      </c>
      <c r="CT54" s="26">
        <v>0</v>
      </c>
      <c r="CU54" s="26">
        <v>0</v>
      </c>
      <c r="CV54" s="26">
        <v>0</v>
      </c>
      <c r="CW54" s="26">
        <v>0</v>
      </c>
      <c r="CX54" s="26">
        <f t="shared" si="10"/>
        <v>12050</v>
      </c>
      <c r="CY54" s="14">
        <f>IF(A54=0,0,IFERROR(VLOOKUP(A54,'[1]Info Donantes'!C:F,2,0),"Sin Contacto"))</f>
        <v>0</v>
      </c>
      <c r="CZ54" s="14" t="str">
        <f>IF(A54=0,0,IFERROR(VLOOKUP(A54,'[1]Info Donantes'!C:F,3,0),"Sin Correo"))</f>
        <v>amizrachi@cerropunta.net</v>
      </c>
      <c r="DA54" s="14" t="str">
        <f>IF(A54=0,0,IFERROR(VLOOKUP(A54,'[1]Info Donantes'!C:F,4,0),"Sin Telefono"))</f>
        <v>221-0272</v>
      </c>
      <c r="DB54" s="14" t="str">
        <f>IF(A54=0,0,"Reporte de Trazabiidad"&amp;" - "&amp;'[1]Resumen Donantes'!$C$2&amp;" - "&amp;A54&amp;"")</f>
        <v>Reporte de Trazabiidad -  - CERRO PUNTA, S.A</v>
      </c>
    </row>
    <row r="55" spans="1:106" x14ac:dyDescent="0.55000000000000004">
      <c r="A55" s="31" t="s">
        <v>159</v>
      </c>
      <c r="B55" s="15">
        <f>INT(IFERROR(VLOOKUP(A55,'[1]Resumen Donantes'!C:F,3,0),0))</f>
        <v>0</v>
      </c>
      <c r="C55" s="15">
        <f>INT(ROUND(IFERROR(VLOOKUP(A55,'[1]Resumen Donantes'!C:F,4,0),0),1))</f>
        <v>0</v>
      </c>
      <c r="D55" s="16">
        <f t="shared" si="19"/>
        <v>0</v>
      </c>
      <c r="E55" s="17" t="str">
        <f t="shared" si="20"/>
        <v>0.00%</v>
      </c>
      <c r="F55" s="17" t="str">
        <f t="shared" si="21"/>
        <v>0.0%</v>
      </c>
      <c r="G55" s="15">
        <f t="shared" si="25"/>
        <v>0</v>
      </c>
      <c r="H55" s="18"/>
      <c r="I55" s="18">
        <f>IFERROR(VLOOKUP(A55,'[1]Lot All by Part'!T:Y,6,0),0)</f>
        <v>0</v>
      </c>
      <c r="J55" s="18"/>
      <c r="K55" s="19">
        <f>IFERROR(VLOOKUP($A55,'[1]OB Atendidas por Donantes'!A:N,3,0),0)</f>
        <v>0</v>
      </c>
      <c r="L55" s="19">
        <f>ROUNDUP(IF(A55=0,0,IFERROR(VLOOKUP($A55,'[1]Kilos Asignado del Donante'!A:O,3,0),0)),0)</f>
        <v>0</v>
      </c>
      <c r="M55" s="19">
        <f>IF(A55=0,0,IFERROR(SUMIFS([1]Poblacion!M:M,[1]Poblacion!J:J,'MASTER-2025'!A55),0))</f>
        <v>0</v>
      </c>
      <c r="N55" s="20">
        <f>IFERROR(VLOOKUP($A55,'[1]OB Atendidas por Donantes'!A:N,4,0),0)</f>
        <v>0</v>
      </c>
      <c r="O55" s="20">
        <f>ROUNDUP(IF(A55=0,0,IFERROR(VLOOKUP($A55,'[1]Kilos Asignado del Donante'!A:O,4,0),0)),0)</f>
        <v>0</v>
      </c>
      <c r="P55" s="20">
        <f>IF(A55=0,0,IFERROR(SUMIFS([1]Poblacion!N:N,[1]Poblacion!J:J,'MASTER-2025'!A55),0))</f>
        <v>0</v>
      </c>
      <c r="Q55" s="18">
        <f>IFERROR(VLOOKUP($A55,'[1]OB Atendidas por Donantes'!A:N,2,0),0)</f>
        <v>0</v>
      </c>
      <c r="R55" s="18">
        <f>ROUNDUP(ROUND(IF(A55=0,0,IFERROR(VLOOKUP($A55,'[1]Kilos Asignado del Donante'!A:O,9,0),0)),1),0)</f>
        <v>0</v>
      </c>
      <c r="S55" s="18">
        <f>IF(A55=0,0,IFERROR(SUMIFS([1]Poblacion!S:S,[1]Poblacion!J:J,'MASTER-2025'!A55),0))</f>
        <v>0</v>
      </c>
      <c r="T55" s="19">
        <f>IFERROR(VLOOKUP($A55,'[1]OB Atendidas por Donantes'!A:N,12,0),0)</f>
        <v>0</v>
      </c>
      <c r="U55" s="19">
        <f>ROUNDUP(IF(A55=0,0,IF(A55=0,0,IFERROR(VLOOKUP($A55,'[1]Kilos Asignado del Donante'!A:O,7,0),0))),0)</f>
        <v>0</v>
      </c>
      <c r="V55" s="19">
        <f>IF(A55=0,0,IFERROR(SUMIFS([1]Poblacion!Q:Q,[1]Poblacion!J:J,'MASTER-2025'!A55),0))</f>
        <v>0</v>
      </c>
      <c r="W55" s="20">
        <f>IFERROR(VLOOKUP($A55,'[1]OB Atendidas por Donantes'!A:N,10,0),0)</f>
        <v>0</v>
      </c>
      <c r="X55" s="20">
        <f>ROUNDUP(IF(A55=0,0,IFERROR(VLOOKUP($A55,'[1]Kilos Asignado del Donante'!A:N,5,0),0)),0)</f>
        <v>0</v>
      </c>
      <c r="Y55" s="20">
        <f>IF(A55=0,0,IFERROR(SUMIFS([1]Poblacion!O:O,[1]Poblacion!J:J,'MASTER-2025'!A55),0))</f>
        <v>0</v>
      </c>
      <c r="Z55" s="18">
        <f>IFERROR(VLOOKUP($A55,'[1]OB Atendidas por Donantes'!A:N,6,0),0)</f>
        <v>0</v>
      </c>
      <c r="AA55" s="18">
        <f>ROUNDUP(IF(A55=0,0,IFERROR(VLOOKUP($A55,'[1]Kilos Asignado del Donante'!A:N,11,0),0)),0)</f>
        <v>0</v>
      </c>
      <c r="AB55" s="18">
        <f>IF(A55=0,0,IFERROR(SUMIFS([1]Poblacion!U:U,[1]Poblacion!J:J,'MASTER-2025'!A55),0))</f>
        <v>0</v>
      </c>
      <c r="AC55" s="19">
        <f>IFERROR(VLOOKUP($A55,'[1]OB Atendidas por Donantes'!A:N,7,0),0)</f>
        <v>0</v>
      </c>
      <c r="AD55" s="19">
        <f>ROUNDUP(IF(A55=0,0,IFERROR(VLOOKUP($A55,'[1]Kilos Asignado del Donante'!A:N,8,0),0)),0)</f>
        <v>0</v>
      </c>
      <c r="AE55" s="19">
        <f>IF(A55=0,0,IFERROR(SUMIFS([1]Poblacion!R:R,[1]Poblacion!J:J,'MASTER-2025'!A55),0))</f>
        <v>0</v>
      </c>
      <c r="AF55" s="20">
        <f>IFERROR(VLOOKUP($A55,'[1]OB Atendidas por Donantes'!A:N,8,0),0)</f>
        <v>0</v>
      </c>
      <c r="AG55" s="20">
        <f>ROUNDUP(IF(A55=0,0,IFERROR(VLOOKUP($A55,'[1]Kilos Asignado del Donante'!A:N,6,0),0)),0)</f>
        <v>0</v>
      </c>
      <c r="AH55" s="20">
        <f>IF(A55=0,0,IFERROR(SUMIFS([1]Poblacion!P:P,[1]Poblacion!J:J,'MASTER-2025'!A55),0))</f>
        <v>0</v>
      </c>
      <c r="AI55" s="18">
        <f>IFERROR(VLOOKUP($A55,'[1]OB Atendidas por Donantes'!A:N,9,0),0)</f>
        <v>0</v>
      </c>
      <c r="AJ55" s="18">
        <f>ROUNDUP(IF(A55=0,0,IFERROR(VLOOKUP($A55,'[1]Kilos Asignado del Donante'!A:N,12,0),0)),0)</f>
        <v>0</v>
      </c>
      <c r="AK55" s="18">
        <f>IF(A55=0,0,IFERROR(SUMIFS([1]Poblacion!V:V,[1]Poblacion!J:J,'MASTER-2025'!A55),0))</f>
        <v>0</v>
      </c>
      <c r="AL55" s="19">
        <f>IFERROR(VLOOKUP($A55,'[1]OB Atendidas por Donantes'!A:N,16,0),0)</f>
        <v>0</v>
      </c>
      <c r="AM55" s="19">
        <f>ROUNDUP(IF(A55=0,0,IFERROR(VLOOKUP($A55,'[1]Kilos Asignado del Donante'!A:O,16,0),0)),0)</f>
        <v>0</v>
      </c>
      <c r="AN55" s="19">
        <f>IF(A55=0,0,IFERROR(SUMIFS([1]Poblacion!Z:Z,[1]Poblacion!J:J,'MASTER-2025'!A55),0))</f>
        <v>0</v>
      </c>
      <c r="AO55" s="20">
        <f>IFERROR(VLOOKUP($A55,'[1]OB Atendidas por Donantes'!A:N,11,0),0)</f>
        <v>0</v>
      </c>
      <c r="AP55" s="20">
        <f>ROUNDUP(IF(A55=0,0,IFERROR(VLOOKUP($A55,'[1]Kilos Asignado del Donante'!A:N,13,0),0)),0)</f>
        <v>0</v>
      </c>
      <c r="AQ55" s="20">
        <f>IF(A55=0,0,IFERROR(SUMIFS([1]Poblacion!W:W,[1]Poblacion!J:J,'MASTER-2025'!A55),0))</f>
        <v>0</v>
      </c>
      <c r="AR55" s="18">
        <f>IFERROR(VLOOKUP($A55,'[1]OB Atendidas por Donantes'!A:N,5,0),0)</f>
        <v>0</v>
      </c>
      <c r="AS55" s="18">
        <f>ROUNDUP(IF(A55=0,0,IFERROR(VLOOKUP($A55,'[1]Kilos Asignado del Donante'!A:N,10,0),0)),0)</f>
        <v>0</v>
      </c>
      <c r="AT55" s="18">
        <f>IF(A55=0,0,IFERROR(SUMIFS([1]Poblacion!T:T,[1]Poblacion!J:J,'MASTER-2025'!A55),0))</f>
        <v>0</v>
      </c>
      <c r="AU55" s="19">
        <f>IFERROR(VLOOKUP($A55,'[1]OB Atendidas por Donantes'!A:N,13,0),0)</f>
        <v>0</v>
      </c>
      <c r="AV55" s="19">
        <f>ROUNDUP(IF(A55=0,0,IFERROR(VLOOKUP($A55,'[1]Kilos Asignado del Donante'!A:N,14,0),0)),0)</f>
        <v>0</v>
      </c>
      <c r="AW55" s="19">
        <f>IF(A55=0,0,IFERROR(SUMIFS([1]Poblacion!X:X,[1]Poblacion!J:J,'MASTER-2025'!A55),0))</f>
        <v>0</v>
      </c>
      <c r="AX55" s="20">
        <f>IFERROR(VLOOKUP($A55,'[1]OB Atendidas por Donantes'!A:N,16,0),0)</f>
        <v>0</v>
      </c>
      <c r="AY55" s="20">
        <f>ROUNDUP(IF(A55=0,0,IFERROR(VLOOKUP($A55,'[1]Kilos Asignado del Donante'!A:O,16,0),0)),0)</f>
        <v>0</v>
      </c>
      <c r="AZ55" s="20">
        <f>IF(A55=0,0,IFERROR(SUMIFS([1]Poblacion!Y:Y,[1]Poblacion!J:J,'MASTER-2025'!A55),0))</f>
        <v>0</v>
      </c>
      <c r="BA55" s="21">
        <f t="shared" si="15"/>
        <v>0</v>
      </c>
      <c r="BB55" s="21">
        <f t="shared" si="28"/>
        <v>0</v>
      </c>
      <c r="BC55" s="21">
        <f t="shared" si="24"/>
        <v>0</v>
      </c>
      <c r="BD55" s="21">
        <f t="shared" si="26"/>
        <v>0</v>
      </c>
      <c r="BE55" s="22" t="e">
        <f>IF(A55=0,0,SUMIFS([1]Poblacion!C:C,[1]Poblacion!A:A,'MASTER-2025'!A55))</f>
        <v>#VALUE!</v>
      </c>
      <c r="BF55" s="22" t="e">
        <f>IF(A55=0,0,SUMIFS([1]Poblacion!D:D,[1]Poblacion!A:A,'MASTER-2025'!A55))</f>
        <v>#VALUE!</v>
      </c>
      <c r="BG55" s="22" t="e">
        <f>IF(A55=0,0,SUMIFS([1]Poblacion!E:E,[1]Poblacion!A:A,'MASTER-2025'!A55))</f>
        <v>#VALUE!</v>
      </c>
      <c r="BH55" s="22" t="e">
        <f>IF(A55=0,0,SUMIFS([1]Poblacion!F:F,[1]Poblacion!A:A,'MASTER-2025'!A55))</f>
        <v>#VALUE!</v>
      </c>
      <c r="BI55" s="22" t="e">
        <f t="shared" si="18"/>
        <v>#VALUE!</v>
      </c>
      <c r="BJ55" s="23" t="e">
        <f t="shared" si="7"/>
        <v>#VALUE!</v>
      </c>
      <c r="BK55" s="22" t="e">
        <f>IF(A55=0,0,SUMIFS([1]Poblacion!G:G,[1]Poblacion!A:A,'MASTER-2025'!A55))</f>
        <v>#VALUE!</v>
      </c>
      <c r="BL55" s="24" cm="1">
        <f t="array" ref="BL55:BW55">IFERROR(VLOOKUP(A55,'[1]Acum-OB-kg-pob-25'!A:AQ,{3,4,5,6,7,8,9,10,11,12,13,14},0),0)</f>
        <v>8</v>
      </c>
      <c r="BM55" s="24">
        <v>15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f t="shared" si="8"/>
        <v>23</v>
      </c>
      <c r="BY55" s="25" cm="1">
        <f t="array" ref="BY55:CJ55">IFERROR(VLOOKUP(A55,'[1]Acum-OB-kg-pob-25'!A:AQ,{17,18,19,20,21,22,23,24,25,26,27,28},0),0)</f>
        <v>785</v>
      </c>
      <c r="BZ55" s="25">
        <v>1175</v>
      </c>
      <c r="CA55" s="25">
        <v>0</v>
      </c>
      <c r="CB55" s="25">
        <v>0</v>
      </c>
      <c r="CC55" s="25">
        <v>0</v>
      </c>
      <c r="CD55" s="25">
        <v>0</v>
      </c>
      <c r="CE55" s="25">
        <v>0</v>
      </c>
      <c r="CF55" s="25">
        <v>0</v>
      </c>
      <c r="CG55" s="25">
        <v>0</v>
      </c>
      <c r="CH55" s="25">
        <v>0</v>
      </c>
      <c r="CI55" s="25">
        <v>0</v>
      </c>
      <c r="CJ55" s="25">
        <v>0</v>
      </c>
      <c r="CK55" s="25">
        <f t="shared" si="9"/>
        <v>1960</v>
      </c>
      <c r="CL55" s="26" cm="1">
        <f t="array" ref="CL55:CW55">IFERROR(VLOOKUP(A55,'[1]Acum-OB-kg-pob-25'!A:AQ,{31,32,33,34,35,36,37,38,39,40,41,42},0),0)</f>
        <v>1218</v>
      </c>
      <c r="CM55" s="26">
        <v>3066</v>
      </c>
      <c r="CN55" s="26">
        <v>0</v>
      </c>
      <c r="CO55" s="26">
        <v>0</v>
      </c>
      <c r="CP55" s="26">
        <v>0</v>
      </c>
      <c r="CQ55" s="26">
        <v>0</v>
      </c>
      <c r="CR55" s="26">
        <v>0</v>
      </c>
      <c r="CS55" s="26">
        <v>0</v>
      </c>
      <c r="CT55" s="26">
        <v>0</v>
      </c>
      <c r="CU55" s="26">
        <v>0</v>
      </c>
      <c r="CV55" s="26">
        <v>0</v>
      </c>
      <c r="CW55" s="26">
        <v>0</v>
      </c>
      <c r="CX55" s="26">
        <f t="shared" si="10"/>
        <v>4284</v>
      </c>
      <c r="CY55" s="14" t="str">
        <f>IF(A55=0,0,IFERROR(VLOOKUP(A55,'[1]Info Donantes'!C:F,2,0),"Sin Contacto"))</f>
        <v>Antonio Chan</v>
      </c>
      <c r="CZ55" s="14" t="str">
        <f>IF(A55=0,0,IFERROR(VLOOKUP(A55,'[1]Info Donantes'!C:F,3,0),"Sin Correo"))</f>
        <v>achan@levapan.net</v>
      </c>
      <c r="DA55" s="14" t="str">
        <f>IF(A55=0,0,IFERROR(VLOOKUP(A55,'[1]Info Donantes'!C:F,4,0),"Sin Telefono"))</f>
        <v>3201589</v>
      </c>
      <c r="DB55" s="14" t="str">
        <f>IF(A55=0,0,"Reporte de Trazabiidad"&amp;" - "&amp;'[1]Resumen Donantes'!$C$2&amp;" - "&amp;A55&amp;"")</f>
        <v>Reporte de Trazabiidad -  - COMPAÑIA LEVAPAN DE PANAMA, S.A.</v>
      </c>
    </row>
    <row r="56" spans="1:106" x14ac:dyDescent="0.55000000000000004">
      <c r="A56" s="31" t="s">
        <v>160</v>
      </c>
      <c r="B56" s="15">
        <f>INT(IFERROR(VLOOKUP(A56,'[1]Resumen Donantes'!C:F,3,0),0))</f>
        <v>0</v>
      </c>
      <c r="C56" s="15">
        <f>INT(ROUND(IFERROR(VLOOKUP(A56,'[1]Resumen Donantes'!C:F,4,0),0),1))</f>
        <v>442</v>
      </c>
      <c r="D56" s="16">
        <f t="shared" si="19"/>
        <v>442</v>
      </c>
      <c r="E56" s="17" t="str">
        <f t="shared" si="20"/>
        <v>100.00%</v>
      </c>
      <c r="F56" s="17" t="str">
        <f t="shared" si="21"/>
        <v>0.0%</v>
      </c>
      <c r="G56" s="15">
        <f t="shared" si="25"/>
        <v>1326</v>
      </c>
      <c r="H56" s="18"/>
      <c r="I56" s="18">
        <f>IFERROR(VLOOKUP(A56,'[1]Lot All by Part'!T:Y,6,0),0)</f>
        <v>0</v>
      </c>
      <c r="J56" s="18"/>
      <c r="K56" s="19">
        <f>IFERROR(VLOOKUP($A56,'[1]OB Atendidas por Donantes'!A:N,3,0),0)</f>
        <v>4</v>
      </c>
      <c r="L56" s="19">
        <f>ROUNDUP(IF(A56=0,0,IFERROR(VLOOKUP($A56,'[1]Kilos Asignado del Donante'!A:O,3,0),0)),0)</f>
        <v>32</v>
      </c>
      <c r="M56" s="19">
        <f>IF(A56=0,0,IFERROR(SUMIFS([1]Poblacion!M:M,[1]Poblacion!J:J,'MASTER-2025'!A56),0))</f>
        <v>0</v>
      </c>
      <c r="N56" s="20">
        <f>IFERROR(VLOOKUP($A56,'[1]OB Atendidas por Donantes'!A:N,4,0),0)</f>
        <v>7</v>
      </c>
      <c r="O56" s="20">
        <f>ROUNDUP(IF(A56=0,0,IFERROR(VLOOKUP($A56,'[1]Kilos Asignado del Donante'!A:O,4,0),0)),0)</f>
        <v>74</v>
      </c>
      <c r="P56" s="20">
        <f>IF(A56=0,0,IFERROR(SUMIFS([1]Poblacion!N:N,[1]Poblacion!J:J,'MASTER-2025'!A56),0))</f>
        <v>0</v>
      </c>
      <c r="Q56" s="18">
        <f>IFERROR(VLOOKUP($A56,'[1]OB Atendidas por Donantes'!A:N,2,0),0)</f>
        <v>2</v>
      </c>
      <c r="R56" s="18">
        <f>ROUNDUP(ROUND(IF(A56=0,0,IFERROR(VLOOKUP($A56,'[1]Kilos Asignado del Donante'!A:O,9,0),0)),1),0)</f>
        <v>30</v>
      </c>
      <c r="S56" s="18">
        <f>IF(A56=0,0,IFERROR(SUMIFS([1]Poblacion!S:S,[1]Poblacion!J:J,'MASTER-2025'!A56),0))</f>
        <v>0</v>
      </c>
      <c r="T56" s="19">
        <f>IFERROR(VLOOKUP($A56,'[1]OB Atendidas por Donantes'!A:N,12,0),0)</f>
        <v>4</v>
      </c>
      <c r="U56" s="19">
        <f>ROUNDUP(IF(A56=0,0,IF(A56=0,0,IFERROR(VLOOKUP($A56,'[1]Kilos Asignado del Donante'!A:O,7,0),0))),0)</f>
        <v>44</v>
      </c>
      <c r="V56" s="19">
        <f>IF(A56=0,0,IFERROR(SUMIFS([1]Poblacion!Q:Q,[1]Poblacion!J:J,'MASTER-2025'!A56),0))</f>
        <v>0</v>
      </c>
      <c r="W56" s="20">
        <f>IFERROR(VLOOKUP($A56,'[1]OB Atendidas por Donantes'!A:N,10,0),0)</f>
        <v>5</v>
      </c>
      <c r="X56" s="20">
        <f>ROUNDUP(IF(A56=0,0,IFERROR(VLOOKUP($A56,'[1]Kilos Asignado del Donante'!A:N,5,0),0)),0)</f>
        <v>22</v>
      </c>
      <c r="Y56" s="20">
        <f>IF(A56=0,0,IFERROR(SUMIFS([1]Poblacion!O:O,[1]Poblacion!J:J,'MASTER-2025'!A56),0))</f>
        <v>0</v>
      </c>
      <c r="Z56" s="18">
        <f>IFERROR(VLOOKUP($A56,'[1]OB Atendidas por Donantes'!A:N,6,0),0)</f>
        <v>0</v>
      </c>
      <c r="AA56" s="18">
        <f>ROUNDUP(IF(A56=0,0,IFERROR(VLOOKUP($A56,'[1]Kilos Asignado del Donante'!A:N,11,0),0)),0)</f>
        <v>0</v>
      </c>
      <c r="AB56" s="18">
        <f>IF(A56=0,0,IFERROR(SUMIFS([1]Poblacion!U:U,[1]Poblacion!J:J,'MASTER-2025'!A56),0))</f>
        <v>0</v>
      </c>
      <c r="AC56" s="19">
        <f>IFERROR(VLOOKUP($A56,'[1]OB Atendidas por Donantes'!A:N,7,0),0)</f>
        <v>3</v>
      </c>
      <c r="AD56" s="19">
        <f>ROUNDUP(IF(A56=0,0,IFERROR(VLOOKUP($A56,'[1]Kilos Asignado del Donante'!A:N,8,0),0)),0)</f>
        <v>32</v>
      </c>
      <c r="AE56" s="19">
        <f>IF(A56=0,0,IFERROR(SUMIFS([1]Poblacion!R:R,[1]Poblacion!J:J,'MASTER-2025'!A56),0))</f>
        <v>0</v>
      </c>
      <c r="AF56" s="20">
        <f>IFERROR(VLOOKUP($A56,'[1]OB Atendidas por Donantes'!A:N,8,0),0)</f>
        <v>2</v>
      </c>
      <c r="AG56" s="20">
        <f>ROUNDUP(IF(A56=0,0,IFERROR(VLOOKUP($A56,'[1]Kilos Asignado del Donante'!A:N,6,0),0)),0)</f>
        <v>18</v>
      </c>
      <c r="AH56" s="20">
        <f>IF(A56=0,0,IFERROR(SUMIFS([1]Poblacion!P:P,[1]Poblacion!J:J,'MASTER-2025'!A56),0))</f>
        <v>0</v>
      </c>
      <c r="AI56" s="18">
        <f>IFERROR(VLOOKUP($A56,'[1]OB Atendidas por Donantes'!A:N,9,0),0)</f>
        <v>0</v>
      </c>
      <c r="AJ56" s="18">
        <f>ROUNDUP(IF(A56=0,0,IFERROR(VLOOKUP($A56,'[1]Kilos Asignado del Donante'!A:N,12,0),0)),0)</f>
        <v>0</v>
      </c>
      <c r="AK56" s="18">
        <f>IF(A56=0,0,IFERROR(SUMIFS([1]Poblacion!V:V,[1]Poblacion!J:J,'MASTER-2025'!A56),0))</f>
        <v>0</v>
      </c>
      <c r="AL56" s="19">
        <f>IFERROR(VLOOKUP($A56,'[1]OB Atendidas por Donantes'!A:N,16,0),0)</f>
        <v>0</v>
      </c>
      <c r="AM56" s="19">
        <f>ROUNDUP(IF(A56=0,0,IFERROR(VLOOKUP($A56,'[1]Kilos Asignado del Donante'!A:O,16,0),0)),0)</f>
        <v>0</v>
      </c>
      <c r="AN56" s="19">
        <f>IF(A56=0,0,IFERROR(SUMIFS([1]Poblacion!Z:Z,[1]Poblacion!J:J,'MASTER-2025'!A56),0))</f>
        <v>0</v>
      </c>
      <c r="AO56" s="20">
        <f>IFERROR(VLOOKUP($A56,'[1]OB Atendidas por Donantes'!A:N,11,0),0)</f>
        <v>0</v>
      </c>
      <c r="AP56" s="20">
        <f>ROUNDUP(IF(A56=0,0,IFERROR(VLOOKUP($A56,'[1]Kilos Asignado del Donante'!A:N,13,0),0)),0)</f>
        <v>0</v>
      </c>
      <c r="AQ56" s="20">
        <f>IF(A56=0,0,IFERROR(SUMIFS([1]Poblacion!W:W,[1]Poblacion!J:J,'MASTER-2025'!A56),0))</f>
        <v>0</v>
      </c>
      <c r="AR56" s="18">
        <f>IFERROR(VLOOKUP($A56,'[1]OB Atendidas por Donantes'!A:N,5,0),0)</f>
        <v>0</v>
      </c>
      <c r="AS56" s="18">
        <f>ROUNDUP(IF(A56=0,0,IFERROR(VLOOKUP($A56,'[1]Kilos Asignado del Donante'!A:N,10,0),0)),0)</f>
        <v>0</v>
      </c>
      <c r="AT56" s="18">
        <f>IF(A56=0,0,IFERROR(SUMIFS([1]Poblacion!T:T,[1]Poblacion!J:J,'MASTER-2025'!A56),0))</f>
        <v>0</v>
      </c>
      <c r="AU56" s="19">
        <f>IFERROR(VLOOKUP($A56,'[1]OB Atendidas por Donantes'!A:N,13,0),0)</f>
        <v>0</v>
      </c>
      <c r="AV56" s="19">
        <f>ROUNDUP(IF(A56=0,0,IFERROR(VLOOKUP($A56,'[1]Kilos Asignado del Donante'!A:N,14,0),0)),0)</f>
        <v>0</v>
      </c>
      <c r="AW56" s="19">
        <f>IF(A56=0,0,IFERROR(SUMIFS([1]Poblacion!X:X,[1]Poblacion!J:J,'MASTER-2025'!A56),0))</f>
        <v>0</v>
      </c>
      <c r="AX56" s="20">
        <f>IFERROR(VLOOKUP($A56,'[1]OB Atendidas por Donantes'!A:N,16,0),0)</f>
        <v>0</v>
      </c>
      <c r="AY56" s="20">
        <f>ROUNDUP(IF(A56=0,0,IFERROR(VLOOKUP($A56,'[1]Kilos Asignado del Donante'!A:O,16,0),0)),0)</f>
        <v>0</v>
      </c>
      <c r="AZ56" s="20">
        <f>IF(A56=0,0,IFERROR(SUMIFS([1]Poblacion!Y:Y,[1]Poblacion!J:J,'MASTER-2025'!A56),0))</f>
        <v>0</v>
      </c>
      <c r="BA56" s="21">
        <f t="shared" si="15"/>
        <v>27</v>
      </c>
      <c r="BB56" s="21">
        <f t="shared" si="28"/>
        <v>252</v>
      </c>
      <c r="BC56" s="21">
        <f t="shared" si="24"/>
        <v>180</v>
      </c>
      <c r="BD56" s="21">
        <f t="shared" si="26"/>
        <v>0</v>
      </c>
      <c r="BE56" s="22" t="e">
        <f>IF(A56=0,0,SUMIFS([1]Poblacion!C:C,[1]Poblacion!A:A,'MASTER-2025'!A56))</f>
        <v>#VALUE!</v>
      </c>
      <c r="BF56" s="22" t="e">
        <f>IF(A56=0,0,SUMIFS([1]Poblacion!D:D,[1]Poblacion!A:A,'MASTER-2025'!A56))</f>
        <v>#VALUE!</v>
      </c>
      <c r="BG56" s="22" t="e">
        <f>IF(A56=0,0,SUMIFS([1]Poblacion!E:E,[1]Poblacion!A:A,'MASTER-2025'!A56))</f>
        <v>#VALUE!</v>
      </c>
      <c r="BH56" s="22" t="e">
        <f>IF(A56=0,0,SUMIFS([1]Poblacion!F:F,[1]Poblacion!A:A,'MASTER-2025'!A56))</f>
        <v>#VALUE!</v>
      </c>
      <c r="BI56" s="22" t="e">
        <f t="shared" si="18"/>
        <v>#VALUE!</v>
      </c>
      <c r="BJ56" s="23" t="e">
        <f t="shared" si="7"/>
        <v>#VALUE!</v>
      </c>
      <c r="BK56" s="22" t="e">
        <f>IF(A56=0,0,SUMIFS([1]Poblacion!G:G,[1]Poblacion!A:A,'MASTER-2025'!A56))</f>
        <v>#VALUE!</v>
      </c>
      <c r="BL56" s="24" cm="1">
        <f t="array" ref="BL56:BW56">IFERROR(VLOOKUP(A56,'[1]Acum-OB-kg-pob-25'!A:AQ,{3,4,5,6,7,8,9,10,11,12,13,14},0),0)</f>
        <v>25</v>
      </c>
      <c r="BM56" s="24">
        <v>50</v>
      </c>
      <c r="BN56" s="24">
        <v>27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f t="shared" si="8"/>
        <v>102</v>
      </c>
      <c r="BY56" s="25" cm="1">
        <f t="array" ref="BY56:CJ56">IFERROR(VLOOKUP(A56,'[1]Acum-OB-kg-pob-25'!A:AQ,{17,18,19,20,21,22,23,24,25,26,27,28},0),0)</f>
        <v>800</v>
      </c>
      <c r="BZ56" s="25">
        <v>2216</v>
      </c>
      <c r="CA56" s="25">
        <v>442</v>
      </c>
      <c r="CB56" s="25">
        <v>0</v>
      </c>
      <c r="CC56" s="25">
        <v>0</v>
      </c>
      <c r="CD56" s="25">
        <v>0</v>
      </c>
      <c r="CE56" s="25">
        <v>0</v>
      </c>
      <c r="CF56" s="25">
        <v>0</v>
      </c>
      <c r="CG56" s="25">
        <v>0</v>
      </c>
      <c r="CH56" s="25">
        <v>0</v>
      </c>
      <c r="CI56" s="25">
        <v>0</v>
      </c>
      <c r="CJ56" s="25">
        <v>0</v>
      </c>
      <c r="CK56" s="25">
        <f t="shared" si="9"/>
        <v>3458</v>
      </c>
      <c r="CL56" s="26" cm="1">
        <f t="array" ref="CL56:CW56">IFERROR(VLOOKUP(A56,'[1]Acum-OB-kg-pob-25'!A:AQ,{31,32,33,34,35,36,37,38,39,40,41,42},0),0)</f>
        <v>4183</v>
      </c>
      <c r="CM56" s="26">
        <v>17751</v>
      </c>
      <c r="CN56" s="26">
        <v>7073</v>
      </c>
      <c r="CO56" s="26">
        <v>0</v>
      </c>
      <c r="CP56" s="26">
        <v>0</v>
      </c>
      <c r="CQ56" s="26">
        <v>0</v>
      </c>
      <c r="CR56" s="26">
        <v>0</v>
      </c>
      <c r="CS56" s="26">
        <v>0</v>
      </c>
      <c r="CT56" s="26">
        <v>0</v>
      </c>
      <c r="CU56" s="26">
        <v>0</v>
      </c>
      <c r="CV56" s="26">
        <v>0</v>
      </c>
      <c r="CW56" s="26">
        <v>0</v>
      </c>
      <c r="CX56" s="26">
        <f t="shared" si="10"/>
        <v>29007</v>
      </c>
      <c r="CY56" s="14" t="str">
        <f>IF(A56=0,0,IFERROR(VLOOKUP(A56,'[1]Info Donantes'!C:F,2,0),"Sin Contacto"))</f>
        <v>Maria Teresa Diaz</v>
      </c>
      <c r="CZ56" s="14" t="str">
        <f>IF(A56=0,0,IFERROR(VLOOKUP(A56,'[1]Info Donantes'!C:F,3,0),"Sin Correo"))</f>
        <v>mdiazq@dicsapanama.com</v>
      </c>
      <c r="DA56" s="14" t="str">
        <f>IF(A56=0,0,IFERROR(VLOOKUP(A56,'[1]Info Donantes'!C:F,4,0),"Sin Telefono"))</f>
        <v>271-0844</v>
      </c>
      <c r="DB56" s="14" t="str">
        <f>IF(A56=0,0,"Reporte de Trazabiidad"&amp;" - "&amp;'[1]Resumen Donantes'!$C$2&amp;" - "&amp;A56&amp;"")</f>
        <v>Reporte de Trazabiidad -  - DICSA PANAMA</v>
      </c>
    </row>
    <row r="57" spans="1:106" x14ac:dyDescent="0.55000000000000004">
      <c r="A57" s="31" t="s">
        <v>161</v>
      </c>
      <c r="B57" s="15">
        <f>INT(IFERROR(VLOOKUP(A57,'[1]Resumen Donantes'!C:F,3,0),0))</f>
        <v>0</v>
      </c>
      <c r="C57" s="15">
        <f>INT(ROUND(IFERROR(VLOOKUP(A57,'[1]Resumen Donantes'!C:F,4,0),0),1))</f>
        <v>0</v>
      </c>
      <c r="D57" s="16">
        <f t="shared" si="19"/>
        <v>0</v>
      </c>
      <c r="E57" s="17" t="str">
        <f t="shared" si="20"/>
        <v>0.00%</v>
      </c>
      <c r="F57" s="17" t="str">
        <f t="shared" si="21"/>
        <v>0.0%</v>
      </c>
      <c r="G57" s="15">
        <f t="shared" si="25"/>
        <v>0</v>
      </c>
      <c r="H57" s="18"/>
      <c r="I57" s="18">
        <f>IFERROR(VLOOKUP(A57,'[1]Lot All by Part'!T:Y,6,0),0)</f>
        <v>0</v>
      </c>
      <c r="J57" s="18"/>
      <c r="K57" s="19">
        <f>IFERROR(VLOOKUP($A57,'[1]OB Atendidas por Donantes'!A:N,3,0),0)</f>
        <v>0</v>
      </c>
      <c r="L57" s="19">
        <f>ROUNDUP(IF(A57=0,0,IFERROR(VLOOKUP($A57,'[1]Kilos Asignado del Donante'!A:O,3,0),0)),0)</f>
        <v>0</v>
      </c>
      <c r="M57" s="19">
        <f>IF(A57=0,0,IFERROR(SUMIFS([1]Poblacion!M:M,[1]Poblacion!J:J,'MASTER-2025'!A57),0))</f>
        <v>0</v>
      </c>
      <c r="N57" s="20">
        <f>IFERROR(VLOOKUP($A57,'[1]OB Atendidas por Donantes'!A:N,4,0),0)</f>
        <v>0</v>
      </c>
      <c r="O57" s="20">
        <f>ROUNDUP(IF(A57=0,0,IFERROR(VLOOKUP($A57,'[1]Kilos Asignado del Donante'!A:O,4,0),0)),0)</f>
        <v>0</v>
      </c>
      <c r="P57" s="20">
        <f>IF(A57=0,0,IFERROR(SUMIFS([1]Poblacion!N:N,[1]Poblacion!J:J,'MASTER-2025'!A57),0))</f>
        <v>0</v>
      </c>
      <c r="Q57" s="18">
        <f>IFERROR(VLOOKUP($A57,'[1]OB Atendidas por Donantes'!A:N,2,0),0)</f>
        <v>0</v>
      </c>
      <c r="R57" s="18">
        <f>ROUNDUP(ROUND(IF(A57=0,0,IFERROR(VLOOKUP($A57,'[1]Kilos Asignado del Donante'!A:O,9,0),0)),1),0)</f>
        <v>0</v>
      </c>
      <c r="S57" s="18">
        <f>IF(A57=0,0,IFERROR(SUMIFS([1]Poblacion!S:S,[1]Poblacion!J:J,'MASTER-2025'!A57),0))</f>
        <v>0</v>
      </c>
      <c r="T57" s="19">
        <f>IFERROR(VLOOKUP($A57,'[1]OB Atendidas por Donantes'!A:N,12,0),0)</f>
        <v>0</v>
      </c>
      <c r="U57" s="19">
        <f>ROUNDUP(IF(A57=0,0,IF(A57=0,0,IFERROR(VLOOKUP($A57,'[1]Kilos Asignado del Donante'!A:O,7,0),0))),0)</f>
        <v>0</v>
      </c>
      <c r="V57" s="19">
        <f>IF(A57=0,0,IFERROR(SUMIFS([1]Poblacion!Q:Q,[1]Poblacion!J:J,'MASTER-2025'!A57),0))</f>
        <v>0</v>
      </c>
      <c r="W57" s="20">
        <f>IFERROR(VLOOKUP($A57,'[1]OB Atendidas por Donantes'!A:N,10,0),0)</f>
        <v>0</v>
      </c>
      <c r="X57" s="20">
        <f>ROUNDUP(IF(A57=0,0,IFERROR(VLOOKUP($A57,'[1]Kilos Asignado del Donante'!A:N,5,0),0)),0)</f>
        <v>0</v>
      </c>
      <c r="Y57" s="20">
        <f>IF(A57=0,0,IFERROR(SUMIFS([1]Poblacion!O:O,[1]Poblacion!J:J,'MASTER-2025'!A57),0))</f>
        <v>0</v>
      </c>
      <c r="Z57" s="18">
        <f>IFERROR(VLOOKUP($A57,'[1]OB Atendidas por Donantes'!A:N,6,0),0)</f>
        <v>0</v>
      </c>
      <c r="AA57" s="18">
        <f>ROUNDUP(IF(A57=0,0,IFERROR(VLOOKUP($A57,'[1]Kilos Asignado del Donante'!A:N,11,0),0)),0)</f>
        <v>0</v>
      </c>
      <c r="AB57" s="18">
        <f>IF(A57=0,0,IFERROR(SUMIFS([1]Poblacion!U:U,[1]Poblacion!J:J,'MASTER-2025'!A57),0))</f>
        <v>0</v>
      </c>
      <c r="AC57" s="19">
        <f>IFERROR(VLOOKUP($A57,'[1]OB Atendidas por Donantes'!A:N,7,0),0)</f>
        <v>0</v>
      </c>
      <c r="AD57" s="19">
        <f>ROUNDUP(IF(A57=0,0,IFERROR(VLOOKUP($A57,'[1]Kilos Asignado del Donante'!A:N,8,0),0)),0)</f>
        <v>0</v>
      </c>
      <c r="AE57" s="19">
        <f>IF(A57=0,0,IFERROR(SUMIFS([1]Poblacion!R:R,[1]Poblacion!J:J,'MASTER-2025'!A57),0))</f>
        <v>0</v>
      </c>
      <c r="AF57" s="20">
        <f>IFERROR(VLOOKUP($A57,'[1]OB Atendidas por Donantes'!A:N,8,0),0)</f>
        <v>0</v>
      </c>
      <c r="AG57" s="20">
        <f>ROUNDUP(IF(A57=0,0,IFERROR(VLOOKUP($A57,'[1]Kilos Asignado del Donante'!A:N,6,0),0)),0)</f>
        <v>0</v>
      </c>
      <c r="AH57" s="20">
        <f>IF(A57=0,0,IFERROR(SUMIFS([1]Poblacion!P:P,[1]Poblacion!J:J,'MASTER-2025'!A57),0))</f>
        <v>0</v>
      </c>
      <c r="AI57" s="18">
        <f>IFERROR(VLOOKUP($A57,'[1]OB Atendidas por Donantes'!A:N,9,0),0)</f>
        <v>0</v>
      </c>
      <c r="AJ57" s="18">
        <f>ROUNDUP(IF(A57=0,0,IFERROR(VLOOKUP($A57,'[1]Kilos Asignado del Donante'!A:N,12,0),0)),0)</f>
        <v>0</v>
      </c>
      <c r="AK57" s="18">
        <f>IF(A57=0,0,IFERROR(SUMIFS([1]Poblacion!V:V,[1]Poblacion!J:J,'MASTER-2025'!A57),0))</f>
        <v>0</v>
      </c>
      <c r="AL57" s="19">
        <f>IFERROR(VLOOKUP($A57,'[1]OB Atendidas por Donantes'!A:N,16,0),0)</f>
        <v>0</v>
      </c>
      <c r="AM57" s="19">
        <f>ROUNDUP(IF(A57=0,0,IFERROR(VLOOKUP($A57,'[1]Kilos Asignado del Donante'!A:O,16,0),0)),0)</f>
        <v>0</v>
      </c>
      <c r="AN57" s="19">
        <f>IF(A57=0,0,IFERROR(SUMIFS([1]Poblacion!Z:Z,[1]Poblacion!J:J,'MASTER-2025'!A57),0))</f>
        <v>0</v>
      </c>
      <c r="AO57" s="20">
        <f>IFERROR(VLOOKUP($A57,'[1]OB Atendidas por Donantes'!A:N,11,0),0)</f>
        <v>0</v>
      </c>
      <c r="AP57" s="20">
        <f>ROUNDUP(IF(A57=0,0,IFERROR(VLOOKUP($A57,'[1]Kilos Asignado del Donante'!A:N,13,0),0)),0)</f>
        <v>0</v>
      </c>
      <c r="AQ57" s="20">
        <f>IF(A57=0,0,IFERROR(SUMIFS([1]Poblacion!W:W,[1]Poblacion!J:J,'MASTER-2025'!A57),0))</f>
        <v>0</v>
      </c>
      <c r="AR57" s="18">
        <f>IFERROR(VLOOKUP($A57,'[1]OB Atendidas por Donantes'!A:N,5,0),0)</f>
        <v>0</v>
      </c>
      <c r="AS57" s="18">
        <f>ROUNDUP(IF(A57=0,0,IFERROR(VLOOKUP($A57,'[1]Kilos Asignado del Donante'!A:N,10,0),0)),0)</f>
        <v>0</v>
      </c>
      <c r="AT57" s="18">
        <f>IF(A57=0,0,IFERROR(SUMIFS([1]Poblacion!T:T,[1]Poblacion!J:J,'MASTER-2025'!A57),0))</f>
        <v>0</v>
      </c>
      <c r="AU57" s="19">
        <f>IFERROR(VLOOKUP($A57,'[1]OB Atendidas por Donantes'!A:N,13,0),0)</f>
        <v>0</v>
      </c>
      <c r="AV57" s="19">
        <f>ROUNDUP(IF(A57=0,0,IFERROR(VLOOKUP($A57,'[1]Kilos Asignado del Donante'!A:N,14,0),0)),0)</f>
        <v>0</v>
      </c>
      <c r="AW57" s="19">
        <f>IF(A57=0,0,IFERROR(SUMIFS([1]Poblacion!X:X,[1]Poblacion!J:J,'MASTER-2025'!A57),0))</f>
        <v>0</v>
      </c>
      <c r="AX57" s="20">
        <f>IFERROR(VLOOKUP($A57,'[1]OB Atendidas por Donantes'!A:N,16,0),0)</f>
        <v>0</v>
      </c>
      <c r="AY57" s="20">
        <f>ROUNDUP(IF(A57=0,0,IFERROR(VLOOKUP($A57,'[1]Kilos Asignado del Donante'!A:O,16,0),0)),0)</f>
        <v>0</v>
      </c>
      <c r="AZ57" s="20">
        <f>IF(A57=0,0,IFERROR(SUMIFS([1]Poblacion!Y:Y,[1]Poblacion!J:J,'MASTER-2025'!A57),0))</f>
        <v>0</v>
      </c>
      <c r="BA57" s="21">
        <f t="shared" si="15"/>
        <v>0</v>
      </c>
      <c r="BB57" s="21">
        <f t="shared" si="28"/>
        <v>0</v>
      </c>
      <c r="BC57" s="21">
        <f t="shared" si="24"/>
        <v>0</v>
      </c>
      <c r="BD57" s="21">
        <f t="shared" si="26"/>
        <v>0</v>
      </c>
      <c r="BE57" s="22" t="e">
        <f>IF(A57=0,0,SUMIFS([1]Poblacion!C:C,[1]Poblacion!A:A,'MASTER-2025'!A57))</f>
        <v>#VALUE!</v>
      </c>
      <c r="BF57" s="22" t="e">
        <f>IF(A57=0,0,SUMIFS([1]Poblacion!D:D,[1]Poblacion!A:A,'MASTER-2025'!A57))</f>
        <v>#VALUE!</v>
      </c>
      <c r="BG57" s="22" t="e">
        <f>IF(A57=0,0,SUMIFS([1]Poblacion!E:E,[1]Poblacion!A:A,'MASTER-2025'!A57))</f>
        <v>#VALUE!</v>
      </c>
      <c r="BH57" s="22" t="e">
        <f>IF(A57=0,0,SUMIFS([1]Poblacion!F:F,[1]Poblacion!A:A,'MASTER-2025'!A57))</f>
        <v>#VALUE!</v>
      </c>
      <c r="BI57" s="22" t="e">
        <f t="shared" si="18"/>
        <v>#VALUE!</v>
      </c>
      <c r="BJ57" s="23" t="e">
        <f t="shared" si="7"/>
        <v>#VALUE!</v>
      </c>
      <c r="BK57" s="22" t="e">
        <f>IF(A57=0,0,SUMIFS([1]Poblacion!G:G,[1]Poblacion!A:A,'MASTER-2025'!A57))</f>
        <v>#VALUE!</v>
      </c>
      <c r="BL57" s="24" cm="1">
        <f t="array" ref="BL57:BW57">IFERROR(VLOOKUP(A57,'[1]Acum-OB-kg-pob-25'!A:AQ,{3,4,5,6,7,8,9,10,11,12,13,14},0),0)</f>
        <v>0</v>
      </c>
      <c r="BM57" s="24">
        <v>0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24">
        <v>0</v>
      </c>
      <c r="BU57" s="24">
        <v>0</v>
      </c>
      <c r="BV57" s="24">
        <v>0</v>
      </c>
      <c r="BW57" s="24">
        <v>0</v>
      </c>
      <c r="BX57" s="24">
        <f t="shared" si="8"/>
        <v>0</v>
      </c>
      <c r="BY57" s="25" cm="1">
        <f t="array" ref="BY57:CJ57">IFERROR(VLOOKUP(A57,'[1]Acum-OB-kg-pob-25'!A:AQ,{17,18,19,20,21,22,23,24,25,26,27,28},0),0)</f>
        <v>0</v>
      </c>
      <c r="BZ57" s="25">
        <v>0</v>
      </c>
      <c r="CA57" s="25">
        <v>0</v>
      </c>
      <c r="CB57" s="25">
        <v>0</v>
      </c>
      <c r="CC57" s="25">
        <v>0</v>
      </c>
      <c r="CD57" s="25">
        <v>0</v>
      </c>
      <c r="CE57" s="25">
        <v>0</v>
      </c>
      <c r="CF57" s="25">
        <v>0</v>
      </c>
      <c r="CG57" s="25">
        <v>0</v>
      </c>
      <c r="CH57" s="25">
        <v>0</v>
      </c>
      <c r="CI57" s="25">
        <v>0</v>
      </c>
      <c r="CJ57" s="25">
        <v>0</v>
      </c>
      <c r="CK57" s="25">
        <f t="shared" si="9"/>
        <v>0</v>
      </c>
      <c r="CL57" s="26" cm="1">
        <f t="array" ref="CL57:CW57">IFERROR(VLOOKUP(A57,'[1]Acum-OB-kg-pob-25'!A:AQ,{31,32,33,34,35,36,37,38,39,40,41,42},0),0)</f>
        <v>0</v>
      </c>
      <c r="CM57" s="26">
        <v>0</v>
      </c>
      <c r="CN57" s="26">
        <v>0</v>
      </c>
      <c r="CO57" s="26">
        <v>0</v>
      </c>
      <c r="CP57" s="26">
        <v>0</v>
      </c>
      <c r="CQ57" s="26">
        <v>0</v>
      </c>
      <c r="CR57" s="26">
        <v>0</v>
      </c>
      <c r="CS57" s="26">
        <v>0</v>
      </c>
      <c r="CT57" s="26">
        <v>0</v>
      </c>
      <c r="CU57" s="26">
        <v>0</v>
      </c>
      <c r="CV57" s="26">
        <v>0</v>
      </c>
      <c r="CW57" s="26">
        <v>0</v>
      </c>
      <c r="CX57" s="26">
        <f t="shared" si="10"/>
        <v>0</v>
      </c>
      <c r="CY57" s="14" t="str">
        <f>IF(A57=0,0,IFERROR(VLOOKUP(A57,'[1]Info Donantes'!C:F,2,0),"Sin Contacto"))</f>
        <v>Sin Contacto</v>
      </c>
      <c r="CZ57" s="14" t="str">
        <f>IF(A57=0,0,IFERROR(VLOOKUP(A57,'[1]Info Donantes'!C:F,3,0),"Sin Correo"))</f>
        <v>Sin Correo</v>
      </c>
      <c r="DA57" s="14" t="str">
        <f>IF(A57=0,0,IFERROR(VLOOKUP(A57,'[1]Info Donantes'!C:F,4,0),"Sin Telefono"))</f>
        <v>Sin Telefono</v>
      </c>
      <c r="DB57" s="14" t="str">
        <f>IF(A57=0,0,"Reporte de Trazabiidad"&amp;" - "&amp;'[1]Resumen Donantes'!$C$2&amp;" - "&amp;A57&amp;"")</f>
        <v>Reporte de Trazabiidad -  - Grupo Denis, S.A.</v>
      </c>
    </row>
    <row r="58" spans="1:106" x14ac:dyDescent="0.55000000000000004">
      <c r="A58" s="31" t="s">
        <v>162</v>
      </c>
      <c r="B58" s="15">
        <f>INT(IFERROR(VLOOKUP(A58,'[1]Resumen Donantes'!C:F,3,0),0))</f>
        <v>0</v>
      </c>
      <c r="C58" s="15">
        <f>INT(ROUND(IFERROR(VLOOKUP(A58,'[1]Resumen Donantes'!C:F,4,0),0),1))</f>
        <v>0</v>
      </c>
      <c r="D58" s="16">
        <f t="shared" si="19"/>
        <v>0</v>
      </c>
      <c r="E58" s="17" t="str">
        <f t="shared" si="20"/>
        <v>0.00%</v>
      </c>
      <c r="F58" s="17" t="str">
        <f t="shared" si="21"/>
        <v>0.0%</v>
      </c>
      <c r="G58" s="15">
        <f t="shared" si="25"/>
        <v>0</v>
      </c>
      <c r="H58" s="18"/>
      <c r="I58" s="18">
        <f>IFERROR(VLOOKUP(A58,'[1]Lot All by Part'!T:Y,6,0),0)</f>
        <v>0</v>
      </c>
      <c r="J58" s="18"/>
      <c r="K58" s="19">
        <f>IFERROR(VLOOKUP($A58,'[1]OB Atendidas por Donantes'!A:N,3,0),0)</f>
        <v>0</v>
      </c>
      <c r="L58" s="19">
        <f>ROUNDUP(IF(A58=0,0,IFERROR(VLOOKUP($A58,'[1]Kilos Asignado del Donante'!A:O,3,0),0)),0)</f>
        <v>0</v>
      </c>
      <c r="M58" s="19">
        <f>IF(A58=0,0,IFERROR(SUMIFS([1]Poblacion!M:M,[1]Poblacion!J:J,'MASTER-2025'!A58),0))</f>
        <v>0</v>
      </c>
      <c r="N58" s="20">
        <f>IFERROR(VLOOKUP($A58,'[1]OB Atendidas por Donantes'!A:N,4,0),0)</f>
        <v>0</v>
      </c>
      <c r="O58" s="20">
        <f>ROUNDUP(IF(A58=0,0,IFERROR(VLOOKUP($A58,'[1]Kilos Asignado del Donante'!A:O,4,0),0)),0)</f>
        <v>0</v>
      </c>
      <c r="P58" s="20">
        <f>IF(A58=0,0,IFERROR(SUMIFS([1]Poblacion!N:N,[1]Poblacion!J:J,'MASTER-2025'!A58),0))</f>
        <v>0</v>
      </c>
      <c r="Q58" s="18">
        <f>IFERROR(VLOOKUP($A58,'[1]OB Atendidas por Donantes'!A:N,2,0),0)</f>
        <v>0</v>
      </c>
      <c r="R58" s="18">
        <f>ROUNDUP(ROUND(IF(A58=0,0,IFERROR(VLOOKUP($A58,'[1]Kilos Asignado del Donante'!A:O,9,0),0)),1),0)</f>
        <v>0</v>
      </c>
      <c r="S58" s="18">
        <f>IF(A58=0,0,IFERROR(SUMIFS([1]Poblacion!S:S,[1]Poblacion!J:J,'MASTER-2025'!A58),0))</f>
        <v>0</v>
      </c>
      <c r="T58" s="19">
        <f>IFERROR(VLOOKUP($A58,'[1]OB Atendidas por Donantes'!A:N,12,0),0)</f>
        <v>0</v>
      </c>
      <c r="U58" s="19">
        <f>ROUNDUP(IF(A58=0,0,IF(A58=0,0,IFERROR(VLOOKUP($A58,'[1]Kilos Asignado del Donante'!A:O,7,0),0))),0)</f>
        <v>0</v>
      </c>
      <c r="V58" s="19">
        <f>IF(A58=0,0,IFERROR(SUMIFS([1]Poblacion!Q:Q,[1]Poblacion!J:J,'MASTER-2025'!A58),0))</f>
        <v>0</v>
      </c>
      <c r="W58" s="20">
        <f>IFERROR(VLOOKUP($A58,'[1]OB Atendidas por Donantes'!A:N,10,0),0)</f>
        <v>0</v>
      </c>
      <c r="X58" s="20">
        <f>ROUNDUP(IF(A58=0,0,IFERROR(VLOOKUP($A58,'[1]Kilos Asignado del Donante'!A:N,5,0),0)),0)</f>
        <v>0</v>
      </c>
      <c r="Y58" s="20">
        <f>IF(A58=0,0,IFERROR(SUMIFS([1]Poblacion!O:O,[1]Poblacion!J:J,'MASTER-2025'!A58),0))</f>
        <v>0</v>
      </c>
      <c r="Z58" s="18">
        <f>IFERROR(VLOOKUP($A58,'[1]OB Atendidas por Donantes'!A:N,6,0),0)</f>
        <v>0</v>
      </c>
      <c r="AA58" s="18">
        <f>ROUNDUP(IF(A58=0,0,IFERROR(VLOOKUP($A58,'[1]Kilos Asignado del Donante'!A:N,11,0),0)),0)</f>
        <v>0</v>
      </c>
      <c r="AB58" s="18">
        <f>IF(A58=0,0,IFERROR(SUMIFS([1]Poblacion!U:U,[1]Poblacion!J:J,'MASTER-2025'!A58),0))</f>
        <v>0</v>
      </c>
      <c r="AC58" s="19">
        <f>IFERROR(VLOOKUP($A58,'[1]OB Atendidas por Donantes'!A:N,7,0),0)</f>
        <v>0</v>
      </c>
      <c r="AD58" s="19">
        <f>ROUNDUP(IF(A58=0,0,IFERROR(VLOOKUP($A58,'[1]Kilos Asignado del Donante'!A:N,8,0),0)),0)</f>
        <v>0</v>
      </c>
      <c r="AE58" s="19">
        <f>IF(A58=0,0,IFERROR(SUMIFS([1]Poblacion!R:R,[1]Poblacion!J:J,'MASTER-2025'!A58),0))</f>
        <v>0</v>
      </c>
      <c r="AF58" s="20">
        <f>IFERROR(VLOOKUP($A58,'[1]OB Atendidas por Donantes'!A:N,8,0),0)</f>
        <v>0</v>
      </c>
      <c r="AG58" s="20">
        <f>ROUNDUP(IF(A58=0,0,IFERROR(VLOOKUP($A58,'[1]Kilos Asignado del Donante'!A:N,6,0),0)),0)</f>
        <v>0</v>
      </c>
      <c r="AH58" s="20">
        <f>IF(A58=0,0,IFERROR(SUMIFS([1]Poblacion!P:P,[1]Poblacion!J:J,'MASTER-2025'!A58),0))</f>
        <v>0</v>
      </c>
      <c r="AI58" s="18">
        <f>IFERROR(VLOOKUP($A58,'[1]OB Atendidas por Donantes'!A:N,9,0),0)</f>
        <v>0</v>
      </c>
      <c r="AJ58" s="18">
        <f>ROUNDUP(IF(A58=0,0,IFERROR(VLOOKUP($A58,'[1]Kilos Asignado del Donante'!A:N,12,0),0)),0)</f>
        <v>0</v>
      </c>
      <c r="AK58" s="18">
        <f>IF(A58=0,0,IFERROR(SUMIFS([1]Poblacion!V:V,[1]Poblacion!J:J,'MASTER-2025'!A58),0))</f>
        <v>0</v>
      </c>
      <c r="AL58" s="19">
        <f>IFERROR(VLOOKUP($A58,'[1]OB Atendidas por Donantes'!A:N,16,0),0)</f>
        <v>0</v>
      </c>
      <c r="AM58" s="19">
        <f>ROUNDUP(IF(A58=0,0,IFERROR(VLOOKUP($A58,'[1]Kilos Asignado del Donante'!A:O,16,0),0)),0)</f>
        <v>0</v>
      </c>
      <c r="AN58" s="19">
        <f>IF(A58=0,0,IFERROR(SUMIFS([1]Poblacion!Z:Z,[1]Poblacion!J:J,'MASTER-2025'!A58),0))</f>
        <v>0</v>
      </c>
      <c r="AO58" s="20">
        <f>IFERROR(VLOOKUP($A58,'[1]OB Atendidas por Donantes'!A:N,11,0),0)</f>
        <v>0</v>
      </c>
      <c r="AP58" s="20">
        <f>ROUNDUP(IF(A58=0,0,IFERROR(VLOOKUP($A58,'[1]Kilos Asignado del Donante'!A:N,13,0),0)),0)</f>
        <v>0</v>
      </c>
      <c r="AQ58" s="20">
        <f>IF(A58=0,0,IFERROR(SUMIFS([1]Poblacion!W:W,[1]Poblacion!J:J,'MASTER-2025'!A58),0))</f>
        <v>0</v>
      </c>
      <c r="AR58" s="18">
        <f>IFERROR(VLOOKUP($A58,'[1]OB Atendidas por Donantes'!A:N,5,0),0)</f>
        <v>0</v>
      </c>
      <c r="AS58" s="18">
        <f>ROUNDUP(IF(A58=0,0,IFERROR(VLOOKUP($A58,'[1]Kilos Asignado del Donante'!A:N,10,0),0)),0)</f>
        <v>0</v>
      </c>
      <c r="AT58" s="18">
        <f>IF(A58=0,0,IFERROR(SUMIFS([1]Poblacion!T:T,[1]Poblacion!J:J,'MASTER-2025'!A58),0))</f>
        <v>0</v>
      </c>
      <c r="AU58" s="19">
        <f>IFERROR(VLOOKUP($A58,'[1]OB Atendidas por Donantes'!A:N,13,0),0)</f>
        <v>0</v>
      </c>
      <c r="AV58" s="19">
        <f>ROUNDUP(IF(A58=0,0,IFERROR(VLOOKUP($A58,'[1]Kilos Asignado del Donante'!A:N,14,0),0)),0)</f>
        <v>0</v>
      </c>
      <c r="AW58" s="19">
        <f>IF(A58=0,0,IFERROR(SUMIFS([1]Poblacion!X:X,[1]Poblacion!J:J,'MASTER-2025'!A58),0))</f>
        <v>0</v>
      </c>
      <c r="AX58" s="20">
        <f>IFERROR(VLOOKUP($A58,'[1]OB Atendidas por Donantes'!A:N,16,0),0)</f>
        <v>0</v>
      </c>
      <c r="AY58" s="20">
        <f>ROUNDUP(IF(A58=0,0,IFERROR(VLOOKUP($A58,'[1]Kilos Asignado del Donante'!A:O,16,0),0)),0)</f>
        <v>0</v>
      </c>
      <c r="AZ58" s="20">
        <f>IF(A58=0,0,IFERROR(SUMIFS([1]Poblacion!Y:Y,[1]Poblacion!J:J,'MASTER-2025'!A58),0))</f>
        <v>0</v>
      </c>
      <c r="BA58" s="21">
        <f t="shared" si="15"/>
        <v>0</v>
      </c>
      <c r="BB58" s="21">
        <f t="shared" si="28"/>
        <v>0</v>
      </c>
      <c r="BC58" s="21">
        <f t="shared" si="24"/>
        <v>0</v>
      </c>
      <c r="BD58" s="21">
        <f t="shared" si="26"/>
        <v>0</v>
      </c>
      <c r="BE58" s="22" t="e">
        <f>IF(A58=0,0,SUMIFS([1]Poblacion!C:C,[1]Poblacion!A:A,'MASTER-2025'!A58))</f>
        <v>#VALUE!</v>
      </c>
      <c r="BF58" s="22" t="e">
        <f>IF(A58=0,0,SUMIFS([1]Poblacion!D:D,[1]Poblacion!A:A,'MASTER-2025'!A58))</f>
        <v>#VALUE!</v>
      </c>
      <c r="BG58" s="22" t="e">
        <f>IF(A58=0,0,SUMIFS([1]Poblacion!E:E,[1]Poblacion!A:A,'MASTER-2025'!A58))</f>
        <v>#VALUE!</v>
      </c>
      <c r="BH58" s="22" t="e">
        <f>IF(A58=0,0,SUMIFS([1]Poblacion!F:F,[1]Poblacion!A:A,'MASTER-2025'!A58))</f>
        <v>#VALUE!</v>
      </c>
      <c r="BI58" s="22" t="e">
        <f t="shared" si="18"/>
        <v>#VALUE!</v>
      </c>
      <c r="BJ58" s="23" t="e">
        <f t="shared" si="7"/>
        <v>#VALUE!</v>
      </c>
      <c r="BK58" s="22" t="e">
        <f>IF(A58=0,0,SUMIFS([1]Poblacion!G:G,[1]Poblacion!A:A,'MASTER-2025'!A58))</f>
        <v>#VALUE!</v>
      </c>
      <c r="BL58" s="24" cm="1">
        <f t="array" ref="BL58:BW58">IFERROR(VLOOKUP(A58,'[1]Acum-OB-kg-pob-25'!A:AQ,{3,4,5,6,7,8,9,10,11,12,13,14},0),0)</f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BX58" s="24">
        <f t="shared" si="8"/>
        <v>0</v>
      </c>
      <c r="BY58" s="25" cm="1">
        <f t="array" ref="BY58:CJ58">IFERROR(VLOOKUP(A58,'[1]Acum-OB-kg-pob-25'!A:AQ,{17,18,19,20,21,22,23,24,25,26,27,28},0),0)</f>
        <v>0</v>
      </c>
      <c r="BZ58" s="25">
        <v>0</v>
      </c>
      <c r="CA58" s="25">
        <v>0</v>
      </c>
      <c r="CB58" s="25">
        <v>0</v>
      </c>
      <c r="CC58" s="25">
        <v>0</v>
      </c>
      <c r="CD58" s="25">
        <v>0</v>
      </c>
      <c r="CE58" s="25">
        <v>0</v>
      </c>
      <c r="CF58" s="25">
        <v>0</v>
      </c>
      <c r="CG58" s="25">
        <v>0</v>
      </c>
      <c r="CH58" s="25">
        <v>0</v>
      </c>
      <c r="CI58" s="25">
        <v>0</v>
      </c>
      <c r="CJ58" s="25">
        <v>0</v>
      </c>
      <c r="CK58" s="25">
        <f t="shared" si="9"/>
        <v>0</v>
      </c>
      <c r="CL58" s="26" cm="1">
        <f t="array" ref="CL58:CW58">IFERROR(VLOOKUP(A58,'[1]Acum-OB-kg-pob-25'!A:AQ,{31,32,33,34,35,36,37,38,39,40,41,42},0),0)</f>
        <v>0</v>
      </c>
      <c r="CM58" s="26">
        <v>0</v>
      </c>
      <c r="CN58" s="26">
        <v>0</v>
      </c>
      <c r="CO58" s="26">
        <v>0</v>
      </c>
      <c r="CP58" s="26">
        <v>0</v>
      </c>
      <c r="CQ58" s="26">
        <v>0</v>
      </c>
      <c r="CR58" s="26">
        <v>0</v>
      </c>
      <c r="CS58" s="26">
        <v>0</v>
      </c>
      <c r="CT58" s="26">
        <v>0</v>
      </c>
      <c r="CU58" s="26">
        <v>0</v>
      </c>
      <c r="CV58" s="26">
        <v>0</v>
      </c>
      <c r="CW58" s="26">
        <v>0</v>
      </c>
      <c r="CX58" s="26">
        <f t="shared" si="10"/>
        <v>0</v>
      </c>
      <c r="CY58" s="14" t="str">
        <f>IF(A58=0,0,IFERROR(VLOOKUP(A58,'[1]Info Donantes'!C:F,2,0),"Sin Contacto"))</f>
        <v>Brenda Mejías</v>
      </c>
      <c r="CZ58" s="14" t="str">
        <f>IF(A58=0,0,IFERROR(VLOOKUP(A58,'[1]Info Donantes'!C:F,3,0),"Sin Correo"))</f>
        <v>b.mejias@keybrands-pa.com</v>
      </c>
      <c r="DA58" s="14" t="str">
        <f>IF(A58=0,0,IFERROR(VLOOKUP(A58,'[1]Info Donantes'!C:F,4,0),"Sin Telefono"))</f>
        <v>6749-2181</v>
      </c>
      <c r="DB58" s="14" t="str">
        <f>IF(A58=0,0,"Reporte de Trazabiidad"&amp;" - "&amp;'[1]Resumen Donantes'!$C$2&amp;" - "&amp;A58&amp;"")</f>
        <v>Reporte de Trazabiidad -  - INVERSIONES MAKAPANA, S.A</v>
      </c>
    </row>
    <row r="59" spans="1:106" x14ac:dyDescent="0.55000000000000004">
      <c r="A59" s="31" t="s">
        <v>163</v>
      </c>
      <c r="B59" s="15">
        <f>INT(IFERROR(VLOOKUP(A59,'[1]Resumen Donantes'!C:F,3,0),0))</f>
        <v>0</v>
      </c>
      <c r="C59" s="15">
        <f>INT(ROUND(IFERROR(VLOOKUP(A59,'[1]Resumen Donantes'!C:F,4,0),0),1))</f>
        <v>833</v>
      </c>
      <c r="D59" s="16">
        <f t="shared" si="19"/>
        <v>833</v>
      </c>
      <c r="E59" s="17" t="str">
        <f t="shared" si="20"/>
        <v>100.00%</v>
      </c>
      <c r="F59" s="17" t="str">
        <f t="shared" si="21"/>
        <v>0.0%</v>
      </c>
      <c r="G59" s="15">
        <f t="shared" si="25"/>
        <v>2499</v>
      </c>
      <c r="H59" s="18"/>
      <c r="I59" s="18">
        <f>IFERROR(VLOOKUP(A59,'[1]Lot All by Part'!T:Y,6,0),0)</f>
        <v>0</v>
      </c>
      <c r="J59" s="18"/>
      <c r="K59" s="19">
        <f>IFERROR(VLOOKUP($A59,'[1]OB Atendidas por Donantes'!A:N,3,0),0)</f>
        <v>1</v>
      </c>
      <c r="L59" s="19">
        <f>ROUNDUP(IF(A59=0,0,IFERROR(VLOOKUP($A59,'[1]Kilos Asignado del Donante'!A:O,3,0),0)),0)</f>
        <v>10</v>
      </c>
      <c r="M59" s="19">
        <f>IF(A59=0,0,IFERROR(SUMIFS([1]Poblacion!M:M,[1]Poblacion!J:J,'MASTER-2025'!A59),0))</f>
        <v>0</v>
      </c>
      <c r="N59" s="20">
        <f>IFERROR(VLOOKUP($A59,'[1]OB Atendidas por Donantes'!A:N,4,0),0)</f>
        <v>0</v>
      </c>
      <c r="O59" s="20">
        <f>ROUNDUP(IF(A59=0,0,IFERROR(VLOOKUP($A59,'[1]Kilos Asignado del Donante'!A:O,4,0),0)),0)</f>
        <v>0</v>
      </c>
      <c r="P59" s="20">
        <f>IF(A59=0,0,IFERROR(SUMIFS([1]Poblacion!N:N,[1]Poblacion!J:J,'MASTER-2025'!A59),0))</f>
        <v>0</v>
      </c>
      <c r="Q59" s="18">
        <f>IFERROR(VLOOKUP($A59,'[1]OB Atendidas por Donantes'!A:N,2,0),0)</f>
        <v>0</v>
      </c>
      <c r="R59" s="18">
        <f>ROUNDUP(ROUND(IF(A59=0,0,IFERROR(VLOOKUP($A59,'[1]Kilos Asignado del Donante'!A:O,9,0),0)),1),0)</f>
        <v>0</v>
      </c>
      <c r="S59" s="18">
        <f>IF(A59=0,0,IFERROR(SUMIFS([1]Poblacion!S:S,[1]Poblacion!J:J,'MASTER-2025'!A59),0))</f>
        <v>0</v>
      </c>
      <c r="T59" s="19">
        <f>IFERROR(VLOOKUP($A59,'[1]OB Atendidas por Donantes'!A:N,12,0),0)</f>
        <v>0</v>
      </c>
      <c r="U59" s="19">
        <f>ROUNDUP(IF(A59=0,0,IF(A59=0,0,IFERROR(VLOOKUP($A59,'[1]Kilos Asignado del Donante'!A:O,7,0),0))),0)</f>
        <v>0</v>
      </c>
      <c r="V59" s="19">
        <f>IF(A59=0,0,IFERROR(SUMIFS([1]Poblacion!Q:Q,[1]Poblacion!J:J,'MASTER-2025'!A59),0))</f>
        <v>0</v>
      </c>
      <c r="W59" s="20">
        <f>IFERROR(VLOOKUP($A59,'[1]OB Atendidas por Donantes'!A:N,10,0),0)</f>
        <v>0</v>
      </c>
      <c r="X59" s="20">
        <f>ROUNDUP(IF(A59=0,0,IFERROR(VLOOKUP($A59,'[1]Kilos Asignado del Donante'!A:N,5,0),0)),0)</f>
        <v>0</v>
      </c>
      <c r="Y59" s="20">
        <f>IF(A59=0,0,IFERROR(SUMIFS([1]Poblacion!O:O,[1]Poblacion!J:J,'MASTER-2025'!A59),0))</f>
        <v>0</v>
      </c>
      <c r="Z59" s="18">
        <f>IFERROR(VLOOKUP($A59,'[1]OB Atendidas por Donantes'!A:N,6,0),0)</f>
        <v>0</v>
      </c>
      <c r="AA59" s="18">
        <f>ROUNDUP(IF(A59=0,0,IFERROR(VLOOKUP($A59,'[1]Kilos Asignado del Donante'!A:N,11,0),0)),0)</f>
        <v>0</v>
      </c>
      <c r="AB59" s="18">
        <f>IF(A59=0,0,IFERROR(SUMIFS([1]Poblacion!U:U,[1]Poblacion!J:J,'MASTER-2025'!A59),0))</f>
        <v>0</v>
      </c>
      <c r="AC59" s="19">
        <f>IFERROR(VLOOKUP($A59,'[1]OB Atendidas por Donantes'!A:N,7,0),0)</f>
        <v>0</v>
      </c>
      <c r="AD59" s="19">
        <f>ROUNDUP(IF(A59=0,0,IFERROR(VLOOKUP($A59,'[1]Kilos Asignado del Donante'!A:N,8,0),0)),0)</f>
        <v>0</v>
      </c>
      <c r="AE59" s="19">
        <f>IF(A59=0,0,IFERROR(SUMIFS([1]Poblacion!R:R,[1]Poblacion!J:J,'MASTER-2025'!A59),0))</f>
        <v>0</v>
      </c>
      <c r="AF59" s="20">
        <f>IFERROR(VLOOKUP($A59,'[1]OB Atendidas por Donantes'!A:N,8,0),0)</f>
        <v>0</v>
      </c>
      <c r="AG59" s="20">
        <f>ROUNDUP(IF(A59=0,0,IFERROR(VLOOKUP($A59,'[1]Kilos Asignado del Donante'!A:N,6,0),0)),0)</f>
        <v>0</v>
      </c>
      <c r="AH59" s="20">
        <f>IF(A59=0,0,IFERROR(SUMIFS([1]Poblacion!P:P,[1]Poblacion!J:J,'MASTER-2025'!A59),0))</f>
        <v>0</v>
      </c>
      <c r="AI59" s="18">
        <f>IFERROR(VLOOKUP($A59,'[1]OB Atendidas por Donantes'!A:N,9,0),0)</f>
        <v>0</v>
      </c>
      <c r="AJ59" s="18">
        <f>ROUNDUP(IF(A59=0,0,IFERROR(VLOOKUP($A59,'[1]Kilos Asignado del Donante'!A:N,12,0),0)),0)</f>
        <v>0</v>
      </c>
      <c r="AK59" s="18">
        <f>IF(A59=0,0,IFERROR(SUMIFS([1]Poblacion!V:V,[1]Poblacion!J:J,'MASTER-2025'!A59),0))</f>
        <v>0</v>
      </c>
      <c r="AL59" s="19">
        <f>IFERROR(VLOOKUP($A59,'[1]OB Atendidas por Donantes'!A:N,16,0),0)</f>
        <v>0</v>
      </c>
      <c r="AM59" s="19">
        <f>ROUNDUP(IF(A59=0,0,IFERROR(VLOOKUP($A59,'[1]Kilos Asignado del Donante'!A:O,16,0),0)),0)</f>
        <v>0</v>
      </c>
      <c r="AN59" s="19">
        <f>IF(A59=0,0,IFERROR(SUMIFS([1]Poblacion!Z:Z,[1]Poblacion!J:J,'MASTER-2025'!A59),0))</f>
        <v>0</v>
      </c>
      <c r="AO59" s="20">
        <f>IFERROR(VLOOKUP($A59,'[1]OB Atendidas por Donantes'!A:N,11,0),0)</f>
        <v>0</v>
      </c>
      <c r="AP59" s="20">
        <f>ROUNDUP(IF(A59=0,0,IFERROR(VLOOKUP($A59,'[1]Kilos Asignado del Donante'!A:N,13,0),0)),0)</f>
        <v>0</v>
      </c>
      <c r="AQ59" s="20">
        <f>IF(A59=0,0,IFERROR(SUMIFS([1]Poblacion!W:W,[1]Poblacion!J:J,'MASTER-2025'!A59),0))</f>
        <v>0</v>
      </c>
      <c r="AR59" s="18">
        <f>IFERROR(VLOOKUP($A59,'[1]OB Atendidas por Donantes'!A:N,5,0),0)</f>
        <v>0</v>
      </c>
      <c r="AS59" s="18">
        <f>ROUNDUP(IF(A59=0,0,IFERROR(VLOOKUP($A59,'[1]Kilos Asignado del Donante'!A:N,10,0),0)),0)</f>
        <v>0</v>
      </c>
      <c r="AT59" s="18">
        <f>IF(A59=0,0,IFERROR(SUMIFS([1]Poblacion!T:T,[1]Poblacion!J:J,'MASTER-2025'!A59),0))</f>
        <v>0</v>
      </c>
      <c r="AU59" s="19">
        <f>IFERROR(VLOOKUP($A59,'[1]OB Atendidas por Donantes'!A:N,13,0),0)</f>
        <v>0</v>
      </c>
      <c r="AV59" s="19">
        <f>ROUNDUP(IF(A59=0,0,IFERROR(VLOOKUP($A59,'[1]Kilos Asignado del Donante'!A:N,14,0),0)),0)</f>
        <v>0</v>
      </c>
      <c r="AW59" s="19">
        <f>IF(A59=0,0,IFERROR(SUMIFS([1]Poblacion!X:X,[1]Poblacion!J:J,'MASTER-2025'!A59),0))</f>
        <v>0</v>
      </c>
      <c r="AX59" s="20">
        <f>IFERROR(VLOOKUP($A59,'[1]OB Atendidas por Donantes'!A:N,16,0),0)</f>
        <v>0</v>
      </c>
      <c r="AY59" s="20">
        <f>ROUNDUP(IF(A59=0,0,IFERROR(VLOOKUP($A59,'[1]Kilos Asignado del Donante'!A:O,16,0),0)),0)</f>
        <v>0</v>
      </c>
      <c r="AZ59" s="20">
        <f>IF(A59=0,0,IFERROR(SUMIFS([1]Poblacion!Y:Y,[1]Poblacion!J:J,'MASTER-2025'!A59),0))</f>
        <v>0</v>
      </c>
      <c r="BA59" s="21">
        <f t="shared" si="15"/>
        <v>1</v>
      </c>
      <c r="BB59" s="21">
        <f>INT(I59+L59+O59+R59+U59+X59+AA59+AD59+AG59+AJ59+AM59+AP59+AS59+AV59+AY59)</f>
        <v>10</v>
      </c>
      <c r="BC59" s="21">
        <f t="shared" si="24"/>
        <v>10</v>
      </c>
      <c r="BD59" s="21">
        <f t="shared" si="26"/>
        <v>0</v>
      </c>
      <c r="BE59" s="22" t="e">
        <f>IF(A59=0,0,SUMIFS([1]Poblacion!C:C,[1]Poblacion!A:A,'MASTER-2025'!A59))</f>
        <v>#VALUE!</v>
      </c>
      <c r="BF59" s="22" t="e">
        <f>IF(A59=0,0,SUMIFS([1]Poblacion!D:D,[1]Poblacion!A:A,'MASTER-2025'!A59))</f>
        <v>#VALUE!</v>
      </c>
      <c r="BG59" s="22" t="e">
        <f>IF(A59=0,0,SUMIFS([1]Poblacion!E:E,[1]Poblacion!A:A,'MASTER-2025'!A59))</f>
        <v>#VALUE!</v>
      </c>
      <c r="BH59" s="22" t="e">
        <f>IF(A59=0,0,SUMIFS([1]Poblacion!F:F,[1]Poblacion!A:A,'MASTER-2025'!A59))</f>
        <v>#VALUE!</v>
      </c>
      <c r="BI59" s="22" t="e">
        <f t="shared" si="18"/>
        <v>#VALUE!</v>
      </c>
      <c r="BJ59" s="23" t="e">
        <f t="shared" si="7"/>
        <v>#VALUE!</v>
      </c>
      <c r="BK59" s="22" t="e">
        <f>IF(A59=0,0,SUMIFS([1]Poblacion!G:G,[1]Poblacion!A:A,'MASTER-2025'!A59))</f>
        <v>#VALUE!</v>
      </c>
      <c r="BL59" s="24" cm="1">
        <f t="array" ref="BL59:BW59">IFERROR(VLOOKUP(A59,'[1]Acum-OB-kg-pob-25'!A:AQ,{3,4,5,6,7,8,9,10,11,12,13,14},0),0)</f>
        <v>0</v>
      </c>
      <c r="BM59" s="24">
        <v>42</v>
      </c>
      <c r="BN59" s="24">
        <v>1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f t="shared" si="8"/>
        <v>43</v>
      </c>
      <c r="BY59" s="25" cm="1">
        <f t="array" ref="BY59:CJ59">IFERROR(VLOOKUP(A59,'[1]Acum-OB-kg-pob-25'!A:AQ,{17,18,19,20,21,22,23,24,25,26,27,28},0),0)</f>
        <v>0</v>
      </c>
      <c r="BZ59" s="25">
        <v>559</v>
      </c>
      <c r="CA59" s="25">
        <v>833</v>
      </c>
      <c r="CB59" s="25">
        <v>0</v>
      </c>
      <c r="CC59" s="25">
        <v>0</v>
      </c>
      <c r="CD59" s="25">
        <v>0</v>
      </c>
      <c r="CE59" s="25">
        <v>0</v>
      </c>
      <c r="CF59" s="25">
        <v>0</v>
      </c>
      <c r="CG59" s="25">
        <v>0</v>
      </c>
      <c r="CH59" s="25">
        <v>0</v>
      </c>
      <c r="CI59" s="25">
        <v>0</v>
      </c>
      <c r="CJ59" s="25">
        <v>0</v>
      </c>
      <c r="CK59" s="25">
        <f t="shared" si="9"/>
        <v>1392</v>
      </c>
      <c r="CL59" s="26" cm="1">
        <f t="array" ref="CL59:CW59">IFERROR(VLOOKUP(A59,'[1]Acum-OB-kg-pob-25'!A:AQ,{31,32,33,34,35,36,37,38,39,40,41,42},0),0)</f>
        <v>0</v>
      </c>
      <c r="CM59" s="26">
        <v>13212</v>
      </c>
      <c r="CN59" s="26">
        <v>400</v>
      </c>
      <c r="CO59" s="26">
        <v>0</v>
      </c>
      <c r="CP59" s="26">
        <v>0</v>
      </c>
      <c r="CQ59" s="26">
        <v>0</v>
      </c>
      <c r="CR59" s="26">
        <v>0</v>
      </c>
      <c r="CS59" s="26">
        <v>0</v>
      </c>
      <c r="CT59" s="26">
        <v>0</v>
      </c>
      <c r="CU59" s="26">
        <v>0</v>
      </c>
      <c r="CV59" s="26">
        <v>0</v>
      </c>
      <c r="CW59" s="26">
        <v>0</v>
      </c>
      <c r="CX59" s="26">
        <f t="shared" si="10"/>
        <v>13612</v>
      </c>
      <c r="CY59" s="14" t="str">
        <f>IF(A59=0,0,IFERROR(VLOOKUP(A59,'[1]Info Donantes'!C:F,2,0),"Sin Contacto"))</f>
        <v>Sin Contacto</v>
      </c>
      <c r="CZ59" s="14" t="str">
        <f>IF(A59=0,0,IFERROR(VLOOKUP(A59,'[1]Info Donantes'!C:F,3,0),"Sin Correo"))</f>
        <v>Sin Correo</v>
      </c>
      <c r="DA59" s="14" t="str">
        <f>IF(A59=0,0,IFERROR(VLOOKUP(A59,'[1]Info Donantes'!C:F,4,0),"Sin Telefono"))</f>
        <v>Sin Telefono</v>
      </c>
      <c r="DB59" s="14" t="str">
        <f>IF(A59=0,0,"Reporte de Trazabiidad"&amp;" - "&amp;'[1]Resumen Donantes'!$C$2&amp;" - "&amp;A59&amp;"")</f>
        <v>Reporte de Trazabiidad -  - KERRY PANAMA, S.A.</v>
      </c>
    </row>
    <row r="60" spans="1:106" x14ac:dyDescent="0.55000000000000004">
      <c r="A60" s="31" t="s">
        <v>164</v>
      </c>
      <c r="B60" s="15">
        <f>INT(IFERROR(VLOOKUP(A60,'[1]Resumen Donantes'!C:F,3,0),0))</f>
        <v>0</v>
      </c>
      <c r="C60" s="15">
        <f>INT(ROUND(IFERROR(VLOOKUP(A60,'[1]Resumen Donantes'!C:F,4,0),0),1))</f>
        <v>0</v>
      </c>
      <c r="D60" s="16">
        <f t="shared" si="19"/>
        <v>0</v>
      </c>
      <c r="E60" s="17" t="str">
        <f t="shared" si="20"/>
        <v>0.00%</v>
      </c>
      <c r="F60" s="17" t="str">
        <f t="shared" si="21"/>
        <v>0.0%</v>
      </c>
      <c r="G60" s="15">
        <f t="shared" si="25"/>
        <v>0</v>
      </c>
      <c r="H60" s="18"/>
      <c r="I60" s="18">
        <f>IFERROR(VLOOKUP(A60,'[1]Lot All by Part'!T:Y,6,0),0)</f>
        <v>0</v>
      </c>
      <c r="J60" s="18"/>
      <c r="K60" s="19">
        <f>IFERROR(VLOOKUP($A60,'[1]OB Atendidas por Donantes'!A:N,3,0),0)</f>
        <v>0</v>
      </c>
      <c r="L60" s="19">
        <f>ROUNDUP(IF(A60=0,0,IFERROR(VLOOKUP($A60,'[1]Kilos Asignado del Donante'!A:O,3,0),0)),0)</f>
        <v>0</v>
      </c>
      <c r="M60" s="19">
        <f>IF(A60=0,0,IFERROR(SUMIFS([1]Poblacion!M:M,[1]Poblacion!J:J,'MASTER-2025'!A60),0))</f>
        <v>0</v>
      </c>
      <c r="N60" s="20">
        <f>IFERROR(VLOOKUP($A60,'[1]OB Atendidas por Donantes'!A:N,4,0),0)</f>
        <v>0</v>
      </c>
      <c r="O60" s="20">
        <f>ROUNDUP(IF(A60=0,0,IFERROR(VLOOKUP($A60,'[1]Kilos Asignado del Donante'!A:O,4,0),0)),0)</f>
        <v>0</v>
      </c>
      <c r="P60" s="20">
        <f>IF(A60=0,0,IFERROR(SUMIFS([1]Poblacion!N:N,[1]Poblacion!J:J,'MASTER-2025'!A60),0))</f>
        <v>0</v>
      </c>
      <c r="Q60" s="18">
        <f>IFERROR(VLOOKUP($A60,'[1]OB Atendidas por Donantes'!A:N,2,0),0)</f>
        <v>0</v>
      </c>
      <c r="R60" s="18">
        <f>ROUNDUP(ROUND(IF(A60=0,0,IFERROR(VLOOKUP($A60,'[1]Kilos Asignado del Donante'!A:O,9,0),0)),1),0)</f>
        <v>0</v>
      </c>
      <c r="S60" s="18">
        <f>IF(A60=0,0,IFERROR(SUMIFS([1]Poblacion!S:S,[1]Poblacion!J:J,'MASTER-2025'!A60),0))</f>
        <v>0</v>
      </c>
      <c r="T60" s="19">
        <f>IFERROR(VLOOKUP($A60,'[1]OB Atendidas por Donantes'!A:N,12,0),0)</f>
        <v>0</v>
      </c>
      <c r="U60" s="19">
        <f>ROUNDUP(IF(A60=0,0,IF(A60=0,0,IFERROR(VLOOKUP($A60,'[1]Kilos Asignado del Donante'!A:O,7,0),0))),0)</f>
        <v>0</v>
      </c>
      <c r="V60" s="19">
        <f>IF(A60=0,0,IFERROR(SUMIFS([1]Poblacion!Q:Q,[1]Poblacion!J:J,'MASTER-2025'!A60),0))</f>
        <v>0</v>
      </c>
      <c r="W60" s="20">
        <f>IFERROR(VLOOKUP($A60,'[1]OB Atendidas por Donantes'!A:N,10,0),0)</f>
        <v>0</v>
      </c>
      <c r="X60" s="20">
        <f>ROUNDUP(IF(A60=0,0,IFERROR(VLOOKUP($A60,'[1]Kilos Asignado del Donante'!A:N,5,0),0)),0)</f>
        <v>0</v>
      </c>
      <c r="Y60" s="20">
        <f>IF(A60=0,0,IFERROR(SUMIFS([1]Poblacion!O:O,[1]Poblacion!J:J,'MASTER-2025'!A60),0))</f>
        <v>0</v>
      </c>
      <c r="Z60" s="18">
        <f>IFERROR(VLOOKUP($A60,'[1]OB Atendidas por Donantes'!A:N,6,0),0)</f>
        <v>0</v>
      </c>
      <c r="AA60" s="18">
        <f>ROUNDUP(IF(A60=0,0,IFERROR(VLOOKUP($A60,'[1]Kilos Asignado del Donante'!A:N,11,0),0)),0)</f>
        <v>0</v>
      </c>
      <c r="AB60" s="18">
        <f>IF(A60=0,0,IFERROR(SUMIFS([1]Poblacion!U:U,[1]Poblacion!J:J,'MASTER-2025'!A60),0))</f>
        <v>0</v>
      </c>
      <c r="AC60" s="19">
        <f>IFERROR(VLOOKUP($A60,'[1]OB Atendidas por Donantes'!A:N,7,0),0)</f>
        <v>0</v>
      </c>
      <c r="AD60" s="19">
        <f>ROUNDUP(IF(A60=0,0,IFERROR(VLOOKUP($A60,'[1]Kilos Asignado del Donante'!A:N,8,0),0)),0)</f>
        <v>0</v>
      </c>
      <c r="AE60" s="19">
        <f>IF(A60=0,0,IFERROR(SUMIFS([1]Poblacion!R:R,[1]Poblacion!J:J,'MASTER-2025'!A60),0))</f>
        <v>0</v>
      </c>
      <c r="AF60" s="20">
        <f>IFERROR(VLOOKUP($A60,'[1]OB Atendidas por Donantes'!A:N,8,0),0)</f>
        <v>0</v>
      </c>
      <c r="AG60" s="20">
        <f>ROUNDUP(IF(A60=0,0,IFERROR(VLOOKUP($A60,'[1]Kilos Asignado del Donante'!A:N,6,0),0)),0)</f>
        <v>0</v>
      </c>
      <c r="AH60" s="20">
        <f>IF(A60=0,0,IFERROR(SUMIFS([1]Poblacion!P:P,[1]Poblacion!J:J,'MASTER-2025'!A60),0))</f>
        <v>0</v>
      </c>
      <c r="AI60" s="18">
        <f>IFERROR(VLOOKUP($A60,'[1]OB Atendidas por Donantes'!A:N,9,0),0)</f>
        <v>0</v>
      </c>
      <c r="AJ60" s="18">
        <f>ROUNDUP(IF(A60=0,0,IFERROR(VLOOKUP($A60,'[1]Kilos Asignado del Donante'!A:N,12,0),0)),0)</f>
        <v>0</v>
      </c>
      <c r="AK60" s="18">
        <f>IF(A60=0,0,IFERROR(SUMIFS([1]Poblacion!V:V,[1]Poblacion!J:J,'MASTER-2025'!A60),0))</f>
        <v>0</v>
      </c>
      <c r="AL60" s="19">
        <f>IFERROR(VLOOKUP($A60,'[1]OB Atendidas por Donantes'!A:N,16,0),0)</f>
        <v>0</v>
      </c>
      <c r="AM60" s="19">
        <f>ROUNDUP(IF(A60=0,0,IFERROR(VLOOKUP($A60,'[1]Kilos Asignado del Donante'!A:O,16,0),0)),0)</f>
        <v>0</v>
      </c>
      <c r="AN60" s="19">
        <f>IF(A60=0,0,IFERROR(SUMIFS([1]Poblacion!Z:Z,[1]Poblacion!J:J,'MASTER-2025'!A60),0))</f>
        <v>0</v>
      </c>
      <c r="AO60" s="20">
        <f>IFERROR(VLOOKUP($A60,'[1]OB Atendidas por Donantes'!A:N,11,0),0)</f>
        <v>0</v>
      </c>
      <c r="AP60" s="20">
        <f>ROUNDUP(IF(A60=0,0,IFERROR(VLOOKUP($A60,'[1]Kilos Asignado del Donante'!A:N,13,0),0)),0)</f>
        <v>0</v>
      </c>
      <c r="AQ60" s="20">
        <f>IF(A60=0,0,IFERROR(SUMIFS([1]Poblacion!W:W,[1]Poblacion!J:J,'MASTER-2025'!A60),0))</f>
        <v>0</v>
      </c>
      <c r="AR60" s="18">
        <f>IFERROR(VLOOKUP($A60,'[1]OB Atendidas por Donantes'!A:N,5,0),0)</f>
        <v>0</v>
      </c>
      <c r="AS60" s="18">
        <f>ROUNDUP(IF(A60=0,0,IFERROR(VLOOKUP($A60,'[1]Kilos Asignado del Donante'!A:N,10,0),0)),0)</f>
        <v>0</v>
      </c>
      <c r="AT60" s="18">
        <f>IF(A60=0,0,IFERROR(SUMIFS([1]Poblacion!T:T,[1]Poblacion!J:J,'MASTER-2025'!A60),0))</f>
        <v>0</v>
      </c>
      <c r="AU60" s="19">
        <f>IFERROR(VLOOKUP($A60,'[1]OB Atendidas por Donantes'!A:N,13,0),0)</f>
        <v>0</v>
      </c>
      <c r="AV60" s="19">
        <f>ROUNDUP(IF(A60=0,0,IFERROR(VLOOKUP($A60,'[1]Kilos Asignado del Donante'!A:N,14,0),0)),0)</f>
        <v>0</v>
      </c>
      <c r="AW60" s="19">
        <f>IF(A60=0,0,IFERROR(SUMIFS([1]Poblacion!X:X,[1]Poblacion!J:J,'MASTER-2025'!A60),0))</f>
        <v>0</v>
      </c>
      <c r="AX60" s="20">
        <f>IFERROR(VLOOKUP($A60,'[1]OB Atendidas por Donantes'!A:N,16,0),0)</f>
        <v>0</v>
      </c>
      <c r="AY60" s="20">
        <f>ROUNDUP(IF(A60=0,0,IFERROR(VLOOKUP($A60,'[1]Kilos Asignado del Donante'!A:O,16,0),0)),0)</f>
        <v>0</v>
      </c>
      <c r="AZ60" s="20">
        <f>IF(A60=0,0,IFERROR(SUMIFS([1]Poblacion!Y:Y,[1]Poblacion!J:J,'MASTER-2025'!A60),0))</f>
        <v>0</v>
      </c>
      <c r="BA60" s="21">
        <f t="shared" si="15"/>
        <v>0</v>
      </c>
      <c r="BB60" s="21">
        <f t="shared" ref="BB60:BB107" si="29">INT(I60+L60+O60+R60+U60+X60+AA60+AD60+AG60+AJ60+AM60+AP60+AS60+AV60+AY60)</f>
        <v>0</v>
      </c>
      <c r="BC60" s="21">
        <f t="shared" si="24"/>
        <v>0</v>
      </c>
      <c r="BD60" s="21">
        <f t="shared" si="26"/>
        <v>0</v>
      </c>
      <c r="BE60" s="22" t="e">
        <f>IF(A60=0,0,SUMIFS([1]Poblacion!C:C,[1]Poblacion!A:A,'MASTER-2025'!A60))</f>
        <v>#VALUE!</v>
      </c>
      <c r="BF60" s="22" t="e">
        <f>IF(A60=0,0,SUMIFS([1]Poblacion!D:D,[1]Poblacion!A:A,'MASTER-2025'!A60))</f>
        <v>#VALUE!</v>
      </c>
      <c r="BG60" s="22" t="e">
        <f>IF(A60=0,0,SUMIFS([1]Poblacion!E:E,[1]Poblacion!A:A,'MASTER-2025'!A60))</f>
        <v>#VALUE!</v>
      </c>
      <c r="BH60" s="22" t="e">
        <f>IF(A60=0,0,SUMIFS([1]Poblacion!F:F,[1]Poblacion!A:A,'MASTER-2025'!A60))</f>
        <v>#VALUE!</v>
      </c>
      <c r="BI60" s="22" t="e">
        <f t="shared" si="18"/>
        <v>#VALUE!</v>
      </c>
      <c r="BJ60" s="23" t="e">
        <f t="shared" si="7"/>
        <v>#VALUE!</v>
      </c>
      <c r="BK60" s="22" t="e">
        <f>IF(A60=0,0,SUMIFS([1]Poblacion!G:G,[1]Poblacion!A:A,'MASTER-2025'!A60))</f>
        <v>#VALUE!</v>
      </c>
      <c r="BL60" s="24" cm="1">
        <f t="array" ref="BL60:BW60">IFERROR(VLOOKUP(A60,'[1]Acum-OB-kg-pob-25'!A:AQ,{3,4,5,6,7,8,9,10,11,12,13,14},0),0)</f>
        <v>2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BX60" s="24">
        <f t="shared" si="8"/>
        <v>2</v>
      </c>
      <c r="BY60" s="25" cm="1">
        <f t="array" ref="BY60:CJ60">IFERROR(VLOOKUP(A60,'[1]Acum-OB-kg-pob-25'!A:AQ,{17,18,19,20,21,22,23,24,25,26,27,28},0),0)</f>
        <v>63</v>
      </c>
      <c r="BZ60" s="25">
        <v>0</v>
      </c>
      <c r="CA60" s="25">
        <v>0</v>
      </c>
      <c r="CB60" s="25">
        <v>0</v>
      </c>
      <c r="CC60" s="25">
        <v>0</v>
      </c>
      <c r="CD60" s="25">
        <v>0</v>
      </c>
      <c r="CE60" s="25">
        <v>0</v>
      </c>
      <c r="CF60" s="25">
        <v>0</v>
      </c>
      <c r="CG60" s="25">
        <v>0</v>
      </c>
      <c r="CH60" s="25">
        <v>0</v>
      </c>
      <c r="CI60" s="25">
        <v>0</v>
      </c>
      <c r="CJ60" s="25">
        <v>0</v>
      </c>
      <c r="CK60" s="25">
        <f t="shared" si="9"/>
        <v>63</v>
      </c>
      <c r="CL60" s="26" cm="1">
        <f t="array" ref="CL60:CW60">IFERROR(VLOOKUP(A60,'[1]Acum-OB-kg-pob-25'!A:AQ,{31,32,33,34,35,36,37,38,39,40,41,42},0),0)</f>
        <v>251</v>
      </c>
      <c r="CM60" s="26">
        <v>0</v>
      </c>
      <c r="CN60" s="26">
        <v>0</v>
      </c>
      <c r="CO60" s="26">
        <v>0</v>
      </c>
      <c r="CP60" s="26">
        <v>0</v>
      </c>
      <c r="CQ60" s="26">
        <v>0</v>
      </c>
      <c r="CR60" s="26">
        <v>0</v>
      </c>
      <c r="CS60" s="26">
        <v>0</v>
      </c>
      <c r="CT60" s="26">
        <v>0</v>
      </c>
      <c r="CU60" s="26">
        <v>0</v>
      </c>
      <c r="CV60" s="26">
        <v>0</v>
      </c>
      <c r="CW60" s="26">
        <v>0</v>
      </c>
      <c r="CX60" s="26">
        <f t="shared" si="10"/>
        <v>251</v>
      </c>
      <c r="CY60" s="14" t="str">
        <f>IF(A60=0,0,IFERROR(VLOOKUP(A60,'[1]Info Donantes'!C:F,2,0),"Sin Contacto"))</f>
        <v>Rogelio Garibaldo</v>
      </c>
      <c r="CZ60" s="14" t="str">
        <f>IF(A60=0,0,IFERROR(VLOOKUP(A60,'[1]Info Donantes'!C:F,3,0),"Sin Correo"))</f>
        <v>rgaribaldo@thegroupg.com</v>
      </c>
      <c r="DA60" s="14" t="str">
        <f>IF(A60=0,0,IFERROR(VLOOKUP(A60,'[1]Info Donantes'!C:F,4,0),"Sin Telefono"))</f>
        <v>209 3790 ext 205</v>
      </c>
      <c r="DB60" s="14" t="str">
        <f>IF(A60=0,0,"Reporte de Trazabiidad"&amp;" - "&amp;'[1]Resumen Donantes'!$C$2&amp;" - "&amp;A60&amp;"")</f>
        <v>Reporte de Trazabiidad -  - LINA CORPORATION INC (LINA)</v>
      </c>
    </row>
    <row r="61" spans="1:106" x14ac:dyDescent="0.55000000000000004">
      <c r="A61" s="31" t="s">
        <v>165</v>
      </c>
      <c r="B61" s="15">
        <f>INT(IFERROR(VLOOKUP(A61,'[1]Resumen Donantes'!C:F,3,0),0))</f>
        <v>0</v>
      </c>
      <c r="C61" s="15">
        <f>INT(ROUND(IFERROR(VLOOKUP(A61,'[1]Resumen Donantes'!C:F,4,0),0),1))</f>
        <v>0</v>
      </c>
      <c r="D61" s="16">
        <f t="shared" si="19"/>
        <v>0</v>
      </c>
      <c r="E61" s="17" t="str">
        <f t="shared" si="20"/>
        <v>0.00%</v>
      </c>
      <c r="F61" s="17" t="str">
        <f t="shared" si="21"/>
        <v>0.0%</v>
      </c>
      <c r="G61" s="15">
        <f t="shared" si="25"/>
        <v>0</v>
      </c>
      <c r="H61" s="18"/>
      <c r="I61" s="18">
        <f>IFERROR(VLOOKUP(A61,'[1]Lot All by Part'!T:Y,6,0),0)</f>
        <v>0</v>
      </c>
      <c r="J61" s="18"/>
      <c r="K61" s="19">
        <f>IFERROR(VLOOKUP($A61,'[1]OB Atendidas por Donantes'!A:N,3,0),0)</f>
        <v>0</v>
      </c>
      <c r="L61" s="19">
        <f>ROUNDUP(IF(A61=0,0,IFERROR(VLOOKUP($A61,'[1]Kilos Asignado del Donante'!A:O,3,0),0)),0)</f>
        <v>0</v>
      </c>
      <c r="M61" s="19">
        <f>IF(A61=0,0,IFERROR(SUMIFS([1]Poblacion!M:M,[1]Poblacion!J:J,'MASTER-2025'!A61),0))</f>
        <v>0</v>
      </c>
      <c r="N61" s="20">
        <f>IFERROR(VLOOKUP($A61,'[1]OB Atendidas por Donantes'!A:N,4,0),0)</f>
        <v>0</v>
      </c>
      <c r="O61" s="20">
        <f>ROUNDUP(IF(A61=0,0,IFERROR(VLOOKUP($A61,'[1]Kilos Asignado del Donante'!A:O,4,0),0)),0)</f>
        <v>0</v>
      </c>
      <c r="P61" s="20">
        <f>IF(A61=0,0,IFERROR(SUMIFS([1]Poblacion!N:N,[1]Poblacion!J:J,'MASTER-2025'!A61),0))</f>
        <v>0</v>
      </c>
      <c r="Q61" s="18">
        <f>IFERROR(VLOOKUP($A61,'[1]OB Atendidas por Donantes'!A:N,2,0),0)</f>
        <v>0</v>
      </c>
      <c r="R61" s="18">
        <f>ROUNDUP(ROUND(IF(A61=0,0,IFERROR(VLOOKUP($A61,'[1]Kilos Asignado del Donante'!A:O,9,0),0)),1),0)</f>
        <v>0</v>
      </c>
      <c r="S61" s="18">
        <f>IF(A61=0,0,IFERROR(SUMIFS([1]Poblacion!S:S,[1]Poblacion!J:J,'MASTER-2025'!A61),0))</f>
        <v>0</v>
      </c>
      <c r="T61" s="19">
        <f>IFERROR(VLOOKUP($A61,'[1]OB Atendidas por Donantes'!A:N,12,0),0)</f>
        <v>0</v>
      </c>
      <c r="U61" s="19">
        <f>ROUNDUP(IF(A61=0,0,IF(A61=0,0,IFERROR(VLOOKUP($A61,'[1]Kilos Asignado del Donante'!A:O,7,0),0))),0)</f>
        <v>0</v>
      </c>
      <c r="V61" s="19">
        <f>IF(A61=0,0,IFERROR(SUMIFS([1]Poblacion!Q:Q,[1]Poblacion!J:J,'MASTER-2025'!A61),0))</f>
        <v>0</v>
      </c>
      <c r="W61" s="20">
        <f>IFERROR(VLOOKUP($A61,'[1]OB Atendidas por Donantes'!A:N,10,0),0)</f>
        <v>0</v>
      </c>
      <c r="X61" s="20">
        <f>ROUNDUP(IF(A61=0,0,IFERROR(VLOOKUP($A61,'[1]Kilos Asignado del Donante'!A:N,5,0),0)),0)</f>
        <v>0</v>
      </c>
      <c r="Y61" s="20">
        <f>IF(A61=0,0,IFERROR(SUMIFS([1]Poblacion!O:O,[1]Poblacion!J:J,'MASTER-2025'!A61),0))</f>
        <v>0</v>
      </c>
      <c r="Z61" s="18">
        <f>IFERROR(VLOOKUP($A61,'[1]OB Atendidas por Donantes'!A:N,6,0),0)</f>
        <v>0</v>
      </c>
      <c r="AA61" s="18">
        <f>ROUNDUP(IF(A61=0,0,IFERROR(VLOOKUP($A61,'[1]Kilos Asignado del Donante'!A:N,11,0),0)),0)</f>
        <v>0</v>
      </c>
      <c r="AB61" s="18">
        <f>IF(A61=0,0,IFERROR(SUMIFS([1]Poblacion!U:U,[1]Poblacion!J:J,'MASTER-2025'!A61),0))</f>
        <v>0</v>
      </c>
      <c r="AC61" s="19">
        <f>IFERROR(VLOOKUP($A61,'[1]OB Atendidas por Donantes'!A:N,7,0),0)</f>
        <v>0</v>
      </c>
      <c r="AD61" s="19">
        <f>ROUNDUP(IF(A61=0,0,IFERROR(VLOOKUP($A61,'[1]Kilos Asignado del Donante'!A:N,8,0),0)),0)</f>
        <v>0</v>
      </c>
      <c r="AE61" s="19">
        <f>IF(A61=0,0,IFERROR(SUMIFS([1]Poblacion!R:R,[1]Poblacion!J:J,'MASTER-2025'!A61),0))</f>
        <v>0</v>
      </c>
      <c r="AF61" s="20">
        <f>IFERROR(VLOOKUP($A61,'[1]OB Atendidas por Donantes'!A:N,8,0),0)</f>
        <v>0</v>
      </c>
      <c r="AG61" s="20">
        <f>ROUNDUP(IF(A61=0,0,IFERROR(VLOOKUP($A61,'[1]Kilos Asignado del Donante'!A:N,6,0),0)),0)</f>
        <v>0</v>
      </c>
      <c r="AH61" s="20">
        <f>IF(A61=0,0,IFERROR(SUMIFS([1]Poblacion!P:P,[1]Poblacion!J:J,'MASTER-2025'!A61),0))</f>
        <v>0</v>
      </c>
      <c r="AI61" s="18">
        <f>IFERROR(VLOOKUP($A61,'[1]OB Atendidas por Donantes'!A:N,9,0),0)</f>
        <v>0</v>
      </c>
      <c r="AJ61" s="18">
        <f>ROUNDUP(IF(A61=0,0,IFERROR(VLOOKUP($A61,'[1]Kilos Asignado del Donante'!A:N,12,0),0)),0)</f>
        <v>0</v>
      </c>
      <c r="AK61" s="18">
        <f>IF(A61=0,0,IFERROR(SUMIFS([1]Poblacion!V:V,[1]Poblacion!J:J,'MASTER-2025'!A61),0))</f>
        <v>0</v>
      </c>
      <c r="AL61" s="19">
        <f>IFERROR(VLOOKUP($A61,'[1]OB Atendidas por Donantes'!A:N,16,0),0)</f>
        <v>0</v>
      </c>
      <c r="AM61" s="19">
        <f>ROUNDUP(IF(A61=0,0,IFERROR(VLOOKUP($A61,'[1]Kilos Asignado del Donante'!A:O,16,0),0)),0)</f>
        <v>0</v>
      </c>
      <c r="AN61" s="19">
        <f>IF(A61=0,0,IFERROR(SUMIFS([1]Poblacion!Z:Z,[1]Poblacion!J:J,'MASTER-2025'!A61),0))</f>
        <v>0</v>
      </c>
      <c r="AO61" s="20">
        <f>IFERROR(VLOOKUP($A61,'[1]OB Atendidas por Donantes'!A:N,11,0),0)</f>
        <v>0</v>
      </c>
      <c r="AP61" s="20">
        <f>ROUNDUP(IF(A61=0,0,IFERROR(VLOOKUP($A61,'[1]Kilos Asignado del Donante'!A:N,13,0),0)),0)</f>
        <v>0</v>
      </c>
      <c r="AQ61" s="20">
        <f>IF(A61=0,0,IFERROR(SUMIFS([1]Poblacion!W:W,[1]Poblacion!J:J,'MASTER-2025'!A61),0))</f>
        <v>0</v>
      </c>
      <c r="AR61" s="18">
        <f>IFERROR(VLOOKUP($A61,'[1]OB Atendidas por Donantes'!A:N,5,0),0)</f>
        <v>0</v>
      </c>
      <c r="AS61" s="18">
        <f>ROUNDUP(IF(A61=0,0,IFERROR(VLOOKUP($A61,'[1]Kilos Asignado del Donante'!A:N,10,0),0)),0)</f>
        <v>0</v>
      </c>
      <c r="AT61" s="18">
        <f>IF(A61=0,0,IFERROR(SUMIFS([1]Poblacion!T:T,[1]Poblacion!J:J,'MASTER-2025'!A61),0))</f>
        <v>0</v>
      </c>
      <c r="AU61" s="19">
        <f>IFERROR(VLOOKUP($A61,'[1]OB Atendidas por Donantes'!A:N,13,0),0)</f>
        <v>0</v>
      </c>
      <c r="AV61" s="19">
        <f>ROUNDUP(IF(A61=0,0,IFERROR(VLOOKUP($A61,'[1]Kilos Asignado del Donante'!A:N,14,0),0)),0)</f>
        <v>0</v>
      </c>
      <c r="AW61" s="19">
        <f>IF(A61=0,0,IFERROR(SUMIFS([1]Poblacion!X:X,[1]Poblacion!J:J,'MASTER-2025'!A61),0))</f>
        <v>0</v>
      </c>
      <c r="AX61" s="20">
        <f>IFERROR(VLOOKUP($A61,'[1]OB Atendidas por Donantes'!A:N,16,0),0)</f>
        <v>0</v>
      </c>
      <c r="AY61" s="20">
        <f>ROUNDUP(IF(A61=0,0,IFERROR(VLOOKUP($A61,'[1]Kilos Asignado del Donante'!A:O,16,0),0)),0)</f>
        <v>0</v>
      </c>
      <c r="AZ61" s="20">
        <f>IF(A61=0,0,IFERROR(SUMIFS([1]Poblacion!Y:Y,[1]Poblacion!J:J,'MASTER-2025'!A61),0))</f>
        <v>0</v>
      </c>
      <c r="BA61" s="21">
        <f t="shared" si="15"/>
        <v>0</v>
      </c>
      <c r="BB61" s="21">
        <f t="shared" si="29"/>
        <v>0</v>
      </c>
      <c r="BC61" s="21">
        <f t="shared" si="24"/>
        <v>0</v>
      </c>
      <c r="BD61" s="21">
        <f t="shared" si="26"/>
        <v>0</v>
      </c>
      <c r="BE61" s="22" t="e">
        <f>IF(A61=0,0,SUMIFS([1]Poblacion!C:C,[1]Poblacion!A:A,'MASTER-2025'!A61))</f>
        <v>#VALUE!</v>
      </c>
      <c r="BF61" s="22" t="e">
        <f>IF(A61=0,0,SUMIFS([1]Poblacion!D:D,[1]Poblacion!A:A,'MASTER-2025'!A61))</f>
        <v>#VALUE!</v>
      </c>
      <c r="BG61" s="22" t="e">
        <f>IF(A61=0,0,SUMIFS([1]Poblacion!E:E,[1]Poblacion!A:A,'MASTER-2025'!A61))</f>
        <v>#VALUE!</v>
      </c>
      <c r="BH61" s="22" t="e">
        <f>IF(A61=0,0,SUMIFS([1]Poblacion!F:F,[1]Poblacion!A:A,'MASTER-2025'!A61))</f>
        <v>#VALUE!</v>
      </c>
      <c r="BI61" s="22" t="e">
        <f t="shared" si="18"/>
        <v>#VALUE!</v>
      </c>
      <c r="BJ61" s="23" t="e">
        <f t="shared" si="7"/>
        <v>#VALUE!</v>
      </c>
      <c r="BK61" s="22" t="e">
        <f>IF(A61=0,0,SUMIFS([1]Poblacion!G:G,[1]Poblacion!A:A,'MASTER-2025'!A61))</f>
        <v>#VALUE!</v>
      </c>
      <c r="BL61" s="24" cm="1">
        <f t="array" ref="BL61:BW61">IFERROR(VLOOKUP(A61,'[1]Acum-OB-kg-pob-25'!A:AQ,{3,4,5,6,7,8,9,10,11,12,13,14},0),0)</f>
        <v>35</v>
      </c>
      <c r="BM61" s="24">
        <v>1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4">
        <v>0</v>
      </c>
      <c r="BX61" s="24">
        <f t="shared" si="8"/>
        <v>36</v>
      </c>
      <c r="BY61" s="25" cm="1">
        <f t="array" ref="BY61:CJ61">IFERROR(VLOOKUP(A61,'[1]Acum-OB-kg-pob-25'!A:AQ,{17,18,19,20,21,22,23,24,25,26,27,28},0),0)</f>
        <v>950</v>
      </c>
      <c r="BZ61" s="25">
        <v>0</v>
      </c>
      <c r="CA61" s="25">
        <v>0</v>
      </c>
      <c r="CB61" s="25">
        <v>0</v>
      </c>
      <c r="CC61" s="25">
        <v>0</v>
      </c>
      <c r="CD61" s="25">
        <v>0</v>
      </c>
      <c r="CE61" s="25">
        <v>0</v>
      </c>
      <c r="CF61" s="25">
        <v>0</v>
      </c>
      <c r="CG61" s="25">
        <v>0</v>
      </c>
      <c r="CH61" s="25">
        <v>0</v>
      </c>
      <c r="CI61" s="25">
        <v>0</v>
      </c>
      <c r="CJ61" s="25">
        <v>0</v>
      </c>
      <c r="CK61" s="25">
        <f t="shared" si="9"/>
        <v>950</v>
      </c>
      <c r="CL61" s="26" cm="1">
        <f t="array" ref="CL61:CW61">IFERROR(VLOOKUP(A61,'[1]Acum-OB-kg-pob-25'!A:AQ,{31,32,33,34,35,36,37,38,39,40,41,42},0),0)</f>
        <v>12637</v>
      </c>
      <c r="CM61" s="26">
        <v>400</v>
      </c>
      <c r="CN61" s="26">
        <v>0</v>
      </c>
      <c r="CO61" s="26">
        <v>0</v>
      </c>
      <c r="CP61" s="26">
        <v>0</v>
      </c>
      <c r="CQ61" s="26">
        <v>0</v>
      </c>
      <c r="CR61" s="26">
        <v>0</v>
      </c>
      <c r="CS61" s="26">
        <v>0</v>
      </c>
      <c r="CT61" s="26">
        <v>0</v>
      </c>
      <c r="CU61" s="26">
        <v>0</v>
      </c>
      <c r="CV61" s="26">
        <v>0</v>
      </c>
      <c r="CW61" s="26">
        <v>0</v>
      </c>
      <c r="CX61" s="26">
        <f t="shared" si="10"/>
        <v>13037</v>
      </c>
      <c r="CY61" s="14">
        <f>IF(A61=0,0,IFERROR(VLOOKUP(A61,'[1]Info Donantes'!C:F,2,0),"Sin Contacto"))</f>
        <v>0</v>
      </c>
      <c r="CZ61" s="14">
        <f>IF(A61=0,0,IFERROR(VLOOKUP(A61,'[1]Info Donantes'!C:F,3,0),"Sin Correo"))</f>
        <v>0</v>
      </c>
      <c r="DA61" s="14" t="str">
        <f>IF(A61=0,0,IFERROR(VLOOKUP(A61,'[1]Info Donantes'!C:F,4,0),"Sin Telefono"))</f>
        <v>303-1545</v>
      </c>
      <c r="DB61" s="14" t="str">
        <f>IF(A61=0,0,"Reporte de Trazabiidad"&amp;" - "&amp;'[1]Resumen Donantes'!$C$2&amp;" - "&amp;A61&amp;"")</f>
        <v>Reporte de Trazabiidad -  - MEDIA ITEMS, INC</v>
      </c>
    </row>
    <row r="62" spans="1:106" x14ac:dyDescent="0.55000000000000004">
      <c r="A62" s="31" t="s">
        <v>166</v>
      </c>
      <c r="B62" s="15">
        <f>INT(IFERROR(VLOOKUP(A62,'[1]Resumen Donantes'!C:F,3,0),0))</f>
        <v>0</v>
      </c>
      <c r="C62" s="15">
        <f>INT(ROUND(IFERROR(VLOOKUP(A62,'[1]Resumen Donantes'!C:F,4,0),0),1))</f>
        <v>64</v>
      </c>
      <c r="D62" s="16">
        <f t="shared" si="19"/>
        <v>64</v>
      </c>
      <c r="E62" s="17" t="str">
        <f t="shared" si="20"/>
        <v>100.00%</v>
      </c>
      <c r="F62" s="17" t="str">
        <f t="shared" si="21"/>
        <v>0.0%</v>
      </c>
      <c r="G62" s="15">
        <f t="shared" si="25"/>
        <v>192</v>
      </c>
      <c r="H62" s="18"/>
      <c r="I62" s="18">
        <f>IFERROR(VLOOKUP(A62,'[1]Lot All by Part'!T:Y,6,0),0)</f>
        <v>0</v>
      </c>
      <c r="J62" s="18"/>
      <c r="K62" s="19">
        <f>IFERROR(VLOOKUP($A62,'[1]OB Atendidas por Donantes'!A:N,3,0),0)</f>
        <v>7</v>
      </c>
      <c r="L62" s="19">
        <f>ROUNDUP(IF(A62=0,0,IFERROR(VLOOKUP($A62,'[1]Kilos Asignado del Donante'!A:O,3,0),0)),0)</f>
        <v>16</v>
      </c>
      <c r="M62" s="19">
        <f>IF(A62=0,0,IFERROR(SUMIFS([1]Poblacion!M:M,[1]Poblacion!J:J,'MASTER-2025'!A62),0))</f>
        <v>0</v>
      </c>
      <c r="N62" s="20">
        <f>IFERROR(VLOOKUP($A62,'[1]OB Atendidas por Donantes'!A:N,4,0),0)</f>
        <v>5</v>
      </c>
      <c r="O62" s="20">
        <f>ROUNDUP(IF(A62=0,0,IFERROR(VLOOKUP($A62,'[1]Kilos Asignado del Donante'!A:O,4,0),0)),0)</f>
        <v>29</v>
      </c>
      <c r="P62" s="20">
        <f>IF(A62=0,0,IFERROR(SUMIFS([1]Poblacion!N:N,[1]Poblacion!J:J,'MASTER-2025'!A62),0))</f>
        <v>0</v>
      </c>
      <c r="Q62" s="18">
        <f>IFERROR(VLOOKUP($A62,'[1]OB Atendidas por Donantes'!A:N,2,0),0)</f>
        <v>3</v>
      </c>
      <c r="R62" s="18">
        <f>ROUNDUP(ROUND(IF(A62=0,0,IFERROR(VLOOKUP($A62,'[1]Kilos Asignado del Donante'!A:O,9,0),0)),1),0)</f>
        <v>10</v>
      </c>
      <c r="S62" s="18">
        <f>IF(A62=0,0,IFERROR(SUMIFS([1]Poblacion!S:S,[1]Poblacion!J:J,'MASTER-2025'!A62),0))</f>
        <v>0</v>
      </c>
      <c r="T62" s="19">
        <f>IFERROR(VLOOKUP($A62,'[1]OB Atendidas por Donantes'!A:N,12,0),0)</f>
        <v>0</v>
      </c>
      <c r="U62" s="19">
        <f>ROUNDUP(IF(A62=0,0,IF(A62=0,0,IFERROR(VLOOKUP($A62,'[1]Kilos Asignado del Donante'!A:O,7,0),0))),0)</f>
        <v>0</v>
      </c>
      <c r="V62" s="19">
        <f>IF(A62=0,0,IFERROR(SUMIFS([1]Poblacion!Q:Q,[1]Poblacion!J:J,'MASTER-2025'!A62),0))</f>
        <v>0</v>
      </c>
      <c r="W62" s="20">
        <f>IFERROR(VLOOKUP($A62,'[1]OB Atendidas por Donantes'!A:N,10,0),0)</f>
        <v>3</v>
      </c>
      <c r="X62" s="20">
        <f>ROUNDUP(IF(A62=0,0,IFERROR(VLOOKUP($A62,'[1]Kilos Asignado del Donante'!A:N,5,0),0)),0)</f>
        <v>6</v>
      </c>
      <c r="Y62" s="20">
        <f>IF(A62=0,0,IFERROR(SUMIFS([1]Poblacion!O:O,[1]Poblacion!J:J,'MASTER-2025'!A62),0))</f>
        <v>0</v>
      </c>
      <c r="Z62" s="18">
        <f>IFERROR(VLOOKUP($A62,'[1]OB Atendidas por Donantes'!A:N,6,0),0)</f>
        <v>0</v>
      </c>
      <c r="AA62" s="18">
        <f>ROUNDUP(IF(A62=0,0,IFERROR(VLOOKUP($A62,'[1]Kilos Asignado del Donante'!A:N,11,0),0)),0)</f>
        <v>0</v>
      </c>
      <c r="AB62" s="18">
        <f>IF(A62=0,0,IFERROR(SUMIFS([1]Poblacion!U:U,[1]Poblacion!J:J,'MASTER-2025'!A62),0))</f>
        <v>0</v>
      </c>
      <c r="AC62" s="19">
        <f>IFERROR(VLOOKUP($A62,'[1]OB Atendidas por Donantes'!A:N,7,0),0)</f>
        <v>1</v>
      </c>
      <c r="AD62" s="19">
        <f>ROUNDUP(IF(A62=0,0,IFERROR(VLOOKUP($A62,'[1]Kilos Asignado del Donante'!A:N,8,0),0)),0)</f>
        <v>6</v>
      </c>
      <c r="AE62" s="19">
        <f>IF(A62=0,0,IFERROR(SUMIFS([1]Poblacion!R:R,[1]Poblacion!J:J,'MASTER-2025'!A62),0))</f>
        <v>0</v>
      </c>
      <c r="AF62" s="20">
        <f>IFERROR(VLOOKUP($A62,'[1]OB Atendidas por Donantes'!A:N,8,0),0)</f>
        <v>0</v>
      </c>
      <c r="AG62" s="20">
        <f>ROUNDUP(IF(A62=0,0,IFERROR(VLOOKUP($A62,'[1]Kilos Asignado del Donante'!A:N,6,0),0)),0)</f>
        <v>0</v>
      </c>
      <c r="AH62" s="20">
        <f>IF(A62=0,0,IFERROR(SUMIFS([1]Poblacion!P:P,[1]Poblacion!J:J,'MASTER-2025'!A62),0))</f>
        <v>0</v>
      </c>
      <c r="AI62" s="18">
        <f>IFERROR(VLOOKUP($A62,'[1]OB Atendidas por Donantes'!A:N,9,0),0)</f>
        <v>0</v>
      </c>
      <c r="AJ62" s="18">
        <f>ROUNDUP(IF(A62=0,0,IFERROR(VLOOKUP($A62,'[1]Kilos Asignado del Donante'!A:N,12,0),0)),0)</f>
        <v>0</v>
      </c>
      <c r="AK62" s="18">
        <f>IF(A62=0,0,IFERROR(SUMIFS([1]Poblacion!V:V,[1]Poblacion!J:J,'MASTER-2025'!A62),0))</f>
        <v>0</v>
      </c>
      <c r="AL62" s="19">
        <f>IFERROR(VLOOKUP($A62,'[1]OB Atendidas por Donantes'!A:N,16,0),0)</f>
        <v>0</v>
      </c>
      <c r="AM62" s="19">
        <f>ROUNDUP(IF(A62=0,0,IFERROR(VLOOKUP($A62,'[1]Kilos Asignado del Donante'!A:O,16,0),0)),0)</f>
        <v>0</v>
      </c>
      <c r="AN62" s="19">
        <f>IF(A62=0,0,IFERROR(SUMIFS([1]Poblacion!Z:Z,[1]Poblacion!J:J,'MASTER-2025'!A62),0))</f>
        <v>0</v>
      </c>
      <c r="AO62" s="20">
        <f>IFERROR(VLOOKUP($A62,'[1]OB Atendidas por Donantes'!A:N,11,0),0)</f>
        <v>0</v>
      </c>
      <c r="AP62" s="20">
        <f>ROUNDUP(IF(A62=0,0,IFERROR(VLOOKUP($A62,'[1]Kilos Asignado del Donante'!A:N,13,0),0)),0)</f>
        <v>0</v>
      </c>
      <c r="AQ62" s="20">
        <f>IF(A62=0,0,IFERROR(SUMIFS([1]Poblacion!W:W,[1]Poblacion!J:J,'MASTER-2025'!A62),0))</f>
        <v>0</v>
      </c>
      <c r="AR62" s="18">
        <f>IFERROR(VLOOKUP($A62,'[1]OB Atendidas por Donantes'!A:N,5,0),0)</f>
        <v>0</v>
      </c>
      <c r="AS62" s="18">
        <f>ROUNDUP(IF(A62=0,0,IFERROR(VLOOKUP($A62,'[1]Kilos Asignado del Donante'!A:N,10,0),0)),0)</f>
        <v>0</v>
      </c>
      <c r="AT62" s="18">
        <f>IF(A62=0,0,IFERROR(SUMIFS([1]Poblacion!T:T,[1]Poblacion!J:J,'MASTER-2025'!A62),0))</f>
        <v>0</v>
      </c>
      <c r="AU62" s="19">
        <f>IFERROR(VLOOKUP($A62,'[1]OB Atendidas por Donantes'!A:N,13,0),0)</f>
        <v>0</v>
      </c>
      <c r="AV62" s="19">
        <f>ROUNDUP(IF(A62=0,0,IFERROR(VLOOKUP($A62,'[1]Kilos Asignado del Donante'!A:N,14,0),0)),0)</f>
        <v>0</v>
      </c>
      <c r="AW62" s="19">
        <f>IF(A62=0,0,IFERROR(SUMIFS([1]Poblacion!X:X,[1]Poblacion!J:J,'MASTER-2025'!A62),0))</f>
        <v>0</v>
      </c>
      <c r="AX62" s="20">
        <f>IFERROR(VLOOKUP($A62,'[1]OB Atendidas por Donantes'!A:N,16,0),0)</f>
        <v>0</v>
      </c>
      <c r="AY62" s="20">
        <f>ROUNDUP(IF(A62=0,0,IFERROR(VLOOKUP($A62,'[1]Kilos Asignado del Donante'!A:O,16,0),0)),0)</f>
        <v>0</v>
      </c>
      <c r="AZ62" s="20">
        <f>IF(A62=0,0,IFERROR(SUMIFS([1]Poblacion!Y:Y,[1]Poblacion!J:J,'MASTER-2025'!A62),0))</f>
        <v>0</v>
      </c>
      <c r="BA62" s="21">
        <f t="shared" si="15"/>
        <v>19</v>
      </c>
      <c r="BB62" s="21">
        <f t="shared" si="29"/>
        <v>67</v>
      </c>
      <c r="BC62" s="21">
        <f t="shared" si="24"/>
        <v>55</v>
      </c>
      <c r="BD62" s="21">
        <f t="shared" si="26"/>
        <v>0</v>
      </c>
      <c r="BE62" s="22" t="e">
        <f>IF(A62=0,0,SUMIFS([1]Poblacion!C:C,[1]Poblacion!A:A,'MASTER-2025'!A62))</f>
        <v>#VALUE!</v>
      </c>
      <c r="BF62" s="22" t="e">
        <f>IF(A62=0,0,SUMIFS([1]Poblacion!D:D,[1]Poblacion!A:A,'MASTER-2025'!A62))</f>
        <v>#VALUE!</v>
      </c>
      <c r="BG62" s="22" t="e">
        <f>IF(A62=0,0,SUMIFS([1]Poblacion!E:E,[1]Poblacion!A:A,'MASTER-2025'!A62))</f>
        <v>#VALUE!</v>
      </c>
      <c r="BH62" s="22" t="e">
        <f>IF(A62=0,0,SUMIFS([1]Poblacion!F:F,[1]Poblacion!A:A,'MASTER-2025'!A62))</f>
        <v>#VALUE!</v>
      </c>
      <c r="BI62" s="22" t="e">
        <f t="shared" si="18"/>
        <v>#VALUE!</v>
      </c>
      <c r="BJ62" s="23" t="e">
        <f t="shared" si="7"/>
        <v>#VALUE!</v>
      </c>
      <c r="BK62" s="22" t="e">
        <f>IF(A62=0,0,SUMIFS([1]Poblacion!G:G,[1]Poblacion!A:A,'MASTER-2025'!A62))</f>
        <v>#VALUE!</v>
      </c>
      <c r="BL62" s="24" cm="1">
        <f t="array" ref="BL62:BW62">IFERROR(VLOOKUP(A62,'[1]Acum-OB-kg-pob-25'!A:AQ,{3,4,5,6,7,8,9,10,11,12,13,14},0),0)</f>
        <v>0</v>
      </c>
      <c r="BM62" s="24">
        <v>0</v>
      </c>
      <c r="BN62" s="24">
        <v>19</v>
      </c>
      <c r="BO62" s="24">
        <v>0</v>
      </c>
      <c r="BP62" s="24">
        <v>0</v>
      </c>
      <c r="BQ62" s="24">
        <v>0</v>
      </c>
      <c r="BR62" s="24">
        <v>0</v>
      </c>
      <c r="BS62" s="24">
        <v>0</v>
      </c>
      <c r="BT62" s="24">
        <v>0</v>
      </c>
      <c r="BU62" s="24">
        <v>0</v>
      </c>
      <c r="BV62" s="24">
        <v>0</v>
      </c>
      <c r="BW62" s="24">
        <v>0</v>
      </c>
      <c r="BX62" s="24">
        <f t="shared" si="8"/>
        <v>19</v>
      </c>
      <c r="BY62" s="25" cm="1">
        <f t="array" ref="BY62:CJ62">IFERROR(VLOOKUP(A62,'[1]Acum-OB-kg-pob-25'!A:AQ,{17,18,19,20,21,22,23,24,25,26,27,28},0),0)</f>
        <v>0</v>
      </c>
      <c r="BZ62" s="25">
        <v>61</v>
      </c>
      <c r="CA62" s="25">
        <v>64</v>
      </c>
      <c r="CB62" s="25">
        <v>0</v>
      </c>
      <c r="CC62" s="25">
        <v>0</v>
      </c>
      <c r="CD62" s="25">
        <v>0</v>
      </c>
      <c r="CE62" s="25">
        <v>0</v>
      </c>
      <c r="CF62" s="25">
        <v>0</v>
      </c>
      <c r="CG62" s="25">
        <v>0</v>
      </c>
      <c r="CH62" s="25">
        <v>0</v>
      </c>
      <c r="CI62" s="25">
        <v>0</v>
      </c>
      <c r="CJ62" s="25">
        <v>0</v>
      </c>
      <c r="CK62" s="25">
        <f t="shared" si="9"/>
        <v>125</v>
      </c>
      <c r="CL62" s="26" cm="1">
        <f t="array" ref="CL62:CW62">IFERROR(VLOOKUP(A62,'[1]Acum-OB-kg-pob-25'!A:AQ,{31,32,33,34,35,36,37,38,39,40,41,42},0),0)</f>
        <v>0</v>
      </c>
      <c r="CM62" s="26">
        <v>0</v>
      </c>
      <c r="CN62" s="26">
        <v>3747</v>
      </c>
      <c r="CO62" s="26">
        <v>0</v>
      </c>
      <c r="CP62" s="26">
        <v>0</v>
      </c>
      <c r="CQ62" s="26">
        <v>0</v>
      </c>
      <c r="CR62" s="26">
        <v>0</v>
      </c>
      <c r="CS62" s="26">
        <v>0</v>
      </c>
      <c r="CT62" s="26">
        <v>0</v>
      </c>
      <c r="CU62" s="26">
        <v>0</v>
      </c>
      <c r="CV62" s="26">
        <v>0</v>
      </c>
      <c r="CW62" s="26">
        <v>0</v>
      </c>
      <c r="CX62" s="26">
        <f t="shared" si="10"/>
        <v>3747</v>
      </c>
      <c r="CY62" s="14" t="str">
        <f>IF(A62=0,0,IFERROR(VLOOKUP(A62,'[1]Info Donantes'!C:F,2,0),"Sin Contacto"))</f>
        <v>Sin Contacto</v>
      </c>
      <c r="CZ62" s="14" t="str">
        <f>IF(A62=0,0,IFERROR(VLOOKUP(A62,'[1]Info Donantes'!C:F,3,0),"Sin Correo"))</f>
        <v>Sin Correo</v>
      </c>
      <c r="DA62" s="14" t="str">
        <f>IF(A62=0,0,IFERROR(VLOOKUP(A62,'[1]Info Donantes'!C:F,4,0),"Sin Telefono"))</f>
        <v>Sin Telefono</v>
      </c>
      <c r="DB62" s="14" t="str">
        <f>IF(A62=0,0,"Reporte de Trazabiidad"&amp;" - "&amp;'[1]Resumen Donantes'!$C$2&amp;" - "&amp;A62&amp;"")</f>
        <v>Reporte de Trazabiidad -  - MELO FARMA, S.A.</v>
      </c>
    </row>
    <row r="63" spans="1:106" x14ac:dyDescent="0.55000000000000004">
      <c r="A63" s="31" t="s">
        <v>167</v>
      </c>
      <c r="B63" s="15">
        <f>INT(IFERROR(VLOOKUP(A63,'[1]Resumen Donantes'!C:F,3,0),0))</f>
        <v>0</v>
      </c>
      <c r="C63" s="15">
        <f>INT(ROUND(IFERROR(VLOOKUP(A63,'[1]Resumen Donantes'!C:F,4,0),0),1))</f>
        <v>3483</v>
      </c>
      <c r="D63" s="16">
        <f t="shared" si="19"/>
        <v>3483</v>
      </c>
      <c r="E63" s="17" t="str">
        <f t="shared" si="20"/>
        <v>100.00%</v>
      </c>
      <c r="F63" s="17" t="str">
        <f t="shared" si="21"/>
        <v>0.0%</v>
      </c>
      <c r="G63" s="15">
        <f t="shared" si="25"/>
        <v>10449</v>
      </c>
      <c r="H63" s="18"/>
      <c r="I63" s="18">
        <f>IFERROR(VLOOKUP(A63,'[1]Lot All by Part'!T:Y,6,0),0)</f>
        <v>0</v>
      </c>
      <c r="J63" s="18"/>
      <c r="K63" s="19">
        <f>IFERROR(VLOOKUP($A63,'[1]OB Atendidas por Donantes'!A:N,3,0),0)</f>
        <v>20</v>
      </c>
      <c r="L63" s="19">
        <f>ROUNDUP(IF(A63=0,0,IFERROR(VLOOKUP($A63,'[1]Kilos Asignado del Donante'!A:O,3,0),0)),0)</f>
        <v>897</v>
      </c>
      <c r="M63" s="19">
        <f>IF(A63=0,0,IFERROR(SUMIFS([1]Poblacion!M:M,[1]Poblacion!J:J,'MASTER-2025'!A63),0))</f>
        <v>0</v>
      </c>
      <c r="N63" s="20">
        <f>IFERROR(VLOOKUP($A63,'[1]OB Atendidas por Donantes'!A:N,4,0),0)</f>
        <v>32</v>
      </c>
      <c r="O63" s="20">
        <f>ROUNDUP(IF(A63=0,0,IFERROR(VLOOKUP($A63,'[1]Kilos Asignado del Donante'!A:O,4,0),0)),0)</f>
        <v>386</v>
      </c>
      <c r="P63" s="20">
        <f>IF(A63=0,0,IFERROR(SUMIFS([1]Poblacion!N:N,[1]Poblacion!J:J,'MASTER-2025'!A63),0))</f>
        <v>0</v>
      </c>
      <c r="Q63" s="18">
        <f>IFERROR(VLOOKUP($A63,'[1]OB Atendidas por Donantes'!A:N,2,0),0)</f>
        <v>5</v>
      </c>
      <c r="R63" s="18">
        <f>ROUNDUP(ROUND(IF(A63=0,0,IFERROR(VLOOKUP($A63,'[1]Kilos Asignado del Donante'!A:O,9,0),0)),1),0)</f>
        <v>40</v>
      </c>
      <c r="S63" s="18">
        <f>IF(A63=0,0,IFERROR(SUMIFS([1]Poblacion!S:S,[1]Poblacion!J:J,'MASTER-2025'!A63),0))</f>
        <v>0</v>
      </c>
      <c r="T63" s="19">
        <f>IFERROR(VLOOKUP($A63,'[1]OB Atendidas por Donantes'!A:N,12,0),0)</f>
        <v>4</v>
      </c>
      <c r="U63" s="19">
        <f>ROUNDUP(IF(A63=0,0,IF(A63=0,0,IFERROR(VLOOKUP($A63,'[1]Kilos Asignado del Donante'!A:O,7,0),0))),0)</f>
        <v>101</v>
      </c>
      <c r="V63" s="19">
        <f>IF(A63=0,0,IFERROR(SUMIFS([1]Poblacion!Q:Q,[1]Poblacion!J:J,'MASTER-2025'!A63),0))</f>
        <v>0</v>
      </c>
      <c r="W63" s="20">
        <f>IFERROR(VLOOKUP($A63,'[1]OB Atendidas por Donantes'!A:N,10,0),0)</f>
        <v>14</v>
      </c>
      <c r="X63" s="20">
        <f>ROUNDUP(IF(A63=0,0,IFERROR(VLOOKUP($A63,'[1]Kilos Asignado del Donante'!A:N,5,0),0)),0)</f>
        <v>147</v>
      </c>
      <c r="Y63" s="20">
        <f>IF(A63=0,0,IFERROR(SUMIFS([1]Poblacion!O:O,[1]Poblacion!J:J,'MASTER-2025'!A63),0))</f>
        <v>0</v>
      </c>
      <c r="Z63" s="18">
        <f>IFERROR(VLOOKUP($A63,'[1]OB Atendidas por Donantes'!A:N,6,0),0)</f>
        <v>0</v>
      </c>
      <c r="AA63" s="18">
        <f>ROUNDUP(IF(A63=0,0,IFERROR(VLOOKUP($A63,'[1]Kilos Asignado del Donante'!A:N,11,0),0)),0)</f>
        <v>0</v>
      </c>
      <c r="AB63" s="18">
        <f>IF(A63=0,0,IFERROR(SUMIFS([1]Poblacion!U:U,[1]Poblacion!J:J,'MASTER-2025'!A63),0))</f>
        <v>0</v>
      </c>
      <c r="AC63" s="19">
        <f>IFERROR(VLOOKUP($A63,'[1]OB Atendidas por Donantes'!A:N,7,0),0)</f>
        <v>5</v>
      </c>
      <c r="AD63" s="19">
        <f>ROUNDUP(IF(A63=0,0,IFERROR(VLOOKUP($A63,'[1]Kilos Asignado del Donante'!A:N,8,0),0)),0)</f>
        <v>92</v>
      </c>
      <c r="AE63" s="19">
        <f>IF(A63=0,0,IFERROR(SUMIFS([1]Poblacion!R:R,[1]Poblacion!J:J,'MASTER-2025'!A63),0))</f>
        <v>0</v>
      </c>
      <c r="AF63" s="20">
        <f>IFERROR(VLOOKUP($A63,'[1]OB Atendidas por Donantes'!A:N,8,0),0)</f>
        <v>2</v>
      </c>
      <c r="AG63" s="20">
        <f>ROUNDUP(IF(A63=0,0,IFERROR(VLOOKUP($A63,'[1]Kilos Asignado del Donante'!A:N,6,0),0)),0)</f>
        <v>13</v>
      </c>
      <c r="AH63" s="20">
        <f>IF(A63=0,0,IFERROR(SUMIFS([1]Poblacion!P:P,[1]Poblacion!J:J,'MASTER-2025'!A63),0))</f>
        <v>0</v>
      </c>
      <c r="AI63" s="18">
        <f>IFERROR(VLOOKUP($A63,'[1]OB Atendidas por Donantes'!A:N,9,0),0)</f>
        <v>1</v>
      </c>
      <c r="AJ63" s="18">
        <f>ROUNDUP(IF(A63=0,0,IFERROR(VLOOKUP($A63,'[1]Kilos Asignado del Donante'!A:N,12,0),0)),0)</f>
        <v>8</v>
      </c>
      <c r="AK63" s="18">
        <f>IF(A63=0,0,IFERROR(SUMIFS([1]Poblacion!V:V,[1]Poblacion!J:J,'MASTER-2025'!A63),0))</f>
        <v>0</v>
      </c>
      <c r="AL63" s="19">
        <f>IFERROR(VLOOKUP($A63,'[1]OB Atendidas por Donantes'!A:N,16,0),0)</f>
        <v>0</v>
      </c>
      <c r="AM63" s="19">
        <f>ROUNDUP(IF(A63=0,0,IFERROR(VLOOKUP($A63,'[1]Kilos Asignado del Donante'!A:O,16,0),0)),0)</f>
        <v>0</v>
      </c>
      <c r="AN63" s="19">
        <f>IF(A63=0,0,IFERROR(SUMIFS([1]Poblacion!Z:Z,[1]Poblacion!J:J,'MASTER-2025'!A63),0))</f>
        <v>0</v>
      </c>
      <c r="AO63" s="20">
        <f>IFERROR(VLOOKUP($A63,'[1]OB Atendidas por Donantes'!A:N,11,0),0)</f>
        <v>0</v>
      </c>
      <c r="AP63" s="20">
        <f>ROUNDUP(IF(A63=0,0,IFERROR(VLOOKUP($A63,'[1]Kilos Asignado del Donante'!A:N,13,0),0)),0)</f>
        <v>0</v>
      </c>
      <c r="AQ63" s="20">
        <f>IF(A63=0,0,IFERROR(SUMIFS([1]Poblacion!W:W,[1]Poblacion!J:J,'MASTER-2025'!A63),0))</f>
        <v>0</v>
      </c>
      <c r="AR63" s="18">
        <f>IFERROR(VLOOKUP($A63,'[1]OB Atendidas por Donantes'!A:N,5,0),0)</f>
        <v>4</v>
      </c>
      <c r="AS63" s="18">
        <f>ROUNDUP(IF(A63=0,0,IFERROR(VLOOKUP($A63,'[1]Kilos Asignado del Donante'!A:N,10,0),0)),0)</f>
        <v>30</v>
      </c>
      <c r="AT63" s="18">
        <f>IF(A63=0,0,IFERROR(SUMIFS([1]Poblacion!T:T,[1]Poblacion!J:J,'MASTER-2025'!A63),0))</f>
        <v>0</v>
      </c>
      <c r="AU63" s="19">
        <f>IFERROR(VLOOKUP($A63,'[1]OB Atendidas por Donantes'!A:N,13,0),0)</f>
        <v>0</v>
      </c>
      <c r="AV63" s="19">
        <f>ROUNDUP(IF(A63=0,0,IFERROR(VLOOKUP($A63,'[1]Kilos Asignado del Donante'!A:N,14,0),0)),0)</f>
        <v>0</v>
      </c>
      <c r="AW63" s="19">
        <f>IF(A63=0,0,IFERROR(SUMIFS([1]Poblacion!X:X,[1]Poblacion!J:J,'MASTER-2025'!A63),0))</f>
        <v>0</v>
      </c>
      <c r="AX63" s="20">
        <f>IFERROR(VLOOKUP($A63,'[1]OB Atendidas por Donantes'!A:N,16,0),0)</f>
        <v>0</v>
      </c>
      <c r="AY63" s="20">
        <f>ROUNDUP(IF(A63=0,0,IFERROR(VLOOKUP($A63,'[1]Kilos Asignado del Donante'!A:O,16,0),0)),0)</f>
        <v>0</v>
      </c>
      <c r="AZ63" s="20">
        <f>IF(A63=0,0,IFERROR(SUMIFS([1]Poblacion!Y:Y,[1]Poblacion!J:J,'MASTER-2025'!A63),0))</f>
        <v>0</v>
      </c>
      <c r="BA63" s="21">
        <f t="shared" si="15"/>
        <v>87</v>
      </c>
      <c r="BB63" s="21">
        <f t="shared" si="29"/>
        <v>1714</v>
      </c>
      <c r="BC63" s="21">
        <f t="shared" si="24"/>
        <v>1424</v>
      </c>
      <c r="BD63" s="21">
        <f t="shared" si="26"/>
        <v>0</v>
      </c>
      <c r="BE63" s="22" t="e">
        <f>IF(A63=0,0,SUMIFS([1]Poblacion!C:C,[1]Poblacion!A:A,'MASTER-2025'!A63))</f>
        <v>#VALUE!</v>
      </c>
      <c r="BF63" s="22" t="e">
        <f>IF(A63=0,0,SUMIFS([1]Poblacion!D:D,[1]Poblacion!A:A,'MASTER-2025'!A63))</f>
        <v>#VALUE!</v>
      </c>
      <c r="BG63" s="22" t="e">
        <f>IF(A63=0,0,SUMIFS([1]Poblacion!E:E,[1]Poblacion!A:A,'MASTER-2025'!A63))</f>
        <v>#VALUE!</v>
      </c>
      <c r="BH63" s="22" t="e">
        <f>IF(A63=0,0,SUMIFS([1]Poblacion!F:F,[1]Poblacion!A:A,'MASTER-2025'!A63))</f>
        <v>#VALUE!</v>
      </c>
      <c r="BI63" s="22" t="e">
        <f t="shared" si="18"/>
        <v>#VALUE!</v>
      </c>
      <c r="BJ63" s="23" t="e">
        <f t="shared" si="7"/>
        <v>#VALUE!</v>
      </c>
      <c r="BK63" s="22" t="e">
        <f>IF(A63=0,0,SUMIFS([1]Poblacion!G:G,[1]Poblacion!A:A,'MASTER-2025'!A63))</f>
        <v>#VALUE!</v>
      </c>
      <c r="BL63" s="24" cm="1">
        <f t="array" ref="BL63:BW63">IFERROR(VLOOKUP(A63,'[1]Acum-OB-kg-pob-25'!A:AQ,{3,4,5,6,7,8,9,10,11,12,13,14},0),0)</f>
        <v>0</v>
      </c>
      <c r="BM63" s="24">
        <v>0</v>
      </c>
      <c r="BN63" s="24">
        <v>87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0</v>
      </c>
      <c r="BX63" s="24">
        <f t="shared" si="8"/>
        <v>87</v>
      </c>
      <c r="BY63" s="25" cm="1">
        <f t="array" ref="BY63:CJ63">IFERROR(VLOOKUP(A63,'[1]Acum-OB-kg-pob-25'!A:AQ,{17,18,19,20,21,22,23,24,25,26,27,28},0),0)</f>
        <v>0</v>
      </c>
      <c r="BZ63" s="25">
        <v>0</v>
      </c>
      <c r="CA63" s="25">
        <v>3483</v>
      </c>
      <c r="CB63" s="25">
        <v>0</v>
      </c>
      <c r="CC63" s="25">
        <v>0</v>
      </c>
      <c r="CD63" s="25">
        <v>0</v>
      </c>
      <c r="CE63" s="25">
        <v>0</v>
      </c>
      <c r="CF63" s="25">
        <v>0</v>
      </c>
      <c r="CG63" s="25">
        <v>0</v>
      </c>
      <c r="CH63" s="25">
        <v>0</v>
      </c>
      <c r="CI63" s="25">
        <v>0</v>
      </c>
      <c r="CJ63" s="25">
        <v>0</v>
      </c>
      <c r="CK63" s="25">
        <f t="shared" si="9"/>
        <v>3483</v>
      </c>
      <c r="CL63" s="26" cm="1">
        <f t="array" ref="CL63:CW63">IFERROR(VLOOKUP(A63,'[1]Acum-OB-kg-pob-25'!A:AQ,{31,32,33,34,35,36,37,38,39,40,41,42},0),0)</f>
        <v>0</v>
      </c>
      <c r="CM63" s="26">
        <v>0</v>
      </c>
      <c r="CN63" s="26">
        <v>30032</v>
      </c>
      <c r="CO63" s="26">
        <v>0</v>
      </c>
      <c r="CP63" s="26">
        <v>0</v>
      </c>
      <c r="CQ63" s="26">
        <v>0</v>
      </c>
      <c r="CR63" s="26">
        <v>0</v>
      </c>
      <c r="CS63" s="26">
        <v>0</v>
      </c>
      <c r="CT63" s="26">
        <v>0</v>
      </c>
      <c r="CU63" s="26">
        <v>0</v>
      </c>
      <c r="CV63" s="26">
        <v>0</v>
      </c>
      <c r="CW63" s="26">
        <v>0</v>
      </c>
      <c r="CX63" s="26">
        <f t="shared" si="10"/>
        <v>30032</v>
      </c>
      <c r="CY63" s="14" t="str">
        <f>IF(A63=0,0,IFERROR(VLOOKUP(A63,'[1]Info Donantes'!C:F,2,0),"Sin Contacto"))</f>
        <v>Ricardo Larrea</v>
      </c>
      <c r="CZ63" s="14" t="str">
        <f>IF(A63=0,0,IFERROR(VLOOKUP(A63,'[1]Info Donantes'!C:F,3,0),"Sin Correo"))</f>
        <v>ricardo@cialimentos.com</v>
      </c>
      <c r="DA63" s="14" t="str">
        <f>IF(A63=0,0,IFERROR(VLOOKUP(A63,'[1]Info Donantes'!C:F,4,0),"Sin Telefono"))</f>
        <v>291-0300/291-0415</v>
      </c>
      <c r="DB63" s="14" t="str">
        <f>IF(A63=0,0,"Reporte de Trazabiidad"&amp;" - "&amp;'[1]Resumen Donantes'!$C$2&amp;" - "&amp;A63&amp;"")</f>
        <v>Reporte de Trazabiidad -  - MERCALIMENTOS PANAMA, S.A</v>
      </c>
    </row>
    <row r="64" spans="1:106" x14ac:dyDescent="0.55000000000000004">
      <c r="A64" s="31" t="s">
        <v>168</v>
      </c>
      <c r="B64" s="15">
        <f>INT(IFERROR(VLOOKUP(A64,'[1]Resumen Donantes'!C:F,3,0),0))</f>
        <v>0</v>
      </c>
      <c r="C64" s="15">
        <f>INT(ROUND(IFERROR(VLOOKUP(A64,'[1]Resumen Donantes'!C:F,4,0),0),1))</f>
        <v>0</v>
      </c>
      <c r="D64" s="16">
        <f t="shared" si="19"/>
        <v>0</v>
      </c>
      <c r="E64" s="17" t="str">
        <f t="shared" si="20"/>
        <v>0.00%</v>
      </c>
      <c r="F64" s="17" t="str">
        <f t="shared" si="21"/>
        <v>0.0%</v>
      </c>
      <c r="G64" s="15">
        <f t="shared" si="25"/>
        <v>0</v>
      </c>
      <c r="H64" s="18"/>
      <c r="I64" s="18">
        <f>IFERROR(VLOOKUP(A64,'[1]Lot All by Part'!T:Y,6,0),0)</f>
        <v>0</v>
      </c>
      <c r="J64" s="18"/>
      <c r="K64" s="19">
        <f>IFERROR(VLOOKUP($A64,'[1]OB Atendidas por Donantes'!A:N,3,0),0)</f>
        <v>0</v>
      </c>
      <c r="L64" s="19">
        <f>ROUNDUP(IF(A64=0,0,IFERROR(VLOOKUP($A64,'[1]Kilos Asignado del Donante'!A:O,3,0),0)),0)</f>
        <v>0</v>
      </c>
      <c r="M64" s="19">
        <f>IF(A64=0,0,IFERROR(SUMIFS([1]Poblacion!M:M,[1]Poblacion!J:J,'MASTER-2025'!A64),0))</f>
        <v>0</v>
      </c>
      <c r="N64" s="20">
        <f>IFERROR(VLOOKUP($A64,'[1]OB Atendidas por Donantes'!A:N,4,0),0)</f>
        <v>0</v>
      </c>
      <c r="O64" s="20">
        <f>ROUNDUP(IF(A64=0,0,IFERROR(VLOOKUP($A64,'[1]Kilos Asignado del Donante'!A:O,4,0),0)),0)</f>
        <v>0</v>
      </c>
      <c r="P64" s="20">
        <f>IF(A64=0,0,IFERROR(SUMIFS([1]Poblacion!N:N,[1]Poblacion!J:J,'MASTER-2025'!A64),0))</f>
        <v>0</v>
      </c>
      <c r="Q64" s="18">
        <f>IFERROR(VLOOKUP($A64,'[1]OB Atendidas por Donantes'!A:N,2,0),0)</f>
        <v>0</v>
      </c>
      <c r="R64" s="18">
        <f>ROUNDUP(ROUND(IF(A64=0,0,IFERROR(VLOOKUP($A64,'[1]Kilos Asignado del Donante'!A:O,9,0),0)),1),0)</f>
        <v>0</v>
      </c>
      <c r="S64" s="18">
        <f>IF(A64=0,0,IFERROR(SUMIFS([1]Poblacion!S:S,[1]Poblacion!J:J,'MASTER-2025'!A64),0))</f>
        <v>0</v>
      </c>
      <c r="T64" s="19">
        <f>IFERROR(VLOOKUP($A64,'[1]OB Atendidas por Donantes'!A:N,12,0),0)</f>
        <v>0</v>
      </c>
      <c r="U64" s="19">
        <f>ROUNDUP(IF(A64=0,0,IF(A64=0,0,IFERROR(VLOOKUP($A64,'[1]Kilos Asignado del Donante'!A:O,7,0),0))),0)</f>
        <v>0</v>
      </c>
      <c r="V64" s="19">
        <f>IF(A64=0,0,IFERROR(SUMIFS([1]Poblacion!Q:Q,[1]Poblacion!J:J,'MASTER-2025'!A64),0))</f>
        <v>0</v>
      </c>
      <c r="W64" s="20">
        <f>IFERROR(VLOOKUP($A64,'[1]OB Atendidas por Donantes'!A:N,10,0),0)</f>
        <v>0</v>
      </c>
      <c r="X64" s="20">
        <f>ROUNDUP(IF(A64=0,0,IFERROR(VLOOKUP($A64,'[1]Kilos Asignado del Donante'!A:N,5,0),0)),0)</f>
        <v>0</v>
      </c>
      <c r="Y64" s="20">
        <f>IF(A64=0,0,IFERROR(SUMIFS([1]Poblacion!O:O,[1]Poblacion!J:J,'MASTER-2025'!A64),0))</f>
        <v>0</v>
      </c>
      <c r="Z64" s="18">
        <f>IFERROR(VLOOKUP($A64,'[1]OB Atendidas por Donantes'!A:N,6,0),0)</f>
        <v>0</v>
      </c>
      <c r="AA64" s="18">
        <f>ROUNDUP(IF(A64=0,0,IFERROR(VLOOKUP($A64,'[1]Kilos Asignado del Donante'!A:N,11,0),0)),0)</f>
        <v>0</v>
      </c>
      <c r="AB64" s="18">
        <f>IF(A64=0,0,IFERROR(SUMIFS([1]Poblacion!U:U,[1]Poblacion!J:J,'MASTER-2025'!A64),0))</f>
        <v>0</v>
      </c>
      <c r="AC64" s="19">
        <f>IFERROR(VLOOKUP($A64,'[1]OB Atendidas por Donantes'!A:N,7,0),0)</f>
        <v>0</v>
      </c>
      <c r="AD64" s="19">
        <f>ROUNDUP(IF(A64=0,0,IFERROR(VLOOKUP($A64,'[1]Kilos Asignado del Donante'!A:N,8,0),0)),0)</f>
        <v>0</v>
      </c>
      <c r="AE64" s="19">
        <f>IF(A64=0,0,IFERROR(SUMIFS([1]Poblacion!R:R,[1]Poblacion!J:J,'MASTER-2025'!A64),0))</f>
        <v>0</v>
      </c>
      <c r="AF64" s="20">
        <f>IFERROR(VLOOKUP($A64,'[1]OB Atendidas por Donantes'!A:N,8,0),0)</f>
        <v>0</v>
      </c>
      <c r="AG64" s="20">
        <f>ROUNDUP(IF(A64=0,0,IFERROR(VLOOKUP($A64,'[1]Kilos Asignado del Donante'!A:N,6,0),0)),0)</f>
        <v>0</v>
      </c>
      <c r="AH64" s="20">
        <f>IF(A64=0,0,IFERROR(SUMIFS([1]Poblacion!P:P,[1]Poblacion!J:J,'MASTER-2025'!A64),0))</f>
        <v>0</v>
      </c>
      <c r="AI64" s="18">
        <f>IFERROR(VLOOKUP($A64,'[1]OB Atendidas por Donantes'!A:N,9,0),0)</f>
        <v>0</v>
      </c>
      <c r="AJ64" s="18">
        <f>ROUNDUP(IF(A64=0,0,IFERROR(VLOOKUP($A64,'[1]Kilos Asignado del Donante'!A:N,12,0),0)),0)</f>
        <v>0</v>
      </c>
      <c r="AK64" s="18">
        <f>IF(A64=0,0,IFERROR(SUMIFS([1]Poblacion!V:V,[1]Poblacion!J:J,'MASTER-2025'!A64),0))</f>
        <v>0</v>
      </c>
      <c r="AL64" s="19">
        <f>IFERROR(VLOOKUP($A64,'[1]OB Atendidas por Donantes'!A:N,16,0),0)</f>
        <v>0</v>
      </c>
      <c r="AM64" s="19">
        <f>ROUNDUP(IF(A64=0,0,IFERROR(VLOOKUP($A64,'[1]Kilos Asignado del Donante'!A:O,16,0),0)),0)</f>
        <v>0</v>
      </c>
      <c r="AN64" s="19">
        <f>IF(A64=0,0,IFERROR(SUMIFS([1]Poblacion!Z:Z,[1]Poblacion!J:J,'MASTER-2025'!A64),0))</f>
        <v>0</v>
      </c>
      <c r="AO64" s="20">
        <f>IFERROR(VLOOKUP($A64,'[1]OB Atendidas por Donantes'!A:N,11,0),0)</f>
        <v>0</v>
      </c>
      <c r="AP64" s="20">
        <f>ROUNDUP(IF(A64=0,0,IFERROR(VLOOKUP($A64,'[1]Kilos Asignado del Donante'!A:N,13,0),0)),0)</f>
        <v>0</v>
      </c>
      <c r="AQ64" s="20">
        <f>IF(A64=0,0,IFERROR(SUMIFS([1]Poblacion!W:W,[1]Poblacion!J:J,'MASTER-2025'!A64),0))</f>
        <v>0</v>
      </c>
      <c r="AR64" s="18">
        <f>IFERROR(VLOOKUP($A64,'[1]OB Atendidas por Donantes'!A:N,5,0),0)</f>
        <v>0</v>
      </c>
      <c r="AS64" s="18">
        <f>ROUNDUP(IF(A64=0,0,IFERROR(VLOOKUP($A64,'[1]Kilos Asignado del Donante'!A:N,10,0),0)),0)</f>
        <v>0</v>
      </c>
      <c r="AT64" s="18">
        <f>IF(A64=0,0,IFERROR(SUMIFS([1]Poblacion!T:T,[1]Poblacion!J:J,'MASTER-2025'!A64),0))</f>
        <v>0</v>
      </c>
      <c r="AU64" s="19">
        <f>IFERROR(VLOOKUP($A64,'[1]OB Atendidas por Donantes'!A:N,13,0),0)</f>
        <v>0</v>
      </c>
      <c r="AV64" s="19">
        <f>ROUNDUP(IF(A64=0,0,IFERROR(VLOOKUP($A64,'[1]Kilos Asignado del Donante'!A:N,14,0),0)),0)</f>
        <v>0</v>
      </c>
      <c r="AW64" s="19">
        <f>IF(A64=0,0,IFERROR(SUMIFS([1]Poblacion!X:X,[1]Poblacion!J:J,'MASTER-2025'!A64),0))</f>
        <v>0</v>
      </c>
      <c r="AX64" s="20">
        <f>IFERROR(VLOOKUP($A64,'[1]OB Atendidas por Donantes'!A:N,16,0),0)</f>
        <v>0</v>
      </c>
      <c r="AY64" s="20">
        <f>ROUNDUP(IF(A64=0,0,IFERROR(VLOOKUP($A64,'[1]Kilos Asignado del Donante'!A:O,16,0),0)),0)</f>
        <v>0</v>
      </c>
      <c r="AZ64" s="20">
        <f>IF(A64=0,0,IFERROR(SUMIFS([1]Poblacion!Y:Y,[1]Poblacion!J:J,'MASTER-2025'!A64),0))</f>
        <v>0</v>
      </c>
      <c r="BA64" s="21">
        <f t="shared" si="15"/>
        <v>0</v>
      </c>
      <c r="BB64" s="21">
        <f t="shared" si="29"/>
        <v>0</v>
      </c>
      <c r="BC64" s="21">
        <f t="shared" si="24"/>
        <v>0</v>
      </c>
      <c r="BD64" s="21">
        <f t="shared" si="26"/>
        <v>0</v>
      </c>
      <c r="BE64" s="22" t="e">
        <f>IF(A64=0,0,SUMIFS([1]Poblacion!C:C,[1]Poblacion!A:A,'MASTER-2025'!A64))</f>
        <v>#VALUE!</v>
      </c>
      <c r="BF64" s="22" t="e">
        <f>IF(A64=0,0,SUMIFS([1]Poblacion!D:D,[1]Poblacion!A:A,'MASTER-2025'!A64))</f>
        <v>#VALUE!</v>
      </c>
      <c r="BG64" s="22" t="e">
        <f>IF(A64=0,0,SUMIFS([1]Poblacion!E:E,[1]Poblacion!A:A,'MASTER-2025'!A64))</f>
        <v>#VALUE!</v>
      </c>
      <c r="BH64" s="22" t="e">
        <f>IF(A64=0,0,SUMIFS([1]Poblacion!F:F,[1]Poblacion!A:A,'MASTER-2025'!A64))</f>
        <v>#VALUE!</v>
      </c>
      <c r="BI64" s="22" t="e">
        <f t="shared" si="18"/>
        <v>#VALUE!</v>
      </c>
      <c r="BJ64" s="23" t="e">
        <f t="shared" si="7"/>
        <v>#VALUE!</v>
      </c>
      <c r="BK64" s="22" t="e">
        <f>IF(A64=0,0,SUMIFS([1]Poblacion!G:G,[1]Poblacion!A:A,'MASTER-2025'!A64))</f>
        <v>#VALUE!</v>
      </c>
      <c r="BL64" s="24" cm="1">
        <f t="array" ref="BL64:BW64">IFERROR(VLOOKUP(A64,'[1]Acum-OB-kg-pob-25'!A:AQ,{3,4,5,6,7,8,9,10,11,12,13,14},0),0)</f>
        <v>0</v>
      </c>
      <c r="BM64" s="24">
        <v>0</v>
      </c>
      <c r="BN64" s="24">
        <v>0</v>
      </c>
      <c r="BO64" s="24">
        <v>0</v>
      </c>
      <c r="BP64" s="24">
        <v>0</v>
      </c>
      <c r="BQ64" s="24">
        <v>0</v>
      </c>
      <c r="BR64" s="24">
        <v>0</v>
      </c>
      <c r="BS64" s="24">
        <v>0</v>
      </c>
      <c r="BT64" s="24">
        <v>0</v>
      </c>
      <c r="BU64" s="24">
        <v>0</v>
      </c>
      <c r="BV64" s="24">
        <v>0</v>
      </c>
      <c r="BW64" s="24">
        <v>0</v>
      </c>
      <c r="BX64" s="24">
        <f t="shared" si="8"/>
        <v>0</v>
      </c>
      <c r="BY64" s="25" cm="1">
        <f t="array" ref="BY64:CJ64">IFERROR(VLOOKUP(A64,'[1]Acum-OB-kg-pob-25'!A:AQ,{17,18,19,20,21,22,23,24,25,26,27,28},0),0)</f>
        <v>0</v>
      </c>
      <c r="BZ64" s="25">
        <v>0</v>
      </c>
      <c r="CA64" s="25">
        <v>0</v>
      </c>
      <c r="CB64" s="25">
        <v>0</v>
      </c>
      <c r="CC64" s="25">
        <v>0</v>
      </c>
      <c r="CD64" s="25">
        <v>0</v>
      </c>
      <c r="CE64" s="25">
        <v>0</v>
      </c>
      <c r="CF64" s="25">
        <v>0</v>
      </c>
      <c r="CG64" s="25">
        <v>0</v>
      </c>
      <c r="CH64" s="25">
        <v>0</v>
      </c>
      <c r="CI64" s="25">
        <v>0</v>
      </c>
      <c r="CJ64" s="25">
        <v>0</v>
      </c>
      <c r="CK64" s="25">
        <f t="shared" si="9"/>
        <v>0</v>
      </c>
      <c r="CL64" s="26" cm="1">
        <f t="array" ref="CL64:CW64">IFERROR(VLOOKUP(A64,'[1]Acum-OB-kg-pob-25'!A:AQ,{31,32,33,34,35,36,37,38,39,40,41,42},0),0)</f>
        <v>0</v>
      </c>
      <c r="CM64" s="26">
        <v>0</v>
      </c>
      <c r="CN64" s="26">
        <v>0</v>
      </c>
      <c r="CO64" s="26">
        <v>0</v>
      </c>
      <c r="CP64" s="26">
        <v>0</v>
      </c>
      <c r="CQ64" s="26">
        <v>0</v>
      </c>
      <c r="CR64" s="26">
        <v>0</v>
      </c>
      <c r="CS64" s="26">
        <v>0</v>
      </c>
      <c r="CT64" s="26">
        <v>0</v>
      </c>
      <c r="CU64" s="26">
        <v>0</v>
      </c>
      <c r="CV64" s="26">
        <v>0</v>
      </c>
      <c r="CW64" s="26">
        <v>0</v>
      </c>
      <c r="CX64" s="26">
        <f t="shared" si="10"/>
        <v>0</v>
      </c>
      <c r="CY64" s="14" t="str">
        <f>IF(A64=0,0,IFERROR(VLOOKUP(A64,'[1]Info Donantes'!C:F,2,0),"Sin Contacto"))</f>
        <v>Clemente Ramos</v>
      </c>
      <c r="CZ64" s="14" t="str">
        <f>IF(A64=0,0,IFERROR(VLOOKUP(A64,'[1]Info Donantes'!C:F,3,0),"Sin Correo"))</f>
        <v>logistica@nathanfoods.com</v>
      </c>
      <c r="DA64" s="14">
        <f>IF(A64=0,0,IFERROR(VLOOKUP(A64,'[1]Info Donantes'!C:F,4,0),"Sin Telefono"))</f>
        <v>0</v>
      </c>
      <c r="DB64" s="14" t="str">
        <f>IF(A64=0,0,"Reporte de Trazabiidad"&amp;" - "&amp;'[1]Resumen Donantes'!$C$2&amp;" - "&amp;A64&amp;"")</f>
        <v>Reporte de Trazabiidad -  - NATHAN FOODS CORPORATION</v>
      </c>
    </row>
    <row r="65" spans="1:106" x14ac:dyDescent="0.55000000000000004">
      <c r="A65" s="31" t="s">
        <v>169</v>
      </c>
      <c r="B65" s="15">
        <f>INT(IFERROR(VLOOKUP(A65,'[1]Resumen Donantes'!C:F,3,0),0))</f>
        <v>0</v>
      </c>
      <c r="C65" s="15">
        <f>INT(ROUND(IFERROR(VLOOKUP(A65,'[1]Resumen Donantes'!C:F,4,0),0),1))</f>
        <v>0</v>
      </c>
      <c r="D65" s="16">
        <f t="shared" si="19"/>
        <v>0</v>
      </c>
      <c r="E65" s="17" t="str">
        <f t="shared" si="20"/>
        <v>0.00%</v>
      </c>
      <c r="F65" s="17" t="str">
        <f t="shared" si="21"/>
        <v>0.0%</v>
      </c>
      <c r="G65" s="15">
        <f t="shared" si="25"/>
        <v>0</v>
      </c>
      <c r="H65" s="18"/>
      <c r="I65" s="18">
        <f>IFERROR(VLOOKUP(A65,'[1]Lot All by Part'!T:Y,6,0),0)</f>
        <v>0</v>
      </c>
      <c r="J65" s="18"/>
      <c r="K65" s="19">
        <f>IFERROR(VLOOKUP($A65,'[1]OB Atendidas por Donantes'!A:N,3,0),0)</f>
        <v>0</v>
      </c>
      <c r="L65" s="19">
        <f>ROUNDUP(IF(A65=0,0,IFERROR(VLOOKUP($A65,'[1]Kilos Asignado del Donante'!A:O,3,0),0)),0)</f>
        <v>0</v>
      </c>
      <c r="M65" s="19">
        <f>IF(A65=0,0,IFERROR(SUMIFS([1]Poblacion!M:M,[1]Poblacion!J:J,'MASTER-2025'!A65),0))</f>
        <v>0</v>
      </c>
      <c r="N65" s="20">
        <f>IFERROR(VLOOKUP($A65,'[1]OB Atendidas por Donantes'!A:N,4,0),0)</f>
        <v>0</v>
      </c>
      <c r="O65" s="20">
        <f>ROUNDUP(IF(A65=0,0,IFERROR(VLOOKUP($A65,'[1]Kilos Asignado del Donante'!A:O,4,0),0)),0)</f>
        <v>0</v>
      </c>
      <c r="P65" s="20">
        <f>IF(A65=0,0,IFERROR(SUMIFS([1]Poblacion!N:N,[1]Poblacion!J:J,'MASTER-2025'!A65),0))</f>
        <v>0</v>
      </c>
      <c r="Q65" s="18">
        <f>IFERROR(VLOOKUP($A65,'[1]OB Atendidas por Donantes'!A:N,2,0),0)</f>
        <v>0</v>
      </c>
      <c r="R65" s="18">
        <f>ROUNDUP(ROUND(IF(A65=0,0,IFERROR(VLOOKUP($A65,'[1]Kilos Asignado del Donante'!A:O,9,0),0)),1),0)</f>
        <v>0</v>
      </c>
      <c r="S65" s="18">
        <f>IF(A65=0,0,IFERROR(SUMIFS([1]Poblacion!S:S,[1]Poblacion!J:J,'MASTER-2025'!A65),0))</f>
        <v>0</v>
      </c>
      <c r="T65" s="19">
        <f>IFERROR(VLOOKUP($A65,'[1]OB Atendidas por Donantes'!A:N,12,0),0)</f>
        <v>0</v>
      </c>
      <c r="U65" s="19">
        <f>ROUNDUP(IF(A65=0,0,IF(A65=0,0,IFERROR(VLOOKUP($A65,'[1]Kilos Asignado del Donante'!A:O,7,0),0))),0)</f>
        <v>0</v>
      </c>
      <c r="V65" s="19">
        <f>IF(A65=0,0,IFERROR(SUMIFS([1]Poblacion!Q:Q,[1]Poblacion!J:J,'MASTER-2025'!A65),0))</f>
        <v>0</v>
      </c>
      <c r="W65" s="20">
        <f>IFERROR(VLOOKUP($A65,'[1]OB Atendidas por Donantes'!A:N,10,0),0)</f>
        <v>0</v>
      </c>
      <c r="X65" s="20">
        <f>ROUNDUP(IF(A65=0,0,IFERROR(VLOOKUP($A65,'[1]Kilos Asignado del Donante'!A:N,5,0),0)),0)</f>
        <v>0</v>
      </c>
      <c r="Y65" s="20">
        <f>IF(A65=0,0,IFERROR(SUMIFS([1]Poblacion!O:O,[1]Poblacion!J:J,'MASTER-2025'!A65),0))</f>
        <v>0</v>
      </c>
      <c r="Z65" s="18">
        <f>IFERROR(VLOOKUP($A65,'[1]OB Atendidas por Donantes'!A:N,6,0),0)</f>
        <v>0</v>
      </c>
      <c r="AA65" s="18">
        <f>ROUNDUP(IF(A65=0,0,IFERROR(VLOOKUP($A65,'[1]Kilos Asignado del Donante'!A:N,11,0),0)),0)</f>
        <v>0</v>
      </c>
      <c r="AB65" s="18">
        <f>IF(A65=0,0,IFERROR(SUMIFS([1]Poblacion!U:U,[1]Poblacion!J:J,'MASTER-2025'!A65),0))</f>
        <v>0</v>
      </c>
      <c r="AC65" s="19">
        <f>IFERROR(VLOOKUP($A65,'[1]OB Atendidas por Donantes'!A:N,7,0),0)</f>
        <v>0</v>
      </c>
      <c r="AD65" s="19">
        <f>ROUNDUP(IF(A65=0,0,IFERROR(VLOOKUP($A65,'[1]Kilos Asignado del Donante'!A:N,8,0),0)),0)</f>
        <v>0</v>
      </c>
      <c r="AE65" s="19">
        <f>IF(A65=0,0,IFERROR(SUMIFS([1]Poblacion!R:R,[1]Poblacion!J:J,'MASTER-2025'!A65),0))</f>
        <v>0</v>
      </c>
      <c r="AF65" s="20">
        <f>IFERROR(VLOOKUP($A65,'[1]OB Atendidas por Donantes'!A:N,8,0),0)</f>
        <v>0</v>
      </c>
      <c r="AG65" s="20">
        <f>ROUNDUP(IF(A65=0,0,IFERROR(VLOOKUP($A65,'[1]Kilos Asignado del Donante'!A:N,6,0),0)),0)</f>
        <v>0</v>
      </c>
      <c r="AH65" s="20">
        <f>IF(A65=0,0,IFERROR(SUMIFS([1]Poblacion!P:P,[1]Poblacion!J:J,'MASTER-2025'!A65),0))</f>
        <v>0</v>
      </c>
      <c r="AI65" s="18">
        <f>IFERROR(VLOOKUP($A65,'[1]OB Atendidas por Donantes'!A:N,9,0),0)</f>
        <v>0</v>
      </c>
      <c r="AJ65" s="18">
        <f>ROUNDUP(IF(A65=0,0,IFERROR(VLOOKUP($A65,'[1]Kilos Asignado del Donante'!A:N,12,0),0)),0)</f>
        <v>0</v>
      </c>
      <c r="AK65" s="18">
        <f>IF(A65=0,0,IFERROR(SUMIFS([1]Poblacion!V:V,[1]Poblacion!J:J,'MASTER-2025'!A65),0))</f>
        <v>0</v>
      </c>
      <c r="AL65" s="19">
        <f>IFERROR(VLOOKUP($A65,'[1]OB Atendidas por Donantes'!A:N,16,0),0)</f>
        <v>0</v>
      </c>
      <c r="AM65" s="19">
        <f>ROUNDUP(IF(A65=0,0,IFERROR(VLOOKUP($A65,'[1]Kilos Asignado del Donante'!A:O,16,0),0)),0)</f>
        <v>0</v>
      </c>
      <c r="AN65" s="19">
        <f>IF(A65=0,0,IFERROR(SUMIFS([1]Poblacion!Z:Z,[1]Poblacion!J:J,'MASTER-2025'!A65),0))</f>
        <v>0</v>
      </c>
      <c r="AO65" s="20">
        <f>IFERROR(VLOOKUP($A65,'[1]OB Atendidas por Donantes'!A:N,11,0),0)</f>
        <v>0</v>
      </c>
      <c r="AP65" s="20">
        <f>ROUNDUP(IF(A65=0,0,IFERROR(VLOOKUP($A65,'[1]Kilos Asignado del Donante'!A:N,13,0),0)),0)</f>
        <v>0</v>
      </c>
      <c r="AQ65" s="20">
        <f>IF(A65=0,0,IFERROR(SUMIFS([1]Poblacion!W:W,[1]Poblacion!J:J,'MASTER-2025'!A65),0))</f>
        <v>0</v>
      </c>
      <c r="AR65" s="18">
        <f>IFERROR(VLOOKUP($A65,'[1]OB Atendidas por Donantes'!A:N,5,0),0)</f>
        <v>0</v>
      </c>
      <c r="AS65" s="18">
        <f>ROUNDUP(IF(A65=0,0,IFERROR(VLOOKUP($A65,'[1]Kilos Asignado del Donante'!A:N,10,0),0)),0)</f>
        <v>0</v>
      </c>
      <c r="AT65" s="18">
        <f>IF(A65=0,0,IFERROR(SUMIFS([1]Poblacion!T:T,[1]Poblacion!J:J,'MASTER-2025'!A65),0))</f>
        <v>0</v>
      </c>
      <c r="AU65" s="19">
        <f>IFERROR(VLOOKUP($A65,'[1]OB Atendidas por Donantes'!A:N,13,0),0)</f>
        <v>0</v>
      </c>
      <c r="AV65" s="19">
        <f>ROUNDUP(IF(A65=0,0,IFERROR(VLOOKUP($A65,'[1]Kilos Asignado del Donante'!A:N,14,0),0)),0)</f>
        <v>0</v>
      </c>
      <c r="AW65" s="19">
        <f>IF(A65=0,0,IFERROR(SUMIFS([1]Poblacion!X:X,[1]Poblacion!J:J,'MASTER-2025'!A65),0))</f>
        <v>0</v>
      </c>
      <c r="AX65" s="20">
        <f>IFERROR(VLOOKUP($A65,'[1]OB Atendidas por Donantes'!A:N,16,0),0)</f>
        <v>0</v>
      </c>
      <c r="AY65" s="20">
        <f>ROUNDUP(IF(A65=0,0,IFERROR(VLOOKUP($A65,'[1]Kilos Asignado del Donante'!A:O,16,0),0)),0)</f>
        <v>0</v>
      </c>
      <c r="AZ65" s="20">
        <f>IF(A65=0,0,IFERROR(SUMIFS([1]Poblacion!Y:Y,[1]Poblacion!J:J,'MASTER-2025'!A65),0))</f>
        <v>0</v>
      </c>
      <c r="BA65" s="21">
        <f t="shared" si="15"/>
        <v>0</v>
      </c>
      <c r="BB65" s="21">
        <f t="shared" si="29"/>
        <v>0</v>
      </c>
      <c r="BC65" s="21">
        <f t="shared" si="24"/>
        <v>0</v>
      </c>
      <c r="BD65" s="21">
        <f t="shared" si="26"/>
        <v>0</v>
      </c>
      <c r="BE65" s="22" t="e">
        <f>IF(A65=0,0,SUMIFS([1]Poblacion!C:C,[1]Poblacion!A:A,'MASTER-2025'!A65))</f>
        <v>#VALUE!</v>
      </c>
      <c r="BF65" s="22" t="e">
        <f>IF(A65=0,0,SUMIFS([1]Poblacion!D:D,[1]Poblacion!A:A,'MASTER-2025'!A65))</f>
        <v>#VALUE!</v>
      </c>
      <c r="BG65" s="22" t="e">
        <f>IF(A65=0,0,SUMIFS([1]Poblacion!E:E,[1]Poblacion!A:A,'MASTER-2025'!A65))</f>
        <v>#VALUE!</v>
      </c>
      <c r="BH65" s="22" t="e">
        <f>IF(A65=0,0,SUMIFS([1]Poblacion!F:F,[1]Poblacion!A:A,'MASTER-2025'!A65))</f>
        <v>#VALUE!</v>
      </c>
      <c r="BI65" s="22" t="e">
        <f t="shared" si="18"/>
        <v>#VALUE!</v>
      </c>
      <c r="BJ65" s="23" t="e">
        <f t="shared" si="7"/>
        <v>#VALUE!</v>
      </c>
      <c r="BK65" s="22" t="e">
        <f>IF(A65=0,0,SUMIFS([1]Poblacion!G:G,[1]Poblacion!A:A,'MASTER-2025'!A65))</f>
        <v>#VALUE!</v>
      </c>
      <c r="BL65" s="24" cm="1">
        <f t="array" ref="BL65:BW65">IFERROR(VLOOKUP(A65,'[1]Acum-OB-kg-pob-25'!A:AQ,{3,4,5,6,7,8,9,10,11,12,13,14},0),0)</f>
        <v>0</v>
      </c>
      <c r="BM65" s="24">
        <v>0</v>
      </c>
      <c r="BN65" s="24">
        <v>0</v>
      </c>
      <c r="BO65" s="24">
        <v>0</v>
      </c>
      <c r="BP65" s="24">
        <v>0</v>
      </c>
      <c r="BQ65" s="24">
        <v>0</v>
      </c>
      <c r="BR65" s="24">
        <v>0</v>
      </c>
      <c r="BS65" s="24">
        <v>0</v>
      </c>
      <c r="BT65" s="24">
        <v>0</v>
      </c>
      <c r="BU65" s="24">
        <v>0</v>
      </c>
      <c r="BV65" s="24">
        <v>0</v>
      </c>
      <c r="BW65" s="24">
        <v>0</v>
      </c>
      <c r="BX65" s="24">
        <f t="shared" si="8"/>
        <v>0</v>
      </c>
      <c r="BY65" s="25" cm="1">
        <f t="array" ref="BY65:CJ65">IFERROR(VLOOKUP(A65,'[1]Acum-OB-kg-pob-25'!A:AQ,{17,18,19,20,21,22,23,24,25,26,27,28},0),0)</f>
        <v>0</v>
      </c>
      <c r="BZ65" s="25">
        <v>0</v>
      </c>
      <c r="CA65" s="25">
        <v>0</v>
      </c>
      <c r="CB65" s="25">
        <v>0</v>
      </c>
      <c r="CC65" s="25">
        <v>0</v>
      </c>
      <c r="CD65" s="25">
        <v>0</v>
      </c>
      <c r="CE65" s="25">
        <v>0</v>
      </c>
      <c r="CF65" s="25">
        <v>0</v>
      </c>
      <c r="CG65" s="25">
        <v>0</v>
      </c>
      <c r="CH65" s="25">
        <v>0</v>
      </c>
      <c r="CI65" s="25">
        <v>0</v>
      </c>
      <c r="CJ65" s="25">
        <v>0</v>
      </c>
      <c r="CK65" s="25">
        <f t="shared" si="9"/>
        <v>0</v>
      </c>
      <c r="CL65" s="26" cm="1">
        <f t="array" ref="CL65:CW65">IFERROR(VLOOKUP(A65,'[1]Acum-OB-kg-pob-25'!A:AQ,{31,32,33,34,35,36,37,38,39,40,41,42},0),0)</f>
        <v>0</v>
      </c>
      <c r="CM65" s="26">
        <v>0</v>
      </c>
      <c r="CN65" s="26">
        <v>0</v>
      </c>
      <c r="CO65" s="26">
        <v>0</v>
      </c>
      <c r="CP65" s="26">
        <v>0</v>
      </c>
      <c r="CQ65" s="26">
        <v>0</v>
      </c>
      <c r="CR65" s="26">
        <v>0</v>
      </c>
      <c r="CS65" s="26">
        <v>0</v>
      </c>
      <c r="CT65" s="26">
        <v>0</v>
      </c>
      <c r="CU65" s="26">
        <v>0</v>
      </c>
      <c r="CV65" s="26">
        <v>0</v>
      </c>
      <c r="CW65" s="26">
        <v>0</v>
      </c>
      <c r="CX65" s="26">
        <f t="shared" si="10"/>
        <v>0</v>
      </c>
      <c r="CY65" s="14" t="str">
        <f>IF(A65=0,0,IFERROR(VLOOKUP(A65,'[1]Info Donantes'!C:F,2,0),"Sin Contacto"))</f>
        <v>Sin Contacto</v>
      </c>
      <c r="CZ65" s="14" t="str">
        <f>IF(A65=0,0,IFERROR(VLOOKUP(A65,'[1]Info Donantes'!C:F,3,0),"Sin Correo"))</f>
        <v>Sin Correo</v>
      </c>
      <c r="DA65" s="14" t="str">
        <f>IF(A65=0,0,IFERROR(VLOOKUP(A65,'[1]Info Donantes'!C:F,4,0),"Sin Telefono"))</f>
        <v>Sin Telefono</v>
      </c>
      <c r="DB65" s="14" t="str">
        <f>IF(A65=0,0,"Reporte de Trazabiidad"&amp;" - "&amp;'[1]Resumen Donantes'!$C$2&amp;" - "&amp;A65&amp;"")</f>
        <v>Reporte de Trazabiidad -  - San Gregorio Trading and Transport S.A.</v>
      </c>
    </row>
    <row r="66" spans="1:106" x14ac:dyDescent="0.55000000000000004">
      <c r="A66" s="31" t="s">
        <v>170</v>
      </c>
      <c r="B66" s="15">
        <f>INT(IFERROR(VLOOKUP(A66,'[1]Resumen Donantes'!C:F,3,0),0))</f>
        <v>0</v>
      </c>
      <c r="C66" s="15">
        <f>INT(ROUND(IFERROR(VLOOKUP(A66,'[1]Resumen Donantes'!C:F,4,0),0),1))</f>
        <v>0</v>
      </c>
      <c r="D66" s="16">
        <f t="shared" si="19"/>
        <v>0</v>
      </c>
      <c r="E66" s="17" t="str">
        <f t="shared" si="20"/>
        <v>0.00%</v>
      </c>
      <c r="F66" s="17" t="str">
        <f t="shared" si="21"/>
        <v>0.0%</v>
      </c>
      <c r="G66" s="15">
        <f t="shared" si="25"/>
        <v>0</v>
      </c>
      <c r="H66" s="18"/>
      <c r="I66" s="18">
        <f>IFERROR(VLOOKUP(A66,'[1]Lot All by Part'!T:Y,6,0),0)</f>
        <v>0</v>
      </c>
      <c r="J66" s="18"/>
      <c r="K66" s="19">
        <f>IFERROR(VLOOKUP($A66,'[1]OB Atendidas por Donantes'!A:N,3,0),0)</f>
        <v>0</v>
      </c>
      <c r="L66" s="19">
        <f>ROUNDUP(IF(A66=0,0,IFERROR(VLOOKUP($A66,'[1]Kilos Asignado del Donante'!A:O,3,0),0)),0)</f>
        <v>0</v>
      </c>
      <c r="M66" s="19">
        <f>IF(A66=0,0,IFERROR(SUMIFS([1]Poblacion!M:M,[1]Poblacion!J:J,'MASTER-2025'!A66),0))</f>
        <v>0</v>
      </c>
      <c r="N66" s="20">
        <f>IFERROR(VLOOKUP($A66,'[1]OB Atendidas por Donantes'!A:N,4,0),0)</f>
        <v>0</v>
      </c>
      <c r="O66" s="20">
        <f>ROUNDUP(IF(A66=0,0,IFERROR(VLOOKUP($A66,'[1]Kilos Asignado del Donante'!A:O,4,0),0)),0)</f>
        <v>0</v>
      </c>
      <c r="P66" s="20">
        <f>IF(A66=0,0,IFERROR(SUMIFS([1]Poblacion!N:N,[1]Poblacion!J:J,'MASTER-2025'!A66),0))</f>
        <v>0</v>
      </c>
      <c r="Q66" s="18">
        <f>IFERROR(VLOOKUP($A66,'[1]OB Atendidas por Donantes'!A:N,2,0),0)</f>
        <v>0</v>
      </c>
      <c r="R66" s="18">
        <f>ROUNDUP(ROUND(IF(A66=0,0,IFERROR(VLOOKUP($A66,'[1]Kilos Asignado del Donante'!A:O,9,0),0)),1),0)</f>
        <v>0</v>
      </c>
      <c r="S66" s="18">
        <f>IF(A66=0,0,IFERROR(SUMIFS([1]Poblacion!S:S,[1]Poblacion!J:J,'MASTER-2025'!A66),0))</f>
        <v>0</v>
      </c>
      <c r="T66" s="19">
        <f>IFERROR(VLOOKUP($A66,'[1]OB Atendidas por Donantes'!A:N,12,0),0)</f>
        <v>0</v>
      </c>
      <c r="U66" s="19">
        <f>ROUNDUP(IF(A66=0,0,IF(A66=0,0,IFERROR(VLOOKUP($A66,'[1]Kilos Asignado del Donante'!A:O,7,0),0))),0)</f>
        <v>0</v>
      </c>
      <c r="V66" s="19">
        <f>IF(A66=0,0,IFERROR(SUMIFS([1]Poblacion!Q:Q,[1]Poblacion!J:J,'MASTER-2025'!A66),0))</f>
        <v>0</v>
      </c>
      <c r="W66" s="20">
        <f>IFERROR(VLOOKUP($A66,'[1]OB Atendidas por Donantes'!A:N,10,0),0)</f>
        <v>0</v>
      </c>
      <c r="X66" s="20">
        <f>ROUNDUP(IF(A66=0,0,IFERROR(VLOOKUP($A66,'[1]Kilos Asignado del Donante'!A:N,5,0),0)),0)</f>
        <v>0</v>
      </c>
      <c r="Y66" s="20">
        <f>IF(A66=0,0,IFERROR(SUMIFS([1]Poblacion!O:O,[1]Poblacion!J:J,'MASTER-2025'!A66),0))</f>
        <v>0</v>
      </c>
      <c r="Z66" s="18">
        <f>IFERROR(VLOOKUP($A66,'[1]OB Atendidas por Donantes'!A:N,6,0),0)</f>
        <v>0</v>
      </c>
      <c r="AA66" s="18">
        <f>ROUNDUP(IF(A66=0,0,IFERROR(VLOOKUP($A66,'[1]Kilos Asignado del Donante'!A:N,11,0),0)),0)</f>
        <v>0</v>
      </c>
      <c r="AB66" s="18">
        <f>IF(A66=0,0,IFERROR(SUMIFS([1]Poblacion!U:U,[1]Poblacion!J:J,'MASTER-2025'!A66),0))</f>
        <v>0</v>
      </c>
      <c r="AC66" s="19">
        <f>IFERROR(VLOOKUP($A66,'[1]OB Atendidas por Donantes'!A:N,7,0),0)</f>
        <v>0</v>
      </c>
      <c r="AD66" s="19">
        <f>ROUNDUP(IF(A66=0,0,IFERROR(VLOOKUP($A66,'[1]Kilos Asignado del Donante'!A:N,8,0),0)),0)</f>
        <v>0</v>
      </c>
      <c r="AE66" s="19">
        <f>IF(A66=0,0,IFERROR(SUMIFS([1]Poblacion!R:R,[1]Poblacion!J:J,'MASTER-2025'!A66),0))</f>
        <v>0</v>
      </c>
      <c r="AF66" s="20">
        <f>IFERROR(VLOOKUP($A66,'[1]OB Atendidas por Donantes'!A:N,8,0),0)</f>
        <v>0</v>
      </c>
      <c r="AG66" s="20">
        <f>ROUNDUP(IF(A66=0,0,IFERROR(VLOOKUP($A66,'[1]Kilos Asignado del Donante'!A:N,6,0),0)),0)</f>
        <v>0</v>
      </c>
      <c r="AH66" s="20">
        <f>IF(A66=0,0,IFERROR(SUMIFS([1]Poblacion!P:P,[1]Poblacion!J:J,'MASTER-2025'!A66),0))</f>
        <v>0</v>
      </c>
      <c r="AI66" s="18">
        <f>IFERROR(VLOOKUP($A66,'[1]OB Atendidas por Donantes'!A:N,9,0),0)</f>
        <v>0</v>
      </c>
      <c r="AJ66" s="18">
        <f>ROUNDUP(IF(A66=0,0,IFERROR(VLOOKUP($A66,'[1]Kilos Asignado del Donante'!A:N,12,0),0)),0)</f>
        <v>0</v>
      </c>
      <c r="AK66" s="18">
        <f>IF(A66=0,0,IFERROR(SUMIFS([1]Poblacion!V:V,[1]Poblacion!J:J,'MASTER-2025'!A66),0))</f>
        <v>0</v>
      </c>
      <c r="AL66" s="19">
        <f>IFERROR(VLOOKUP($A66,'[1]OB Atendidas por Donantes'!A:N,16,0),0)</f>
        <v>0</v>
      </c>
      <c r="AM66" s="19">
        <f>ROUNDUP(IF(A66=0,0,IFERROR(VLOOKUP($A66,'[1]Kilos Asignado del Donante'!A:O,16,0),0)),0)</f>
        <v>0</v>
      </c>
      <c r="AN66" s="19">
        <f>IF(A66=0,0,IFERROR(SUMIFS([1]Poblacion!Z:Z,[1]Poblacion!J:J,'MASTER-2025'!A66),0))</f>
        <v>0</v>
      </c>
      <c r="AO66" s="20">
        <f>IFERROR(VLOOKUP($A66,'[1]OB Atendidas por Donantes'!A:N,11,0),0)</f>
        <v>0</v>
      </c>
      <c r="AP66" s="20">
        <f>ROUNDUP(IF(A66=0,0,IFERROR(VLOOKUP($A66,'[1]Kilos Asignado del Donante'!A:N,13,0),0)),0)</f>
        <v>0</v>
      </c>
      <c r="AQ66" s="20">
        <f>IF(A66=0,0,IFERROR(SUMIFS([1]Poblacion!W:W,[1]Poblacion!J:J,'MASTER-2025'!A66),0))</f>
        <v>0</v>
      </c>
      <c r="AR66" s="18">
        <f>IFERROR(VLOOKUP($A66,'[1]OB Atendidas por Donantes'!A:N,5,0),0)</f>
        <v>0</v>
      </c>
      <c r="AS66" s="18">
        <f>ROUNDUP(IF(A66=0,0,IFERROR(VLOOKUP($A66,'[1]Kilos Asignado del Donante'!A:N,10,0),0)),0)</f>
        <v>0</v>
      </c>
      <c r="AT66" s="18">
        <f>IF(A66=0,0,IFERROR(SUMIFS([1]Poblacion!T:T,[1]Poblacion!J:J,'MASTER-2025'!A66),0))</f>
        <v>0</v>
      </c>
      <c r="AU66" s="19">
        <f>IFERROR(VLOOKUP($A66,'[1]OB Atendidas por Donantes'!A:N,13,0),0)</f>
        <v>0</v>
      </c>
      <c r="AV66" s="19">
        <f>ROUNDUP(IF(A66=0,0,IFERROR(VLOOKUP($A66,'[1]Kilos Asignado del Donante'!A:N,14,0),0)),0)</f>
        <v>0</v>
      </c>
      <c r="AW66" s="19">
        <f>IF(A66=0,0,IFERROR(SUMIFS([1]Poblacion!X:X,[1]Poblacion!J:J,'MASTER-2025'!A66),0))</f>
        <v>0</v>
      </c>
      <c r="AX66" s="20">
        <f>IFERROR(VLOOKUP($A66,'[1]OB Atendidas por Donantes'!A:N,16,0),0)</f>
        <v>0</v>
      </c>
      <c r="AY66" s="20">
        <f>ROUNDUP(IF(A66=0,0,IFERROR(VLOOKUP($A66,'[1]Kilos Asignado del Donante'!A:O,16,0),0)),0)</f>
        <v>0</v>
      </c>
      <c r="AZ66" s="20">
        <f>IF(A66=0,0,IFERROR(SUMIFS([1]Poblacion!Y:Y,[1]Poblacion!J:J,'MASTER-2025'!A66),0))</f>
        <v>0</v>
      </c>
      <c r="BA66" s="21">
        <f t="shared" si="15"/>
        <v>0</v>
      </c>
      <c r="BB66" s="21">
        <f t="shared" si="29"/>
        <v>0</v>
      </c>
      <c r="BC66" s="21">
        <f t="shared" si="24"/>
        <v>0</v>
      </c>
      <c r="BD66" s="21">
        <f t="shared" si="26"/>
        <v>0</v>
      </c>
      <c r="BE66" s="22" t="e">
        <f>IF(A66=0,0,SUMIFS([1]Poblacion!C:C,[1]Poblacion!A:A,'MASTER-2025'!A66))</f>
        <v>#VALUE!</v>
      </c>
      <c r="BF66" s="22" t="e">
        <f>IF(A66=0,0,SUMIFS([1]Poblacion!D:D,[1]Poblacion!A:A,'MASTER-2025'!A66))</f>
        <v>#VALUE!</v>
      </c>
      <c r="BG66" s="22" t="e">
        <f>IF(A66=0,0,SUMIFS([1]Poblacion!E:E,[1]Poblacion!A:A,'MASTER-2025'!A66))</f>
        <v>#VALUE!</v>
      </c>
      <c r="BH66" s="22" t="e">
        <f>IF(A66=0,0,SUMIFS([1]Poblacion!F:F,[1]Poblacion!A:A,'MASTER-2025'!A66))</f>
        <v>#VALUE!</v>
      </c>
      <c r="BI66" s="22" t="e">
        <f t="shared" si="18"/>
        <v>#VALUE!</v>
      </c>
      <c r="BJ66" s="23" t="e">
        <f t="shared" si="7"/>
        <v>#VALUE!</v>
      </c>
      <c r="BK66" s="22" t="e">
        <f>IF(A66=0,0,SUMIFS([1]Poblacion!G:G,[1]Poblacion!A:A,'MASTER-2025'!A66))</f>
        <v>#VALUE!</v>
      </c>
      <c r="BL66" s="24" cm="1">
        <f t="array" ref="BL66:BW66">IFERROR(VLOOKUP(A66,'[1]Acum-OB-kg-pob-25'!A:AQ,{3,4,5,6,7,8,9,10,11,12,13,14},0),0)</f>
        <v>0</v>
      </c>
      <c r="BM66" s="24">
        <v>0</v>
      </c>
      <c r="BN66" s="24">
        <v>0</v>
      </c>
      <c r="BO66" s="24">
        <v>0</v>
      </c>
      <c r="BP66" s="24">
        <v>0</v>
      </c>
      <c r="BQ66" s="24">
        <v>0</v>
      </c>
      <c r="BR66" s="24">
        <v>0</v>
      </c>
      <c r="BS66" s="24">
        <v>0</v>
      </c>
      <c r="BT66" s="24">
        <v>0</v>
      </c>
      <c r="BU66" s="24">
        <v>0</v>
      </c>
      <c r="BV66" s="24">
        <v>0</v>
      </c>
      <c r="BW66" s="24">
        <v>0</v>
      </c>
      <c r="BX66" s="24">
        <f t="shared" si="8"/>
        <v>0</v>
      </c>
      <c r="BY66" s="25" cm="1">
        <f t="array" ref="BY66:CJ66">IFERROR(VLOOKUP(A66,'[1]Acum-OB-kg-pob-25'!A:AQ,{17,18,19,20,21,22,23,24,25,26,27,28},0),0)</f>
        <v>0</v>
      </c>
      <c r="BZ66" s="25">
        <v>0</v>
      </c>
      <c r="CA66" s="25">
        <v>0</v>
      </c>
      <c r="CB66" s="25">
        <v>0</v>
      </c>
      <c r="CC66" s="25">
        <v>0</v>
      </c>
      <c r="CD66" s="25">
        <v>0</v>
      </c>
      <c r="CE66" s="25">
        <v>0</v>
      </c>
      <c r="CF66" s="25">
        <v>0</v>
      </c>
      <c r="CG66" s="25">
        <v>0</v>
      </c>
      <c r="CH66" s="25">
        <v>0</v>
      </c>
      <c r="CI66" s="25">
        <v>0</v>
      </c>
      <c r="CJ66" s="25">
        <v>0</v>
      </c>
      <c r="CK66" s="25">
        <f t="shared" si="9"/>
        <v>0</v>
      </c>
      <c r="CL66" s="26" cm="1">
        <f t="array" ref="CL66:CW66">IFERROR(VLOOKUP(A66,'[1]Acum-OB-kg-pob-25'!A:AQ,{31,32,33,34,35,36,37,38,39,40,41,42},0),0)</f>
        <v>0</v>
      </c>
      <c r="CM66" s="26">
        <v>0</v>
      </c>
      <c r="CN66" s="26">
        <v>0</v>
      </c>
      <c r="CO66" s="26">
        <v>0</v>
      </c>
      <c r="CP66" s="26">
        <v>0</v>
      </c>
      <c r="CQ66" s="26">
        <v>0</v>
      </c>
      <c r="CR66" s="26">
        <v>0</v>
      </c>
      <c r="CS66" s="26">
        <v>0</v>
      </c>
      <c r="CT66" s="26">
        <v>0</v>
      </c>
      <c r="CU66" s="26">
        <v>0</v>
      </c>
      <c r="CV66" s="26">
        <v>0</v>
      </c>
      <c r="CW66" s="26">
        <v>0</v>
      </c>
      <c r="CX66" s="26">
        <f t="shared" si="10"/>
        <v>0</v>
      </c>
      <c r="CY66" s="14" t="str">
        <f>IF(A66=0,0,IFERROR(VLOOKUP(A66,'[1]Info Donantes'!C:F,2,0),"Sin Contacto"))</f>
        <v>Denisse Castillo</v>
      </c>
      <c r="CZ66" s="14" t="str">
        <f>IF(A66=0,0,IFERROR(VLOOKUP(A66,'[1]Info Donantes'!C:F,3,0),"Sin Correo"))</f>
        <v>denisse.castillo@unilever.com</v>
      </c>
      <c r="DA66" s="14" t="str">
        <f>IF(A66=0,0,IFERROR(VLOOKUP(A66,'[1]Info Donantes'!C:F,4,0),"Sin Telefono"))</f>
        <v>220-1006</v>
      </c>
      <c r="DB66" s="14" t="str">
        <f>IF(A66=0,0,"Reporte de Trazabiidad"&amp;" - "&amp;'[1]Resumen Donantes'!$C$2&amp;" - "&amp;A66&amp;"")</f>
        <v>Reporte de Trazabiidad -  - UNILEVER DE CENTROAMERICA S.A.</v>
      </c>
    </row>
    <row r="67" spans="1:106" x14ac:dyDescent="0.55000000000000004">
      <c r="A67" s="31" t="s">
        <v>171</v>
      </c>
      <c r="B67" s="15">
        <f>INT(IFERROR(VLOOKUP(A67,'[1]Resumen Donantes'!C:F,3,0),0))</f>
        <v>0</v>
      </c>
      <c r="C67" s="15">
        <f>INT(ROUND(IFERROR(VLOOKUP(A67,'[1]Resumen Donantes'!C:F,4,0),0),1))</f>
        <v>0</v>
      </c>
      <c r="D67" s="16">
        <f t="shared" si="19"/>
        <v>0</v>
      </c>
      <c r="E67" s="17" t="str">
        <f t="shared" si="20"/>
        <v>0.00%</v>
      </c>
      <c r="F67" s="17" t="str">
        <f t="shared" si="21"/>
        <v>0.0%</v>
      </c>
      <c r="G67" s="15">
        <f t="shared" si="25"/>
        <v>0</v>
      </c>
      <c r="H67" s="18"/>
      <c r="I67" s="18">
        <f>IFERROR(VLOOKUP(A67,'[1]Lot All by Part'!T:Y,6,0),0)</f>
        <v>0</v>
      </c>
      <c r="J67" s="18"/>
      <c r="K67" s="19">
        <f>IFERROR(VLOOKUP($A67,'[1]OB Atendidas por Donantes'!A:N,3,0),0)</f>
        <v>0</v>
      </c>
      <c r="L67" s="19">
        <f>ROUNDUP(IF(A67=0,0,IFERROR(VLOOKUP($A67,'[1]Kilos Asignado del Donante'!A:O,3,0),0)),0)</f>
        <v>0</v>
      </c>
      <c r="M67" s="19">
        <f>IF(A67=0,0,IFERROR(SUMIFS([1]Poblacion!M:M,[1]Poblacion!J:J,'MASTER-2025'!A67),0))</f>
        <v>0</v>
      </c>
      <c r="N67" s="20">
        <f>IFERROR(VLOOKUP($A67,'[1]OB Atendidas por Donantes'!A:N,4,0),0)</f>
        <v>0</v>
      </c>
      <c r="O67" s="20">
        <f>ROUNDUP(IF(A67=0,0,IFERROR(VLOOKUP($A67,'[1]Kilos Asignado del Donante'!A:O,4,0),0)),0)</f>
        <v>0</v>
      </c>
      <c r="P67" s="20">
        <f>IF(A67=0,0,IFERROR(SUMIFS([1]Poblacion!N:N,[1]Poblacion!J:J,'MASTER-2025'!A67),0))</f>
        <v>0</v>
      </c>
      <c r="Q67" s="18">
        <f>IFERROR(VLOOKUP($A67,'[1]OB Atendidas por Donantes'!A:N,2,0),0)</f>
        <v>0</v>
      </c>
      <c r="R67" s="18">
        <f>ROUNDUP(ROUND(IF(A67=0,0,IFERROR(VLOOKUP($A67,'[1]Kilos Asignado del Donante'!A:O,9,0),0)),1),0)</f>
        <v>0</v>
      </c>
      <c r="S67" s="18">
        <f>IF(A67=0,0,IFERROR(SUMIFS([1]Poblacion!S:S,[1]Poblacion!J:J,'MASTER-2025'!A67),0))</f>
        <v>0</v>
      </c>
      <c r="T67" s="19">
        <f>IFERROR(VLOOKUP($A67,'[1]OB Atendidas por Donantes'!A:N,12,0),0)</f>
        <v>0</v>
      </c>
      <c r="U67" s="19">
        <f>ROUNDUP(IF(A67=0,0,IF(A67=0,0,IFERROR(VLOOKUP($A67,'[1]Kilos Asignado del Donante'!A:O,7,0),0))),0)</f>
        <v>0</v>
      </c>
      <c r="V67" s="19">
        <f>IF(A67=0,0,IFERROR(SUMIFS([1]Poblacion!Q:Q,[1]Poblacion!J:J,'MASTER-2025'!A67),0))</f>
        <v>0</v>
      </c>
      <c r="W67" s="20">
        <f>IFERROR(VLOOKUP($A67,'[1]OB Atendidas por Donantes'!A:N,10,0),0)</f>
        <v>0</v>
      </c>
      <c r="X67" s="20">
        <f>ROUNDUP(IF(A67=0,0,IFERROR(VLOOKUP($A67,'[1]Kilos Asignado del Donante'!A:N,5,0),0)),0)</f>
        <v>0</v>
      </c>
      <c r="Y67" s="20">
        <f>IF(A67=0,0,IFERROR(SUMIFS([1]Poblacion!O:O,[1]Poblacion!J:J,'MASTER-2025'!A67),0))</f>
        <v>0</v>
      </c>
      <c r="Z67" s="18">
        <f>IFERROR(VLOOKUP($A67,'[1]OB Atendidas por Donantes'!A:N,6,0),0)</f>
        <v>0</v>
      </c>
      <c r="AA67" s="18">
        <f>ROUNDUP(IF(A67=0,0,IFERROR(VLOOKUP($A67,'[1]Kilos Asignado del Donante'!A:N,11,0),0)),0)</f>
        <v>0</v>
      </c>
      <c r="AB67" s="18">
        <f>IF(A67=0,0,IFERROR(SUMIFS([1]Poblacion!U:U,[1]Poblacion!J:J,'MASTER-2025'!A67),0))</f>
        <v>0</v>
      </c>
      <c r="AC67" s="19">
        <f>IFERROR(VLOOKUP($A67,'[1]OB Atendidas por Donantes'!A:N,7,0),0)</f>
        <v>0</v>
      </c>
      <c r="AD67" s="19">
        <f>ROUNDUP(IF(A67=0,0,IFERROR(VLOOKUP($A67,'[1]Kilos Asignado del Donante'!A:N,8,0),0)),0)</f>
        <v>0</v>
      </c>
      <c r="AE67" s="19">
        <f>IF(A67=0,0,IFERROR(SUMIFS([1]Poblacion!R:R,[1]Poblacion!J:J,'MASTER-2025'!A67),0))</f>
        <v>0</v>
      </c>
      <c r="AF67" s="20">
        <f>IFERROR(VLOOKUP($A67,'[1]OB Atendidas por Donantes'!A:N,8,0),0)</f>
        <v>0</v>
      </c>
      <c r="AG67" s="20">
        <f>ROUNDUP(IF(A67=0,0,IFERROR(VLOOKUP($A67,'[1]Kilos Asignado del Donante'!A:N,6,0),0)),0)</f>
        <v>0</v>
      </c>
      <c r="AH67" s="20">
        <f>IF(A67=0,0,IFERROR(SUMIFS([1]Poblacion!P:P,[1]Poblacion!J:J,'MASTER-2025'!A67),0))</f>
        <v>0</v>
      </c>
      <c r="AI67" s="18">
        <f>IFERROR(VLOOKUP($A67,'[1]OB Atendidas por Donantes'!A:N,9,0),0)</f>
        <v>0</v>
      </c>
      <c r="AJ67" s="18">
        <f>ROUNDUP(IF(A67=0,0,IFERROR(VLOOKUP($A67,'[1]Kilos Asignado del Donante'!A:N,12,0),0)),0)</f>
        <v>0</v>
      </c>
      <c r="AK67" s="18">
        <f>IF(A67=0,0,IFERROR(SUMIFS([1]Poblacion!V:V,[1]Poblacion!J:J,'MASTER-2025'!A67),0))</f>
        <v>0</v>
      </c>
      <c r="AL67" s="19">
        <f>IFERROR(VLOOKUP($A67,'[1]OB Atendidas por Donantes'!A:N,16,0),0)</f>
        <v>0</v>
      </c>
      <c r="AM67" s="19">
        <f>ROUNDUP(IF(A67=0,0,IFERROR(VLOOKUP($A67,'[1]Kilos Asignado del Donante'!A:O,16,0),0)),0)</f>
        <v>0</v>
      </c>
      <c r="AN67" s="19">
        <f>IF(A67=0,0,IFERROR(SUMIFS([1]Poblacion!Z:Z,[1]Poblacion!J:J,'MASTER-2025'!A67),0))</f>
        <v>0</v>
      </c>
      <c r="AO67" s="20">
        <f>IFERROR(VLOOKUP($A67,'[1]OB Atendidas por Donantes'!A:N,11,0),0)</f>
        <v>0</v>
      </c>
      <c r="AP67" s="20">
        <f>ROUNDUP(IF(A67=0,0,IFERROR(VLOOKUP($A67,'[1]Kilos Asignado del Donante'!A:N,13,0),0)),0)</f>
        <v>0</v>
      </c>
      <c r="AQ67" s="20">
        <f>IF(A67=0,0,IFERROR(SUMIFS([1]Poblacion!W:W,[1]Poblacion!J:J,'MASTER-2025'!A67),0))</f>
        <v>0</v>
      </c>
      <c r="AR67" s="18">
        <f>IFERROR(VLOOKUP($A67,'[1]OB Atendidas por Donantes'!A:N,5,0),0)</f>
        <v>0</v>
      </c>
      <c r="AS67" s="18">
        <f>ROUNDUP(IF(A67=0,0,IFERROR(VLOOKUP($A67,'[1]Kilos Asignado del Donante'!A:N,10,0),0)),0)</f>
        <v>0</v>
      </c>
      <c r="AT67" s="18">
        <f>IF(A67=0,0,IFERROR(SUMIFS([1]Poblacion!T:T,[1]Poblacion!J:J,'MASTER-2025'!A67),0))</f>
        <v>0</v>
      </c>
      <c r="AU67" s="19">
        <f>IFERROR(VLOOKUP($A67,'[1]OB Atendidas por Donantes'!A:N,13,0),0)</f>
        <v>0</v>
      </c>
      <c r="AV67" s="19">
        <f>ROUNDUP(IF(A67=0,0,IFERROR(VLOOKUP($A67,'[1]Kilos Asignado del Donante'!A:N,14,0),0)),0)</f>
        <v>0</v>
      </c>
      <c r="AW67" s="19">
        <f>IF(A67=0,0,IFERROR(SUMIFS([1]Poblacion!X:X,[1]Poblacion!J:J,'MASTER-2025'!A67),0))</f>
        <v>0</v>
      </c>
      <c r="AX67" s="20">
        <f>IFERROR(VLOOKUP($A67,'[1]OB Atendidas por Donantes'!A:N,16,0),0)</f>
        <v>0</v>
      </c>
      <c r="AY67" s="20">
        <f>ROUNDUP(IF(A67=0,0,IFERROR(VLOOKUP($A67,'[1]Kilos Asignado del Donante'!A:O,16,0),0)),0)</f>
        <v>0</v>
      </c>
      <c r="AZ67" s="20">
        <f>IF(A67=0,0,IFERROR(SUMIFS([1]Poblacion!Y:Y,[1]Poblacion!J:J,'MASTER-2025'!A67),0))</f>
        <v>0</v>
      </c>
      <c r="BA67" s="21">
        <f t="shared" si="15"/>
        <v>0</v>
      </c>
      <c r="BB67" s="21">
        <f t="shared" si="29"/>
        <v>0</v>
      </c>
      <c r="BC67" s="21">
        <f t="shared" si="24"/>
        <v>0</v>
      </c>
      <c r="BD67" s="21">
        <f t="shared" si="26"/>
        <v>0</v>
      </c>
      <c r="BE67" s="22" t="e">
        <f>IF(A67=0,0,SUMIFS([1]Poblacion!C:C,[1]Poblacion!A:A,'MASTER-2025'!A67))</f>
        <v>#VALUE!</v>
      </c>
      <c r="BF67" s="22" t="e">
        <f>IF(A67=0,0,SUMIFS([1]Poblacion!D:D,[1]Poblacion!A:A,'MASTER-2025'!A67))</f>
        <v>#VALUE!</v>
      </c>
      <c r="BG67" s="22" t="e">
        <f>IF(A67=0,0,SUMIFS([1]Poblacion!E:E,[1]Poblacion!A:A,'MASTER-2025'!A67))</f>
        <v>#VALUE!</v>
      </c>
      <c r="BH67" s="22" t="e">
        <f>IF(A67=0,0,SUMIFS([1]Poblacion!F:F,[1]Poblacion!A:A,'MASTER-2025'!A67))</f>
        <v>#VALUE!</v>
      </c>
      <c r="BI67" s="22" t="e">
        <f t="shared" si="18"/>
        <v>#VALUE!</v>
      </c>
      <c r="BJ67" s="23" t="e">
        <f t="shared" ref="BJ67:BJ130" si="30">+BK67-BI67-BH67-BG67-BF67-BE67</f>
        <v>#VALUE!</v>
      </c>
      <c r="BK67" s="22" t="e">
        <f>IF(A67=0,0,SUMIFS([1]Poblacion!G:G,[1]Poblacion!A:A,'MASTER-2025'!A67))</f>
        <v>#VALUE!</v>
      </c>
      <c r="BL67" s="24" cm="1">
        <f t="array" ref="BL67:BW67">IFERROR(VLOOKUP(A67,'[1]Acum-OB-kg-pob-25'!A:AQ,{3,4,5,6,7,8,9,10,11,12,13,14},0),0)</f>
        <v>0</v>
      </c>
      <c r="BM67" s="24">
        <v>0</v>
      </c>
      <c r="BN67" s="24">
        <v>0</v>
      </c>
      <c r="BO67" s="24">
        <v>0</v>
      </c>
      <c r="BP67" s="24">
        <v>0</v>
      </c>
      <c r="BQ67" s="24">
        <v>0</v>
      </c>
      <c r="BR67" s="24">
        <v>0</v>
      </c>
      <c r="BS67" s="24">
        <v>0</v>
      </c>
      <c r="BT67" s="24">
        <v>0</v>
      </c>
      <c r="BU67" s="24">
        <v>0</v>
      </c>
      <c r="BV67" s="24">
        <v>0</v>
      </c>
      <c r="BW67" s="24">
        <v>0</v>
      </c>
      <c r="BX67" s="24">
        <f t="shared" ref="BX67:BX130" si="31">SUM(BL67:BW67)</f>
        <v>0</v>
      </c>
      <c r="BY67" s="25" cm="1">
        <f t="array" ref="BY67:CJ67">IFERROR(VLOOKUP(A67,'[1]Acum-OB-kg-pob-25'!A:AQ,{17,18,19,20,21,22,23,24,25,26,27,28},0),0)</f>
        <v>0</v>
      </c>
      <c r="BZ67" s="25">
        <v>0</v>
      </c>
      <c r="CA67" s="25">
        <v>0</v>
      </c>
      <c r="CB67" s="25">
        <v>0</v>
      </c>
      <c r="CC67" s="25">
        <v>0</v>
      </c>
      <c r="CD67" s="25">
        <v>0</v>
      </c>
      <c r="CE67" s="25">
        <v>0</v>
      </c>
      <c r="CF67" s="25">
        <v>0</v>
      </c>
      <c r="CG67" s="25">
        <v>0</v>
      </c>
      <c r="CH67" s="25">
        <v>0</v>
      </c>
      <c r="CI67" s="25">
        <v>0</v>
      </c>
      <c r="CJ67" s="25">
        <v>0</v>
      </c>
      <c r="CK67" s="25">
        <f t="shared" ref="CK67:CK130" si="32">SUM(BY67:CJ67)</f>
        <v>0</v>
      </c>
      <c r="CL67" s="26" cm="1">
        <f t="array" ref="CL67:CW67">IFERROR(VLOOKUP(A67,'[1]Acum-OB-kg-pob-25'!A:AQ,{31,32,33,34,35,36,37,38,39,40,41,42},0),0)</f>
        <v>0</v>
      </c>
      <c r="CM67" s="26">
        <v>0</v>
      </c>
      <c r="CN67" s="26">
        <v>0</v>
      </c>
      <c r="CO67" s="26">
        <v>0</v>
      </c>
      <c r="CP67" s="26">
        <v>0</v>
      </c>
      <c r="CQ67" s="26">
        <v>0</v>
      </c>
      <c r="CR67" s="26">
        <v>0</v>
      </c>
      <c r="CS67" s="26">
        <v>0</v>
      </c>
      <c r="CT67" s="26">
        <v>0</v>
      </c>
      <c r="CU67" s="26">
        <v>0</v>
      </c>
      <c r="CV67" s="26">
        <v>0</v>
      </c>
      <c r="CW67" s="26">
        <v>0</v>
      </c>
      <c r="CX67" s="26">
        <f t="shared" ref="CX67:CX130" si="33">SUM(CL67:CW67)</f>
        <v>0</v>
      </c>
      <c r="CY67" s="14">
        <f>IF(A67=0,0,IFERROR(VLOOKUP(A67,'[1]Info Donantes'!C:F,2,0),"Sin Contacto"))</f>
        <v>0</v>
      </c>
      <c r="CZ67" s="14" t="str">
        <f>IF(A67=0,0,IFERROR(VLOOKUP(A67,'[1]Info Donantes'!C:F,3,0),"Sin Correo"))</f>
        <v>eflores@varelahermanos.com</v>
      </c>
      <c r="DA67" s="14" t="str">
        <f>IF(A67=0,0,IFERROR(VLOOKUP(A67,'[1]Info Donantes'!C:F,4,0),"Sin Telefono"))</f>
        <v>377-5000</v>
      </c>
      <c r="DB67" s="14" t="str">
        <f>IF(A67=0,0,"Reporte de Trazabiidad"&amp;" - "&amp;'[1]Resumen Donantes'!$C$2&amp;" - "&amp;A67&amp;"")</f>
        <v>Reporte de Trazabiidad -  - VARELA HERMANOS</v>
      </c>
    </row>
    <row r="68" spans="1:106" x14ac:dyDescent="0.55000000000000004">
      <c r="A68" s="31" t="s">
        <v>172</v>
      </c>
      <c r="B68" s="15">
        <f>INT(IFERROR(VLOOKUP(A68,'[1]Resumen Donantes'!C:F,3,0),0))</f>
        <v>0</v>
      </c>
      <c r="C68" s="15">
        <f>INT(ROUND(IFERROR(VLOOKUP(A68,'[1]Resumen Donantes'!C:F,4,0),0),1))</f>
        <v>458</v>
      </c>
      <c r="D68" s="16">
        <f t="shared" si="19"/>
        <v>458</v>
      </c>
      <c r="E68" s="17" t="str">
        <f t="shared" si="20"/>
        <v>100.00%</v>
      </c>
      <c r="F68" s="17" t="str">
        <f t="shared" si="21"/>
        <v>0.0%</v>
      </c>
      <c r="G68" s="15">
        <f t="shared" si="25"/>
        <v>1374</v>
      </c>
      <c r="H68" s="18"/>
      <c r="I68" s="18">
        <f>IFERROR(VLOOKUP(A68,'[1]Lot All by Part'!T:Y,6,0),0)</f>
        <v>0</v>
      </c>
      <c r="J68" s="18"/>
      <c r="K68" s="19">
        <f>IFERROR(VLOOKUP($A68,'[1]OB Atendidas por Donantes'!A:N,3,0),0)</f>
        <v>7</v>
      </c>
      <c r="L68" s="19">
        <f>ROUNDUP(IF(A68=0,0,IFERROR(VLOOKUP($A68,'[1]Kilos Asignado del Donante'!A:O,3,0),0)),0)</f>
        <v>70</v>
      </c>
      <c r="M68" s="19">
        <f>IF(A68=0,0,IFERROR(SUMIFS([1]Poblacion!M:M,[1]Poblacion!J:J,'MASTER-2025'!A68),0))</f>
        <v>0</v>
      </c>
      <c r="N68" s="20">
        <f>IFERROR(VLOOKUP($A68,'[1]OB Atendidas por Donantes'!A:N,4,0),0)</f>
        <v>13</v>
      </c>
      <c r="O68" s="20">
        <f>ROUNDUP(IF(A68=0,0,IFERROR(VLOOKUP($A68,'[1]Kilos Asignado del Donante'!A:O,4,0),0)),0)</f>
        <v>202</v>
      </c>
      <c r="P68" s="20">
        <f>IF(A68=0,0,IFERROR(SUMIFS([1]Poblacion!N:N,[1]Poblacion!J:J,'MASTER-2025'!A68),0))</f>
        <v>0</v>
      </c>
      <c r="Q68" s="18">
        <f>IFERROR(VLOOKUP($A68,'[1]OB Atendidas por Donantes'!A:N,2,0),0)</f>
        <v>1</v>
      </c>
      <c r="R68" s="18">
        <f>ROUNDUP(ROUND(IF(A68=0,0,IFERROR(VLOOKUP($A68,'[1]Kilos Asignado del Donante'!A:O,9,0),0)),1),0)</f>
        <v>6</v>
      </c>
      <c r="S68" s="18">
        <f>IF(A68=0,0,IFERROR(SUMIFS([1]Poblacion!S:S,[1]Poblacion!J:J,'MASTER-2025'!A68),0))</f>
        <v>0</v>
      </c>
      <c r="T68" s="19">
        <f>IFERROR(VLOOKUP($A68,'[1]OB Atendidas por Donantes'!A:N,12,0),0)</f>
        <v>2</v>
      </c>
      <c r="U68" s="19">
        <f>ROUNDUP(IF(A68=0,0,IF(A68=0,0,IFERROR(VLOOKUP($A68,'[1]Kilos Asignado del Donante'!A:O,7,0),0))),0)</f>
        <v>22</v>
      </c>
      <c r="V68" s="19">
        <f>IF(A68=0,0,IFERROR(SUMIFS([1]Poblacion!Q:Q,[1]Poblacion!J:J,'MASTER-2025'!A68),0))</f>
        <v>0</v>
      </c>
      <c r="W68" s="20">
        <f>IFERROR(VLOOKUP($A68,'[1]OB Atendidas por Donantes'!A:N,10,0),0)</f>
        <v>4</v>
      </c>
      <c r="X68" s="20">
        <f>ROUNDUP(IF(A68=0,0,IFERROR(VLOOKUP($A68,'[1]Kilos Asignado del Donante'!A:N,5,0),0)),0)</f>
        <v>52</v>
      </c>
      <c r="Y68" s="20">
        <f>IF(A68=0,0,IFERROR(SUMIFS([1]Poblacion!O:O,[1]Poblacion!J:J,'MASTER-2025'!A68),0))</f>
        <v>0</v>
      </c>
      <c r="Z68" s="18">
        <f>IFERROR(VLOOKUP($A68,'[1]OB Atendidas por Donantes'!A:N,6,0),0)</f>
        <v>0</v>
      </c>
      <c r="AA68" s="18">
        <f>ROUNDUP(IF(A68=0,0,IFERROR(VLOOKUP($A68,'[1]Kilos Asignado del Donante'!A:N,11,0),0)),0)</f>
        <v>0</v>
      </c>
      <c r="AB68" s="18">
        <f>IF(A68=0,0,IFERROR(SUMIFS([1]Poblacion!U:U,[1]Poblacion!J:J,'MASTER-2025'!A68),0))</f>
        <v>0</v>
      </c>
      <c r="AC68" s="19">
        <f>IFERROR(VLOOKUP($A68,'[1]OB Atendidas por Donantes'!A:N,7,0),0)</f>
        <v>2</v>
      </c>
      <c r="AD68" s="19">
        <f>ROUNDUP(IF(A68=0,0,IFERROR(VLOOKUP($A68,'[1]Kilos Asignado del Donante'!A:N,8,0),0)),0)</f>
        <v>106</v>
      </c>
      <c r="AE68" s="19">
        <f>IF(A68=0,0,IFERROR(SUMIFS([1]Poblacion!R:R,[1]Poblacion!J:J,'MASTER-2025'!A68),0))</f>
        <v>0</v>
      </c>
      <c r="AF68" s="20">
        <f>IFERROR(VLOOKUP($A68,'[1]OB Atendidas por Donantes'!A:N,8,0),0)</f>
        <v>0</v>
      </c>
      <c r="AG68" s="20">
        <f>ROUNDUP(IF(A68=0,0,IFERROR(VLOOKUP($A68,'[1]Kilos Asignado del Donante'!A:N,6,0),0)),0)</f>
        <v>0</v>
      </c>
      <c r="AH68" s="20">
        <f>IF(A68=0,0,IFERROR(SUMIFS([1]Poblacion!P:P,[1]Poblacion!J:J,'MASTER-2025'!A68),0))</f>
        <v>0</v>
      </c>
      <c r="AI68" s="18">
        <f>IFERROR(VLOOKUP($A68,'[1]OB Atendidas por Donantes'!A:N,9,0),0)</f>
        <v>0</v>
      </c>
      <c r="AJ68" s="18">
        <f>ROUNDUP(IF(A68=0,0,IFERROR(VLOOKUP($A68,'[1]Kilos Asignado del Donante'!A:N,12,0),0)),0)</f>
        <v>0</v>
      </c>
      <c r="AK68" s="18">
        <f>IF(A68=0,0,IFERROR(SUMIFS([1]Poblacion!V:V,[1]Poblacion!J:J,'MASTER-2025'!A68),0))</f>
        <v>0</v>
      </c>
      <c r="AL68" s="19">
        <f>IFERROR(VLOOKUP($A68,'[1]OB Atendidas por Donantes'!A:N,16,0),0)</f>
        <v>0</v>
      </c>
      <c r="AM68" s="19">
        <f>ROUNDUP(IF(A68=0,0,IFERROR(VLOOKUP($A68,'[1]Kilos Asignado del Donante'!A:O,16,0),0)),0)</f>
        <v>0</v>
      </c>
      <c r="AN68" s="19">
        <f>IF(A68=0,0,IFERROR(SUMIFS([1]Poblacion!Z:Z,[1]Poblacion!J:J,'MASTER-2025'!A68),0))</f>
        <v>0</v>
      </c>
      <c r="AO68" s="20">
        <f>IFERROR(VLOOKUP($A68,'[1]OB Atendidas por Donantes'!A:N,11,0),0)</f>
        <v>0</v>
      </c>
      <c r="AP68" s="20">
        <f>ROUNDUP(IF(A68=0,0,IFERROR(VLOOKUP($A68,'[1]Kilos Asignado del Donante'!A:N,13,0),0)),0)</f>
        <v>0</v>
      </c>
      <c r="AQ68" s="20">
        <f>IF(A68=0,0,IFERROR(SUMIFS([1]Poblacion!W:W,[1]Poblacion!J:J,'MASTER-2025'!A68),0))</f>
        <v>0</v>
      </c>
      <c r="AR68" s="18">
        <f>IFERROR(VLOOKUP($A68,'[1]OB Atendidas por Donantes'!A:N,5,0),0)</f>
        <v>0</v>
      </c>
      <c r="AS68" s="18">
        <f>ROUNDUP(IF(A68=0,0,IFERROR(VLOOKUP($A68,'[1]Kilos Asignado del Donante'!A:N,10,0),0)),0)</f>
        <v>0</v>
      </c>
      <c r="AT68" s="18">
        <f>IF(A68=0,0,IFERROR(SUMIFS([1]Poblacion!T:T,[1]Poblacion!J:J,'MASTER-2025'!A68),0))</f>
        <v>0</v>
      </c>
      <c r="AU68" s="19">
        <f>IFERROR(VLOOKUP($A68,'[1]OB Atendidas por Donantes'!A:N,13,0),0)</f>
        <v>0</v>
      </c>
      <c r="AV68" s="19">
        <f>ROUNDUP(IF(A68=0,0,IFERROR(VLOOKUP($A68,'[1]Kilos Asignado del Donante'!A:N,14,0),0)),0)</f>
        <v>0</v>
      </c>
      <c r="AW68" s="19">
        <f>IF(A68=0,0,IFERROR(SUMIFS([1]Poblacion!X:X,[1]Poblacion!J:J,'MASTER-2025'!A68),0))</f>
        <v>0</v>
      </c>
      <c r="AX68" s="20">
        <f>IFERROR(VLOOKUP($A68,'[1]OB Atendidas por Donantes'!A:N,16,0),0)</f>
        <v>0</v>
      </c>
      <c r="AY68" s="20">
        <f>ROUNDUP(IF(A68=0,0,IFERROR(VLOOKUP($A68,'[1]Kilos Asignado del Donante'!A:O,16,0),0)),0)</f>
        <v>0</v>
      </c>
      <c r="AZ68" s="20">
        <f>IF(A68=0,0,IFERROR(SUMIFS([1]Poblacion!Y:Y,[1]Poblacion!J:J,'MASTER-2025'!A68),0))</f>
        <v>0</v>
      </c>
      <c r="BA68" s="21">
        <f t="shared" si="15"/>
        <v>29</v>
      </c>
      <c r="BB68" s="21">
        <f t="shared" si="29"/>
        <v>458</v>
      </c>
      <c r="BC68" s="21">
        <f t="shared" si="24"/>
        <v>300</v>
      </c>
      <c r="BD68" s="21">
        <f t="shared" si="26"/>
        <v>0</v>
      </c>
      <c r="BE68" s="22" t="e">
        <f>IF(A68=0,0,SUMIFS([1]Poblacion!C:C,[1]Poblacion!A:A,'MASTER-2025'!A68))</f>
        <v>#VALUE!</v>
      </c>
      <c r="BF68" s="22" t="e">
        <f>IF(A68=0,0,SUMIFS([1]Poblacion!D:D,[1]Poblacion!A:A,'MASTER-2025'!A68))</f>
        <v>#VALUE!</v>
      </c>
      <c r="BG68" s="22" t="e">
        <f>IF(A68=0,0,SUMIFS([1]Poblacion!E:E,[1]Poblacion!A:A,'MASTER-2025'!A68))</f>
        <v>#VALUE!</v>
      </c>
      <c r="BH68" s="22" t="e">
        <f>IF(A68=0,0,SUMIFS([1]Poblacion!F:F,[1]Poblacion!A:A,'MASTER-2025'!A68))</f>
        <v>#VALUE!</v>
      </c>
      <c r="BI68" s="22" t="e">
        <f t="shared" si="18"/>
        <v>#VALUE!</v>
      </c>
      <c r="BJ68" s="23" t="e">
        <f t="shared" si="30"/>
        <v>#VALUE!</v>
      </c>
      <c r="BK68" s="22" t="e">
        <f>IF(A68=0,0,SUMIFS([1]Poblacion!G:G,[1]Poblacion!A:A,'MASTER-2025'!A68))</f>
        <v>#VALUE!</v>
      </c>
      <c r="BL68" s="24" cm="1">
        <f t="array" ref="BL68:BW68">IFERROR(VLOOKUP(A68,'[1]Acum-OB-kg-pob-25'!A:AQ,{3,4,5,6,7,8,9,10,11,12,13,14},0),0)</f>
        <v>0</v>
      </c>
      <c r="BM68" s="24">
        <v>44</v>
      </c>
      <c r="BN68" s="24">
        <v>29</v>
      </c>
      <c r="BO68" s="24">
        <v>0</v>
      </c>
      <c r="BP68" s="24">
        <v>0</v>
      </c>
      <c r="BQ68" s="24">
        <v>0</v>
      </c>
      <c r="BR68" s="24">
        <v>0</v>
      </c>
      <c r="BS68" s="24">
        <v>0</v>
      </c>
      <c r="BT68" s="24">
        <v>0</v>
      </c>
      <c r="BU68" s="24">
        <v>0</v>
      </c>
      <c r="BV68" s="24">
        <v>0</v>
      </c>
      <c r="BW68" s="24">
        <v>0</v>
      </c>
      <c r="BX68" s="24">
        <f t="shared" si="31"/>
        <v>73</v>
      </c>
      <c r="BY68" s="25" cm="1">
        <f t="array" ref="BY68:CJ68">IFERROR(VLOOKUP(A68,'[1]Acum-OB-kg-pob-25'!A:AQ,{17,18,19,20,21,22,23,24,25,26,27,28},0),0)</f>
        <v>0</v>
      </c>
      <c r="BZ68" s="25">
        <v>432</v>
      </c>
      <c r="CA68" s="25">
        <v>458</v>
      </c>
      <c r="CB68" s="25">
        <v>0</v>
      </c>
      <c r="CC68" s="25">
        <v>0</v>
      </c>
      <c r="CD68" s="25">
        <v>0</v>
      </c>
      <c r="CE68" s="25">
        <v>0</v>
      </c>
      <c r="CF68" s="25">
        <v>0</v>
      </c>
      <c r="CG68" s="25">
        <v>0</v>
      </c>
      <c r="CH68" s="25">
        <v>0</v>
      </c>
      <c r="CI68" s="25">
        <v>0</v>
      </c>
      <c r="CJ68" s="25">
        <v>0</v>
      </c>
      <c r="CK68" s="25">
        <f t="shared" si="32"/>
        <v>890</v>
      </c>
      <c r="CL68" s="26" cm="1">
        <f t="array" ref="CL68:CW68">IFERROR(VLOOKUP(A68,'[1]Acum-OB-kg-pob-25'!A:AQ,{31,32,33,34,35,36,37,38,39,40,41,42},0),0)</f>
        <v>0</v>
      </c>
      <c r="CM68" s="26">
        <v>14691</v>
      </c>
      <c r="CN68" s="26">
        <v>11044</v>
      </c>
      <c r="CO68" s="26">
        <v>0</v>
      </c>
      <c r="CP68" s="26">
        <v>0</v>
      </c>
      <c r="CQ68" s="26">
        <v>0</v>
      </c>
      <c r="CR68" s="26">
        <v>0</v>
      </c>
      <c r="CS68" s="26">
        <v>0</v>
      </c>
      <c r="CT68" s="26">
        <v>0</v>
      </c>
      <c r="CU68" s="26">
        <v>0</v>
      </c>
      <c r="CV68" s="26">
        <v>0</v>
      </c>
      <c r="CW68" s="26">
        <v>0</v>
      </c>
      <c r="CX68" s="26">
        <f t="shared" si="33"/>
        <v>25735</v>
      </c>
      <c r="CY68" s="14" t="str">
        <f>IF(A68=0,0,IFERROR(VLOOKUP(A68,'[1]Info Donantes'!C:F,2,0),"Sin Contacto"))</f>
        <v>Dazmara Zelaya</v>
      </c>
      <c r="CZ68" s="14" t="str">
        <f>IF(A68=0,0,IFERROR(VLOOKUP(A68,'[1]Info Donantes'!C:F,3,0),"Sin Correo"))</f>
        <v>dzelaya@goldmills.com.pa</v>
      </c>
      <c r="DA68" s="14" t="str">
        <f>IF(A68=0,0,IFERROR(VLOOKUP(A68,'[1]Info Donantes'!C:F,4,0),"Sin Telefono"))</f>
        <v>3603600</v>
      </c>
      <c r="DB68" s="14" t="str">
        <f>IF(A68=0,0,"Reporte de Trazabiidad"&amp;" - "&amp;'[1]Resumen Donantes'!$C$2&amp;" - "&amp;A68&amp;"")</f>
        <v>Reporte de Trazabiidad -  - GOLD MILLS</v>
      </c>
    </row>
    <row r="69" spans="1:106" x14ac:dyDescent="0.55000000000000004">
      <c r="A69" s="31" t="s">
        <v>173</v>
      </c>
      <c r="B69" s="15">
        <f>INT(IFERROR(VLOOKUP(A69,'[1]Resumen Donantes'!C:F,3,0),0))</f>
        <v>0</v>
      </c>
      <c r="C69" s="15">
        <f>INT(ROUND(IFERROR(VLOOKUP(A69,'[1]Resumen Donantes'!C:F,4,0),0),1))</f>
        <v>0</v>
      </c>
      <c r="D69" s="16">
        <f t="shared" si="19"/>
        <v>0</v>
      </c>
      <c r="E69" s="17" t="str">
        <f t="shared" si="20"/>
        <v>0.00%</v>
      </c>
      <c r="F69" s="17" t="str">
        <f t="shared" si="21"/>
        <v>0.0%</v>
      </c>
      <c r="G69" s="15">
        <f t="shared" si="25"/>
        <v>0</v>
      </c>
      <c r="H69" s="18"/>
      <c r="I69" s="18">
        <f>IFERROR(VLOOKUP(A69,'[1]Lot All by Part'!T:Y,6,0),0)</f>
        <v>0</v>
      </c>
      <c r="J69" s="18"/>
      <c r="K69" s="19">
        <f>IFERROR(VLOOKUP($A69,'[1]OB Atendidas por Donantes'!A:N,3,0),0)</f>
        <v>0</v>
      </c>
      <c r="L69" s="19">
        <f>ROUNDUP(IF(A69=0,0,IFERROR(VLOOKUP($A69,'[1]Kilos Asignado del Donante'!A:O,3,0),0)),0)</f>
        <v>0</v>
      </c>
      <c r="M69" s="19">
        <f>IF(A69=0,0,IFERROR(SUMIFS([1]Poblacion!M:M,[1]Poblacion!J:J,'MASTER-2025'!A69),0))</f>
        <v>0</v>
      </c>
      <c r="N69" s="20">
        <f>IFERROR(VLOOKUP($A69,'[1]OB Atendidas por Donantes'!A:N,4,0),0)</f>
        <v>0</v>
      </c>
      <c r="O69" s="20">
        <f>ROUNDUP(IF(A69=0,0,IFERROR(VLOOKUP($A69,'[1]Kilos Asignado del Donante'!A:O,4,0),0)),0)</f>
        <v>0</v>
      </c>
      <c r="P69" s="20">
        <f>IF(A69=0,0,IFERROR(SUMIFS([1]Poblacion!N:N,[1]Poblacion!J:J,'MASTER-2025'!A69),0))</f>
        <v>0</v>
      </c>
      <c r="Q69" s="18">
        <f>IFERROR(VLOOKUP($A69,'[1]OB Atendidas por Donantes'!A:N,2,0),0)</f>
        <v>0</v>
      </c>
      <c r="R69" s="18">
        <f>ROUNDUP(ROUND(IF(A69=0,0,IFERROR(VLOOKUP($A69,'[1]Kilos Asignado del Donante'!A:O,9,0),0)),1),0)</f>
        <v>0</v>
      </c>
      <c r="S69" s="18">
        <f>IF(A69=0,0,IFERROR(SUMIFS([1]Poblacion!S:S,[1]Poblacion!J:J,'MASTER-2025'!A69),0))</f>
        <v>0</v>
      </c>
      <c r="T69" s="19">
        <f>IFERROR(VLOOKUP($A69,'[1]OB Atendidas por Donantes'!A:N,12,0),0)</f>
        <v>0</v>
      </c>
      <c r="U69" s="19">
        <f>ROUNDUP(IF(A69=0,0,IF(A69=0,0,IFERROR(VLOOKUP($A69,'[1]Kilos Asignado del Donante'!A:O,7,0),0))),0)</f>
        <v>0</v>
      </c>
      <c r="V69" s="19">
        <f>IF(A69=0,0,IFERROR(SUMIFS([1]Poblacion!Q:Q,[1]Poblacion!J:J,'MASTER-2025'!A69),0))</f>
        <v>0</v>
      </c>
      <c r="W69" s="20">
        <f>IFERROR(VLOOKUP($A69,'[1]OB Atendidas por Donantes'!A:N,10,0),0)</f>
        <v>0</v>
      </c>
      <c r="X69" s="20">
        <f>ROUNDUP(IF(A69=0,0,IFERROR(VLOOKUP($A69,'[1]Kilos Asignado del Donante'!A:N,5,0),0)),0)</f>
        <v>0</v>
      </c>
      <c r="Y69" s="20">
        <f>IF(A69=0,0,IFERROR(SUMIFS([1]Poblacion!O:O,[1]Poblacion!J:J,'MASTER-2025'!A69),0))</f>
        <v>0</v>
      </c>
      <c r="Z69" s="18">
        <f>IFERROR(VLOOKUP($A69,'[1]OB Atendidas por Donantes'!A:N,6,0),0)</f>
        <v>0</v>
      </c>
      <c r="AA69" s="18">
        <f>ROUNDUP(IF(A69=0,0,IFERROR(VLOOKUP($A69,'[1]Kilos Asignado del Donante'!A:N,11,0),0)),0)</f>
        <v>0</v>
      </c>
      <c r="AB69" s="18">
        <f>IF(A69=0,0,IFERROR(SUMIFS([1]Poblacion!U:U,[1]Poblacion!J:J,'MASTER-2025'!A69),0))</f>
        <v>0</v>
      </c>
      <c r="AC69" s="19">
        <f>IFERROR(VLOOKUP($A69,'[1]OB Atendidas por Donantes'!A:N,7,0),0)</f>
        <v>0</v>
      </c>
      <c r="AD69" s="19">
        <f>ROUNDUP(IF(A69=0,0,IFERROR(VLOOKUP($A69,'[1]Kilos Asignado del Donante'!A:N,8,0),0)),0)</f>
        <v>0</v>
      </c>
      <c r="AE69" s="19">
        <f>IF(A69=0,0,IFERROR(SUMIFS([1]Poblacion!R:R,[1]Poblacion!J:J,'MASTER-2025'!A69),0))</f>
        <v>0</v>
      </c>
      <c r="AF69" s="20">
        <f>IFERROR(VLOOKUP($A69,'[1]OB Atendidas por Donantes'!A:N,8,0),0)</f>
        <v>0</v>
      </c>
      <c r="AG69" s="20">
        <f>ROUNDUP(IF(A69=0,0,IFERROR(VLOOKUP($A69,'[1]Kilos Asignado del Donante'!A:N,6,0),0)),0)</f>
        <v>0</v>
      </c>
      <c r="AH69" s="20">
        <f>IF(A69=0,0,IFERROR(SUMIFS([1]Poblacion!P:P,[1]Poblacion!J:J,'MASTER-2025'!A69),0))</f>
        <v>0</v>
      </c>
      <c r="AI69" s="18">
        <f>IFERROR(VLOOKUP($A69,'[1]OB Atendidas por Donantes'!A:N,9,0),0)</f>
        <v>0</v>
      </c>
      <c r="AJ69" s="18">
        <f>ROUNDUP(IF(A69=0,0,IFERROR(VLOOKUP($A69,'[1]Kilos Asignado del Donante'!A:N,12,0),0)),0)</f>
        <v>0</v>
      </c>
      <c r="AK69" s="18">
        <f>IF(A69=0,0,IFERROR(SUMIFS([1]Poblacion!V:V,[1]Poblacion!J:J,'MASTER-2025'!A69),0))</f>
        <v>0</v>
      </c>
      <c r="AL69" s="19">
        <f>IFERROR(VLOOKUP($A69,'[1]OB Atendidas por Donantes'!A:N,16,0),0)</f>
        <v>0</v>
      </c>
      <c r="AM69" s="19">
        <f>ROUNDUP(IF(A69=0,0,IFERROR(VLOOKUP($A69,'[1]Kilos Asignado del Donante'!A:O,16,0),0)),0)</f>
        <v>0</v>
      </c>
      <c r="AN69" s="19">
        <f>IF(A69=0,0,IFERROR(SUMIFS([1]Poblacion!Z:Z,[1]Poblacion!J:J,'MASTER-2025'!A69),0))</f>
        <v>0</v>
      </c>
      <c r="AO69" s="20">
        <f>IFERROR(VLOOKUP($A69,'[1]OB Atendidas por Donantes'!A:N,11,0),0)</f>
        <v>0</v>
      </c>
      <c r="AP69" s="20">
        <f>ROUNDUP(IF(A69=0,0,IFERROR(VLOOKUP($A69,'[1]Kilos Asignado del Donante'!A:N,13,0),0)),0)</f>
        <v>0</v>
      </c>
      <c r="AQ69" s="20">
        <f>IF(A69=0,0,IFERROR(SUMIFS([1]Poblacion!W:W,[1]Poblacion!J:J,'MASTER-2025'!A69),0))</f>
        <v>0</v>
      </c>
      <c r="AR69" s="18">
        <f>IFERROR(VLOOKUP($A69,'[1]OB Atendidas por Donantes'!A:N,5,0),0)</f>
        <v>0</v>
      </c>
      <c r="AS69" s="18">
        <f>ROUNDUP(IF(A69=0,0,IFERROR(VLOOKUP($A69,'[1]Kilos Asignado del Donante'!A:N,10,0),0)),0)</f>
        <v>0</v>
      </c>
      <c r="AT69" s="18">
        <f>IF(A69=0,0,IFERROR(SUMIFS([1]Poblacion!T:T,[1]Poblacion!J:J,'MASTER-2025'!A69),0))</f>
        <v>0</v>
      </c>
      <c r="AU69" s="19">
        <f>IFERROR(VLOOKUP($A69,'[1]OB Atendidas por Donantes'!A:N,13,0),0)</f>
        <v>0</v>
      </c>
      <c r="AV69" s="19">
        <f>ROUNDUP(IF(A69=0,0,IFERROR(VLOOKUP($A69,'[1]Kilos Asignado del Donante'!A:N,14,0),0)),0)</f>
        <v>0</v>
      </c>
      <c r="AW69" s="19">
        <f>IF(A69=0,0,IFERROR(SUMIFS([1]Poblacion!X:X,[1]Poblacion!J:J,'MASTER-2025'!A69),0))</f>
        <v>0</v>
      </c>
      <c r="AX69" s="20">
        <f>IFERROR(VLOOKUP($A69,'[1]OB Atendidas por Donantes'!A:N,16,0),0)</f>
        <v>0</v>
      </c>
      <c r="AY69" s="20">
        <f>ROUNDUP(IF(A69=0,0,IFERROR(VLOOKUP($A69,'[1]Kilos Asignado del Donante'!A:O,16,0),0)),0)</f>
        <v>0</v>
      </c>
      <c r="AZ69" s="20">
        <f>IF(A69=0,0,IFERROR(SUMIFS([1]Poblacion!Y:Y,[1]Poblacion!J:J,'MASTER-2025'!A69),0))</f>
        <v>0</v>
      </c>
      <c r="BA69" s="21">
        <f t="shared" si="15"/>
        <v>0</v>
      </c>
      <c r="BB69" s="21">
        <f t="shared" si="29"/>
        <v>0</v>
      </c>
      <c r="BC69" s="21">
        <f t="shared" si="24"/>
        <v>0</v>
      </c>
      <c r="BD69" s="21">
        <f t="shared" si="26"/>
        <v>0</v>
      </c>
      <c r="BE69" s="22" t="e">
        <f>IF(A69=0,0,SUMIFS([1]Poblacion!C:C,[1]Poblacion!A:A,'MASTER-2025'!A69))</f>
        <v>#VALUE!</v>
      </c>
      <c r="BF69" s="22" t="e">
        <f>IF(A69=0,0,SUMIFS([1]Poblacion!D:D,[1]Poblacion!A:A,'MASTER-2025'!A69))</f>
        <v>#VALUE!</v>
      </c>
      <c r="BG69" s="22" t="e">
        <f>IF(A69=0,0,SUMIFS([1]Poblacion!E:E,[1]Poblacion!A:A,'MASTER-2025'!A69))</f>
        <v>#VALUE!</v>
      </c>
      <c r="BH69" s="22" t="e">
        <f>IF(A69=0,0,SUMIFS([1]Poblacion!F:F,[1]Poblacion!A:A,'MASTER-2025'!A69))</f>
        <v>#VALUE!</v>
      </c>
      <c r="BI69" s="22" t="e">
        <f t="shared" si="18"/>
        <v>#VALUE!</v>
      </c>
      <c r="BJ69" s="23" t="e">
        <f t="shared" si="30"/>
        <v>#VALUE!</v>
      </c>
      <c r="BK69" s="22" t="e">
        <f>IF(A69=0,0,SUMIFS([1]Poblacion!G:G,[1]Poblacion!A:A,'MASTER-2025'!A69))</f>
        <v>#VALUE!</v>
      </c>
      <c r="BL69" s="24" cm="1">
        <f t="array" ref="BL69:BW69">IFERROR(VLOOKUP(A69,'[1]Acum-OB-kg-pob-25'!A:AQ,{3,4,5,6,7,8,9,10,11,12,13,14},0),0)</f>
        <v>0</v>
      </c>
      <c r="BM69" s="24">
        <v>0</v>
      </c>
      <c r="BN69" s="24">
        <v>0</v>
      </c>
      <c r="BO69" s="24">
        <v>0</v>
      </c>
      <c r="BP69" s="24">
        <v>0</v>
      </c>
      <c r="BQ69" s="24">
        <v>0</v>
      </c>
      <c r="BR69" s="24">
        <v>0</v>
      </c>
      <c r="BS69" s="24">
        <v>0</v>
      </c>
      <c r="BT69" s="24">
        <v>0</v>
      </c>
      <c r="BU69" s="24">
        <v>0</v>
      </c>
      <c r="BV69" s="24">
        <v>0</v>
      </c>
      <c r="BW69" s="24">
        <v>0</v>
      </c>
      <c r="BX69" s="24">
        <f t="shared" si="31"/>
        <v>0</v>
      </c>
      <c r="BY69" s="25" cm="1">
        <f t="array" ref="BY69:CJ69">IFERROR(VLOOKUP(A69,'[1]Acum-OB-kg-pob-25'!A:AQ,{17,18,19,20,21,22,23,24,25,26,27,28},0),0)</f>
        <v>0</v>
      </c>
      <c r="BZ69" s="25">
        <v>0</v>
      </c>
      <c r="CA69" s="25">
        <v>0</v>
      </c>
      <c r="CB69" s="25">
        <v>0</v>
      </c>
      <c r="CC69" s="25">
        <v>0</v>
      </c>
      <c r="CD69" s="25">
        <v>0</v>
      </c>
      <c r="CE69" s="25">
        <v>0</v>
      </c>
      <c r="CF69" s="25">
        <v>0</v>
      </c>
      <c r="CG69" s="25">
        <v>0</v>
      </c>
      <c r="CH69" s="25">
        <v>0</v>
      </c>
      <c r="CI69" s="25">
        <v>0</v>
      </c>
      <c r="CJ69" s="25">
        <v>0</v>
      </c>
      <c r="CK69" s="25">
        <f t="shared" si="32"/>
        <v>0</v>
      </c>
      <c r="CL69" s="26" cm="1">
        <f t="array" ref="CL69:CW69">IFERROR(VLOOKUP(A69,'[1]Acum-OB-kg-pob-25'!A:AQ,{31,32,33,34,35,36,37,38,39,40,41,42},0),0)</f>
        <v>0</v>
      </c>
      <c r="CM69" s="26">
        <v>0</v>
      </c>
      <c r="CN69" s="26">
        <v>0</v>
      </c>
      <c r="CO69" s="26">
        <v>0</v>
      </c>
      <c r="CP69" s="26">
        <v>0</v>
      </c>
      <c r="CQ69" s="26">
        <v>0</v>
      </c>
      <c r="CR69" s="26">
        <v>0</v>
      </c>
      <c r="CS69" s="26">
        <v>0</v>
      </c>
      <c r="CT69" s="26">
        <v>0</v>
      </c>
      <c r="CU69" s="26">
        <v>0</v>
      </c>
      <c r="CV69" s="26">
        <v>0</v>
      </c>
      <c r="CW69" s="26">
        <v>0</v>
      </c>
      <c r="CX69" s="26">
        <f t="shared" si="33"/>
        <v>0</v>
      </c>
      <c r="CY69" s="14" t="str">
        <f>IF(A69=0,0,IFERROR(VLOOKUP(A69,'[1]Info Donantes'!C:F,2,0),"Sin Contacto"))</f>
        <v>Roselys Brito</v>
      </c>
      <c r="CZ69" s="14" t="str">
        <f>IF(A69=0,0,IFERROR(VLOOKUP(A69,'[1]Info Donantes'!C:F,3,0),"Sin Correo"))</f>
        <v>rbrito@subway.com.pa</v>
      </c>
      <c r="DA69" s="14" t="str">
        <f>IF(A69=0,0,IFERROR(VLOOKUP(A69,'[1]Info Donantes'!C:F,4,0),"Sin Telefono"))</f>
        <v>204-5555</v>
      </c>
      <c r="DB69" s="14" t="str">
        <f>IF(A69=0,0,"Reporte de Trazabiidad"&amp;" - "&amp;'[1]Resumen Donantes'!$C$2&amp;" - "&amp;A69&amp;"")</f>
        <v>Reporte de Trazabiidad -  - International Franchise Food Service/Subway</v>
      </c>
    </row>
    <row r="70" spans="1:106" x14ac:dyDescent="0.55000000000000004">
      <c r="A70" s="31" t="s">
        <v>174</v>
      </c>
      <c r="B70" s="15">
        <f>INT(IFERROR(VLOOKUP(A70,'[1]Resumen Donantes'!C:F,3,0),0))</f>
        <v>0</v>
      </c>
      <c r="C70" s="15">
        <f>INT(ROUND(IFERROR(VLOOKUP(A70,'[1]Resumen Donantes'!C:F,4,0),0),1))</f>
        <v>0</v>
      </c>
      <c r="D70" s="16">
        <f t="shared" si="19"/>
        <v>0</v>
      </c>
      <c r="E70" s="17" t="str">
        <f t="shared" si="20"/>
        <v>0.00%</v>
      </c>
      <c r="F70" s="17" t="str">
        <f t="shared" si="21"/>
        <v>0.0%</v>
      </c>
      <c r="G70" s="15">
        <f t="shared" si="25"/>
        <v>0</v>
      </c>
      <c r="H70" s="18"/>
      <c r="I70" s="18">
        <f>IFERROR(VLOOKUP(A70,'[1]Lot All by Part'!T:Y,6,0),0)</f>
        <v>0</v>
      </c>
      <c r="J70" s="18"/>
      <c r="K70" s="19">
        <f>IFERROR(VLOOKUP($A70,'[1]OB Atendidas por Donantes'!A:N,3,0),0)</f>
        <v>0</v>
      </c>
      <c r="L70" s="19">
        <f>ROUNDUP(IF(A70=0,0,IFERROR(VLOOKUP($A70,'[1]Kilos Asignado del Donante'!A:O,3,0),0)),0)</f>
        <v>0</v>
      </c>
      <c r="M70" s="19">
        <f>IF(A70=0,0,IFERROR(SUMIFS([1]Poblacion!M:M,[1]Poblacion!J:J,'MASTER-2025'!A70),0))</f>
        <v>0</v>
      </c>
      <c r="N70" s="20">
        <f>IFERROR(VLOOKUP($A70,'[1]OB Atendidas por Donantes'!A:N,4,0),0)</f>
        <v>0</v>
      </c>
      <c r="O70" s="20">
        <f>ROUNDUP(IF(A70=0,0,IFERROR(VLOOKUP($A70,'[1]Kilos Asignado del Donante'!A:O,4,0),0)),0)</f>
        <v>0</v>
      </c>
      <c r="P70" s="20">
        <f>IF(A70=0,0,IFERROR(SUMIFS([1]Poblacion!N:N,[1]Poblacion!J:J,'MASTER-2025'!A70),0))</f>
        <v>0</v>
      </c>
      <c r="Q70" s="18">
        <f>IFERROR(VLOOKUP($A70,'[1]OB Atendidas por Donantes'!A:N,2,0),0)</f>
        <v>0</v>
      </c>
      <c r="R70" s="18">
        <f>ROUNDUP(ROUND(IF(A70=0,0,IFERROR(VLOOKUP($A70,'[1]Kilos Asignado del Donante'!A:O,9,0),0)),1),0)</f>
        <v>0</v>
      </c>
      <c r="S70" s="18">
        <f>IF(A70=0,0,IFERROR(SUMIFS([1]Poblacion!S:S,[1]Poblacion!J:J,'MASTER-2025'!A70),0))</f>
        <v>0</v>
      </c>
      <c r="T70" s="19">
        <f>IFERROR(VLOOKUP($A70,'[1]OB Atendidas por Donantes'!A:N,12,0),0)</f>
        <v>0</v>
      </c>
      <c r="U70" s="19">
        <f>ROUNDUP(IF(A70=0,0,IF(A70=0,0,IFERROR(VLOOKUP($A70,'[1]Kilos Asignado del Donante'!A:O,7,0),0))),0)</f>
        <v>0</v>
      </c>
      <c r="V70" s="19">
        <f>IF(A70=0,0,IFERROR(SUMIFS([1]Poblacion!Q:Q,[1]Poblacion!J:J,'MASTER-2025'!A70),0))</f>
        <v>0</v>
      </c>
      <c r="W70" s="20">
        <f>IFERROR(VLOOKUP($A70,'[1]OB Atendidas por Donantes'!A:N,10,0),0)</f>
        <v>0</v>
      </c>
      <c r="X70" s="20">
        <f>ROUNDUP(IF(A70=0,0,IFERROR(VLOOKUP($A70,'[1]Kilos Asignado del Donante'!A:N,5,0),0)),0)</f>
        <v>0</v>
      </c>
      <c r="Y70" s="20">
        <f>IF(A70=0,0,IFERROR(SUMIFS([1]Poblacion!O:O,[1]Poblacion!J:J,'MASTER-2025'!A70),0))</f>
        <v>0</v>
      </c>
      <c r="Z70" s="18">
        <f>IFERROR(VLOOKUP($A70,'[1]OB Atendidas por Donantes'!A:N,6,0),0)</f>
        <v>0</v>
      </c>
      <c r="AA70" s="18">
        <f>ROUNDUP(IF(A70=0,0,IFERROR(VLOOKUP($A70,'[1]Kilos Asignado del Donante'!A:N,11,0),0)),0)</f>
        <v>0</v>
      </c>
      <c r="AB70" s="18">
        <f>IF(A70=0,0,IFERROR(SUMIFS([1]Poblacion!U:U,[1]Poblacion!J:J,'MASTER-2025'!A70),0))</f>
        <v>0</v>
      </c>
      <c r="AC70" s="19">
        <f>IFERROR(VLOOKUP($A70,'[1]OB Atendidas por Donantes'!A:N,7,0),0)</f>
        <v>0</v>
      </c>
      <c r="AD70" s="19">
        <f>ROUNDUP(IF(A70=0,0,IFERROR(VLOOKUP($A70,'[1]Kilos Asignado del Donante'!A:N,8,0),0)),0)</f>
        <v>0</v>
      </c>
      <c r="AE70" s="19">
        <f>IF(A70=0,0,IFERROR(SUMIFS([1]Poblacion!R:R,[1]Poblacion!J:J,'MASTER-2025'!A70),0))</f>
        <v>0</v>
      </c>
      <c r="AF70" s="20">
        <f>IFERROR(VLOOKUP($A70,'[1]OB Atendidas por Donantes'!A:N,8,0),0)</f>
        <v>0</v>
      </c>
      <c r="AG70" s="20">
        <f>ROUNDUP(IF(A70=0,0,IFERROR(VLOOKUP($A70,'[1]Kilos Asignado del Donante'!A:N,6,0),0)),0)</f>
        <v>0</v>
      </c>
      <c r="AH70" s="20">
        <f>IF(A70=0,0,IFERROR(SUMIFS([1]Poblacion!P:P,[1]Poblacion!J:J,'MASTER-2025'!A70),0))</f>
        <v>0</v>
      </c>
      <c r="AI70" s="18">
        <f>IFERROR(VLOOKUP($A70,'[1]OB Atendidas por Donantes'!A:N,9,0),0)</f>
        <v>0</v>
      </c>
      <c r="AJ70" s="18">
        <f>ROUNDUP(IF(A70=0,0,IFERROR(VLOOKUP($A70,'[1]Kilos Asignado del Donante'!A:N,12,0),0)),0)</f>
        <v>0</v>
      </c>
      <c r="AK70" s="18">
        <f>IF(A70=0,0,IFERROR(SUMIFS([1]Poblacion!V:V,[1]Poblacion!J:J,'MASTER-2025'!A70),0))</f>
        <v>0</v>
      </c>
      <c r="AL70" s="19">
        <f>IFERROR(VLOOKUP($A70,'[1]OB Atendidas por Donantes'!A:N,16,0),0)</f>
        <v>0</v>
      </c>
      <c r="AM70" s="19">
        <f>ROUNDUP(IF(A70=0,0,IFERROR(VLOOKUP($A70,'[1]Kilos Asignado del Donante'!A:O,16,0),0)),0)</f>
        <v>0</v>
      </c>
      <c r="AN70" s="19">
        <f>IF(A70=0,0,IFERROR(SUMIFS([1]Poblacion!Z:Z,[1]Poblacion!J:J,'MASTER-2025'!A70),0))</f>
        <v>0</v>
      </c>
      <c r="AO70" s="20">
        <f>IFERROR(VLOOKUP($A70,'[1]OB Atendidas por Donantes'!A:N,11,0),0)</f>
        <v>0</v>
      </c>
      <c r="AP70" s="20">
        <f>ROUNDUP(IF(A70=0,0,IFERROR(VLOOKUP($A70,'[1]Kilos Asignado del Donante'!A:N,13,0),0)),0)</f>
        <v>0</v>
      </c>
      <c r="AQ70" s="20">
        <f>IF(A70=0,0,IFERROR(SUMIFS([1]Poblacion!W:W,[1]Poblacion!J:J,'MASTER-2025'!A70),0))</f>
        <v>0</v>
      </c>
      <c r="AR70" s="18">
        <f>IFERROR(VLOOKUP($A70,'[1]OB Atendidas por Donantes'!A:N,5,0),0)</f>
        <v>0</v>
      </c>
      <c r="AS70" s="18">
        <f>ROUNDUP(IF(A70=0,0,IFERROR(VLOOKUP($A70,'[1]Kilos Asignado del Donante'!A:N,10,0),0)),0)</f>
        <v>0</v>
      </c>
      <c r="AT70" s="18">
        <f>IF(A70=0,0,IFERROR(SUMIFS([1]Poblacion!T:T,[1]Poblacion!J:J,'MASTER-2025'!A70),0))</f>
        <v>0</v>
      </c>
      <c r="AU70" s="19">
        <f>IFERROR(VLOOKUP($A70,'[1]OB Atendidas por Donantes'!A:N,13,0),0)</f>
        <v>0</v>
      </c>
      <c r="AV70" s="19">
        <f>ROUNDUP(IF(A70=0,0,IFERROR(VLOOKUP($A70,'[1]Kilos Asignado del Donante'!A:N,14,0),0)),0)</f>
        <v>0</v>
      </c>
      <c r="AW70" s="19">
        <f>IF(A70=0,0,IFERROR(SUMIFS([1]Poblacion!X:X,[1]Poblacion!J:J,'MASTER-2025'!A70),0))</f>
        <v>0</v>
      </c>
      <c r="AX70" s="20">
        <f>IFERROR(VLOOKUP($A70,'[1]OB Atendidas por Donantes'!A:N,16,0),0)</f>
        <v>0</v>
      </c>
      <c r="AY70" s="20">
        <f>ROUNDUP(IF(A70=0,0,IFERROR(VLOOKUP($A70,'[1]Kilos Asignado del Donante'!A:O,16,0),0)),0)</f>
        <v>0</v>
      </c>
      <c r="AZ70" s="20">
        <f>IF(A70=0,0,IFERROR(SUMIFS([1]Poblacion!Y:Y,[1]Poblacion!J:J,'MASTER-2025'!A70),0))</f>
        <v>0</v>
      </c>
      <c r="BA70" s="21">
        <f t="shared" si="15"/>
        <v>0</v>
      </c>
      <c r="BB70" s="21">
        <f t="shared" si="29"/>
        <v>0</v>
      </c>
      <c r="BC70" s="21">
        <f t="shared" si="24"/>
        <v>0</v>
      </c>
      <c r="BD70" s="21">
        <f t="shared" si="26"/>
        <v>0</v>
      </c>
      <c r="BE70" s="22" t="e">
        <f>IF(A70=0,0,SUMIFS([1]Poblacion!C:C,[1]Poblacion!A:A,'MASTER-2025'!A70))</f>
        <v>#VALUE!</v>
      </c>
      <c r="BF70" s="22" t="e">
        <f>IF(A70=0,0,SUMIFS([1]Poblacion!D:D,[1]Poblacion!A:A,'MASTER-2025'!A70))</f>
        <v>#VALUE!</v>
      </c>
      <c r="BG70" s="22" t="e">
        <f>IF(A70=0,0,SUMIFS([1]Poblacion!E:E,[1]Poblacion!A:A,'MASTER-2025'!A70))</f>
        <v>#VALUE!</v>
      </c>
      <c r="BH70" s="22" t="e">
        <f>IF(A70=0,0,SUMIFS([1]Poblacion!F:F,[1]Poblacion!A:A,'MASTER-2025'!A70))</f>
        <v>#VALUE!</v>
      </c>
      <c r="BI70" s="22" t="e">
        <f t="shared" si="18"/>
        <v>#VALUE!</v>
      </c>
      <c r="BJ70" s="23" t="e">
        <f t="shared" si="30"/>
        <v>#VALUE!</v>
      </c>
      <c r="BK70" s="22" t="e">
        <f>IF(A70=0,0,SUMIFS([1]Poblacion!G:G,[1]Poblacion!A:A,'MASTER-2025'!A70))</f>
        <v>#VALUE!</v>
      </c>
      <c r="BL70" s="24" cm="1">
        <f t="array" ref="BL70:BW70">IFERROR(VLOOKUP(A70,'[1]Acum-OB-kg-pob-25'!A:AQ,{3,4,5,6,7,8,9,10,11,12,13,14},0),0)</f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4">
        <v>0</v>
      </c>
      <c r="BS70" s="24">
        <v>0</v>
      </c>
      <c r="BT70" s="24">
        <v>0</v>
      </c>
      <c r="BU70" s="24">
        <v>0</v>
      </c>
      <c r="BV70" s="24">
        <v>0</v>
      </c>
      <c r="BW70" s="24">
        <v>0</v>
      </c>
      <c r="BX70" s="24">
        <f t="shared" si="31"/>
        <v>0</v>
      </c>
      <c r="BY70" s="25" cm="1">
        <f t="array" ref="BY70:CJ70">IFERROR(VLOOKUP(A70,'[1]Acum-OB-kg-pob-25'!A:AQ,{17,18,19,20,21,22,23,24,25,26,27,28},0),0)</f>
        <v>0</v>
      </c>
      <c r="BZ70" s="25">
        <v>0</v>
      </c>
      <c r="CA70" s="25">
        <v>0</v>
      </c>
      <c r="CB70" s="25">
        <v>0</v>
      </c>
      <c r="CC70" s="25">
        <v>0</v>
      </c>
      <c r="CD70" s="25">
        <v>0</v>
      </c>
      <c r="CE70" s="25">
        <v>0</v>
      </c>
      <c r="CF70" s="25">
        <v>0</v>
      </c>
      <c r="CG70" s="25">
        <v>0</v>
      </c>
      <c r="CH70" s="25">
        <v>0</v>
      </c>
      <c r="CI70" s="25">
        <v>0</v>
      </c>
      <c r="CJ70" s="25">
        <v>0</v>
      </c>
      <c r="CK70" s="25">
        <f t="shared" si="32"/>
        <v>0</v>
      </c>
      <c r="CL70" s="26" cm="1">
        <f t="array" ref="CL70:CW70">IFERROR(VLOOKUP(A70,'[1]Acum-OB-kg-pob-25'!A:AQ,{31,32,33,34,35,36,37,38,39,40,41,42},0),0)</f>
        <v>0</v>
      </c>
      <c r="CM70" s="26">
        <v>0</v>
      </c>
      <c r="CN70" s="26">
        <v>0</v>
      </c>
      <c r="CO70" s="26">
        <v>0</v>
      </c>
      <c r="CP70" s="26">
        <v>0</v>
      </c>
      <c r="CQ70" s="26">
        <v>0</v>
      </c>
      <c r="CR70" s="26">
        <v>0</v>
      </c>
      <c r="CS70" s="26">
        <v>0</v>
      </c>
      <c r="CT70" s="26">
        <v>0</v>
      </c>
      <c r="CU70" s="26">
        <v>0</v>
      </c>
      <c r="CV70" s="26">
        <v>0</v>
      </c>
      <c r="CW70" s="26">
        <v>0</v>
      </c>
      <c r="CX70" s="26">
        <f t="shared" si="33"/>
        <v>0</v>
      </c>
      <c r="CY70" s="14" t="str">
        <f>IF(A70=0,0,IFERROR(VLOOKUP(A70,'[1]Info Donantes'!C:F,2,0),"Sin Contacto"))</f>
        <v>Monica Lucero</v>
      </c>
      <c r="CZ70" s="14" t="str">
        <f>IF(A70=0,0,IFERROR(VLOOKUP(A70,'[1]Info Donantes'!C:F,3,0),"Sin Correo"))</f>
        <v>monica.lucero@kcc.com</v>
      </c>
      <c r="DA70" s="14" t="str">
        <f>IF(A70=0,0,IFERROR(VLOOKUP(A70,'[1]Info Donantes'!C:F,4,0),"Sin Telefono"))</f>
        <v>366-1700</v>
      </c>
      <c r="DB70" s="14" t="str">
        <f>IF(A70=0,0,"Reporte de Trazabiidad"&amp;" - "&amp;'[1]Resumen Donantes'!$C$2&amp;" - "&amp;A70&amp;"")</f>
        <v>Reporte de Trazabiidad -  - KIMBERLY-CLARK CENTRAL AMERICAN HOLDING, S.A</v>
      </c>
    </row>
    <row r="71" spans="1:106" x14ac:dyDescent="0.55000000000000004">
      <c r="A71" s="31" t="s">
        <v>175</v>
      </c>
      <c r="B71" s="15">
        <f>INT(IFERROR(VLOOKUP(A71,'[1]Resumen Donantes'!C:F,3,0),0))</f>
        <v>0</v>
      </c>
      <c r="C71" s="15">
        <f>INT(ROUND(IFERROR(VLOOKUP(A71,'[1]Resumen Donantes'!C:F,4,0),0),1))</f>
        <v>0</v>
      </c>
      <c r="D71" s="16">
        <f t="shared" si="19"/>
        <v>0</v>
      </c>
      <c r="E71" s="17" t="str">
        <f t="shared" si="20"/>
        <v>0.00%</v>
      </c>
      <c r="F71" s="17" t="str">
        <f t="shared" si="21"/>
        <v>0.0%</v>
      </c>
      <c r="G71" s="15">
        <f t="shared" si="25"/>
        <v>0</v>
      </c>
      <c r="H71" s="18"/>
      <c r="I71" s="18">
        <f>IFERROR(VLOOKUP(A71,'[1]Lot All by Part'!T:Y,6,0),0)</f>
        <v>0</v>
      </c>
      <c r="J71" s="18"/>
      <c r="K71" s="19">
        <f>IFERROR(VLOOKUP($A71,'[1]OB Atendidas por Donantes'!A:N,3,0),0)</f>
        <v>0</v>
      </c>
      <c r="L71" s="19">
        <f>ROUNDUP(IF(A71=0,0,IFERROR(VLOOKUP($A71,'[1]Kilos Asignado del Donante'!A:O,3,0),0)),0)</f>
        <v>0</v>
      </c>
      <c r="M71" s="19">
        <f>IF(A71=0,0,IFERROR(SUMIFS([1]Poblacion!M:M,[1]Poblacion!J:J,'MASTER-2025'!A71),0))</f>
        <v>0</v>
      </c>
      <c r="N71" s="20">
        <f>IFERROR(VLOOKUP($A71,'[1]OB Atendidas por Donantes'!A:N,4,0),0)</f>
        <v>0</v>
      </c>
      <c r="O71" s="20">
        <f>ROUNDUP(IF(A71=0,0,IFERROR(VLOOKUP($A71,'[1]Kilos Asignado del Donante'!A:O,4,0),0)),0)</f>
        <v>0</v>
      </c>
      <c r="P71" s="20">
        <f>IF(A71=0,0,IFERROR(SUMIFS([1]Poblacion!N:N,[1]Poblacion!J:J,'MASTER-2025'!A71),0))</f>
        <v>0</v>
      </c>
      <c r="Q71" s="18">
        <f>IFERROR(VLOOKUP($A71,'[1]OB Atendidas por Donantes'!A:N,2,0),0)</f>
        <v>0</v>
      </c>
      <c r="R71" s="18">
        <f>ROUNDUP(ROUND(IF(A71=0,0,IFERROR(VLOOKUP($A71,'[1]Kilos Asignado del Donante'!A:O,9,0),0)),1),0)</f>
        <v>0</v>
      </c>
      <c r="S71" s="18">
        <f>IF(A71=0,0,IFERROR(SUMIFS([1]Poblacion!S:S,[1]Poblacion!J:J,'MASTER-2025'!A71),0))</f>
        <v>0</v>
      </c>
      <c r="T71" s="19">
        <f>IFERROR(VLOOKUP($A71,'[1]OB Atendidas por Donantes'!A:N,12,0),0)</f>
        <v>0</v>
      </c>
      <c r="U71" s="19">
        <f>ROUNDUP(IF(A71=0,0,IF(A71=0,0,IFERROR(VLOOKUP($A71,'[1]Kilos Asignado del Donante'!A:O,7,0),0))),0)</f>
        <v>0</v>
      </c>
      <c r="V71" s="19">
        <f>IF(A71=0,0,IFERROR(SUMIFS([1]Poblacion!Q:Q,[1]Poblacion!J:J,'MASTER-2025'!A71),0))</f>
        <v>0</v>
      </c>
      <c r="W71" s="20">
        <f>IFERROR(VLOOKUP($A71,'[1]OB Atendidas por Donantes'!A:N,10,0),0)</f>
        <v>0</v>
      </c>
      <c r="X71" s="20">
        <f>ROUNDUP(IF(A71=0,0,IFERROR(VLOOKUP($A71,'[1]Kilos Asignado del Donante'!A:N,5,0),0)),0)</f>
        <v>0</v>
      </c>
      <c r="Y71" s="20">
        <f>IF(A71=0,0,IFERROR(SUMIFS([1]Poblacion!O:O,[1]Poblacion!J:J,'MASTER-2025'!A71),0))</f>
        <v>0</v>
      </c>
      <c r="Z71" s="18">
        <f>IFERROR(VLOOKUP($A71,'[1]OB Atendidas por Donantes'!A:N,6,0),0)</f>
        <v>0</v>
      </c>
      <c r="AA71" s="18">
        <f>ROUNDUP(IF(A71=0,0,IFERROR(VLOOKUP($A71,'[1]Kilos Asignado del Donante'!A:N,11,0),0)),0)</f>
        <v>0</v>
      </c>
      <c r="AB71" s="18">
        <f>IF(A71=0,0,IFERROR(SUMIFS([1]Poblacion!U:U,[1]Poblacion!J:J,'MASTER-2025'!A71),0))</f>
        <v>0</v>
      </c>
      <c r="AC71" s="19">
        <f>IFERROR(VLOOKUP($A71,'[1]OB Atendidas por Donantes'!A:N,7,0),0)</f>
        <v>0</v>
      </c>
      <c r="AD71" s="19">
        <f>ROUNDUP(IF(A71=0,0,IFERROR(VLOOKUP($A71,'[1]Kilos Asignado del Donante'!A:N,8,0),0)),0)</f>
        <v>0</v>
      </c>
      <c r="AE71" s="19">
        <f>IF(A71=0,0,IFERROR(SUMIFS([1]Poblacion!R:R,[1]Poblacion!J:J,'MASTER-2025'!A71),0))</f>
        <v>0</v>
      </c>
      <c r="AF71" s="20">
        <f>IFERROR(VLOOKUP($A71,'[1]OB Atendidas por Donantes'!A:N,8,0),0)</f>
        <v>0</v>
      </c>
      <c r="AG71" s="20">
        <f>ROUNDUP(IF(A71=0,0,IFERROR(VLOOKUP($A71,'[1]Kilos Asignado del Donante'!A:N,6,0),0)),0)</f>
        <v>0</v>
      </c>
      <c r="AH71" s="20">
        <f>IF(A71=0,0,IFERROR(SUMIFS([1]Poblacion!P:P,[1]Poblacion!J:J,'MASTER-2025'!A71),0))</f>
        <v>0</v>
      </c>
      <c r="AI71" s="18">
        <f>IFERROR(VLOOKUP($A71,'[1]OB Atendidas por Donantes'!A:N,9,0),0)</f>
        <v>0</v>
      </c>
      <c r="AJ71" s="18">
        <f>ROUNDUP(IF(A71=0,0,IFERROR(VLOOKUP($A71,'[1]Kilos Asignado del Donante'!A:N,12,0),0)),0)</f>
        <v>0</v>
      </c>
      <c r="AK71" s="18">
        <f>IF(A71=0,0,IFERROR(SUMIFS([1]Poblacion!V:V,[1]Poblacion!J:J,'MASTER-2025'!A71),0))</f>
        <v>0</v>
      </c>
      <c r="AL71" s="19">
        <f>IFERROR(VLOOKUP($A71,'[1]OB Atendidas por Donantes'!A:N,16,0),0)</f>
        <v>0</v>
      </c>
      <c r="AM71" s="19">
        <f>ROUNDUP(IF(A71=0,0,IFERROR(VLOOKUP($A71,'[1]Kilos Asignado del Donante'!A:O,16,0),0)),0)</f>
        <v>0</v>
      </c>
      <c r="AN71" s="19">
        <f>IF(A71=0,0,IFERROR(SUMIFS([1]Poblacion!Z:Z,[1]Poblacion!J:J,'MASTER-2025'!A71),0))</f>
        <v>0</v>
      </c>
      <c r="AO71" s="20">
        <f>IFERROR(VLOOKUP($A71,'[1]OB Atendidas por Donantes'!A:N,11,0),0)</f>
        <v>0</v>
      </c>
      <c r="AP71" s="20">
        <f>ROUNDUP(IF(A71=0,0,IFERROR(VLOOKUP($A71,'[1]Kilos Asignado del Donante'!A:N,13,0),0)),0)</f>
        <v>0</v>
      </c>
      <c r="AQ71" s="20">
        <f>IF(A71=0,0,IFERROR(SUMIFS([1]Poblacion!W:W,[1]Poblacion!J:J,'MASTER-2025'!A71),0))</f>
        <v>0</v>
      </c>
      <c r="AR71" s="18">
        <f>IFERROR(VLOOKUP($A71,'[1]OB Atendidas por Donantes'!A:N,5,0),0)</f>
        <v>0</v>
      </c>
      <c r="AS71" s="18">
        <f>ROUNDUP(IF(A71=0,0,IFERROR(VLOOKUP($A71,'[1]Kilos Asignado del Donante'!A:N,10,0),0)),0)</f>
        <v>0</v>
      </c>
      <c r="AT71" s="18">
        <f>IF(A71=0,0,IFERROR(SUMIFS([1]Poblacion!T:T,[1]Poblacion!J:J,'MASTER-2025'!A71),0))</f>
        <v>0</v>
      </c>
      <c r="AU71" s="19">
        <f>IFERROR(VLOOKUP($A71,'[1]OB Atendidas por Donantes'!A:N,13,0),0)</f>
        <v>0</v>
      </c>
      <c r="AV71" s="19">
        <f>ROUNDUP(IF(A71=0,0,IFERROR(VLOOKUP($A71,'[1]Kilos Asignado del Donante'!A:N,14,0),0)),0)</f>
        <v>0</v>
      </c>
      <c r="AW71" s="19">
        <f>IF(A71=0,0,IFERROR(SUMIFS([1]Poblacion!X:X,[1]Poblacion!J:J,'MASTER-2025'!A71),0))</f>
        <v>0</v>
      </c>
      <c r="AX71" s="20">
        <f>IFERROR(VLOOKUP($A71,'[1]OB Atendidas por Donantes'!A:N,16,0),0)</f>
        <v>0</v>
      </c>
      <c r="AY71" s="20">
        <f>ROUNDUP(IF(A71=0,0,IFERROR(VLOOKUP($A71,'[1]Kilos Asignado del Donante'!A:O,16,0),0)),0)</f>
        <v>0</v>
      </c>
      <c r="AZ71" s="20">
        <f>IF(A71=0,0,IFERROR(SUMIFS([1]Poblacion!Y:Y,[1]Poblacion!J:J,'MASTER-2025'!A71),0))</f>
        <v>0</v>
      </c>
      <c r="BA71" s="21">
        <f t="shared" si="15"/>
        <v>0</v>
      </c>
      <c r="BB71" s="21">
        <f t="shared" si="29"/>
        <v>0</v>
      </c>
      <c r="BC71" s="21">
        <f t="shared" si="24"/>
        <v>0</v>
      </c>
      <c r="BD71" s="21">
        <f t="shared" si="26"/>
        <v>0</v>
      </c>
      <c r="BE71" s="22" t="e">
        <f>IF(A71=0,0,SUMIFS([1]Poblacion!C:C,[1]Poblacion!A:A,'MASTER-2025'!A71))</f>
        <v>#VALUE!</v>
      </c>
      <c r="BF71" s="22" t="e">
        <f>IF(A71=0,0,SUMIFS([1]Poblacion!D:D,[1]Poblacion!A:A,'MASTER-2025'!A71))</f>
        <v>#VALUE!</v>
      </c>
      <c r="BG71" s="22" t="e">
        <f>IF(A71=0,0,SUMIFS([1]Poblacion!E:E,[1]Poblacion!A:A,'MASTER-2025'!A71))</f>
        <v>#VALUE!</v>
      </c>
      <c r="BH71" s="22" t="e">
        <f>IF(A71=0,0,SUMIFS([1]Poblacion!F:F,[1]Poblacion!A:A,'MASTER-2025'!A71))</f>
        <v>#VALUE!</v>
      </c>
      <c r="BI71" s="22" t="e">
        <f t="shared" si="18"/>
        <v>#VALUE!</v>
      </c>
      <c r="BJ71" s="23" t="e">
        <f t="shared" si="30"/>
        <v>#VALUE!</v>
      </c>
      <c r="BK71" s="22" t="e">
        <f>IF(A71=0,0,SUMIFS([1]Poblacion!G:G,[1]Poblacion!A:A,'MASTER-2025'!A71))</f>
        <v>#VALUE!</v>
      </c>
      <c r="BL71" s="24" cm="1">
        <f t="array" ref="BL71:BW71">IFERROR(VLOOKUP(A71,'[1]Acum-OB-kg-pob-25'!A:AQ,{3,4,5,6,7,8,9,10,11,12,13,14},0),0)</f>
        <v>0</v>
      </c>
      <c r="BM71" s="24">
        <v>0</v>
      </c>
      <c r="BN71" s="24">
        <v>0</v>
      </c>
      <c r="BO71" s="24">
        <v>0</v>
      </c>
      <c r="BP71" s="24">
        <v>0</v>
      </c>
      <c r="BQ71" s="24">
        <v>0</v>
      </c>
      <c r="BR71" s="24">
        <v>0</v>
      </c>
      <c r="BS71" s="24">
        <v>0</v>
      </c>
      <c r="BT71" s="24">
        <v>0</v>
      </c>
      <c r="BU71" s="24">
        <v>0</v>
      </c>
      <c r="BV71" s="24">
        <v>0</v>
      </c>
      <c r="BW71" s="24">
        <v>0</v>
      </c>
      <c r="BX71" s="24">
        <f t="shared" si="31"/>
        <v>0</v>
      </c>
      <c r="BY71" s="25" cm="1">
        <f t="array" ref="BY71:CJ71">IFERROR(VLOOKUP(A71,'[1]Acum-OB-kg-pob-25'!A:AQ,{17,18,19,20,21,22,23,24,25,26,27,28},0),0)</f>
        <v>0</v>
      </c>
      <c r="BZ71" s="25">
        <v>0</v>
      </c>
      <c r="CA71" s="25">
        <v>0</v>
      </c>
      <c r="CB71" s="25">
        <v>0</v>
      </c>
      <c r="CC71" s="25">
        <v>0</v>
      </c>
      <c r="CD71" s="25">
        <v>0</v>
      </c>
      <c r="CE71" s="25">
        <v>0</v>
      </c>
      <c r="CF71" s="25">
        <v>0</v>
      </c>
      <c r="CG71" s="25">
        <v>0</v>
      </c>
      <c r="CH71" s="25">
        <v>0</v>
      </c>
      <c r="CI71" s="25">
        <v>0</v>
      </c>
      <c r="CJ71" s="25">
        <v>0</v>
      </c>
      <c r="CK71" s="25">
        <f t="shared" si="32"/>
        <v>0</v>
      </c>
      <c r="CL71" s="26" cm="1">
        <f t="array" ref="CL71:CW71">IFERROR(VLOOKUP(A71,'[1]Acum-OB-kg-pob-25'!A:AQ,{31,32,33,34,35,36,37,38,39,40,41,42},0),0)</f>
        <v>0</v>
      </c>
      <c r="CM71" s="26">
        <v>0</v>
      </c>
      <c r="CN71" s="26">
        <v>0</v>
      </c>
      <c r="CO71" s="26">
        <v>0</v>
      </c>
      <c r="CP71" s="26">
        <v>0</v>
      </c>
      <c r="CQ71" s="26">
        <v>0</v>
      </c>
      <c r="CR71" s="26">
        <v>0</v>
      </c>
      <c r="CS71" s="26">
        <v>0</v>
      </c>
      <c r="CT71" s="26">
        <v>0</v>
      </c>
      <c r="CU71" s="26">
        <v>0</v>
      </c>
      <c r="CV71" s="26">
        <v>0</v>
      </c>
      <c r="CW71" s="26">
        <v>0</v>
      </c>
      <c r="CX71" s="26">
        <f t="shared" si="33"/>
        <v>0</v>
      </c>
      <c r="CY71" s="14" t="str">
        <f>IF(A71=0,0,IFERROR(VLOOKUP(A71,'[1]Info Donantes'!C:F,2,0),"Sin Contacto"))</f>
        <v>Andres De La Guardia</v>
      </c>
      <c r="CZ71" s="14" t="str">
        <f>IF(A71=0,0,IFERROR(VLOOKUP(A71,'[1]Info Donantes'!C:F,3,0),"Sin Correo"))</f>
        <v>andres@verdesyco.com</v>
      </c>
      <c r="DA71" s="14" t="str">
        <f>IF(A71=0,0,IFERROR(VLOOKUP(A71,'[1]Info Donantes'!C:F,4,0),"Sin Telefono"))</f>
        <v>62324253</v>
      </c>
      <c r="DB71" s="14" t="str">
        <f>IF(A71=0,0,"Reporte de Trazabiidad"&amp;" - "&amp;'[1]Resumen Donantes'!$C$2&amp;" - "&amp;A71&amp;"")</f>
        <v>Reporte de Trazabiidad -  - VERDES &amp; CO</v>
      </c>
    </row>
    <row r="72" spans="1:106" x14ac:dyDescent="0.55000000000000004">
      <c r="A72" s="31" t="s">
        <v>176</v>
      </c>
      <c r="B72" s="15">
        <f>INT(IFERROR(VLOOKUP(A72,'[1]Resumen Donantes'!C:F,3,0),0))</f>
        <v>0</v>
      </c>
      <c r="C72" s="15">
        <f>INT(ROUND(IFERROR(VLOOKUP(A72,'[1]Resumen Donantes'!C:F,4,0),0),1))</f>
        <v>0</v>
      </c>
      <c r="D72" s="16">
        <f t="shared" si="19"/>
        <v>0</v>
      </c>
      <c r="E72" s="17" t="str">
        <f t="shared" si="20"/>
        <v>0.00%</v>
      </c>
      <c r="F72" s="17" t="str">
        <f t="shared" si="21"/>
        <v>0.0%</v>
      </c>
      <c r="G72" s="15">
        <f t="shared" si="25"/>
        <v>0</v>
      </c>
      <c r="H72" s="18"/>
      <c r="I72" s="18">
        <f>IFERROR(VLOOKUP(A72,'[1]Lot All by Part'!T:Y,6,0),0)</f>
        <v>0</v>
      </c>
      <c r="J72" s="18"/>
      <c r="K72" s="19">
        <f>IFERROR(VLOOKUP($A72,'[1]OB Atendidas por Donantes'!A:N,3,0),0)</f>
        <v>0</v>
      </c>
      <c r="L72" s="19">
        <f>ROUNDUP(IF(A72=0,0,IFERROR(VLOOKUP($A72,'[1]Kilos Asignado del Donante'!A:O,3,0),0)),0)</f>
        <v>0</v>
      </c>
      <c r="M72" s="19">
        <f>IF(A72=0,0,IFERROR(SUMIFS([1]Poblacion!M:M,[1]Poblacion!J:J,'MASTER-2025'!A72),0))</f>
        <v>0</v>
      </c>
      <c r="N72" s="20">
        <f>IFERROR(VLOOKUP($A72,'[1]OB Atendidas por Donantes'!A:N,4,0),0)</f>
        <v>0</v>
      </c>
      <c r="O72" s="20">
        <f>ROUNDUP(IF(A72=0,0,IFERROR(VLOOKUP($A72,'[1]Kilos Asignado del Donante'!A:O,4,0),0)),0)</f>
        <v>0</v>
      </c>
      <c r="P72" s="20">
        <f>IF(A72=0,0,IFERROR(SUMIFS([1]Poblacion!N:N,[1]Poblacion!J:J,'MASTER-2025'!A72),0))</f>
        <v>0</v>
      </c>
      <c r="Q72" s="18">
        <f>IFERROR(VLOOKUP($A72,'[1]OB Atendidas por Donantes'!A:N,2,0),0)</f>
        <v>0</v>
      </c>
      <c r="R72" s="18">
        <f>ROUNDUP(ROUND(IF(A72=0,0,IFERROR(VLOOKUP($A72,'[1]Kilos Asignado del Donante'!A:O,9,0),0)),1),0)</f>
        <v>0</v>
      </c>
      <c r="S72" s="18">
        <f>IF(A72=0,0,IFERROR(SUMIFS([1]Poblacion!S:S,[1]Poblacion!J:J,'MASTER-2025'!A72),0))</f>
        <v>0</v>
      </c>
      <c r="T72" s="19">
        <f>IFERROR(VLOOKUP($A72,'[1]OB Atendidas por Donantes'!A:N,12,0),0)</f>
        <v>0</v>
      </c>
      <c r="U72" s="19">
        <f>ROUNDUP(IF(A72=0,0,IF(A72=0,0,IFERROR(VLOOKUP($A72,'[1]Kilos Asignado del Donante'!A:O,7,0),0))),0)</f>
        <v>0</v>
      </c>
      <c r="V72" s="19">
        <f>IF(A72=0,0,IFERROR(SUMIFS([1]Poblacion!Q:Q,[1]Poblacion!J:J,'MASTER-2025'!A72),0))</f>
        <v>0</v>
      </c>
      <c r="W72" s="20">
        <f>IFERROR(VLOOKUP($A72,'[1]OB Atendidas por Donantes'!A:N,10,0),0)</f>
        <v>0</v>
      </c>
      <c r="X72" s="20">
        <f>ROUNDUP(IF(A72=0,0,IFERROR(VLOOKUP($A72,'[1]Kilos Asignado del Donante'!A:N,5,0),0)),0)</f>
        <v>0</v>
      </c>
      <c r="Y72" s="20">
        <f>IF(A72=0,0,IFERROR(SUMIFS([1]Poblacion!O:O,[1]Poblacion!J:J,'MASTER-2025'!A72),0))</f>
        <v>0</v>
      </c>
      <c r="Z72" s="18">
        <f>IFERROR(VLOOKUP($A72,'[1]OB Atendidas por Donantes'!A:N,6,0),0)</f>
        <v>0</v>
      </c>
      <c r="AA72" s="18">
        <f>ROUNDUP(IF(A72=0,0,IFERROR(VLOOKUP($A72,'[1]Kilos Asignado del Donante'!A:N,11,0),0)),0)</f>
        <v>0</v>
      </c>
      <c r="AB72" s="18">
        <f>IF(A72=0,0,IFERROR(SUMIFS([1]Poblacion!U:U,[1]Poblacion!J:J,'MASTER-2025'!A72),0))</f>
        <v>0</v>
      </c>
      <c r="AC72" s="19">
        <f>IFERROR(VLOOKUP($A72,'[1]OB Atendidas por Donantes'!A:N,7,0),0)</f>
        <v>0</v>
      </c>
      <c r="AD72" s="19">
        <f>ROUNDUP(IF(A72=0,0,IFERROR(VLOOKUP($A72,'[1]Kilos Asignado del Donante'!A:N,8,0),0)),0)</f>
        <v>0</v>
      </c>
      <c r="AE72" s="19">
        <f>IF(A72=0,0,IFERROR(SUMIFS([1]Poblacion!R:R,[1]Poblacion!J:J,'MASTER-2025'!A72),0))</f>
        <v>0</v>
      </c>
      <c r="AF72" s="20">
        <f>IFERROR(VLOOKUP($A72,'[1]OB Atendidas por Donantes'!A:N,8,0),0)</f>
        <v>0</v>
      </c>
      <c r="AG72" s="20">
        <f>ROUNDUP(IF(A72=0,0,IFERROR(VLOOKUP($A72,'[1]Kilos Asignado del Donante'!A:N,6,0),0)),0)</f>
        <v>0</v>
      </c>
      <c r="AH72" s="20">
        <f>IF(A72=0,0,IFERROR(SUMIFS([1]Poblacion!P:P,[1]Poblacion!J:J,'MASTER-2025'!A72),0))</f>
        <v>0</v>
      </c>
      <c r="AI72" s="18">
        <f>IFERROR(VLOOKUP($A72,'[1]OB Atendidas por Donantes'!A:N,9,0),0)</f>
        <v>0</v>
      </c>
      <c r="AJ72" s="18">
        <f>ROUNDUP(IF(A72=0,0,IFERROR(VLOOKUP($A72,'[1]Kilos Asignado del Donante'!A:N,12,0),0)),0)</f>
        <v>0</v>
      </c>
      <c r="AK72" s="18">
        <f>IF(A72=0,0,IFERROR(SUMIFS([1]Poblacion!V:V,[1]Poblacion!J:J,'MASTER-2025'!A72),0))</f>
        <v>0</v>
      </c>
      <c r="AL72" s="19">
        <f>IFERROR(VLOOKUP($A72,'[1]OB Atendidas por Donantes'!A:N,16,0),0)</f>
        <v>0</v>
      </c>
      <c r="AM72" s="19">
        <f>ROUNDUP(IF(A72=0,0,IFERROR(VLOOKUP($A72,'[1]Kilos Asignado del Donante'!A:O,16,0),0)),0)</f>
        <v>0</v>
      </c>
      <c r="AN72" s="19">
        <f>IF(A72=0,0,IFERROR(SUMIFS([1]Poblacion!Z:Z,[1]Poblacion!J:J,'MASTER-2025'!A72),0))</f>
        <v>0</v>
      </c>
      <c r="AO72" s="20">
        <f>IFERROR(VLOOKUP($A72,'[1]OB Atendidas por Donantes'!A:N,11,0),0)</f>
        <v>0</v>
      </c>
      <c r="AP72" s="20">
        <f>ROUNDUP(IF(A72=0,0,IFERROR(VLOOKUP($A72,'[1]Kilos Asignado del Donante'!A:N,13,0),0)),0)</f>
        <v>0</v>
      </c>
      <c r="AQ72" s="20">
        <f>IF(A72=0,0,IFERROR(SUMIFS([1]Poblacion!W:W,[1]Poblacion!J:J,'MASTER-2025'!A72),0))</f>
        <v>0</v>
      </c>
      <c r="AR72" s="18">
        <f>IFERROR(VLOOKUP($A72,'[1]OB Atendidas por Donantes'!A:N,5,0),0)</f>
        <v>0</v>
      </c>
      <c r="AS72" s="18">
        <f>ROUNDUP(IF(A72=0,0,IFERROR(VLOOKUP($A72,'[1]Kilos Asignado del Donante'!A:N,10,0),0)),0)</f>
        <v>0</v>
      </c>
      <c r="AT72" s="18">
        <f>IF(A72=0,0,IFERROR(SUMIFS([1]Poblacion!T:T,[1]Poblacion!J:J,'MASTER-2025'!A72),0))</f>
        <v>0</v>
      </c>
      <c r="AU72" s="19">
        <f>IFERROR(VLOOKUP($A72,'[1]OB Atendidas por Donantes'!A:N,13,0),0)</f>
        <v>0</v>
      </c>
      <c r="AV72" s="19">
        <f>ROUNDUP(IF(A72=0,0,IFERROR(VLOOKUP($A72,'[1]Kilos Asignado del Donante'!A:N,14,0),0)),0)</f>
        <v>0</v>
      </c>
      <c r="AW72" s="19">
        <f>IF(A72=0,0,IFERROR(SUMIFS([1]Poblacion!X:X,[1]Poblacion!J:J,'MASTER-2025'!A72),0))</f>
        <v>0</v>
      </c>
      <c r="AX72" s="20">
        <f>IFERROR(VLOOKUP($A72,'[1]OB Atendidas por Donantes'!A:N,16,0),0)</f>
        <v>0</v>
      </c>
      <c r="AY72" s="20">
        <f>ROUNDUP(IF(A72=0,0,IFERROR(VLOOKUP($A72,'[1]Kilos Asignado del Donante'!A:O,16,0),0)),0)</f>
        <v>0</v>
      </c>
      <c r="AZ72" s="20">
        <f>IF(A72=0,0,IFERROR(SUMIFS([1]Poblacion!Y:Y,[1]Poblacion!J:J,'MASTER-2025'!A72),0))</f>
        <v>0</v>
      </c>
      <c r="BA72" s="21">
        <f t="shared" si="15"/>
        <v>0</v>
      </c>
      <c r="BB72" s="21">
        <f t="shared" si="29"/>
        <v>0</v>
      </c>
      <c r="BC72" s="21">
        <f t="shared" si="24"/>
        <v>0</v>
      </c>
      <c r="BD72" s="21">
        <f t="shared" si="26"/>
        <v>0</v>
      </c>
      <c r="BE72" s="22" t="e">
        <f>IF(A72=0,0,SUMIFS([1]Poblacion!C:C,[1]Poblacion!A:A,'MASTER-2025'!A72))</f>
        <v>#VALUE!</v>
      </c>
      <c r="BF72" s="22" t="e">
        <f>IF(A72=0,0,SUMIFS([1]Poblacion!D:D,[1]Poblacion!A:A,'MASTER-2025'!A72))</f>
        <v>#VALUE!</v>
      </c>
      <c r="BG72" s="22" t="e">
        <f>IF(A72=0,0,SUMIFS([1]Poblacion!E:E,[1]Poblacion!A:A,'MASTER-2025'!A72))</f>
        <v>#VALUE!</v>
      </c>
      <c r="BH72" s="22" t="e">
        <f>IF(A72=0,0,SUMIFS([1]Poblacion!F:F,[1]Poblacion!A:A,'MASTER-2025'!A72))</f>
        <v>#VALUE!</v>
      </c>
      <c r="BI72" s="22" t="e">
        <f t="shared" si="18"/>
        <v>#VALUE!</v>
      </c>
      <c r="BJ72" s="23" t="e">
        <f t="shared" si="30"/>
        <v>#VALUE!</v>
      </c>
      <c r="BK72" s="22" t="e">
        <f>IF(A72=0,0,SUMIFS([1]Poblacion!G:G,[1]Poblacion!A:A,'MASTER-2025'!A72))</f>
        <v>#VALUE!</v>
      </c>
      <c r="BL72" s="24" cm="1">
        <f t="array" ref="BL72:BW72">IFERROR(VLOOKUP(A72,'[1]Acum-OB-kg-pob-25'!A:AQ,{3,4,5,6,7,8,9,10,11,12,13,14},0),0)</f>
        <v>0</v>
      </c>
      <c r="BM72" s="24">
        <v>0</v>
      </c>
      <c r="BN72" s="24">
        <v>0</v>
      </c>
      <c r="BO72" s="24">
        <v>0</v>
      </c>
      <c r="BP72" s="24">
        <v>0</v>
      </c>
      <c r="BQ72" s="24">
        <v>0</v>
      </c>
      <c r="BR72" s="24">
        <v>0</v>
      </c>
      <c r="BS72" s="24">
        <v>0</v>
      </c>
      <c r="BT72" s="24">
        <v>0</v>
      </c>
      <c r="BU72" s="24">
        <v>0</v>
      </c>
      <c r="BV72" s="24">
        <v>0</v>
      </c>
      <c r="BW72" s="24">
        <v>0</v>
      </c>
      <c r="BX72" s="24">
        <f t="shared" si="31"/>
        <v>0</v>
      </c>
      <c r="BY72" s="25" cm="1">
        <f t="array" ref="BY72:CJ72">IFERROR(VLOOKUP(A72,'[1]Acum-OB-kg-pob-25'!A:AQ,{17,18,19,20,21,22,23,24,25,26,27,28},0),0)</f>
        <v>0</v>
      </c>
      <c r="BZ72" s="25">
        <v>0</v>
      </c>
      <c r="CA72" s="25">
        <v>0</v>
      </c>
      <c r="CB72" s="25">
        <v>0</v>
      </c>
      <c r="CC72" s="25">
        <v>0</v>
      </c>
      <c r="CD72" s="25">
        <v>0</v>
      </c>
      <c r="CE72" s="25">
        <v>0</v>
      </c>
      <c r="CF72" s="25">
        <v>0</v>
      </c>
      <c r="CG72" s="25">
        <v>0</v>
      </c>
      <c r="CH72" s="25">
        <v>0</v>
      </c>
      <c r="CI72" s="25">
        <v>0</v>
      </c>
      <c r="CJ72" s="25">
        <v>0</v>
      </c>
      <c r="CK72" s="25">
        <f t="shared" si="32"/>
        <v>0</v>
      </c>
      <c r="CL72" s="26" cm="1">
        <f t="array" ref="CL72:CW72">IFERROR(VLOOKUP(A72,'[1]Acum-OB-kg-pob-25'!A:AQ,{31,32,33,34,35,36,37,38,39,40,41,42},0),0)</f>
        <v>0</v>
      </c>
      <c r="CM72" s="26">
        <v>0</v>
      </c>
      <c r="CN72" s="26">
        <v>0</v>
      </c>
      <c r="CO72" s="26">
        <v>0</v>
      </c>
      <c r="CP72" s="26">
        <v>0</v>
      </c>
      <c r="CQ72" s="26">
        <v>0</v>
      </c>
      <c r="CR72" s="26">
        <v>0</v>
      </c>
      <c r="CS72" s="26">
        <v>0</v>
      </c>
      <c r="CT72" s="26">
        <v>0</v>
      </c>
      <c r="CU72" s="26">
        <v>0</v>
      </c>
      <c r="CV72" s="26">
        <v>0</v>
      </c>
      <c r="CW72" s="26">
        <v>0</v>
      </c>
      <c r="CX72" s="26">
        <f t="shared" si="33"/>
        <v>0</v>
      </c>
      <c r="CY72" s="14">
        <f>IF(A72=0,0,IFERROR(VLOOKUP(A72,'[1]Info Donantes'!C:F,2,0),"Sin Contacto"))</f>
        <v>0</v>
      </c>
      <c r="CZ72" s="14">
        <f>IF(A72=0,0,IFERROR(VLOOKUP(A72,'[1]Info Donantes'!C:F,3,0),"Sin Correo"))</f>
        <v>0</v>
      </c>
      <c r="DA72" s="14" t="str">
        <f>IF(A72=0,0,IFERROR(VLOOKUP(A72,'[1]Info Donantes'!C:F,4,0),"Sin Telefono"))</f>
        <v>221.9877 / 392.9885 / 221-0117</v>
      </c>
      <c r="DB72" s="14" t="str">
        <f>IF(A72=0,0,"Reporte de Trazabiidad"&amp;" - "&amp;'[1]Resumen Donantes'!$C$2&amp;" - "&amp;A72&amp;"")</f>
        <v>Reporte de Trazabiidad -  - AGENCIA PALM LOPEZ</v>
      </c>
    </row>
    <row r="73" spans="1:106" x14ac:dyDescent="0.55000000000000004">
      <c r="A73" s="31" t="s">
        <v>177</v>
      </c>
      <c r="B73" s="15">
        <f>INT(IFERROR(VLOOKUP(A73,'[1]Resumen Donantes'!C:F,3,0),0))</f>
        <v>0</v>
      </c>
      <c r="C73" s="15">
        <f>INT(ROUND(IFERROR(VLOOKUP(A73,'[1]Resumen Donantes'!C:F,4,0),0),1))</f>
        <v>0</v>
      </c>
      <c r="D73" s="16">
        <f t="shared" si="19"/>
        <v>0</v>
      </c>
      <c r="E73" s="17" t="str">
        <f t="shared" si="20"/>
        <v>0.00%</v>
      </c>
      <c r="F73" s="17" t="str">
        <f t="shared" si="21"/>
        <v>0.0%</v>
      </c>
      <c r="G73" s="15">
        <f t="shared" si="25"/>
        <v>0</v>
      </c>
      <c r="H73" s="18"/>
      <c r="I73" s="18">
        <f>IFERROR(VLOOKUP(A73,'[1]Lot All by Part'!T:Y,6,0),0)</f>
        <v>0</v>
      </c>
      <c r="J73" s="18"/>
      <c r="K73" s="19">
        <f>IFERROR(VLOOKUP($A73,'[1]OB Atendidas por Donantes'!A:N,3,0),0)</f>
        <v>0</v>
      </c>
      <c r="L73" s="19">
        <f>ROUNDUP(IF(A73=0,0,IFERROR(VLOOKUP($A73,'[1]Kilos Asignado del Donante'!A:O,3,0),0)),0)</f>
        <v>0</v>
      </c>
      <c r="M73" s="19">
        <f>IF(A73=0,0,IFERROR(SUMIFS([1]Poblacion!M:M,[1]Poblacion!J:J,'MASTER-2025'!A73),0))</f>
        <v>0</v>
      </c>
      <c r="N73" s="20">
        <f>IFERROR(VLOOKUP($A73,'[1]OB Atendidas por Donantes'!A:N,4,0),0)</f>
        <v>0</v>
      </c>
      <c r="O73" s="20">
        <f>ROUNDUP(IF(A73=0,0,IFERROR(VLOOKUP($A73,'[1]Kilos Asignado del Donante'!A:O,4,0),0)),0)</f>
        <v>0</v>
      </c>
      <c r="P73" s="20">
        <f>IF(A73=0,0,IFERROR(SUMIFS([1]Poblacion!N:N,[1]Poblacion!J:J,'MASTER-2025'!A73),0))</f>
        <v>0</v>
      </c>
      <c r="Q73" s="18">
        <f>IFERROR(VLOOKUP($A73,'[1]OB Atendidas por Donantes'!A:N,2,0),0)</f>
        <v>0</v>
      </c>
      <c r="R73" s="18">
        <f>ROUNDUP(ROUND(IF(A73=0,0,IFERROR(VLOOKUP($A73,'[1]Kilos Asignado del Donante'!A:O,9,0),0)),1),0)</f>
        <v>0</v>
      </c>
      <c r="S73" s="18">
        <f>IF(A73=0,0,IFERROR(SUMIFS([1]Poblacion!S:S,[1]Poblacion!J:J,'MASTER-2025'!A73),0))</f>
        <v>0</v>
      </c>
      <c r="T73" s="19">
        <f>IFERROR(VLOOKUP($A73,'[1]OB Atendidas por Donantes'!A:N,12,0),0)</f>
        <v>0</v>
      </c>
      <c r="U73" s="19">
        <f>ROUNDUP(IF(A73=0,0,IF(A73=0,0,IFERROR(VLOOKUP($A73,'[1]Kilos Asignado del Donante'!A:O,7,0),0))),0)</f>
        <v>0</v>
      </c>
      <c r="V73" s="19">
        <f>IF(A73=0,0,IFERROR(SUMIFS([1]Poblacion!Q:Q,[1]Poblacion!J:J,'MASTER-2025'!A73),0))</f>
        <v>0</v>
      </c>
      <c r="W73" s="20">
        <f>IFERROR(VLOOKUP($A73,'[1]OB Atendidas por Donantes'!A:N,10,0),0)</f>
        <v>0</v>
      </c>
      <c r="X73" s="20">
        <f>ROUNDUP(IF(A73=0,0,IFERROR(VLOOKUP($A73,'[1]Kilos Asignado del Donante'!A:N,5,0),0)),0)</f>
        <v>0</v>
      </c>
      <c r="Y73" s="20">
        <f>IF(A73=0,0,IFERROR(SUMIFS([1]Poblacion!O:O,[1]Poblacion!J:J,'MASTER-2025'!A73),0))</f>
        <v>0</v>
      </c>
      <c r="Z73" s="18">
        <f>IFERROR(VLOOKUP($A73,'[1]OB Atendidas por Donantes'!A:N,6,0),0)</f>
        <v>0</v>
      </c>
      <c r="AA73" s="18">
        <f>ROUNDUP(IF(A73=0,0,IFERROR(VLOOKUP($A73,'[1]Kilos Asignado del Donante'!A:N,11,0),0)),0)</f>
        <v>0</v>
      </c>
      <c r="AB73" s="18">
        <f>IF(A73=0,0,IFERROR(SUMIFS([1]Poblacion!U:U,[1]Poblacion!J:J,'MASTER-2025'!A73),0))</f>
        <v>0</v>
      </c>
      <c r="AC73" s="19">
        <f>IFERROR(VLOOKUP($A73,'[1]OB Atendidas por Donantes'!A:N,7,0),0)</f>
        <v>0</v>
      </c>
      <c r="AD73" s="19">
        <f>ROUNDUP(IF(A73=0,0,IFERROR(VLOOKUP($A73,'[1]Kilos Asignado del Donante'!A:N,8,0),0)),0)</f>
        <v>0</v>
      </c>
      <c r="AE73" s="19">
        <f>IF(A73=0,0,IFERROR(SUMIFS([1]Poblacion!R:R,[1]Poblacion!J:J,'MASTER-2025'!A73),0))</f>
        <v>0</v>
      </c>
      <c r="AF73" s="20">
        <f>IFERROR(VLOOKUP($A73,'[1]OB Atendidas por Donantes'!A:N,8,0),0)</f>
        <v>0</v>
      </c>
      <c r="AG73" s="20">
        <f>ROUNDUP(IF(A73=0,0,IFERROR(VLOOKUP($A73,'[1]Kilos Asignado del Donante'!A:N,6,0),0)),0)</f>
        <v>0</v>
      </c>
      <c r="AH73" s="20">
        <f>IF(A73=0,0,IFERROR(SUMIFS([1]Poblacion!P:P,[1]Poblacion!J:J,'MASTER-2025'!A73),0))</f>
        <v>0</v>
      </c>
      <c r="AI73" s="18">
        <f>IFERROR(VLOOKUP($A73,'[1]OB Atendidas por Donantes'!A:N,9,0),0)</f>
        <v>0</v>
      </c>
      <c r="AJ73" s="18">
        <f>ROUNDUP(IF(A73=0,0,IFERROR(VLOOKUP($A73,'[1]Kilos Asignado del Donante'!A:N,12,0),0)),0)</f>
        <v>0</v>
      </c>
      <c r="AK73" s="18">
        <f>IF(A73=0,0,IFERROR(SUMIFS([1]Poblacion!V:V,[1]Poblacion!J:J,'MASTER-2025'!A73),0))</f>
        <v>0</v>
      </c>
      <c r="AL73" s="19">
        <f>IFERROR(VLOOKUP($A73,'[1]OB Atendidas por Donantes'!A:N,16,0),0)</f>
        <v>0</v>
      </c>
      <c r="AM73" s="19">
        <f>ROUNDUP(IF(A73=0,0,IFERROR(VLOOKUP($A73,'[1]Kilos Asignado del Donante'!A:O,16,0),0)),0)</f>
        <v>0</v>
      </c>
      <c r="AN73" s="19">
        <f>IF(A73=0,0,IFERROR(SUMIFS([1]Poblacion!Z:Z,[1]Poblacion!J:J,'MASTER-2025'!A73),0))</f>
        <v>0</v>
      </c>
      <c r="AO73" s="20">
        <f>IFERROR(VLOOKUP($A73,'[1]OB Atendidas por Donantes'!A:N,11,0),0)</f>
        <v>0</v>
      </c>
      <c r="AP73" s="20">
        <f>ROUNDUP(IF(A73=0,0,IFERROR(VLOOKUP($A73,'[1]Kilos Asignado del Donante'!A:N,13,0),0)),0)</f>
        <v>0</v>
      </c>
      <c r="AQ73" s="20">
        <f>IF(A73=0,0,IFERROR(SUMIFS([1]Poblacion!W:W,[1]Poblacion!J:J,'MASTER-2025'!A73),0))</f>
        <v>0</v>
      </c>
      <c r="AR73" s="18">
        <f>IFERROR(VLOOKUP($A73,'[1]OB Atendidas por Donantes'!A:N,5,0),0)</f>
        <v>0</v>
      </c>
      <c r="AS73" s="18">
        <f>ROUNDUP(IF(A73=0,0,IFERROR(VLOOKUP($A73,'[1]Kilos Asignado del Donante'!A:N,10,0),0)),0)</f>
        <v>0</v>
      </c>
      <c r="AT73" s="18">
        <f>IF(A73=0,0,IFERROR(SUMIFS([1]Poblacion!T:T,[1]Poblacion!J:J,'MASTER-2025'!A73),0))</f>
        <v>0</v>
      </c>
      <c r="AU73" s="19">
        <f>IFERROR(VLOOKUP($A73,'[1]OB Atendidas por Donantes'!A:N,13,0),0)</f>
        <v>0</v>
      </c>
      <c r="AV73" s="19">
        <f>ROUNDUP(IF(A73=0,0,IFERROR(VLOOKUP($A73,'[1]Kilos Asignado del Donante'!A:N,14,0),0)),0)</f>
        <v>0</v>
      </c>
      <c r="AW73" s="19">
        <f>IF(A73=0,0,IFERROR(SUMIFS([1]Poblacion!X:X,[1]Poblacion!J:J,'MASTER-2025'!A73),0))</f>
        <v>0</v>
      </c>
      <c r="AX73" s="20">
        <f>IFERROR(VLOOKUP($A73,'[1]OB Atendidas por Donantes'!A:N,16,0),0)</f>
        <v>0</v>
      </c>
      <c r="AY73" s="20">
        <f>ROUNDUP(IF(A73=0,0,IFERROR(VLOOKUP($A73,'[1]Kilos Asignado del Donante'!A:O,16,0),0)),0)</f>
        <v>0</v>
      </c>
      <c r="AZ73" s="20">
        <f>IF(A73=0,0,IFERROR(SUMIFS([1]Poblacion!Y:Y,[1]Poblacion!J:J,'MASTER-2025'!A73),0))</f>
        <v>0</v>
      </c>
      <c r="BA73" s="21">
        <f t="shared" si="15"/>
        <v>0</v>
      </c>
      <c r="BB73" s="21">
        <f t="shared" si="29"/>
        <v>0</v>
      </c>
      <c r="BC73" s="21">
        <f t="shared" si="24"/>
        <v>0</v>
      </c>
      <c r="BD73" s="21">
        <f t="shared" si="26"/>
        <v>0</v>
      </c>
      <c r="BE73" s="22" t="e">
        <f>IF(A73=0,0,SUMIFS([1]Poblacion!C:C,[1]Poblacion!A:A,'MASTER-2025'!A73))</f>
        <v>#VALUE!</v>
      </c>
      <c r="BF73" s="22" t="e">
        <f>IF(A73=0,0,SUMIFS([1]Poblacion!D:D,[1]Poblacion!A:A,'MASTER-2025'!A73))</f>
        <v>#VALUE!</v>
      </c>
      <c r="BG73" s="22" t="e">
        <f>IF(A73=0,0,SUMIFS([1]Poblacion!E:E,[1]Poblacion!A:A,'MASTER-2025'!A73))</f>
        <v>#VALUE!</v>
      </c>
      <c r="BH73" s="22" t="e">
        <f>IF(A73=0,0,SUMIFS([1]Poblacion!F:F,[1]Poblacion!A:A,'MASTER-2025'!A73))</f>
        <v>#VALUE!</v>
      </c>
      <c r="BI73" s="22" t="e">
        <f t="shared" si="18"/>
        <v>#VALUE!</v>
      </c>
      <c r="BJ73" s="23" t="e">
        <f t="shared" si="30"/>
        <v>#VALUE!</v>
      </c>
      <c r="BK73" s="22" t="e">
        <f>IF(A73=0,0,SUMIFS([1]Poblacion!G:G,[1]Poblacion!A:A,'MASTER-2025'!A73))</f>
        <v>#VALUE!</v>
      </c>
      <c r="BL73" s="24" cm="1">
        <f t="array" ref="BL73:BW73">IFERROR(VLOOKUP(A73,'[1]Acum-OB-kg-pob-25'!A:AQ,{3,4,5,6,7,8,9,10,11,12,13,14},0),0)</f>
        <v>0</v>
      </c>
      <c r="BM73" s="24">
        <v>0</v>
      </c>
      <c r="BN73" s="24">
        <v>0</v>
      </c>
      <c r="BO73" s="24">
        <v>0</v>
      </c>
      <c r="BP73" s="24">
        <v>0</v>
      </c>
      <c r="BQ73" s="24">
        <v>0</v>
      </c>
      <c r="BR73" s="24">
        <v>0</v>
      </c>
      <c r="BS73" s="24">
        <v>0</v>
      </c>
      <c r="BT73" s="24">
        <v>0</v>
      </c>
      <c r="BU73" s="24">
        <v>0</v>
      </c>
      <c r="BV73" s="24">
        <v>0</v>
      </c>
      <c r="BW73" s="24">
        <v>0</v>
      </c>
      <c r="BX73" s="24">
        <f t="shared" si="31"/>
        <v>0</v>
      </c>
      <c r="BY73" s="25" cm="1">
        <f t="array" ref="BY73:CJ73">IFERROR(VLOOKUP(A73,'[1]Acum-OB-kg-pob-25'!A:AQ,{17,18,19,20,21,22,23,24,25,26,27,28},0),0)</f>
        <v>0</v>
      </c>
      <c r="BZ73" s="25">
        <v>0</v>
      </c>
      <c r="CA73" s="25">
        <v>0</v>
      </c>
      <c r="CB73" s="25">
        <v>0</v>
      </c>
      <c r="CC73" s="25">
        <v>0</v>
      </c>
      <c r="CD73" s="25">
        <v>0</v>
      </c>
      <c r="CE73" s="25">
        <v>0</v>
      </c>
      <c r="CF73" s="25">
        <v>0</v>
      </c>
      <c r="CG73" s="25">
        <v>0</v>
      </c>
      <c r="CH73" s="25">
        <v>0</v>
      </c>
      <c r="CI73" s="25">
        <v>0</v>
      </c>
      <c r="CJ73" s="25">
        <v>0</v>
      </c>
      <c r="CK73" s="25">
        <f t="shared" si="32"/>
        <v>0</v>
      </c>
      <c r="CL73" s="26" cm="1">
        <f t="array" ref="CL73:CW73">IFERROR(VLOOKUP(A73,'[1]Acum-OB-kg-pob-25'!A:AQ,{31,32,33,34,35,36,37,38,39,40,41,42},0),0)</f>
        <v>0</v>
      </c>
      <c r="CM73" s="26">
        <v>0</v>
      </c>
      <c r="CN73" s="26">
        <v>0</v>
      </c>
      <c r="CO73" s="26">
        <v>0</v>
      </c>
      <c r="CP73" s="26">
        <v>0</v>
      </c>
      <c r="CQ73" s="26">
        <v>0</v>
      </c>
      <c r="CR73" s="26">
        <v>0</v>
      </c>
      <c r="CS73" s="26">
        <v>0</v>
      </c>
      <c r="CT73" s="26">
        <v>0</v>
      </c>
      <c r="CU73" s="26">
        <v>0</v>
      </c>
      <c r="CV73" s="26">
        <v>0</v>
      </c>
      <c r="CW73" s="26">
        <v>0</v>
      </c>
      <c r="CX73" s="26">
        <f t="shared" si="33"/>
        <v>0</v>
      </c>
      <c r="CY73" s="14" t="str">
        <f>IF(A73=0,0,IFERROR(VLOOKUP(A73,'[1]Info Donantes'!C:F,2,0),"Sin Contacto"))</f>
        <v>Rafael Virzi</v>
      </c>
      <c r="CZ73" s="14" t="str">
        <f>IF(A73=0,0,IFERROR(VLOOKUP(A73,'[1]Info Donantes'!C:F,3,0),"Sin Correo"))</f>
        <v>rvirzi@parmigiana.com.pa</v>
      </c>
      <c r="DA73" s="14" t="str">
        <f>IF(A73=0,0,IFERROR(VLOOKUP(A73,'[1]Info Donantes'!C:F,4,0),"Sin Telefono"))</f>
        <v>998 2662/2686361</v>
      </c>
      <c r="DB73" s="14" t="str">
        <f>IF(A73=0,0,"Reporte de Trazabiidad"&amp;" - "&amp;'[1]Resumen Donantes'!$C$2&amp;" - "&amp;A73&amp;"")</f>
        <v>Reporte de Trazabiidad -  - AGROINVESA - Agroindustrias Alimenticias de Veraguas, S.A. - La Parmigiana</v>
      </c>
    </row>
    <row r="74" spans="1:106" x14ac:dyDescent="0.55000000000000004">
      <c r="A74" s="31" t="s">
        <v>178</v>
      </c>
      <c r="B74" s="15">
        <f>INT(IFERROR(VLOOKUP(A74,'[1]Resumen Donantes'!C:F,3,0),0))</f>
        <v>0</v>
      </c>
      <c r="C74" s="15">
        <f>INT(ROUND(IFERROR(VLOOKUP(A74,'[1]Resumen Donantes'!C:F,4,0),0),1))</f>
        <v>46</v>
      </c>
      <c r="D74" s="16">
        <f t="shared" si="19"/>
        <v>46</v>
      </c>
      <c r="E74" s="17" t="str">
        <f t="shared" si="20"/>
        <v>100.00%</v>
      </c>
      <c r="F74" s="17" t="str">
        <f t="shared" si="21"/>
        <v>0.0%</v>
      </c>
      <c r="G74" s="15">
        <f t="shared" si="25"/>
        <v>138</v>
      </c>
      <c r="H74" s="18"/>
      <c r="I74" s="18">
        <f>IFERROR(VLOOKUP(A74,'[1]Lot All by Part'!T:Y,6,0),0)</f>
        <v>0</v>
      </c>
      <c r="J74" s="18"/>
      <c r="K74" s="19">
        <f>IFERROR(VLOOKUP($A74,'[1]OB Atendidas por Donantes'!A:N,3,0),0)</f>
        <v>6</v>
      </c>
      <c r="L74" s="19">
        <f>ROUNDUP(IF(A74=0,0,IFERROR(VLOOKUP($A74,'[1]Kilos Asignado del Donante'!A:O,3,0),0)),0)</f>
        <v>14</v>
      </c>
      <c r="M74" s="19">
        <f>IF(A74=0,0,IFERROR(SUMIFS([1]Poblacion!M:M,[1]Poblacion!J:J,'MASTER-2025'!A74),0))</f>
        <v>0</v>
      </c>
      <c r="N74" s="20">
        <f>IFERROR(VLOOKUP($A74,'[1]OB Atendidas por Donantes'!A:N,4,0),0)</f>
        <v>7</v>
      </c>
      <c r="O74" s="20">
        <f>ROUNDUP(IF(A74=0,0,IFERROR(VLOOKUP($A74,'[1]Kilos Asignado del Donante'!A:O,4,0),0)),0)</f>
        <v>12</v>
      </c>
      <c r="P74" s="20">
        <f>IF(A74=0,0,IFERROR(SUMIFS([1]Poblacion!N:N,[1]Poblacion!J:J,'MASTER-2025'!A74),0))</f>
        <v>0</v>
      </c>
      <c r="Q74" s="18">
        <f>IFERROR(VLOOKUP($A74,'[1]OB Atendidas por Donantes'!A:N,2,0),0)</f>
        <v>2</v>
      </c>
      <c r="R74" s="18">
        <f>ROUNDUP(ROUND(IF(A74=0,0,IFERROR(VLOOKUP($A74,'[1]Kilos Asignado del Donante'!A:O,9,0),0)),1),0)</f>
        <v>3</v>
      </c>
      <c r="S74" s="18">
        <f>IF(A74=0,0,IFERROR(SUMIFS([1]Poblacion!S:S,[1]Poblacion!J:J,'MASTER-2025'!A74),0))</f>
        <v>0</v>
      </c>
      <c r="T74" s="19">
        <f>IFERROR(VLOOKUP($A74,'[1]OB Atendidas por Donantes'!A:N,12,0),0)</f>
        <v>2</v>
      </c>
      <c r="U74" s="19">
        <f>ROUNDUP(IF(A74=0,0,IF(A74=0,0,IFERROR(VLOOKUP($A74,'[1]Kilos Asignado del Donante'!A:O,7,0),0))),0)</f>
        <v>3</v>
      </c>
      <c r="V74" s="19">
        <f>IF(A74=0,0,IFERROR(SUMIFS([1]Poblacion!Q:Q,[1]Poblacion!J:J,'MASTER-2025'!A74),0))</f>
        <v>0</v>
      </c>
      <c r="W74" s="20">
        <f>IFERROR(VLOOKUP($A74,'[1]OB Atendidas por Donantes'!A:N,10,0),0)</f>
        <v>6</v>
      </c>
      <c r="X74" s="20">
        <f>ROUNDUP(IF(A74=0,0,IFERROR(VLOOKUP($A74,'[1]Kilos Asignado del Donante'!A:N,5,0),0)),0)</f>
        <v>12</v>
      </c>
      <c r="Y74" s="20">
        <f>IF(A74=0,0,IFERROR(SUMIFS([1]Poblacion!O:O,[1]Poblacion!J:J,'MASTER-2025'!A74),0))</f>
        <v>0</v>
      </c>
      <c r="Z74" s="18">
        <f>IFERROR(VLOOKUP($A74,'[1]OB Atendidas por Donantes'!A:N,6,0),0)</f>
        <v>0</v>
      </c>
      <c r="AA74" s="18">
        <f>ROUNDUP(IF(A74=0,0,IFERROR(VLOOKUP($A74,'[1]Kilos Asignado del Donante'!A:N,11,0),0)),0)</f>
        <v>0</v>
      </c>
      <c r="AB74" s="18">
        <f>IF(A74=0,0,IFERROR(SUMIFS([1]Poblacion!U:U,[1]Poblacion!J:J,'MASTER-2025'!A74),0))</f>
        <v>0</v>
      </c>
      <c r="AC74" s="19">
        <f>IFERROR(VLOOKUP($A74,'[1]OB Atendidas por Donantes'!A:N,7,0),0)</f>
        <v>0</v>
      </c>
      <c r="AD74" s="19">
        <f>ROUNDUP(IF(A74=0,0,IFERROR(VLOOKUP($A74,'[1]Kilos Asignado del Donante'!A:N,8,0),0)),0)</f>
        <v>0</v>
      </c>
      <c r="AE74" s="19">
        <f>IF(A74=0,0,IFERROR(SUMIFS([1]Poblacion!R:R,[1]Poblacion!J:J,'MASTER-2025'!A74),0))</f>
        <v>0</v>
      </c>
      <c r="AF74" s="20">
        <f>IFERROR(VLOOKUP($A74,'[1]OB Atendidas por Donantes'!A:N,8,0),0)</f>
        <v>1</v>
      </c>
      <c r="AG74" s="20">
        <f>ROUNDUP(IF(A74=0,0,IFERROR(VLOOKUP($A74,'[1]Kilos Asignado del Donante'!A:N,6,0),0)),0)</f>
        <v>3</v>
      </c>
      <c r="AH74" s="20">
        <f>IF(A74=0,0,IFERROR(SUMIFS([1]Poblacion!P:P,[1]Poblacion!J:J,'MASTER-2025'!A74),0))</f>
        <v>0</v>
      </c>
      <c r="AI74" s="18">
        <f>IFERROR(VLOOKUP($A74,'[1]OB Atendidas por Donantes'!A:N,9,0),0)</f>
        <v>0</v>
      </c>
      <c r="AJ74" s="18">
        <f>ROUNDUP(IF(A74=0,0,IFERROR(VLOOKUP($A74,'[1]Kilos Asignado del Donante'!A:N,12,0),0)),0)</f>
        <v>0</v>
      </c>
      <c r="AK74" s="18">
        <f>IF(A74=0,0,IFERROR(SUMIFS([1]Poblacion!V:V,[1]Poblacion!J:J,'MASTER-2025'!A74),0))</f>
        <v>0</v>
      </c>
      <c r="AL74" s="19">
        <f>IFERROR(VLOOKUP($A74,'[1]OB Atendidas por Donantes'!A:N,16,0),0)</f>
        <v>0</v>
      </c>
      <c r="AM74" s="19">
        <f>ROUNDUP(IF(A74=0,0,IFERROR(VLOOKUP($A74,'[1]Kilos Asignado del Donante'!A:O,16,0),0)),0)</f>
        <v>0</v>
      </c>
      <c r="AN74" s="19">
        <f>IF(A74=0,0,IFERROR(SUMIFS([1]Poblacion!Z:Z,[1]Poblacion!J:J,'MASTER-2025'!A74),0))</f>
        <v>0</v>
      </c>
      <c r="AO74" s="20">
        <f>IFERROR(VLOOKUP($A74,'[1]OB Atendidas por Donantes'!A:N,11,0),0)</f>
        <v>0</v>
      </c>
      <c r="AP74" s="20">
        <f>ROUNDUP(IF(A74=0,0,IFERROR(VLOOKUP($A74,'[1]Kilos Asignado del Donante'!A:N,13,0),0)),0)</f>
        <v>0</v>
      </c>
      <c r="AQ74" s="20">
        <f>IF(A74=0,0,IFERROR(SUMIFS([1]Poblacion!W:W,[1]Poblacion!J:J,'MASTER-2025'!A74),0))</f>
        <v>0</v>
      </c>
      <c r="AR74" s="18">
        <f>IFERROR(VLOOKUP($A74,'[1]OB Atendidas por Donantes'!A:N,5,0),0)</f>
        <v>0</v>
      </c>
      <c r="AS74" s="18">
        <f>ROUNDUP(IF(A74=0,0,IFERROR(VLOOKUP($A74,'[1]Kilos Asignado del Donante'!A:N,10,0),0)),0)</f>
        <v>0</v>
      </c>
      <c r="AT74" s="18">
        <f>IF(A74=0,0,IFERROR(SUMIFS([1]Poblacion!T:T,[1]Poblacion!J:J,'MASTER-2025'!A74),0))</f>
        <v>0</v>
      </c>
      <c r="AU74" s="19">
        <f>IFERROR(VLOOKUP($A74,'[1]OB Atendidas por Donantes'!A:N,13,0),0)</f>
        <v>0</v>
      </c>
      <c r="AV74" s="19">
        <f>ROUNDUP(IF(A74=0,0,IFERROR(VLOOKUP($A74,'[1]Kilos Asignado del Donante'!A:N,14,0),0)),0)</f>
        <v>0</v>
      </c>
      <c r="AW74" s="19">
        <f>IF(A74=0,0,IFERROR(SUMIFS([1]Poblacion!X:X,[1]Poblacion!J:J,'MASTER-2025'!A74),0))</f>
        <v>0</v>
      </c>
      <c r="AX74" s="20">
        <f>IFERROR(VLOOKUP($A74,'[1]OB Atendidas por Donantes'!A:N,16,0),0)</f>
        <v>0</v>
      </c>
      <c r="AY74" s="20">
        <f>ROUNDUP(IF(A74=0,0,IFERROR(VLOOKUP($A74,'[1]Kilos Asignado del Donante'!A:O,16,0),0)),0)</f>
        <v>0</v>
      </c>
      <c r="AZ74" s="20">
        <f>IF(A74=0,0,IFERROR(SUMIFS([1]Poblacion!Y:Y,[1]Poblacion!J:J,'MASTER-2025'!A74),0))</f>
        <v>0</v>
      </c>
      <c r="BA74" s="21">
        <f t="shared" si="15"/>
        <v>24</v>
      </c>
      <c r="BB74" s="21">
        <f t="shared" si="29"/>
        <v>47</v>
      </c>
      <c r="BC74" s="21">
        <f t="shared" si="24"/>
        <v>32</v>
      </c>
      <c r="BD74" s="21">
        <f t="shared" si="26"/>
        <v>0</v>
      </c>
      <c r="BE74" s="22" t="e">
        <f>IF(A74=0,0,SUMIFS([1]Poblacion!C:C,[1]Poblacion!A:A,'MASTER-2025'!A74))</f>
        <v>#VALUE!</v>
      </c>
      <c r="BF74" s="22" t="e">
        <f>IF(A74=0,0,SUMIFS([1]Poblacion!D:D,[1]Poblacion!A:A,'MASTER-2025'!A74))</f>
        <v>#VALUE!</v>
      </c>
      <c r="BG74" s="22" t="e">
        <f>IF(A74=0,0,SUMIFS([1]Poblacion!E:E,[1]Poblacion!A:A,'MASTER-2025'!A74))</f>
        <v>#VALUE!</v>
      </c>
      <c r="BH74" s="22" t="e">
        <f>IF(A74=0,0,SUMIFS([1]Poblacion!F:F,[1]Poblacion!A:A,'MASTER-2025'!A74))</f>
        <v>#VALUE!</v>
      </c>
      <c r="BI74" s="22" t="e">
        <f t="shared" si="18"/>
        <v>#VALUE!</v>
      </c>
      <c r="BJ74" s="23" t="e">
        <f t="shared" si="30"/>
        <v>#VALUE!</v>
      </c>
      <c r="BK74" s="22" t="e">
        <f>IF(A74=0,0,SUMIFS([1]Poblacion!G:G,[1]Poblacion!A:A,'MASTER-2025'!A74))</f>
        <v>#VALUE!</v>
      </c>
      <c r="BL74" s="24" cm="1">
        <f t="array" ref="BL74:BW74">IFERROR(VLOOKUP(A74,'[1]Acum-OB-kg-pob-25'!A:AQ,{3,4,5,6,7,8,9,10,11,12,13,14},0),0)</f>
        <v>0</v>
      </c>
      <c r="BM74" s="24">
        <v>0</v>
      </c>
      <c r="BN74" s="24">
        <v>24</v>
      </c>
      <c r="BO74" s="24">
        <v>0</v>
      </c>
      <c r="BP74" s="24">
        <v>0</v>
      </c>
      <c r="BQ74" s="24">
        <v>0</v>
      </c>
      <c r="BR74" s="24">
        <v>0</v>
      </c>
      <c r="BS74" s="24">
        <v>0</v>
      </c>
      <c r="BT74" s="24">
        <v>0</v>
      </c>
      <c r="BU74" s="24">
        <v>0</v>
      </c>
      <c r="BV74" s="24">
        <v>0</v>
      </c>
      <c r="BW74" s="24">
        <v>0</v>
      </c>
      <c r="BX74" s="24">
        <f t="shared" si="31"/>
        <v>24</v>
      </c>
      <c r="BY74" s="25" cm="1">
        <f t="array" ref="BY74:CJ74">IFERROR(VLOOKUP(A74,'[1]Acum-OB-kg-pob-25'!A:AQ,{17,18,19,20,21,22,23,24,25,26,27,28},0),0)</f>
        <v>0</v>
      </c>
      <c r="BZ74" s="25">
        <v>0</v>
      </c>
      <c r="CA74" s="25">
        <v>46</v>
      </c>
      <c r="CB74" s="25">
        <v>0</v>
      </c>
      <c r="CC74" s="25">
        <v>0</v>
      </c>
      <c r="CD74" s="25">
        <v>0</v>
      </c>
      <c r="CE74" s="25">
        <v>0</v>
      </c>
      <c r="CF74" s="25">
        <v>0</v>
      </c>
      <c r="CG74" s="25">
        <v>0</v>
      </c>
      <c r="CH74" s="25">
        <v>0</v>
      </c>
      <c r="CI74" s="25">
        <v>0</v>
      </c>
      <c r="CJ74" s="25">
        <v>0</v>
      </c>
      <c r="CK74" s="25">
        <f t="shared" si="32"/>
        <v>46</v>
      </c>
      <c r="CL74" s="26" cm="1">
        <f t="array" ref="CL74:CW74">IFERROR(VLOOKUP(A74,'[1]Acum-OB-kg-pob-25'!A:AQ,{31,32,33,34,35,36,37,38,39,40,41,42},0),0)</f>
        <v>0</v>
      </c>
      <c r="CM74" s="26">
        <v>0</v>
      </c>
      <c r="CN74" s="26">
        <v>6259</v>
      </c>
      <c r="CO74" s="26">
        <v>0</v>
      </c>
      <c r="CP74" s="26">
        <v>0</v>
      </c>
      <c r="CQ74" s="26">
        <v>0</v>
      </c>
      <c r="CR74" s="26">
        <v>0</v>
      </c>
      <c r="CS74" s="26">
        <v>0</v>
      </c>
      <c r="CT74" s="26">
        <v>0</v>
      </c>
      <c r="CU74" s="26">
        <v>0</v>
      </c>
      <c r="CV74" s="26">
        <v>0</v>
      </c>
      <c r="CW74" s="26">
        <v>0</v>
      </c>
      <c r="CX74" s="26">
        <f t="shared" si="33"/>
        <v>6259</v>
      </c>
      <c r="CY74" s="14" t="str">
        <f>IF(A74=0,0,IFERROR(VLOOKUP(A74,'[1]Info Donantes'!C:F,2,0),"Sin Contacto"))</f>
        <v>Amado Barrios</v>
      </c>
      <c r="CZ74" s="14" t="str">
        <f>IF(A74=0,0,IFERROR(VLOOKUP(A74,'[1]Info Donantes'!C:F,3,0),"Sin Correo"))</f>
        <v>abarrios@super99.com</v>
      </c>
      <c r="DA74" s="14" t="str">
        <f>IF(A74=0,0,IFERROR(VLOOKUP(A74,'[1]Info Donantes'!C:F,4,0),"Sin Telefono"))</f>
        <v>323 8700</v>
      </c>
      <c r="DB74" s="14" t="str">
        <f>IF(A74=0,0,"Reporte de Trazabiidad"&amp;" - "&amp;'[1]Resumen Donantes'!$C$2&amp;" - "&amp;A74&amp;"")</f>
        <v>Reporte de Trazabiidad -  - IMPORTADORA RICAMAR - SUPER 99</v>
      </c>
    </row>
    <row r="75" spans="1:106" x14ac:dyDescent="0.55000000000000004">
      <c r="A75" s="31" t="s">
        <v>179</v>
      </c>
      <c r="B75" s="15">
        <f>INT(IFERROR(VLOOKUP(A75,'[1]Resumen Donantes'!C:F,3,0),0))</f>
        <v>38</v>
      </c>
      <c r="C75" s="15">
        <f>INT(ROUND(IFERROR(VLOOKUP(A75,'[1]Resumen Donantes'!C:F,4,0),0),1))</f>
        <v>90</v>
      </c>
      <c r="D75" s="16">
        <f t="shared" si="19"/>
        <v>52</v>
      </c>
      <c r="E75" s="17" t="str">
        <f t="shared" si="20"/>
        <v>57.78%</v>
      </c>
      <c r="F75" s="17" t="str">
        <f t="shared" si="21"/>
        <v>42.2%</v>
      </c>
      <c r="G75" s="15">
        <f t="shared" si="25"/>
        <v>156</v>
      </c>
      <c r="H75" s="18"/>
      <c r="I75" s="18">
        <f>IFERROR(VLOOKUP(A75,'[1]Lot All by Part'!T:Y,6,0),0)</f>
        <v>0</v>
      </c>
      <c r="J75" s="18"/>
      <c r="K75" s="19">
        <f>IFERROR(VLOOKUP($A75,'[1]OB Atendidas por Donantes'!A:N,3,0),0)</f>
        <v>11</v>
      </c>
      <c r="L75" s="19">
        <f>ROUNDUP(IF(A75=0,0,IFERROR(VLOOKUP($A75,'[1]Kilos Asignado del Donante'!A:O,3,0),0)),0)</f>
        <v>68</v>
      </c>
      <c r="M75" s="19">
        <f>IF(A75=0,0,IFERROR(SUMIFS([1]Poblacion!M:M,[1]Poblacion!J:J,'MASTER-2025'!A75),0))</f>
        <v>0</v>
      </c>
      <c r="N75" s="20">
        <f>IFERROR(VLOOKUP($A75,'[1]OB Atendidas por Donantes'!A:N,4,0),0)</f>
        <v>17</v>
      </c>
      <c r="O75" s="20">
        <f>ROUNDUP(IF(A75=0,0,IFERROR(VLOOKUP($A75,'[1]Kilos Asignado del Donante'!A:O,4,0),0)),0)</f>
        <v>140</v>
      </c>
      <c r="P75" s="20">
        <f>IF(A75=0,0,IFERROR(SUMIFS([1]Poblacion!N:N,[1]Poblacion!J:J,'MASTER-2025'!A75),0))</f>
        <v>0</v>
      </c>
      <c r="Q75" s="18">
        <f>IFERROR(VLOOKUP($A75,'[1]OB Atendidas por Donantes'!A:N,2,0),0)</f>
        <v>6</v>
      </c>
      <c r="R75" s="18">
        <f>ROUNDUP(ROUND(IF(A75=0,0,IFERROR(VLOOKUP($A75,'[1]Kilos Asignado del Donante'!A:O,9,0),0)),1),0)</f>
        <v>29</v>
      </c>
      <c r="S75" s="18">
        <f>IF(A75=0,0,IFERROR(SUMIFS([1]Poblacion!S:S,[1]Poblacion!J:J,'MASTER-2025'!A75),0))</f>
        <v>0</v>
      </c>
      <c r="T75" s="19">
        <f>IFERROR(VLOOKUP($A75,'[1]OB Atendidas por Donantes'!A:N,12,0),0)</f>
        <v>3</v>
      </c>
      <c r="U75" s="19">
        <f>ROUNDUP(IF(A75=0,0,IF(A75=0,0,IFERROR(VLOOKUP($A75,'[1]Kilos Asignado del Donante'!A:O,7,0),0))),0)</f>
        <v>15</v>
      </c>
      <c r="V75" s="19">
        <f>IF(A75=0,0,IFERROR(SUMIFS([1]Poblacion!Q:Q,[1]Poblacion!J:J,'MASTER-2025'!A75),0))</f>
        <v>0</v>
      </c>
      <c r="W75" s="20">
        <f>IFERROR(VLOOKUP($A75,'[1]OB Atendidas por Donantes'!A:N,10,0),0)</f>
        <v>8</v>
      </c>
      <c r="X75" s="20">
        <f>ROUNDUP(IF(A75=0,0,IFERROR(VLOOKUP($A75,'[1]Kilos Asignado del Donante'!A:N,5,0),0)),0)</f>
        <v>91</v>
      </c>
      <c r="Y75" s="20">
        <f>IF(A75=0,0,IFERROR(SUMIFS([1]Poblacion!O:O,[1]Poblacion!J:J,'MASTER-2025'!A75),0))</f>
        <v>0</v>
      </c>
      <c r="Z75" s="18">
        <f>IFERROR(VLOOKUP($A75,'[1]OB Atendidas por Donantes'!A:N,6,0),0)</f>
        <v>0</v>
      </c>
      <c r="AA75" s="18">
        <f>ROUNDUP(IF(A75=0,0,IFERROR(VLOOKUP($A75,'[1]Kilos Asignado del Donante'!A:N,11,0),0)),0)</f>
        <v>0</v>
      </c>
      <c r="AB75" s="18">
        <f>IF(A75=0,0,IFERROR(SUMIFS([1]Poblacion!U:U,[1]Poblacion!J:J,'MASTER-2025'!A75),0))</f>
        <v>0</v>
      </c>
      <c r="AC75" s="19">
        <f>IFERROR(VLOOKUP($A75,'[1]OB Atendidas por Donantes'!A:N,7,0),0)</f>
        <v>1</v>
      </c>
      <c r="AD75" s="19">
        <f>ROUNDUP(IF(A75=0,0,IFERROR(VLOOKUP($A75,'[1]Kilos Asignado del Donante'!A:N,8,0),0)),0)</f>
        <v>13</v>
      </c>
      <c r="AE75" s="19">
        <f>IF(A75=0,0,IFERROR(SUMIFS([1]Poblacion!R:R,[1]Poblacion!J:J,'MASTER-2025'!A75),0))</f>
        <v>0</v>
      </c>
      <c r="AF75" s="20">
        <f>IFERROR(VLOOKUP($A75,'[1]OB Atendidas por Donantes'!A:N,8,0),0)</f>
        <v>1</v>
      </c>
      <c r="AG75" s="20">
        <f>ROUNDUP(IF(A75=0,0,IFERROR(VLOOKUP($A75,'[1]Kilos Asignado del Donante'!A:N,6,0),0)),0)</f>
        <v>3</v>
      </c>
      <c r="AH75" s="20">
        <f>IF(A75=0,0,IFERROR(SUMIFS([1]Poblacion!P:P,[1]Poblacion!J:J,'MASTER-2025'!A75),0))</f>
        <v>0</v>
      </c>
      <c r="AI75" s="18">
        <f>IFERROR(VLOOKUP($A75,'[1]OB Atendidas por Donantes'!A:N,9,0),0)</f>
        <v>0</v>
      </c>
      <c r="AJ75" s="18">
        <f>ROUNDUP(IF(A75=0,0,IFERROR(VLOOKUP($A75,'[1]Kilos Asignado del Donante'!A:N,12,0),0)),0)</f>
        <v>0</v>
      </c>
      <c r="AK75" s="18">
        <f>IF(A75=0,0,IFERROR(SUMIFS([1]Poblacion!V:V,[1]Poblacion!J:J,'MASTER-2025'!A75),0))</f>
        <v>0</v>
      </c>
      <c r="AL75" s="19">
        <f>IFERROR(VLOOKUP($A75,'[1]OB Atendidas por Donantes'!A:N,16,0),0)</f>
        <v>0</v>
      </c>
      <c r="AM75" s="19">
        <f>ROUNDUP(IF(A75=0,0,IFERROR(VLOOKUP($A75,'[1]Kilos Asignado del Donante'!A:O,16,0),0)),0)</f>
        <v>0</v>
      </c>
      <c r="AN75" s="19">
        <f>IF(A75=0,0,IFERROR(SUMIFS([1]Poblacion!Z:Z,[1]Poblacion!J:J,'MASTER-2025'!A75),0))</f>
        <v>0</v>
      </c>
      <c r="AO75" s="20">
        <f>IFERROR(VLOOKUP($A75,'[1]OB Atendidas por Donantes'!A:N,11,0),0)</f>
        <v>0</v>
      </c>
      <c r="AP75" s="20">
        <f>ROUNDUP(IF(A75=0,0,IFERROR(VLOOKUP($A75,'[1]Kilos Asignado del Donante'!A:N,13,0),0)),0)</f>
        <v>0</v>
      </c>
      <c r="AQ75" s="20">
        <f>IF(A75=0,0,IFERROR(SUMIFS([1]Poblacion!W:W,[1]Poblacion!J:J,'MASTER-2025'!A75),0))</f>
        <v>0</v>
      </c>
      <c r="AR75" s="18">
        <f>IFERROR(VLOOKUP($A75,'[1]OB Atendidas por Donantes'!A:N,5,0),0)</f>
        <v>0</v>
      </c>
      <c r="AS75" s="18">
        <f>ROUNDUP(IF(A75=0,0,IFERROR(VLOOKUP($A75,'[1]Kilos Asignado del Donante'!A:N,10,0),0)),0)</f>
        <v>0</v>
      </c>
      <c r="AT75" s="18">
        <f>IF(A75=0,0,IFERROR(SUMIFS([1]Poblacion!T:T,[1]Poblacion!J:J,'MASTER-2025'!A75),0))</f>
        <v>0</v>
      </c>
      <c r="AU75" s="19">
        <f>IFERROR(VLOOKUP($A75,'[1]OB Atendidas por Donantes'!A:N,13,0),0)</f>
        <v>0</v>
      </c>
      <c r="AV75" s="19">
        <f>ROUNDUP(IF(A75=0,0,IFERROR(VLOOKUP($A75,'[1]Kilos Asignado del Donante'!A:N,14,0),0)),0)</f>
        <v>0</v>
      </c>
      <c r="AW75" s="19">
        <f>IF(A75=0,0,IFERROR(SUMIFS([1]Poblacion!X:X,[1]Poblacion!J:J,'MASTER-2025'!A75),0))</f>
        <v>0</v>
      </c>
      <c r="AX75" s="20">
        <f>IFERROR(VLOOKUP($A75,'[1]OB Atendidas por Donantes'!A:N,16,0),0)</f>
        <v>0</v>
      </c>
      <c r="AY75" s="20">
        <f>ROUNDUP(IF(A75=0,0,IFERROR(VLOOKUP($A75,'[1]Kilos Asignado del Donante'!A:O,16,0),0)),0)</f>
        <v>0</v>
      </c>
      <c r="AZ75" s="20">
        <f>IF(A75=0,0,IFERROR(SUMIFS([1]Poblacion!Y:Y,[1]Poblacion!J:J,'MASTER-2025'!A75),0))</f>
        <v>0</v>
      </c>
      <c r="BA75" s="21">
        <f t="shared" si="15"/>
        <v>47</v>
      </c>
      <c r="BB75" s="21">
        <f t="shared" si="29"/>
        <v>359</v>
      </c>
      <c r="BC75" s="21">
        <f t="shared" si="24"/>
        <v>252</v>
      </c>
      <c r="BD75" s="21">
        <f t="shared" si="26"/>
        <v>0</v>
      </c>
      <c r="BE75" s="22" t="e">
        <f>IF(A75=0,0,SUMIFS([1]Poblacion!C:C,[1]Poblacion!A:A,'MASTER-2025'!A75))</f>
        <v>#VALUE!</v>
      </c>
      <c r="BF75" s="22" t="e">
        <f>IF(A75=0,0,SUMIFS([1]Poblacion!D:D,[1]Poblacion!A:A,'MASTER-2025'!A75))</f>
        <v>#VALUE!</v>
      </c>
      <c r="BG75" s="22" t="e">
        <f>IF(A75=0,0,SUMIFS([1]Poblacion!E:E,[1]Poblacion!A:A,'MASTER-2025'!A75))</f>
        <v>#VALUE!</v>
      </c>
      <c r="BH75" s="22" t="e">
        <f>IF(A75=0,0,SUMIFS([1]Poblacion!F:F,[1]Poblacion!A:A,'MASTER-2025'!A75))</f>
        <v>#VALUE!</v>
      </c>
      <c r="BI75" s="22" t="e">
        <f t="shared" si="18"/>
        <v>#VALUE!</v>
      </c>
      <c r="BJ75" s="23" t="e">
        <f t="shared" si="30"/>
        <v>#VALUE!</v>
      </c>
      <c r="BK75" s="22" t="e">
        <f>IF(A75=0,0,SUMIFS([1]Poblacion!G:G,[1]Poblacion!A:A,'MASTER-2025'!A75))</f>
        <v>#VALUE!</v>
      </c>
      <c r="BL75" s="24" cm="1">
        <f t="array" ref="BL75:BW75">IFERROR(VLOOKUP(A75,'[1]Acum-OB-kg-pob-25'!A:AQ,{3,4,5,6,7,8,9,10,11,12,13,14},0),0)</f>
        <v>0</v>
      </c>
      <c r="BM75" s="24">
        <v>26</v>
      </c>
      <c r="BN75" s="24">
        <v>47</v>
      </c>
      <c r="BO75" s="24">
        <v>0</v>
      </c>
      <c r="BP75" s="24">
        <v>0</v>
      </c>
      <c r="BQ75" s="24">
        <v>0</v>
      </c>
      <c r="BR75" s="24">
        <v>0</v>
      </c>
      <c r="BS75" s="24">
        <v>0</v>
      </c>
      <c r="BT75" s="24">
        <v>0</v>
      </c>
      <c r="BU75" s="24">
        <v>0</v>
      </c>
      <c r="BV75" s="24">
        <v>0</v>
      </c>
      <c r="BW75" s="24">
        <v>0</v>
      </c>
      <c r="BX75" s="24">
        <f t="shared" si="31"/>
        <v>73</v>
      </c>
      <c r="BY75" s="25" cm="1">
        <f t="array" ref="BY75:CJ75">IFERROR(VLOOKUP(A75,'[1]Acum-OB-kg-pob-25'!A:AQ,{17,18,19,20,21,22,23,24,25,26,27,28},0),0)</f>
        <v>0</v>
      </c>
      <c r="BZ75" s="25">
        <v>606</v>
      </c>
      <c r="CA75" s="25">
        <v>90</v>
      </c>
      <c r="CB75" s="25">
        <v>0</v>
      </c>
      <c r="CC75" s="25">
        <v>0</v>
      </c>
      <c r="CD75" s="25">
        <v>0</v>
      </c>
      <c r="CE75" s="25">
        <v>0</v>
      </c>
      <c r="CF75" s="25">
        <v>0</v>
      </c>
      <c r="CG75" s="25">
        <v>0</v>
      </c>
      <c r="CH75" s="25">
        <v>0</v>
      </c>
      <c r="CI75" s="25">
        <v>0</v>
      </c>
      <c r="CJ75" s="25">
        <v>0</v>
      </c>
      <c r="CK75" s="25">
        <f t="shared" si="32"/>
        <v>696</v>
      </c>
      <c r="CL75" s="26" cm="1">
        <f t="array" ref="CL75:CW75">IFERROR(VLOOKUP(A75,'[1]Acum-OB-kg-pob-25'!A:AQ,{31,32,33,34,35,36,37,38,39,40,41,42},0),0)</f>
        <v>0</v>
      </c>
      <c r="CM75" s="26">
        <v>13497</v>
      </c>
      <c r="CN75" s="26">
        <v>12025.6</v>
      </c>
      <c r="CO75" s="26">
        <v>0</v>
      </c>
      <c r="CP75" s="26">
        <v>0</v>
      </c>
      <c r="CQ75" s="26">
        <v>0</v>
      </c>
      <c r="CR75" s="26">
        <v>0</v>
      </c>
      <c r="CS75" s="26">
        <v>0</v>
      </c>
      <c r="CT75" s="26">
        <v>0</v>
      </c>
      <c r="CU75" s="26">
        <v>0</v>
      </c>
      <c r="CV75" s="26">
        <v>0</v>
      </c>
      <c r="CW75" s="26">
        <v>0</v>
      </c>
      <c r="CX75" s="26">
        <f t="shared" si="33"/>
        <v>25522.6</v>
      </c>
      <c r="CY75" s="14" t="str">
        <f>IF(A75=0,0,IFERROR(VLOOKUP(A75,'[1]Info Donantes'!C:F,2,0),"Sin Contacto"))</f>
        <v>ALBERTO CHONG</v>
      </c>
      <c r="CZ75" s="14" t="str">
        <f>IF(A75=0,0,IFERROR(VLOOKUP(A75,'[1]Info Donantes'!C:F,3,0),"Sin Correo"))</f>
        <v>alberto.chong@nhs.com</v>
      </c>
      <c r="DA75" s="14" t="str">
        <f>IF(A75=0,0,IFERROR(VLOOKUP(A75,'[1]Info Donantes'!C:F,4,0),"Sin Telefono"))</f>
        <v>271-5384</v>
      </c>
      <c r="DB75" s="14" t="str">
        <f>IF(A75=0,0,"Reporte de Trazabiidad"&amp;" - "&amp;'[1]Resumen Donantes'!$C$2&amp;" - "&amp;A75&amp;"")</f>
        <v>Reporte de Trazabiidad -  - NUEVO HUNG SHENG</v>
      </c>
    </row>
    <row r="76" spans="1:106" x14ac:dyDescent="0.55000000000000004">
      <c r="A76" s="31" t="s">
        <v>180</v>
      </c>
      <c r="B76" s="15">
        <f>INT(IFERROR(VLOOKUP(A76,'[1]Resumen Donantes'!C:F,3,0),0))</f>
        <v>0</v>
      </c>
      <c r="C76" s="15">
        <f>INT(ROUND(IFERROR(VLOOKUP(A76,'[1]Resumen Donantes'!C:F,4,0),0),1))</f>
        <v>0</v>
      </c>
      <c r="D76" s="16">
        <f t="shared" si="19"/>
        <v>0</v>
      </c>
      <c r="E76" s="17" t="str">
        <f t="shared" si="20"/>
        <v>0.00%</v>
      </c>
      <c r="F76" s="17" t="str">
        <f t="shared" si="21"/>
        <v>0.0%</v>
      </c>
      <c r="G76" s="15">
        <f t="shared" si="25"/>
        <v>0</v>
      </c>
      <c r="H76" s="18"/>
      <c r="I76" s="18">
        <f>IFERROR(VLOOKUP(A76,'[1]Lot All by Part'!T:Y,6,0),0)</f>
        <v>0</v>
      </c>
      <c r="J76" s="18"/>
      <c r="K76" s="19">
        <f>IFERROR(VLOOKUP($A76,'[1]OB Atendidas por Donantes'!A:N,3,0),0)</f>
        <v>0</v>
      </c>
      <c r="L76" s="19">
        <f>ROUNDUP(IF(A76=0,0,IFERROR(VLOOKUP($A76,'[1]Kilos Asignado del Donante'!A:O,3,0),0)),0)</f>
        <v>0</v>
      </c>
      <c r="M76" s="19">
        <f>IF(A76=0,0,IFERROR(SUMIFS([1]Poblacion!M:M,[1]Poblacion!J:J,'MASTER-2025'!A76),0))</f>
        <v>0</v>
      </c>
      <c r="N76" s="20">
        <f>IFERROR(VLOOKUP($A76,'[1]OB Atendidas por Donantes'!A:N,4,0),0)</f>
        <v>0</v>
      </c>
      <c r="O76" s="20">
        <f>ROUNDUP(IF(A76=0,0,IFERROR(VLOOKUP($A76,'[1]Kilos Asignado del Donante'!A:O,4,0),0)),0)</f>
        <v>0</v>
      </c>
      <c r="P76" s="20">
        <f>IF(A76=0,0,IFERROR(SUMIFS([1]Poblacion!N:N,[1]Poblacion!J:J,'MASTER-2025'!A76),0))</f>
        <v>0</v>
      </c>
      <c r="Q76" s="18">
        <f>IFERROR(VLOOKUP($A76,'[1]OB Atendidas por Donantes'!A:N,2,0),0)</f>
        <v>0</v>
      </c>
      <c r="R76" s="18">
        <f>ROUNDUP(ROUND(IF(A76=0,0,IFERROR(VLOOKUP($A76,'[1]Kilos Asignado del Donante'!A:O,9,0),0)),1),0)</f>
        <v>0</v>
      </c>
      <c r="S76" s="18">
        <f>IF(A76=0,0,IFERROR(SUMIFS([1]Poblacion!S:S,[1]Poblacion!J:J,'MASTER-2025'!A76),0))</f>
        <v>0</v>
      </c>
      <c r="T76" s="19">
        <f>IFERROR(VLOOKUP($A76,'[1]OB Atendidas por Donantes'!A:N,12,0),0)</f>
        <v>0</v>
      </c>
      <c r="U76" s="19">
        <f>ROUNDUP(IF(A76=0,0,IF(A76=0,0,IFERROR(VLOOKUP($A76,'[1]Kilos Asignado del Donante'!A:O,7,0),0))),0)</f>
        <v>0</v>
      </c>
      <c r="V76" s="19">
        <f>IF(A76=0,0,IFERROR(SUMIFS([1]Poblacion!Q:Q,[1]Poblacion!J:J,'MASTER-2025'!A76),0))</f>
        <v>0</v>
      </c>
      <c r="W76" s="20">
        <f>IFERROR(VLOOKUP($A76,'[1]OB Atendidas por Donantes'!A:N,10,0),0)</f>
        <v>0</v>
      </c>
      <c r="X76" s="20">
        <f>ROUNDUP(IF(A76=0,0,IFERROR(VLOOKUP($A76,'[1]Kilos Asignado del Donante'!A:N,5,0),0)),0)</f>
        <v>0</v>
      </c>
      <c r="Y76" s="20">
        <f>IF(A76=0,0,IFERROR(SUMIFS([1]Poblacion!O:O,[1]Poblacion!J:J,'MASTER-2025'!A76),0))</f>
        <v>0</v>
      </c>
      <c r="Z76" s="18">
        <f>IFERROR(VLOOKUP($A76,'[1]OB Atendidas por Donantes'!A:N,6,0),0)</f>
        <v>0</v>
      </c>
      <c r="AA76" s="18">
        <f>ROUNDUP(IF(A76=0,0,IFERROR(VLOOKUP($A76,'[1]Kilos Asignado del Donante'!A:N,11,0),0)),0)</f>
        <v>0</v>
      </c>
      <c r="AB76" s="18">
        <f>IF(A76=0,0,IFERROR(SUMIFS([1]Poblacion!U:U,[1]Poblacion!J:J,'MASTER-2025'!A76),0))</f>
        <v>0</v>
      </c>
      <c r="AC76" s="19">
        <f>IFERROR(VLOOKUP($A76,'[1]OB Atendidas por Donantes'!A:N,7,0),0)</f>
        <v>0</v>
      </c>
      <c r="AD76" s="19">
        <f>ROUNDUP(IF(A76=0,0,IFERROR(VLOOKUP($A76,'[1]Kilos Asignado del Donante'!A:N,8,0),0)),0)</f>
        <v>0</v>
      </c>
      <c r="AE76" s="19">
        <f>IF(A76=0,0,IFERROR(SUMIFS([1]Poblacion!R:R,[1]Poblacion!J:J,'MASTER-2025'!A76),0))</f>
        <v>0</v>
      </c>
      <c r="AF76" s="20">
        <f>IFERROR(VLOOKUP($A76,'[1]OB Atendidas por Donantes'!A:N,8,0),0)</f>
        <v>0</v>
      </c>
      <c r="AG76" s="20">
        <f>ROUNDUP(IF(A76=0,0,IFERROR(VLOOKUP($A76,'[1]Kilos Asignado del Donante'!A:N,6,0),0)),0)</f>
        <v>0</v>
      </c>
      <c r="AH76" s="20">
        <f>IF(A76=0,0,IFERROR(SUMIFS([1]Poblacion!P:P,[1]Poblacion!J:J,'MASTER-2025'!A76),0))</f>
        <v>0</v>
      </c>
      <c r="AI76" s="18">
        <f>IFERROR(VLOOKUP($A76,'[1]OB Atendidas por Donantes'!A:N,9,0),0)</f>
        <v>0</v>
      </c>
      <c r="AJ76" s="18">
        <f>ROUNDUP(IF(A76=0,0,IFERROR(VLOOKUP($A76,'[1]Kilos Asignado del Donante'!A:N,12,0),0)),0)</f>
        <v>0</v>
      </c>
      <c r="AK76" s="18">
        <f>IF(A76=0,0,IFERROR(SUMIFS([1]Poblacion!V:V,[1]Poblacion!J:J,'MASTER-2025'!A76),0))</f>
        <v>0</v>
      </c>
      <c r="AL76" s="19">
        <f>IFERROR(VLOOKUP($A76,'[1]OB Atendidas por Donantes'!A:N,16,0),0)</f>
        <v>0</v>
      </c>
      <c r="AM76" s="19">
        <f>ROUNDUP(IF(A76=0,0,IFERROR(VLOOKUP($A76,'[1]Kilos Asignado del Donante'!A:O,16,0),0)),0)</f>
        <v>0</v>
      </c>
      <c r="AN76" s="19">
        <f>IF(A76=0,0,IFERROR(SUMIFS([1]Poblacion!Z:Z,[1]Poblacion!J:J,'MASTER-2025'!A76),0))</f>
        <v>0</v>
      </c>
      <c r="AO76" s="20">
        <f>IFERROR(VLOOKUP($A76,'[1]OB Atendidas por Donantes'!A:N,11,0),0)</f>
        <v>0</v>
      </c>
      <c r="AP76" s="20">
        <f>ROUNDUP(IF(A76=0,0,IFERROR(VLOOKUP($A76,'[1]Kilos Asignado del Donante'!A:N,13,0),0)),0)</f>
        <v>0</v>
      </c>
      <c r="AQ76" s="20">
        <f>IF(A76=0,0,IFERROR(SUMIFS([1]Poblacion!W:W,[1]Poblacion!J:J,'MASTER-2025'!A76),0))</f>
        <v>0</v>
      </c>
      <c r="AR76" s="18">
        <f>IFERROR(VLOOKUP($A76,'[1]OB Atendidas por Donantes'!A:N,5,0),0)</f>
        <v>0</v>
      </c>
      <c r="AS76" s="18">
        <f>ROUNDUP(IF(A76=0,0,IFERROR(VLOOKUP($A76,'[1]Kilos Asignado del Donante'!A:N,10,0),0)),0)</f>
        <v>0</v>
      </c>
      <c r="AT76" s="18">
        <f>IF(A76=0,0,IFERROR(SUMIFS([1]Poblacion!T:T,[1]Poblacion!J:J,'MASTER-2025'!A76),0))</f>
        <v>0</v>
      </c>
      <c r="AU76" s="19">
        <f>IFERROR(VLOOKUP($A76,'[1]OB Atendidas por Donantes'!A:N,13,0),0)</f>
        <v>0</v>
      </c>
      <c r="AV76" s="19">
        <f>ROUNDUP(IF(A76=0,0,IFERROR(VLOOKUP($A76,'[1]Kilos Asignado del Donante'!A:N,14,0),0)),0)</f>
        <v>0</v>
      </c>
      <c r="AW76" s="19">
        <f>IF(A76=0,0,IFERROR(SUMIFS([1]Poblacion!X:X,[1]Poblacion!J:J,'MASTER-2025'!A76),0))</f>
        <v>0</v>
      </c>
      <c r="AX76" s="20">
        <f>IFERROR(VLOOKUP($A76,'[1]OB Atendidas por Donantes'!A:N,16,0),0)</f>
        <v>0</v>
      </c>
      <c r="AY76" s="20">
        <f>ROUNDUP(IF(A76=0,0,IFERROR(VLOOKUP($A76,'[1]Kilos Asignado del Donante'!A:O,16,0),0)),0)</f>
        <v>0</v>
      </c>
      <c r="AZ76" s="20">
        <f>IF(A76=0,0,IFERROR(SUMIFS([1]Poblacion!Y:Y,[1]Poblacion!J:J,'MASTER-2025'!A76),0))</f>
        <v>0</v>
      </c>
      <c r="BA76" s="21">
        <f t="shared" ref="BA76:BA108" si="34">+H76+K76+N76+Q76+T76+W76+Z76+AC76+AF76+AI76+AL76+AO76+AR76+AU76+AX76</f>
        <v>0</v>
      </c>
      <c r="BB76" s="21">
        <f t="shared" si="29"/>
        <v>0</v>
      </c>
      <c r="BC76" s="21">
        <f t="shared" si="24"/>
        <v>0</v>
      </c>
      <c r="BD76" s="21">
        <f t="shared" si="26"/>
        <v>0</v>
      </c>
      <c r="BE76" s="22" t="e">
        <f>IF(A76=0,0,SUMIFS([1]Poblacion!C:C,[1]Poblacion!A:A,'MASTER-2025'!A76))</f>
        <v>#VALUE!</v>
      </c>
      <c r="BF76" s="22" t="e">
        <f>IF(A76=0,0,SUMIFS([1]Poblacion!D:D,[1]Poblacion!A:A,'MASTER-2025'!A76))</f>
        <v>#VALUE!</v>
      </c>
      <c r="BG76" s="22" t="e">
        <f>IF(A76=0,0,SUMIFS([1]Poblacion!E:E,[1]Poblacion!A:A,'MASTER-2025'!A76))</f>
        <v>#VALUE!</v>
      </c>
      <c r="BH76" s="22" t="e">
        <f>IF(A76=0,0,SUMIFS([1]Poblacion!F:F,[1]Poblacion!A:A,'MASTER-2025'!A76))</f>
        <v>#VALUE!</v>
      </c>
      <c r="BI76" s="22" t="e">
        <f t="shared" ref="BI76:BI130" si="35">+BF76+BG76+BH76</f>
        <v>#VALUE!</v>
      </c>
      <c r="BJ76" s="23" t="e">
        <f t="shared" si="30"/>
        <v>#VALUE!</v>
      </c>
      <c r="BK76" s="22" t="e">
        <f>IF(A76=0,0,SUMIFS([1]Poblacion!G:G,[1]Poblacion!A:A,'MASTER-2025'!A76))</f>
        <v>#VALUE!</v>
      </c>
      <c r="BL76" s="24" cm="1">
        <f t="array" ref="BL76:BW76">IFERROR(VLOOKUP(A76,'[1]Acum-OB-kg-pob-25'!A:AQ,{3,4,5,6,7,8,9,10,11,12,13,14},0),0)</f>
        <v>0</v>
      </c>
      <c r="BM76" s="24">
        <v>0</v>
      </c>
      <c r="BN76" s="24">
        <v>0</v>
      </c>
      <c r="BO76" s="24">
        <v>0</v>
      </c>
      <c r="BP76" s="24">
        <v>0</v>
      </c>
      <c r="BQ76" s="24">
        <v>0</v>
      </c>
      <c r="BR76" s="24">
        <v>0</v>
      </c>
      <c r="BS76" s="24">
        <v>0</v>
      </c>
      <c r="BT76" s="24">
        <v>0</v>
      </c>
      <c r="BU76" s="24">
        <v>0</v>
      </c>
      <c r="BV76" s="24">
        <v>0</v>
      </c>
      <c r="BW76" s="24">
        <v>0</v>
      </c>
      <c r="BX76" s="24">
        <f t="shared" si="31"/>
        <v>0</v>
      </c>
      <c r="BY76" s="25" cm="1">
        <f t="array" ref="BY76:CJ76">IFERROR(VLOOKUP(A76,'[1]Acum-OB-kg-pob-25'!A:AQ,{17,18,19,20,21,22,23,24,25,26,27,28},0),0)</f>
        <v>0</v>
      </c>
      <c r="BZ76" s="25">
        <v>0</v>
      </c>
      <c r="CA76" s="25">
        <v>0</v>
      </c>
      <c r="CB76" s="25">
        <v>0</v>
      </c>
      <c r="CC76" s="25">
        <v>0</v>
      </c>
      <c r="CD76" s="25">
        <v>0</v>
      </c>
      <c r="CE76" s="25">
        <v>0</v>
      </c>
      <c r="CF76" s="25">
        <v>0</v>
      </c>
      <c r="CG76" s="25">
        <v>0</v>
      </c>
      <c r="CH76" s="25">
        <v>0</v>
      </c>
      <c r="CI76" s="25">
        <v>0</v>
      </c>
      <c r="CJ76" s="25">
        <v>0</v>
      </c>
      <c r="CK76" s="25">
        <f t="shared" si="32"/>
        <v>0</v>
      </c>
      <c r="CL76" s="26" cm="1">
        <f t="array" ref="CL76:CW76">IFERROR(VLOOKUP(A76,'[1]Acum-OB-kg-pob-25'!A:AQ,{31,32,33,34,35,36,37,38,39,40,41,42},0),0)</f>
        <v>0</v>
      </c>
      <c r="CM76" s="26">
        <v>0</v>
      </c>
      <c r="CN76" s="26">
        <v>0</v>
      </c>
      <c r="CO76" s="26">
        <v>0</v>
      </c>
      <c r="CP76" s="26">
        <v>0</v>
      </c>
      <c r="CQ76" s="26">
        <v>0</v>
      </c>
      <c r="CR76" s="26">
        <v>0</v>
      </c>
      <c r="CS76" s="26">
        <v>0</v>
      </c>
      <c r="CT76" s="26">
        <v>0</v>
      </c>
      <c r="CU76" s="26">
        <v>0</v>
      </c>
      <c r="CV76" s="26">
        <v>0</v>
      </c>
      <c r="CW76" s="26">
        <v>0</v>
      </c>
      <c r="CX76" s="26">
        <f t="shared" si="33"/>
        <v>0</v>
      </c>
      <c r="CY76" s="14" t="str">
        <f>IF(A76=0,0,IFERROR(VLOOKUP(A76,'[1]Info Donantes'!C:F,2,0),"Sin Contacto"))</f>
        <v>Jean Pierre Leignadier</v>
      </c>
      <c r="CZ76" s="14" t="str">
        <f>IF(A76=0,0,IFERROR(VLOOKUP(A76,'[1]Info Donantes'!C:F,3,0),"Sin Correo"))</f>
        <v>gerencia@proprestigio.com</v>
      </c>
      <c r="DA76" s="14" t="str">
        <f>IF(A76=0,0,IFERROR(VLOOKUP(A76,'[1]Info Donantes'!C:F,4,0),"Sin Telefono"))</f>
        <v>320-8400</v>
      </c>
      <c r="DB76" s="14" t="str">
        <f>IF(A76=0,0,"Reporte de Trazabiidad"&amp;" - "&amp;'[1]Resumen Donantes'!$C$2&amp;" - "&amp;A76&amp;"")</f>
        <v>Reporte de Trazabiidad -  - PRODUCTOS DE PRESTIGIO, S.A</v>
      </c>
    </row>
    <row r="77" spans="1:106" x14ac:dyDescent="0.55000000000000004">
      <c r="A77" s="31" t="s">
        <v>181</v>
      </c>
      <c r="B77" s="15">
        <f>INT(IFERROR(VLOOKUP(A77,'[1]Resumen Donantes'!C:F,3,0),0))</f>
        <v>0</v>
      </c>
      <c r="C77" s="15">
        <f>INT(ROUND(IFERROR(VLOOKUP(A77,'[1]Resumen Donantes'!C:F,4,0),0),1))</f>
        <v>0</v>
      </c>
      <c r="D77" s="16">
        <f t="shared" ref="D77:D130" si="36">INT(ROUND(C77-B77,1))</f>
        <v>0</v>
      </c>
      <c r="E77" s="17" t="str">
        <f t="shared" ref="E77:E130" si="37">IF(A77=0,"",TEXT((IFERROR(D77/C77,0)),"0.00%"))</f>
        <v>0.00%</v>
      </c>
      <c r="F77" s="17" t="str">
        <f t="shared" ref="F77:F130" si="38">IF(A77=0,"",TEXT((IFERROR(B77/C77,0)),"0.0%"))</f>
        <v>0.0%</v>
      </c>
      <c r="G77" s="15">
        <f t="shared" si="25"/>
        <v>0</v>
      </c>
      <c r="H77" s="18"/>
      <c r="I77" s="18">
        <f>IFERROR(VLOOKUP(A77,'[1]Lot All by Part'!T:Y,6,0),0)</f>
        <v>0</v>
      </c>
      <c r="J77" s="18"/>
      <c r="K77" s="19">
        <f>IFERROR(VLOOKUP($A77,'[1]OB Atendidas por Donantes'!A:N,3,0),0)</f>
        <v>0</v>
      </c>
      <c r="L77" s="19">
        <f>ROUNDUP(IF(A77=0,0,IFERROR(VLOOKUP($A77,'[1]Kilos Asignado del Donante'!A:O,3,0),0)),0)</f>
        <v>0</v>
      </c>
      <c r="M77" s="19">
        <f>IF(A77=0,0,IFERROR(SUMIFS([1]Poblacion!M:M,[1]Poblacion!J:J,'MASTER-2025'!A77),0))</f>
        <v>0</v>
      </c>
      <c r="N77" s="20">
        <f>IFERROR(VLOOKUP($A77,'[1]OB Atendidas por Donantes'!A:N,4,0),0)</f>
        <v>0</v>
      </c>
      <c r="O77" s="20">
        <f>ROUNDUP(IF(A77=0,0,IFERROR(VLOOKUP($A77,'[1]Kilos Asignado del Donante'!A:O,4,0),0)),0)</f>
        <v>0</v>
      </c>
      <c r="P77" s="20">
        <f>IF(A77=0,0,IFERROR(SUMIFS([1]Poblacion!N:N,[1]Poblacion!J:J,'MASTER-2025'!A77),0))</f>
        <v>0</v>
      </c>
      <c r="Q77" s="18">
        <f>IFERROR(VLOOKUP($A77,'[1]OB Atendidas por Donantes'!A:N,2,0),0)</f>
        <v>0</v>
      </c>
      <c r="R77" s="18">
        <f>ROUNDUP(ROUND(IF(A77=0,0,IFERROR(VLOOKUP($A77,'[1]Kilos Asignado del Donante'!A:O,9,0),0)),1),0)</f>
        <v>0</v>
      </c>
      <c r="S77" s="18">
        <f>IF(A77=0,0,IFERROR(SUMIFS([1]Poblacion!S:S,[1]Poblacion!J:J,'MASTER-2025'!A77),0))</f>
        <v>0</v>
      </c>
      <c r="T77" s="19">
        <f>IFERROR(VLOOKUP($A77,'[1]OB Atendidas por Donantes'!A:N,12,0),0)</f>
        <v>0</v>
      </c>
      <c r="U77" s="19">
        <f>ROUNDUP(IF(A77=0,0,IF(A77=0,0,IFERROR(VLOOKUP($A77,'[1]Kilos Asignado del Donante'!A:O,7,0),0))),0)</f>
        <v>0</v>
      </c>
      <c r="V77" s="19">
        <f>IF(A77=0,0,IFERROR(SUMIFS([1]Poblacion!Q:Q,[1]Poblacion!J:J,'MASTER-2025'!A77),0))</f>
        <v>0</v>
      </c>
      <c r="W77" s="20">
        <f>IFERROR(VLOOKUP($A77,'[1]OB Atendidas por Donantes'!A:N,10,0),0)</f>
        <v>0</v>
      </c>
      <c r="X77" s="20">
        <f>ROUNDUP(IF(A77=0,0,IFERROR(VLOOKUP($A77,'[1]Kilos Asignado del Donante'!A:N,5,0),0)),0)</f>
        <v>0</v>
      </c>
      <c r="Y77" s="20">
        <f>IF(A77=0,0,IFERROR(SUMIFS([1]Poblacion!O:O,[1]Poblacion!J:J,'MASTER-2025'!A77),0))</f>
        <v>0</v>
      </c>
      <c r="Z77" s="18">
        <f>IFERROR(VLOOKUP($A77,'[1]OB Atendidas por Donantes'!A:N,6,0),0)</f>
        <v>0</v>
      </c>
      <c r="AA77" s="18">
        <f>ROUNDUP(IF(A77=0,0,IFERROR(VLOOKUP($A77,'[1]Kilos Asignado del Donante'!A:N,11,0),0)),0)</f>
        <v>0</v>
      </c>
      <c r="AB77" s="18">
        <f>IF(A77=0,0,IFERROR(SUMIFS([1]Poblacion!U:U,[1]Poblacion!J:J,'MASTER-2025'!A77),0))</f>
        <v>0</v>
      </c>
      <c r="AC77" s="19">
        <f>IFERROR(VLOOKUP($A77,'[1]OB Atendidas por Donantes'!A:N,7,0),0)</f>
        <v>0</v>
      </c>
      <c r="AD77" s="19">
        <f>ROUNDUP(IF(A77=0,0,IFERROR(VLOOKUP($A77,'[1]Kilos Asignado del Donante'!A:N,8,0),0)),0)</f>
        <v>0</v>
      </c>
      <c r="AE77" s="19">
        <f>IF(A77=0,0,IFERROR(SUMIFS([1]Poblacion!R:R,[1]Poblacion!J:J,'MASTER-2025'!A77),0))</f>
        <v>0</v>
      </c>
      <c r="AF77" s="20">
        <f>IFERROR(VLOOKUP($A77,'[1]OB Atendidas por Donantes'!A:N,8,0),0)</f>
        <v>0</v>
      </c>
      <c r="AG77" s="20">
        <f>ROUNDUP(IF(A77=0,0,IFERROR(VLOOKUP($A77,'[1]Kilos Asignado del Donante'!A:N,6,0),0)),0)</f>
        <v>0</v>
      </c>
      <c r="AH77" s="20">
        <f>IF(A77=0,0,IFERROR(SUMIFS([1]Poblacion!P:P,[1]Poblacion!J:J,'MASTER-2025'!A77),0))</f>
        <v>0</v>
      </c>
      <c r="AI77" s="18">
        <f>IFERROR(VLOOKUP($A77,'[1]OB Atendidas por Donantes'!A:N,9,0),0)</f>
        <v>0</v>
      </c>
      <c r="AJ77" s="18">
        <f>ROUNDUP(IF(A77=0,0,IFERROR(VLOOKUP($A77,'[1]Kilos Asignado del Donante'!A:N,12,0),0)),0)</f>
        <v>0</v>
      </c>
      <c r="AK77" s="18">
        <f>IF(A77=0,0,IFERROR(SUMIFS([1]Poblacion!V:V,[1]Poblacion!J:J,'MASTER-2025'!A77),0))</f>
        <v>0</v>
      </c>
      <c r="AL77" s="19">
        <f>IFERROR(VLOOKUP($A77,'[1]OB Atendidas por Donantes'!A:N,16,0),0)</f>
        <v>0</v>
      </c>
      <c r="AM77" s="19">
        <f>ROUNDUP(IF(A77=0,0,IFERROR(VLOOKUP($A77,'[1]Kilos Asignado del Donante'!A:O,16,0),0)),0)</f>
        <v>0</v>
      </c>
      <c r="AN77" s="19">
        <f>IF(A77=0,0,IFERROR(SUMIFS([1]Poblacion!Z:Z,[1]Poblacion!J:J,'MASTER-2025'!A77),0))</f>
        <v>0</v>
      </c>
      <c r="AO77" s="20">
        <f>IFERROR(VLOOKUP($A77,'[1]OB Atendidas por Donantes'!A:N,11,0),0)</f>
        <v>0</v>
      </c>
      <c r="AP77" s="20">
        <f>ROUNDUP(IF(A77=0,0,IFERROR(VLOOKUP($A77,'[1]Kilos Asignado del Donante'!A:N,13,0),0)),0)</f>
        <v>0</v>
      </c>
      <c r="AQ77" s="20">
        <f>IF(A77=0,0,IFERROR(SUMIFS([1]Poblacion!W:W,[1]Poblacion!J:J,'MASTER-2025'!A77),0))</f>
        <v>0</v>
      </c>
      <c r="AR77" s="18">
        <f>IFERROR(VLOOKUP($A77,'[1]OB Atendidas por Donantes'!A:N,5,0),0)</f>
        <v>0</v>
      </c>
      <c r="AS77" s="18">
        <f>ROUNDUP(IF(A77=0,0,IFERROR(VLOOKUP($A77,'[1]Kilos Asignado del Donante'!A:N,10,0),0)),0)</f>
        <v>0</v>
      </c>
      <c r="AT77" s="18">
        <f>IF(A77=0,0,IFERROR(SUMIFS([1]Poblacion!T:T,[1]Poblacion!J:J,'MASTER-2025'!A77),0))</f>
        <v>0</v>
      </c>
      <c r="AU77" s="19">
        <f>IFERROR(VLOOKUP($A77,'[1]OB Atendidas por Donantes'!A:N,13,0),0)</f>
        <v>0</v>
      </c>
      <c r="AV77" s="19">
        <f>ROUNDUP(IF(A77=0,0,IFERROR(VLOOKUP($A77,'[1]Kilos Asignado del Donante'!A:N,14,0),0)),0)</f>
        <v>0</v>
      </c>
      <c r="AW77" s="19">
        <f>IF(A77=0,0,IFERROR(SUMIFS([1]Poblacion!X:X,[1]Poblacion!J:J,'MASTER-2025'!A77),0))</f>
        <v>0</v>
      </c>
      <c r="AX77" s="20">
        <f>IFERROR(VLOOKUP($A77,'[1]OB Atendidas por Donantes'!A:N,16,0),0)</f>
        <v>0</v>
      </c>
      <c r="AY77" s="20">
        <f>ROUNDUP(IF(A77=0,0,IFERROR(VLOOKUP($A77,'[1]Kilos Asignado del Donante'!A:O,16,0),0)),0)</f>
        <v>0</v>
      </c>
      <c r="AZ77" s="20">
        <f>IF(A77=0,0,IFERROR(SUMIFS([1]Poblacion!Y:Y,[1]Poblacion!J:J,'MASTER-2025'!A77),0))</f>
        <v>0</v>
      </c>
      <c r="BA77" s="21">
        <f t="shared" si="34"/>
        <v>0</v>
      </c>
      <c r="BB77" s="21">
        <f t="shared" si="29"/>
        <v>0</v>
      </c>
      <c r="BC77" s="21">
        <f t="shared" si="24"/>
        <v>0</v>
      </c>
      <c r="BD77" s="21">
        <f t="shared" si="26"/>
        <v>0</v>
      </c>
      <c r="BE77" s="22" t="e">
        <f>IF(A77=0,0,SUMIFS([1]Poblacion!C:C,[1]Poblacion!A:A,'MASTER-2025'!A77))</f>
        <v>#VALUE!</v>
      </c>
      <c r="BF77" s="22" t="e">
        <f>IF(A77=0,0,SUMIFS([1]Poblacion!D:D,[1]Poblacion!A:A,'MASTER-2025'!A77))</f>
        <v>#VALUE!</v>
      </c>
      <c r="BG77" s="22" t="e">
        <f>IF(A77=0,0,SUMIFS([1]Poblacion!E:E,[1]Poblacion!A:A,'MASTER-2025'!A77))</f>
        <v>#VALUE!</v>
      </c>
      <c r="BH77" s="22" t="e">
        <f>IF(A77=0,0,SUMIFS([1]Poblacion!F:F,[1]Poblacion!A:A,'MASTER-2025'!A77))</f>
        <v>#VALUE!</v>
      </c>
      <c r="BI77" s="22" t="e">
        <f t="shared" si="35"/>
        <v>#VALUE!</v>
      </c>
      <c r="BJ77" s="23" t="e">
        <f t="shared" si="30"/>
        <v>#VALUE!</v>
      </c>
      <c r="BK77" s="22" t="e">
        <f>IF(A77=0,0,SUMIFS([1]Poblacion!G:G,[1]Poblacion!A:A,'MASTER-2025'!A77))</f>
        <v>#VALUE!</v>
      </c>
      <c r="BL77" s="24" cm="1">
        <f t="array" ref="BL77:BW77">IFERROR(VLOOKUP(A77,'[1]Acum-OB-kg-pob-25'!A:AQ,{3,4,5,6,7,8,9,10,11,12,13,14},0),0)</f>
        <v>0</v>
      </c>
      <c r="BM77" s="24">
        <v>0</v>
      </c>
      <c r="BN77" s="24">
        <v>0</v>
      </c>
      <c r="BO77" s="24">
        <v>0</v>
      </c>
      <c r="BP77" s="24">
        <v>0</v>
      </c>
      <c r="BQ77" s="24">
        <v>0</v>
      </c>
      <c r="BR77" s="24">
        <v>0</v>
      </c>
      <c r="BS77" s="24">
        <v>0</v>
      </c>
      <c r="BT77" s="24">
        <v>0</v>
      </c>
      <c r="BU77" s="24">
        <v>0</v>
      </c>
      <c r="BV77" s="24">
        <v>0</v>
      </c>
      <c r="BW77" s="24">
        <v>0</v>
      </c>
      <c r="BX77" s="24">
        <f t="shared" si="31"/>
        <v>0</v>
      </c>
      <c r="BY77" s="25" cm="1">
        <f t="array" ref="BY77:CJ77">IFERROR(VLOOKUP(A77,'[1]Acum-OB-kg-pob-25'!A:AQ,{17,18,19,20,21,22,23,24,25,26,27,28},0),0)</f>
        <v>0</v>
      </c>
      <c r="BZ77" s="25">
        <v>0</v>
      </c>
      <c r="CA77" s="25">
        <v>0</v>
      </c>
      <c r="CB77" s="25">
        <v>0</v>
      </c>
      <c r="CC77" s="25">
        <v>0</v>
      </c>
      <c r="CD77" s="25">
        <v>0</v>
      </c>
      <c r="CE77" s="25">
        <v>0</v>
      </c>
      <c r="CF77" s="25">
        <v>0</v>
      </c>
      <c r="CG77" s="25">
        <v>0</v>
      </c>
      <c r="CH77" s="25">
        <v>0</v>
      </c>
      <c r="CI77" s="25">
        <v>0</v>
      </c>
      <c r="CJ77" s="25">
        <v>0</v>
      </c>
      <c r="CK77" s="25">
        <f t="shared" si="32"/>
        <v>0</v>
      </c>
      <c r="CL77" s="26" cm="1">
        <f t="array" ref="CL77:CW77">IFERROR(VLOOKUP(A77,'[1]Acum-OB-kg-pob-25'!A:AQ,{31,32,33,34,35,36,37,38,39,40,41,42},0),0)</f>
        <v>0</v>
      </c>
      <c r="CM77" s="26">
        <v>0</v>
      </c>
      <c r="CN77" s="26">
        <v>0</v>
      </c>
      <c r="CO77" s="26">
        <v>0</v>
      </c>
      <c r="CP77" s="26">
        <v>0</v>
      </c>
      <c r="CQ77" s="26">
        <v>0</v>
      </c>
      <c r="CR77" s="26">
        <v>0</v>
      </c>
      <c r="CS77" s="26">
        <v>0</v>
      </c>
      <c r="CT77" s="26">
        <v>0</v>
      </c>
      <c r="CU77" s="26">
        <v>0</v>
      </c>
      <c r="CV77" s="26">
        <v>0</v>
      </c>
      <c r="CW77" s="26">
        <v>0</v>
      </c>
      <c r="CX77" s="26">
        <f t="shared" si="33"/>
        <v>0</v>
      </c>
      <c r="CY77" s="14" t="str">
        <f>IF(A77=0,0,IFERROR(VLOOKUP(A77,'[1]Info Donantes'!C:F,2,0),"Sin Contacto"))</f>
        <v>Sin Contacto</v>
      </c>
      <c r="CZ77" s="14" t="str">
        <f>IF(A77=0,0,IFERROR(VLOOKUP(A77,'[1]Info Donantes'!C:F,3,0),"Sin Correo"))</f>
        <v>Sin Correo</v>
      </c>
      <c r="DA77" s="14" t="str">
        <f>IF(A77=0,0,IFERROR(VLOOKUP(A77,'[1]Info Donantes'!C:F,4,0),"Sin Telefono"))</f>
        <v>Sin Telefono</v>
      </c>
      <c r="DB77" s="14" t="str">
        <f>IF(A77=0,0,"Reporte de Trazabiidad"&amp;" - "&amp;'[1]Resumen Donantes'!$C$2&amp;" - "&amp;A77&amp;"")</f>
        <v>Reporte de Trazabiidad -  - COMERCIALIZADORA ANCAR, S.A.</v>
      </c>
    </row>
    <row r="78" spans="1:106" x14ac:dyDescent="0.55000000000000004">
      <c r="A78" s="31" t="s">
        <v>182</v>
      </c>
      <c r="B78" s="15">
        <f>INT(IFERROR(VLOOKUP(A78,'[1]Resumen Donantes'!C:F,3,0),0))</f>
        <v>0</v>
      </c>
      <c r="C78" s="15">
        <f>INT(ROUND(IFERROR(VLOOKUP(A78,'[1]Resumen Donantes'!C:F,4,0),0),1))</f>
        <v>0</v>
      </c>
      <c r="D78" s="16">
        <f t="shared" si="36"/>
        <v>0</v>
      </c>
      <c r="E78" s="17" t="str">
        <f t="shared" si="37"/>
        <v>0.00%</v>
      </c>
      <c r="F78" s="17" t="str">
        <f t="shared" si="38"/>
        <v>0.0%</v>
      </c>
      <c r="G78" s="15">
        <f t="shared" si="25"/>
        <v>0</v>
      </c>
      <c r="H78" s="18"/>
      <c r="I78" s="18">
        <f>IFERROR(VLOOKUP(A78,'[1]Lot All by Part'!T:Y,6,0),0)</f>
        <v>0</v>
      </c>
      <c r="J78" s="18"/>
      <c r="K78" s="19">
        <f>IFERROR(VLOOKUP($A78,'[1]OB Atendidas por Donantes'!A:N,3,0),0)</f>
        <v>0</v>
      </c>
      <c r="L78" s="19">
        <f>ROUNDUP(IF(A78=0,0,IFERROR(VLOOKUP($A78,'[1]Kilos Asignado del Donante'!A:O,3,0),0)),0)</f>
        <v>0</v>
      </c>
      <c r="M78" s="19">
        <f>IF(A78=0,0,IFERROR(SUMIFS([1]Poblacion!M:M,[1]Poblacion!J:J,'MASTER-2025'!A78),0))</f>
        <v>0</v>
      </c>
      <c r="N78" s="20">
        <f>IFERROR(VLOOKUP($A78,'[1]OB Atendidas por Donantes'!A:N,4,0),0)</f>
        <v>0</v>
      </c>
      <c r="O78" s="20">
        <f>ROUNDUP(IF(A78=0,0,IFERROR(VLOOKUP($A78,'[1]Kilos Asignado del Donante'!A:O,4,0),0)),0)</f>
        <v>0</v>
      </c>
      <c r="P78" s="20">
        <f>IF(A78=0,0,IFERROR(SUMIFS([1]Poblacion!N:N,[1]Poblacion!J:J,'MASTER-2025'!A78),0))</f>
        <v>0</v>
      </c>
      <c r="Q78" s="18">
        <f>IFERROR(VLOOKUP($A78,'[1]OB Atendidas por Donantes'!A:N,2,0),0)</f>
        <v>0</v>
      </c>
      <c r="R78" s="18">
        <f>ROUNDUP(ROUND(IF(A78=0,0,IFERROR(VLOOKUP($A78,'[1]Kilos Asignado del Donante'!A:O,9,0),0)),1),0)</f>
        <v>0</v>
      </c>
      <c r="S78" s="18">
        <f>IF(A78=0,0,IFERROR(SUMIFS([1]Poblacion!S:S,[1]Poblacion!J:J,'MASTER-2025'!A78),0))</f>
        <v>0</v>
      </c>
      <c r="T78" s="19">
        <f>IFERROR(VLOOKUP($A78,'[1]OB Atendidas por Donantes'!A:N,12,0),0)</f>
        <v>0</v>
      </c>
      <c r="U78" s="19">
        <f>ROUNDUP(IF(A78=0,0,IF(A78=0,0,IFERROR(VLOOKUP($A78,'[1]Kilos Asignado del Donante'!A:O,7,0),0))),0)</f>
        <v>0</v>
      </c>
      <c r="V78" s="19">
        <f>IF(A78=0,0,IFERROR(SUMIFS([1]Poblacion!Q:Q,[1]Poblacion!J:J,'MASTER-2025'!A78),0))</f>
        <v>0</v>
      </c>
      <c r="W78" s="20">
        <f>IFERROR(VLOOKUP($A78,'[1]OB Atendidas por Donantes'!A:N,10,0),0)</f>
        <v>0</v>
      </c>
      <c r="X78" s="20">
        <f>ROUNDUP(IF(A78=0,0,IFERROR(VLOOKUP($A78,'[1]Kilos Asignado del Donante'!A:N,5,0),0)),0)</f>
        <v>0</v>
      </c>
      <c r="Y78" s="20">
        <f>IF(A78=0,0,IFERROR(SUMIFS([1]Poblacion!O:O,[1]Poblacion!J:J,'MASTER-2025'!A78),0))</f>
        <v>0</v>
      </c>
      <c r="Z78" s="18">
        <f>IFERROR(VLOOKUP($A78,'[1]OB Atendidas por Donantes'!A:N,6,0),0)</f>
        <v>0</v>
      </c>
      <c r="AA78" s="18">
        <f>ROUNDUP(IF(A78=0,0,IFERROR(VLOOKUP($A78,'[1]Kilos Asignado del Donante'!A:N,11,0),0)),0)</f>
        <v>0</v>
      </c>
      <c r="AB78" s="18">
        <f>IF(A78=0,0,IFERROR(SUMIFS([1]Poblacion!U:U,[1]Poblacion!J:J,'MASTER-2025'!A78),0))</f>
        <v>0</v>
      </c>
      <c r="AC78" s="19">
        <f>IFERROR(VLOOKUP($A78,'[1]OB Atendidas por Donantes'!A:N,7,0),0)</f>
        <v>0</v>
      </c>
      <c r="AD78" s="19">
        <f>ROUNDUP(IF(A78=0,0,IFERROR(VLOOKUP($A78,'[1]Kilos Asignado del Donante'!A:N,8,0),0)),0)</f>
        <v>0</v>
      </c>
      <c r="AE78" s="19">
        <f>IF(A78=0,0,IFERROR(SUMIFS([1]Poblacion!R:R,[1]Poblacion!J:J,'MASTER-2025'!A78),0))</f>
        <v>0</v>
      </c>
      <c r="AF78" s="20">
        <f>IFERROR(VLOOKUP($A78,'[1]OB Atendidas por Donantes'!A:N,8,0),0)</f>
        <v>0</v>
      </c>
      <c r="AG78" s="20">
        <f>ROUNDUP(IF(A78=0,0,IFERROR(VLOOKUP($A78,'[1]Kilos Asignado del Donante'!A:N,6,0),0)),0)</f>
        <v>0</v>
      </c>
      <c r="AH78" s="20">
        <f>IF(A78=0,0,IFERROR(SUMIFS([1]Poblacion!P:P,[1]Poblacion!J:J,'MASTER-2025'!A78),0))</f>
        <v>0</v>
      </c>
      <c r="AI78" s="18">
        <f>IFERROR(VLOOKUP($A78,'[1]OB Atendidas por Donantes'!A:N,9,0),0)</f>
        <v>0</v>
      </c>
      <c r="AJ78" s="18">
        <f>ROUNDUP(IF(A78=0,0,IFERROR(VLOOKUP($A78,'[1]Kilos Asignado del Donante'!A:N,12,0),0)),0)</f>
        <v>0</v>
      </c>
      <c r="AK78" s="18">
        <f>IF(A78=0,0,IFERROR(SUMIFS([1]Poblacion!V:V,[1]Poblacion!J:J,'MASTER-2025'!A78),0))</f>
        <v>0</v>
      </c>
      <c r="AL78" s="19">
        <f>IFERROR(VLOOKUP($A78,'[1]OB Atendidas por Donantes'!A:N,16,0),0)</f>
        <v>0</v>
      </c>
      <c r="AM78" s="19">
        <f>ROUNDUP(IF(A78=0,0,IFERROR(VLOOKUP($A78,'[1]Kilos Asignado del Donante'!A:O,16,0),0)),0)</f>
        <v>0</v>
      </c>
      <c r="AN78" s="19">
        <f>IF(A78=0,0,IFERROR(SUMIFS([1]Poblacion!Z:Z,[1]Poblacion!J:J,'MASTER-2025'!A78),0))</f>
        <v>0</v>
      </c>
      <c r="AO78" s="20">
        <f>IFERROR(VLOOKUP($A78,'[1]OB Atendidas por Donantes'!A:N,11,0),0)</f>
        <v>0</v>
      </c>
      <c r="AP78" s="20">
        <f>ROUNDUP(IF(A78=0,0,IFERROR(VLOOKUP($A78,'[1]Kilos Asignado del Donante'!A:N,13,0),0)),0)</f>
        <v>0</v>
      </c>
      <c r="AQ78" s="20">
        <f>IF(A78=0,0,IFERROR(SUMIFS([1]Poblacion!W:W,[1]Poblacion!J:J,'MASTER-2025'!A78),0))</f>
        <v>0</v>
      </c>
      <c r="AR78" s="18">
        <f>IFERROR(VLOOKUP($A78,'[1]OB Atendidas por Donantes'!A:N,5,0),0)</f>
        <v>0</v>
      </c>
      <c r="AS78" s="18">
        <f>ROUNDUP(IF(A78=0,0,IFERROR(VLOOKUP($A78,'[1]Kilos Asignado del Donante'!A:N,10,0),0)),0)</f>
        <v>0</v>
      </c>
      <c r="AT78" s="18">
        <f>IF(A78=0,0,IFERROR(SUMIFS([1]Poblacion!T:T,[1]Poblacion!J:J,'MASTER-2025'!A78),0))</f>
        <v>0</v>
      </c>
      <c r="AU78" s="19">
        <f>IFERROR(VLOOKUP($A78,'[1]OB Atendidas por Donantes'!A:N,13,0),0)</f>
        <v>0</v>
      </c>
      <c r="AV78" s="19">
        <f>ROUNDUP(IF(A78=0,0,IFERROR(VLOOKUP($A78,'[1]Kilos Asignado del Donante'!A:N,14,0),0)),0)</f>
        <v>0</v>
      </c>
      <c r="AW78" s="19">
        <f>IF(A78=0,0,IFERROR(SUMIFS([1]Poblacion!X:X,[1]Poblacion!J:J,'MASTER-2025'!A78),0))</f>
        <v>0</v>
      </c>
      <c r="AX78" s="20">
        <f>IFERROR(VLOOKUP($A78,'[1]OB Atendidas por Donantes'!A:N,16,0),0)</f>
        <v>0</v>
      </c>
      <c r="AY78" s="20">
        <f>ROUNDUP(IF(A78=0,0,IFERROR(VLOOKUP($A78,'[1]Kilos Asignado del Donante'!A:O,16,0),0)),0)</f>
        <v>0</v>
      </c>
      <c r="AZ78" s="20">
        <f>IF(A78=0,0,IFERROR(SUMIFS([1]Poblacion!Y:Y,[1]Poblacion!J:J,'MASTER-2025'!A78),0))</f>
        <v>0</v>
      </c>
      <c r="BA78" s="21">
        <f t="shared" si="34"/>
        <v>0</v>
      </c>
      <c r="BB78" s="21">
        <f t="shared" si="29"/>
        <v>0</v>
      </c>
      <c r="BC78" s="21">
        <f t="shared" si="24"/>
        <v>0</v>
      </c>
      <c r="BD78" s="21">
        <f t="shared" si="26"/>
        <v>0</v>
      </c>
      <c r="BE78" s="22" t="e">
        <f>IF(A78=0,0,SUMIFS([1]Poblacion!C:C,[1]Poblacion!A:A,'MASTER-2025'!A78))</f>
        <v>#VALUE!</v>
      </c>
      <c r="BF78" s="22" t="e">
        <f>IF(A78=0,0,SUMIFS([1]Poblacion!D:D,[1]Poblacion!A:A,'MASTER-2025'!A78))</f>
        <v>#VALUE!</v>
      </c>
      <c r="BG78" s="22" t="e">
        <f>IF(A78=0,0,SUMIFS([1]Poblacion!E:E,[1]Poblacion!A:A,'MASTER-2025'!A78))</f>
        <v>#VALUE!</v>
      </c>
      <c r="BH78" s="22" t="e">
        <f>IF(A78=0,0,SUMIFS([1]Poblacion!F:F,[1]Poblacion!A:A,'MASTER-2025'!A78))</f>
        <v>#VALUE!</v>
      </c>
      <c r="BI78" s="22" t="e">
        <f t="shared" si="35"/>
        <v>#VALUE!</v>
      </c>
      <c r="BJ78" s="23" t="e">
        <f t="shared" si="30"/>
        <v>#VALUE!</v>
      </c>
      <c r="BK78" s="22" t="e">
        <f>IF(A78=0,0,SUMIFS([1]Poblacion!G:G,[1]Poblacion!A:A,'MASTER-2025'!A78))</f>
        <v>#VALUE!</v>
      </c>
      <c r="BL78" s="24" cm="1">
        <f t="array" ref="BL78:BW78">IFERROR(VLOOKUP(A78,'[1]Acum-OB-kg-pob-25'!A:AQ,{3,4,5,6,7,8,9,10,11,12,13,14},0),0)</f>
        <v>0</v>
      </c>
      <c r="BM78" s="24">
        <v>0</v>
      </c>
      <c r="BN78" s="24">
        <v>0</v>
      </c>
      <c r="BO78" s="24">
        <v>0</v>
      </c>
      <c r="BP78" s="24">
        <v>0</v>
      </c>
      <c r="BQ78" s="24">
        <v>0</v>
      </c>
      <c r="BR78" s="24">
        <v>0</v>
      </c>
      <c r="BS78" s="24">
        <v>0</v>
      </c>
      <c r="BT78" s="24">
        <v>0</v>
      </c>
      <c r="BU78" s="24">
        <v>0</v>
      </c>
      <c r="BV78" s="24">
        <v>0</v>
      </c>
      <c r="BW78" s="24">
        <v>0</v>
      </c>
      <c r="BX78" s="24">
        <f t="shared" si="31"/>
        <v>0</v>
      </c>
      <c r="BY78" s="25" cm="1">
        <f t="array" ref="BY78:CJ78">IFERROR(VLOOKUP(A78,'[1]Acum-OB-kg-pob-25'!A:AQ,{17,18,19,20,21,22,23,24,25,26,27,28},0),0)</f>
        <v>0</v>
      </c>
      <c r="BZ78" s="25">
        <v>0</v>
      </c>
      <c r="CA78" s="25">
        <v>0</v>
      </c>
      <c r="CB78" s="25">
        <v>0</v>
      </c>
      <c r="CC78" s="25">
        <v>0</v>
      </c>
      <c r="CD78" s="25">
        <v>0</v>
      </c>
      <c r="CE78" s="25">
        <v>0</v>
      </c>
      <c r="CF78" s="25">
        <v>0</v>
      </c>
      <c r="CG78" s="25">
        <v>0</v>
      </c>
      <c r="CH78" s="25">
        <v>0</v>
      </c>
      <c r="CI78" s="25">
        <v>0</v>
      </c>
      <c r="CJ78" s="25">
        <v>0</v>
      </c>
      <c r="CK78" s="25">
        <f t="shared" si="32"/>
        <v>0</v>
      </c>
      <c r="CL78" s="26" cm="1">
        <f t="array" ref="CL78:CW78">IFERROR(VLOOKUP(A78,'[1]Acum-OB-kg-pob-25'!A:AQ,{31,32,33,34,35,36,37,38,39,40,41,42},0),0)</f>
        <v>0</v>
      </c>
      <c r="CM78" s="26">
        <v>0</v>
      </c>
      <c r="CN78" s="26">
        <v>0</v>
      </c>
      <c r="CO78" s="26">
        <v>0</v>
      </c>
      <c r="CP78" s="26">
        <v>0</v>
      </c>
      <c r="CQ78" s="26">
        <v>0</v>
      </c>
      <c r="CR78" s="26">
        <v>0</v>
      </c>
      <c r="CS78" s="26">
        <v>0</v>
      </c>
      <c r="CT78" s="26">
        <v>0</v>
      </c>
      <c r="CU78" s="26">
        <v>0</v>
      </c>
      <c r="CV78" s="26">
        <v>0</v>
      </c>
      <c r="CW78" s="26">
        <v>0</v>
      </c>
      <c r="CX78" s="26">
        <f t="shared" si="33"/>
        <v>0</v>
      </c>
      <c r="CY78" s="14" t="str">
        <f>IF(A78=0,0,IFERROR(VLOOKUP(A78,'[1]Info Donantes'!C:F,2,0),"Sin Contacto"))</f>
        <v>Sin Contacto</v>
      </c>
      <c r="CZ78" s="14" t="str">
        <f>IF(A78=0,0,IFERROR(VLOOKUP(A78,'[1]Info Donantes'!C:F,3,0),"Sin Correo"))</f>
        <v>Sin Correo</v>
      </c>
      <c r="DA78" s="14" t="str">
        <f>IF(A78=0,0,IFERROR(VLOOKUP(A78,'[1]Info Donantes'!C:F,4,0),"Sin Telefono"))</f>
        <v>Sin Telefono</v>
      </c>
      <c r="DB78" s="14" t="str">
        <f>IF(A78=0,0,"Reporte de Trazabiidad"&amp;" - "&amp;'[1]Resumen Donantes'!$C$2&amp;" - "&amp;A78&amp;"")</f>
        <v>Reporte de Trazabiidad -  - CAMPANA K-WORLD ENTERTAIMENT</v>
      </c>
    </row>
    <row r="79" spans="1:106" x14ac:dyDescent="0.55000000000000004">
      <c r="A79" s="31" t="s">
        <v>183</v>
      </c>
      <c r="B79" s="15">
        <f>INT(IFERROR(VLOOKUP(A79,'[1]Resumen Donantes'!C:F,3,0),0))</f>
        <v>0</v>
      </c>
      <c r="C79" s="15">
        <f>INT(ROUND(IFERROR(VLOOKUP(A79,'[1]Resumen Donantes'!C:F,4,0),0),1))</f>
        <v>0</v>
      </c>
      <c r="D79" s="16">
        <f t="shared" si="36"/>
        <v>0</v>
      </c>
      <c r="E79" s="17" t="str">
        <f t="shared" si="37"/>
        <v>0.00%</v>
      </c>
      <c r="F79" s="17" t="str">
        <f t="shared" si="38"/>
        <v>0.0%</v>
      </c>
      <c r="G79" s="15">
        <f t="shared" si="25"/>
        <v>0</v>
      </c>
      <c r="H79" s="18"/>
      <c r="I79" s="18">
        <f>IFERROR(VLOOKUP(A79,'[1]Lot All by Part'!T:Y,6,0),0)</f>
        <v>0</v>
      </c>
      <c r="J79" s="18"/>
      <c r="K79" s="19">
        <f>IFERROR(VLOOKUP($A79,'[1]OB Atendidas por Donantes'!A:N,3,0),0)</f>
        <v>0</v>
      </c>
      <c r="L79" s="19">
        <f>ROUNDUP(IF(A79=0,0,IFERROR(VLOOKUP($A79,'[1]Kilos Asignado del Donante'!A:O,3,0),0)),0)</f>
        <v>0</v>
      </c>
      <c r="M79" s="19">
        <f>IF(A79=0,0,IFERROR(SUMIFS([1]Poblacion!M:M,[1]Poblacion!J:J,'MASTER-2025'!A79),0))</f>
        <v>0</v>
      </c>
      <c r="N79" s="20">
        <f>IFERROR(VLOOKUP($A79,'[1]OB Atendidas por Donantes'!A:N,4,0),0)</f>
        <v>0</v>
      </c>
      <c r="O79" s="20">
        <f>ROUNDUP(IF(A79=0,0,IFERROR(VLOOKUP($A79,'[1]Kilos Asignado del Donante'!A:O,4,0),0)),0)</f>
        <v>0</v>
      </c>
      <c r="P79" s="20">
        <f>IF(A79=0,0,IFERROR(SUMIFS([1]Poblacion!N:N,[1]Poblacion!J:J,'MASTER-2025'!A79),0))</f>
        <v>0</v>
      </c>
      <c r="Q79" s="18">
        <f>IFERROR(VLOOKUP($A79,'[1]OB Atendidas por Donantes'!A:N,2,0),0)</f>
        <v>0</v>
      </c>
      <c r="R79" s="18">
        <f>ROUNDUP(ROUND(IF(A79=0,0,IFERROR(VLOOKUP($A79,'[1]Kilos Asignado del Donante'!A:O,9,0),0)),1),0)</f>
        <v>0</v>
      </c>
      <c r="S79" s="18">
        <f>IF(A79=0,0,IFERROR(SUMIFS([1]Poblacion!S:S,[1]Poblacion!J:J,'MASTER-2025'!A79),0))</f>
        <v>0</v>
      </c>
      <c r="T79" s="19">
        <f>IFERROR(VLOOKUP($A79,'[1]OB Atendidas por Donantes'!A:N,12,0),0)</f>
        <v>0</v>
      </c>
      <c r="U79" s="19">
        <f>ROUNDUP(IF(A79=0,0,IF(A79=0,0,IFERROR(VLOOKUP($A79,'[1]Kilos Asignado del Donante'!A:O,7,0),0))),0)</f>
        <v>0</v>
      </c>
      <c r="V79" s="19">
        <f>IF(A79=0,0,IFERROR(SUMIFS([1]Poblacion!Q:Q,[1]Poblacion!J:J,'MASTER-2025'!A79),0))</f>
        <v>0</v>
      </c>
      <c r="W79" s="20">
        <f>IFERROR(VLOOKUP($A79,'[1]OB Atendidas por Donantes'!A:N,10,0),0)</f>
        <v>0</v>
      </c>
      <c r="X79" s="20">
        <f>ROUNDUP(IF(A79=0,0,IFERROR(VLOOKUP($A79,'[1]Kilos Asignado del Donante'!A:N,5,0),0)),0)</f>
        <v>0</v>
      </c>
      <c r="Y79" s="20">
        <f>IF(A79=0,0,IFERROR(SUMIFS([1]Poblacion!O:O,[1]Poblacion!J:J,'MASTER-2025'!A79),0))</f>
        <v>0</v>
      </c>
      <c r="Z79" s="18">
        <f>IFERROR(VLOOKUP($A79,'[1]OB Atendidas por Donantes'!A:N,6,0),0)</f>
        <v>0</v>
      </c>
      <c r="AA79" s="18">
        <f>ROUNDUP(IF(A79=0,0,IFERROR(VLOOKUP($A79,'[1]Kilos Asignado del Donante'!A:N,11,0),0)),0)</f>
        <v>0</v>
      </c>
      <c r="AB79" s="18">
        <f>IF(A79=0,0,IFERROR(SUMIFS([1]Poblacion!U:U,[1]Poblacion!J:J,'MASTER-2025'!A79),0))</f>
        <v>0</v>
      </c>
      <c r="AC79" s="19">
        <f>IFERROR(VLOOKUP($A79,'[1]OB Atendidas por Donantes'!A:N,7,0),0)</f>
        <v>0</v>
      </c>
      <c r="AD79" s="19">
        <f>ROUNDUP(IF(A79=0,0,IFERROR(VLOOKUP($A79,'[1]Kilos Asignado del Donante'!A:N,8,0),0)),0)</f>
        <v>0</v>
      </c>
      <c r="AE79" s="19">
        <f>IF(A79=0,0,IFERROR(SUMIFS([1]Poblacion!R:R,[1]Poblacion!J:J,'MASTER-2025'!A79),0))</f>
        <v>0</v>
      </c>
      <c r="AF79" s="20">
        <f>IFERROR(VLOOKUP($A79,'[1]OB Atendidas por Donantes'!A:N,8,0),0)</f>
        <v>0</v>
      </c>
      <c r="AG79" s="20">
        <f>ROUNDUP(IF(A79=0,0,IFERROR(VLOOKUP($A79,'[1]Kilos Asignado del Donante'!A:N,6,0),0)),0)</f>
        <v>0</v>
      </c>
      <c r="AH79" s="20">
        <f>IF(A79=0,0,IFERROR(SUMIFS([1]Poblacion!P:P,[1]Poblacion!J:J,'MASTER-2025'!A79),0))</f>
        <v>0</v>
      </c>
      <c r="AI79" s="18">
        <f>IFERROR(VLOOKUP($A79,'[1]OB Atendidas por Donantes'!A:N,9,0),0)</f>
        <v>0</v>
      </c>
      <c r="AJ79" s="18">
        <f>ROUNDUP(IF(A79=0,0,IFERROR(VLOOKUP($A79,'[1]Kilos Asignado del Donante'!A:N,12,0),0)),0)</f>
        <v>0</v>
      </c>
      <c r="AK79" s="18">
        <f>IF(A79=0,0,IFERROR(SUMIFS([1]Poblacion!V:V,[1]Poblacion!J:J,'MASTER-2025'!A79),0))</f>
        <v>0</v>
      </c>
      <c r="AL79" s="19">
        <f>IFERROR(VLOOKUP($A79,'[1]OB Atendidas por Donantes'!A:N,16,0),0)</f>
        <v>0</v>
      </c>
      <c r="AM79" s="19">
        <f>ROUNDUP(IF(A79=0,0,IFERROR(VLOOKUP($A79,'[1]Kilos Asignado del Donante'!A:O,16,0),0)),0)</f>
        <v>0</v>
      </c>
      <c r="AN79" s="19">
        <f>IF(A79=0,0,IFERROR(SUMIFS([1]Poblacion!Z:Z,[1]Poblacion!J:J,'MASTER-2025'!A79),0))</f>
        <v>0</v>
      </c>
      <c r="AO79" s="20">
        <f>IFERROR(VLOOKUP($A79,'[1]OB Atendidas por Donantes'!A:N,11,0),0)</f>
        <v>0</v>
      </c>
      <c r="AP79" s="20">
        <f>ROUNDUP(IF(A79=0,0,IFERROR(VLOOKUP($A79,'[1]Kilos Asignado del Donante'!A:N,13,0),0)),0)</f>
        <v>0</v>
      </c>
      <c r="AQ79" s="20">
        <f>IF(A79=0,0,IFERROR(SUMIFS([1]Poblacion!W:W,[1]Poblacion!J:J,'MASTER-2025'!A79),0))</f>
        <v>0</v>
      </c>
      <c r="AR79" s="18">
        <f>IFERROR(VLOOKUP($A79,'[1]OB Atendidas por Donantes'!A:N,5,0),0)</f>
        <v>0</v>
      </c>
      <c r="AS79" s="18">
        <f>ROUNDUP(IF(A79=0,0,IFERROR(VLOOKUP($A79,'[1]Kilos Asignado del Donante'!A:N,10,0),0)),0)</f>
        <v>0</v>
      </c>
      <c r="AT79" s="18">
        <f>IF(A79=0,0,IFERROR(SUMIFS([1]Poblacion!T:T,[1]Poblacion!J:J,'MASTER-2025'!A79),0))</f>
        <v>0</v>
      </c>
      <c r="AU79" s="19">
        <f>IFERROR(VLOOKUP($A79,'[1]OB Atendidas por Donantes'!A:N,13,0),0)</f>
        <v>0</v>
      </c>
      <c r="AV79" s="19">
        <f>ROUNDUP(IF(A79=0,0,IFERROR(VLOOKUP($A79,'[1]Kilos Asignado del Donante'!A:N,14,0),0)),0)</f>
        <v>0</v>
      </c>
      <c r="AW79" s="19">
        <f>IF(A79=0,0,IFERROR(SUMIFS([1]Poblacion!X:X,[1]Poblacion!J:J,'MASTER-2025'!A79),0))</f>
        <v>0</v>
      </c>
      <c r="AX79" s="20">
        <f>IFERROR(VLOOKUP($A79,'[1]OB Atendidas por Donantes'!A:N,16,0),0)</f>
        <v>0</v>
      </c>
      <c r="AY79" s="20">
        <f>ROUNDUP(IF(A79=0,0,IFERROR(VLOOKUP($A79,'[1]Kilos Asignado del Donante'!A:O,16,0),0)),0)</f>
        <v>0</v>
      </c>
      <c r="AZ79" s="20">
        <f>IF(A79=0,0,IFERROR(SUMIFS([1]Poblacion!Y:Y,[1]Poblacion!J:J,'MASTER-2025'!A79),0))</f>
        <v>0</v>
      </c>
      <c r="BA79" s="21">
        <f t="shared" si="34"/>
        <v>0</v>
      </c>
      <c r="BB79" s="21">
        <f t="shared" si="29"/>
        <v>0</v>
      </c>
      <c r="BC79" s="21">
        <f t="shared" si="24"/>
        <v>0</v>
      </c>
      <c r="BD79" s="21">
        <f t="shared" si="26"/>
        <v>0</v>
      </c>
      <c r="BE79" s="22" t="e">
        <f>IF(A79=0,0,SUMIFS([1]Poblacion!C:C,[1]Poblacion!A:A,'MASTER-2025'!A79))</f>
        <v>#VALUE!</v>
      </c>
      <c r="BF79" s="22" t="e">
        <f>IF(A79=0,0,SUMIFS([1]Poblacion!D:D,[1]Poblacion!A:A,'MASTER-2025'!A79))</f>
        <v>#VALUE!</v>
      </c>
      <c r="BG79" s="22" t="e">
        <f>IF(A79=0,0,SUMIFS([1]Poblacion!E:E,[1]Poblacion!A:A,'MASTER-2025'!A79))</f>
        <v>#VALUE!</v>
      </c>
      <c r="BH79" s="22" t="e">
        <f>IF(A79=0,0,SUMIFS([1]Poblacion!F:F,[1]Poblacion!A:A,'MASTER-2025'!A79))</f>
        <v>#VALUE!</v>
      </c>
      <c r="BI79" s="22" t="e">
        <f t="shared" si="35"/>
        <v>#VALUE!</v>
      </c>
      <c r="BJ79" s="23" t="e">
        <f t="shared" si="30"/>
        <v>#VALUE!</v>
      </c>
      <c r="BK79" s="22" t="e">
        <f>IF(A79=0,0,SUMIFS([1]Poblacion!G:G,[1]Poblacion!A:A,'MASTER-2025'!A79))</f>
        <v>#VALUE!</v>
      </c>
      <c r="BL79" s="24" cm="1">
        <f t="array" ref="BL79:BW79">IFERROR(VLOOKUP(A79,'[1]Acum-OB-kg-pob-25'!A:AQ,{3,4,5,6,7,8,9,10,11,12,13,14},0),0)</f>
        <v>0</v>
      </c>
      <c r="BM79" s="24">
        <v>0</v>
      </c>
      <c r="BN79" s="24">
        <v>0</v>
      </c>
      <c r="BO79" s="24">
        <v>0</v>
      </c>
      <c r="BP79" s="24">
        <v>0</v>
      </c>
      <c r="BQ79" s="24">
        <v>0</v>
      </c>
      <c r="BR79" s="24">
        <v>0</v>
      </c>
      <c r="BS79" s="24">
        <v>0</v>
      </c>
      <c r="BT79" s="24">
        <v>0</v>
      </c>
      <c r="BU79" s="24">
        <v>0</v>
      </c>
      <c r="BV79" s="24">
        <v>0</v>
      </c>
      <c r="BW79" s="24">
        <v>0</v>
      </c>
      <c r="BX79" s="24">
        <f t="shared" si="31"/>
        <v>0</v>
      </c>
      <c r="BY79" s="25" cm="1">
        <f t="array" ref="BY79:CJ79">IFERROR(VLOOKUP(A79,'[1]Acum-OB-kg-pob-25'!A:AQ,{17,18,19,20,21,22,23,24,25,26,27,28},0),0)</f>
        <v>0</v>
      </c>
      <c r="BZ79" s="25">
        <v>0</v>
      </c>
      <c r="CA79" s="25">
        <v>0</v>
      </c>
      <c r="CB79" s="25">
        <v>0</v>
      </c>
      <c r="CC79" s="25">
        <v>0</v>
      </c>
      <c r="CD79" s="25">
        <v>0</v>
      </c>
      <c r="CE79" s="25">
        <v>0</v>
      </c>
      <c r="CF79" s="25">
        <v>0</v>
      </c>
      <c r="CG79" s="25">
        <v>0</v>
      </c>
      <c r="CH79" s="25">
        <v>0</v>
      </c>
      <c r="CI79" s="25">
        <v>0</v>
      </c>
      <c r="CJ79" s="25">
        <v>0</v>
      </c>
      <c r="CK79" s="25">
        <f t="shared" si="32"/>
        <v>0</v>
      </c>
      <c r="CL79" s="26" cm="1">
        <f t="array" ref="CL79:CW79">IFERROR(VLOOKUP(A79,'[1]Acum-OB-kg-pob-25'!A:AQ,{31,32,33,34,35,36,37,38,39,40,41,42},0),0)</f>
        <v>0</v>
      </c>
      <c r="CM79" s="26">
        <v>0</v>
      </c>
      <c r="CN79" s="26">
        <v>0</v>
      </c>
      <c r="CO79" s="26">
        <v>0</v>
      </c>
      <c r="CP79" s="26">
        <v>0</v>
      </c>
      <c r="CQ79" s="26">
        <v>0</v>
      </c>
      <c r="CR79" s="26">
        <v>0</v>
      </c>
      <c r="CS79" s="26">
        <v>0</v>
      </c>
      <c r="CT79" s="26">
        <v>0</v>
      </c>
      <c r="CU79" s="26">
        <v>0</v>
      </c>
      <c r="CV79" s="26">
        <v>0</v>
      </c>
      <c r="CW79" s="26">
        <v>0</v>
      </c>
      <c r="CX79" s="26">
        <f t="shared" si="33"/>
        <v>0</v>
      </c>
      <c r="CY79" s="14" t="str">
        <f>IF(A79=0,0,IFERROR(VLOOKUP(A79,'[1]Info Donantes'!C:F,2,0),"Sin Contacto"))</f>
        <v>Sin Contacto</v>
      </c>
      <c r="CZ79" s="14" t="str">
        <f>IF(A79=0,0,IFERROR(VLOOKUP(A79,'[1]Info Donantes'!C:F,3,0),"Sin Correo"))</f>
        <v>Sin Correo</v>
      </c>
      <c r="DA79" s="14" t="str">
        <f>IF(A79=0,0,IFERROR(VLOOKUP(A79,'[1]Info Donantes'!C:F,4,0),"Sin Telefono"))</f>
        <v>Sin Telefono</v>
      </c>
      <c r="DB79" s="14" t="str">
        <f>IF(A79=0,0,"Reporte de Trazabiidad"&amp;" - "&amp;'[1]Resumen Donantes'!$C$2&amp;" - "&amp;A79&amp;"")</f>
        <v>Reporte de Trazabiidad -  - Puratos de Panamá, S.A.</v>
      </c>
    </row>
    <row r="80" spans="1:106" x14ac:dyDescent="0.55000000000000004">
      <c r="A80" s="31" t="s">
        <v>184</v>
      </c>
      <c r="B80" s="15">
        <f>INT(IFERROR(VLOOKUP(A80,'[1]Resumen Donantes'!C:F,3,0),0))</f>
        <v>0</v>
      </c>
      <c r="C80" s="15">
        <f>INT(ROUND(IFERROR(VLOOKUP(A80,'[1]Resumen Donantes'!C:F,4,0),0),1))</f>
        <v>0</v>
      </c>
      <c r="D80" s="16">
        <f t="shared" si="36"/>
        <v>0</v>
      </c>
      <c r="E80" s="17" t="str">
        <f t="shared" si="37"/>
        <v>0.00%</v>
      </c>
      <c r="F80" s="17" t="str">
        <f t="shared" si="38"/>
        <v>0.0%</v>
      </c>
      <c r="G80" s="15">
        <f t="shared" si="25"/>
        <v>0</v>
      </c>
      <c r="H80" s="18"/>
      <c r="I80" s="18">
        <f>IFERROR(VLOOKUP(A80,'[1]Lot All by Part'!T:Y,6,0),0)</f>
        <v>0</v>
      </c>
      <c r="J80" s="18"/>
      <c r="K80" s="19">
        <f>IFERROR(VLOOKUP($A80,'[1]OB Atendidas por Donantes'!A:N,3,0),0)</f>
        <v>0</v>
      </c>
      <c r="L80" s="19">
        <f>ROUNDUP(IF(A80=0,0,IFERROR(VLOOKUP($A80,'[1]Kilos Asignado del Donante'!A:O,3,0),0)),0)</f>
        <v>0</v>
      </c>
      <c r="M80" s="19">
        <f>IF(A80=0,0,IFERROR(SUMIFS([1]Poblacion!M:M,[1]Poblacion!J:J,'MASTER-2025'!A80),0))</f>
        <v>0</v>
      </c>
      <c r="N80" s="20">
        <f>IFERROR(VLOOKUP($A80,'[1]OB Atendidas por Donantes'!A:N,4,0),0)</f>
        <v>0</v>
      </c>
      <c r="O80" s="20">
        <f>ROUNDUP(IF(A80=0,0,IFERROR(VLOOKUP($A80,'[1]Kilos Asignado del Donante'!A:O,4,0),0)),0)</f>
        <v>0</v>
      </c>
      <c r="P80" s="20">
        <f>IF(A80=0,0,IFERROR(SUMIFS([1]Poblacion!N:N,[1]Poblacion!J:J,'MASTER-2025'!A80),0))</f>
        <v>0</v>
      </c>
      <c r="Q80" s="18">
        <f>IFERROR(VLOOKUP($A80,'[1]OB Atendidas por Donantes'!A:N,2,0),0)</f>
        <v>0</v>
      </c>
      <c r="R80" s="18">
        <f>ROUNDUP(ROUND(IF(A80=0,0,IFERROR(VLOOKUP($A80,'[1]Kilos Asignado del Donante'!A:O,9,0),0)),1),0)</f>
        <v>0</v>
      </c>
      <c r="S80" s="18">
        <f>IF(A80=0,0,IFERROR(SUMIFS([1]Poblacion!S:S,[1]Poblacion!J:J,'MASTER-2025'!A80),0))</f>
        <v>0</v>
      </c>
      <c r="T80" s="19">
        <f>IFERROR(VLOOKUP($A80,'[1]OB Atendidas por Donantes'!A:N,12,0),0)</f>
        <v>0</v>
      </c>
      <c r="U80" s="19">
        <f>ROUNDUP(IF(A80=0,0,IF(A80=0,0,IFERROR(VLOOKUP($A80,'[1]Kilos Asignado del Donante'!A:O,7,0),0))),0)</f>
        <v>0</v>
      </c>
      <c r="V80" s="19">
        <f>IF(A80=0,0,IFERROR(SUMIFS([1]Poblacion!Q:Q,[1]Poblacion!J:J,'MASTER-2025'!A80),0))</f>
        <v>0</v>
      </c>
      <c r="W80" s="20">
        <f>IFERROR(VLOOKUP($A80,'[1]OB Atendidas por Donantes'!A:N,10,0),0)</f>
        <v>0</v>
      </c>
      <c r="X80" s="20">
        <f>ROUNDUP(IF(A80=0,0,IFERROR(VLOOKUP($A80,'[1]Kilos Asignado del Donante'!A:N,5,0),0)),0)</f>
        <v>0</v>
      </c>
      <c r="Y80" s="20">
        <f>IF(A80=0,0,IFERROR(SUMIFS([1]Poblacion!O:O,[1]Poblacion!J:J,'MASTER-2025'!A80),0))</f>
        <v>0</v>
      </c>
      <c r="Z80" s="18">
        <f>IFERROR(VLOOKUP($A80,'[1]OB Atendidas por Donantes'!A:N,6,0),0)</f>
        <v>0</v>
      </c>
      <c r="AA80" s="18">
        <f>ROUNDUP(IF(A80=0,0,IFERROR(VLOOKUP($A80,'[1]Kilos Asignado del Donante'!A:N,11,0),0)),0)</f>
        <v>0</v>
      </c>
      <c r="AB80" s="18">
        <f>IF(A80=0,0,IFERROR(SUMIFS([1]Poblacion!U:U,[1]Poblacion!J:J,'MASTER-2025'!A80),0))</f>
        <v>0</v>
      </c>
      <c r="AC80" s="19">
        <f>IFERROR(VLOOKUP($A80,'[1]OB Atendidas por Donantes'!A:N,7,0),0)</f>
        <v>0</v>
      </c>
      <c r="AD80" s="19">
        <f>ROUNDUP(IF(A80=0,0,IFERROR(VLOOKUP($A80,'[1]Kilos Asignado del Donante'!A:N,8,0),0)),0)</f>
        <v>0</v>
      </c>
      <c r="AE80" s="19">
        <f>IF(A80=0,0,IFERROR(SUMIFS([1]Poblacion!R:R,[1]Poblacion!J:J,'MASTER-2025'!A80),0))</f>
        <v>0</v>
      </c>
      <c r="AF80" s="20">
        <f>IFERROR(VLOOKUP($A80,'[1]OB Atendidas por Donantes'!A:N,8,0),0)</f>
        <v>0</v>
      </c>
      <c r="AG80" s="20">
        <f>ROUNDUP(IF(A80=0,0,IFERROR(VLOOKUP($A80,'[1]Kilos Asignado del Donante'!A:N,6,0),0)),0)</f>
        <v>0</v>
      </c>
      <c r="AH80" s="20">
        <f>IF(A80=0,0,IFERROR(SUMIFS([1]Poblacion!P:P,[1]Poblacion!J:J,'MASTER-2025'!A80),0))</f>
        <v>0</v>
      </c>
      <c r="AI80" s="18">
        <f>IFERROR(VLOOKUP($A80,'[1]OB Atendidas por Donantes'!A:N,9,0),0)</f>
        <v>0</v>
      </c>
      <c r="AJ80" s="18">
        <f>ROUNDUP(IF(A80=0,0,IFERROR(VLOOKUP($A80,'[1]Kilos Asignado del Donante'!A:N,12,0),0)),0)</f>
        <v>0</v>
      </c>
      <c r="AK80" s="18">
        <f>IF(A80=0,0,IFERROR(SUMIFS([1]Poblacion!V:V,[1]Poblacion!J:J,'MASTER-2025'!A80),0))</f>
        <v>0</v>
      </c>
      <c r="AL80" s="19">
        <f>IFERROR(VLOOKUP($A80,'[1]OB Atendidas por Donantes'!A:N,16,0),0)</f>
        <v>0</v>
      </c>
      <c r="AM80" s="19">
        <f>ROUNDUP(IF(A80=0,0,IFERROR(VLOOKUP($A80,'[1]Kilos Asignado del Donante'!A:O,16,0),0)),0)</f>
        <v>0</v>
      </c>
      <c r="AN80" s="19">
        <f>IF(A80=0,0,IFERROR(SUMIFS([1]Poblacion!Z:Z,[1]Poblacion!J:J,'MASTER-2025'!A80),0))</f>
        <v>0</v>
      </c>
      <c r="AO80" s="20">
        <f>IFERROR(VLOOKUP($A80,'[1]OB Atendidas por Donantes'!A:N,11,0),0)</f>
        <v>0</v>
      </c>
      <c r="AP80" s="20">
        <f>ROUNDUP(IF(A80=0,0,IFERROR(VLOOKUP($A80,'[1]Kilos Asignado del Donante'!A:N,13,0),0)),0)</f>
        <v>0</v>
      </c>
      <c r="AQ80" s="20">
        <f>IF(A80=0,0,IFERROR(SUMIFS([1]Poblacion!W:W,[1]Poblacion!J:J,'MASTER-2025'!A80),0))</f>
        <v>0</v>
      </c>
      <c r="AR80" s="18">
        <f>IFERROR(VLOOKUP($A80,'[1]OB Atendidas por Donantes'!A:N,5,0),0)</f>
        <v>0</v>
      </c>
      <c r="AS80" s="18">
        <f>ROUNDUP(IF(A80=0,0,IFERROR(VLOOKUP($A80,'[1]Kilos Asignado del Donante'!A:N,10,0),0)),0)</f>
        <v>0</v>
      </c>
      <c r="AT80" s="18">
        <f>IF(A80=0,0,IFERROR(SUMIFS([1]Poblacion!T:T,[1]Poblacion!J:J,'MASTER-2025'!A80),0))</f>
        <v>0</v>
      </c>
      <c r="AU80" s="19">
        <f>IFERROR(VLOOKUP($A80,'[1]OB Atendidas por Donantes'!A:N,13,0),0)</f>
        <v>0</v>
      </c>
      <c r="AV80" s="19">
        <f>ROUNDUP(IF(A80=0,0,IFERROR(VLOOKUP($A80,'[1]Kilos Asignado del Donante'!A:N,14,0),0)),0)</f>
        <v>0</v>
      </c>
      <c r="AW80" s="19">
        <f>IF(A80=0,0,IFERROR(SUMIFS([1]Poblacion!X:X,[1]Poblacion!J:J,'MASTER-2025'!A80),0))</f>
        <v>0</v>
      </c>
      <c r="AX80" s="20">
        <f>IFERROR(VLOOKUP($A80,'[1]OB Atendidas por Donantes'!A:N,16,0),0)</f>
        <v>0</v>
      </c>
      <c r="AY80" s="20">
        <f>ROUNDUP(IF(A80=0,0,IFERROR(VLOOKUP($A80,'[1]Kilos Asignado del Donante'!A:O,16,0),0)),0)</f>
        <v>0</v>
      </c>
      <c r="AZ80" s="20">
        <f>IF(A80=0,0,IFERROR(SUMIFS([1]Poblacion!Y:Y,[1]Poblacion!J:J,'MASTER-2025'!A80),0))</f>
        <v>0</v>
      </c>
      <c r="BA80" s="21">
        <f t="shared" si="34"/>
        <v>0</v>
      </c>
      <c r="BB80" s="21">
        <f t="shared" si="29"/>
        <v>0</v>
      </c>
      <c r="BC80" s="21">
        <f t="shared" si="24"/>
        <v>0</v>
      </c>
      <c r="BD80" s="21">
        <f t="shared" si="26"/>
        <v>0</v>
      </c>
      <c r="BE80" s="22" t="e">
        <f>IF(A80=0,0,SUMIFS([1]Poblacion!C:C,[1]Poblacion!A:A,'MASTER-2025'!A80))</f>
        <v>#VALUE!</v>
      </c>
      <c r="BF80" s="22" t="e">
        <f>IF(A80=0,0,SUMIFS([1]Poblacion!D:D,[1]Poblacion!A:A,'MASTER-2025'!A80))</f>
        <v>#VALUE!</v>
      </c>
      <c r="BG80" s="22" t="e">
        <f>IF(A80=0,0,SUMIFS([1]Poblacion!E:E,[1]Poblacion!A:A,'MASTER-2025'!A80))</f>
        <v>#VALUE!</v>
      </c>
      <c r="BH80" s="22" t="e">
        <f>IF(A80=0,0,SUMIFS([1]Poblacion!F:F,[1]Poblacion!A:A,'MASTER-2025'!A80))</f>
        <v>#VALUE!</v>
      </c>
      <c r="BI80" s="22" t="e">
        <f t="shared" si="35"/>
        <v>#VALUE!</v>
      </c>
      <c r="BJ80" s="23" t="e">
        <f t="shared" si="30"/>
        <v>#VALUE!</v>
      </c>
      <c r="BK80" s="22" t="e">
        <f>IF(A80=0,0,SUMIFS([1]Poblacion!G:G,[1]Poblacion!A:A,'MASTER-2025'!A80))</f>
        <v>#VALUE!</v>
      </c>
      <c r="BL80" s="24" cm="1">
        <f t="array" ref="BL80:BW80">IFERROR(VLOOKUP(A80,'[1]Acum-OB-kg-pob-25'!A:AQ,{3,4,5,6,7,8,9,10,11,12,13,14},0),0)</f>
        <v>0</v>
      </c>
      <c r="BM80" s="24">
        <v>0</v>
      </c>
      <c r="BN80" s="24">
        <v>0</v>
      </c>
      <c r="BO80" s="24">
        <v>0</v>
      </c>
      <c r="BP80" s="24">
        <v>0</v>
      </c>
      <c r="BQ80" s="24">
        <v>0</v>
      </c>
      <c r="BR80" s="24">
        <v>0</v>
      </c>
      <c r="BS80" s="24">
        <v>0</v>
      </c>
      <c r="BT80" s="24">
        <v>0</v>
      </c>
      <c r="BU80" s="24">
        <v>0</v>
      </c>
      <c r="BV80" s="24">
        <v>0</v>
      </c>
      <c r="BW80" s="24">
        <v>0</v>
      </c>
      <c r="BX80" s="24">
        <f t="shared" si="31"/>
        <v>0</v>
      </c>
      <c r="BY80" s="25" cm="1">
        <f t="array" ref="BY80:CJ80">IFERROR(VLOOKUP(A80,'[1]Acum-OB-kg-pob-25'!A:AQ,{17,18,19,20,21,22,23,24,25,26,27,28},0),0)</f>
        <v>0</v>
      </c>
      <c r="BZ80" s="25">
        <v>0</v>
      </c>
      <c r="CA80" s="25">
        <v>0</v>
      </c>
      <c r="CB80" s="25">
        <v>0</v>
      </c>
      <c r="CC80" s="25">
        <v>0</v>
      </c>
      <c r="CD80" s="25">
        <v>0</v>
      </c>
      <c r="CE80" s="25">
        <v>0</v>
      </c>
      <c r="CF80" s="25">
        <v>0</v>
      </c>
      <c r="CG80" s="25">
        <v>0</v>
      </c>
      <c r="CH80" s="25">
        <v>0</v>
      </c>
      <c r="CI80" s="25">
        <v>0</v>
      </c>
      <c r="CJ80" s="25">
        <v>0</v>
      </c>
      <c r="CK80" s="25">
        <f t="shared" si="32"/>
        <v>0</v>
      </c>
      <c r="CL80" s="26" cm="1">
        <f t="array" ref="CL80:CW80">IFERROR(VLOOKUP(A80,'[1]Acum-OB-kg-pob-25'!A:AQ,{31,32,33,34,35,36,37,38,39,40,41,42},0),0)</f>
        <v>0</v>
      </c>
      <c r="CM80" s="26">
        <v>0</v>
      </c>
      <c r="CN80" s="26">
        <v>0</v>
      </c>
      <c r="CO80" s="26">
        <v>0</v>
      </c>
      <c r="CP80" s="26">
        <v>0</v>
      </c>
      <c r="CQ80" s="26">
        <v>0</v>
      </c>
      <c r="CR80" s="26">
        <v>0</v>
      </c>
      <c r="CS80" s="26">
        <v>0</v>
      </c>
      <c r="CT80" s="26">
        <v>0</v>
      </c>
      <c r="CU80" s="26">
        <v>0</v>
      </c>
      <c r="CV80" s="26">
        <v>0</v>
      </c>
      <c r="CW80" s="26">
        <v>0</v>
      </c>
      <c r="CX80" s="26">
        <f t="shared" si="33"/>
        <v>0</v>
      </c>
      <c r="CY80" s="14">
        <f>IF(A80=0,0,IFERROR(VLOOKUP(A80,'[1]Info Donantes'!C:F,2,0),"Sin Contacto"))</f>
        <v>0</v>
      </c>
      <c r="CZ80" s="14">
        <f>IF(A80=0,0,IFERROR(VLOOKUP(A80,'[1]Info Donantes'!C:F,3,0),"Sin Correo"))</f>
        <v>0</v>
      </c>
      <c r="DA80" s="14">
        <f>IF(A80=0,0,IFERROR(VLOOKUP(A80,'[1]Info Donantes'!C:F,4,0),"Sin Telefono"))</f>
        <v>0</v>
      </c>
      <c r="DB80" s="14" t="str">
        <f>IF(A80=0,0,"Reporte de Trazabiidad"&amp;" - "&amp;'[1]Resumen Donantes'!$C$2&amp;" - "&amp;A80&amp;"")</f>
        <v>Reporte de Trazabiidad -  - UNITED WAY</v>
      </c>
    </row>
    <row r="81" spans="1:106" x14ac:dyDescent="0.55000000000000004">
      <c r="A81" s="31" t="s">
        <v>185</v>
      </c>
      <c r="B81" s="15">
        <f>INT(IFERROR(VLOOKUP(A81,'[1]Resumen Donantes'!C:F,3,0),0))</f>
        <v>0</v>
      </c>
      <c r="C81" s="15">
        <f>INT(ROUND(IFERROR(VLOOKUP(A81,'[1]Resumen Donantes'!C:F,4,0),0),1))</f>
        <v>0</v>
      </c>
      <c r="D81" s="16">
        <f t="shared" si="36"/>
        <v>0</v>
      </c>
      <c r="E81" s="17" t="str">
        <f t="shared" si="37"/>
        <v>0.00%</v>
      </c>
      <c r="F81" s="17" t="str">
        <f t="shared" si="38"/>
        <v>0.0%</v>
      </c>
      <c r="G81" s="15">
        <f t="shared" si="25"/>
        <v>0</v>
      </c>
      <c r="H81" s="18"/>
      <c r="I81" s="18">
        <f>IFERROR(VLOOKUP(A81,'[1]Lot All by Part'!T:Y,6,0),0)</f>
        <v>0</v>
      </c>
      <c r="J81" s="18"/>
      <c r="K81" s="19">
        <f>IFERROR(VLOOKUP($A81,'[1]OB Atendidas por Donantes'!A:N,3,0),0)</f>
        <v>0</v>
      </c>
      <c r="L81" s="19">
        <f>ROUNDUP(IF(A81=0,0,IFERROR(VLOOKUP($A81,'[1]Kilos Asignado del Donante'!A:O,3,0),0)),0)</f>
        <v>0</v>
      </c>
      <c r="M81" s="19">
        <f>IF(A81=0,0,IFERROR(SUMIFS([1]Poblacion!M:M,[1]Poblacion!J:J,'MASTER-2025'!A81),0))</f>
        <v>0</v>
      </c>
      <c r="N81" s="20">
        <f>IFERROR(VLOOKUP($A81,'[1]OB Atendidas por Donantes'!A:N,4,0),0)</f>
        <v>0</v>
      </c>
      <c r="O81" s="20">
        <f>ROUNDUP(IF(A81=0,0,IFERROR(VLOOKUP($A81,'[1]Kilos Asignado del Donante'!A:O,4,0),0)),0)</f>
        <v>0</v>
      </c>
      <c r="P81" s="20">
        <f>IF(A81=0,0,IFERROR(SUMIFS([1]Poblacion!N:N,[1]Poblacion!J:J,'MASTER-2025'!A81),0))</f>
        <v>0</v>
      </c>
      <c r="Q81" s="18">
        <f>IFERROR(VLOOKUP($A81,'[1]OB Atendidas por Donantes'!A:N,2,0),0)</f>
        <v>0</v>
      </c>
      <c r="R81" s="18">
        <f>ROUNDUP(ROUND(IF(A81=0,0,IFERROR(VLOOKUP($A81,'[1]Kilos Asignado del Donante'!A:O,9,0),0)),1),0)</f>
        <v>0</v>
      </c>
      <c r="S81" s="18">
        <f>IF(A81=0,0,IFERROR(SUMIFS([1]Poblacion!S:S,[1]Poblacion!J:J,'MASTER-2025'!A81),0))</f>
        <v>0</v>
      </c>
      <c r="T81" s="19">
        <f>IFERROR(VLOOKUP($A81,'[1]OB Atendidas por Donantes'!A:N,12,0),0)</f>
        <v>0</v>
      </c>
      <c r="U81" s="19">
        <f>ROUNDUP(IF(A81=0,0,IF(A81=0,0,IFERROR(VLOOKUP($A81,'[1]Kilos Asignado del Donante'!A:O,7,0),0))),0)</f>
        <v>0</v>
      </c>
      <c r="V81" s="19">
        <f>IF(A81=0,0,IFERROR(SUMIFS([1]Poblacion!Q:Q,[1]Poblacion!J:J,'MASTER-2025'!A81),0))</f>
        <v>0</v>
      </c>
      <c r="W81" s="20">
        <f>IFERROR(VLOOKUP($A81,'[1]OB Atendidas por Donantes'!A:N,10,0),0)</f>
        <v>0</v>
      </c>
      <c r="X81" s="20">
        <f>ROUNDUP(IF(A81=0,0,IFERROR(VLOOKUP($A81,'[1]Kilos Asignado del Donante'!A:N,5,0),0)),0)</f>
        <v>0</v>
      </c>
      <c r="Y81" s="20">
        <f>IF(A81=0,0,IFERROR(SUMIFS([1]Poblacion!O:O,[1]Poblacion!J:J,'MASTER-2025'!A81),0))</f>
        <v>0</v>
      </c>
      <c r="Z81" s="18">
        <f>IFERROR(VLOOKUP($A81,'[1]OB Atendidas por Donantes'!A:N,6,0),0)</f>
        <v>0</v>
      </c>
      <c r="AA81" s="18">
        <f>ROUNDUP(IF(A81=0,0,IFERROR(VLOOKUP($A81,'[1]Kilos Asignado del Donante'!A:N,11,0),0)),0)</f>
        <v>0</v>
      </c>
      <c r="AB81" s="18">
        <f>IF(A81=0,0,IFERROR(SUMIFS([1]Poblacion!U:U,[1]Poblacion!J:J,'MASTER-2025'!A81),0))</f>
        <v>0</v>
      </c>
      <c r="AC81" s="19">
        <f>IFERROR(VLOOKUP($A81,'[1]OB Atendidas por Donantes'!A:N,7,0),0)</f>
        <v>0</v>
      </c>
      <c r="AD81" s="19">
        <f>ROUNDUP(IF(A81=0,0,IFERROR(VLOOKUP($A81,'[1]Kilos Asignado del Donante'!A:N,8,0),0)),0)</f>
        <v>0</v>
      </c>
      <c r="AE81" s="19">
        <f>IF(A81=0,0,IFERROR(SUMIFS([1]Poblacion!R:R,[1]Poblacion!J:J,'MASTER-2025'!A81),0))</f>
        <v>0</v>
      </c>
      <c r="AF81" s="20">
        <f>IFERROR(VLOOKUP($A81,'[1]OB Atendidas por Donantes'!A:N,8,0),0)</f>
        <v>0</v>
      </c>
      <c r="AG81" s="20">
        <f>ROUNDUP(IF(A81=0,0,IFERROR(VLOOKUP($A81,'[1]Kilos Asignado del Donante'!A:N,6,0),0)),0)</f>
        <v>0</v>
      </c>
      <c r="AH81" s="20">
        <f>IF(A81=0,0,IFERROR(SUMIFS([1]Poblacion!P:P,[1]Poblacion!J:J,'MASTER-2025'!A81),0))</f>
        <v>0</v>
      </c>
      <c r="AI81" s="18">
        <f>IFERROR(VLOOKUP($A81,'[1]OB Atendidas por Donantes'!A:N,9,0),0)</f>
        <v>0</v>
      </c>
      <c r="AJ81" s="18">
        <f>ROUNDUP(IF(A81=0,0,IFERROR(VLOOKUP($A81,'[1]Kilos Asignado del Donante'!A:N,12,0),0)),0)</f>
        <v>0</v>
      </c>
      <c r="AK81" s="18">
        <f>IF(A81=0,0,IFERROR(SUMIFS([1]Poblacion!V:V,[1]Poblacion!J:J,'MASTER-2025'!A81),0))</f>
        <v>0</v>
      </c>
      <c r="AL81" s="19">
        <f>IFERROR(VLOOKUP($A81,'[1]OB Atendidas por Donantes'!A:N,16,0),0)</f>
        <v>0</v>
      </c>
      <c r="AM81" s="19">
        <f>ROUNDUP(IF(A81=0,0,IFERROR(VLOOKUP($A81,'[1]Kilos Asignado del Donante'!A:O,16,0),0)),0)</f>
        <v>0</v>
      </c>
      <c r="AN81" s="19">
        <f>IF(A81=0,0,IFERROR(SUMIFS([1]Poblacion!Z:Z,[1]Poblacion!J:J,'MASTER-2025'!A81),0))</f>
        <v>0</v>
      </c>
      <c r="AO81" s="20">
        <f>IFERROR(VLOOKUP($A81,'[1]OB Atendidas por Donantes'!A:N,11,0),0)</f>
        <v>0</v>
      </c>
      <c r="AP81" s="20">
        <f>ROUNDUP(IF(A81=0,0,IFERROR(VLOOKUP($A81,'[1]Kilos Asignado del Donante'!A:N,13,0),0)),0)</f>
        <v>0</v>
      </c>
      <c r="AQ81" s="20">
        <f>IF(A81=0,0,IFERROR(SUMIFS([1]Poblacion!W:W,[1]Poblacion!J:J,'MASTER-2025'!A81),0))</f>
        <v>0</v>
      </c>
      <c r="AR81" s="18">
        <f>IFERROR(VLOOKUP($A81,'[1]OB Atendidas por Donantes'!A:N,5,0),0)</f>
        <v>0</v>
      </c>
      <c r="AS81" s="18">
        <f>ROUNDUP(IF(A81=0,0,IFERROR(VLOOKUP($A81,'[1]Kilos Asignado del Donante'!A:N,10,0),0)),0)</f>
        <v>0</v>
      </c>
      <c r="AT81" s="18">
        <f>IF(A81=0,0,IFERROR(SUMIFS([1]Poblacion!T:T,[1]Poblacion!J:J,'MASTER-2025'!A81),0))</f>
        <v>0</v>
      </c>
      <c r="AU81" s="19">
        <f>IFERROR(VLOOKUP($A81,'[1]OB Atendidas por Donantes'!A:N,13,0),0)</f>
        <v>0</v>
      </c>
      <c r="AV81" s="19">
        <f>ROUNDUP(IF(A81=0,0,IFERROR(VLOOKUP($A81,'[1]Kilos Asignado del Donante'!A:N,14,0),0)),0)</f>
        <v>0</v>
      </c>
      <c r="AW81" s="19">
        <f>IF(A81=0,0,IFERROR(SUMIFS([1]Poblacion!X:X,[1]Poblacion!J:J,'MASTER-2025'!A81),0))</f>
        <v>0</v>
      </c>
      <c r="AX81" s="20">
        <f>IFERROR(VLOOKUP($A81,'[1]OB Atendidas por Donantes'!A:N,16,0),0)</f>
        <v>0</v>
      </c>
      <c r="AY81" s="20">
        <f>ROUNDUP(IF(A81=0,0,IFERROR(VLOOKUP($A81,'[1]Kilos Asignado del Donante'!A:O,16,0),0)),0)</f>
        <v>0</v>
      </c>
      <c r="AZ81" s="20">
        <f>IF(A81=0,0,IFERROR(SUMIFS([1]Poblacion!Y:Y,[1]Poblacion!J:J,'MASTER-2025'!A81),0))</f>
        <v>0</v>
      </c>
      <c r="BA81" s="21">
        <f t="shared" si="34"/>
        <v>0</v>
      </c>
      <c r="BB81" s="21">
        <f t="shared" si="29"/>
        <v>0</v>
      </c>
      <c r="BC81" s="21">
        <f t="shared" ref="BC81:BC130" si="39">ROUND(I81+L81+O81+R81+U81,0)</f>
        <v>0</v>
      </c>
      <c r="BD81" s="21">
        <f t="shared" si="26"/>
        <v>0</v>
      </c>
      <c r="BE81" s="22" t="e">
        <f>IF(A81=0,0,SUMIFS([1]Poblacion!C:C,[1]Poblacion!A:A,'MASTER-2025'!A81))</f>
        <v>#VALUE!</v>
      </c>
      <c r="BF81" s="22" t="e">
        <f>IF(A81=0,0,SUMIFS([1]Poblacion!D:D,[1]Poblacion!A:A,'MASTER-2025'!A81))</f>
        <v>#VALUE!</v>
      </c>
      <c r="BG81" s="22" t="e">
        <f>IF(A81=0,0,SUMIFS([1]Poblacion!E:E,[1]Poblacion!A:A,'MASTER-2025'!A81))</f>
        <v>#VALUE!</v>
      </c>
      <c r="BH81" s="22" t="e">
        <f>IF(A81=0,0,SUMIFS([1]Poblacion!F:F,[1]Poblacion!A:A,'MASTER-2025'!A81))</f>
        <v>#VALUE!</v>
      </c>
      <c r="BI81" s="22" t="e">
        <f t="shared" si="35"/>
        <v>#VALUE!</v>
      </c>
      <c r="BJ81" s="23" t="e">
        <f t="shared" si="30"/>
        <v>#VALUE!</v>
      </c>
      <c r="BK81" s="22" t="e">
        <f>IF(A81=0,0,SUMIFS([1]Poblacion!G:G,[1]Poblacion!A:A,'MASTER-2025'!A81))</f>
        <v>#VALUE!</v>
      </c>
      <c r="BL81" s="24" cm="1">
        <f t="array" ref="BL81:BW81">IFERROR(VLOOKUP(A81,'[1]Acum-OB-kg-pob-25'!A:AQ,{3,4,5,6,7,8,9,10,11,12,13,14},0),0)</f>
        <v>0</v>
      </c>
      <c r="BM81" s="24">
        <v>0</v>
      </c>
      <c r="BN81" s="24">
        <v>0</v>
      </c>
      <c r="BO81" s="24">
        <v>0</v>
      </c>
      <c r="BP81" s="24">
        <v>0</v>
      </c>
      <c r="BQ81" s="24">
        <v>0</v>
      </c>
      <c r="BR81" s="24">
        <v>0</v>
      </c>
      <c r="BS81" s="24">
        <v>0</v>
      </c>
      <c r="BT81" s="24">
        <v>0</v>
      </c>
      <c r="BU81" s="24">
        <v>0</v>
      </c>
      <c r="BV81" s="24">
        <v>0</v>
      </c>
      <c r="BW81" s="24">
        <v>0</v>
      </c>
      <c r="BX81" s="24">
        <f t="shared" si="31"/>
        <v>0</v>
      </c>
      <c r="BY81" s="25" cm="1">
        <f t="array" ref="BY81:CJ81">IFERROR(VLOOKUP(A81,'[1]Acum-OB-kg-pob-25'!A:AQ,{17,18,19,20,21,22,23,24,25,26,27,28},0),0)</f>
        <v>0</v>
      </c>
      <c r="BZ81" s="25">
        <v>0</v>
      </c>
      <c r="CA81" s="25">
        <v>0</v>
      </c>
      <c r="CB81" s="25">
        <v>0</v>
      </c>
      <c r="CC81" s="25">
        <v>0</v>
      </c>
      <c r="CD81" s="25">
        <v>0</v>
      </c>
      <c r="CE81" s="25">
        <v>0</v>
      </c>
      <c r="CF81" s="25">
        <v>0</v>
      </c>
      <c r="CG81" s="25">
        <v>0</v>
      </c>
      <c r="CH81" s="25">
        <v>0</v>
      </c>
      <c r="CI81" s="25">
        <v>0</v>
      </c>
      <c r="CJ81" s="25">
        <v>0</v>
      </c>
      <c r="CK81" s="25">
        <f t="shared" si="32"/>
        <v>0</v>
      </c>
      <c r="CL81" s="26" cm="1">
        <f t="array" ref="CL81:CW81">IFERROR(VLOOKUP(A81,'[1]Acum-OB-kg-pob-25'!A:AQ,{31,32,33,34,35,36,37,38,39,40,41,42},0),0)</f>
        <v>0</v>
      </c>
      <c r="CM81" s="26">
        <v>0</v>
      </c>
      <c r="CN81" s="26">
        <v>0</v>
      </c>
      <c r="CO81" s="26">
        <v>0</v>
      </c>
      <c r="CP81" s="26">
        <v>0</v>
      </c>
      <c r="CQ81" s="26">
        <v>0</v>
      </c>
      <c r="CR81" s="26">
        <v>0</v>
      </c>
      <c r="CS81" s="26">
        <v>0</v>
      </c>
      <c r="CT81" s="26">
        <v>0</v>
      </c>
      <c r="CU81" s="26">
        <v>0</v>
      </c>
      <c r="CV81" s="26">
        <v>0</v>
      </c>
      <c r="CW81" s="26">
        <v>0</v>
      </c>
      <c r="CX81" s="26">
        <f t="shared" si="33"/>
        <v>0</v>
      </c>
      <c r="CY81" s="14" t="str">
        <f>IF(A81=0,0,IFERROR(VLOOKUP(A81,'[1]Info Donantes'!C:F,2,0),"Sin Contacto"))</f>
        <v>Liurys Jiménez</v>
      </c>
      <c r="CZ81" s="14" t="str">
        <f>IF(A81=0,0,IFERROR(VLOOKUP(A81,'[1]Info Donantes'!C:F,3,0),"Sin Correo"))</f>
        <v>liurys.jimenez@supercarnes.com</v>
      </c>
      <c r="DA81" s="14" t="str">
        <f>IF(A81=0,0,IFERROR(VLOOKUP(A81,'[1]Info Donantes'!C:F,4,0),"Sin Telefono"))</f>
        <v>6604-1844</v>
      </c>
      <c r="DB81" s="14" t="str">
        <f>IF(A81=0,0,"Reporte de Trazabiidad"&amp;" - "&amp;'[1]Resumen Donantes'!$C$2&amp;" - "&amp;A81&amp;"")</f>
        <v>Reporte de Trazabiidad -  - IMPORTADORA VIRZI S.A.</v>
      </c>
    </row>
    <row r="82" spans="1:106" x14ac:dyDescent="0.55000000000000004">
      <c r="A82" s="31" t="s">
        <v>186</v>
      </c>
      <c r="B82" s="15">
        <f>INT(IFERROR(VLOOKUP(A82,'[1]Resumen Donantes'!C:F,3,0),0))</f>
        <v>0</v>
      </c>
      <c r="C82" s="15">
        <f>INT(ROUND(IFERROR(VLOOKUP(A82,'[1]Resumen Donantes'!C:F,4,0),0),1))</f>
        <v>0</v>
      </c>
      <c r="D82" s="16">
        <f t="shared" si="36"/>
        <v>0</v>
      </c>
      <c r="E82" s="17" t="str">
        <f t="shared" si="37"/>
        <v>0.00%</v>
      </c>
      <c r="F82" s="17" t="str">
        <f t="shared" si="38"/>
        <v>0.0%</v>
      </c>
      <c r="G82" s="15">
        <f t="shared" si="25"/>
        <v>0</v>
      </c>
      <c r="H82" s="18"/>
      <c r="I82" s="18">
        <f>IFERROR(VLOOKUP(A82,'[1]Lot All by Part'!T:Y,6,0),0)</f>
        <v>0</v>
      </c>
      <c r="J82" s="18"/>
      <c r="K82" s="19">
        <f>IFERROR(VLOOKUP($A82,'[1]OB Atendidas por Donantes'!A:N,3,0),0)</f>
        <v>0</v>
      </c>
      <c r="L82" s="19">
        <f>ROUNDUP(IF(A82=0,0,IFERROR(VLOOKUP($A82,'[1]Kilos Asignado del Donante'!A:O,3,0),0)),0)</f>
        <v>0</v>
      </c>
      <c r="M82" s="19">
        <f>IF(A82=0,0,IFERROR(SUMIFS([1]Poblacion!M:M,[1]Poblacion!J:J,'MASTER-2025'!A82),0))</f>
        <v>0</v>
      </c>
      <c r="N82" s="20">
        <f>IFERROR(VLOOKUP($A82,'[1]OB Atendidas por Donantes'!A:N,4,0),0)</f>
        <v>0</v>
      </c>
      <c r="O82" s="20">
        <f>ROUNDUP(IF(A82=0,0,IFERROR(VLOOKUP($A82,'[1]Kilos Asignado del Donante'!A:O,4,0),0)),0)</f>
        <v>0</v>
      </c>
      <c r="P82" s="20">
        <f>IF(A82=0,0,IFERROR(SUMIFS([1]Poblacion!N:N,[1]Poblacion!J:J,'MASTER-2025'!A82),0))</f>
        <v>0</v>
      </c>
      <c r="Q82" s="18">
        <f>IFERROR(VLOOKUP($A82,'[1]OB Atendidas por Donantes'!A:N,2,0),0)</f>
        <v>0</v>
      </c>
      <c r="R82" s="18">
        <f>ROUNDUP(ROUND(IF(A82=0,0,IFERROR(VLOOKUP($A82,'[1]Kilos Asignado del Donante'!A:O,9,0),0)),1),0)</f>
        <v>0</v>
      </c>
      <c r="S82" s="18">
        <f>IF(A82=0,0,IFERROR(SUMIFS([1]Poblacion!S:S,[1]Poblacion!J:J,'MASTER-2025'!A82),0))</f>
        <v>0</v>
      </c>
      <c r="T82" s="19">
        <f>IFERROR(VLOOKUP($A82,'[1]OB Atendidas por Donantes'!A:N,12,0),0)</f>
        <v>0</v>
      </c>
      <c r="U82" s="19">
        <f>ROUNDUP(IF(A82=0,0,IF(A82=0,0,IFERROR(VLOOKUP($A82,'[1]Kilos Asignado del Donante'!A:O,7,0),0))),0)</f>
        <v>0</v>
      </c>
      <c r="V82" s="19">
        <f>IF(A82=0,0,IFERROR(SUMIFS([1]Poblacion!Q:Q,[1]Poblacion!J:J,'MASTER-2025'!A82),0))</f>
        <v>0</v>
      </c>
      <c r="W82" s="20">
        <f>IFERROR(VLOOKUP($A82,'[1]OB Atendidas por Donantes'!A:N,10,0),0)</f>
        <v>0</v>
      </c>
      <c r="X82" s="20">
        <f>ROUNDUP(IF(A82=0,0,IFERROR(VLOOKUP($A82,'[1]Kilos Asignado del Donante'!A:N,5,0),0)),0)</f>
        <v>0</v>
      </c>
      <c r="Y82" s="20">
        <f>IF(A82=0,0,IFERROR(SUMIFS([1]Poblacion!O:O,[1]Poblacion!J:J,'MASTER-2025'!A82),0))</f>
        <v>0</v>
      </c>
      <c r="Z82" s="18">
        <f>IFERROR(VLOOKUP($A82,'[1]OB Atendidas por Donantes'!A:N,6,0),0)</f>
        <v>0</v>
      </c>
      <c r="AA82" s="18">
        <f>ROUNDUP(IF(A82=0,0,IFERROR(VLOOKUP($A82,'[1]Kilos Asignado del Donante'!A:N,11,0),0)),0)</f>
        <v>0</v>
      </c>
      <c r="AB82" s="18">
        <f>IF(A82=0,0,IFERROR(SUMIFS([1]Poblacion!U:U,[1]Poblacion!J:J,'MASTER-2025'!A82),0))</f>
        <v>0</v>
      </c>
      <c r="AC82" s="19">
        <f>IFERROR(VLOOKUP($A82,'[1]OB Atendidas por Donantes'!A:N,7,0),0)</f>
        <v>0</v>
      </c>
      <c r="AD82" s="19">
        <f>ROUNDUP(IF(A82=0,0,IFERROR(VLOOKUP($A82,'[1]Kilos Asignado del Donante'!A:N,8,0),0)),0)</f>
        <v>0</v>
      </c>
      <c r="AE82" s="19">
        <f>IF(A82=0,0,IFERROR(SUMIFS([1]Poblacion!R:R,[1]Poblacion!J:J,'MASTER-2025'!A82),0))</f>
        <v>0</v>
      </c>
      <c r="AF82" s="20">
        <f>IFERROR(VLOOKUP($A82,'[1]OB Atendidas por Donantes'!A:N,8,0),0)</f>
        <v>0</v>
      </c>
      <c r="AG82" s="20">
        <f>ROUNDUP(IF(A82=0,0,IFERROR(VLOOKUP($A82,'[1]Kilos Asignado del Donante'!A:N,6,0),0)),0)</f>
        <v>0</v>
      </c>
      <c r="AH82" s="20">
        <f>IF(A82=0,0,IFERROR(SUMIFS([1]Poblacion!P:P,[1]Poblacion!J:J,'MASTER-2025'!A82),0))</f>
        <v>0</v>
      </c>
      <c r="AI82" s="18">
        <f>IFERROR(VLOOKUP($A82,'[1]OB Atendidas por Donantes'!A:N,9,0),0)</f>
        <v>0</v>
      </c>
      <c r="AJ82" s="18">
        <f>ROUNDUP(IF(A82=0,0,IFERROR(VLOOKUP($A82,'[1]Kilos Asignado del Donante'!A:N,12,0),0)),0)</f>
        <v>0</v>
      </c>
      <c r="AK82" s="18">
        <f>IF(A82=0,0,IFERROR(SUMIFS([1]Poblacion!V:V,[1]Poblacion!J:J,'MASTER-2025'!A82),0))</f>
        <v>0</v>
      </c>
      <c r="AL82" s="19">
        <f>IFERROR(VLOOKUP($A82,'[1]OB Atendidas por Donantes'!A:N,16,0),0)</f>
        <v>0</v>
      </c>
      <c r="AM82" s="19">
        <f>ROUNDUP(IF(A82=0,0,IFERROR(VLOOKUP($A82,'[1]Kilos Asignado del Donante'!A:O,16,0),0)),0)</f>
        <v>0</v>
      </c>
      <c r="AN82" s="19">
        <f>IF(A82=0,0,IFERROR(SUMIFS([1]Poblacion!Z:Z,[1]Poblacion!J:J,'MASTER-2025'!A82),0))</f>
        <v>0</v>
      </c>
      <c r="AO82" s="20">
        <f>IFERROR(VLOOKUP($A82,'[1]OB Atendidas por Donantes'!A:N,11,0),0)</f>
        <v>0</v>
      </c>
      <c r="AP82" s="20">
        <f>ROUNDUP(IF(A82=0,0,IFERROR(VLOOKUP($A82,'[1]Kilos Asignado del Donante'!A:N,13,0),0)),0)</f>
        <v>0</v>
      </c>
      <c r="AQ82" s="20">
        <f>IF(A82=0,0,IFERROR(SUMIFS([1]Poblacion!W:W,[1]Poblacion!J:J,'MASTER-2025'!A82),0))</f>
        <v>0</v>
      </c>
      <c r="AR82" s="18">
        <f>IFERROR(VLOOKUP($A82,'[1]OB Atendidas por Donantes'!A:N,5,0),0)</f>
        <v>0</v>
      </c>
      <c r="AS82" s="18">
        <f>ROUNDUP(IF(A82=0,0,IFERROR(VLOOKUP($A82,'[1]Kilos Asignado del Donante'!A:N,10,0),0)),0)</f>
        <v>0</v>
      </c>
      <c r="AT82" s="18">
        <f>IF(A82=0,0,IFERROR(SUMIFS([1]Poblacion!T:T,[1]Poblacion!J:J,'MASTER-2025'!A82),0))</f>
        <v>0</v>
      </c>
      <c r="AU82" s="19">
        <f>IFERROR(VLOOKUP($A82,'[1]OB Atendidas por Donantes'!A:N,13,0),0)</f>
        <v>0</v>
      </c>
      <c r="AV82" s="19">
        <f>ROUNDUP(IF(A82=0,0,IFERROR(VLOOKUP($A82,'[1]Kilos Asignado del Donante'!A:N,14,0),0)),0)</f>
        <v>0</v>
      </c>
      <c r="AW82" s="19">
        <f>IF(A82=0,0,IFERROR(SUMIFS([1]Poblacion!X:X,[1]Poblacion!J:J,'MASTER-2025'!A82),0))</f>
        <v>0</v>
      </c>
      <c r="AX82" s="20">
        <f>IFERROR(VLOOKUP($A82,'[1]OB Atendidas por Donantes'!A:N,16,0),0)</f>
        <v>0</v>
      </c>
      <c r="AY82" s="20">
        <f>ROUNDUP(IF(A82=0,0,IFERROR(VLOOKUP($A82,'[1]Kilos Asignado del Donante'!A:O,16,0),0)),0)</f>
        <v>0</v>
      </c>
      <c r="AZ82" s="20">
        <f>IF(A82=0,0,IFERROR(SUMIFS([1]Poblacion!Y:Y,[1]Poblacion!J:J,'MASTER-2025'!A82),0))</f>
        <v>0</v>
      </c>
      <c r="BA82" s="21">
        <f t="shared" si="34"/>
        <v>0</v>
      </c>
      <c r="BB82" s="21">
        <f t="shared" si="29"/>
        <v>0</v>
      </c>
      <c r="BC82" s="21">
        <f t="shared" si="39"/>
        <v>0</v>
      </c>
      <c r="BD82" s="21">
        <f t="shared" si="26"/>
        <v>0</v>
      </c>
      <c r="BE82" s="22" t="e">
        <f>IF(A82=0,0,SUMIFS([1]Poblacion!C:C,[1]Poblacion!A:A,'MASTER-2025'!A82))</f>
        <v>#VALUE!</v>
      </c>
      <c r="BF82" s="22" t="e">
        <f>IF(A82=0,0,SUMIFS([1]Poblacion!D:D,[1]Poblacion!A:A,'MASTER-2025'!A82))</f>
        <v>#VALUE!</v>
      </c>
      <c r="BG82" s="22" t="e">
        <f>IF(A82=0,0,SUMIFS([1]Poblacion!E:E,[1]Poblacion!A:A,'MASTER-2025'!A82))</f>
        <v>#VALUE!</v>
      </c>
      <c r="BH82" s="22" t="e">
        <f>IF(A82=0,0,SUMIFS([1]Poblacion!F:F,[1]Poblacion!A:A,'MASTER-2025'!A82))</f>
        <v>#VALUE!</v>
      </c>
      <c r="BI82" s="22" t="e">
        <f t="shared" si="35"/>
        <v>#VALUE!</v>
      </c>
      <c r="BJ82" s="23" t="e">
        <f t="shared" si="30"/>
        <v>#VALUE!</v>
      </c>
      <c r="BK82" s="22" t="e">
        <f>IF(A82=0,0,SUMIFS([1]Poblacion!G:G,[1]Poblacion!A:A,'MASTER-2025'!A82))</f>
        <v>#VALUE!</v>
      </c>
      <c r="BL82" s="24" cm="1">
        <f t="array" ref="BL82:BW82">IFERROR(VLOOKUP(A82,'[1]Acum-OB-kg-pob-25'!A:AQ,{3,4,5,6,7,8,9,10,11,12,13,14},0),0)</f>
        <v>0</v>
      </c>
      <c r="BM82" s="24">
        <v>0</v>
      </c>
      <c r="BN82" s="24">
        <v>0</v>
      </c>
      <c r="BO82" s="24">
        <v>0</v>
      </c>
      <c r="BP82" s="24">
        <v>0</v>
      </c>
      <c r="BQ82" s="24">
        <v>0</v>
      </c>
      <c r="BR82" s="24">
        <v>0</v>
      </c>
      <c r="BS82" s="24">
        <v>0</v>
      </c>
      <c r="BT82" s="24">
        <v>0</v>
      </c>
      <c r="BU82" s="24">
        <v>0</v>
      </c>
      <c r="BV82" s="24">
        <v>0</v>
      </c>
      <c r="BW82" s="24">
        <v>0</v>
      </c>
      <c r="BX82" s="24">
        <f t="shared" si="31"/>
        <v>0</v>
      </c>
      <c r="BY82" s="25" cm="1">
        <f t="array" ref="BY82:CJ82">IFERROR(VLOOKUP(A82,'[1]Acum-OB-kg-pob-25'!A:AQ,{17,18,19,20,21,22,23,24,25,26,27,28},0),0)</f>
        <v>0</v>
      </c>
      <c r="BZ82" s="25">
        <v>0</v>
      </c>
      <c r="CA82" s="25">
        <v>0</v>
      </c>
      <c r="CB82" s="25">
        <v>0</v>
      </c>
      <c r="CC82" s="25">
        <v>0</v>
      </c>
      <c r="CD82" s="25">
        <v>0</v>
      </c>
      <c r="CE82" s="25">
        <v>0</v>
      </c>
      <c r="CF82" s="25">
        <v>0</v>
      </c>
      <c r="CG82" s="25">
        <v>0</v>
      </c>
      <c r="CH82" s="25">
        <v>0</v>
      </c>
      <c r="CI82" s="25">
        <v>0</v>
      </c>
      <c r="CJ82" s="25">
        <v>0</v>
      </c>
      <c r="CK82" s="25">
        <f t="shared" si="32"/>
        <v>0</v>
      </c>
      <c r="CL82" s="26" cm="1">
        <f t="array" ref="CL82:CW82">IFERROR(VLOOKUP(A82,'[1]Acum-OB-kg-pob-25'!A:AQ,{31,32,33,34,35,36,37,38,39,40,41,42},0),0)</f>
        <v>0</v>
      </c>
      <c r="CM82" s="26">
        <v>0</v>
      </c>
      <c r="CN82" s="26">
        <v>0</v>
      </c>
      <c r="CO82" s="26">
        <v>0</v>
      </c>
      <c r="CP82" s="26">
        <v>0</v>
      </c>
      <c r="CQ82" s="26">
        <v>0</v>
      </c>
      <c r="CR82" s="26">
        <v>0</v>
      </c>
      <c r="CS82" s="26">
        <v>0</v>
      </c>
      <c r="CT82" s="26">
        <v>0</v>
      </c>
      <c r="CU82" s="26">
        <v>0</v>
      </c>
      <c r="CV82" s="26">
        <v>0</v>
      </c>
      <c r="CW82" s="26">
        <v>0</v>
      </c>
      <c r="CX82" s="26">
        <f t="shared" si="33"/>
        <v>0</v>
      </c>
      <c r="CY82" s="14" t="str">
        <f>IF(A82=0,0,IFERROR(VLOOKUP(A82,'[1]Info Donantes'!C:F,2,0),"Sin Contacto"))</f>
        <v>Tatiana Navarro</v>
      </c>
      <c r="CZ82" s="14" t="str">
        <f>IF(A82=0,0,IFERROR(VLOOKUP(A82,'[1]Info Donantes'!C:F,3,0),"Sin Correo"))</f>
        <v>tatianalorenzo@naturaliapanama.com</v>
      </c>
      <c r="DA82" s="14" t="str">
        <f>IF(A82=0,0,IFERROR(VLOOKUP(A82,'[1]Info Donantes'!C:F,4,0),"Sin Telefono"))</f>
        <v>391-3130</v>
      </c>
      <c r="DB82" s="14" t="str">
        <f>IF(A82=0,0,"Reporte de Trazabiidad"&amp;" - "&amp;'[1]Resumen Donantes'!$C$2&amp;" - "&amp;A82&amp;"")</f>
        <v>Reporte de Trazabiidad -  - Inversiones Naturalia , S.A</v>
      </c>
    </row>
    <row r="83" spans="1:106" x14ac:dyDescent="0.55000000000000004">
      <c r="A83" s="31" t="s">
        <v>187</v>
      </c>
      <c r="B83" s="15">
        <f>INT(IFERROR(VLOOKUP(A83,'[1]Resumen Donantes'!C:F,3,0),0))</f>
        <v>0</v>
      </c>
      <c r="C83" s="15">
        <f>INT(ROUND(IFERROR(VLOOKUP(A83,'[1]Resumen Donantes'!C:F,4,0),0),1))</f>
        <v>0</v>
      </c>
      <c r="D83" s="16">
        <f t="shared" si="36"/>
        <v>0</v>
      </c>
      <c r="E83" s="17" t="str">
        <f t="shared" si="37"/>
        <v>0.00%</v>
      </c>
      <c r="F83" s="17" t="str">
        <f t="shared" si="38"/>
        <v>0.0%</v>
      </c>
      <c r="G83" s="15">
        <f t="shared" si="25"/>
        <v>0</v>
      </c>
      <c r="H83" s="18"/>
      <c r="I83" s="18">
        <f>IFERROR(VLOOKUP(A83,'[1]Lot All by Part'!T:Y,6,0),0)</f>
        <v>0</v>
      </c>
      <c r="J83" s="18"/>
      <c r="K83" s="19">
        <f>IFERROR(VLOOKUP($A83,'[1]OB Atendidas por Donantes'!A:N,3,0),0)</f>
        <v>0</v>
      </c>
      <c r="L83" s="19">
        <f>ROUNDUP(IF(A83=0,0,IFERROR(VLOOKUP($A83,'[1]Kilos Asignado del Donante'!A:O,3,0),0)),0)</f>
        <v>0</v>
      </c>
      <c r="M83" s="19">
        <f>IF(A83=0,0,IFERROR(SUMIFS([1]Poblacion!M:M,[1]Poblacion!J:J,'MASTER-2025'!A83),0))</f>
        <v>0</v>
      </c>
      <c r="N83" s="20">
        <f>IFERROR(VLOOKUP($A83,'[1]OB Atendidas por Donantes'!A:N,4,0),0)</f>
        <v>0</v>
      </c>
      <c r="O83" s="20">
        <f>ROUNDUP(IF(A83=0,0,IFERROR(VLOOKUP($A83,'[1]Kilos Asignado del Donante'!A:O,4,0),0)),0)</f>
        <v>0</v>
      </c>
      <c r="P83" s="20">
        <f>IF(A83=0,0,IFERROR(SUMIFS([1]Poblacion!N:N,[1]Poblacion!J:J,'MASTER-2025'!A83),0))</f>
        <v>0</v>
      </c>
      <c r="Q83" s="18">
        <f>IFERROR(VLOOKUP($A83,'[1]OB Atendidas por Donantes'!A:N,2,0),0)</f>
        <v>0</v>
      </c>
      <c r="R83" s="18">
        <f>ROUNDUP(ROUND(IF(A83=0,0,IFERROR(VLOOKUP($A83,'[1]Kilos Asignado del Donante'!A:O,9,0),0)),1),0)</f>
        <v>0</v>
      </c>
      <c r="S83" s="18">
        <f>IF(A83=0,0,IFERROR(SUMIFS([1]Poblacion!S:S,[1]Poblacion!J:J,'MASTER-2025'!A83),0))</f>
        <v>0</v>
      </c>
      <c r="T83" s="19">
        <f>IFERROR(VLOOKUP($A83,'[1]OB Atendidas por Donantes'!A:N,12,0),0)</f>
        <v>0</v>
      </c>
      <c r="U83" s="19">
        <f>ROUNDUP(IF(A83=0,0,IF(A83=0,0,IFERROR(VLOOKUP($A83,'[1]Kilos Asignado del Donante'!A:O,7,0),0))),0)</f>
        <v>0</v>
      </c>
      <c r="V83" s="19">
        <f>IF(A83=0,0,IFERROR(SUMIFS([1]Poblacion!Q:Q,[1]Poblacion!J:J,'MASTER-2025'!A83),0))</f>
        <v>0</v>
      </c>
      <c r="W83" s="20">
        <f>IFERROR(VLOOKUP($A83,'[1]OB Atendidas por Donantes'!A:N,10,0),0)</f>
        <v>0</v>
      </c>
      <c r="X83" s="20">
        <f>ROUNDUP(IF(A83=0,0,IFERROR(VLOOKUP($A83,'[1]Kilos Asignado del Donante'!A:N,5,0),0)),0)</f>
        <v>0</v>
      </c>
      <c r="Y83" s="20">
        <f>IF(A83=0,0,IFERROR(SUMIFS([1]Poblacion!O:O,[1]Poblacion!J:J,'MASTER-2025'!A83),0))</f>
        <v>0</v>
      </c>
      <c r="Z83" s="18">
        <f>IFERROR(VLOOKUP($A83,'[1]OB Atendidas por Donantes'!A:N,6,0),0)</f>
        <v>0</v>
      </c>
      <c r="AA83" s="18">
        <f>ROUNDUP(IF(A83=0,0,IFERROR(VLOOKUP($A83,'[1]Kilos Asignado del Donante'!A:N,11,0),0)),0)</f>
        <v>0</v>
      </c>
      <c r="AB83" s="18">
        <f>IF(A83=0,0,IFERROR(SUMIFS([1]Poblacion!U:U,[1]Poblacion!J:J,'MASTER-2025'!A83),0))</f>
        <v>0</v>
      </c>
      <c r="AC83" s="19">
        <f>IFERROR(VLOOKUP($A83,'[1]OB Atendidas por Donantes'!A:N,7,0),0)</f>
        <v>0</v>
      </c>
      <c r="AD83" s="19">
        <f>ROUNDUP(IF(A83=0,0,IFERROR(VLOOKUP($A83,'[1]Kilos Asignado del Donante'!A:N,8,0),0)),0)</f>
        <v>0</v>
      </c>
      <c r="AE83" s="19">
        <f>IF(A83=0,0,IFERROR(SUMIFS([1]Poblacion!R:R,[1]Poblacion!J:J,'MASTER-2025'!A83),0))</f>
        <v>0</v>
      </c>
      <c r="AF83" s="20">
        <f>IFERROR(VLOOKUP($A83,'[1]OB Atendidas por Donantes'!A:N,8,0),0)</f>
        <v>0</v>
      </c>
      <c r="AG83" s="20">
        <f>ROUNDUP(IF(A83=0,0,IFERROR(VLOOKUP($A83,'[1]Kilos Asignado del Donante'!A:N,6,0),0)),0)</f>
        <v>0</v>
      </c>
      <c r="AH83" s="20">
        <f>IF(A83=0,0,IFERROR(SUMIFS([1]Poblacion!P:P,[1]Poblacion!J:J,'MASTER-2025'!A83),0))</f>
        <v>0</v>
      </c>
      <c r="AI83" s="18">
        <f>IFERROR(VLOOKUP($A83,'[1]OB Atendidas por Donantes'!A:N,9,0),0)</f>
        <v>0</v>
      </c>
      <c r="AJ83" s="18">
        <f>ROUNDUP(IF(A83=0,0,IFERROR(VLOOKUP($A83,'[1]Kilos Asignado del Donante'!A:N,12,0),0)),0)</f>
        <v>0</v>
      </c>
      <c r="AK83" s="18">
        <f>IF(A83=0,0,IFERROR(SUMIFS([1]Poblacion!V:V,[1]Poblacion!J:J,'MASTER-2025'!A83),0))</f>
        <v>0</v>
      </c>
      <c r="AL83" s="19">
        <f>IFERROR(VLOOKUP($A83,'[1]OB Atendidas por Donantes'!A:N,16,0),0)</f>
        <v>0</v>
      </c>
      <c r="AM83" s="19">
        <f>ROUNDUP(IF(A83=0,0,IFERROR(VLOOKUP($A83,'[1]Kilos Asignado del Donante'!A:O,16,0),0)),0)</f>
        <v>0</v>
      </c>
      <c r="AN83" s="19">
        <f>IF(A83=0,0,IFERROR(SUMIFS([1]Poblacion!Z:Z,[1]Poblacion!J:J,'MASTER-2025'!A83),0))</f>
        <v>0</v>
      </c>
      <c r="AO83" s="20">
        <f>IFERROR(VLOOKUP($A83,'[1]OB Atendidas por Donantes'!A:N,11,0),0)</f>
        <v>0</v>
      </c>
      <c r="AP83" s="20">
        <f>ROUNDUP(IF(A83=0,0,IFERROR(VLOOKUP($A83,'[1]Kilos Asignado del Donante'!A:N,13,0),0)),0)</f>
        <v>0</v>
      </c>
      <c r="AQ83" s="20">
        <f>IF(A83=0,0,IFERROR(SUMIFS([1]Poblacion!W:W,[1]Poblacion!J:J,'MASTER-2025'!A83),0))</f>
        <v>0</v>
      </c>
      <c r="AR83" s="18">
        <f>IFERROR(VLOOKUP($A83,'[1]OB Atendidas por Donantes'!A:N,5,0),0)</f>
        <v>0</v>
      </c>
      <c r="AS83" s="18">
        <f>ROUNDUP(IF(A83=0,0,IFERROR(VLOOKUP($A83,'[1]Kilos Asignado del Donante'!A:N,10,0),0)),0)</f>
        <v>0</v>
      </c>
      <c r="AT83" s="18">
        <f>IF(A83=0,0,IFERROR(SUMIFS([1]Poblacion!T:T,[1]Poblacion!J:J,'MASTER-2025'!A83),0))</f>
        <v>0</v>
      </c>
      <c r="AU83" s="19">
        <f>IFERROR(VLOOKUP($A83,'[1]OB Atendidas por Donantes'!A:N,13,0),0)</f>
        <v>0</v>
      </c>
      <c r="AV83" s="19">
        <f>ROUNDUP(IF(A83=0,0,IFERROR(VLOOKUP($A83,'[1]Kilos Asignado del Donante'!A:N,14,0),0)),0)</f>
        <v>0</v>
      </c>
      <c r="AW83" s="19">
        <f>IF(A83=0,0,IFERROR(SUMIFS([1]Poblacion!X:X,[1]Poblacion!J:J,'MASTER-2025'!A83),0))</f>
        <v>0</v>
      </c>
      <c r="AX83" s="20">
        <f>IFERROR(VLOOKUP($A83,'[1]OB Atendidas por Donantes'!A:N,16,0),0)</f>
        <v>0</v>
      </c>
      <c r="AY83" s="20">
        <f>ROUNDUP(IF(A83=0,0,IFERROR(VLOOKUP($A83,'[1]Kilos Asignado del Donante'!A:O,16,0),0)),0)</f>
        <v>0</v>
      </c>
      <c r="AZ83" s="20">
        <f>IF(A83=0,0,IFERROR(SUMIFS([1]Poblacion!Y:Y,[1]Poblacion!J:J,'MASTER-2025'!A83),0))</f>
        <v>0</v>
      </c>
      <c r="BA83" s="21">
        <f t="shared" si="34"/>
        <v>0</v>
      </c>
      <c r="BB83" s="21">
        <f t="shared" si="29"/>
        <v>0</v>
      </c>
      <c r="BC83" s="21">
        <f t="shared" si="39"/>
        <v>0</v>
      </c>
      <c r="BD83" s="21">
        <f t="shared" si="26"/>
        <v>0</v>
      </c>
      <c r="BE83" s="22" t="e">
        <f>IF(A83=0,0,SUMIFS([1]Poblacion!C:C,[1]Poblacion!A:A,'MASTER-2025'!A83))</f>
        <v>#VALUE!</v>
      </c>
      <c r="BF83" s="22" t="e">
        <f>IF(A83=0,0,SUMIFS([1]Poblacion!D:D,[1]Poblacion!A:A,'MASTER-2025'!A83))</f>
        <v>#VALUE!</v>
      </c>
      <c r="BG83" s="22" t="e">
        <f>IF(A83=0,0,SUMIFS([1]Poblacion!E:E,[1]Poblacion!A:A,'MASTER-2025'!A83))</f>
        <v>#VALUE!</v>
      </c>
      <c r="BH83" s="22" t="e">
        <f>IF(A83=0,0,SUMIFS([1]Poblacion!F:F,[1]Poblacion!A:A,'MASTER-2025'!A83))</f>
        <v>#VALUE!</v>
      </c>
      <c r="BI83" s="22" t="e">
        <f t="shared" si="35"/>
        <v>#VALUE!</v>
      </c>
      <c r="BJ83" s="23" t="e">
        <f t="shared" si="30"/>
        <v>#VALUE!</v>
      </c>
      <c r="BK83" s="22" t="e">
        <f>IF(A83=0,0,SUMIFS([1]Poblacion!G:G,[1]Poblacion!A:A,'MASTER-2025'!A83))</f>
        <v>#VALUE!</v>
      </c>
      <c r="BL83" s="24" cm="1">
        <f t="array" ref="BL83:BW83">IFERROR(VLOOKUP(A83,'[1]Acum-OB-kg-pob-25'!A:AQ,{3,4,5,6,7,8,9,10,11,12,13,14},0),0)</f>
        <v>0</v>
      </c>
      <c r="BM83" s="24">
        <v>0</v>
      </c>
      <c r="BN83" s="24">
        <v>0</v>
      </c>
      <c r="BO83" s="24">
        <v>0</v>
      </c>
      <c r="BP83" s="24">
        <v>0</v>
      </c>
      <c r="BQ83" s="24">
        <v>0</v>
      </c>
      <c r="BR83" s="24">
        <v>0</v>
      </c>
      <c r="BS83" s="24">
        <v>0</v>
      </c>
      <c r="BT83" s="24">
        <v>0</v>
      </c>
      <c r="BU83" s="24">
        <v>0</v>
      </c>
      <c r="BV83" s="24">
        <v>0</v>
      </c>
      <c r="BW83" s="24">
        <v>0</v>
      </c>
      <c r="BX83" s="24">
        <f t="shared" si="31"/>
        <v>0</v>
      </c>
      <c r="BY83" s="25" cm="1">
        <f t="array" ref="BY83:CJ83">IFERROR(VLOOKUP(A83,'[1]Acum-OB-kg-pob-25'!A:AQ,{17,18,19,20,21,22,23,24,25,26,27,28},0),0)</f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 s="25">
        <v>0</v>
      </c>
      <c r="CI83" s="25">
        <v>0</v>
      </c>
      <c r="CJ83" s="25">
        <v>0</v>
      </c>
      <c r="CK83" s="25">
        <f t="shared" si="32"/>
        <v>0</v>
      </c>
      <c r="CL83" s="26" cm="1">
        <f t="array" ref="CL83:CW83">IFERROR(VLOOKUP(A83,'[1]Acum-OB-kg-pob-25'!A:AQ,{31,32,33,34,35,36,37,38,39,40,41,42},0),0)</f>
        <v>0</v>
      </c>
      <c r="CM83" s="26">
        <v>0</v>
      </c>
      <c r="CN83" s="26">
        <v>0</v>
      </c>
      <c r="CO83" s="26">
        <v>0</v>
      </c>
      <c r="CP83" s="26">
        <v>0</v>
      </c>
      <c r="CQ83" s="26">
        <v>0</v>
      </c>
      <c r="CR83" s="26">
        <v>0</v>
      </c>
      <c r="CS83" s="26">
        <v>0</v>
      </c>
      <c r="CT83" s="26">
        <v>0</v>
      </c>
      <c r="CU83" s="26">
        <v>0</v>
      </c>
      <c r="CV83" s="26">
        <v>0</v>
      </c>
      <c r="CW83" s="26">
        <v>0</v>
      </c>
      <c r="CX83" s="26">
        <f t="shared" si="33"/>
        <v>0</v>
      </c>
      <c r="CY83" s="14" t="str">
        <f>IF(A83=0,0,IFERROR(VLOOKUP(A83,'[1]Info Donantes'!C:F,2,0),"Sin Contacto"))</f>
        <v>Isis Pineda de Chiari</v>
      </c>
      <c r="CZ83" s="14" t="str">
        <f>IF(A83=0,0,IFERROR(VLOOKUP(A83,'[1]Info Donantes'!C:F,3,0),"Sin Correo"))</f>
        <v>ventas@gourmetimportspty.com</v>
      </c>
      <c r="DA83" s="14" t="str">
        <f>IF(A83=0,0,IFERROR(VLOOKUP(A83,'[1]Info Donantes'!C:F,4,0),"Sin Telefono"))</f>
        <v>392-5304 / 6615-2158</v>
      </c>
      <c r="DB83" s="14" t="str">
        <f>IF(A83=0,0,"Reporte de Trazabiidad"&amp;" - "&amp;'[1]Resumen Donantes'!$C$2&amp;" - "&amp;A83&amp;"")</f>
        <v>Reporte de Trazabiidad -  - GOURMET IMPORTS, S.A.</v>
      </c>
    </row>
    <row r="84" spans="1:106" x14ac:dyDescent="0.55000000000000004">
      <c r="A84" s="31" t="s">
        <v>188</v>
      </c>
      <c r="B84" s="15">
        <f>INT(IFERROR(VLOOKUP(A84,'[1]Resumen Donantes'!C:F,3,0),0))</f>
        <v>0</v>
      </c>
      <c r="C84" s="15">
        <f>INT(ROUND(IFERROR(VLOOKUP(A84,'[1]Resumen Donantes'!C:F,4,0),0),1))</f>
        <v>0</v>
      </c>
      <c r="D84" s="16">
        <f t="shared" si="36"/>
        <v>0</v>
      </c>
      <c r="E84" s="17" t="str">
        <f t="shared" si="37"/>
        <v>0.00%</v>
      </c>
      <c r="F84" s="17" t="str">
        <f t="shared" si="38"/>
        <v>0.0%</v>
      </c>
      <c r="G84" s="15">
        <f t="shared" si="25"/>
        <v>0</v>
      </c>
      <c r="H84" s="18"/>
      <c r="I84" s="18">
        <f>IFERROR(VLOOKUP(A84,'[1]Lot All by Part'!T:Y,6,0),0)</f>
        <v>0</v>
      </c>
      <c r="J84" s="18"/>
      <c r="K84" s="19">
        <f>IFERROR(VLOOKUP($A84,'[1]OB Atendidas por Donantes'!A:N,3,0),0)</f>
        <v>0</v>
      </c>
      <c r="L84" s="19">
        <f>ROUNDUP(IF(A84=0,0,IFERROR(VLOOKUP($A84,'[1]Kilos Asignado del Donante'!A:O,3,0),0)),0)</f>
        <v>0</v>
      </c>
      <c r="M84" s="19">
        <f>IF(A84=0,0,IFERROR(SUMIFS([1]Poblacion!M:M,[1]Poblacion!J:J,'MASTER-2025'!A84),0))</f>
        <v>0</v>
      </c>
      <c r="N84" s="20">
        <f>IFERROR(VLOOKUP($A84,'[1]OB Atendidas por Donantes'!A:N,4,0),0)</f>
        <v>0</v>
      </c>
      <c r="O84" s="20">
        <f>ROUNDUP(IF(A84=0,0,IFERROR(VLOOKUP($A84,'[1]Kilos Asignado del Donante'!A:O,4,0),0)),0)</f>
        <v>0</v>
      </c>
      <c r="P84" s="20">
        <f>IF(A84=0,0,IFERROR(SUMIFS([1]Poblacion!N:N,[1]Poblacion!J:J,'MASTER-2025'!A84),0))</f>
        <v>0</v>
      </c>
      <c r="Q84" s="18">
        <f>IFERROR(VLOOKUP($A84,'[1]OB Atendidas por Donantes'!A:N,2,0),0)</f>
        <v>0</v>
      </c>
      <c r="R84" s="18">
        <f>ROUNDUP(ROUND(IF(A84=0,0,IFERROR(VLOOKUP($A84,'[1]Kilos Asignado del Donante'!A:O,9,0),0)),1),0)</f>
        <v>0</v>
      </c>
      <c r="S84" s="18">
        <f>IF(A84=0,0,IFERROR(SUMIFS([1]Poblacion!S:S,[1]Poblacion!J:J,'MASTER-2025'!A84),0))</f>
        <v>0</v>
      </c>
      <c r="T84" s="19">
        <f>IFERROR(VLOOKUP($A84,'[1]OB Atendidas por Donantes'!A:N,12,0),0)</f>
        <v>0</v>
      </c>
      <c r="U84" s="19">
        <f>ROUNDUP(IF(A84=0,0,IF(A84=0,0,IFERROR(VLOOKUP($A84,'[1]Kilos Asignado del Donante'!A:O,7,0),0))),0)</f>
        <v>0</v>
      </c>
      <c r="V84" s="19">
        <f>IF(A84=0,0,IFERROR(SUMIFS([1]Poblacion!Q:Q,[1]Poblacion!J:J,'MASTER-2025'!A84),0))</f>
        <v>0</v>
      </c>
      <c r="W84" s="20">
        <f>IFERROR(VLOOKUP($A84,'[1]OB Atendidas por Donantes'!A:N,10,0),0)</f>
        <v>0</v>
      </c>
      <c r="X84" s="20">
        <f>ROUNDUP(IF(A84=0,0,IFERROR(VLOOKUP($A84,'[1]Kilos Asignado del Donante'!A:N,5,0),0)),0)</f>
        <v>0</v>
      </c>
      <c r="Y84" s="20">
        <f>IF(A84=0,0,IFERROR(SUMIFS([1]Poblacion!O:O,[1]Poblacion!J:J,'MASTER-2025'!A84),0))</f>
        <v>0</v>
      </c>
      <c r="Z84" s="18">
        <f>IFERROR(VLOOKUP($A84,'[1]OB Atendidas por Donantes'!A:N,6,0),0)</f>
        <v>0</v>
      </c>
      <c r="AA84" s="18">
        <f>ROUNDUP(IF(A84=0,0,IFERROR(VLOOKUP($A84,'[1]Kilos Asignado del Donante'!A:N,11,0),0)),0)</f>
        <v>0</v>
      </c>
      <c r="AB84" s="18">
        <f>IF(A84=0,0,IFERROR(SUMIFS([1]Poblacion!U:U,[1]Poblacion!J:J,'MASTER-2025'!A84),0))</f>
        <v>0</v>
      </c>
      <c r="AC84" s="19">
        <f>IFERROR(VLOOKUP($A84,'[1]OB Atendidas por Donantes'!A:N,7,0),0)</f>
        <v>0</v>
      </c>
      <c r="AD84" s="19">
        <f>ROUNDUP(IF(A84=0,0,IFERROR(VLOOKUP($A84,'[1]Kilos Asignado del Donante'!A:N,8,0),0)),0)</f>
        <v>0</v>
      </c>
      <c r="AE84" s="19">
        <f>IF(A84=0,0,IFERROR(SUMIFS([1]Poblacion!R:R,[1]Poblacion!J:J,'MASTER-2025'!A84),0))</f>
        <v>0</v>
      </c>
      <c r="AF84" s="20">
        <f>IFERROR(VLOOKUP($A84,'[1]OB Atendidas por Donantes'!A:N,8,0),0)</f>
        <v>0</v>
      </c>
      <c r="AG84" s="20">
        <f>ROUNDUP(IF(A84=0,0,IFERROR(VLOOKUP($A84,'[1]Kilos Asignado del Donante'!A:N,6,0),0)),0)</f>
        <v>0</v>
      </c>
      <c r="AH84" s="20">
        <f>IF(A84=0,0,IFERROR(SUMIFS([1]Poblacion!P:P,[1]Poblacion!J:J,'MASTER-2025'!A84),0))</f>
        <v>0</v>
      </c>
      <c r="AI84" s="18">
        <f>IFERROR(VLOOKUP($A84,'[1]OB Atendidas por Donantes'!A:N,9,0),0)</f>
        <v>0</v>
      </c>
      <c r="AJ84" s="18">
        <f>ROUNDUP(IF(A84=0,0,IFERROR(VLOOKUP($A84,'[1]Kilos Asignado del Donante'!A:N,12,0),0)),0)</f>
        <v>0</v>
      </c>
      <c r="AK84" s="18">
        <f>IF(A84=0,0,IFERROR(SUMIFS([1]Poblacion!V:V,[1]Poblacion!J:J,'MASTER-2025'!A84),0))</f>
        <v>0</v>
      </c>
      <c r="AL84" s="19">
        <f>IFERROR(VLOOKUP($A84,'[1]OB Atendidas por Donantes'!A:N,16,0),0)</f>
        <v>0</v>
      </c>
      <c r="AM84" s="19">
        <f>ROUNDUP(IF(A84=0,0,IFERROR(VLOOKUP($A84,'[1]Kilos Asignado del Donante'!A:O,16,0),0)),0)</f>
        <v>0</v>
      </c>
      <c r="AN84" s="19">
        <f>IF(A84=0,0,IFERROR(SUMIFS([1]Poblacion!Z:Z,[1]Poblacion!J:J,'MASTER-2025'!A84),0))</f>
        <v>0</v>
      </c>
      <c r="AO84" s="20">
        <f>IFERROR(VLOOKUP($A84,'[1]OB Atendidas por Donantes'!A:N,11,0),0)</f>
        <v>0</v>
      </c>
      <c r="AP84" s="20">
        <f>ROUNDUP(IF(A84=0,0,IFERROR(VLOOKUP($A84,'[1]Kilos Asignado del Donante'!A:N,13,0),0)),0)</f>
        <v>0</v>
      </c>
      <c r="AQ84" s="20">
        <f>IF(A84=0,0,IFERROR(SUMIFS([1]Poblacion!W:W,[1]Poblacion!J:J,'MASTER-2025'!A84),0))</f>
        <v>0</v>
      </c>
      <c r="AR84" s="18">
        <f>IFERROR(VLOOKUP($A84,'[1]OB Atendidas por Donantes'!A:N,5,0),0)</f>
        <v>0</v>
      </c>
      <c r="AS84" s="18">
        <f>ROUNDUP(IF(A84=0,0,IFERROR(VLOOKUP($A84,'[1]Kilos Asignado del Donante'!A:N,10,0),0)),0)</f>
        <v>0</v>
      </c>
      <c r="AT84" s="18">
        <f>IF(A84=0,0,IFERROR(SUMIFS([1]Poblacion!T:T,[1]Poblacion!J:J,'MASTER-2025'!A84),0))</f>
        <v>0</v>
      </c>
      <c r="AU84" s="19">
        <f>IFERROR(VLOOKUP($A84,'[1]OB Atendidas por Donantes'!A:N,13,0),0)</f>
        <v>0</v>
      </c>
      <c r="AV84" s="19">
        <f>ROUNDUP(IF(A84=0,0,IFERROR(VLOOKUP($A84,'[1]Kilos Asignado del Donante'!A:N,14,0),0)),0)</f>
        <v>0</v>
      </c>
      <c r="AW84" s="19">
        <f>IF(A84=0,0,IFERROR(SUMIFS([1]Poblacion!X:X,[1]Poblacion!J:J,'MASTER-2025'!A84),0))</f>
        <v>0</v>
      </c>
      <c r="AX84" s="20">
        <f>IFERROR(VLOOKUP($A84,'[1]OB Atendidas por Donantes'!A:N,16,0),0)</f>
        <v>0</v>
      </c>
      <c r="AY84" s="20">
        <f>ROUNDUP(IF(A84=0,0,IFERROR(VLOOKUP($A84,'[1]Kilos Asignado del Donante'!A:O,16,0),0)),0)</f>
        <v>0</v>
      </c>
      <c r="AZ84" s="20">
        <f>IF(A84=0,0,IFERROR(SUMIFS([1]Poblacion!Y:Y,[1]Poblacion!J:J,'MASTER-2025'!A84),0))</f>
        <v>0</v>
      </c>
      <c r="BA84" s="21">
        <f t="shared" si="34"/>
        <v>0</v>
      </c>
      <c r="BB84" s="21">
        <f t="shared" si="29"/>
        <v>0</v>
      </c>
      <c r="BC84" s="21">
        <f t="shared" si="39"/>
        <v>0</v>
      </c>
      <c r="BD84" s="21">
        <f t="shared" si="26"/>
        <v>0</v>
      </c>
      <c r="BE84" s="22" t="e">
        <f>IF(A84=0,0,SUMIFS([1]Poblacion!C:C,[1]Poblacion!A:A,'MASTER-2025'!A84))</f>
        <v>#VALUE!</v>
      </c>
      <c r="BF84" s="22" t="e">
        <f>IF(A84=0,0,SUMIFS([1]Poblacion!D:D,[1]Poblacion!A:A,'MASTER-2025'!A84))</f>
        <v>#VALUE!</v>
      </c>
      <c r="BG84" s="22" t="e">
        <f>IF(A84=0,0,SUMIFS([1]Poblacion!E:E,[1]Poblacion!A:A,'MASTER-2025'!A84))</f>
        <v>#VALUE!</v>
      </c>
      <c r="BH84" s="22" t="e">
        <f>IF(A84=0,0,SUMIFS([1]Poblacion!F:F,[1]Poblacion!A:A,'MASTER-2025'!A84))</f>
        <v>#VALUE!</v>
      </c>
      <c r="BI84" s="22" t="e">
        <f t="shared" si="35"/>
        <v>#VALUE!</v>
      </c>
      <c r="BJ84" s="23" t="e">
        <f t="shared" si="30"/>
        <v>#VALUE!</v>
      </c>
      <c r="BK84" s="22" t="e">
        <f>IF(A84=0,0,SUMIFS([1]Poblacion!G:G,[1]Poblacion!A:A,'MASTER-2025'!A84))</f>
        <v>#VALUE!</v>
      </c>
      <c r="BL84" s="24" cm="1">
        <f t="array" ref="BL84:BW84">IFERROR(VLOOKUP(A84,'[1]Acum-OB-kg-pob-25'!A:AQ,{3,4,5,6,7,8,9,10,11,12,13,14},0),0)</f>
        <v>0</v>
      </c>
      <c r="BM84" s="24">
        <v>0</v>
      </c>
      <c r="BN84" s="24">
        <v>0</v>
      </c>
      <c r="BO84" s="24">
        <v>0</v>
      </c>
      <c r="BP84" s="24">
        <v>0</v>
      </c>
      <c r="BQ84" s="24">
        <v>0</v>
      </c>
      <c r="BR84" s="24">
        <v>0</v>
      </c>
      <c r="BS84" s="24">
        <v>0</v>
      </c>
      <c r="BT84" s="24">
        <v>0</v>
      </c>
      <c r="BU84" s="24">
        <v>0</v>
      </c>
      <c r="BV84" s="24">
        <v>0</v>
      </c>
      <c r="BW84" s="24">
        <v>0</v>
      </c>
      <c r="BX84" s="24">
        <f t="shared" si="31"/>
        <v>0</v>
      </c>
      <c r="BY84" s="25" cm="1">
        <f t="array" ref="BY84:CJ84">IFERROR(VLOOKUP(A84,'[1]Acum-OB-kg-pob-25'!A:AQ,{17,18,19,20,21,22,23,24,25,26,27,28},0),0)</f>
        <v>0</v>
      </c>
      <c r="BZ84" s="25">
        <v>0</v>
      </c>
      <c r="CA84" s="25">
        <v>0</v>
      </c>
      <c r="CB84" s="25">
        <v>0</v>
      </c>
      <c r="CC84" s="25">
        <v>0</v>
      </c>
      <c r="CD84" s="25">
        <v>0</v>
      </c>
      <c r="CE84" s="25">
        <v>0</v>
      </c>
      <c r="CF84" s="25">
        <v>0</v>
      </c>
      <c r="CG84" s="25">
        <v>0</v>
      </c>
      <c r="CH84" s="25">
        <v>0</v>
      </c>
      <c r="CI84" s="25">
        <v>0</v>
      </c>
      <c r="CJ84" s="25">
        <v>0</v>
      </c>
      <c r="CK84" s="25">
        <f t="shared" si="32"/>
        <v>0</v>
      </c>
      <c r="CL84" s="26" cm="1">
        <f t="array" ref="CL84:CW84">IFERROR(VLOOKUP(A84,'[1]Acum-OB-kg-pob-25'!A:AQ,{31,32,33,34,35,36,37,38,39,40,41,42},0),0)</f>
        <v>0</v>
      </c>
      <c r="CM84" s="26">
        <v>0</v>
      </c>
      <c r="CN84" s="26">
        <v>0</v>
      </c>
      <c r="CO84" s="26">
        <v>0</v>
      </c>
      <c r="CP84" s="26">
        <v>0</v>
      </c>
      <c r="CQ84" s="26">
        <v>0</v>
      </c>
      <c r="CR84" s="26">
        <v>0</v>
      </c>
      <c r="CS84" s="26">
        <v>0</v>
      </c>
      <c r="CT84" s="26">
        <v>0</v>
      </c>
      <c r="CU84" s="26">
        <v>0</v>
      </c>
      <c r="CV84" s="26">
        <v>0</v>
      </c>
      <c r="CW84" s="26">
        <v>0</v>
      </c>
      <c r="CX84" s="26">
        <f t="shared" si="33"/>
        <v>0</v>
      </c>
      <c r="CY84" s="14" t="str">
        <f>IF(A84=0,0,IFERROR(VLOOKUP(A84,'[1]Info Donantes'!C:F,2,0),"Sin Contacto"))</f>
        <v>Sin Contacto</v>
      </c>
      <c r="CZ84" s="14" t="str">
        <f>IF(A84=0,0,IFERROR(VLOOKUP(A84,'[1]Info Donantes'!C:F,3,0),"Sin Correo"))</f>
        <v>Sin Correo</v>
      </c>
      <c r="DA84" s="14" t="str">
        <f>IF(A84=0,0,IFERROR(VLOOKUP(A84,'[1]Info Donantes'!C:F,4,0),"Sin Telefono"))</f>
        <v>Sin Telefono</v>
      </c>
      <c r="DB84" s="14" t="str">
        <f>IF(A84=0,0,"Reporte de Trazabiidad"&amp;" - "&amp;'[1]Resumen Donantes'!$C$2&amp;" - "&amp;A84&amp;"")</f>
        <v>Reporte de Trazabiidad -  - PANAMA CONVENTION CENTER</v>
      </c>
    </row>
    <row r="85" spans="1:106" x14ac:dyDescent="0.55000000000000004">
      <c r="A85" s="31" t="s">
        <v>189</v>
      </c>
      <c r="B85" s="15">
        <f>INT(IFERROR(VLOOKUP(A85,'[1]Resumen Donantes'!C:F,3,0),0))</f>
        <v>0</v>
      </c>
      <c r="C85" s="15">
        <f>INT(ROUND(IFERROR(VLOOKUP(A85,'[1]Resumen Donantes'!C:F,4,0),0),1))</f>
        <v>0</v>
      </c>
      <c r="D85" s="16">
        <f t="shared" si="36"/>
        <v>0</v>
      </c>
      <c r="E85" s="17" t="str">
        <f t="shared" si="37"/>
        <v>0.00%</v>
      </c>
      <c r="F85" s="17" t="str">
        <f t="shared" si="38"/>
        <v>0.0%</v>
      </c>
      <c r="G85" s="15">
        <f t="shared" si="25"/>
        <v>0</v>
      </c>
      <c r="H85" s="18"/>
      <c r="I85" s="18">
        <f>IFERROR(VLOOKUP(A85,'[1]Lot All by Part'!T:Y,6,0),0)</f>
        <v>0</v>
      </c>
      <c r="J85" s="18"/>
      <c r="K85" s="19">
        <f>IFERROR(VLOOKUP($A85,'[1]OB Atendidas por Donantes'!A:N,3,0),0)</f>
        <v>0</v>
      </c>
      <c r="L85" s="19">
        <f>ROUNDUP(IF(A85=0,0,IFERROR(VLOOKUP($A85,'[1]Kilos Asignado del Donante'!A:O,3,0),0)),0)</f>
        <v>0</v>
      </c>
      <c r="M85" s="19">
        <f>IF(A85=0,0,IFERROR(SUMIFS([1]Poblacion!M:M,[1]Poblacion!J:J,'MASTER-2025'!A85),0))</f>
        <v>0</v>
      </c>
      <c r="N85" s="20">
        <f>IFERROR(VLOOKUP($A85,'[1]OB Atendidas por Donantes'!A:N,4,0),0)</f>
        <v>0</v>
      </c>
      <c r="O85" s="20">
        <f>ROUNDUP(IF(A85=0,0,IFERROR(VLOOKUP($A85,'[1]Kilos Asignado del Donante'!A:O,4,0),0)),0)</f>
        <v>0</v>
      </c>
      <c r="P85" s="20">
        <f>IF(A85=0,0,IFERROR(SUMIFS([1]Poblacion!N:N,[1]Poblacion!J:J,'MASTER-2025'!A85),0))</f>
        <v>0</v>
      </c>
      <c r="Q85" s="18">
        <f>IFERROR(VLOOKUP($A85,'[1]OB Atendidas por Donantes'!A:N,2,0),0)</f>
        <v>0</v>
      </c>
      <c r="R85" s="18">
        <f>ROUNDUP(ROUND(IF(A85=0,0,IFERROR(VLOOKUP($A85,'[1]Kilos Asignado del Donante'!A:O,9,0),0)),1),0)</f>
        <v>0</v>
      </c>
      <c r="S85" s="18">
        <f>IF(A85=0,0,IFERROR(SUMIFS([1]Poblacion!S:S,[1]Poblacion!J:J,'MASTER-2025'!A85),0))</f>
        <v>0</v>
      </c>
      <c r="T85" s="19">
        <f>IFERROR(VLOOKUP($A85,'[1]OB Atendidas por Donantes'!A:N,12,0),0)</f>
        <v>0</v>
      </c>
      <c r="U85" s="19">
        <f>ROUNDUP(IF(A85=0,0,IF(A85=0,0,IFERROR(VLOOKUP($A85,'[1]Kilos Asignado del Donante'!A:O,7,0),0))),0)</f>
        <v>0</v>
      </c>
      <c r="V85" s="19">
        <f>IF(A85=0,0,IFERROR(SUMIFS([1]Poblacion!Q:Q,[1]Poblacion!J:J,'MASTER-2025'!A85),0))</f>
        <v>0</v>
      </c>
      <c r="W85" s="20">
        <f>IFERROR(VLOOKUP($A85,'[1]OB Atendidas por Donantes'!A:N,10,0),0)</f>
        <v>0</v>
      </c>
      <c r="X85" s="20">
        <f>ROUNDUP(IF(A85=0,0,IFERROR(VLOOKUP($A85,'[1]Kilos Asignado del Donante'!A:N,5,0),0)),0)</f>
        <v>0</v>
      </c>
      <c r="Y85" s="20">
        <f>IF(A85=0,0,IFERROR(SUMIFS([1]Poblacion!O:O,[1]Poblacion!J:J,'MASTER-2025'!A85),0))</f>
        <v>0</v>
      </c>
      <c r="Z85" s="18">
        <f>IFERROR(VLOOKUP($A85,'[1]OB Atendidas por Donantes'!A:N,6,0),0)</f>
        <v>0</v>
      </c>
      <c r="AA85" s="18">
        <f>ROUNDUP(IF(A85=0,0,IFERROR(VLOOKUP($A85,'[1]Kilos Asignado del Donante'!A:N,11,0),0)),0)</f>
        <v>0</v>
      </c>
      <c r="AB85" s="18">
        <f>IF(A85=0,0,IFERROR(SUMIFS([1]Poblacion!U:U,[1]Poblacion!J:J,'MASTER-2025'!A85),0))</f>
        <v>0</v>
      </c>
      <c r="AC85" s="19">
        <f>IFERROR(VLOOKUP($A85,'[1]OB Atendidas por Donantes'!A:N,7,0),0)</f>
        <v>0</v>
      </c>
      <c r="AD85" s="19">
        <f>ROUNDUP(IF(A85=0,0,IFERROR(VLOOKUP($A85,'[1]Kilos Asignado del Donante'!A:N,8,0),0)),0)</f>
        <v>0</v>
      </c>
      <c r="AE85" s="19">
        <f>IF(A85=0,0,IFERROR(SUMIFS([1]Poblacion!R:R,[1]Poblacion!J:J,'MASTER-2025'!A85),0))</f>
        <v>0</v>
      </c>
      <c r="AF85" s="20">
        <f>IFERROR(VLOOKUP($A85,'[1]OB Atendidas por Donantes'!A:N,8,0),0)</f>
        <v>0</v>
      </c>
      <c r="AG85" s="20">
        <f>ROUNDUP(IF(A85=0,0,IFERROR(VLOOKUP($A85,'[1]Kilos Asignado del Donante'!A:N,6,0),0)),0)</f>
        <v>0</v>
      </c>
      <c r="AH85" s="20">
        <f>IF(A85=0,0,IFERROR(SUMIFS([1]Poblacion!P:P,[1]Poblacion!J:J,'MASTER-2025'!A85),0))</f>
        <v>0</v>
      </c>
      <c r="AI85" s="18">
        <f>IFERROR(VLOOKUP($A85,'[1]OB Atendidas por Donantes'!A:N,9,0),0)</f>
        <v>0</v>
      </c>
      <c r="AJ85" s="18">
        <f>ROUNDUP(IF(A85=0,0,IFERROR(VLOOKUP($A85,'[1]Kilos Asignado del Donante'!A:N,12,0),0)),0)</f>
        <v>0</v>
      </c>
      <c r="AK85" s="18">
        <f>IF(A85=0,0,IFERROR(SUMIFS([1]Poblacion!V:V,[1]Poblacion!J:J,'MASTER-2025'!A85),0))</f>
        <v>0</v>
      </c>
      <c r="AL85" s="19">
        <f>IFERROR(VLOOKUP($A85,'[1]OB Atendidas por Donantes'!A:N,16,0),0)</f>
        <v>0</v>
      </c>
      <c r="AM85" s="19">
        <f>ROUNDUP(IF(A85=0,0,IFERROR(VLOOKUP($A85,'[1]Kilos Asignado del Donante'!A:O,16,0),0)),0)</f>
        <v>0</v>
      </c>
      <c r="AN85" s="19">
        <f>IF(A85=0,0,IFERROR(SUMIFS([1]Poblacion!Z:Z,[1]Poblacion!J:J,'MASTER-2025'!A85),0))</f>
        <v>0</v>
      </c>
      <c r="AO85" s="20">
        <f>IFERROR(VLOOKUP($A85,'[1]OB Atendidas por Donantes'!A:N,11,0),0)</f>
        <v>0</v>
      </c>
      <c r="AP85" s="20">
        <f>ROUNDUP(IF(A85=0,0,IFERROR(VLOOKUP($A85,'[1]Kilos Asignado del Donante'!A:N,13,0),0)),0)</f>
        <v>0</v>
      </c>
      <c r="AQ85" s="20">
        <f>IF(A85=0,0,IFERROR(SUMIFS([1]Poblacion!W:W,[1]Poblacion!J:J,'MASTER-2025'!A85),0))</f>
        <v>0</v>
      </c>
      <c r="AR85" s="18">
        <f>IFERROR(VLOOKUP($A85,'[1]OB Atendidas por Donantes'!A:N,5,0),0)</f>
        <v>0</v>
      </c>
      <c r="AS85" s="18">
        <f>ROUNDUP(IF(A85=0,0,IFERROR(VLOOKUP($A85,'[1]Kilos Asignado del Donante'!A:N,10,0),0)),0)</f>
        <v>0</v>
      </c>
      <c r="AT85" s="18">
        <f>IF(A85=0,0,IFERROR(SUMIFS([1]Poblacion!T:T,[1]Poblacion!J:J,'MASTER-2025'!A85),0))</f>
        <v>0</v>
      </c>
      <c r="AU85" s="19">
        <f>IFERROR(VLOOKUP($A85,'[1]OB Atendidas por Donantes'!A:N,13,0),0)</f>
        <v>0</v>
      </c>
      <c r="AV85" s="19">
        <f>ROUNDUP(IF(A85=0,0,IFERROR(VLOOKUP($A85,'[1]Kilos Asignado del Donante'!A:N,14,0),0)),0)</f>
        <v>0</v>
      </c>
      <c r="AW85" s="19">
        <f>IF(A85=0,0,IFERROR(SUMIFS([1]Poblacion!X:X,[1]Poblacion!J:J,'MASTER-2025'!A85),0))</f>
        <v>0</v>
      </c>
      <c r="AX85" s="20">
        <f>IFERROR(VLOOKUP($A85,'[1]OB Atendidas por Donantes'!A:N,16,0),0)</f>
        <v>0</v>
      </c>
      <c r="AY85" s="20">
        <f>ROUNDUP(IF(A85=0,0,IFERROR(VLOOKUP($A85,'[1]Kilos Asignado del Donante'!A:O,16,0),0)),0)</f>
        <v>0</v>
      </c>
      <c r="AZ85" s="20">
        <f>IF(A85=0,0,IFERROR(SUMIFS([1]Poblacion!Y:Y,[1]Poblacion!J:J,'MASTER-2025'!A85),0))</f>
        <v>0</v>
      </c>
      <c r="BA85" s="21">
        <f t="shared" si="34"/>
        <v>0</v>
      </c>
      <c r="BB85" s="21">
        <f t="shared" si="29"/>
        <v>0</v>
      </c>
      <c r="BC85" s="21">
        <f t="shared" si="39"/>
        <v>0</v>
      </c>
      <c r="BD85" s="21">
        <f t="shared" si="26"/>
        <v>0</v>
      </c>
      <c r="BE85" s="22" t="e">
        <f>IF(A85=0,0,SUMIFS([1]Poblacion!C:C,[1]Poblacion!A:A,'MASTER-2025'!A85))</f>
        <v>#VALUE!</v>
      </c>
      <c r="BF85" s="22" t="e">
        <f>IF(A85=0,0,SUMIFS([1]Poblacion!D:D,[1]Poblacion!A:A,'MASTER-2025'!A85))</f>
        <v>#VALUE!</v>
      </c>
      <c r="BG85" s="22" t="e">
        <f>IF(A85=0,0,SUMIFS([1]Poblacion!E:E,[1]Poblacion!A:A,'MASTER-2025'!A85))</f>
        <v>#VALUE!</v>
      </c>
      <c r="BH85" s="22" t="e">
        <f>IF(A85=0,0,SUMIFS([1]Poblacion!F:F,[1]Poblacion!A:A,'MASTER-2025'!A85))</f>
        <v>#VALUE!</v>
      </c>
      <c r="BI85" s="22" t="e">
        <f t="shared" si="35"/>
        <v>#VALUE!</v>
      </c>
      <c r="BJ85" s="23" t="e">
        <f t="shared" si="30"/>
        <v>#VALUE!</v>
      </c>
      <c r="BK85" s="22" t="e">
        <f>IF(A85=0,0,SUMIFS([1]Poblacion!G:G,[1]Poblacion!A:A,'MASTER-2025'!A85))</f>
        <v>#VALUE!</v>
      </c>
      <c r="BL85" s="24" cm="1">
        <f t="array" ref="BL85:BW85">IFERROR(VLOOKUP(A85,'[1]Acum-OB-kg-pob-25'!A:AQ,{3,4,5,6,7,8,9,10,11,12,13,14},0),0)</f>
        <v>0</v>
      </c>
      <c r="BM85" s="24">
        <v>0</v>
      </c>
      <c r="BN85" s="24">
        <v>0</v>
      </c>
      <c r="BO85" s="24">
        <v>0</v>
      </c>
      <c r="BP85" s="24">
        <v>0</v>
      </c>
      <c r="BQ85" s="24">
        <v>0</v>
      </c>
      <c r="BR85" s="24">
        <v>0</v>
      </c>
      <c r="BS85" s="24">
        <v>0</v>
      </c>
      <c r="BT85" s="24">
        <v>0</v>
      </c>
      <c r="BU85" s="24">
        <v>0</v>
      </c>
      <c r="BV85" s="24">
        <v>0</v>
      </c>
      <c r="BW85" s="24">
        <v>0</v>
      </c>
      <c r="BX85" s="24">
        <f t="shared" si="31"/>
        <v>0</v>
      </c>
      <c r="BY85" s="25" cm="1">
        <f t="array" ref="BY85:CJ85">IFERROR(VLOOKUP(A85,'[1]Acum-OB-kg-pob-25'!A:AQ,{17,18,19,20,21,22,23,24,25,26,27,28},0),0)</f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 s="25">
        <v>0</v>
      </c>
      <c r="CI85" s="25">
        <v>0</v>
      </c>
      <c r="CJ85" s="25">
        <v>0</v>
      </c>
      <c r="CK85" s="25">
        <f t="shared" si="32"/>
        <v>0</v>
      </c>
      <c r="CL85" s="26" cm="1">
        <f t="array" ref="CL85:CW85">IFERROR(VLOOKUP(A85,'[1]Acum-OB-kg-pob-25'!A:AQ,{31,32,33,34,35,36,37,38,39,40,41,42},0),0)</f>
        <v>0</v>
      </c>
      <c r="CM85" s="26">
        <v>0</v>
      </c>
      <c r="CN85" s="26">
        <v>0</v>
      </c>
      <c r="CO85" s="26">
        <v>0</v>
      </c>
      <c r="CP85" s="26">
        <v>0</v>
      </c>
      <c r="CQ85" s="26">
        <v>0</v>
      </c>
      <c r="CR85" s="26">
        <v>0</v>
      </c>
      <c r="CS85" s="26">
        <v>0</v>
      </c>
      <c r="CT85" s="26">
        <v>0</v>
      </c>
      <c r="CU85" s="26">
        <v>0</v>
      </c>
      <c r="CV85" s="26">
        <v>0</v>
      </c>
      <c r="CW85" s="26">
        <v>0</v>
      </c>
      <c r="CX85" s="26">
        <f t="shared" si="33"/>
        <v>0</v>
      </c>
      <c r="CY85" s="14" t="str">
        <f>IF(A85=0,0,IFERROR(VLOOKUP(A85,'[1]Info Donantes'!C:F,2,0),"Sin Contacto"))</f>
        <v>Julio Cid</v>
      </c>
      <c r="CZ85" s="14" t="str">
        <f>IF(A85=0,0,IFERROR(VLOOKUP(A85,'[1]Info Donantes'!C:F,3,0),"Sin Correo"))</f>
        <v>distribuidoraitalohispana@gmail.com</v>
      </c>
      <c r="DA85" s="14" t="str">
        <f>IF(A85=0,0,IFERROR(VLOOKUP(A85,'[1]Info Donantes'!C:F,4,0),"Sin Telefono"))</f>
        <v>233-7114/15</v>
      </c>
      <c r="DB85" s="14" t="str">
        <f>IF(A85=0,0,"Reporte de Trazabiidad"&amp;" - "&amp;'[1]Resumen Donantes'!$C$2&amp;" - "&amp;A85&amp;"")</f>
        <v>Reporte de Trazabiidad -  - Distribuidora Italo Hispana</v>
      </c>
    </row>
    <row r="86" spans="1:106" x14ac:dyDescent="0.55000000000000004">
      <c r="A86" s="31" t="s">
        <v>190</v>
      </c>
      <c r="B86" s="15">
        <f>INT(IFERROR(VLOOKUP(A86,'[1]Resumen Donantes'!C:F,3,0),0))</f>
        <v>0</v>
      </c>
      <c r="C86" s="15">
        <f>INT(ROUND(IFERROR(VLOOKUP(A86,'[1]Resumen Donantes'!C:F,4,0),0),1))</f>
        <v>0</v>
      </c>
      <c r="D86" s="16">
        <f t="shared" si="36"/>
        <v>0</v>
      </c>
      <c r="E86" s="17" t="str">
        <f t="shared" si="37"/>
        <v>0.00%</v>
      </c>
      <c r="F86" s="17" t="str">
        <f t="shared" si="38"/>
        <v>0.0%</v>
      </c>
      <c r="G86" s="15">
        <f t="shared" si="25"/>
        <v>0</v>
      </c>
      <c r="H86" s="18"/>
      <c r="I86" s="18">
        <f>IFERROR(VLOOKUP(A86,'[1]Lot All by Part'!T:Y,6,0),0)</f>
        <v>0</v>
      </c>
      <c r="J86" s="18"/>
      <c r="K86" s="19">
        <f>IFERROR(VLOOKUP($A86,'[1]OB Atendidas por Donantes'!A:N,3,0),0)</f>
        <v>0</v>
      </c>
      <c r="L86" s="19">
        <f>ROUNDUP(IF(A86=0,0,IFERROR(VLOOKUP($A86,'[1]Kilos Asignado del Donante'!A:O,3,0),0)),0)</f>
        <v>0</v>
      </c>
      <c r="M86" s="19">
        <f>IF(A86=0,0,IFERROR(SUMIFS([1]Poblacion!M:M,[1]Poblacion!J:J,'MASTER-2025'!A86),0))</f>
        <v>0</v>
      </c>
      <c r="N86" s="20">
        <f>IFERROR(VLOOKUP($A86,'[1]OB Atendidas por Donantes'!A:N,4,0),0)</f>
        <v>0</v>
      </c>
      <c r="O86" s="20">
        <f>ROUNDUP(IF(A86=0,0,IFERROR(VLOOKUP($A86,'[1]Kilos Asignado del Donante'!A:O,4,0),0)),0)</f>
        <v>0</v>
      </c>
      <c r="P86" s="20">
        <f>IF(A86=0,0,IFERROR(SUMIFS([1]Poblacion!N:N,[1]Poblacion!J:J,'MASTER-2025'!A86),0))</f>
        <v>0</v>
      </c>
      <c r="Q86" s="18">
        <f>IFERROR(VLOOKUP($A86,'[1]OB Atendidas por Donantes'!A:N,2,0),0)</f>
        <v>0</v>
      </c>
      <c r="R86" s="18">
        <f>ROUNDUP(ROUND(IF(A86=0,0,IFERROR(VLOOKUP($A86,'[1]Kilos Asignado del Donante'!A:O,9,0),0)),1),0)</f>
        <v>0</v>
      </c>
      <c r="S86" s="18">
        <f>IF(A86=0,0,IFERROR(SUMIFS([1]Poblacion!S:S,[1]Poblacion!J:J,'MASTER-2025'!A86),0))</f>
        <v>0</v>
      </c>
      <c r="T86" s="19">
        <f>IFERROR(VLOOKUP($A86,'[1]OB Atendidas por Donantes'!A:N,12,0),0)</f>
        <v>0</v>
      </c>
      <c r="U86" s="19">
        <f>ROUNDUP(IF(A86=0,0,IF(A86=0,0,IFERROR(VLOOKUP($A86,'[1]Kilos Asignado del Donante'!A:O,7,0),0))),0)</f>
        <v>0</v>
      </c>
      <c r="V86" s="19">
        <f>IF(A86=0,0,IFERROR(SUMIFS([1]Poblacion!Q:Q,[1]Poblacion!J:J,'MASTER-2025'!A86),0))</f>
        <v>0</v>
      </c>
      <c r="W86" s="20">
        <f>IFERROR(VLOOKUP($A86,'[1]OB Atendidas por Donantes'!A:N,10,0),0)</f>
        <v>0</v>
      </c>
      <c r="X86" s="20">
        <f>ROUNDUP(IF(A86=0,0,IFERROR(VLOOKUP($A86,'[1]Kilos Asignado del Donante'!A:N,5,0),0)),0)</f>
        <v>0</v>
      </c>
      <c r="Y86" s="20">
        <f>IF(A86=0,0,IFERROR(SUMIFS([1]Poblacion!O:O,[1]Poblacion!J:J,'MASTER-2025'!A86),0))</f>
        <v>0</v>
      </c>
      <c r="Z86" s="18">
        <f>IFERROR(VLOOKUP($A86,'[1]OB Atendidas por Donantes'!A:N,6,0),0)</f>
        <v>0</v>
      </c>
      <c r="AA86" s="18">
        <f>ROUNDUP(IF(A86=0,0,IFERROR(VLOOKUP($A86,'[1]Kilos Asignado del Donante'!A:N,11,0),0)),0)</f>
        <v>0</v>
      </c>
      <c r="AB86" s="18">
        <f>IF(A86=0,0,IFERROR(SUMIFS([1]Poblacion!U:U,[1]Poblacion!J:J,'MASTER-2025'!A86),0))</f>
        <v>0</v>
      </c>
      <c r="AC86" s="19">
        <f>IFERROR(VLOOKUP($A86,'[1]OB Atendidas por Donantes'!A:N,7,0),0)</f>
        <v>0</v>
      </c>
      <c r="AD86" s="19">
        <f>ROUNDUP(IF(A86=0,0,IFERROR(VLOOKUP($A86,'[1]Kilos Asignado del Donante'!A:N,8,0),0)),0)</f>
        <v>0</v>
      </c>
      <c r="AE86" s="19">
        <f>IF(A86=0,0,IFERROR(SUMIFS([1]Poblacion!R:R,[1]Poblacion!J:J,'MASTER-2025'!A86),0))</f>
        <v>0</v>
      </c>
      <c r="AF86" s="20">
        <f>IFERROR(VLOOKUP($A86,'[1]OB Atendidas por Donantes'!A:N,8,0),0)</f>
        <v>0</v>
      </c>
      <c r="AG86" s="20">
        <f>ROUNDUP(IF(A86=0,0,IFERROR(VLOOKUP($A86,'[1]Kilos Asignado del Donante'!A:N,6,0),0)),0)</f>
        <v>0</v>
      </c>
      <c r="AH86" s="20">
        <f>IF(A86=0,0,IFERROR(SUMIFS([1]Poblacion!P:P,[1]Poblacion!J:J,'MASTER-2025'!A86),0))</f>
        <v>0</v>
      </c>
      <c r="AI86" s="18">
        <f>IFERROR(VLOOKUP($A86,'[1]OB Atendidas por Donantes'!A:N,9,0),0)</f>
        <v>0</v>
      </c>
      <c r="AJ86" s="18">
        <f>ROUNDUP(IF(A86=0,0,IFERROR(VLOOKUP($A86,'[1]Kilos Asignado del Donante'!A:N,12,0),0)),0)</f>
        <v>0</v>
      </c>
      <c r="AK86" s="18">
        <f>IF(A86=0,0,IFERROR(SUMIFS([1]Poblacion!V:V,[1]Poblacion!J:J,'MASTER-2025'!A86),0))</f>
        <v>0</v>
      </c>
      <c r="AL86" s="19">
        <f>IFERROR(VLOOKUP($A86,'[1]OB Atendidas por Donantes'!A:N,16,0),0)</f>
        <v>0</v>
      </c>
      <c r="AM86" s="19">
        <f>ROUNDUP(IF(A86=0,0,IFERROR(VLOOKUP($A86,'[1]Kilos Asignado del Donante'!A:O,16,0),0)),0)</f>
        <v>0</v>
      </c>
      <c r="AN86" s="19">
        <f>IF(A86=0,0,IFERROR(SUMIFS([1]Poblacion!Z:Z,[1]Poblacion!J:J,'MASTER-2025'!A86),0))</f>
        <v>0</v>
      </c>
      <c r="AO86" s="20">
        <f>IFERROR(VLOOKUP($A86,'[1]OB Atendidas por Donantes'!A:N,11,0),0)</f>
        <v>0</v>
      </c>
      <c r="AP86" s="20">
        <f>ROUNDUP(IF(A86=0,0,IFERROR(VLOOKUP($A86,'[1]Kilos Asignado del Donante'!A:N,13,0),0)),0)</f>
        <v>0</v>
      </c>
      <c r="AQ86" s="20">
        <f>IF(A86=0,0,IFERROR(SUMIFS([1]Poblacion!W:W,[1]Poblacion!J:J,'MASTER-2025'!A86),0))</f>
        <v>0</v>
      </c>
      <c r="AR86" s="18">
        <f>IFERROR(VLOOKUP($A86,'[1]OB Atendidas por Donantes'!A:N,5,0),0)</f>
        <v>0</v>
      </c>
      <c r="AS86" s="18">
        <f>ROUNDUP(IF(A86=0,0,IFERROR(VLOOKUP($A86,'[1]Kilos Asignado del Donante'!A:N,10,0),0)),0)</f>
        <v>0</v>
      </c>
      <c r="AT86" s="18">
        <f>IF(A86=0,0,IFERROR(SUMIFS([1]Poblacion!T:T,[1]Poblacion!J:J,'MASTER-2025'!A86),0))</f>
        <v>0</v>
      </c>
      <c r="AU86" s="19">
        <f>IFERROR(VLOOKUP($A86,'[1]OB Atendidas por Donantes'!A:N,13,0),0)</f>
        <v>0</v>
      </c>
      <c r="AV86" s="19">
        <f>ROUNDUP(IF(A86=0,0,IFERROR(VLOOKUP($A86,'[1]Kilos Asignado del Donante'!A:N,14,0),0)),0)</f>
        <v>0</v>
      </c>
      <c r="AW86" s="19">
        <f>IF(A86=0,0,IFERROR(SUMIFS([1]Poblacion!X:X,[1]Poblacion!J:J,'MASTER-2025'!A86),0))</f>
        <v>0</v>
      </c>
      <c r="AX86" s="20">
        <f>IFERROR(VLOOKUP($A86,'[1]OB Atendidas por Donantes'!A:N,16,0),0)</f>
        <v>0</v>
      </c>
      <c r="AY86" s="20">
        <f>ROUNDUP(IF(A86=0,0,IFERROR(VLOOKUP($A86,'[1]Kilos Asignado del Donante'!A:O,16,0),0)),0)</f>
        <v>0</v>
      </c>
      <c r="AZ86" s="20">
        <f>IF(A86=0,0,IFERROR(SUMIFS([1]Poblacion!Y:Y,[1]Poblacion!J:J,'MASTER-2025'!A86),0))</f>
        <v>0</v>
      </c>
      <c r="BA86" s="21">
        <f t="shared" si="34"/>
        <v>0</v>
      </c>
      <c r="BB86" s="21">
        <f t="shared" si="29"/>
        <v>0</v>
      </c>
      <c r="BC86" s="21">
        <f t="shared" si="39"/>
        <v>0</v>
      </c>
      <c r="BD86" s="21">
        <f t="shared" si="26"/>
        <v>0</v>
      </c>
      <c r="BE86" s="22" t="e">
        <f>IF(A86=0,0,SUMIFS([1]Poblacion!C:C,[1]Poblacion!A:A,'MASTER-2025'!A86))</f>
        <v>#VALUE!</v>
      </c>
      <c r="BF86" s="22" t="e">
        <f>IF(A86=0,0,SUMIFS([1]Poblacion!D:D,[1]Poblacion!A:A,'MASTER-2025'!A86))</f>
        <v>#VALUE!</v>
      </c>
      <c r="BG86" s="22" t="e">
        <f>IF(A86=0,0,SUMIFS([1]Poblacion!E:E,[1]Poblacion!A:A,'MASTER-2025'!A86))</f>
        <v>#VALUE!</v>
      </c>
      <c r="BH86" s="22" t="e">
        <f>IF(A86=0,0,SUMIFS([1]Poblacion!F:F,[1]Poblacion!A:A,'MASTER-2025'!A86))</f>
        <v>#VALUE!</v>
      </c>
      <c r="BI86" s="22" t="e">
        <f t="shared" si="35"/>
        <v>#VALUE!</v>
      </c>
      <c r="BJ86" s="23" t="e">
        <f t="shared" si="30"/>
        <v>#VALUE!</v>
      </c>
      <c r="BK86" s="22" t="e">
        <f>IF(A86=0,0,SUMIFS([1]Poblacion!G:G,[1]Poblacion!A:A,'MASTER-2025'!A86))</f>
        <v>#VALUE!</v>
      </c>
      <c r="BL86" s="24" cm="1">
        <f t="array" ref="BL86:BW86">IFERROR(VLOOKUP(A86,'[1]Acum-OB-kg-pob-25'!A:AQ,{3,4,5,6,7,8,9,10,11,12,13,14},0),0)</f>
        <v>0</v>
      </c>
      <c r="BM86" s="24">
        <v>0</v>
      </c>
      <c r="BN86" s="24">
        <v>0</v>
      </c>
      <c r="BO86" s="24">
        <v>0</v>
      </c>
      <c r="BP86" s="24">
        <v>0</v>
      </c>
      <c r="BQ86" s="24">
        <v>0</v>
      </c>
      <c r="BR86" s="24">
        <v>0</v>
      </c>
      <c r="BS86" s="24">
        <v>0</v>
      </c>
      <c r="BT86" s="24">
        <v>0</v>
      </c>
      <c r="BU86" s="24">
        <v>0</v>
      </c>
      <c r="BV86" s="24">
        <v>0</v>
      </c>
      <c r="BW86" s="24">
        <v>0</v>
      </c>
      <c r="BX86" s="24">
        <f t="shared" si="31"/>
        <v>0</v>
      </c>
      <c r="BY86" s="25" cm="1">
        <f t="array" ref="BY86:CJ86">IFERROR(VLOOKUP(A86,'[1]Acum-OB-kg-pob-25'!A:AQ,{17,18,19,20,21,22,23,24,25,26,27,28},0),0)</f>
        <v>0</v>
      </c>
      <c r="BZ86" s="25">
        <v>0</v>
      </c>
      <c r="CA86" s="25">
        <v>0</v>
      </c>
      <c r="CB86" s="25">
        <v>0</v>
      </c>
      <c r="CC86" s="25">
        <v>0</v>
      </c>
      <c r="CD86" s="25">
        <v>0</v>
      </c>
      <c r="CE86" s="25">
        <v>0</v>
      </c>
      <c r="CF86" s="25">
        <v>0</v>
      </c>
      <c r="CG86" s="25">
        <v>0</v>
      </c>
      <c r="CH86" s="25">
        <v>0</v>
      </c>
      <c r="CI86" s="25">
        <v>0</v>
      </c>
      <c r="CJ86" s="25">
        <v>0</v>
      </c>
      <c r="CK86" s="25">
        <f t="shared" si="32"/>
        <v>0</v>
      </c>
      <c r="CL86" s="26" cm="1">
        <f t="array" ref="CL86:CW86">IFERROR(VLOOKUP(A86,'[1]Acum-OB-kg-pob-25'!A:AQ,{31,32,33,34,35,36,37,38,39,40,41,42},0),0)</f>
        <v>0</v>
      </c>
      <c r="CM86" s="26">
        <v>0</v>
      </c>
      <c r="CN86" s="26">
        <v>0</v>
      </c>
      <c r="CO86" s="26">
        <v>0</v>
      </c>
      <c r="CP86" s="26">
        <v>0</v>
      </c>
      <c r="CQ86" s="26">
        <v>0</v>
      </c>
      <c r="CR86" s="26">
        <v>0</v>
      </c>
      <c r="CS86" s="26">
        <v>0</v>
      </c>
      <c r="CT86" s="26">
        <v>0</v>
      </c>
      <c r="CU86" s="26">
        <v>0</v>
      </c>
      <c r="CV86" s="26">
        <v>0</v>
      </c>
      <c r="CW86" s="26">
        <v>0</v>
      </c>
      <c r="CX86" s="26">
        <f t="shared" si="33"/>
        <v>0</v>
      </c>
      <c r="CY86" s="14" t="str">
        <f>IF(A86=0,0,IFERROR(VLOOKUP(A86,'[1]Info Donantes'!C:F,2,0),"Sin Contacto"))</f>
        <v>Missuly Aileen Escobar</v>
      </c>
      <c r="CZ86" s="14" t="str">
        <f>IF(A86=0,0,IFERROR(VLOOKUP(A86,'[1]Info Donantes'!C:F,3,0),"Sin Correo"))</f>
        <v>missuly.escobar@grupobimbo.com</v>
      </c>
      <c r="DA86" s="14" t="str">
        <f>IF(A86=0,0,IFERROR(VLOOKUP(A86,'[1]Info Donantes'!C:F,4,0),"Sin Telefono"))</f>
        <v>378-4400 ext. 2237 / 6980-6241</v>
      </c>
      <c r="DB86" s="14" t="str">
        <f>IF(A86=0,0,"Reporte de Trazabiidad"&amp;" - "&amp;'[1]Resumen Donantes'!$C$2&amp;" - "&amp;A86&amp;"")</f>
        <v>Reporte de Trazabiidad -  - BIMBO DE PANAMA , S.A</v>
      </c>
    </row>
    <row r="87" spans="1:106" x14ac:dyDescent="0.55000000000000004">
      <c r="A87" s="31" t="s">
        <v>191</v>
      </c>
      <c r="B87" s="15">
        <f>INT(IFERROR(VLOOKUP(A87,'[1]Resumen Donantes'!C:F,3,0),0))</f>
        <v>0</v>
      </c>
      <c r="C87" s="15">
        <f>INT(ROUND(IFERROR(VLOOKUP(A87,'[1]Resumen Donantes'!C:F,4,0),0),1))</f>
        <v>826</v>
      </c>
      <c r="D87" s="16">
        <f t="shared" si="36"/>
        <v>826</v>
      </c>
      <c r="E87" s="17" t="str">
        <f t="shared" si="37"/>
        <v>100.00%</v>
      </c>
      <c r="F87" s="17" t="str">
        <f t="shared" si="38"/>
        <v>0.0%</v>
      </c>
      <c r="G87" s="15">
        <f t="shared" si="25"/>
        <v>2478</v>
      </c>
      <c r="H87" s="18"/>
      <c r="I87" s="18">
        <f>IFERROR(VLOOKUP(A87,'[1]Lot All by Part'!T:Y,6,0),0)</f>
        <v>0</v>
      </c>
      <c r="J87" s="18"/>
      <c r="K87" s="19">
        <f>IFERROR(VLOOKUP($A87,'[1]OB Atendidas por Donantes'!A:N,3,0),0)</f>
        <v>13</v>
      </c>
      <c r="L87" s="19">
        <f>ROUNDUP(IF(A87=0,0,IFERROR(VLOOKUP($A87,'[1]Kilos Asignado del Donante'!A:O,3,0),0)),0)</f>
        <v>146</v>
      </c>
      <c r="M87" s="19">
        <f>IF(A87=0,0,IFERROR(SUMIFS([1]Poblacion!M:M,[1]Poblacion!J:J,'MASTER-2025'!A87),0))</f>
        <v>0</v>
      </c>
      <c r="N87" s="20">
        <f>IFERROR(VLOOKUP($A87,'[1]OB Atendidas por Donantes'!A:N,4,0),0)</f>
        <v>27</v>
      </c>
      <c r="O87" s="20">
        <f>ROUNDUP(IF(A87=0,0,IFERROR(VLOOKUP($A87,'[1]Kilos Asignado del Donante'!A:O,4,0),0)),0)</f>
        <v>241</v>
      </c>
      <c r="P87" s="20">
        <f>IF(A87=0,0,IFERROR(SUMIFS([1]Poblacion!N:N,[1]Poblacion!J:J,'MASTER-2025'!A87),0))</f>
        <v>0</v>
      </c>
      <c r="Q87" s="18">
        <f>IFERROR(VLOOKUP($A87,'[1]OB Atendidas por Donantes'!A:N,2,0),0)</f>
        <v>3</v>
      </c>
      <c r="R87" s="18">
        <f>ROUNDUP(ROUND(IF(A87=0,0,IFERROR(VLOOKUP($A87,'[1]Kilos Asignado del Donante'!A:O,9,0),0)),1),0)</f>
        <v>18</v>
      </c>
      <c r="S87" s="18">
        <f>IF(A87=0,0,IFERROR(SUMIFS([1]Poblacion!S:S,[1]Poblacion!J:J,'MASTER-2025'!A87),0))</f>
        <v>0</v>
      </c>
      <c r="T87" s="19">
        <f>IFERROR(VLOOKUP($A87,'[1]OB Atendidas por Donantes'!A:N,12,0),0)</f>
        <v>5</v>
      </c>
      <c r="U87" s="19">
        <f>ROUNDUP(IF(A87=0,0,IF(A87=0,0,IFERROR(VLOOKUP($A87,'[1]Kilos Asignado del Donante'!A:O,7,0),0))),0)</f>
        <v>49</v>
      </c>
      <c r="V87" s="19">
        <f>IF(A87=0,0,IFERROR(SUMIFS([1]Poblacion!Q:Q,[1]Poblacion!J:J,'MASTER-2025'!A87),0))</f>
        <v>0</v>
      </c>
      <c r="W87" s="20">
        <f>IFERROR(VLOOKUP($A87,'[1]OB Atendidas por Donantes'!A:N,10,0),0)</f>
        <v>7</v>
      </c>
      <c r="X87" s="20">
        <f>ROUNDUP(IF(A87=0,0,IFERROR(VLOOKUP($A87,'[1]Kilos Asignado del Donante'!A:N,5,0),0)),0)</f>
        <v>42</v>
      </c>
      <c r="Y87" s="20">
        <f>IF(A87=0,0,IFERROR(SUMIFS([1]Poblacion!O:O,[1]Poblacion!J:J,'MASTER-2025'!A87),0))</f>
        <v>0</v>
      </c>
      <c r="Z87" s="18">
        <f>IFERROR(VLOOKUP($A87,'[1]OB Atendidas por Donantes'!A:N,6,0),0)</f>
        <v>0</v>
      </c>
      <c r="AA87" s="18">
        <f>ROUNDUP(IF(A87=0,0,IFERROR(VLOOKUP($A87,'[1]Kilos Asignado del Donante'!A:N,11,0),0)),0)</f>
        <v>0</v>
      </c>
      <c r="AB87" s="18">
        <f>IF(A87=0,0,IFERROR(SUMIFS([1]Poblacion!U:U,[1]Poblacion!J:J,'MASTER-2025'!A87),0))</f>
        <v>0</v>
      </c>
      <c r="AC87" s="19">
        <f>IFERROR(VLOOKUP($A87,'[1]OB Atendidas por Donantes'!A:N,7,0),0)</f>
        <v>3</v>
      </c>
      <c r="AD87" s="19">
        <f>ROUNDUP(IF(A87=0,0,IFERROR(VLOOKUP($A87,'[1]Kilos Asignado del Donante'!A:N,8,0),0)),0)</f>
        <v>18</v>
      </c>
      <c r="AE87" s="19">
        <f>IF(A87=0,0,IFERROR(SUMIFS([1]Poblacion!R:R,[1]Poblacion!J:J,'MASTER-2025'!A87),0))</f>
        <v>0</v>
      </c>
      <c r="AF87" s="20">
        <f>IFERROR(VLOOKUP($A87,'[1]OB Atendidas por Donantes'!A:N,8,0),0)</f>
        <v>1</v>
      </c>
      <c r="AG87" s="20">
        <f>ROUNDUP(IF(A87=0,0,IFERROR(VLOOKUP($A87,'[1]Kilos Asignado del Donante'!A:N,6,0),0)),0)</f>
        <v>8</v>
      </c>
      <c r="AH87" s="20">
        <f>IF(A87=0,0,IFERROR(SUMIFS([1]Poblacion!P:P,[1]Poblacion!J:J,'MASTER-2025'!A87),0))</f>
        <v>0</v>
      </c>
      <c r="AI87" s="18">
        <f>IFERROR(VLOOKUP($A87,'[1]OB Atendidas por Donantes'!A:N,9,0),0)</f>
        <v>1</v>
      </c>
      <c r="AJ87" s="18">
        <f>ROUNDUP(IF(A87=0,0,IFERROR(VLOOKUP($A87,'[1]Kilos Asignado del Donante'!A:N,12,0),0)),0)</f>
        <v>6</v>
      </c>
      <c r="AK87" s="18">
        <f>IF(A87=0,0,IFERROR(SUMIFS([1]Poblacion!V:V,[1]Poblacion!J:J,'MASTER-2025'!A87),0))</f>
        <v>0</v>
      </c>
      <c r="AL87" s="19">
        <f>IFERROR(VLOOKUP($A87,'[1]OB Atendidas por Donantes'!A:N,16,0),0)</f>
        <v>0</v>
      </c>
      <c r="AM87" s="19">
        <f>ROUNDUP(IF(A87=0,0,IFERROR(VLOOKUP($A87,'[1]Kilos Asignado del Donante'!A:O,16,0),0)),0)</f>
        <v>0</v>
      </c>
      <c r="AN87" s="19">
        <f>IF(A87=0,0,IFERROR(SUMIFS([1]Poblacion!Z:Z,[1]Poblacion!J:J,'MASTER-2025'!A87),0))</f>
        <v>0</v>
      </c>
      <c r="AO87" s="20">
        <f>IFERROR(VLOOKUP($A87,'[1]OB Atendidas por Donantes'!A:N,11,0),0)</f>
        <v>0</v>
      </c>
      <c r="AP87" s="20">
        <f>ROUNDUP(IF(A87=0,0,IFERROR(VLOOKUP($A87,'[1]Kilos Asignado del Donante'!A:N,13,0),0)),0)</f>
        <v>0</v>
      </c>
      <c r="AQ87" s="20">
        <f>IF(A87=0,0,IFERROR(SUMIFS([1]Poblacion!W:W,[1]Poblacion!J:J,'MASTER-2025'!A87),0))</f>
        <v>0</v>
      </c>
      <c r="AR87" s="18">
        <f>IFERROR(VLOOKUP($A87,'[1]OB Atendidas por Donantes'!A:N,5,0),0)</f>
        <v>0</v>
      </c>
      <c r="AS87" s="18">
        <f>ROUNDUP(IF(A87=0,0,IFERROR(VLOOKUP($A87,'[1]Kilos Asignado del Donante'!A:N,10,0),0)),0)</f>
        <v>0</v>
      </c>
      <c r="AT87" s="18">
        <f>IF(A87=0,0,IFERROR(SUMIFS([1]Poblacion!T:T,[1]Poblacion!J:J,'MASTER-2025'!A87),0))</f>
        <v>0</v>
      </c>
      <c r="AU87" s="19">
        <f>IFERROR(VLOOKUP($A87,'[1]OB Atendidas por Donantes'!A:N,13,0),0)</f>
        <v>0</v>
      </c>
      <c r="AV87" s="19">
        <f>ROUNDUP(IF(A87=0,0,IFERROR(VLOOKUP($A87,'[1]Kilos Asignado del Donante'!A:N,14,0),0)),0)</f>
        <v>0</v>
      </c>
      <c r="AW87" s="19">
        <f>IF(A87=0,0,IFERROR(SUMIFS([1]Poblacion!X:X,[1]Poblacion!J:J,'MASTER-2025'!A87),0))</f>
        <v>0</v>
      </c>
      <c r="AX87" s="20">
        <f>IFERROR(VLOOKUP($A87,'[1]OB Atendidas por Donantes'!A:N,16,0),0)</f>
        <v>0</v>
      </c>
      <c r="AY87" s="20">
        <f>ROUNDUP(IF(A87=0,0,IFERROR(VLOOKUP($A87,'[1]Kilos Asignado del Donante'!A:O,16,0),0)),0)</f>
        <v>0</v>
      </c>
      <c r="AZ87" s="20">
        <f>IF(A87=0,0,IFERROR(SUMIFS([1]Poblacion!Y:Y,[1]Poblacion!J:J,'MASTER-2025'!A87),0))</f>
        <v>0</v>
      </c>
      <c r="BA87" s="21">
        <f t="shared" si="34"/>
        <v>60</v>
      </c>
      <c r="BB87" s="21">
        <f t="shared" si="29"/>
        <v>528</v>
      </c>
      <c r="BC87" s="21">
        <f t="shared" si="39"/>
        <v>454</v>
      </c>
      <c r="BD87" s="21">
        <f t="shared" si="26"/>
        <v>0</v>
      </c>
      <c r="BE87" s="22" t="e">
        <f>IF(A87=0,0,SUMIFS([1]Poblacion!C:C,[1]Poblacion!A:A,'MASTER-2025'!A87))</f>
        <v>#VALUE!</v>
      </c>
      <c r="BF87" s="22" t="e">
        <f>IF(A87=0,0,SUMIFS([1]Poblacion!D:D,[1]Poblacion!A:A,'MASTER-2025'!A87))</f>
        <v>#VALUE!</v>
      </c>
      <c r="BG87" s="22" t="e">
        <f>IF(A87=0,0,SUMIFS([1]Poblacion!E:E,[1]Poblacion!A:A,'MASTER-2025'!A87))</f>
        <v>#VALUE!</v>
      </c>
      <c r="BH87" s="22" t="e">
        <f>IF(A87=0,0,SUMIFS([1]Poblacion!F:F,[1]Poblacion!A:A,'MASTER-2025'!A87))</f>
        <v>#VALUE!</v>
      </c>
      <c r="BI87" s="22" t="e">
        <f t="shared" si="35"/>
        <v>#VALUE!</v>
      </c>
      <c r="BJ87" s="23" t="e">
        <f t="shared" si="30"/>
        <v>#VALUE!</v>
      </c>
      <c r="BK87" s="22" t="e">
        <f>IF(A87=0,0,SUMIFS([1]Poblacion!G:G,[1]Poblacion!A:A,'MASTER-2025'!A87))</f>
        <v>#VALUE!</v>
      </c>
      <c r="BL87" s="24" cm="1">
        <f t="array" ref="BL87:BW87">IFERROR(VLOOKUP(A87,'[1]Acum-OB-kg-pob-25'!A:AQ,{3,4,5,6,7,8,9,10,11,12,13,14},0),0)</f>
        <v>0</v>
      </c>
      <c r="BM87" s="24">
        <v>0</v>
      </c>
      <c r="BN87" s="24">
        <v>60</v>
      </c>
      <c r="BO87" s="24">
        <v>0</v>
      </c>
      <c r="BP87" s="24">
        <v>0</v>
      </c>
      <c r="BQ87" s="24">
        <v>0</v>
      </c>
      <c r="BR87" s="24">
        <v>0</v>
      </c>
      <c r="BS87" s="24">
        <v>0</v>
      </c>
      <c r="BT87" s="24">
        <v>0</v>
      </c>
      <c r="BU87" s="24">
        <v>0</v>
      </c>
      <c r="BV87" s="24">
        <v>0</v>
      </c>
      <c r="BW87" s="24">
        <v>0</v>
      </c>
      <c r="BX87" s="24">
        <f t="shared" si="31"/>
        <v>60</v>
      </c>
      <c r="BY87" s="25" cm="1">
        <f t="array" ref="BY87:CJ87">IFERROR(VLOOKUP(A87,'[1]Acum-OB-kg-pob-25'!A:AQ,{17,18,19,20,21,22,23,24,25,26,27,28},0),0)</f>
        <v>0</v>
      </c>
      <c r="BZ87" s="25">
        <v>0</v>
      </c>
      <c r="CA87" s="25">
        <v>826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 s="25">
        <v>0</v>
      </c>
      <c r="CI87" s="25">
        <v>0</v>
      </c>
      <c r="CJ87" s="25">
        <v>0</v>
      </c>
      <c r="CK87" s="25">
        <f t="shared" si="32"/>
        <v>826</v>
      </c>
      <c r="CL87" s="26" cm="1">
        <f t="array" ref="CL87:CW87">IFERROR(VLOOKUP(A87,'[1]Acum-OB-kg-pob-25'!A:AQ,{31,32,33,34,35,36,37,38,39,40,41,42},0),0)</f>
        <v>0</v>
      </c>
      <c r="CM87" s="26">
        <v>0</v>
      </c>
      <c r="CN87" s="26">
        <v>13814</v>
      </c>
      <c r="CO87" s="26">
        <v>0</v>
      </c>
      <c r="CP87" s="26">
        <v>0</v>
      </c>
      <c r="CQ87" s="26">
        <v>0</v>
      </c>
      <c r="CR87" s="26">
        <v>0</v>
      </c>
      <c r="CS87" s="26">
        <v>0</v>
      </c>
      <c r="CT87" s="26">
        <v>0</v>
      </c>
      <c r="CU87" s="26">
        <v>0</v>
      </c>
      <c r="CV87" s="26">
        <v>0</v>
      </c>
      <c r="CW87" s="26">
        <v>0</v>
      </c>
      <c r="CX87" s="26">
        <f t="shared" si="33"/>
        <v>13814</v>
      </c>
      <c r="CY87" s="14" t="str">
        <f>IF(A87=0,0,IFERROR(VLOOKUP(A87,'[1]Info Donantes'!C:F,2,0),"Sin Contacto"))</f>
        <v>Sin Contacto</v>
      </c>
      <c r="CZ87" s="14" t="str">
        <f>IF(A87=0,0,IFERROR(VLOOKUP(A87,'[1]Info Donantes'!C:F,3,0),"Sin Correo"))</f>
        <v>Sin Correo</v>
      </c>
      <c r="DA87" s="14" t="str">
        <f>IF(A87=0,0,IFERROR(VLOOKUP(A87,'[1]Info Donantes'!C:F,4,0),"Sin Telefono"))</f>
        <v>Sin Telefono</v>
      </c>
      <c r="DB87" s="14" t="str">
        <f>IF(A87=0,0,"Reporte de Trazabiidad"&amp;" - "&amp;'[1]Resumen Donantes'!$C$2&amp;" - "&amp;A87&amp;"")</f>
        <v>Reporte de Trazabiidad -  - MARTIN BROWER</v>
      </c>
    </row>
    <row r="88" spans="1:106" x14ac:dyDescent="0.55000000000000004">
      <c r="A88" s="31" t="s">
        <v>192</v>
      </c>
      <c r="B88" s="15">
        <f>INT(IFERROR(VLOOKUP(A88,'[1]Resumen Donantes'!C:F,3,0),0))</f>
        <v>0</v>
      </c>
      <c r="C88" s="15">
        <f>INT(ROUND(IFERROR(VLOOKUP(A88,'[1]Resumen Donantes'!C:F,4,0),0),1))</f>
        <v>0</v>
      </c>
      <c r="D88" s="16">
        <f t="shared" si="36"/>
        <v>0</v>
      </c>
      <c r="E88" s="17" t="str">
        <f t="shared" si="37"/>
        <v>0.00%</v>
      </c>
      <c r="F88" s="17" t="str">
        <f t="shared" si="38"/>
        <v>0.0%</v>
      </c>
      <c r="G88" s="15">
        <f t="shared" si="25"/>
        <v>0</v>
      </c>
      <c r="H88" s="18"/>
      <c r="I88" s="18">
        <f>IFERROR(VLOOKUP(A88,'[1]Lot All by Part'!T:Y,6,0),0)</f>
        <v>0</v>
      </c>
      <c r="J88" s="18"/>
      <c r="K88" s="19">
        <f>IFERROR(VLOOKUP($A88,'[1]OB Atendidas por Donantes'!A:N,3,0),0)</f>
        <v>0</v>
      </c>
      <c r="L88" s="19">
        <f>ROUNDUP(IF(A88=0,0,IFERROR(VLOOKUP($A88,'[1]Kilos Asignado del Donante'!A:O,3,0),0)),0)</f>
        <v>0</v>
      </c>
      <c r="M88" s="19">
        <f>IF(A88=0,0,IFERROR(SUMIFS([1]Poblacion!M:M,[1]Poblacion!J:J,'MASTER-2025'!A88),0))</f>
        <v>0</v>
      </c>
      <c r="N88" s="20">
        <f>IFERROR(VLOOKUP($A88,'[1]OB Atendidas por Donantes'!A:N,4,0),0)</f>
        <v>0</v>
      </c>
      <c r="O88" s="20">
        <f>ROUNDUP(IF(A88=0,0,IFERROR(VLOOKUP($A88,'[1]Kilos Asignado del Donante'!A:O,4,0),0)),0)</f>
        <v>0</v>
      </c>
      <c r="P88" s="20">
        <f>IF(A88=0,0,IFERROR(SUMIFS([1]Poblacion!N:N,[1]Poblacion!J:J,'MASTER-2025'!A88),0))</f>
        <v>0</v>
      </c>
      <c r="Q88" s="18">
        <f>IFERROR(VLOOKUP($A88,'[1]OB Atendidas por Donantes'!A:N,2,0),0)</f>
        <v>0</v>
      </c>
      <c r="R88" s="18">
        <f>ROUNDUP(ROUND(IF(A88=0,0,IFERROR(VLOOKUP($A88,'[1]Kilos Asignado del Donante'!A:O,9,0),0)),1),0)</f>
        <v>0</v>
      </c>
      <c r="S88" s="18">
        <f>IF(A88=0,0,IFERROR(SUMIFS([1]Poblacion!S:S,[1]Poblacion!J:J,'MASTER-2025'!A88),0))</f>
        <v>0</v>
      </c>
      <c r="T88" s="19">
        <f>IFERROR(VLOOKUP($A88,'[1]OB Atendidas por Donantes'!A:N,12,0),0)</f>
        <v>0</v>
      </c>
      <c r="U88" s="19">
        <f>ROUNDUP(IF(A88=0,0,IF(A88=0,0,IFERROR(VLOOKUP($A88,'[1]Kilos Asignado del Donante'!A:O,7,0),0))),0)</f>
        <v>0</v>
      </c>
      <c r="V88" s="19">
        <f>IF(A88=0,0,IFERROR(SUMIFS([1]Poblacion!Q:Q,[1]Poblacion!J:J,'MASTER-2025'!A88),0))</f>
        <v>0</v>
      </c>
      <c r="W88" s="20">
        <f>IFERROR(VLOOKUP($A88,'[1]OB Atendidas por Donantes'!A:N,10,0),0)</f>
        <v>0</v>
      </c>
      <c r="X88" s="20">
        <f>ROUNDUP(IF(A88=0,0,IFERROR(VLOOKUP($A88,'[1]Kilos Asignado del Donante'!A:N,5,0),0)),0)</f>
        <v>0</v>
      </c>
      <c r="Y88" s="20">
        <f>IF(A88=0,0,IFERROR(SUMIFS([1]Poblacion!O:O,[1]Poblacion!J:J,'MASTER-2025'!A88),0))</f>
        <v>0</v>
      </c>
      <c r="Z88" s="18">
        <f>IFERROR(VLOOKUP($A88,'[1]OB Atendidas por Donantes'!A:N,6,0),0)</f>
        <v>0</v>
      </c>
      <c r="AA88" s="18">
        <f>ROUNDUP(IF(A88=0,0,IFERROR(VLOOKUP($A88,'[1]Kilos Asignado del Donante'!A:N,11,0),0)),0)</f>
        <v>0</v>
      </c>
      <c r="AB88" s="18">
        <f>IF(A88=0,0,IFERROR(SUMIFS([1]Poblacion!U:U,[1]Poblacion!J:J,'MASTER-2025'!A88),0))</f>
        <v>0</v>
      </c>
      <c r="AC88" s="19">
        <f>IFERROR(VLOOKUP($A88,'[1]OB Atendidas por Donantes'!A:N,7,0),0)</f>
        <v>0</v>
      </c>
      <c r="AD88" s="19">
        <f>ROUNDUP(IF(A88=0,0,IFERROR(VLOOKUP($A88,'[1]Kilos Asignado del Donante'!A:N,8,0),0)),0)</f>
        <v>0</v>
      </c>
      <c r="AE88" s="19">
        <f>IF(A88=0,0,IFERROR(SUMIFS([1]Poblacion!R:R,[1]Poblacion!J:J,'MASTER-2025'!A88),0))</f>
        <v>0</v>
      </c>
      <c r="AF88" s="20">
        <f>IFERROR(VLOOKUP($A88,'[1]OB Atendidas por Donantes'!A:N,8,0),0)</f>
        <v>0</v>
      </c>
      <c r="AG88" s="20">
        <f>ROUNDUP(IF(A88=0,0,IFERROR(VLOOKUP($A88,'[1]Kilos Asignado del Donante'!A:N,6,0),0)),0)</f>
        <v>0</v>
      </c>
      <c r="AH88" s="20">
        <f>IF(A88=0,0,IFERROR(SUMIFS([1]Poblacion!P:P,[1]Poblacion!J:J,'MASTER-2025'!A88),0))</f>
        <v>0</v>
      </c>
      <c r="AI88" s="18">
        <f>IFERROR(VLOOKUP($A88,'[1]OB Atendidas por Donantes'!A:N,9,0),0)</f>
        <v>0</v>
      </c>
      <c r="AJ88" s="18">
        <f>ROUNDUP(IF(A88=0,0,IFERROR(VLOOKUP($A88,'[1]Kilos Asignado del Donante'!A:N,12,0),0)),0)</f>
        <v>0</v>
      </c>
      <c r="AK88" s="18">
        <f>IF(A88=0,0,IFERROR(SUMIFS([1]Poblacion!V:V,[1]Poblacion!J:J,'MASTER-2025'!A88),0))</f>
        <v>0</v>
      </c>
      <c r="AL88" s="19">
        <f>IFERROR(VLOOKUP($A88,'[1]OB Atendidas por Donantes'!A:N,16,0),0)</f>
        <v>0</v>
      </c>
      <c r="AM88" s="19">
        <f>ROUNDUP(IF(A88=0,0,IFERROR(VLOOKUP($A88,'[1]Kilos Asignado del Donante'!A:O,16,0),0)),0)</f>
        <v>0</v>
      </c>
      <c r="AN88" s="19">
        <f>IF(A88=0,0,IFERROR(SUMIFS([1]Poblacion!Z:Z,[1]Poblacion!J:J,'MASTER-2025'!A88),0))</f>
        <v>0</v>
      </c>
      <c r="AO88" s="20">
        <f>IFERROR(VLOOKUP($A88,'[1]OB Atendidas por Donantes'!A:N,11,0),0)</f>
        <v>0</v>
      </c>
      <c r="AP88" s="20">
        <f>ROUNDUP(IF(A88=0,0,IFERROR(VLOOKUP($A88,'[1]Kilos Asignado del Donante'!A:N,13,0),0)),0)</f>
        <v>0</v>
      </c>
      <c r="AQ88" s="20">
        <f>IF(A88=0,0,IFERROR(SUMIFS([1]Poblacion!W:W,[1]Poblacion!J:J,'MASTER-2025'!A88),0))</f>
        <v>0</v>
      </c>
      <c r="AR88" s="18">
        <f>IFERROR(VLOOKUP($A88,'[1]OB Atendidas por Donantes'!A:N,5,0),0)</f>
        <v>0</v>
      </c>
      <c r="AS88" s="18">
        <f>ROUNDUP(IF(A88=0,0,IFERROR(VLOOKUP($A88,'[1]Kilos Asignado del Donante'!A:N,10,0),0)),0)</f>
        <v>0</v>
      </c>
      <c r="AT88" s="18">
        <f>IF(A88=0,0,IFERROR(SUMIFS([1]Poblacion!T:T,[1]Poblacion!J:J,'MASTER-2025'!A88),0))</f>
        <v>0</v>
      </c>
      <c r="AU88" s="19">
        <f>IFERROR(VLOOKUP($A88,'[1]OB Atendidas por Donantes'!A:N,13,0),0)</f>
        <v>0</v>
      </c>
      <c r="AV88" s="19">
        <f>ROUNDUP(IF(A88=0,0,IFERROR(VLOOKUP($A88,'[1]Kilos Asignado del Donante'!A:N,14,0),0)),0)</f>
        <v>0</v>
      </c>
      <c r="AW88" s="19">
        <f>IF(A88=0,0,IFERROR(SUMIFS([1]Poblacion!X:X,[1]Poblacion!J:J,'MASTER-2025'!A88),0))</f>
        <v>0</v>
      </c>
      <c r="AX88" s="20">
        <f>IFERROR(VLOOKUP($A88,'[1]OB Atendidas por Donantes'!A:N,16,0),0)</f>
        <v>0</v>
      </c>
      <c r="AY88" s="20">
        <f>ROUNDUP(IF(A88=0,0,IFERROR(VLOOKUP($A88,'[1]Kilos Asignado del Donante'!A:O,16,0),0)),0)</f>
        <v>0</v>
      </c>
      <c r="AZ88" s="20">
        <f>IF(A88=0,0,IFERROR(SUMIFS([1]Poblacion!Y:Y,[1]Poblacion!J:J,'MASTER-2025'!A88),0))</f>
        <v>0</v>
      </c>
      <c r="BA88" s="21">
        <f t="shared" si="34"/>
        <v>0</v>
      </c>
      <c r="BB88" s="21">
        <f t="shared" si="29"/>
        <v>0</v>
      </c>
      <c r="BC88" s="21">
        <f t="shared" si="39"/>
        <v>0</v>
      </c>
      <c r="BD88" s="21">
        <f t="shared" si="26"/>
        <v>0</v>
      </c>
      <c r="BE88" s="22" t="e">
        <f>IF(A88=0,0,SUMIFS([1]Poblacion!C:C,[1]Poblacion!A:A,'MASTER-2025'!A88))</f>
        <v>#VALUE!</v>
      </c>
      <c r="BF88" s="22" t="e">
        <f>IF(A88=0,0,SUMIFS([1]Poblacion!D:D,[1]Poblacion!A:A,'MASTER-2025'!A88))</f>
        <v>#VALUE!</v>
      </c>
      <c r="BG88" s="22" t="e">
        <f>IF(A88=0,0,SUMIFS([1]Poblacion!E:E,[1]Poblacion!A:A,'MASTER-2025'!A88))</f>
        <v>#VALUE!</v>
      </c>
      <c r="BH88" s="22" t="e">
        <f>IF(A88=0,0,SUMIFS([1]Poblacion!F:F,[1]Poblacion!A:A,'MASTER-2025'!A88))</f>
        <v>#VALUE!</v>
      </c>
      <c r="BI88" s="22" t="e">
        <f t="shared" si="35"/>
        <v>#VALUE!</v>
      </c>
      <c r="BJ88" s="23" t="e">
        <f t="shared" si="30"/>
        <v>#VALUE!</v>
      </c>
      <c r="BK88" s="22" t="e">
        <f>IF(A88=0,0,SUMIFS([1]Poblacion!G:G,[1]Poblacion!A:A,'MASTER-2025'!A88))</f>
        <v>#VALUE!</v>
      </c>
      <c r="BL88" s="24" cm="1">
        <f t="array" ref="BL88:BW88">IFERROR(VLOOKUP(A88,'[1]Acum-OB-kg-pob-25'!A:AQ,{3,4,5,6,7,8,9,10,11,12,13,14},0),0)</f>
        <v>0</v>
      </c>
      <c r="BM88" s="24">
        <v>0</v>
      </c>
      <c r="BN88" s="24">
        <v>0</v>
      </c>
      <c r="BO88" s="24">
        <v>0</v>
      </c>
      <c r="BP88" s="24">
        <v>0</v>
      </c>
      <c r="BQ88" s="24">
        <v>0</v>
      </c>
      <c r="BR88" s="24">
        <v>0</v>
      </c>
      <c r="BS88" s="24">
        <v>0</v>
      </c>
      <c r="BT88" s="24">
        <v>0</v>
      </c>
      <c r="BU88" s="24">
        <v>0</v>
      </c>
      <c r="BV88" s="24">
        <v>0</v>
      </c>
      <c r="BW88" s="24">
        <v>0</v>
      </c>
      <c r="BX88" s="24">
        <f t="shared" si="31"/>
        <v>0</v>
      </c>
      <c r="BY88" s="25" cm="1">
        <f t="array" ref="BY88:CJ88">IFERROR(VLOOKUP(A88,'[1]Acum-OB-kg-pob-25'!A:AQ,{17,18,19,20,21,22,23,24,25,26,27,28},0),0)</f>
        <v>0</v>
      </c>
      <c r="BZ88" s="25">
        <v>0</v>
      </c>
      <c r="CA88" s="25">
        <v>0</v>
      </c>
      <c r="CB88" s="25">
        <v>0</v>
      </c>
      <c r="CC88" s="25">
        <v>0</v>
      </c>
      <c r="CD88" s="25">
        <v>0</v>
      </c>
      <c r="CE88" s="25">
        <v>0</v>
      </c>
      <c r="CF88" s="25">
        <v>0</v>
      </c>
      <c r="CG88" s="25">
        <v>0</v>
      </c>
      <c r="CH88" s="25">
        <v>0</v>
      </c>
      <c r="CI88" s="25">
        <v>0</v>
      </c>
      <c r="CJ88" s="25">
        <v>0</v>
      </c>
      <c r="CK88" s="25">
        <f t="shared" si="32"/>
        <v>0</v>
      </c>
      <c r="CL88" s="26" cm="1">
        <f t="array" ref="CL88:CW88">IFERROR(VLOOKUP(A88,'[1]Acum-OB-kg-pob-25'!A:AQ,{31,32,33,34,35,36,37,38,39,40,41,42},0),0)</f>
        <v>0</v>
      </c>
      <c r="CM88" s="26">
        <v>0</v>
      </c>
      <c r="CN88" s="26">
        <v>0</v>
      </c>
      <c r="CO88" s="26">
        <v>0</v>
      </c>
      <c r="CP88" s="26">
        <v>0</v>
      </c>
      <c r="CQ88" s="26">
        <v>0</v>
      </c>
      <c r="CR88" s="26">
        <v>0</v>
      </c>
      <c r="CS88" s="26">
        <v>0</v>
      </c>
      <c r="CT88" s="26">
        <v>0</v>
      </c>
      <c r="CU88" s="26">
        <v>0</v>
      </c>
      <c r="CV88" s="26">
        <v>0</v>
      </c>
      <c r="CW88" s="26">
        <v>0</v>
      </c>
      <c r="CX88" s="26">
        <f t="shared" si="33"/>
        <v>0</v>
      </c>
      <c r="CY88" s="14" t="str">
        <f>IF(A88=0,0,IFERROR(VLOOKUP(A88,'[1]Info Donantes'!C:F,2,0),"Sin Contacto"))</f>
        <v>Sin Contacto</v>
      </c>
      <c r="CZ88" s="14" t="str">
        <f>IF(A88=0,0,IFERROR(VLOOKUP(A88,'[1]Info Donantes'!C:F,3,0),"Sin Correo"))</f>
        <v>Sin Correo</v>
      </c>
      <c r="DA88" s="14" t="str">
        <f>IF(A88=0,0,IFERROR(VLOOKUP(A88,'[1]Info Donantes'!C:F,4,0),"Sin Telefono"))</f>
        <v>Sin Telefono</v>
      </c>
      <c r="DB88" s="14" t="str">
        <f>IF(A88=0,0,"Reporte de Trazabiidad"&amp;" - "&amp;'[1]Resumen Donantes'!$C$2&amp;" - "&amp;A88&amp;"")</f>
        <v>Reporte de Trazabiidad -  - FOREVER OCEANS PANAMA, S.A.</v>
      </c>
    </row>
    <row r="89" spans="1:106" x14ac:dyDescent="0.55000000000000004">
      <c r="A89" s="31" t="s">
        <v>193</v>
      </c>
      <c r="B89" s="15">
        <f>INT(IFERROR(VLOOKUP(A89,'[1]Resumen Donantes'!C:F,3,0),0))</f>
        <v>0</v>
      </c>
      <c r="C89" s="15">
        <f>INT(ROUND(IFERROR(VLOOKUP(A89,'[1]Resumen Donantes'!C:F,4,0),0),1))</f>
        <v>0</v>
      </c>
      <c r="D89" s="16">
        <f t="shared" si="36"/>
        <v>0</v>
      </c>
      <c r="E89" s="17" t="str">
        <f t="shared" si="37"/>
        <v>0.00%</v>
      </c>
      <c r="F89" s="17" t="str">
        <f t="shared" si="38"/>
        <v>0.0%</v>
      </c>
      <c r="G89" s="15">
        <f t="shared" si="25"/>
        <v>0</v>
      </c>
      <c r="H89" s="18"/>
      <c r="I89" s="18">
        <f>IFERROR(VLOOKUP(A89,'[1]Lot All by Part'!T:Y,6,0),0)</f>
        <v>0</v>
      </c>
      <c r="J89" s="18"/>
      <c r="K89" s="19">
        <f>IFERROR(VLOOKUP($A89,'[1]OB Atendidas por Donantes'!A:N,3,0),0)</f>
        <v>0</v>
      </c>
      <c r="L89" s="19">
        <f>ROUNDUP(IF(A89=0,0,IFERROR(VLOOKUP($A89,'[1]Kilos Asignado del Donante'!A:O,3,0),0)),0)</f>
        <v>0</v>
      </c>
      <c r="M89" s="19">
        <f>IF(A89=0,0,IFERROR(SUMIFS([1]Poblacion!M:M,[1]Poblacion!J:J,'MASTER-2025'!A89),0))</f>
        <v>0</v>
      </c>
      <c r="N89" s="20">
        <f>IFERROR(VLOOKUP($A89,'[1]OB Atendidas por Donantes'!A:N,4,0),0)</f>
        <v>0</v>
      </c>
      <c r="O89" s="20">
        <f>ROUNDUP(IF(A89=0,0,IFERROR(VLOOKUP($A89,'[1]Kilos Asignado del Donante'!A:O,4,0),0)),0)</f>
        <v>0</v>
      </c>
      <c r="P89" s="20">
        <f>IF(A89=0,0,IFERROR(SUMIFS([1]Poblacion!N:N,[1]Poblacion!J:J,'MASTER-2025'!A89),0))</f>
        <v>0</v>
      </c>
      <c r="Q89" s="18">
        <f>IFERROR(VLOOKUP($A89,'[1]OB Atendidas por Donantes'!A:N,2,0),0)</f>
        <v>0</v>
      </c>
      <c r="R89" s="18">
        <f>ROUNDUP(ROUND(IF(A89=0,0,IFERROR(VLOOKUP($A89,'[1]Kilos Asignado del Donante'!A:O,9,0),0)),1),0)</f>
        <v>0</v>
      </c>
      <c r="S89" s="18">
        <f>IF(A89=0,0,IFERROR(SUMIFS([1]Poblacion!S:S,[1]Poblacion!J:J,'MASTER-2025'!A89),0))</f>
        <v>0</v>
      </c>
      <c r="T89" s="19">
        <f>IFERROR(VLOOKUP($A89,'[1]OB Atendidas por Donantes'!A:N,12,0),0)</f>
        <v>0</v>
      </c>
      <c r="U89" s="19">
        <f>ROUNDUP(IF(A89=0,0,IF(A89=0,0,IFERROR(VLOOKUP($A89,'[1]Kilos Asignado del Donante'!A:O,7,0),0))),0)</f>
        <v>0</v>
      </c>
      <c r="V89" s="19">
        <f>IF(A89=0,0,IFERROR(SUMIFS([1]Poblacion!Q:Q,[1]Poblacion!J:J,'MASTER-2025'!A89),0))</f>
        <v>0</v>
      </c>
      <c r="W89" s="20">
        <f>IFERROR(VLOOKUP($A89,'[1]OB Atendidas por Donantes'!A:N,10,0),0)</f>
        <v>0</v>
      </c>
      <c r="X89" s="20">
        <f>ROUNDUP(IF(A89=0,0,IFERROR(VLOOKUP($A89,'[1]Kilos Asignado del Donante'!A:N,5,0),0)),0)</f>
        <v>0</v>
      </c>
      <c r="Y89" s="20">
        <f>IF(A89=0,0,IFERROR(SUMIFS([1]Poblacion!O:O,[1]Poblacion!J:J,'MASTER-2025'!A89),0))</f>
        <v>0</v>
      </c>
      <c r="Z89" s="18">
        <f>IFERROR(VLOOKUP($A89,'[1]OB Atendidas por Donantes'!A:N,6,0),0)</f>
        <v>0</v>
      </c>
      <c r="AA89" s="18">
        <f>ROUNDUP(IF(A89=0,0,IFERROR(VLOOKUP($A89,'[1]Kilos Asignado del Donante'!A:N,11,0),0)),0)</f>
        <v>0</v>
      </c>
      <c r="AB89" s="18">
        <f>IF(A89=0,0,IFERROR(SUMIFS([1]Poblacion!U:U,[1]Poblacion!J:J,'MASTER-2025'!A89),0))</f>
        <v>0</v>
      </c>
      <c r="AC89" s="19">
        <f>IFERROR(VLOOKUP($A89,'[1]OB Atendidas por Donantes'!A:N,7,0),0)</f>
        <v>0</v>
      </c>
      <c r="AD89" s="19">
        <f>ROUNDUP(IF(A89=0,0,IFERROR(VLOOKUP($A89,'[1]Kilos Asignado del Donante'!A:N,8,0),0)),0)</f>
        <v>0</v>
      </c>
      <c r="AE89" s="19">
        <f>IF(A89=0,0,IFERROR(SUMIFS([1]Poblacion!R:R,[1]Poblacion!J:J,'MASTER-2025'!A89),0))</f>
        <v>0</v>
      </c>
      <c r="AF89" s="20">
        <f>IFERROR(VLOOKUP($A89,'[1]OB Atendidas por Donantes'!A:N,8,0),0)</f>
        <v>0</v>
      </c>
      <c r="AG89" s="20">
        <f>ROUNDUP(IF(A89=0,0,IFERROR(VLOOKUP($A89,'[1]Kilos Asignado del Donante'!A:N,6,0),0)),0)</f>
        <v>0</v>
      </c>
      <c r="AH89" s="20">
        <f>IF(A89=0,0,IFERROR(SUMIFS([1]Poblacion!P:P,[1]Poblacion!J:J,'MASTER-2025'!A89),0))</f>
        <v>0</v>
      </c>
      <c r="AI89" s="18">
        <f>IFERROR(VLOOKUP($A89,'[1]OB Atendidas por Donantes'!A:N,9,0),0)</f>
        <v>0</v>
      </c>
      <c r="AJ89" s="18">
        <f>ROUNDUP(IF(A89=0,0,IFERROR(VLOOKUP($A89,'[1]Kilos Asignado del Donante'!A:N,12,0),0)),0)</f>
        <v>0</v>
      </c>
      <c r="AK89" s="18">
        <f>IF(A89=0,0,IFERROR(SUMIFS([1]Poblacion!V:V,[1]Poblacion!J:J,'MASTER-2025'!A89),0))</f>
        <v>0</v>
      </c>
      <c r="AL89" s="19">
        <f>IFERROR(VLOOKUP($A89,'[1]OB Atendidas por Donantes'!A:N,16,0),0)</f>
        <v>0</v>
      </c>
      <c r="AM89" s="19">
        <f>ROUNDUP(IF(A89=0,0,IFERROR(VLOOKUP($A89,'[1]Kilos Asignado del Donante'!A:O,16,0),0)),0)</f>
        <v>0</v>
      </c>
      <c r="AN89" s="19">
        <f>IF(A89=0,0,IFERROR(SUMIFS([1]Poblacion!Z:Z,[1]Poblacion!J:J,'MASTER-2025'!A89),0))</f>
        <v>0</v>
      </c>
      <c r="AO89" s="20">
        <f>IFERROR(VLOOKUP($A89,'[1]OB Atendidas por Donantes'!A:N,11,0),0)</f>
        <v>0</v>
      </c>
      <c r="AP89" s="20">
        <f>ROUNDUP(IF(A89=0,0,IFERROR(VLOOKUP($A89,'[1]Kilos Asignado del Donante'!A:N,13,0),0)),0)</f>
        <v>0</v>
      </c>
      <c r="AQ89" s="20">
        <f>IF(A89=0,0,IFERROR(SUMIFS([1]Poblacion!W:W,[1]Poblacion!J:J,'MASTER-2025'!A89),0))</f>
        <v>0</v>
      </c>
      <c r="AR89" s="18">
        <f>IFERROR(VLOOKUP($A89,'[1]OB Atendidas por Donantes'!A:N,5,0),0)</f>
        <v>0</v>
      </c>
      <c r="AS89" s="18">
        <f>ROUNDUP(IF(A89=0,0,IFERROR(VLOOKUP($A89,'[1]Kilos Asignado del Donante'!A:N,10,0),0)),0)</f>
        <v>0</v>
      </c>
      <c r="AT89" s="18">
        <f>IF(A89=0,0,IFERROR(SUMIFS([1]Poblacion!T:T,[1]Poblacion!J:J,'MASTER-2025'!A89),0))</f>
        <v>0</v>
      </c>
      <c r="AU89" s="19">
        <f>IFERROR(VLOOKUP($A89,'[1]OB Atendidas por Donantes'!A:N,13,0),0)</f>
        <v>0</v>
      </c>
      <c r="AV89" s="19">
        <f>ROUNDUP(IF(A89=0,0,IFERROR(VLOOKUP($A89,'[1]Kilos Asignado del Donante'!A:N,14,0),0)),0)</f>
        <v>0</v>
      </c>
      <c r="AW89" s="19">
        <f>IF(A89=0,0,IFERROR(SUMIFS([1]Poblacion!X:X,[1]Poblacion!J:J,'MASTER-2025'!A89),0))</f>
        <v>0</v>
      </c>
      <c r="AX89" s="20">
        <f>IFERROR(VLOOKUP($A89,'[1]OB Atendidas por Donantes'!A:N,16,0),0)</f>
        <v>0</v>
      </c>
      <c r="AY89" s="20">
        <f>ROUNDUP(IF(A89=0,0,IFERROR(VLOOKUP($A89,'[1]Kilos Asignado del Donante'!A:O,16,0),0)),0)</f>
        <v>0</v>
      </c>
      <c r="AZ89" s="20">
        <f>IF(A89=0,0,IFERROR(SUMIFS([1]Poblacion!Y:Y,[1]Poblacion!J:J,'MASTER-2025'!A89),0))</f>
        <v>0</v>
      </c>
      <c r="BA89" s="21">
        <f t="shared" si="34"/>
        <v>0</v>
      </c>
      <c r="BB89" s="21">
        <f t="shared" si="29"/>
        <v>0</v>
      </c>
      <c r="BC89" s="21">
        <f t="shared" si="39"/>
        <v>0</v>
      </c>
      <c r="BD89" s="21">
        <f t="shared" si="26"/>
        <v>0</v>
      </c>
      <c r="BE89" s="22" t="e">
        <f>IF(A89=0,0,SUMIFS([1]Poblacion!C:C,[1]Poblacion!A:A,'MASTER-2025'!A89))</f>
        <v>#VALUE!</v>
      </c>
      <c r="BF89" s="22" t="e">
        <f>IF(A89=0,0,SUMIFS([1]Poblacion!D:D,[1]Poblacion!A:A,'MASTER-2025'!A89))</f>
        <v>#VALUE!</v>
      </c>
      <c r="BG89" s="22" t="e">
        <f>IF(A89=0,0,SUMIFS([1]Poblacion!E:E,[1]Poblacion!A:A,'MASTER-2025'!A89))</f>
        <v>#VALUE!</v>
      </c>
      <c r="BH89" s="22" t="e">
        <f>IF(A89=0,0,SUMIFS([1]Poblacion!F:F,[1]Poblacion!A:A,'MASTER-2025'!A89))</f>
        <v>#VALUE!</v>
      </c>
      <c r="BI89" s="22" t="e">
        <f t="shared" si="35"/>
        <v>#VALUE!</v>
      </c>
      <c r="BJ89" s="23" t="e">
        <f t="shared" si="30"/>
        <v>#VALUE!</v>
      </c>
      <c r="BK89" s="22" t="e">
        <f>IF(A89=0,0,SUMIFS([1]Poblacion!G:G,[1]Poblacion!A:A,'MASTER-2025'!A89))</f>
        <v>#VALUE!</v>
      </c>
      <c r="BL89" s="24" cm="1">
        <f t="array" ref="BL89:BW89">IFERROR(VLOOKUP(A89,'[1]Acum-OB-kg-pob-25'!A:AQ,{3,4,5,6,7,8,9,10,11,12,13,14},0),0)</f>
        <v>0</v>
      </c>
      <c r="BM89" s="24">
        <v>0</v>
      </c>
      <c r="BN89" s="24">
        <v>0</v>
      </c>
      <c r="BO89" s="24">
        <v>0</v>
      </c>
      <c r="BP89" s="24">
        <v>0</v>
      </c>
      <c r="BQ89" s="24">
        <v>0</v>
      </c>
      <c r="BR89" s="24">
        <v>0</v>
      </c>
      <c r="BS89" s="24">
        <v>0</v>
      </c>
      <c r="BT89" s="24">
        <v>0</v>
      </c>
      <c r="BU89" s="24">
        <v>0</v>
      </c>
      <c r="BV89" s="24">
        <v>0</v>
      </c>
      <c r="BW89" s="24">
        <v>0</v>
      </c>
      <c r="BX89" s="24">
        <f t="shared" si="31"/>
        <v>0</v>
      </c>
      <c r="BY89" s="25" cm="1">
        <f t="array" ref="BY89:CJ89">IFERROR(VLOOKUP(A89,'[1]Acum-OB-kg-pob-25'!A:AQ,{17,18,19,20,21,22,23,24,25,26,27,28},0),0)</f>
        <v>0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0</v>
      </c>
      <c r="CH89" s="25">
        <v>0</v>
      </c>
      <c r="CI89" s="25">
        <v>0</v>
      </c>
      <c r="CJ89" s="25">
        <v>0</v>
      </c>
      <c r="CK89" s="25">
        <f t="shared" si="32"/>
        <v>0</v>
      </c>
      <c r="CL89" s="26" cm="1">
        <f t="array" ref="CL89:CW89">IFERROR(VLOOKUP(A89,'[1]Acum-OB-kg-pob-25'!A:AQ,{31,32,33,34,35,36,37,38,39,40,41,42},0),0)</f>
        <v>0</v>
      </c>
      <c r="CM89" s="26">
        <v>0</v>
      </c>
      <c r="CN89" s="26">
        <v>0</v>
      </c>
      <c r="CO89" s="26">
        <v>0</v>
      </c>
      <c r="CP89" s="26">
        <v>0</v>
      </c>
      <c r="CQ89" s="26">
        <v>0</v>
      </c>
      <c r="CR89" s="26">
        <v>0</v>
      </c>
      <c r="CS89" s="26">
        <v>0</v>
      </c>
      <c r="CT89" s="26">
        <v>0</v>
      </c>
      <c r="CU89" s="26">
        <v>0</v>
      </c>
      <c r="CV89" s="26">
        <v>0</v>
      </c>
      <c r="CW89" s="26">
        <v>0</v>
      </c>
      <c r="CX89" s="26">
        <f t="shared" si="33"/>
        <v>0</v>
      </c>
      <c r="CY89" s="14" t="str">
        <f>IF(A89=0,0,IFERROR(VLOOKUP(A89,'[1]Info Donantes'!C:F,2,0),"Sin Contacto"))</f>
        <v>Marisol Vallarino</v>
      </c>
      <c r="CZ89" s="14" t="str">
        <f>IF(A89=0,0,IFERROR(VLOOKUP(A89,'[1]Info Donantes'!C:F,3,0),"Sin Correo"))</f>
        <v>mvallarino@arrocha.com</v>
      </c>
      <c r="DA89" s="14" t="str">
        <f>IF(A89=0,0,IFERROR(VLOOKUP(A89,'[1]Info Donantes'!C:F,4,0),"Sin Telefono"))</f>
        <v>279-9000</v>
      </c>
      <c r="DB89" s="14" t="str">
        <f>IF(A89=0,0,"Reporte de Trazabiidad"&amp;" - "&amp;'[1]Resumen Donantes'!$C$2&amp;" - "&amp;A89&amp;"")</f>
        <v>Reporte de Trazabiidad -  - CESAR ARROCHA GRAELL Y CIA, S.A (Arrocha)</v>
      </c>
    </row>
    <row r="90" spans="1:106" x14ac:dyDescent="0.55000000000000004">
      <c r="A90" s="31" t="s">
        <v>194</v>
      </c>
      <c r="B90" s="15">
        <f>INT(IFERROR(VLOOKUP(A90,'[1]Resumen Donantes'!C:F,3,0),0))</f>
        <v>0</v>
      </c>
      <c r="C90" s="15">
        <f>INT(ROUND(IFERROR(VLOOKUP(A90,'[1]Resumen Donantes'!C:F,4,0),0),1))</f>
        <v>0</v>
      </c>
      <c r="D90" s="16">
        <f t="shared" si="36"/>
        <v>0</v>
      </c>
      <c r="E90" s="17" t="str">
        <f t="shared" si="37"/>
        <v>0.00%</v>
      </c>
      <c r="F90" s="17" t="str">
        <f t="shared" si="38"/>
        <v>0.0%</v>
      </c>
      <c r="G90" s="15">
        <f t="shared" ref="G90:G130" si="40">INT(D90*3)</f>
        <v>0</v>
      </c>
      <c r="H90" s="18"/>
      <c r="I90" s="18">
        <f>IFERROR(VLOOKUP(A90,'[1]Lot All by Part'!T:Y,6,0),0)</f>
        <v>0</v>
      </c>
      <c r="J90" s="18"/>
      <c r="K90" s="19">
        <f>IFERROR(VLOOKUP($A90,'[1]OB Atendidas por Donantes'!A:N,3,0),0)</f>
        <v>0</v>
      </c>
      <c r="L90" s="19">
        <f>ROUNDUP(IF(A90=0,0,IFERROR(VLOOKUP($A90,'[1]Kilos Asignado del Donante'!A:O,3,0),0)),0)</f>
        <v>0</v>
      </c>
      <c r="M90" s="19">
        <f>IF(A90=0,0,IFERROR(SUMIFS([1]Poblacion!M:M,[1]Poblacion!J:J,'MASTER-2025'!A90),0))</f>
        <v>0</v>
      </c>
      <c r="N90" s="20">
        <f>IFERROR(VLOOKUP($A90,'[1]OB Atendidas por Donantes'!A:N,4,0),0)</f>
        <v>0</v>
      </c>
      <c r="O90" s="20">
        <f>ROUNDUP(IF(A90=0,0,IFERROR(VLOOKUP($A90,'[1]Kilos Asignado del Donante'!A:O,4,0),0)),0)</f>
        <v>0</v>
      </c>
      <c r="P90" s="20">
        <f>IF(A90=0,0,IFERROR(SUMIFS([1]Poblacion!N:N,[1]Poblacion!J:J,'MASTER-2025'!A90),0))</f>
        <v>0</v>
      </c>
      <c r="Q90" s="18">
        <f>IFERROR(VLOOKUP($A90,'[1]OB Atendidas por Donantes'!A:N,2,0),0)</f>
        <v>0</v>
      </c>
      <c r="R90" s="18">
        <f>ROUNDUP(ROUND(IF(A90=0,0,IFERROR(VLOOKUP($A90,'[1]Kilos Asignado del Donante'!A:O,9,0),0)),1),0)</f>
        <v>0</v>
      </c>
      <c r="S90" s="18">
        <f>IF(A90=0,0,IFERROR(SUMIFS([1]Poblacion!S:S,[1]Poblacion!J:J,'MASTER-2025'!A90),0))</f>
        <v>0</v>
      </c>
      <c r="T90" s="19">
        <f>IFERROR(VLOOKUP($A90,'[1]OB Atendidas por Donantes'!A:N,12,0),0)</f>
        <v>0</v>
      </c>
      <c r="U90" s="19">
        <f>ROUNDUP(IF(A90=0,0,IF(A90=0,0,IFERROR(VLOOKUP($A90,'[1]Kilos Asignado del Donante'!A:O,7,0),0))),0)</f>
        <v>0</v>
      </c>
      <c r="V90" s="19">
        <f>IF(A90=0,0,IFERROR(SUMIFS([1]Poblacion!Q:Q,[1]Poblacion!J:J,'MASTER-2025'!A90),0))</f>
        <v>0</v>
      </c>
      <c r="W90" s="20">
        <f>IFERROR(VLOOKUP($A90,'[1]OB Atendidas por Donantes'!A:N,10,0),0)</f>
        <v>0</v>
      </c>
      <c r="X90" s="20">
        <f>ROUNDUP(IF(A90=0,0,IFERROR(VLOOKUP($A90,'[1]Kilos Asignado del Donante'!A:N,5,0),0)),0)</f>
        <v>0</v>
      </c>
      <c r="Y90" s="20">
        <f>IF(A90=0,0,IFERROR(SUMIFS([1]Poblacion!O:O,[1]Poblacion!J:J,'MASTER-2025'!A90),0))</f>
        <v>0</v>
      </c>
      <c r="Z90" s="18">
        <f>IFERROR(VLOOKUP($A90,'[1]OB Atendidas por Donantes'!A:N,6,0),0)</f>
        <v>0</v>
      </c>
      <c r="AA90" s="18">
        <f>ROUNDUP(IF(A90=0,0,IFERROR(VLOOKUP($A90,'[1]Kilos Asignado del Donante'!A:N,11,0),0)),0)</f>
        <v>0</v>
      </c>
      <c r="AB90" s="18">
        <f>IF(A90=0,0,IFERROR(SUMIFS([1]Poblacion!U:U,[1]Poblacion!J:J,'MASTER-2025'!A90),0))</f>
        <v>0</v>
      </c>
      <c r="AC90" s="19">
        <f>IFERROR(VLOOKUP($A90,'[1]OB Atendidas por Donantes'!A:N,7,0),0)</f>
        <v>0</v>
      </c>
      <c r="AD90" s="19">
        <f>ROUNDUP(IF(A90=0,0,IFERROR(VLOOKUP($A90,'[1]Kilos Asignado del Donante'!A:N,8,0),0)),0)</f>
        <v>0</v>
      </c>
      <c r="AE90" s="19">
        <f>IF(A90=0,0,IFERROR(SUMIFS([1]Poblacion!R:R,[1]Poblacion!J:J,'MASTER-2025'!A90),0))</f>
        <v>0</v>
      </c>
      <c r="AF90" s="20">
        <f>IFERROR(VLOOKUP($A90,'[1]OB Atendidas por Donantes'!A:N,8,0),0)</f>
        <v>0</v>
      </c>
      <c r="AG90" s="20">
        <f>ROUNDUP(IF(A90=0,0,IFERROR(VLOOKUP($A90,'[1]Kilos Asignado del Donante'!A:N,6,0),0)),0)</f>
        <v>0</v>
      </c>
      <c r="AH90" s="20">
        <f>IF(A90=0,0,IFERROR(SUMIFS([1]Poblacion!P:P,[1]Poblacion!J:J,'MASTER-2025'!A90),0))</f>
        <v>0</v>
      </c>
      <c r="AI90" s="18">
        <f>IFERROR(VLOOKUP($A90,'[1]OB Atendidas por Donantes'!A:N,9,0),0)</f>
        <v>0</v>
      </c>
      <c r="AJ90" s="18">
        <f>ROUNDUP(IF(A90=0,0,IFERROR(VLOOKUP($A90,'[1]Kilos Asignado del Donante'!A:N,12,0),0)),0)</f>
        <v>0</v>
      </c>
      <c r="AK90" s="18">
        <f>IF(A90=0,0,IFERROR(SUMIFS([1]Poblacion!V:V,[1]Poblacion!J:J,'MASTER-2025'!A90),0))</f>
        <v>0</v>
      </c>
      <c r="AL90" s="19">
        <f>IFERROR(VLOOKUP($A90,'[1]OB Atendidas por Donantes'!A:N,16,0),0)</f>
        <v>0</v>
      </c>
      <c r="AM90" s="19">
        <f>ROUNDUP(IF(A90=0,0,IFERROR(VLOOKUP($A90,'[1]Kilos Asignado del Donante'!A:O,16,0),0)),0)</f>
        <v>0</v>
      </c>
      <c r="AN90" s="19">
        <f>IF(A90=0,0,IFERROR(SUMIFS([1]Poblacion!Z:Z,[1]Poblacion!J:J,'MASTER-2025'!A90),0))</f>
        <v>0</v>
      </c>
      <c r="AO90" s="20">
        <f>IFERROR(VLOOKUP($A90,'[1]OB Atendidas por Donantes'!A:N,11,0),0)</f>
        <v>0</v>
      </c>
      <c r="AP90" s="20">
        <f>ROUNDUP(IF(A90=0,0,IFERROR(VLOOKUP($A90,'[1]Kilos Asignado del Donante'!A:N,13,0),0)),0)</f>
        <v>0</v>
      </c>
      <c r="AQ90" s="20">
        <f>IF(A90=0,0,IFERROR(SUMIFS([1]Poblacion!W:W,[1]Poblacion!J:J,'MASTER-2025'!A90),0))</f>
        <v>0</v>
      </c>
      <c r="AR90" s="18">
        <f>IFERROR(VLOOKUP($A90,'[1]OB Atendidas por Donantes'!A:N,5,0),0)</f>
        <v>0</v>
      </c>
      <c r="AS90" s="18">
        <f>ROUNDUP(IF(A90=0,0,IFERROR(VLOOKUP($A90,'[1]Kilos Asignado del Donante'!A:N,10,0),0)),0)</f>
        <v>0</v>
      </c>
      <c r="AT90" s="18">
        <f>IF(A90=0,0,IFERROR(SUMIFS([1]Poblacion!T:T,[1]Poblacion!J:J,'MASTER-2025'!A90),0))</f>
        <v>0</v>
      </c>
      <c r="AU90" s="19">
        <f>IFERROR(VLOOKUP($A90,'[1]OB Atendidas por Donantes'!A:N,13,0),0)</f>
        <v>0</v>
      </c>
      <c r="AV90" s="19">
        <f>ROUNDUP(IF(A90=0,0,IFERROR(VLOOKUP($A90,'[1]Kilos Asignado del Donante'!A:N,14,0),0)),0)</f>
        <v>0</v>
      </c>
      <c r="AW90" s="19">
        <f>IF(A90=0,0,IFERROR(SUMIFS([1]Poblacion!X:X,[1]Poblacion!J:J,'MASTER-2025'!A90),0))</f>
        <v>0</v>
      </c>
      <c r="AX90" s="20">
        <f>IFERROR(VLOOKUP($A90,'[1]OB Atendidas por Donantes'!A:N,16,0),0)</f>
        <v>0</v>
      </c>
      <c r="AY90" s="20">
        <f>ROUNDUP(IF(A90=0,0,IFERROR(VLOOKUP($A90,'[1]Kilos Asignado del Donante'!A:O,16,0),0)),0)</f>
        <v>0</v>
      </c>
      <c r="AZ90" s="20">
        <f>IF(A90=0,0,IFERROR(SUMIFS([1]Poblacion!Y:Y,[1]Poblacion!J:J,'MASTER-2025'!A90),0))</f>
        <v>0</v>
      </c>
      <c r="BA90" s="21">
        <f t="shared" si="34"/>
        <v>0</v>
      </c>
      <c r="BB90" s="21">
        <f t="shared" si="29"/>
        <v>0</v>
      </c>
      <c r="BC90" s="21">
        <f t="shared" si="39"/>
        <v>0</v>
      </c>
      <c r="BD90" s="21">
        <f t="shared" ref="BD90:BD111" si="41">IF(A90=0,0,(+J90+M90+P90+S90+V90+Y90+AB90+AE90+AH90+AK90+AN90+AQ90+AT90+AW90+AZ90))</f>
        <v>0</v>
      </c>
      <c r="BE90" s="22" t="e">
        <f>IF(A90=0,0,SUMIFS([1]Poblacion!C:C,[1]Poblacion!A:A,'MASTER-2025'!A90))</f>
        <v>#VALUE!</v>
      </c>
      <c r="BF90" s="22" t="e">
        <f>IF(A90=0,0,SUMIFS([1]Poblacion!D:D,[1]Poblacion!A:A,'MASTER-2025'!A90))</f>
        <v>#VALUE!</v>
      </c>
      <c r="BG90" s="22" t="e">
        <f>IF(A90=0,0,SUMIFS([1]Poblacion!E:E,[1]Poblacion!A:A,'MASTER-2025'!A90))</f>
        <v>#VALUE!</v>
      </c>
      <c r="BH90" s="22" t="e">
        <f>IF(A90=0,0,SUMIFS([1]Poblacion!F:F,[1]Poblacion!A:A,'MASTER-2025'!A90))</f>
        <v>#VALUE!</v>
      </c>
      <c r="BI90" s="22" t="e">
        <f t="shared" si="35"/>
        <v>#VALUE!</v>
      </c>
      <c r="BJ90" s="23" t="e">
        <f t="shared" si="30"/>
        <v>#VALUE!</v>
      </c>
      <c r="BK90" s="22" t="e">
        <f>IF(A90=0,0,SUMIFS([1]Poblacion!G:G,[1]Poblacion!A:A,'MASTER-2025'!A90))</f>
        <v>#VALUE!</v>
      </c>
      <c r="BL90" s="24" cm="1">
        <f t="array" ref="BL90:BW90">IFERROR(VLOOKUP(A90,'[1]Acum-OB-kg-pob-25'!A:AQ,{3,4,5,6,7,8,9,10,11,12,13,14},0),0)</f>
        <v>0</v>
      </c>
      <c r="BM90" s="24">
        <v>0</v>
      </c>
      <c r="BN90" s="24">
        <v>0</v>
      </c>
      <c r="BO90" s="24">
        <v>0</v>
      </c>
      <c r="BP90" s="24">
        <v>0</v>
      </c>
      <c r="BQ90" s="24">
        <v>0</v>
      </c>
      <c r="BR90" s="24">
        <v>0</v>
      </c>
      <c r="BS90" s="24">
        <v>0</v>
      </c>
      <c r="BT90" s="24">
        <v>0</v>
      </c>
      <c r="BU90" s="24">
        <v>0</v>
      </c>
      <c r="BV90" s="24">
        <v>0</v>
      </c>
      <c r="BW90" s="24">
        <v>0</v>
      </c>
      <c r="BX90" s="24">
        <f t="shared" si="31"/>
        <v>0</v>
      </c>
      <c r="BY90" s="25" cm="1">
        <f t="array" ref="BY90:CJ90">IFERROR(VLOOKUP(A90,'[1]Acum-OB-kg-pob-25'!A:AQ,{17,18,19,20,21,22,23,24,25,26,27,28},0),0)</f>
        <v>0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0</v>
      </c>
      <c r="CH90" s="25">
        <v>0</v>
      </c>
      <c r="CI90" s="25">
        <v>0</v>
      </c>
      <c r="CJ90" s="25">
        <v>0</v>
      </c>
      <c r="CK90" s="25">
        <f t="shared" si="32"/>
        <v>0</v>
      </c>
      <c r="CL90" s="26" cm="1">
        <f t="array" ref="CL90:CW90">IFERROR(VLOOKUP(A90,'[1]Acum-OB-kg-pob-25'!A:AQ,{31,32,33,34,35,36,37,38,39,40,41,42},0),0)</f>
        <v>0</v>
      </c>
      <c r="CM90" s="26">
        <v>0</v>
      </c>
      <c r="CN90" s="26">
        <v>0</v>
      </c>
      <c r="CO90" s="26">
        <v>0</v>
      </c>
      <c r="CP90" s="26">
        <v>0</v>
      </c>
      <c r="CQ90" s="26">
        <v>0</v>
      </c>
      <c r="CR90" s="26">
        <v>0</v>
      </c>
      <c r="CS90" s="26">
        <v>0</v>
      </c>
      <c r="CT90" s="26">
        <v>0</v>
      </c>
      <c r="CU90" s="26">
        <v>0</v>
      </c>
      <c r="CV90" s="26">
        <v>0</v>
      </c>
      <c r="CW90" s="26">
        <v>0</v>
      </c>
      <c r="CX90" s="26">
        <f t="shared" si="33"/>
        <v>0</v>
      </c>
      <c r="CY90" s="14" t="str">
        <f>IF(A90=0,0,IFERROR(VLOOKUP(A90,'[1]Info Donantes'!C:F,2,0),"Sin Contacto"))</f>
        <v>Winifred Valdéz</v>
      </c>
      <c r="CZ90" s="14" t="str">
        <f>IF(A90=0,0,IFERROR(VLOOKUP(A90,'[1]Info Donantes'!C:F,3,0),"Sin Correo"))</f>
        <v>winifredmarie.valdezarroyave@pepsico.com</v>
      </c>
      <c r="DA90" s="14" t="str">
        <f>IF(A90=0,0,IFERROR(VLOOKUP(A90,'[1]Info Donantes'!C:F,4,0),"Sin Telefono"))</f>
        <v>207-4300</v>
      </c>
      <c r="DB90" s="14" t="str">
        <f>IF(A90=0,0,"Reporte de Trazabiidad"&amp;" - "&amp;'[1]Resumen Donantes'!$C$2&amp;" - "&amp;A90&amp;"")</f>
        <v>Reporte de Trazabiidad -  - ALIMENTOS DEL ISTMO (PEPSICO)</v>
      </c>
    </row>
    <row r="91" spans="1:106" x14ac:dyDescent="0.55000000000000004">
      <c r="A91" s="31" t="s">
        <v>195</v>
      </c>
      <c r="B91" s="15">
        <f>INT(IFERROR(VLOOKUP(A91,'[1]Resumen Donantes'!C:F,3,0),0))</f>
        <v>0</v>
      </c>
      <c r="C91" s="15">
        <f>INT(ROUND(IFERROR(VLOOKUP(A91,'[1]Resumen Donantes'!C:F,4,0),0),1))</f>
        <v>0</v>
      </c>
      <c r="D91" s="16">
        <f t="shared" si="36"/>
        <v>0</v>
      </c>
      <c r="E91" s="17" t="str">
        <f t="shared" si="37"/>
        <v>0.00%</v>
      </c>
      <c r="F91" s="17" t="str">
        <f t="shared" si="38"/>
        <v>0.0%</v>
      </c>
      <c r="G91" s="15">
        <f t="shared" si="40"/>
        <v>0</v>
      </c>
      <c r="H91" s="18"/>
      <c r="I91" s="18">
        <f>IFERROR(VLOOKUP(A91,'[1]Lot All by Part'!T:Y,6,0),0)</f>
        <v>0</v>
      </c>
      <c r="J91" s="18"/>
      <c r="K91" s="19">
        <f>IFERROR(VLOOKUP($A91,'[1]OB Atendidas por Donantes'!A:N,3,0),0)</f>
        <v>0</v>
      </c>
      <c r="L91" s="19">
        <f>ROUNDUP(IF(A91=0,0,IFERROR(VLOOKUP($A91,'[1]Kilos Asignado del Donante'!A:O,3,0),0)),0)</f>
        <v>0</v>
      </c>
      <c r="M91" s="19">
        <f>IF(A91=0,0,IFERROR(SUMIFS([1]Poblacion!M:M,[1]Poblacion!J:J,'MASTER-2025'!A91),0))</f>
        <v>0</v>
      </c>
      <c r="N91" s="20">
        <f>IFERROR(VLOOKUP($A91,'[1]OB Atendidas por Donantes'!A:N,4,0),0)</f>
        <v>0</v>
      </c>
      <c r="O91" s="20">
        <f>ROUNDUP(IF(A91=0,0,IFERROR(VLOOKUP($A91,'[1]Kilos Asignado del Donante'!A:O,4,0),0)),0)</f>
        <v>0</v>
      </c>
      <c r="P91" s="20">
        <f>IF(A91=0,0,IFERROR(SUMIFS([1]Poblacion!N:N,[1]Poblacion!J:J,'MASTER-2025'!A91),0))</f>
        <v>0</v>
      </c>
      <c r="Q91" s="18">
        <f>IFERROR(VLOOKUP($A91,'[1]OB Atendidas por Donantes'!A:N,2,0),0)</f>
        <v>0</v>
      </c>
      <c r="R91" s="18">
        <f>ROUNDUP(ROUND(IF(A91=0,0,IFERROR(VLOOKUP($A91,'[1]Kilos Asignado del Donante'!A:O,9,0),0)),1),0)</f>
        <v>0</v>
      </c>
      <c r="S91" s="18">
        <f>IF(A91=0,0,IFERROR(SUMIFS([1]Poblacion!S:S,[1]Poblacion!J:J,'MASTER-2025'!A91),0))</f>
        <v>0</v>
      </c>
      <c r="T91" s="19">
        <f>IFERROR(VLOOKUP($A91,'[1]OB Atendidas por Donantes'!A:N,12,0),0)</f>
        <v>0</v>
      </c>
      <c r="U91" s="19">
        <f>ROUNDUP(IF(A91=0,0,IF(A91=0,0,IFERROR(VLOOKUP($A91,'[1]Kilos Asignado del Donante'!A:O,7,0),0))),0)</f>
        <v>0</v>
      </c>
      <c r="V91" s="19">
        <f>IF(A91=0,0,IFERROR(SUMIFS([1]Poblacion!Q:Q,[1]Poblacion!J:J,'MASTER-2025'!A91),0))</f>
        <v>0</v>
      </c>
      <c r="W91" s="20">
        <f>IFERROR(VLOOKUP($A91,'[1]OB Atendidas por Donantes'!A:N,10,0),0)</f>
        <v>0</v>
      </c>
      <c r="X91" s="20">
        <f>ROUNDUP(IF(A91=0,0,IFERROR(VLOOKUP($A91,'[1]Kilos Asignado del Donante'!A:N,5,0),0)),0)</f>
        <v>0</v>
      </c>
      <c r="Y91" s="20">
        <f>IF(A91=0,0,IFERROR(SUMIFS([1]Poblacion!O:O,[1]Poblacion!J:J,'MASTER-2025'!A91),0))</f>
        <v>0</v>
      </c>
      <c r="Z91" s="18">
        <f>IFERROR(VLOOKUP($A91,'[1]OB Atendidas por Donantes'!A:N,6,0),0)</f>
        <v>0</v>
      </c>
      <c r="AA91" s="18">
        <f>ROUNDUP(IF(A91=0,0,IFERROR(VLOOKUP($A91,'[1]Kilos Asignado del Donante'!A:N,11,0),0)),0)</f>
        <v>0</v>
      </c>
      <c r="AB91" s="18">
        <f>IF(A91=0,0,IFERROR(SUMIFS([1]Poblacion!U:U,[1]Poblacion!J:J,'MASTER-2025'!A91),0))</f>
        <v>0</v>
      </c>
      <c r="AC91" s="19">
        <f>IFERROR(VLOOKUP($A91,'[1]OB Atendidas por Donantes'!A:N,7,0),0)</f>
        <v>0</v>
      </c>
      <c r="AD91" s="19">
        <f>ROUNDUP(IF(A91=0,0,IFERROR(VLOOKUP($A91,'[1]Kilos Asignado del Donante'!A:N,8,0),0)),0)</f>
        <v>0</v>
      </c>
      <c r="AE91" s="19">
        <f>IF(A91=0,0,IFERROR(SUMIFS([1]Poblacion!R:R,[1]Poblacion!J:J,'MASTER-2025'!A91),0))</f>
        <v>0</v>
      </c>
      <c r="AF91" s="20">
        <f>IFERROR(VLOOKUP($A91,'[1]OB Atendidas por Donantes'!A:N,8,0),0)</f>
        <v>0</v>
      </c>
      <c r="AG91" s="20">
        <f>ROUNDUP(IF(A91=0,0,IFERROR(VLOOKUP($A91,'[1]Kilos Asignado del Donante'!A:N,6,0),0)),0)</f>
        <v>0</v>
      </c>
      <c r="AH91" s="20">
        <f>IF(A91=0,0,IFERROR(SUMIFS([1]Poblacion!P:P,[1]Poblacion!J:J,'MASTER-2025'!A91),0))</f>
        <v>0</v>
      </c>
      <c r="AI91" s="18">
        <f>IFERROR(VLOOKUP($A91,'[1]OB Atendidas por Donantes'!A:N,9,0),0)</f>
        <v>0</v>
      </c>
      <c r="AJ91" s="18">
        <f>ROUNDUP(IF(A91=0,0,IFERROR(VLOOKUP($A91,'[1]Kilos Asignado del Donante'!A:N,12,0),0)),0)</f>
        <v>0</v>
      </c>
      <c r="AK91" s="18">
        <f>IF(A91=0,0,IFERROR(SUMIFS([1]Poblacion!V:V,[1]Poblacion!J:J,'MASTER-2025'!A91),0))</f>
        <v>0</v>
      </c>
      <c r="AL91" s="19">
        <f>IFERROR(VLOOKUP($A91,'[1]OB Atendidas por Donantes'!A:N,16,0),0)</f>
        <v>0</v>
      </c>
      <c r="AM91" s="19">
        <f>ROUNDUP(IF(A91=0,0,IFERROR(VLOOKUP($A91,'[1]Kilos Asignado del Donante'!A:O,16,0),0)),0)</f>
        <v>0</v>
      </c>
      <c r="AN91" s="19">
        <f>IF(A91=0,0,IFERROR(SUMIFS([1]Poblacion!Z:Z,[1]Poblacion!J:J,'MASTER-2025'!A91),0))</f>
        <v>0</v>
      </c>
      <c r="AO91" s="20">
        <f>IFERROR(VLOOKUP($A91,'[1]OB Atendidas por Donantes'!A:N,11,0),0)</f>
        <v>0</v>
      </c>
      <c r="AP91" s="20">
        <f>ROUNDUP(IF(A91=0,0,IFERROR(VLOOKUP($A91,'[1]Kilos Asignado del Donante'!A:N,13,0),0)),0)</f>
        <v>0</v>
      </c>
      <c r="AQ91" s="20">
        <f>IF(A91=0,0,IFERROR(SUMIFS([1]Poblacion!W:W,[1]Poblacion!J:J,'MASTER-2025'!A91),0))</f>
        <v>0</v>
      </c>
      <c r="AR91" s="18">
        <f>IFERROR(VLOOKUP($A91,'[1]OB Atendidas por Donantes'!A:N,5,0),0)</f>
        <v>0</v>
      </c>
      <c r="AS91" s="18">
        <f>ROUNDUP(IF(A91=0,0,IFERROR(VLOOKUP($A91,'[1]Kilos Asignado del Donante'!A:N,10,0),0)),0)</f>
        <v>0</v>
      </c>
      <c r="AT91" s="18">
        <f>IF(A91=0,0,IFERROR(SUMIFS([1]Poblacion!T:T,[1]Poblacion!J:J,'MASTER-2025'!A91),0))</f>
        <v>0</v>
      </c>
      <c r="AU91" s="19">
        <f>IFERROR(VLOOKUP($A91,'[1]OB Atendidas por Donantes'!A:N,13,0),0)</f>
        <v>0</v>
      </c>
      <c r="AV91" s="19">
        <f>ROUNDUP(IF(A91=0,0,IFERROR(VLOOKUP($A91,'[1]Kilos Asignado del Donante'!A:N,14,0),0)),0)</f>
        <v>0</v>
      </c>
      <c r="AW91" s="19">
        <f>IF(A91=0,0,IFERROR(SUMIFS([1]Poblacion!X:X,[1]Poblacion!J:J,'MASTER-2025'!A91),0))</f>
        <v>0</v>
      </c>
      <c r="AX91" s="20">
        <f>IFERROR(VLOOKUP($A91,'[1]OB Atendidas por Donantes'!A:N,16,0),0)</f>
        <v>0</v>
      </c>
      <c r="AY91" s="20">
        <f>ROUNDUP(IF(A91=0,0,IFERROR(VLOOKUP($A91,'[1]Kilos Asignado del Donante'!A:O,16,0),0)),0)</f>
        <v>0</v>
      </c>
      <c r="AZ91" s="20">
        <f>IF(A91=0,0,IFERROR(SUMIFS([1]Poblacion!Y:Y,[1]Poblacion!J:J,'MASTER-2025'!A91),0))</f>
        <v>0</v>
      </c>
      <c r="BA91" s="21">
        <f t="shared" si="34"/>
        <v>0</v>
      </c>
      <c r="BB91" s="21">
        <f t="shared" si="29"/>
        <v>0</v>
      </c>
      <c r="BC91" s="21">
        <f t="shared" si="39"/>
        <v>0</v>
      </c>
      <c r="BD91" s="21">
        <f t="shared" si="41"/>
        <v>0</v>
      </c>
      <c r="BE91" s="22" t="e">
        <f>IF(A91=0,0,SUMIFS([1]Poblacion!C:C,[1]Poblacion!A:A,'MASTER-2025'!A91))</f>
        <v>#VALUE!</v>
      </c>
      <c r="BF91" s="22" t="e">
        <f>IF(A91=0,0,SUMIFS([1]Poblacion!D:D,[1]Poblacion!A:A,'MASTER-2025'!A91))</f>
        <v>#VALUE!</v>
      </c>
      <c r="BG91" s="22" t="e">
        <f>IF(A91=0,0,SUMIFS([1]Poblacion!E:E,[1]Poblacion!A:A,'MASTER-2025'!A91))</f>
        <v>#VALUE!</v>
      </c>
      <c r="BH91" s="22" t="e">
        <f>IF(A91=0,0,SUMIFS([1]Poblacion!F:F,[1]Poblacion!A:A,'MASTER-2025'!A91))</f>
        <v>#VALUE!</v>
      </c>
      <c r="BI91" s="22" t="e">
        <f t="shared" si="35"/>
        <v>#VALUE!</v>
      </c>
      <c r="BJ91" s="23" t="e">
        <f t="shared" si="30"/>
        <v>#VALUE!</v>
      </c>
      <c r="BK91" s="22" t="e">
        <f>IF(A91=0,0,SUMIFS([1]Poblacion!G:G,[1]Poblacion!A:A,'MASTER-2025'!A91))</f>
        <v>#VALUE!</v>
      </c>
      <c r="BL91" s="24" cm="1">
        <f t="array" ref="BL91:BW91">IFERROR(VLOOKUP(A91,'[1]Acum-OB-kg-pob-25'!A:AQ,{3,4,5,6,7,8,9,10,11,12,13,14},0),0)</f>
        <v>0</v>
      </c>
      <c r="BM91" s="24">
        <v>0</v>
      </c>
      <c r="BN91" s="24">
        <v>0</v>
      </c>
      <c r="BO91" s="24">
        <v>0</v>
      </c>
      <c r="BP91" s="24">
        <v>0</v>
      </c>
      <c r="BQ91" s="24">
        <v>0</v>
      </c>
      <c r="BR91" s="24">
        <v>0</v>
      </c>
      <c r="BS91" s="24">
        <v>0</v>
      </c>
      <c r="BT91" s="24">
        <v>0</v>
      </c>
      <c r="BU91" s="24">
        <v>0</v>
      </c>
      <c r="BV91" s="24">
        <v>0</v>
      </c>
      <c r="BW91" s="24">
        <v>0</v>
      </c>
      <c r="BX91" s="24">
        <f t="shared" si="31"/>
        <v>0</v>
      </c>
      <c r="BY91" s="25" cm="1">
        <f t="array" ref="BY91:CJ91">IFERROR(VLOOKUP(A91,'[1]Acum-OB-kg-pob-25'!A:AQ,{17,18,19,20,21,22,23,24,25,26,27,28},0),0)</f>
        <v>0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0</v>
      </c>
      <c r="CH91" s="25">
        <v>0</v>
      </c>
      <c r="CI91" s="25">
        <v>0</v>
      </c>
      <c r="CJ91" s="25">
        <v>0</v>
      </c>
      <c r="CK91" s="25">
        <f t="shared" si="32"/>
        <v>0</v>
      </c>
      <c r="CL91" s="26" cm="1">
        <f t="array" ref="CL91:CW91">IFERROR(VLOOKUP(A91,'[1]Acum-OB-kg-pob-25'!A:AQ,{31,32,33,34,35,36,37,38,39,40,41,42},0),0)</f>
        <v>0</v>
      </c>
      <c r="CM91" s="26">
        <v>0</v>
      </c>
      <c r="CN91" s="26">
        <v>0</v>
      </c>
      <c r="CO91" s="26">
        <v>0</v>
      </c>
      <c r="CP91" s="26">
        <v>0</v>
      </c>
      <c r="CQ91" s="26">
        <v>0</v>
      </c>
      <c r="CR91" s="26">
        <v>0</v>
      </c>
      <c r="CS91" s="26">
        <v>0</v>
      </c>
      <c r="CT91" s="26">
        <v>0</v>
      </c>
      <c r="CU91" s="26">
        <v>0</v>
      </c>
      <c r="CV91" s="26">
        <v>0</v>
      </c>
      <c r="CW91" s="26">
        <v>0</v>
      </c>
      <c r="CX91" s="26">
        <f t="shared" si="33"/>
        <v>0</v>
      </c>
      <c r="CY91" s="14" t="str">
        <f>IF(A91=0,0,IFERROR(VLOOKUP(A91,'[1]Info Donantes'!C:F,2,0),"Sin Contacto"))</f>
        <v>Alejandro Ponce</v>
      </c>
      <c r="CZ91" s="14">
        <f>IF(A91=0,0,IFERROR(VLOOKUP(A91,'[1]Info Donantes'!C:F,3,0),"Sin Correo"))</f>
        <v>0</v>
      </c>
      <c r="DA91" s="14" t="str">
        <f>IF(A91=0,0,IFERROR(VLOOKUP(A91,'[1]Info Donantes'!C:F,4,0),"Sin Telefono"))</f>
        <v>62003197</v>
      </c>
      <c r="DB91" s="14" t="str">
        <f>IF(A91=0,0,"Reporte de Trazabiidad"&amp;" - "&amp;'[1]Resumen Donantes'!$C$2&amp;" - "&amp;A91&amp;"")</f>
        <v>Reporte de Trazabiidad -  - Grupo BIO, S.A</v>
      </c>
    </row>
    <row r="92" spans="1:106" x14ac:dyDescent="0.55000000000000004">
      <c r="A92" s="31" t="s">
        <v>196</v>
      </c>
      <c r="B92" s="15">
        <f>INT(IFERROR(VLOOKUP(A92,'[1]Resumen Donantes'!C:F,3,0),0))</f>
        <v>0</v>
      </c>
      <c r="C92" s="15">
        <f>INT(ROUND(IFERROR(VLOOKUP(A92,'[1]Resumen Donantes'!C:F,4,0),0),1))</f>
        <v>30</v>
      </c>
      <c r="D92" s="16">
        <f t="shared" si="36"/>
        <v>30</v>
      </c>
      <c r="E92" s="17" t="str">
        <f t="shared" si="37"/>
        <v>100.00%</v>
      </c>
      <c r="F92" s="17" t="str">
        <f t="shared" si="38"/>
        <v>0.0%</v>
      </c>
      <c r="G92" s="15">
        <f t="shared" si="40"/>
        <v>90</v>
      </c>
      <c r="H92" s="18"/>
      <c r="I92" s="18">
        <f>IFERROR(VLOOKUP(A92,'[1]Lot All by Part'!T:Y,6,0),0)</f>
        <v>0</v>
      </c>
      <c r="J92" s="18"/>
      <c r="K92" s="19">
        <f>IFERROR(VLOOKUP($A92,'[1]OB Atendidas por Donantes'!A:N,3,0),0)</f>
        <v>0</v>
      </c>
      <c r="L92" s="19">
        <f>ROUNDUP(IF(A92=0,0,IFERROR(VLOOKUP($A92,'[1]Kilos Asignado del Donante'!A:O,3,0),0)),0)</f>
        <v>0</v>
      </c>
      <c r="M92" s="19">
        <f>IF(A92=0,0,IFERROR(SUMIFS([1]Poblacion!M:M,[1]Poblacion!J:J,'MASTER-2025'!A92),0))</f>
        <v>0</v>
      </c>
      <c r="N92" s="20">
        <f>IFERROR(VLOOKUP($A92,'[1]OB Atendidas por Donantes'!A:N,4,0),0)</f>
        <v>0</v>
      </c>
      <c r="O92" s="20">
        <f>ROUNDUP(IF(A92=0,0,IFERROR(VLOOKUP($A92,'[1]Kilos Asignado del Donante'!A:O,4,0),0)),0)</f>
        <v>0</v>
      </c>
      <c r="P92" s="20">
        <f>IF(A92=0,0,IFERROR(SUMIFS([1]Poblacion!N:N,[1]Poblacion!J:J,'MASTER-2025'!A92),0))</f>
        <v>0</v>
      </c>
      <c r="Q92" s="18">
        <f>IFERROR(VLOOKUP($A92,'[1]OB Atendidas por Donantes'!A:N,2,0),0)</f>
        <v>0</v>
      </c>
      <c r="R92" s="18">
        <f>ROUNDUP(ROUND(IF(A92=0,0,IFERROR(VLOOKUP($A92,'[1]Kilos Asignado del Donante'!A:O,9,0),0)),1),0)</f>
        <v>0</v>
      </c>
      <c r="S92" s="18">
        <f>IF(A92=0,0,IFERROR(SUMIFS([1]Poblacion!S:S,[1]Poblacion!J:J,'MASTER-2025'!A92),0))</f>
        <v>0</v>
      </c>
      <c r="T92" s="19">
        <f>IFERROR(VLOOKUP($A92,'[1]OB Atendidas por Donantes'!A:N,12,0),0)</f>
        <v>0</v>
      </c>
      <c r="U92" s="19">
        <f>ROUNDUP(IF(A92=0,0,IF(A92=0,0,IFERROR(VLOOKUP($A92,'[1]Kilos Asignado del Donante'!A:O,7,0),0))),0)</f>
        <v>0</v>
      </c>
      <c r="V92" s="19">
        <f>IF(A92=0,0,IFERROR(SUMIFS([1]Poblacion!Q:Q,[1]Poblacion!J:J,'MASTER-2025'!A92),0))</f>
        <v>0</v>
      </c>
      <c r="W92" s="20">
        <f>IFERROR(VLOOKUP($A92,'[1]OB Atendidas por Donantes'!A:N,10,0),0)</f>
        <v>0</v>
      </c>
      <c r="X92" s="20">
        <f>ROUNDUP(IF(A92=0,0,IFERROR(VLOOKUP($A92,'[1]Kilos Asignado del Donante'!A:N,5,0),0)),0)</f>
        <v>0</v>
      </c>
      <c r="Y92" s="20">
        <f>IF(A92=0,0,IFERROR(SUMIFS([1]Poblacion!O:O,[1]Poblacion!J:J,'MASTER-2025'!A92),0))</f>
        <v>0</v>
      </c>
      <c r="Z92" s="18">
        <f>IFERROR(VLOOKUP($A92,'[1]OB Atendidas por Donantes'!A:N,6,0),0)</f>
        <v>0</v>
      </c>
      <c r="AA92" s="18">
        <f>ROUNDUP(IF(A92=0,0,IFERROR(VLOOKUP($A92,'[1]Kilos Asignado del Donante'!A:N,11,0),0)),0)</f>
        <v>0</v>
      </c>
      <c r="AB92" s="18">
        <f>IF(A92=0,0,IFERROR(SUMIFS([1]Poblacion!U:U,[1]Poblacion!J:J,'MASTER-2025'!A92),0))</f>
        <v>0</v>
      </c>
      <c r="AC92" s="19">
        <f>IFERROR(VLOOKUP($A92,'[1]OB Atendidas por Donantes'!A:N,7,0),0)</f>
        <v>0</v>
      </c>
      <c r="AD92" s="19">
        <f>ROUNDUP(IF(A92=0,0,IFERROR(VLOOKUP($A92,'[1]Kilos Asignado del Donante'!A:N,8,0),0)),0)</f>
        <v>0</v>
      </c>
      <c r="AE92" s="19">
        <f>IF(A92=0,0,IFERROR(SUMIFS([1]Poblacion!R:R,[1]Poblacion!J:J,'MASTER-2025'!A92),0))</f>
        <v>0</v>
      </c>
      <c r="AF92" s="20">
        <f>IFERROR(VLOOKUP($A92,'[1]OB Atendidas por Donantes'!A:N,8,0),0)</f>
        <v>0</v>
      </c>
      <c r="AG92" s="20">
        <f>ROUNDUP(IF(A92=0,0,IFERROR(VLOOKUP($A92,'[1]Kilos Asignado del Donante'!A:N,6,0),0)),0)</f>
        <v>0</v>
      </c>
      <c r="AH92" s="20">
        <f>IF(A92=0,0,IFERROR(SUMIFS([1]Poblacion!P:P,[1]Poblacion!J:J,'MASTER-2025'!A92),0))</f>
        <v>0</v>
      </c>
      <c r="AI92" s="18">
        <f>IFERROR(VLOOKUP($A92,'[1]OB Atendidas por Donantes'!A:N,9,0),0)</f>
        <v>0</v>
      </c>
      <c r="AJ92" s="18">
        <f>ROUNDUP(IF(A92=0,0,IFERROR(VLOOKUP($A92,'[1]Kilos Asignado del Donante'!A:N,12,0),0)),0)</f>
        <v>0</v>
      </c>
      <c r="AK92" s="18">
        <f>IF(A92=0,0,IFERROR(SUMIFS([1]Poblacion!V:V,[1]Poblacion!J:J,'MASTER-2025'!A92),0))</f>
        <v>0</v>
      </c>
      <c r="AL92" s="19">
        <f>IFERROR(VLOOKUP($A92,'[1]OB Atendidas por Donantes'!A:N,16,0),0)</f>
        <v>0</v>
      </c>
      <c r="AM92" s="19">
        <f>ROUNDUP(IF(A92=0,0,IFERROR(VLOOKUP($A92,'[1]Kilos Asignado del Donante'!A:O,16,0),0)),0)</f>
        <v>0</v>
      </c>
      <c r="AN92" s="19">
        <f>IF(A92=0,0,IFERROR(SUMIFS([1]Poblacion!Z:Z,[1]Poblacion!J:J,'MASTER-2025'!A92),0))</f>
        <v>0</v>
      </c>
      <c r="AO92" s="20">
        <f>IFERROR(VLOOKUP($A92,'[1]OB Atendidas por Donantes'!A:N,11,0),0)</f>
        <v>0</v>
      </c>
      <c r="AP92" s="20">
        <f>ROUNDUP(IF(A92=0,0,IFERROR(VLOOKUP($A92,'[1]Kilos Asignado del Donante'!A:N,13,0),0)),0)</f>
        <v>0</v>
      </c>
      <c r="AQ92" s="20">
        <f>IF(A92=0,0,IFERROR(SUMIFS([1]Poblacion!W:W,[1]Poblacion!J:J,'MASTER-2025'!A92),0))</f>
        <v>0</v>
      </c>
      <c r="AR92" s="18">
        <f>IFERROR(VLOOKUP($A92,'[1]OB Atendidas por Donantes'!A:N,5,0),0)</f>
        <v>0</v>
      </c>
      <c r="AS92" s="18">
        <f>ROUNDUP(IF(A92=0,0,IFERROR(VLOOKUP($A92,'[1]Kilos Asignado del Donante'!A:N,10,0),0)),0)</f>
        <v>0</v>
      </c>
      <c r="AT92" s="18">
        <f>IF(A92=0,0,IFERROR(SUMIFS([1]Poblacion!T:T,[1]Poblacion!J:J,'MASTER-2025'!A92),0))</f>
        <v>0</v>
      </c>
      <c r="AU92" s="19">
        <f>IFERROR(VLOOKUP($A92,'[1]OB Atendidas por Donantes'!A:N,13,0),0)</f>
        <v>0</v>
      </c>
      <c r="AV92" s="19">
        <f>ROUNDUP(IF(A92=0,0,IFERROR(VLOOKUP($A92,'[1]Kilos Asignado del Donante'!A:N,14,0),0)),0)</f>
        <v>0</v>
      </c>
      <c r="AW92" s="19">
        <f>IF(A92=0,0,IFERROR(SUMIFS([1]Poblacion!X:X,[1]Poblacion!J:J,'MASTER-2025'!A92),0))</f>
        <v>0</v>
      </c>
      <c r="AX92" s="20">
        <f>IFERROR(VLOOKUP($A92,'[1]OB Atendidas por Donantes'!A:N,16,0),0)</f>
        <v>0</v>
      </c>
      <c r="AY92" s="20">
        <f>ROUNDUP(IF(A92=0,0,IFERROR(VLOOKUP($A92,'[1]Kilos Asignado del Donante'!A:O,16,0),0)),0)</f>
        <v>0</v>
      </c>
      <c r="AZ92" s="20">
        <f>IF(A92=0,0,IFERROR(SUMIFS([1]Poblacion!Y:Y,[1]Poblacion!J:J,'MASTER-2025'!A92),0))</f>
        <v>0</v>
      </c>
      <c r="BA92" s="21">
        <f t="shared" si="34"/>
        <v>0</v>
      </c>
      <c r="BB92" s="21">
        <f t="shared" si="29"/>
        <v>0</v>
      </c>
      <c r="BC92" s="21">
        <f t="shared" si="39"/>
        <v>0</v>
      </c>
      <c r="BD92" s="21">
        <f t="shared" si="41"/>
        <v>0</v>
      </c>
      <c r="BE92" s="22" t="e">
        <f>IF(A92=0,0,SUMIFS([1]Poblacion!C:C,[1]Poblacion!A:A,'MASTER-2025'!A92))</f>
        <v>#VALUE!</v>
      </c>
      <c r="BF92" s="22" t="e">
        <f>IF(A92=0,0,SUMIFS([1]Poblacion!D:D,[1]Poblacion!A:A,'MASTER-2025'!A92))</f>
        <v>#VALUE!</v>
      </c>
      <c r="BG92" s="22" t="e">
        <f>IF(A92=0,0,SUMIFS([1]Poblacion!E:E,[1]Poblacion!A:A,'MASTER-2025'!A92))</f>
        <v>#VALUE!</v>
      </c>
      <c r="BH92" s="22" t="e">
        <f>IF(A92=0,0,SUMIFS([1]Poblacion!F:F,[1]Poblacion!A:A,'MASTER-2025'!A92))</f>
        <v>#VALUE!</v>
      </c>
      <c r="BI92" s="22" t="e">
        <f t="shared" si="35"/>
        <v>#VALUE!</v>
      </c>
      <c r="BJ92" s="23" t="e">
        <f t="shared" si="30"/>
        <v>#VALUE!</v>
      </c>
      <c r="BK92" s="22" t="e">
        <f>IF(A92=0,0,SUMIFS([1]Poblacion!G:G,[1]Poblacion!A:A,'MASTER-2025'!A92))</f>
        <v>#VALUE!</v>
      </c>
      <c r="BL92" s="24" cm="1">
        <f t="array" ref="BL92:BW92">IFERROR(VLOOKUP(A92,'[1]Acum-OB-kg-pob-25'!A:AQ,{3,4,5,6,7,8,9,10,11,12,13,14},0),0)</f>
        <v>0</v>
      </c>
      <c r="BM92" s="24">
        <v>0</v>
      </c>
      <c r="BN92" s="24">
        <v>0</v>
      </c>
      <c r="BO92" s="24">
        <v>0</v>
      </c>
      <c r="BP92" s="24">
        <v>0</v>
      </c>
      <c r="BQ92" s="24">
        <v>0</v>
      </c>
      <c r="BR92" s="24">
        <v>0</v>
      </c>
      <c r="BS92" s="24">
        <v>0</v>
      </c>
      <c r="BT92" s="24">
        <v>0</v>
      </c>
      <c r="BU92" s="24">
        <v>0</v>
      </c>
      <c r="BV92" s="24">
        <v>0</v>
      </c>
      <c r="BW92" s="24">
        <v>0</v>
      </c>
      <c r="BX92" s="24">
        <f t="shared" si="31"/>
        <v>0</v>
      </c>
      <c r="BY92" s="25" cm="1">
        <f t="array" ref="BY92:CJ92">IFERROR(VLOOKUP(A92,'[1]Acum-OB-kg-pob-25'!A:AQ,{17,18,19,20,21,22,23,24,25,26,27,28},0),0)</f>
        <v>0</v>
      </c>
      <c r="BZ92" s="25">
        <v>0</v>
      </c>
      <c r="CA92" s="25">
        <v>30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0</v>
      </c>
      <c r="CH92" s="25">
        <v>0</v>
      </c>
      <c r="CI92" s="25">
        <v>0</v>
      </c>
      <c r="CJ92" s="25">
        <v>0</v>
      </c>
      <c r="CK92" s="25">
        <f t="shared" si="32"/>
        <v>30</v>
      </c>
      <c r="CL92" s="26" cm="1">
        <f t="array" ref="CL92:CW92">IFERROR(VLOOKUP(A92,'[1]Acum-OB-kg-pob-25'!A:AQ,{31,32,33,34,35,36,37,38,39,40,41,42},0),0)</f>
        <v>0</v>
      </c>
      <c r="CM92" s="26">
        <v>0</v>
      </c>
      <c r="CN92" s="26">
        <v>0</v>
      </c>
      <c r="CO92" s="26">
        <v>0</v>
      </c>
      <c r="CP92" s="26">
        <v>0</v>
      </c>
      <c r="CQ92" s="26">
        <v>0</v>
      </c>
      <c r="CR92" s="26">
        <v>0</v>
      </c>
      <c r="CS92" s="26">
        <v>0</v>
      </c>
      <c r="CT92" s="26">
        <v>0</v>
      </c>
      <c r="CU92" s="26">
        <v>0</v>
      </c>
      <c r="CV92" s="26">
        <v>0</v>
      </c>
      <c r="CW92" s="26">
        <v>0</v>
      </c>
      <c r="CX92" s="26">
        <f t="shared" si="33"/>
        <v>0</v>
      </c>
      <c r="CY92" s="14" t="str">
        <f>IF(A92=0,0,IFERROR(VLOOKUP(A92,'[1]Info Donantes'!C:F,2,0),"Sin Contacto"))</f>
        <v>Sin Contacto</v>
      </c>
      <c r="CZ92" s="14" t="str">
        <f>IF(A92=0,0,IFERROR(VLOOKUP(A92,'[1]Info Donantes'!C:F,3,0),"Sin Correo"))</f>
        <v>Sin Correo</v>
      </c>
      <c r="DA92" s="14" t="str">
        <f>IF(A92=0,0,IFERROR(VLOOKUP(A92,'[1]Info Donantes'!C:F,4,0),"Sin Telefono"))</f>
        <v>Sin Telefono</v>
      </c>
      <c r="DB92" s="14" t="str">
        <f>IF(A92=0,0,"Reporte de Trazabiidad"&amp;" - "&amp;'[1]Resumen Donantes'!$C$2&amp;" - "&amp;A92&amp;"")</f>
        <v>Reporte de Trazabiidad -  - Panama Ship Warehouse</v>
      </c>
    </row>
    <row r="93" spans="1:106" x14ac:dyDescent="0.55000000000000004">
      <c r="A93" s="31" t="s">
        <v>197</v>
      </c>
      <c r="B93" s="15">
        <f>INT(IFERROR(VLOOKUP(A93,'[1]Resumen Donantes'!C:F,3,0),0))</f>
        <v>0</v>
      </c>
      <c r="C93" s="15">
        <f>INT(ROUND(IFERROR(VLOOKUP(A93,'[1]Resumen Donantes'!C:F,4,0),0),1))</f>
        <v>0</v>
      </c>
      <c r="D93" s="16">
        <f t="shared" si="36"/>
        <v>0</v>
      </c>
      <c r="E93" s="17" t="str">
        <f t="shared" si="37"/>
        <v>0.00%</v>
      </c>
      <c r="F93" s="17" t="str">
        <f t="shared" si="38"/>
        <v>0.0%</v>
      </c>
      <c r="G93" s="15">
        <f t="shared" si="40"/>
        <v>0</v>
      </c>
      <c r="H93" s="18"/>
      <c r="I93" s="18">
        <f>IFERROR(VLOOKUP(A93,'[1]Lot All by Part'!T:Y,6,0),0)</f>
        <v>0</v>
      </c>
      <c r="J93" s="18"/>
      <c r="K93" s="19">
        <f>IFERROR(VLOOKUP($A93,'[1]OB Atendidas por Donantes'!A:N,3,0),0)</f>
        <v>0</v>
      </c>
      <c r="L93" s="19">
        <f>ROUNDUP(IF(A93=0,0,IFERROR(VLOOKUP($A93,'[1]Kilos Asignado del Donante'!A:O,3,0),0)),0)</f>
        <v>0</v>
      </c>
      <c r="M93" s="19">
        <f>IF(A93=0,0,IFERROR(SUMIFS([1]Poblacion!M:M,[1]Poblacion!J:J,'MASTER-2025'!A93),0))</f>
        <v>0</v>
      </c>
      <c r="N93" s="20">
        <f>IFERROR(VLOOKUP($A93,'[1]OB Atendidas por Donantes'!A:N,4,0),0)</f>
        <v>0</v>
      </c>
      <c r="O93" s="20">
        <f>ROUNDUP(IF(A93=0,0,IFERROR(VLOOKUP($A93,'[1]Kilos Asignado del Donante'!A:O,4,0),0)),0)</f>
        <v>0</v>
      </c>
      <c r="P93" s="20">
        <f>IF(A93=0,0,IFERROR(SUMIFS([1]Poblacion!N:N,[1]Poblacion!J:J,'MASTER-2025'!A93),0))</f>
        <v>0</v>
      </c>
      <c r="Q93" s="18">
        <f>IFERROR(VLOOKUP($A93,'[1]OB Atendidas por Donantes'!A:N,2,0),0)</f>
        <v>0</v>
      </c>
      <c r="R93" s="18">
        <f>ROUNDUP(ROUND(IF(A93=0,0,IFERROR(VLOOKUP($A93,'[1]Kilos Asignado del Donante'!A:O,9,0),0)),1),0)</f>
        <v>0</v>
      </c>
      <c r="S93" s="18">
        <f>IF(A93=0,0,IFERROR(SUMIFS([1]Poblacion!S:S,[1]Poblacion!J:J,'MASTER-2025'!A93),0))</f>
        <v>0</v>
      </c>
      <c r="T93" s="19">
        <f>IFERROR(VLOOKUP($A93,'[1]OB Atendidas por Donantes'!A:N,12,0),0)</f>
        <v>0</v>
      </c>
      <c r="U93" s="19">
        <f>ROUNDUP(IF(A93=0,0,IF(A93=0,0,IFERROR(VLOOKUP($A93,'[1]Kilos Asignado del Donante'!A:O,7,0),0))),0)</f>
        <v>0</v>
      </c>
      <c r="V93" s="19">
        <f>IF(A93=0,0,IFERROR(SUMIFS([1]Poblacion!Q:Q,[1]Poblacion!J:J,'MASTER-2025'!A93),0))</f>
        <v>0</v>
      </c>
      <c r="W93" s="20">
        <f>IFERROR(VLOOKUP($A93,'[1]OB Atendidas por Donantes'!A:N,10,0),0)</f>
        <v>0</v>
      </c>
      <c r="X93" s="20">
        <f>ROUNDUP(IF(A93=0,0,IFERROR(VLOOKUP($A93,'[1]Kilos Asignado del Donante'!A:N,5,0),0)),0)</f>
        <v>0</v>
      </c>
      <c r="Y93" s="20">
        <f>IF(A93=0,0,IFERROR(SUMIFS([1]Poblacion!O:O,[1]Poblacion!J:J,'MASTER-2025'!A93),0))</f>
        <v>0</v>
      </c>
      <c r="Z93" s="18">
        <f>IFERROR(VLOOKUP($A93,'[1]OB Atendidas por Donantes'!A:N,6,0),0)</f>
        <v>0</v>
      </c>
      <c r="AA93" s="18">
        <f>ROUNDUP(IF(A93=0,0,IFERROR(VLOOKUP($A93,'[1]Kilos Asignado del Donante'!A:N,11,0),0)),0)</f>
        <v>0</v>
      </c>
      <c r="AB93" s="18">
        <f>IF(A93=0,0,IFERROR(SUMIFS([1]Poblacion!U:U,[1]Poblacion!J:J,'MASTER-2025'!A93),0))</f>
        <v>0</v>
      </c>
      <c r="AC93" s="19">
        <f>IFERROR(VLOOKUP($A93,'[1]OB Atendidas por Donantes'!A:N,7,0),0)</f>
        <v>0</v>
      </c>
      <c r="AD93" s="19">
        <f>ROUNDUP(IF(A93=0,0,IFERROR(VLOOKUP($A93,'[1]Kilos Asignado del Donante'!A:N,8,0),0)),0)</f>
        <v>0</v>
      </c>
      <c r="AE93" s="19">
        <f>IF(A93=0,0,IFERROR(SUMIFS([1]Poblacion!R:R,[1]Poblacion!J:J,'MASTER-2025'!A93),0))</f>
        <v>0</v>
      </c>
      <c r="AF93" s="20">
        <f>IFERROR(VLOOKUP($A93,'[1]OB Atendidas por Donantes'!A:N,8,0),0)</f>
        <v>0</v>
      </c>
      <c r="AG93" s="20">
        <f>ROUNDUP(IF(A93=0,0,IFERROR(VLOOKUP($A93,'[1]Kilos Asignado del Donante'!A:N,6,0),0)),0)</f>
        <v>0</v>
      </c>
      <c r="AH93" s="20">
        <f>IF(A93=0,0,IFERROR(SUMIFS([1]Poblacion!P:P,[1]Poblacion!J:J,'MASTER-2025'!A93),0))</f>
        <v>0</v>
      </c>
      <c r="AI93" s="18">
        <f>IFERROR(VLOOKUP($A93,'[1]OB Atendidas por Donantes'!A:N,9,0),0)</f>
        <v>0</v>
      </c>
      <c r="AJ93" s="18">
        <f>ROUNDUP(IF(A93=0,0,IFERROR(VLOOKUP($A93,'[1]Kilos Asignado del Donante'!A:N,12,0),0)),0)</f>
        <v>0</v>
      </c>
      <c r="AK93" s="18">
        <f>IF(A93=0,0,IFERROR(SUMIFS([1]Poblacion!V:V,[1]Poblacion!J:J,'MASTER-2025'!A93),0))</f>
        <v>0</v>
      </c>
      <c r="AL93" s="19">
        <f>IFERROR(VLOOKUP($A93,'[1]OB Atendidas por Donantes'!A:N,16,0),0)</f>
        <v>0</v>
      </c>
      <c r="AM93" s="19">
        <f>ROUNDUP(IF(A93=0,0,IFERROR(VLOOKUP($A93,'[1]Kilos Asignado del Donante'!A:O,16,0),0)),0)</f>
        <v>0</v>
      </c>
      <c r="AN93" s="19">
        <f>IF(A93=0,0,IFERROR(SUMIFS([1]Poblacion!Z:Z,[1]Poblacion!J:J,'MASTER-2025'!A93),0))</f>
        <v>0</v>
      </c>
      <c r="AO93" s="20">
        <f>IFERROR(VLOOKUP($A93,'[1]OB Atendidas por Donantes'!A:N,11,0),0)</f>
        <v>0</v>
      </c>
      <c r="AP93" s="20">
        <f>ROUNDUP(IF(A93=0,0,IFERROR(VLOOKUP($A93,'[1]Kilos Asignado del Donante'!A:N,13,0),0)),0)</f>
        <v>0</v>
      </c>
      <c r="AQ93" s="20">
        <f>IF(A93=0,0,IFERROR(SUMIFS([1]Poblacion!W:W,[1]Poblacion!J:J,'MASTER-2025'!A93),0))</f>
        <v>0</v>
      </c>
      <c r="AR93" s="18">
        <f>IFERROR(VLOOKUP($A93,'[1]OB Atendidas por Donantes'!A:N,5,0),0)</f>
        <v>0</v>
      </c>
      <c r="AS93" s="18">
        <f>ROUNDUP(IF(A93=0,0,IFERROR(VLOOKUP($A93,'[1]Kilos Asignado del Donante'!A:N,10,0),0)),0)</f>
        <v>0</v>
      </c>
      <c r="AT93" s="18">
        <f>IF(A93=0,0,IFERROR(SUMIFS([1]Poblacion!T:T,[1]Poblacion!J:J,'MASTER-2025'!A93),0))</f>
        <v>0</v>
      </c>
      <c r="AU93" s="19">
        <f>IFERROR(VLOOKUP($A93,'[1]OB Atendidas por Donantes'!A:N,13,0),0)</f>
        <v>0</v>
      </c>
      <c r="AV93" s="19">
        <f>ROUNDUP(IF(A93=0,0,IFERROR(VLOOKUP($A93,'[1]Kilos Asignado del Donante'!A:N,14,0),0)),0)</f>
        <v>0</v>
      </c>
      <c r="AW93" s="19">
        <f>IF(A93=0,0,IFERROR(SUMIFS([1]Poblacion!X:X,[1]Poblacion!J:J,'MASTER-2025'!A93),0))</f>
        <v>0</v>
      </c>
      <c r="AX93" s="20">
        <f>IFERROR(VLOOKUP($A93,'[1]OB Atendidas por Donantes'!A:N,16,0),0)</f>
        <v>0</v>
      </c>
      <c r="AY93" s="20">
        <f>ROUNDUP(IF(A93=0,0,IFERROR(VLOOKUP($A93,'[1]Kilos Asignado del Donante'!A:O,16,0),0)),0)</f>
        <v>0</v>
      </c>
      <c r="AZ93" s="20">
        <f>IF(A93=0,0,IFERROR(SUMIFS([1]Poblacion!Y:Y,[1]Poblacion!J:J,'MASTER-2025'!A93),0))</f>
        <v>0</v>
      </c>
      <c r="BA93" s="21">
        <f t="shared" si="34"/>
        <v>0</v>
      </c>
      <c r="BB93" s="21">
        <f t="shared" si="29"/>
        <v>0</v>
      </c>
      <c r="BC93" s="21">
        <f t="shared" si="39"/>
        <v>0</v>
      </c>
      <c r="BD93" s="21">
        <f t="shared" si="41"/>
        <v>0</v>
      </c>
      <c r="BE93" s="22" t="e">
        <f>IF(A93=0,0,SUMIFS([1]Poblacion!C:C,[1]Poblacion!A:A,'MASTER-2025'!A93))</f>
        <v>#VALUE!</v>
      </c>
      <c r="BF93" s="22" t="e">
        <f>IF(A93=0,0,SUMIFS([1]Poblacion!D:D,[1]Poblacion!A:A,'MASTER-2025'!A93))</f>
        <v>#VALUE!</v>
      </c>
      <c r="BG93" s="22" t="e">
        <f>IF(A93=0,0,SUMIFS([1]Poblacion!E:E,[1]Poblacion!A:A,'MASTER-2025'!A93))</f>
        <v>#VALUE!</v>
      </c>
      <c r="BH93" s="22" t="e">
        <f>IF(A93=0,0,SUMIFS([1]Poblacion!F:F,[1]Poblacion!A:A,'MASTER-2025'!A93))</f>
        <v>#VALUE!</v>
      </c>
      <c r="BI93" s="22" t="e">
        <f t="shared" si="35"/>
        <v>#VALUE!</v>
      </c>
      <c r="BJ93" s="23" t="e">
        <f t="shared" si="30"/>
        <v>#VALUE!</v>
      </c>
      <c r="BK93" s="22" t="e">
        <f>IF(A93=0,0,SUMIFS([1]Poblacion!G:G,[1]Poblacion!A:A,'MASTER-2025'!A93))</f>
        <v>#VALUE!</v>
      </c>
      <c r="BL93" s="24" cm="1">
        <f t="array" ref="BL93:BW93">IFERROR(VLOOKUP(A93,'[1]Acum-OB-kg-pob-25'!A:AQ,{3,4,5,6,7,8,9,10,11,12,13,14},0),0)</f>
        <v>0</v>
      </c>
      <c r="BM93" s="24">
        <v>0</v>
      </c>
      <c r="BN93" s="24">
        <v>0</v>
      </c>
      <c r="BO93" s="24">
        <v>0</v>
      </c>
      <c r="BP93" s="24">
        <v>0</v>
      </c>
      <c r="BQ93" s="24">
        <v>0</v>
      </c>
      <c r="BR93" s="24">
        <v>0</v>
      </c>
      <c r="BS93" s="24">
        <v>0</v>
      </c>
      <c r="BT93" s="24">
        <v>0</v>
      </c>
      <c r="BU93" s="24">
        <v>0</v>
      </c>
      <c r="BV93" s="24">
        <v>0</v>
      </c>
      <c r="BW93" s="24">
        <v>0</v>
      </c>
      <c r="BX93" s="24">
        <f t="shared" si="31"/>
        <v>0</v>
      </c>
      <c r="BY93" s="25" cm="1">
        <f t="array" ref="BY93:CJ93">IFERROR(VLOOKUP(A93,'[1]Acum-OB-kg-pob-25'!A:AQ,{17,18,19,20,21,22,23,24,25,26,27,28},0),0)</f>
        <v>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0</v>
      </c>
      <c r="CH93" s="25">
        <v>0</v>
      </c>
      <c r="CI93" s="25">
        <v>0</v>
      </c>
      <c r="CJ93" s="25">
        <v>0</v>
      </c>
      <c r="CK93" s="25">
        <f t="shared" si="32"/>
        <v>0</v>
      </c>
      <c r="CL93" s="26" cm="1">
        <f t="array" ref="CL93:CW93">IFERROR(VLOOKUP(A93,'[1]Acum-OB-kg-pob-25'!A:AQ,{31,32,33,34,35,36,37,38,39,40,41,42},0),0)</f>
        <v>0</v>
      </c>
      <c r="CM93" s="26">
        <v>0</v>
      </c>
      <c r="CN93" s="26">
        <v>0</v>
      </c>
      <c r="CO93" s="26">
        <v>0</v>
      </c>
      <c r="CP93" s="26">
        <v>0</v>
      </c>
      <c r="CQ93" s="26">
        <v>0</v>
      </c>
      <c r="CR93" s="26">
        <v>0</v>
      </c>
      <c r="CS93" s="26">
        <v>0</v>
      </c>
      <c r="CT93" s="26">
        <v>0</v>
      </c>
      <c r="CU93" s="26">
        <v>0</v>
      </c>
      <c r="CV93" s="26">
        <v>0</v>
      </c>
      <c r="CW93" s="26">
        <v>0</v>
      </c>
      <c r="CX93" s="26">
        <f t="shared" si="33"/>
        <v>0</v>
      </c>
      <c r="CY93" s="14" t="str">
        <f>IF(A93=0,0,IFERROR(VLOOKUP(A93,'[1]Info Donantes'!C:F,2,0),"Sin Contacto"))</f>
        <v>Sin Contacto</v>
      </c>
      <c r="CZ93" s="14" t="str">
        <f>IF(A93=0,0,IFERROR(VLOOKUP(A93,'[1]Info Donantes'!C:F,3,0),"Sin Correo"))</f>
        <v>Sin Correo</v>
      </c>
      <c r="DA93" s="14" t="str">
        <f>IF(A93=0,0,IFERROR(VLOOKUP(A93,'[1]Info Donantes'!C:F,4,0),"Sin Telefono"))</f>
        <v>Sin Telefono</v>
      </c>
      <c r="DB93" s="14" t="str">
        <f>IF(A93=0,0,"Reporte de Trazabiidad"&amp;" - "&amp;'[1]Resumen Donantes'!$C$2&amp;" - "&amp;A93&amp;"")</f>
        <v>Reporte de Trazabiidad -  - Comercializadora Continental Santana S.A. (Costa Group)</v>
      </c>
    </row>
    <row r="94" spans="1:106" x14ac:dyDescent="0.55000000000000004">
      <c r="A94" s="31" t="s">
        <v>198</v>
      </c>
      <c r="B94" s="15">
        <f>INT(IFERROR(VLOOKUP(A94,'[1]Resumen Donantes'!C:F,3,0),0))</f>
        <v>0</v>
      </c>
      <c r="C94" s="15">
        <f>INT(ROUND(IFERROR(VLOOKUP(A94,'[1]Resumen Donantes'!C:F,4,0),0),1))</f>
        <v>0</v>
      </c>
      <c r="D94" s="16">
        <f t="shared" si="36"/>
        <v>0</v>
      </c>
      <c r="E94" s="17" t="str">
        <f t="shared" si="37"/>
        <v>0.00%</v>
      </c>
      <c r="F94" s="17" t="str">
        <f t="shared" si="38"/>
        <v>0.0%</v>
      </c>
      <c r="G94" s="15">
        <f t="shared" si="40"/>
        <v>0</v>
      </c>
      <c r="H94" s="18"/>
      <c r="I94" s="18">
        <f>IFERROR(VLOOKUP(A94,'[1]Lot All by Part'!T:Y,6,0),0)</f>
        <v>0</v>
      </c>
      <c r="J94" s="18"/>
      <c r="K94" s="19">
        <f>IFERROR(VLOOKUP($A94,'[1]OB Atendidas por Donantes'!A:N,3,0),0)</f>
        <v>0</v>
      </c>
      <c r="L94" s="19">
        <f>ROUNDUP(IF(A94=0,0,IFERROR(VLOOKUP($A94,'[1]Kilos Asignado del Donante'!A:O,3,0),0)),0)</f>
        <v>0</v>
      </c>
      <c r="M94" s="19">
        <f>IF(A94=0,0,IFERROR(SUMIFS([1]Poblacion!M:M,[1]Poblacion!J:J,'MASTER-2025'!A94),0))</f>
        <v>0</v>
      </c>
      <c r="N94" s="20">
        <f>IFERROR(VLOOKUP($A94,'[1]OB Atendidas por Donantes'!A:N,4,0),0)</f>
        <v>0</v>
      </c>
      <c r="O94" s="20">
        <f>ROUNDUP(IF(A94=0,0,IFERROR(VLOOKUP($A94,'[1]Kilos Asignado del Donante'!A:O,4,0),0)),0)</f>
        <v>0</v>
      </c>
      <c r="P94" s="20">
        <f>IF(A94=0,0,IFERROR(SUMIFS([1]Poblacion!N:N,[1]Poblacion!J:J,'MASTER-2025'!A94),0))</f>
        <v>0</v>
      </c>
      <c r="Q94" s="18">
        <f>IFERROR(VLOOKUP($A94,'[1]OB Atendidas por Donantes'!A:N,2,0),0)</f>
        <v>0</v>
      </c>
      <c r="R94" s="18">
        <f>ROUNDUP(ROUND(IF(A94=0,0,IFERROR(VLOOKUP($A94,'[1]Kilos Asignado del Donante'!A:O,9,0),0)),1),0)</f>
        <v>0</v>
      </c>
      <c r="S94" s="18">
        <f>IF(A94=0,0,IFERROR(SUMIFS([1]Poblacion!S:S,[1]Poblacion!J:J,'MASTER-2025'!A94),0))</f>
        <v>0</v>
      </c>
      <c r="T94" s="19">
        <f>IFERROR(VLOOKUP($A94,'[1]OB Atendidas por Donantes'!A:N,12,0),0)</f>
        <v>0</v>
      </c>
      <c r="U94" s="19">
        <f>ROUNDUP(IF(A94=0,0,IF(A94=0,0,IFERROR(VLOOKUP($A94,'[1]Kilos Asignado del Donante'!A:O,7,0),0))),0)</f>
        <v>0</v>
      </c>
      <c r="V94" s="19">
        <f>IF(A94=0,0,IFERROR(SUMIFS([1]Poblacion!Q:Q,[1]Poblacion!J:J,'MASTER-2025'!A94),0))</f>
        <v>0</v>
      </c>
      <c r="W94" s="20">
        <f>IFERROR(VLOOKUP($A94,'[1]OB Atendidas por Donantes'!A:N,10,0),0)</f>
        <v>0</v>
      </c>
      <c r="X94" s="20">
        <f>ROUNDUP(IF(A94=0,0,IFERROR(VLOOKUP($A94,'[1]Kilos Asignado del Donante'!A:N,5,0),0)),0)</f>
        <v>0</v>
      </c>
      <c r="Y94" s="20">
        <f>IF(A94=0,0,IFERROR(SUMIFS([1]Poblacion!O:O,[1]Poblacion!J:J,'MASTER-2025'!A94),0))</f>
        <v>0</v>
      </c>
      <c r="Z94" s="18">
        <f>IFERROR(VLOOKUP($A94,'[1]OB Atendidas por Donantes'!A:N,6,0),0)</f>
        <v>0</v>
      </c>
      <c r="AA94" s="18">
        <f>ROUNDUP(IF(A94=0,0,IFERROR(VLOOKUP($A94,'[1]Kilos Asignado del Donante'!A:N,11,0),0)),0)</f>
        <v>0</v>
      </c>
      <c r="AB94" s="18">
        <f>IF(A94=0,0,IFERROR(SUMIFS([1]Poblacion!U:U,[1]Poblacion!J:J,'MASTER-2025'!A94),0))</f>
        <v>0</v>
      </c>
      <c r="AC94" s="19">
        <f>IFERROR(VLOOKUP($A94,'[1]OB Atendidas por Donantes'!A:N,7,0),0)</f>
        <v>0</v>
      </c>
      <c r="AD94" s="19">
        <f>ROUNDUP(IF(A94=0,0,IFERROR(VLOOKUP($A94,'[1]Kilos Asignado del Donante'!A:N,8,0),0)),0)</f>
        <v>0</v>
      </c>
      <c r="AE94" s="19">
        <f>IF(A94=0,0,IFERROR(SUMIFS([1]Poblacion!R:R,[1]Poblacion!J:J,'MASTER-2025'!A94),0))</f>
        <v>0</v>
      </c>
      <c r="AF94" s="20">
        <f>IFERROR(VLOOKUP($A94,'[1]OB Atendidas por Donantes'!A:N,8,0),0)</f>
        <v>0</v>
      </c>
      <c r="AG94" s="20">
        <f>ROUNDUP(IF(A94=0,0,IFERROR(VLOOKUP($A94,'[1]Kilos Asignado del Donante'!A:N,6,0),0)),0)</f>
        <v>0</v>
      </c>
      <c r="AH94" s="20">
        <f>IF(A94=0,0,IFERROR(SUMIFS([1]Poblacion!P:P,[1]Poblacion!J:J,'MASTER-2025'!A94),0))</f>
        <v>0</v>
      </c>
      <c r="AI94" s="18">
        <f>IFERROR(VLOOKUP($A94,'[1]OB Atendidas por Donantes'!A:N,9,0),0)</f>
        <v>0</v>
      </c>
      <c r="AJ94" s="18">
        <f>ROUNDUP(IF(A94=0,0,IFERROR(VLOOKUP($A94,'[1]Kilos Asignado del Donante'!A:N,12,0),0)),0)</f>
        <v>0</v>
      </c>
      <c r="AK94" s="18">
        <f>IF(A94=0,0,IFERROR(SUMIFS([1]Poblacion!V:V,[1]Poblacion!J:J,'MASTER-2025'!A94),0))</f>
        <v>0</v>
      </c>
      <c r="AL94" s="19">
        <f>IFERROR(VLOOKUP($A94,'[1]OB Atendidas por Donantes'!A:N,16,0),0)</f>
        <v>0</v>
      </c>
      <c r="AM94" s="19">
        <f>ROUNDUP(IF(A94=0,0,IFERROR(VLOOKUP($A94,'[1]Kilos Asignado del Donante'!A:O,16,0),0)),0)</f>
        <v>0</v>
      </c>
      <c r="AN94" s="19">
        <f>IF(A94=0,0,IFERROR(SUMIFS([1]Poblacion!Z:Z,[1]Poblacion!J:J,'MASTER-2025'!A94),0))</f>
        <v>0</v>
      </c>
      <c r="AO94" s="20">
        <f>IFERROR(VLOOKUP($A94,'[1]OB Atendidas por Donantes'!A:N,11,0),0)</f>
        <v>0</v>
      </c>
      <c r="AP94" s="20">
        <f>ROUNDUP(IF(A94=0,0,IFERROR(VLOOKUP($A94,'[1]Kilos Asignado del Donante'!A:N,13,0),0)),0)</f>
        <v>0</v>
      </c>
      <c r="AQ94" s="20">
        <f>IF(A94=0,0,IFERROR(SUMIFS([1]Poblacion!W:W,[1]Poblacion!J:J,'MASTER-2025'!A94),0))</f>
        <v>0</v>
      </c>
      <c r="AR94" s="18">
        <f>IFERROR(VLOOKUP($A94,'[1]OB Atendidas por Donantes'!A:N,5,0),0)</f>
        <v>0</v>
      </c>
      <c r="AS94" s="18">
        <f>ROUNDUP(IF(A94=0,0,IFERROR(VLOOKUP($A94,'[1]Kilos Asignado del Donante'!A:N,10,0),0)),0)</f>
        <v>0</v>
      </c>
      <c r="AT94" s="18">
        <f>IF(A94=0,0,IFERROR(SUMIFS([1]Poblacion!T:T,[1]Poblacion!J:J,'MASTER-2025'!A94),0))</f>
        <v>0</v>
      </c>
      <c r="AU94" s="19">
        <f>IFERROR(VLOOKUP($A94,'[1]OB Atendidas por Donantes'!A:N,13,0),0)</f>
        <v>0</v>
      </c>
      <c r="AV94" s="19">
        <f>ROUNDUP(IF(A94=0,0,IFERROR(VLOOKUP($A94,'[1]Kilos Asignado del Donante'!A:N,14,0),0)),0)</f>
        <v>0</v>
      </c>
      <c r="AW94" s="19">
        <f>IF(A94=0,0,IFERROR(SUMIFS([1]Poblacion!X:X,[1]Poblacion!J:J,'MASTER-2025'!A94),0))</f>
        <v>0</v>
      </c>
      <c r="AX94" s="20">
        <f>IFERROR(VLOOKUP($A94,'[1]OB Atendidas por Donantes'!A:N,16,0),0)</f>
        <v>0</v>
      </c>
      <c r="AY94" s="20">
        <f>ROUNDUP(IF(A94=0,0,IFERROR(VLOOKUP($A94,'[1]Kilos Asignado del Donante'!A:O,16,0),0)),0)</f>
        <v>0</v>
      </c>
      <c r="AZ94" s="20">
        <f>IF(A94=0,0,IFERROR(SUMIFS([1]Poblacion!Y:Y,[1]Poblacion!J:J,'MASTER-2025'!A94),0))</f>
        <v>0</v>
      </c>
      <c r="BA94" s="21">
        <f t="shared" si="34"/>
        <v>0</v>
      </c>
      <c r="BB94" s="21">
        <f t="shared" si="29"/>
        <v>0</v>
      </c>
      <c r="BC94" s="21">
        <f t="shared" si="39"/>
        <v>0</v>
      </c>
      <c r="BD94" s="21">
        <f t="shared" si="41"/>
        <v>0</v>
      </c>
      <c r="BE94" s="22" t="e">
        <f>IF(A94=0,0,SUMIFS([1]Poblacion!C:C,[1]Poblacion!A:A,'MASTER-2025'!A94))</f>
        <v>#VALUE!</v>
      </c>
      <c r="BF94" s="22" t="e">
        <f>IF(A94=0,0,SUMIFS([1]Poblacion!D:D,[1]Poblacion!A:A,'MASTER-2025'!A94))</f>
        <v>#VALUE!</v>
      </c>
      <c r="BG94" s="22" t="e">
        <f>IF(A94=0,0,SUMIFS([1]Poblacion!E:E,[1]Poblacion!A:A,'MASTER-2025'!A94))</f>
        <v>#VALUE!</v>
      </c>
      <c r="BH94" s="22" t="e">
        <f>IF(A94=0,0,SUMIFS([1]Poblacion!F:F,[1]Poblacion!A:A,'MASTER-2025'!A94))</f>
        <v>#VALUE!</v>
      </c>
      <c r="BI94" s="22" t="e">
        <f t="shared" si="35"/>
        <v>#VALUE!</v>
      </c>
      <c r="BJ94" s="23" t="e">
        <f t="shared" si="30"/>
        <v>#VALUE!</v>
      </c>
      <c r="BK94" s="22" t="e">
        <f>IF(A94=0,0,SUMIFS([1]Poblacion!G:G,[1]Poblacion!A:A,'MASTER-2025'!A94))</f>
        <v>#VALUE!</v>
      </c>
      <c r="BL94" s="24" cm="1">
        <f t="array" ref="BL94:BW94">IFERROR(VLOOKUP(A94,'[1]Acum-OB-kg-pob-25'!A:AQ,{3,4,5,6,7,8,9,10,11,12,13,14},0),0)</f>
        <v>0</v>
      </c>
      <c r="BM94" s="24">
        <v>0</v>
      </c>
      <c r="BN94" s="24">
        <v>0</v>
      </c>
      <c r="BO94" s="24">
        <v>0</v>
      </c>
      <c r="BP94" s="24">
        <v>0</v>
      </c>
      <c r="BQ94" s="24">
        <v>0</v>
      </c>
      <c r="BR94" s="24">
        <v>0</v>
      </c>
      <c r="BS94" s="24">
        <v>0</v>
      </c>
      <c r="BT94" s="24">
        <v>0</v>
      </c>
      <c r="BU94" s="24">
        <v>0</v>
      </c>
      <c r="BV94" s="24">
        <v>0</v>
      </c>
      <c r="BW94" s="24">
        <v>0</v>
      </c>
      <c r="BX94" s="24">
        <f t="shared" si="31"/>
        <v>0</v>
      </c>
      <c r="BY94" s="25" cm="1">
        <f t="array" ref="BY94:CJ94">IFERROR(VLOOKUP(A94,'[1]Acum-OB-kg-pob-25'!A:AQ,{17,18,19,20,21,22,23,24,25,26,27,28},0),0)</f>
        <v>0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0</v>
      </c>
      <c r="CH94" s="25">
        <v>0</v>
      </c>
      <c r="CI94" s="25">
        <v>0</v>
      </c>
      <c r="CJ94" s="25">
        <v>0</v>
      </c>
      <c r="CK94" s="25">
        <f t="shared" si="32"/>
        <v>0</v>
      </c>
      <c r="CL94" s="26" cm="1">
        <f t="array" ref="CL94:CW94">IFERROR(VLOOKUP(A94,'[1]Acum-OB-kg-pob-25'!A:AQ,{31,32,33,34,35,36,37,38,39,40,41,42},0),0)</f>
        <v>0</v>
      </c>
      <c r="CM94" s="26">
        <v>0</v>
      </c>
      <c r="CN94" s="26">
        <v>0</v>
      </c>
      <c r="CO94" s="26">
        <v>0</v>
      </c>
      <c r="CP94" s="26">
        <v>0</v>
      </c>
      <c r="CQ94" s="26">
        <v>0</v>
      </c>
      <c r="CR94" s="26">
        <v>0</v>
      </c>
      <c r="CS94" s="26">
        <v>0</v>
      </c>
      <c r="CT94" s="26">
        <v>0</v>
      </c>
      <c r="CU94" s="26">
        <v>0</v>
      </c>
      <c r="CV94" s="26">
        <v>0</v>
      </c>
      <c r="CW94" s="26">
        <v>0</v>
      </c>
      <c r="CX94" s="26">
        <f t="shared" si="33"/>
        <v>0</v>
      </c>
      <c r="CY94" s="14" t="str">
        <f>IF(A94=0,0,IFERROR(VLOOKUP(A94,'[1]Info Donantes'!C:F,2,0),"Sin Contacto"))</f>
        <v>Vivian Barahona</v>
      </c>
      <c r="CZ94" s="14">
        <f>IF(A94=0,0,IFERROR(VLOOKUP(A94,'[1]Info Donantes'!C:F,3,0),"Sin Correo"))</f>
        <v>0</v>
      </c>
      <c r="DA94" s="14" t="str">
        <f>IF(A94=0,0,IFERROR(VLOOKUP(A94,'[1]Info Donantes'!C:F,4,0),"Sin Telefono"))</f>
        <v>340-3422</v>
      </c>
      <c r="DB94" s="14" t="str">
        <f>IF(A94=0,0,"Reporte de Trazabiidad"&amp;" - "&amp;'[1]Resumen Donantes'!$C$2&amp;" - "&amp;A94&amp;"")</f>
        <v>Reporte de Trazabiidad -  - GRUPO BARSASH, S.A</v>
      </c>
    </row>
    <row r="95" spans="1:106" x14ac:dyDescent="0.55000000000000004">
      <c r="A95" s="31" t="s">
        <v>199</v>
      </c>
      <c r="B95" s="15">
        <f>INT(IFERROR(VLOOKUP(A95,'[1]Resumen Donantes'!C:F,3,0),0))</f>
        <v>0</v>
      </c>
      <c r="C95" s="15">
        <f>INT(ROUND(IFERROR(VLOOKUP(A95,'[1]Resumen Donantes'!C:F,4,0),0),1))</f>
        <v>0</v>
      </c>
      <c r="D95" s="16">
        <f t="shared" si="36"/>
        <v>0</v>
      </c>
      <c r="E95" s="17" t="str">
        <f t="shared" si="37"/>
        <v>0.00%</v>
      </c>
      <c r="F95" s="17" t="str">
        <f t="shared" si="38"/>
        <v>0.0%</v>
      </c>
      <c r="G95" s="15">
        <f t="shared" si="40"/>
        <v>0</v>
      </c>
      <c r="H95" s="18"/>
      <c r="I95" s="18">
        <f>IFERROR(VLOOKUP(A95,'[1]Lot All by Part'!T:Y,6,0),0)</f>
        <v>0</v>
      </c>
      <c r="J95" s="18"/>
      <c r="K95" s="19">
        <f>IFERROR(VLOOKUP($A95,'[1]OB Atendidas por Donantes'!A:N,3,0),0)</f>
        <v>0</v>
      </c>
      <c r="L95" s="19">
        <f>ROUNDUP(IF(A95=0,0,IFERROR(VLOOKUP($A95,'[1]Kilos Asignado del Donante'!A:O,3,0),0)),0)</f>
        <v>0</v>
      </c>
      <c r="M95" s="19">
        <f>IF(A95=0,0,IFERROR(SUMIFS([1]Poblacion!M:M,[1]Poblacion!J:J,'MASTER-2025'!A95),0))</f>
        <v>0</v>
      </c>
      <c r="N95" s="20">
        <f>IFERROR(VLOOKUP($A95,'[1]OB Atendidas por Donantes'!A:N,4,0),0)</f>
        <v>0</v>
      </c>
      <c r="O95" s="20">
        <f>ROUNDUP(IF(A95=0,0,IFERROR(VLOOKUP($A95,'[1]Kilos Asignado del Donante'!A:O,4,0),0)),0)</f>
        <v>0</v>
      </c>
      <c r="P95" s="20">
        <f>IF(A95=0,0,IFERROR(SUMIFS([1]Poblacion!N:N,[1]Poblacion!J:J,'MASTER-2025'!A95),0))</f>
        <v>0</v>
      </c>
      <c r="Q95" s="18">
        <f>IFERROR(VLOOKUP($A95,'[1]OB Atendidas por Donantes'!A:N,2,0),0)</f>
        <v>0</v>
      </c>
      <c r="R95" s="18">
        <f>ROUNDUP(ROUND(IF(A95=0,0,IFERROR(VLOOKUP($A95,'[1]Kilos Asignado del Donante'!A:O,9,0),0)),1),0)</f>
        <v>0</v>
      </c>
      <c r="S95" s="18">
        <f>IF(A95=0,0,IFERROR(SUMIFS([1]Poblacion!S:S,[1]Poblacion!J:J,'MASTER-2025'!A95),0))</f>
        <v>0</v>
      </c>
      <c r="T95" s="19">
        <f>IFERROR(VLOOKUP($A95,'[1]OB Atendidas por Donantes'!A:N,12,0),0)</f>
        <v>0</v>
      </c>
      <c r="U95" s="19">
        <f>ROUNDUP(IF(A95=0,0,IF(A95=0,0,IFERROR(VLOOKUP($A95,'[1]Kilos Asignado del Donante'!A:O,7,0),0))),0)</f>
        <v>0</v>
      </c>
      <c r="V95" s="19">
        <f>IF(A95=0,0,IFERROR(SUMIFS([1]Poblacion!Q:Q,[1]Poblacion!J:J,'MASTER-2025'!A95),0))</f>
        <v>0</v>
      </c>
      <c r="W95" s="20">
        <f>IFERROR(VLOOKUP($A95,'[1]OB Atendidas por Donantes'!A:N,10,0),0)</f>
        <v>0</v>
      </c>
      <c r="X95" s="20">
        <f>ROUNDUP(IF(A95=0,0,IFERROR(VLOOKUP($A95,'[1]Kilos Asignado del Donante'!A:N,5,0),0)),0)</f>
        <v>0</v>
      </c>
      <c r="Y95" s="20">
        <f>IF(A95=0,0,IFERROR(SUMIFS([1]Poblacion!O:O,[1]Poblacion!J:J,'MASTER-2025'!A95),0))</f>
        <v>0</v>
      </c>
      <c r="Z95" s="18">
        <f>IFERROR(VLOOKUP($A95,'[1]OB Atendidas por Donantes'!A:N,6,0),0)</f>
        <v>0</v>
      </c>
      <c r="AA95" s="18">
        <f>ROUNDUP(IF(A95=0,0,IFERROR(VLOOKUP($A95,'[1]Kilos Asignado del Donante'!A:N,11,0),0)),0)</f>
        <v>0</v>
      </c>
      <c r="AB95" s="18">
        <f>IF(A95=0,0,IFERROR(SUMIFS([1]Poblacion!U:U,[1]Poblacion!J:J,'MASTER-2025'!A95),0))</f>
        <v>0</v>
      </c>
      <c r="AC95" s="19">
        <f>IFERROR(VLOOKUP($A95,'[1]OB Atendidas por Donantes'!A:N,7,0),0)</f>
        <v>0</v>
      </c>
      <c r="AD95" s="19">
        <f>ROUNDUP(IF(A95=0,0,IFERROR(VLOOKUP($A95,'[1]Kilos Asignado del Donante'!A:N,8,0),0)),0)</f>
        <v>0</v>
      </c>
      <c r="AE95" s="19">
        <f>IF(A95=0,0,IFERROR(SUMIFS([1]Poblacion!R:R,[1]Poblacion!J:J,'MASTER-2025'!A95),0))</f>
        <v>0</v>
      </c>
      <c r="AF95" s="20">
        <f>IFERROR(VLOOKUP($A95,'[1]OB Atendidas por Donantes'!A:N,8,0),0)</f>
        <v>0</v>
      </c>
      <c r="AG95" s="20">
        <f>ROUNDUP(IF(A95=0,0,IFERROR(VLOOKUP($A95,'[1]Kilos Asignado del Donante'!A:N,6,0),0)),0)</f>
        <v>0</v>
      </c>
      <c r="AH95" s="20">
        <f>IF(A95=0,0,IFERROR(SUMIFS([1]Poblacion!P:P,[1]Poblacion!J:J,'MASTER-2025'!A95),0))</f>
        <v>0</v>
      </c>
      <c r="AI95" s="18">
        <f>IFERROR(VLOOKUP($A95,'[1]OB Atendidas por Donantes'!A:N,9,0),0)</f>
        <v>0</v>
      </c>
      <c r="AJ95" s="18">
        <f>ROUNDUP(IF(A95=0,0,IFERROR(VLOOKUP($A95,'[1]Kilos Asignado del Donante'!A:N,12,0),0)),0)</f>
        <v>0</v>
      </c>
      <c r="AK95" s="18">
        <f>IF(A95=0,0,IFERROR(SUMIFS([1]Poblacion!V:V,[1]Poblacion!J:J,'MASTER-2025'!A95),0))</f>
        <v>0</v>
      </c>
      <c r="AL95" s="19">
        <f>IFERROR(VLOOKUP($A95,'[1]OB Atendidas por Donantes'!A:N,16,0),0)</f>
        <v>0</v>
      </c>
      <c r="AM95" s="19">
        <f>ROUNDUP(IF(A95=0,0,IFERROR(VLOOKUP($A95,'[1]Kilos Asignado del Donante'!A:O,16,0),0)),0)</f>
        <v>0</v>
      </c>
      <c r="AN95" s="19">
        <f>IF(A95=0,0,IFERROR(SUMIFS([1]Poblacion!Z:Z,[1]Poblacion!J:J,'MASTER-2025'!A95),0))</f>
        <v>0</v>
      </c>
      <c r="AO95" s="20">
        <f>IFERROR(VLOOKUP($A95,'[1]OB Atendidas por Donantes'!A:N,11,0),0)</f>
        <v>0</v>
      </c>
      <c r="AP95" s="20">
        <f>ROUNDUP(IF(A95=0,0,IFERROR(VLOOKUP($A95,'[1]Kilos Asignado del Donante'!A:N,13,0),0)),0)</f>
        <v>0</v>
      </c>
      <c r="AQ95" s="20">
        <f>IF(A95=0,0,IFERROR(SUMIFS([1]Poblacion!W:W,[1]Poblacion!J:J,'MASTER-2025'!A95),0))</f>
        <v>0</v>
      </c>
      <c r="AR95" s="18">
        <f>IFERROR(VLOOKUP($A95,'[1]OB Atendidas por Donantes'!A:N,5,0),0)</f>
        <v>0</v>
      </c>
      <c r="AS95" s="18">
        <f>ROUNDUP(IF(A95=0,0,IFERROR(VLOOKUP($A95,'[1]Kilos Asignado del Donante'!A:N,10,0),0)),0)</f>
        <v>0</v>
      </c>
      <c r="AT95" s="18">
        <f>IF(A95=0,0,IFERROR(SUMIFS([1]Poblacion!T:T,[1]Poblacion!J:J,'MASTER-2025'!A95),0))</f>
        <v>0</v>
      </c>
      <c r="AU95" s="19">
        <f>IFERROR(VLOOKUP($A95,'[1]OB Atendidas por Donantes'!A:N,13,0),0)</f>
        <v>0</v>
      </c>
      <c r="AV95" s="19">
        <f>ROUNDUP(IF(A95=0,0,IFERROR(VLOOKUP($A95,'[1]Kilos Asignado del Donante'!A:N,14,0),0)),0)</f>
        <v>0</v>
      </c>
      <c r="AW95" s="19">
        <f>IF(A95=0,0,IFERROR(SUMIFS([1]Poblacion!X:X,[1]Poblacion!J:J,'MASTER-2025'!A95),0))</f>
        <v>0</v>
      </c>
      <c r="AX95" s="20">
        <f>IFERROR(VLOOKUP($A95,'[1]OB Atendidas por Donantes'!A:N,16,0),0)</f>
        <v>0</v>
      </c>
      <c r="AY95" s="20">
        <f>ROUNDUP(IF(A95=0,0,IFERROR(VLOOKUP($A95,'[1]Kilos Asignado del Donante'!A:O,16,0),0)),0)</f>
        <v>0</v>
      </c>
      <c r="AZ95" s="20">
        <f>IF(A95=0,0,IFERROR(SUMIFS([1]Poblacion!Y:Y,[1]Poblacion!J:J,'MASTER-2025'!A95),0))</f>
        <v>0</v>
      </c>
      <c r="BA95" s="21">
        <f t="shared" si="34"/>
        <v>0</v>
      </c>
      <c r="BB95" s="21">
        <f t="shared" si="29"/>
        <v>0</v>
      </c>
      <c r="BC95" s="21">
        <f t="shared" si="39"/>
        <v>0</v>
      </c>
      <c r="BD95" s="21">
        <f t="shared" si="41"/>
        <v>0</v>
      </c>
      <c r="BE95" s="22" t="e">
        <f>IF(A95=0,0,SUMIFS([1]Poblacion!C:C,[1]Poblacion!A:A,'MASTER-2025'!A95))</f>
        <v>#VALUE!</v>
      </c>
      <c r="BF95" s="22" t="e">
        <f>IF(A95=0,0,SUMIFS([1]Poblacion!D:D,[1]Poblacion!A:A,'MASTER-2025'!A95))</f>
        <v>#VALUE!</v>
      </c>
      <c r="BG95" s="22" t="e">
        <f>IF(A95=0,0,SUMIFS([1]Poblacion!E:E,[1]Poblacion!A:A,'MASTER-2025'!A95))</f>
        <v>#VALUE!</v>
      </c>
      <c r="BH95" s="22" t="e">
        <f>IF(A95=0,0,SUMIFS([1]Poblacion!F:F,[1]Poblacion!A:A,'MASTER-2025'!A95))</f>
        <v>#VALUE!</v>
      </c>
      <c r="BI95" s="22" t="e">
        <f t="shared" si="35"/>
        <v>#VALUE!</v>
      </c>
      <c r="BJ95" s="23" t="e">
        <f t="shared" si="30"/>
        <v>#VALUE!</v>
      </c>
      <c r="BK95" s="22" t="e">
        <f>IF(A95=0,0,SUMIFS([1]Poblacion!G:G,[1]Poblacion!A:A,'MASTER-2025'!A95))</f>
        <v>#VALUE!</v>
      </c>
      <c r="BL95" s="24" cm="1">
        <f t="array" ref="BL95:BW95">IFERROR(VLOOKUP(A95,'[1]Acum-OB-kg-pob-25'!A:AQ,{3,4,5,6,7,8,9,10,11,12,13,14},0),0)</f>
        <v>0</v>
      </c>
      <c r="BM95" s="24">
        <v>0</v>
      </c>
      <c r="BN95" s="24">
        <v>0</v>
      </c>
      <c r="BO95" s="24">
        <v>0</v>
      </c>
      <c r="BP95" s="24">
        <v>0</v>
      </c>
      <c r="BQ95" s="24">
        <v>0</v>
      </c>
      <c r="BR95" s="24">
        <v>0</v>
      </c>
      <c r="BS95" s="24">
        <v>0</v>
      </c>
      <c r="BT95" s="24">
        <v>0</v>
      </c>
      <c r="BU95" s="24">
        <v>0</v>
      </c>
      <c r="BV95" s="24">
        <v>0</v>
      </c>
      <c r="BW95" s="24">
        <v>0</v>
      </c>
      <c r="BX95" s="24">
        <f t="shared" si="31"/>
        <v>0</v>
      </c>
      <c r="BY95" s="25" cm="1">
        <f t="array" ref="BY95:CJ95">IFERROR(VLOOKUP(A95,'[1]Acum-OB-kg-pob-25'!A:AQ,{17,18,19,20,21,22,23,24,25,26,27,28},0),0)</f>
        <v>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0</v>
      </c>
      <c r="CH95" s="25">
        <v>0</v>
      </c>
      <c r="CI95" s="25">
        <v>0</v>
      </c>
      <c r="CJ95" s="25">
        <v>0</v>
      </c>
      <c r="CK95" s="25">
        <f t="shared" si="32"/>
        <v>0</v>
      </c>
      <c r="CL95" s="26" cm="1">
        <f t="array" ref="CL95:CW95">IFERROR(VLOOKUP(A95,'[1]Acum-OB-kg-pob-25'!A:AQ,{31,32,33,34,35,36,37,38,39,40,41,42},0),0)</f>
        <v>0</v>
      </c>
      <c r="CM95" s="26">
        <v>0</v>
      </c>
      <c r="CN95" s="26">
        <v>0</v>
      </c>
      <c r="CO95" s="26">
        <v>0</v>
      </c>
      <c r="CP95" s="26">
        <v>0</v>
      </c>
      <c r="CQ95" s="26">
        <v>0</v>
      </c>
      <c r="CR95" s="26">
        <v>0</v>
      </c>
      <c r="CS95" s="26">
        <v>0</v>
      </c>
      <c r="CT95" s="26">
        <v>0</v>
      </c>
      <c r="CU95" s="26">
        <v>0</v>
      </c>
      <c r="CV95" s="26">
        <v>0</v>
      </c>
      <c r="CW95" s="26">
        <v>0</v>
      </c>
      <c r="CX95" s="26">
        <f t="shared" si="33"/>
        <v>0</v>
      </c>
      <c r="CY95" s="14" t="str">
        <f>IF(A95=0,0,IFERROR(VLOOKUP(A95,'[1]Info Donantes'!C:F,2,0),"Sin Contacto"))</f>
        <v>Sin Contacto</v>
      </c>
      <c r="CZ95" s="14" t="str">
        <f>IF(A95=0,0,IFERROR(VLOOKUP(A95,'[1]Info Donantes'!C:F,3,0),"Sin Correo"))</f>
        <v>Sin Correo</v>
      </c>
      <c r="DA95" s="14" t="str">
        <f>IF(A95=0,0,IFERROR(VLOOKUP(A95,'[1]Info Donantes'!C:F,4,0),"Sin Telefono"))</f>
        <v>Sin Telefono</v>
      </c>
      <c r="DB95" s="14" t="str">
        <f>IF(A95=0,0,"Reporte de Trazabiidad"&amp;" - "&amp;'[1]Resumen Donantes'!$C$2&amp;" - "&amp;A95&amp;"")</f>
        <v>Reporte de Trazabiidad -  - POTUGA FRUIT COMPANY S.A</v>
      </c>
    </row>
    <row r="96" spans="1:106" x14ac:dyDescent="0.55000000000000004">
      <c r="A96" s="31" t="s">
        <v>200</v>
      </c>
      <c r="B96" s="15">
        <f>INT(IFERROR(VLOOKUP(A96,'[1]Resumen Donantes'!C:F,3,0),0))</f>
        <v>0</v>
      </c>
      <c r="C96" s="15">
        <f>INT(ROUND(IFERROR(VLOOKUP(A96,'[1]Resumen Donantes'!C:F,4,0),0),1))</f>
        <v>0</v>
      </c>
      <c r="D96" s="16">
        <f t="shared" si="36"/>
        <v>0</v>
      </c>
      <c r="E96" s="17" t="str">
        <f t="shared" si="37"/>
        <v>0.00%</v>
      </c>
      <c r="F96" s="17" t="str">
        <f t="shared" si="38"/>
        <v>0.0%</v>
      </c>
      <c r="G96" s="15">
        <f t="shared" si="40"/>
        <v>0</v>
      </c>
      <c r="H96" s="18"/>
      <c r="I96" s="18">
        <f>IFERROR(VLOOKUP(A96,'[1]Lot All by Part'!T:Y,6,0),0)</f>
        <v>0</v>
      </c>
      <c r="J96" s="18"/>
      <c r="K96" s="19">
        <f>IFERROR(VLOOKUP($A96,'[1]OB Atendidas por Donantes'!A:N,3,0),0)</f>
        <v>0</v>
      </c>
      <c r="L96" s="19">
        <f>ROUNDUP(IF(A96=0,0,IFERROR(VLOOKUP($A96,'[1]Kilos Asignado del Donante'!A:O,3,0),0)),0)</f>
        <v>0</v>
      </c>
      <c r="M96" s="19">
        <f>IF(A96=0,0,IFERROR(SUMIFS([1]Poblacion!M:M,[1]Poblacion!J:J,'MASTER-2025'!A96),0))</f>
        <v>0</v>
      </c>
      <c r="N96" s="20">
        <f>IFERROR(VLOOKUP($A96,'[1]OB Atendidas por Donantes'!A:N,4,0),0)</f>
        <v>0</v>
      </c>
      <c r="O96" s="20">
        <f>ROUNDUP(IF(A96=0,0,IFERROR(VLOOKUP($A96,'[1]Kilos Asignado del Donante'!A:O,4,0),0)),0)</f>
        <v>0</v>
      </c>
      <c r="P96" s="20">
        <f>IF(A96=0,0,IFERROR(SUMIFS([1]Poblacion!N:N,[1]Poblacion!J:J,'MASTER-2025'!A96),0))</f>
        <v>0</v>
      </c>
      <c r="Q96" s="18">
        <f>IFERROR(VLOOKUP($A96,'[1]OB Atendidas por Donantes'!A:N,2,0),0)</f>
        <v>0</v>
      </c>
      <c r="R96" s="18">
        <f>ROUNDUP(ROUND(IF(A96=0,0,IFERROR(VLOOKUP($A96,'[1]Kilos Asignado del Donante'!A:O,9,0),0)),1),0)</f>
        <v>0</v>
      </c>
      <c r="S96" s="18">
        <f>IF(A96=0,0,IFERROR(SUMIFS([1]Poblacion!S:S,[1]Poblacion!J:J,'MASTER-2025'!A96),0))</f>
        <v>0</v>
      </c>
      <c r="T96" s="19">
        <f>IFERROR(VLOOKUP($A96,'[1]OB Atendidas por Donantes'!A:N,12,0),0)</f>
        <v>0</v>
      </c>
      <c r="U96" s="19">
        <f>ROUNDUP(IF(A96=0,0,IF(A96=0,0,IFERROR(VLOOKUP($A96,'[1]Kilos Asignado del Donante'!A:O,7,0),0))),0)</f>
        <v>0</v>
      </c>
      <c r="V96" s="19">
        <f>IF(A96=0,0,IFERROR(SUMIFS([1]Poblacion!Q:Q,[1]Poblacion!J:J,'MASTER-2025'!A96),0))</f>
        <v>0</v>
      </c>
      <c r="W96" s="20">
        <f>IFERROR(VLOOKUP($A96,'[1]OB Atendidas por Donantes'!A:N,10,0),0)</f>
        <v>0</v>
      </c>
      <c r="X96" s="20">
        <f>ROUNDUP(IF(A96=0,0,IFERROR(VLOOKUP($A96,'[1]Kilos Asignado del Donante'!A:N,5,0),0)),0)</f>
        <v>0</v>
      </c>
      <c r="Y96" s="20">
        <f>IF(A96=0,0,IFERROR(SUMIFS([1]Poblacion!O:O,[1]Poblacion!J:J,'MASTER-2025'!A96),0))</f>
        <v>0</v>
      </c>
      <c r="Z96" s="18">
        <f>IFERROR(VLOOKUP($A96,'[1]OB Atendidas por Donantes'!A:N,6,0),0)</f>
        <v>0</v>
      </c>
      <c r="AA96" s="18">
        <f>ROUNDUP(IF(A96=0,0,IFERROR(VLOOKUP($A96,'[1]Kilos Asignado del Donante'!A:N,11,0),0)),0)</f>
        <v>0</v>
      </c>
      <c r="AB96" s="18">
        <f>IF(A96=0,0,IFERROR(SUMIFS([1]Poblacion!U:U,[1]Poblacion!J:J,'MASTER-2025'!A96),0))</f>
        <v>0</v>
      </c>
      <c r="AC96" s="19">
        <f>IFERROR(VLOOKUP($A96,'[1]OB Atendidas por Donantes'!A:N,7,0),0)</f>
        <v>0</v>
      </c>
      <c r="AD96" s="19">
        <f>ROUNDUP(IF(A96=0,0,IFERROR(VLOOKUP($A96,'[1]Kilos Asignado del Donante'!A:N,8,0),0)),0)</f>
        <v>0</v>
      </c>
      <c r="AE96" s="19">
        <f>IF(A96=0,0,IFERROR(SUMIFS([1]Poblacion!R:R,[1]Poblacion!J:J,'MASTER-2025'!A96),0))</f>
        <v>0</v>
      </c>
      <c r="AF96" s="20">
        <f>IFERROR(VLOOKUP($A96,'[1]OB Atendidas por Donantes'!A:N,8,0),0)</f>
        <v>0</v>
      </c>
      <c r="AG96" s="20">
        <f>ROUNDUP(IF(A96=0,0,IFERROR(VLOOKUP($A96,'[1]Kilos Asignado del Donante'!A:N,6,0),0)),0)</f>
        <v>0</v>
      </c>
      <c r="AH96" s="20">
        <f>IF(A96=0,0,IFERROR(SUMIFS([1]Poblacion!P:P,[1]Poblacion!J:J,'MASTER-2025'!A96),0))</f>
        <v>0</v>
      </c>
      <c r="AI96" s="18">
        <f>IFERROR(VLOOKUP($A96,'[1]OB Atendidas por Donantes'!A:N,9,0),0)</f>
        <v>0</v>
      </c>
      <c r="AJ96" s="18">
        <f>ROUNDUP(IF(A96=0,0,IFERROR(VLOOKUP($A96,'[1]Kilos Asignado del Donante'!A:N,12,0),0)),0)</f>
        <v>0</v>
      </c>
      <c r="AK96" s="18">
        <f>IF(A96=0,0,IFERROR(SUMIFS([1]Poblacion!V:V,[1]Poblacion!J:J,'MASTER-2025'!A96),0))</f>
        <v>0</v>
      </c>
      <c r="AL96" s="19">
        <f>IFERROR(VLOOKUP($A96,'[1]OB Atendidas por Donantes'!A:N,16,0),0)</f>
        <v>0</v>
      </c>
      <c r="AM96" s="19">
        <f>ROUNDUP(IF(A96=0,0,IFERROR(VLOOKUP($A96,'[1]Kilos Asignado del Donante'!A:O,16,0),0)),0)</f>
        <v>0</v>
      </c>
      <c r="AN96" s="19">
        <f>IF(A96=0,0,IFERROR(SUMIFS([1]Poblacion!Z:Z,[1]Poblacion!J:J,'MASTER-2025'!A96),0))</f>
        <v>0</v>
      </c>
      <c r="AO96" s="20">
        <f>IFERROR(VLOOKUP($A96,'[1]OB Atendidas por Donantes'!A:N,11,0),0)</f>
        <v>0</v>
      </c>
      <c r="AP96" s="20">
        <f>ROUNDUP(IF(A96=0,0,IFERROR(VLOOKUP($A96,'[1]Kilos Asignado del Donante'!A:N,13,0),0)),0)</f>
        <v>0</v>
      </c>
      <c r="AQ96" s="20">
        <f>IF(A96=0,0,IFERROR(SUMIFS([1]Poblacion!W:W,[1]Poblacion!J:J,'MASTER-2025'!A96),0))</f>
        <v>0</v>
      </c>
      <c r="AR96" s="18">
        <f>IFERROR(VLOOKUP($A96,'[1]OB Atendidas por Donantes'!A:N,5,0),0)</f>
        <v>0</v>
      </c>
      <c r="AS96" s="18">
        <f>ROUNDUP(IF(A96=0,0,IFERROR(VLOOKUP($A96,'[1]Kilos Asignado del Donante'!A:N,10,0),0)),0)</f>
        <v>0</v>
      </c>
      <c r="AT96" s="18">
        <f>IF(A96=0,0,IFERROR(SUMIFS([1]Poblacion!T:T,[1]Poblacion!J:J,'MASTER-2025'!A96),0))</f>
        <v>0</v>
      </c>
      <c r="AU96" s="19">
        <f>IFERROR(VLOOKUP($A96,'[1]OB Atendidas por Donantes'!A:N,13,0),0)</f>
        <v>0</v>
      </c>
      <c r="AV96" s="19">
        <f>ROUNDUP(IF(A96=0,0,IFERROR(VLOOKUP($A96,'[1]Kilos Asignado del Donante'!A:N,14,0),0)),0)</f>
        <v>0</v>
      </c>
      <c r="AW96" s="19">
        <f>IF(A96=0,0,IFERROR(SUMIFS([1]Poblacion!X:X,[1]Poblacion!J:J,'MASTER-2025'!A96),0))</f>
        <v>0</v>
      </c>
      <c r="AX96" s="20">
        <f>IFERROR(VLOOKUP($A96,'[1]OB Atendidas por Donantes'!A:N,16,0),0)</f>
        <v>0</v>
      </c>
      <c r="AY96" s="20">
        <f>ROUNDUP(IF(A96=0,0,IFERROR(VLOOKUP($A96,'[1]Kilos Asignado del Donante'!A:O,16,0),0)),0)</f>
        <v>0</v>
      </c>
      <c r="AZ96" s="20">
        <f>IF(A96=0,0,IFERROR(SUMIFS([1]Poblacion!Y:Y,[1]Poblacion!J:J,'MASTER-2025'!A96),0))</f>
        <v>0</v>
      </c>
      <c r="BA96" s="21">
        <f t="shared" si="34"/>
        <v>0</v>
      </c>
      <c r="BB96" s="21">
        <f t="shared" si="29"/>
        <v>0</v>
      </c>
      <c r="BC96" s="21">
        <f t="shared" si="39"/>
        <v>0</v>
      </c>
      <c r="BD96" s="21">
        <f t="shared" si="41"/>
        <v>0</v>
      </c>
      <c r="BE96" s="22" t="e">
        <f>IF(A96=0,0,SUMIFS([1]Poblacion!C:C,[1]Poblacion!A:A,'MASTER-2025'!A96))</f>
        <v>#VALUE!</v>
      </c>
      <c r="BF96" s="22" t="e">
        <f>IF(A96=0,0,SUMIFS([1]Poblacion!D:D,[1]Poblacion!A:A,'MASTER-2025'!A96))</f>
        <v>#VALUE!</v>
      </c>
      <c r="BG96" s="22" t="e">
        <f>IF(A96=0,0,SUMIFS([1]Poblacion!E:E,[1]Poblacion!A:A,'MASTER-2025'!A96))</f>
        <v>#VALUE!</v>
      </c>
      <c r="BH96" s="22" t="e">
        <f>IF(A96=0,0,SUMIFS([1]Poblacion!F:F,[1]Poblacion!A:A,'MASTER-2025'!A96))</f>
        <v>#VALUE!</v>
      </c>
      <c r="BI96" s="22" t="e">
        <f t="shared" si="35"/>
        <v>#VALUE!</v>
      </c>
      <c r="BJ96" s="23" t="e">
        <f t="shared" si="30"/>
        <v>#VALUE!</v>
      </c>
      <c r="BK96" s="22" t="e">
        <f>IF(A96=0,0,SUMIFS([1]Poblacion!G:G,[1]Poblacion!A:A,'MASTER-2025'!A96))</f>
        <v>#VALUE!</v>
      </c>
      <c r="BL96" s="24" cm="1">
        <f t="array" ref="BL96:BW96">IFERROR(VLOOKUP(A96,'[1]Acum-OB-kg-pob-25'!A:AQ,{3,4,5,6,7,8,9,10,11,12,13,14},0),0)</f>
        <v>0</v>
      </c>
      <c r="BM96" s="24">
        <v>0</v>
      </c>
      <c r="BN96" s="24">
        <v>0</v>
      </c>
      <c r="BO96" s="24">
        <v>0</v>
      </c>
      <c r="BP96" s="24">
        <v>0</v>
      </c>
      <c r="BQ96" s="24">
        <v>0</v>
      </c>
      <c r="BR96" s="24">
        <v>0</v>
      </c>
      <c r="BS96" s="24">
        <v>0</v>
      </c>
      <c r="BT96" s="24">
        <v>0</v>
      </c>
      <c r="BU96" s="24">
        <v>0</v>
      </c>
      <c r="BV96" s="24">
        <v>0</v>
      </c>
      <c r="BW96" s="24">
        <v>0</v>
      </c>
      <c r="BX96" s="24">
        <f t="shared" si="31"/>
        <v>0</v>
      </c>
      <c r="BY96" s="25" cm="1">
        <f t="array" ref="BY96:CJ96">IFERROR(VLOOKUP(A96,'[1]Acum-OB-kg-pob-25'!A:AQ,{17,18,19,20,21,22,23,24,25,26,27,28},0),0)</f>
        <v>0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0</v>
      </c>
      <c r="CH96" s="25">
        <v>0</v>
      </c>
      <c r="CI96" s="25">
        <v>0</v>
      </c>
      <c r="CJ96" s="25">
        <v>0</v>
      </c>
      <c r="CK96" s="25">
        <f t="shared" si="32"/>
        <v>0</v>
      </c>
      <c r="CL96" s="26" cm="1">
        <f t="array" ref="CL96:CW96">IFERROR(VLOOKUP(A96,'[1]Acum-OB-kg-pob-25'!A:AQ,{31,32,33,34,35,36,37,38,39,40,41,42},0),0)</f>
        <v>0</v>
      </c>
      <c r="CM96" s="26">
        <v>0</v>
      </c>
      <c r="CN96" s="26">
        <v>0</v>
      </c>
      <c r="CO96" s="26">
        <v>0</v>
      </c>
      <c r="CP96" s="26">
        <v>0</v>
      </c>
      <c r="CQ96" s="26">
        <v>0</v>
      </c>
      <c r="CR96" s="26">
        <v>0</v>
      </c>
      <c r="CS96" s="26">
        <v>0</v>
      </c>
      <c r="CT96" s="26">
        <v>0</v>
      </c>
      <c r="CU96" s="26">
        <v>0</v>
      </c>
      <c r="CV96" s="26">
        <v>0</v>
      </c>
      <c r="CW96" s="26">
        <v>0</v>
      </c>
      <c r="CX96" s="26">
        <f t="shared" si="33"/>
        <v>0</v>
      </c>
      <c r="CY96" s="14" t="str">
        <f>IF(A96=0,0,IFERROR(VLOOKUP(A96,'[1]Info Donantes'!C:F,2,0),"Sin Contacto"))</f>
        <v>Laura Gonzalez - Ruiz</v>
      </c>
      <c r="CZ96" s="14" t="str">
        <f>IF(A96=0,0,IFERROR(VLOOKUP(A96,'[1]Info Donantes'!C:F,3,0),"Sin Correo"))</f>
        <v>laura.gonzalez@drogueria-revilla.com</v>
      </c>
      <c r="DA96" s="14" t="str">
        <f>IF(A96=0,0,IFERROR(VLOOKUP(A96,'[1]Info Donantes'!C:F,4,0),"Sin Telefono"))</f>
        <v>207-1900</v>
      </c>
      <c r="DB96" s="14" t="str">
        <f>IF(A96=0,0,"Reporte de Trazabiidad"&amp;" - "&amp;'[1]Resumen Donantes'!$C$2&amp;" - "&amp;A96&amp;"")</f>
        <v>Reporte de Trazabiidad -  - DROGUERIA RAMON GONZALEZ REVILLA</v>
      </c>
    </row>
    <row r="97" spans="1:106" x14ac:dyDescent="0.55000000000000004">
      <c r="A97" s="31" t="s">
        <v>201</v>
      </c>
      <c r="B97" s="15">
        <f>INT(IFERROR(VLOOKUP(A97,'[1]Resumen Donantes'!C:F,3,0),0))</f>
        <v>0</v>
      </c>
      <c r="C97" s="15">
        <f>INT(ROUND(IFERROR(VLOOKUP(A97,'[1]Resumen Donantes'!C:F,4,0),0),1))</f>
        <v>0</v>
      </c>
      <c r="D97" s="16">
        <f t="shared" si="36"/>
        <v>0</v>
      </c>
      <c r="E97" s="17" t="str">
        <f t="shared" si="37"/>
        <v>0.00%</v>
      </c>
      <c r="F97" s="17" t="str">
        <f t="shared" si="38"/>
        <v>0.0%</v>
      </c>
      <c r="G97" s="15">
        <f t="shared" si="40"/>
        <v>0</v>
      </c>
      <c r="H97" s="18"/>
      <c r="I97" s="18">
        <f>IFERROR(VLOOKUP(A97,'[1]Lot All by Part'!T:Y,6,0),0)</f>
        <v>0</v>
      </c>
      <c r="J97" s="18"/>
      <c r="K97" s="19">
        <f>IFERROR(VLOOKUP($A97,'[1]OB Atendidas por Donantes'!A:N,3,0),0)</f>
        <v>0</v>
      </c>
      <c r="L97" s="19">
        <f>ROUNDUP(IF(A97=0,0,IFERROR(VLOOKUP($A97,'[1]Kilos Asignado del Donante'!A:O,3,0),0)),0)</f>
        <v>0</v>
      </c>
      <c r="M97" s="19">
        <f>IF(A97=0,0,IFERROR(SUMIFS([1]Poblacion!M:M,[1]Poblacion!J:J,'MASTER-2025'!A97),0))</f>
        <v>0</v>
      </c>
      <c r="N97" s="20">
        <f>IFERROR(VLOOKUP($A97,'[1]OB Atendidas por Donantes'!A:N,4,0),0)</f>
        <v>0</v>
      </c>
      <c r="O97" s="20">
        <f>ROUNDUP(IF(A97=0,0,IFERROR(VLOOKUP($A97,'[1]Kilos Asignado del Donante'!A:O,4,0),0)),0)</f>
        <v>0</v>
      </c>
      <c r="P97" s="20">
        <f>IF(A97=0,0,IFERROR(SUMIFS([1]Poblacion!N:N,[1]Poblacion!J:J,'MASTER-2025'!A97),0))</f>
        <v>0</v>
      </c>
      <c r="Q97" s="18">
        <f>IFERROR(VLOOKUP($A97,'[1]OB Atendidas por Donantes'!A:N,2,0),0)</f>
        <v>0</v>
      </c>
      <c r="R97" s="18">
        <f>ROUNDUP(ROUND(IF(A97=0,0,IFERROR(VLOOKUP($A97,'[1]Kilos Asignado del Donante'!A:O,9,0),0)),1),0)</f>
        <v>0</v>
      </c>
      <c r="S97" s="18">
        <f>IF(A97=0,0,IFERROR(SUMIFS([1]Poblacion!S:S,[1]Poblacion!J:J,'MASTER-2025'!A97),0))</f>
        <v>0</v>
      </c>
      <c r="T97" s="19">
        <f>IFERROR(VLOOKUP($A97,'[1]OB Atendidas por Donantes'!A:N,12,0),0)</f>
        <v>0</v>
      </c>
      <c r="U97" s="19">
        <f>ROUNDUP(IF(A97=0,0,IF(A97=0,0,IFERROR(VLOOKUP($A97,'[1]Kilos Asignado del Donante'!A:O,7,0),0))),0)</f>
        <v>0</v>
      </c>
      <c r="V97" s="19">
        <f>IF(A97=0,0,IFERROR(SUMIFS([1]Poblacion!Q:Q,[1]Poblacion!J:J,'MASTER-2025'!A97),0))</f>
        <v>0</v>
      </c>
      <c r="W97" s="20">
        <f>IFERROR(VLOOKUP($A97,'[1]OB Atendidas por Donantes'!A:N,10,0),0)</f>
        <v>0</v>
      </c>
      <c r="X97" s="20">
        <f>ROUNDUP(IF(A97=0,0,IFERROR(VLOOKUP($A97,'[1]Kilos Asignado del Donante'!A:N,5,0),0)),0)</f>
        <v>0</v>
      </c>
      <c r="Y97" s="20">
        <f>IF(A97=0,0,IFERROR(SUMIFS([1]Poblacion!O:O,[1]Poblacion!J:J,'MASTER-2025'!A97),0))</f>
        <v>0</v>
      </c>
      <c r="Z97" s="18">
        <f>IFERROR(VLOOKUP($A97,'[1]OB Atendidas por Donantes'!A:N,6,0),0)</f>
        <v>0</v>
      </c>
      <c r="AA97" s="18">
        <f>ROUNDUP(IF(A97=0,0,IFERROR(VLOOKUP($A97,'[1]Kilos Asignado del Donante'!A:N,11,0),0)),0)</f>
        <v>0</v>
      </c>
      <c r="AB97" s="18">
        <f>IF(A97=0,0,IFERROR(SUMIFS([1]Poblacion!U:U,[1]Poblacion!J:J,'MASTER-2025'!A97),0))</f>
        <v>0</v>
      </c>
      <c r="AC97" s="19">
        <f>IFERROR(VLOOKUP($A97,'[1]OB Atendidas por Donantes'!A:N,7,0),0)</f>
        <v>0</v>
      </c>
      <c r="AD97" s="19">
        <f>ROUNDUP(IF(A97=0,0,IFERROR(VLOOKUP($A97,'[1]Kilos Asignado del Donante'!A:N,8,0),0)),0)</f>
        <v>0</v>
      </c>
      <c r="AE97" s="19">
        <f>IF(A97=0,0,IFERROR(SUMIFS([1]Poblacion!R:R,[1]Poblacion!J:J,'MASTER-2025'!A97),0))</f>
        <v>0</v>
      </c>
      <c r="AF97" s="20">
        <f>IFERROR(VLOOKUP($A97,'[1]OB Atendidas por Donantes'!A:N,8,0),0)</f>
        <v>0</v>
      </c>
      <c r="AG97" s="20">
        <f>ROUNDUP(IF(A97=0,0,IFERROR(VLOOKUP($A97,'[1]Kilos Asignado del Donante'!A:N,6,0),0)),0)</f>
        <v>0</v>
      </c>
      <c r="AH97" s="20">
        <f>IF(A97=0,0,IFERROR(SUMIFS([1]Poblacion!P:P,[1]Poblacion!J:J,'MASTER-2025'!A97),0))</f>
        <v>0</v>
      </c>
      <c r="AI97" s="18">
        <f>IFERROR(VLOOKUP($A97,'[1]OB Atendidas por Donantes'!A:N,9,0),0)</f>
        <v>0</v>
      </c>
      <c r="AJ97" s="18">
        <f>ROUNDUP(IF(A97=0,0,IFERROR(VLOOKUP($A97,'[1]Kilos Asignado del Donante'!A:N,12,0),0)),0)</f>
        <v>0</v>
      </c>
      <c r="AK97" s="18">
        <f>IF(A97=0,0,IFERROR(SUMIFS([1]Poblacion!V:V,[1]Poblacion!J:J,'MASTER-2025'!A97),0))</f>
        <v>0</v>
      </c>
      <c r="AL97" s="19">
        <f>IFERROR(VLOOKUP($A97,'[1]OB Atendidas por Donantes'!A:N,16,0),0)</f>
        <v>0</v>
      </c>
      <c r="AM97" s="19">
        <f>ROUNDUP(IF(A97=0,0,IFERROR(VLOOKUP($A97,'[1]Kilos Asignado del Donante'!A:O,16,0),0)),0)</f>
        <v>0</v>
      </c>
      <c r="AN97" s="19">
        <f>IF(A97=0,0,IFERROR(SUMIFS([1]Poblacion!Z:Z,[1]Poblacion!J:J,'MASTER-2025'!A97),0))</f>
        <v>0</v>
      </c>
      <c r="AO97" s="20">
        <f>IFERROR(VLOOKUP($A97,'[1]OB Atendidas por Donantes'!A:N,11,0),0)</f>
        <v>0</v>
      </c>
      <c r="AP97" s="20">
        <f>ROUNDUP(IF(A97=0,0,IFERROR(VLOOKUP($A97,'[1]Kilos Asignado del Donante'!A:N,13,0),0)),0)</f>
        <v>0</v>
      </c>
      <c r="AQ97" s="20">
        <f>IF(A97=0,0,IFERROR(SUMIFS([1]Poblacion!W:W,[1]Poblacion!J:J,'MASTER-2025'!A97),0))</f>
        <v>0</v>
      </c>
      <c r="AR97" s="18">
        <f>IFERROR(VLOOKUP($A97,'[1]OB Atendidas por Donantes'!A:N,5,0),0)</f>
        <v>0</v>
      </c>
      <c r="AS97" s="18">
        <f>ROUNDUP(IF(A97=0,0,IFERROR(VLOOKUP($A97,'[1]Kilos Asignado del Donante'!A:N,10,0),0)),0)</f>
        <v>0</v>
      </c>
      <c r="AT97" s="18">
        <f>IF(A97=0,0,IFERROR(SUMIFS([1]Poblacion!T:T,[1]Poblacion!J:J,'MASTER-2025'!A97),0))</f>
        <v>0</v>
      </c>
      <c r="AU97" s="19">
        <f>IFERROR(VLOOKUP($A97,'[1]OB Atendidas por Donantes'!A:N,13,0),0)</f>
        <v>0</v>
      </c>
      <c r="AV97" s="19">
        <f>ROUNDUP(IF(A97=0,0,IFERROR(VLOOKUP($A97,'[1]Kilos Asignado del Donante'!A:N,14,0),0)),0)</f>
        <v>0</v>
      </c>
      <c r="AW97" s="19">
        <f>IF(A97=0,0,IFERROR(SUMIFS([1]Poblacion!X:X,[1]Poblacion!J:J,'MASTER-2025'!A97),0))</f>
        <v>0</v>
      </c>
      <c r="AX97" s="20">
        <f>IFERROR(VLOOKUP($A97,'[1]OB Atendidas por Donantes'!A:N,16,0),0)</f>
        <v>0</v>
      </c>
      <c r="AY97" s="20">
        <f>ROUNDUP(IF(A97=0,0,IFERROR(VLOOKUP($A97,'[1]Kilos Asignado del Donante'!A:O,16,0),0)),0)</f>
        <v>0</v>
      </c>
      <c r="AZ97" s="20">
        <f>IF(A97=0,0,IFERROR(SUMIFS([1]Poblacion!Y:Y,[1]Poblacion!J:J,'MASTER-2025'!A97),0))</f>
        <v>0</v>
      </c>
      <c r="BA97" s="21">
        <f t="shared" si="34"/>
        <v>0</v>
      </c>
      <c r="BB97" s="21">
        <f t="shared" si="29"/>
        <v>0</v>
      </c>
      <c r="BC97" s="21">
        <f t="shared" si="39"/>
        <v>0</v>
      </c>
      <c r="BD97" s="21">
        <f t="shared" si="41"/>
        <v>0</v>
      </c>
      <c r="BE97" s="22" t="e">
        <f>IF(A97=0,0,SUMIFS([1]Poblacion!C:C,[1]Poblacion!A:A,'MASTER-2025'!A97))</f>
        <v>#VALUE!</v>
      </c>
      <c r="BF97" s="22" t="e">
        <f>IF(A97=0,0,SUMIFS([1]Poblacion!D:D,[1]Poblacion!A:A,'MASTER-2025'!A97))</f>
        <v>#VALUE!</v>
      </c>
      <c r="BG97" s="22" t="e">
        <f>IF(A97=0,0,SUMIFS([1]Poblacion!E:E,[1]Poblacion!A:A,'MASTER-2025'!A97))</f>
        <v>#VALUE!</v>
      </c>
      <c r="BH97" s="22" t="e">
        <f>IF(A97=0,0,SUMIFS([1]Poblacion!F:F,[1]Poblacion!A:A,'MASTER-2025'!A97))</f>
        <v>#VALUE!</v>
      </c>
      <c r="BI97" s="22" t="e">
        <f t="shared" si="35"/>
        <v>#VALUE!</v>
      </c>
      <c r="BJ97" s="23" t="e">
        <f t="shared" si="30"/>
        <v>#VALUE!</v>
      </c>
      <c r="BK97" s="22" t="e">
        <f>IF(A97=0,0,SUMIFS([1]Poblacion!G:G,[1]Poblacion!A:A,'MASTER-2025'!A97))</f>
        <v>#VALUE!</v>
      </c>
      <c r="BL97" s="24" cm="1">
        <f t="array" ref="BL97:BW97">IFERROR(VLOOKUP(A97,'[1]Acum-OB-kg-pob-25'!A:AQ,{3,4,5,6,7,8,9,10,11,12,13,14},0),0)</f>
        <v>0</v>
      </c>
      <c r="BM97" s="24">
        <v>0</v>
      </c>
      <c r="BN97" s="24">
        <v>0</v>
      </c>
      <c r="BO97" s="24">
        <v>0</v>
      </c>
      <c r="BP97" s="24">
        <v>0</v>
      </c>
      <c r="BQ97" s="24">
        <v>0</v>
      </c>
      <c r="BR97" s="24">
        <v>0</v>
      </c>
      <c r="BS97" s="24">
        <v>0</v>
      </c>
      <c r="BT97" s="24">
        <v>0</v>
      </c>
      <c r="BU97" s="24">
        <v>0</v>
      </c>
      <c r="BV97" s="24">
        <v>0</v>
      </c>
      <c r="BW97" s="24">
        <v>0</v>
      </c>
      <c r="BX97" s="24">
        <f t="shared" si="31"/>
        <v>0</v>
      </c>
      <c r="BY97" s="25" cm="1">
        <f t="array" ref="BY97:CJ97">IFERROR(VLOOKUP(A97,'[1]Acum-OB-kg-pob-25'!A:AQ,{17,18,19,20,21,22,23,24,25,26,27,28},0),0)</f>
        <v>0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0</v>
      </c>
      <c r="CH97" s="25">
        <v>0</v>
      </c>
      <c r="CI97" s="25">
        <v>0</v>
      </c>
      <c r="CJ97" s="25">
        <v>0</v>
      </c>
      <c r="CK97" s="25">
        <f t="shared" si="32"/>
        <v>0</v>
      </c>
      <c r="CL97" s="26" cm="1">
        <f t="array" ref="CL97:CW97">IFERROR(VLOOKUP(A97,'[1]Acum-OB-kg-pob-25'!A:AQ,{31,32,33,34,35,36,37,38,39,40,41,42},0),0)</f>
        <v>0</v>
      </c>
      <c r="CM97" s="26">
        <v>0</v>
      </c>
      <c r="CN97" s="26">
        <v>0</v>
      </c>
      <c r="CO97" s="26">
        <v>0</v>
      </c>
      <c r="CP97" s="26">
        <v>0</v>
      </c>
      <c r="CQ97" s="26">
        <v>0</v>
      </c>
      <c r="CR97" s="26">
        <v>0</v>
      </c>
      <c r="CS97" s="26">
        <v>0</v>
      </c>
      <c r="CT97" s="26">
        <v>0</v>
      </c>
      <c r="CU97" s="26">
        <v>0</v>
      </c>
      <c r="CV97" s="26">
        <v>0</v>
      </c>
      <c r="CW97" s="26">
        <v>0</v>
      </c>
      <c r="CX97" s="26">
        <f t="shared" si="33"/>
        <v>0</v>
      </c>
      <c r="CY97" s="14">
        <f>IF(A97=0,0,IFERROR(VLOOKUP(A97,'[1]Info Donantes'!C:F,2,0),"Sin Contacto"))</f>
        <v>0</v>
      </c>
      <c r="CZ97" s="14">
        <f>IF(A97=0,0,IFERROR(VLOOKUP(A97,'[1]Info Donantes'!C:F,3,0),"Sin Correo"))</f>
        <v>0</v>
      </c>
      <c r="DA97" s="14" t="str">
        <f>IF(A97=0,0,IFERROR(VLOOKUP(A97,'[1]Info Donantes'!C:F,4,0),"Sin Telefono"))</f>
        <v>2607344</v>
      </c>
      <c r="DB97" s="14" t="str">
        <f>IF(A97=0,0,"Reporte de Trazabiidad"&amp;" - "&amp;'[1]Resumen Donantes'!$C$2&amp;" - "&amp;A97&amp;"")</f>
        <v>Reporte de Trazabiidad -  - DULCERIA MOMI, S.A.</v>
      </c>
    </row>
    <row r="98" spans="1:106" x14ac:dyDescent="0.55000000000000004">
      <c r="A98" s="14" t="s">
        <v>202</v>
      </c>
      <c r="B98" s="15">
        <f>INT(IFERROR(VLOOKUP(A98,'[1]Resumen Donantes'!C:F,3,0),0))</f>
        <v>0</v>
      </c>
      <c r="C98" s="15">
        <f>INT(ROUND(IFERROR(VLOOKUP(A98,'[1]Resumen Donantes'!C:F,4,0),0),1))</f>
        <v>0</v>
      </c>
      <c r="D98" s="16">
        <f t="shared" si="36"/>
        <v>0</v>
      </c>
      <c r="E98" s="17" t="str">
        <f t="shared" si="37"/>
        <v>0.00%</v>
      </c>
      <c r="F98" s="17" t="str">
        <f t="shared" si="38"/>
        <v>0.0%</v>
      </c>
      <c r="G98" s="15">
        <f t="shared" si="40"/>
        <v>0</v>
      </c>
      <c r="H98" s="18"/>
      <c r="I98" s="18">
        <f>IFERROR(VLOOKUP(A98,'[1]Lot All by Part'!T:Y,6,0),0)</f>
        <v>0</v>
      </c>
      <c r="J98" s="18"/>
      <c r="K98" s="19">
        <f>IFERROR(VLOOKUP($A98,'[1]OB Atendidas por Donantes'!A:N,3,0),0)</f>
        <v>0</v>
      </c>
      <c r="L98" s="19">
        <f>ROUNDUP(IF(A98=0,0,IFERROR(VLOOKUP($A98,'[1]Kilos Asignado del Donante'!A:O,3,0),0)),0)</f>
        <v>0</v>
      </c>
      <c r="M98" s="19">
        <f>IF(A98=0,0,IFERROR(SUMIFS([1]Poblacion!M:M,[1]Poblacion!J:J,'MASTER-2025'!A98),0))</f>
        <v>0</v>
      </c>
      <c r="N98" s="20">
        <f>IFERROR(VLOOKUP($A98,'[1]OB Atendidas por Donantes'!A:N,4,0),0)</f>
        <v>0</v>
      </c>
      <c r="O98" s="20">
        <f>ROUNDUP(IF(A98=0,0,IFERROR(VLOOKUP($A98,'[1]Kilos Asignado del Donante'!A:O,4,0),0)),0)</f>
        <v>0</v>
      </c>
      <c r="P98" s="20">
        <f>IF(A98=0,0,IFERROR(SUMIFS([1]Poblacion!N:N,[1]Poblacion!J:J,'MASTER-2025'!A98),0))</f>
        <v>0</v>
      </c>
      <c r="Q98" s="18">
        <f>IFERROR(VLOOKUP($A98,'[1]OB Atendidas por Donantes'!A:N,2,0),0)</f>
        <v>0</v>
      </c>
      <c r="R98" s="18">
        <f>ROUNDUP(ROUND(IF(A98=0,0,IFERROR(VLOOKUP($A98,'[1]Kilos Asignado del Donante'!A:O,9,0),0)),1),0)</f>
        <v>0</v>
      </c>
      <c r="S98" s="18">
        <f>IF(A98=0,0,IFERROR(SUMIFS([1]Poblacion!S:S,[1]Poblacion!J:J,'MASTER-2025'!A98),0))</f>
        <v>0</v>
      </c>
      <c r="T98" s="19">
        <f>IFERROR(VLOOKUP($A98,'[1]OB Atendidas por Donantes'!A:N,12,0),0)</f>
        <v>0</v>
      </c>
      <c r="U98" s="19">
        <f>ROUNDUP(IF(A98=0,0,IF(A98=0,0,IFERROR(VLOOKUP($A98,'[1]Kilos Asignado del Donante'!A:O,7,0),0))),0)</f>
        <v>0</v>
      </c>
      <c r="V98" s="19">
        <f>IF(A98=0,0,IFERROR(SUMIFS([1]Poblacion!Q:Q,[1]Poblacion!J:J,'MASTER-2025'!A98),0))</f>
        <v>0</v>
      </c>
      <c r="W98" s="20">
        <f>IFERROR(VLOOKUP($A98,'[1]OB Atendidas por Donantes'!A:N,10,0),0)</f>
        <v>0</v>
      </c>
      <c r="X98" s="20">
        <f>ROUNDUP(IF(A98=0,0,IFERROR(VLOOKUP($A98,'[1]Kilos Asignado del Donante'!A:N,5,0),0)),0)</f>
        <v>0</v>
      </c>
      <c r="Y98" s="20">
        <f>IF(A98=0,0,IFERROR(SUMIFS([1]Poblacion!O:O,[1]Poblacion!J:J,'MASTER-2025'!A98),0))</f>
        <v>0</v>
      </c>
      <c r="Z98" s="18">
        <f>IFERROR(VLOOKUP($A98,'[1]OB Atendidas por Donantes'!A:N,6,0),0)</f>
        <v>0</v>
      </c>
      <c r="AA98" s="18">
        <f>ROUNDUP(IF(A98=0,0,IFERROR(VLOOKUP($A98,'[1]Kilos Asignado del Donante'!A:N,11,0),0)),0)</f>
        <v>0</v>
      </c>
      <c r="AB98" s="18">
        <f>IF(A98=0,0,IFERROR(SUMIFS([1]Poblacion!U:U,[1]Poblacion!J:J,'MASTER-2025'!A98),0))</f>
        <v>0</v>
      </c>
      <c r="AC98" s="19">
        <f>IFERROR(VLOOKUP($A98,'[1]OB Atendidas por Donantes'!A:N,7,0),0)</f>
        <v>0</v>
      </c>
      <c r="AD98" s="19">
        <f>ROUNDUP(IF(A98=0,0,IFERROR(VLOOKUP($A98,'[1]Kilos Asignado del Donante'!A:N,8,0),0)),0)</f>
        <v>0</v>
      </c>
      <c r="AE98" s="19">
        <f>IF(A98=0,0,IFERROR(SUMIFS([1]Poblacion!R:R,[1]Poblacion!J:J,'MASTER-2025'!A98),0))</f>
        <v>0</v>
      </c>
      <c r="AF98" s="20">
        <f>IFERROR(VLOOKUP($A98,'[1]OB Atendidas por Donantes'!A:N,8,0),0)</f>
        <v>0</v>
      </c>
      <c r="AG98" s="20">
        <f>ROUNDUP(IF(A98=0,0,IFERROR(VLOOKUP($A98,'[1]Kilos Asignado del Donante'!A:N,6,0),0)),0)</f>
        <v>0</v>
      </c>
      <c r="AH98" s="20">
        <f>IF(A98=0,0,IFERROR(SUMIFS([1]Poblacion!P:P,[1]Poblacion!J:J,'MASTER-2025'!A98),0))</f>
        <v>0</v>
      </c>
      <c r="AI98" s="18">
        <f>IFERROR(VLOOKUP($A98,'[1]OB Atendidas por Donantes'!A:N,9,0),0)</f>
        <v>0</v>
      </c>
      <c r="AJ98" s="18">
        <f>ROUNDUP(IF(A98=0,0,IFERROR(VLOOKUP($A98,'[1]Kilos Asignado del Donante'!A:N,12,0),0)),0)</f>
        <v>0</v>
      </c>
      <c r="AK98" s="18">
        <f>IF(A98=0,0,IFERROR(SUMIFS([1]Poblacion!V:V,[1]Poblacion!J:J,'MASTER-2025'!A98),0))</f>
        <v>0</v>
      </c>
      <c r="AL98" s="19">
        <f>IFERROR(VLOOKUP($A98,'[1]OB Atendidas por Donantes'!A:N,16,0),0)</f>
        <v>0</v>
      </c>
      <c r="AM98" s="19">
        <f>ROUNDUP(IF(A98=0,0,IFERROR(VLOOKUP($A98,'[1]Kilos Asignado del Donante'!A:O,16,0),0)),0)</f>
        <v>0</v>
      </c>
      <c r="AN98" s="19">
        <f>IF(A98=0,0,IFERROR(SUMIFS([1]Poblacion!Z:Z,[1]Poblacion!J:J,'MASTER-2025'!A98),0))</f>
        <v>0</v>
      </c>
      <c r="AO98" s="20">
        <f>IFERROR(VLOOKUP($A98,'[1]OB Atendidas por Donantes'!A:N,11,0),0)</f>
        <v>0</v>
      </c>
      <c r="AP98" s="20">
        <f>ROUNDUP(IF(A98=0,0,IFERROR(VLOOKUP($A98,'[1]Kilos Asignado del Donante'!A:N,13,0),0)),0)</f>
        <v>0</v>
      </c>
      <c r="AQ98" s="20">
        <f>IF(A98=0,0,IFERROR(SUMIFS([1]Poblacion!W:W,[1]Poblacion!J:J,'MASTER-2025'!A98),0))</f>
        <v>0</v>
      </c>
      <c r="AR98" s="18">
        <f>IFERROR(VLOOKUP($A98,'[1]OB Atendidas por Donantes'!A:N,5,0),0)</f>
        <v>0</v>
      </c>
      <c r="AS98" s="18">
        <f>ROUNDUP(IF(A98=0,0,IFERROR(VLOOKUP($A98,'[1]Kilos Asignado del Donante'!A:N,10,0),0)),0)</f>
        <v>0</v>
      </c>
      <c r="AT98" s="18">
        <f>IF(A98=0,0,IFERROR(SUMIFS([1]Poblacion!T:T,[1]Poblacion!J:J,'MASTER-2025'!A98),0))</f>
        <v>0</v>
      </c>
      <c r="AU98" s="19">
        <f>IFERROR(VLOOKUP($A98,'[1]OB Atendidas por Donantes'!A:N,13,0),0)</f>
        <v>0</v>
      </c>
      <c r="AV98" s="19">
        <f>ROUNDUP(IF(A98=0,0,IFERROR(VLOOKUP($A98,'[1]Kilos Asignado del Donante'!A:N,14,0),0)),0)</f>
        <v>0</v>
      </c>
      <c r="AW98" s="19">
        <f>IF(A98=0,0,IFERROR(SUMIFS([1]Poblacion!X:X,[1]Poblacion!J:J,'MASTER-2025'!A98),0))</f>
        <v>0</v>
      </c>
      <c r="AX98" s="20">
        <f>IFERROR(VLOOKUP($A98,'[1]OB Atendidas por Donantes'!A:N,16,0),0)</f>
        <v>0</v>
      </c>
      <c r="AY98" s="20">
        <f>ROUNDUP(IF(A98=0,0,IFERROR(VLOOKUP($A98,'[1]Kilos Asignado del Donante'!A:O,16,0),0)),0)</f>
        <v>0</v>
      </c>
      <c r="AZ98" s="20">
        <f>IF(A98=0,0,IFERROR(SUMIFS([1]Poblacion!Y:Y,[1]Poblacion!J:J,'MASTER-2025'!A98),0))</f>
        <v>0</v>
      </c>
      <c r="BA98" s="21">
        <f t="shared" si="34"/>
        <v>0</v>
      </c>
      <c r="BB98" s="21">
        <f t="shared" si="29"/>
        <v>0</v>
      </c>
      <c r="BC98" s="21">
        <f t="shared" si="39"/>
        <v>0</v>
      </c>
      <c r="BD98" s="21">
        <f t="shared" si="41"/>
        <v>0</v>
      </c>
      <c r="BE98" s="22" t="e">
        <f>IF(A98=0,0,SUMIFS([1]Poblacion!C:C,[1]Poblacion!A:A,'MASTER-2025'!A98))</f>
        <v>#VALUE!</v>
      </c>
      <c r="BF98" s="22" t="e">
        <f>IF(A98=0,0,SUMIFS([1]Poblacion!D:D,[1]Poblacion!A:A,'MASTER-2025'!A98))</f>
        <v>#VALUE!</v>
      </c>
      <c r="BG98" s="22" t="e">
        <f>IF(A98=0,0,SUMIFS([1]Poblacion!E:E,[1]Poblacion!A:A,'MASTER-2025'!A98))</f>
        <v>#VALUE!</v>
      </c>
      <c r="BH98" s="22" t="e">
        <f>IF(A98=0,0,SUMIFS([1]Poblacion!F:F,[1]Poblacion!A:A,'MASTER-2025'!A98))</f>
        <v>#VALUE!</v>
      </c>
      <c r="BI98" s="22" t="e">
        <f t="shared" si="35"/>
        <v>#VALUE!</v>
      </c>
      <c r="BJ98" s="23" t="e">
        <f t="shared" si="30"/>
        <v>#VALUE!</v>
      </c>
      <c r="BK98" s="22" t="e">
        <f>IF(A98=0,0,SUMIFS([1]Poblacion!G:G,[1]Poblacion!A:A,'MASTER-2025'!A98))</f>
        <v>#VALUE!</v>
      </c>
      <c r="BL98" s="24" cm="1">
        <f t="array" ref="BL98:BW98">IFERROR(VLOOKUP(A98,'[1]Acum-OB-kg-pob-25'!A:AQ,{3,4,5,6,7,8,9,10,11,12,13,14},0),0)</f>
        <v>0</v>
      </c>
      <c r="BM98" s="24">
        <v>0</v>
      </c>
      <c r="BN98" s="24">
        <v>0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24">
        <v>0</v>
      </c>
      <c r="BU98" s="24">
        <v>0</v>
      </c>
      <c r="BV98" s="24">
        <v>0</v>
      </c>
      <c r="BW98" s="24">
        <v>0</v>
      </c>
      <c r="BX98" s="24">
        <f t="shared" si="31"/>
        <v>0</v>
      </c>
      <c r="BY98" s="25" cm="1">
        <f t="array" ref="BY98:CJ98">IFERROR(VLOOKUP(A98,'[1]Acum-OB-kg-pob-25'!A:AQ,{17,18,19,20,21,22,23,24,25,26,27,28},0),0)</f>
        <v>0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0</v>
      </c>
      <c r="CH98" s="25">
        <v>0</v>
      </c>
      <c r="CI98" s="25">
        <v>0</v>
      </c>
      <c r="CJ98" s="25">
        <v>0</v>
      </c>
      <c r="CK98" s="25">
        <f t="shared" si="32"/>
        <v>0</v>
      </c>
      <c r="CL98" s="26" cm="1">
        <f t="array" ref="CL98:CW98">IFERROR(VLOOKUP(A98,'[1]Acum-OB-kg-pob-25'!A:AQ,{31,32,33,34,35,36,37,38,39,40,41,42},0),0)</f>
        <v>0</v>
      </c>
      <c r="CM98" s="26">
        <v>0</v>
      </c>
      <c r="CN98" s="26">
        <v>0</v>
      </c>
      <c r="CO98" s="26">
        <v>0</v>
      </c>
      <c r="CP98" s="26">
        <v>0</v>
      </c>
      <c r="CQ98" s="26">
        <v>0</v>
      </c>
      <c r="CR98" s="26">
        <v>0</v>
      </c>
      <c r="CS98" s="26">
        <v>0</v>
      </c>
      <c r="CT98" s="26">
        <v>0</v>
      </c>
      <c r="CU98" s="26">
        <v>0</v>
      </c>
      <c r="CV98" s="26">
        <v>0</v>
      </c>
      <c r="CW98" s="26">
        <v>0</v>
      </c>
      <c r="CX98" s="26">
        <f t="shared" si="33"/>
        <v>0</v>
      </c>
      <c r="CY98" s="14" t="str">
        <f>IF(A98=0,0,IFERROR(VLOOKUP(A98,'[1]Info Donantes'!C:F,2,0),"Sin Contacto"))</f>
        <v>Sin Contacto</v>
      </c>
      <c r="CZ98" s="14" t="str">
        <f>IF(A98=0,0,IFERROR(VLOOKUP(A98,'[1]Info Donantes'!C:F,3,0),"Sin Correo"))</f>
        <v>Sin Correo</v>
      </c>
      <c r="DA98" s="14" t="str">
        <f>IF(A98=0,0,IFERROR(VLOOKUP(A98,'[1]Info Donantes'!C:F,4,0),"Sin Telefono"))</f>
        <v>Sin Telefono</v>
      </c>
      <c r="DB98" s="14" t="str">
        <f>IF(A98=0,0,"Reporte de Trazabiidad"&amp;" - "&amp;'[1]Resumen Donantes'!$C$2&amp;" - "&amp;A98&amp;"")</f>
        <v>Reporte de Trazabiidad -  - MINERA PANAMÁ</v>
      </c>
    </row>
    <row r="99" spans="1:106" x14ac:dyDescent="0.55000000000000004">
      <c r="A99" s="14" t="s">
        <v>203</v>
      </c>
      <c r="B99" s="15">
        <f>INT(IFERROR(VLOOKUP(A99,'[1]Resumen Donantes'!C:F,3,0),0))</f>
        <v>0</v>
      </c>
      <c r="C99" s="15">
        <f>INT(ROUND(IFERROR(VLOOKUP(A99,'[1]Resumen Donantes'!C:F,4,0),0),1))</f>
        <v>0</v>
      </c>
      <c r="D99" s="16">
        <f t="shared" si="36"/>
        <v>0</v>
      </c>
      <c r="E99" s="17" t="str">
        <f t="shared" si="37"/>
        <v>0.00%</v>
      </c>
      <c r="F99" s="17" t="str">
        <f t="shared" si="38"/>
        <v>0.0%</v>
      </c>
      <c r="G99" s="15">
        <f t="shared" si="40"/>
        <v>0</v>
      </c>
      <c r="H99" s="18"/>
      <c r="I99" s="18">
        <f>IFERROR(VLOOKUP(A99,'[1]Lot All by Part'!T:Y,6,0),0)</f>
        <v>0</v>
      </c>
      <c r="J99" s="18"/>
      <c r="K99" s="19">
        <f>IFERROR(VLOOKUP($A99,'[1]OB Atendidas por Donantes'!A:N,3,0),0)</f>
        <v>0</v>
      </c>
      <c r="L99" s="19">
        <f>ROUNDUP(IF(A99=0,0,IFERROR(VLOOKUP($A99,'[1]Kilos Asignado del Donante'!A:O,3,0),0)),0)</f>
        <v>0</v>
      </c>
      <c r="M99" s="19">
        <f>IF(A99=0,0,IFERROR(SUMIFS([1]Poblacion!M:M,[1]Poblacion!J:J,'MASTER-2025'!A99),0))</f>
        <v>0</v>
      </c>
      <c r="N99" s="20">
        <f>IFERROR(VLOOKUP($A99,'[1]OB Atendidas por Donantes'!A:N,4,0),0)</f>
        <v>0</v>
      </c>
      <c r="O99" s="20">
        <f>ROUNDUP(IF(A99=0,0,IFERROR(VLOOKUP($A99,'[1]Kilos Asignado del Donante'!A:O,4,0),0)),0)</f>
        <v>0</v>
      </c>
      <c r="P99" s="20">
        <f>IF(A99=0,0,IFERROR(SUMIFS([1]Poblacion!N:N,[1]Poblacion!J:J,'MASTER-2025'!A99),0))</f>
        <v>0</v>
      </c>
      <c r="Q99" s="18">
        <f>IFERROR(VLOOKUP($A99,'[1]OB Atendidas por Donantes'!A:N,2,0),0)</f>
        <v>0</v>
      </c>
      <c r="R99" s="18">
        <f>ROUNDUP(ROUND(IF(A99=0,0,IFERROR(VLOOKUP($A99,'[1]Kilos Asignado del Donante'!A:O,9,0),0)),1),0)</f>
        <v>0</v>
      </c>
      <c r="S99" s="18">
        <f>IF(A99=0,0,IFERROR(SUMIFS([1]Poblacion!S:S,[1]Poblacion!J:J,'MASTER-2025'!A99),0))</f>
        <v>0</v>
      </c>
      <c r="T99" s="19">
        <f>IFERROR(VLOOKUP($A99,'[1]OB Atendidas por Donantes'!A:N,12,0),0)</f>
        <v>0</v>
      </c>
      <c r="U99" s="19">
        <f>ROUNDUP(IF(A99=0,0,IF(A99=0,0,IFERROR(VLOOKUP($A99,'[1]Kilos Asignado del Donante'!A:O,7,0),0))),0)</f>
        <v>0</v>
      </c>
      <c r="V99" s="19">
        <f>IF(A99=0,0,IFERROR(SUMIFS([1]Poblacion!Q:Q,[1]Poblacion!J:J,'MASTER-2025'!A99),0))</f>
        <v>0</v>
      </c>
      <c r="W99" s="20">
        <f>IFERROR(VLOOKUP($A99,'[1]OB Atendidas por Donantes'!A:N,10,0),0)</f>
        <v>0</v>
      </c>
      <c r="X99" s="20">
        <f>ROUNDUP(IF(A99=0,0,IFERROR(VLOOKUP($A99,'[1]Kilos Asignado del Donante'!A:N,5,0),0)),0)</f>
        <v>0</v>
      </c>
      <c r="Y99" s="20">
        <f>IF(A99=0,0,IFERROR(SUMIFS([1]Poblacion!O:O,[1]Poblacion!J:J,'MASTER-2025'!A99),0))</f>
        <v>0</v>
      </c>
      <c r="Z99" s="18">
        <f>IFERROR(VLOOKUP($A99,'[1]OB Atendidas por Donantes'!A:N,6,0),0)</f>
        <v>0</v>
      </c>
      <c r="AA99" s="18">
        <f>ROUNDUP(IF(A99=0,0,IFERROR(VLOOKUP($A99,'[1]Kilos Asignado del Donante'!A:N,11,0),0)),0)</f>
        <v>0</v>
      </c>
      <c r="AB99" s="18">
        <f>IF(A99=0,0,IFERROR(SUMIFS([1]Poblacion!U:U,[1]Poblacion!J:J,'MASTER-2025'!A99),0))</f>
        <v>0</v>
      </c>
      <c r="AC99" s="19">
        <f>IFERROR(VLOOKUP($A99,'[1]OB Atendidas por Donantes'!A:N,7,0),0)</f>
        <v>0</v>
      </c>
      <c r="AD99" s="19">
        <f>ROUNDUP(IF(A99=0,0,IFERROR(VLOOKUP($A99,'[1]Kilos Asignado del Donante'!A:N,8,0),0)),0)</f>
        <v>0</v>
      </c>
      <c r="AE99" s="19">
        <f>IF(A99=0,0,IFERROR(SUMIFS([1]Poblacion!R:R,[1]Poblacion!J:J,'MASTER-2025'!A99),0))</f>
        <v>0</v>
      </c>
      <c r="AF99" s="20">
        <f>IFERROR(VLOOKUP($A99,'[1]OB Atendidas por Donantes'!A:N,8,0),0)</f>
        <v>0</v>
      </c>
      <c r="AG99" s="20">
        <f>ROUNDUP(IF(A99=0,0,IFERROR(VLOOKUP($A99,'[1]Kilos Asignado del Donante'!A:N,6,0),0)),0)</f>
        <v>0</v>
      </c>
      <c r="AH99" s="20">
        <f>IF(A99=0,0,IFERROR(SUMIFS([1]Poblacion!P:P,[1]Poblacion!J:J,'MASTER-2025'!A99),0))</f>
        <v>0</v>
      </c>
      <c r="AI99" s="18">
        <f>IFERROR(VLOOKUP($A99,'[1]OB Atendidas por Donantes'!A:N,9,0),0)</f>
        <v>0</v>
      </c>
      <c r="AJ99" s="18">
        <f>ROUNDUP(IF(A99=0,0,IFERROR(VLOOKUP($A99,'[1]Kilos Asignado del Donante'!A:N,12,0),0)),0)</f>
        <v>0</v>
      </c>
      <c r="AK99" s="18">
        <f>IF(A99=0,0,IFERROR(SUMIFS([1]Poblacion!V:V,[1]Poblacion!J:J,'MASTER-2025'!A99),0))</f>
        <v>0</v>
      </c>
      <c r="AL99" s="19">
        <f>IFERROR(VLOOKUP($A99,'[1]OB Atendidas por Donantes'!A:N,16,0),0)</f>
        <v>0</v>
      </c>
      <c r="AM99" s="19">
        <f>ROUNDUP(IF(A99=0,0,IFERROR(VLOOKUP($A99,'[1]Kilos Asignado del Donante'!A:O,16,0),0)),0)</f>
        <v>0</v>
      </c>
      <c r="AN99" s="19">
        <f>IF(A99=0,0,IFERROR(SUMIFS([1]Poblacion!Z:Z,[1]Poblacion!J:J,'MASTER-2025'!A99),0))</f>
        <v>0</v>
      </c>
      <c r="AO99" s="20">
        <f>IFERROR(VLOOKUP($A99,'[1]OB Atendidas por Donantes'!A:N,11,0),0)</f>
        <v>0</v>
      </c>
      <c r="AP99" s="20">
        <f>ROUNDUP(IF(A99=0,0,IFERROR(VLOOKUP($A99,'[1]Kilos Asignado del Donante'!A:N,13,0),0)),0)</f>
        <v>0</v>
      </c>
      <c r="AQ99" s="20">
        <f>IF(A99=0,0,IFERROR(SUMIFS([1]Poblacion!W:W,[1]Poblacion!J:J,'MASTER-2025'!A99),0))</f>
        <v>0</v>
      </c>
      <c r="AR99" s="18">
        <f>IFERROR(VLOOKUP($A99,'[1]OB Atendidas por Donantes'!A:N,5,0),0)</f>
        <v>0</v>
      </c>
      <c r="AS99" s="18">
        <f>ROUNDUP(IF(A99=0,0,IFERROR(VLOOKUP($A99,'[1]Kilos Asignado del Donante'!A:N,10,0),0)),0)</f>
        <v>0</v>
      </c>
      <c r="AT99" s="18">
        <f>IF(A99=0,0,IFERROR(SUMIFS([1]Poblacion!T:T,[1]Poblacion!J:J,'MASTER-2025'!A99),0))</f>
        <v>0</v>
      </c>
      <c r="AU99" s="19">
        <f>IFERROR(VLOOKUP($A99,'[1]OB Atendidas por Donantes'!A:N,13,0),0)</f>
        <v>0</v>
      </c>
      <c r="AV99" s="19">
        <f>ROUNDUP(IF(A99=0,0,IFERROR(VLOOKUP($A99,'[1]Kilos Asignado del Donante'!A:N,14,0),0)),0)</f>
        <v>0</v>
      </c>
      <c r="AW99" s="19">
        <f>IF(A99=0,0,IFERROR(SUMIFS([1]Poblacion!X:X,[1]Poblacion!J:J,'MASTER-2025'!A99),0))</f>
        <v>0</v>
      </c>
      <c r="AX99" s="20">
        <f>IFERROR(VLOOKUP($A99,'[1]OB Atendidas por Donantes'!A:N,16,0),0)</f>
        <v>0</v>
      </c>
      <c r="AY99" s="20">
        <f>ROUNDUP(IF(A99=0,0,IFERROR(VLOOKUP($A99,'[1]Kilos Asignado del Donante'!A:O,16,0),0)),0)</f>
        <v>0</v>
      </c>
      <c r="AZ99" s="20">
        <f>IF(A99=0,0,IFERROR(SUMIFS([1]Poblacion!Y:Y,[1]Poblacion!J:J,'MASTER-2025'!A99),0))</f>
        <v>0</v>
      </c>
      <c r="BA99" s="21">
        <f t="shared" si="34"/>
        <v>0</v>
      </c>
      <c r="BB99" s="21">
        <f t="shared" si="29"/>
        <v>0</v>
      </c>
      <c r="BC99" s="21">
        <f t="shared" si="39"/>
        <v>0</v>
      </c>
      <c r="BD99" s="21">
        <f t="shared" si="41"/>
        <v>0</v>
      </c>
      <c r="BE99" s="22" t="e">
        <f>IF(A99=0,0,SUMIFS([1]Poblacion!C:C,[1]Poblacion!A:A,'MASTER-2025'!A99))</f>
        <v>#VALUE!</v>
      </c>
      <c r="BF99" s="22" t="e">
        <f>IF(A99=0,0,SUMIFS([1]Poblacion!D:D,[1]Poblacion!A:A,'MASTER-2025'!A99))</f>
        <v>#VALUE!</v>
      </c>
      <c r="BG99" s="22" t="e">
        <f>IF(A99=0,0,SUMIFS([1]Poblacion!E:E,[1]Poblacion!A:A,'MASTER-2025'!A99))</f>
        <v>#VALUE!</v>
      </c>
      <c r="BH99" s="22" t="e">
        <f>IF(A99=0,0,SUMIFS([1]Poblacion!F:F,[1]Poblacion!A:A,'MASTER-2025'!A99))</f>
        <v>#VALUE!</v>
      </c>
      <c r="BI99" s="22" t="e">
        <f t="shared" si="35"/>
        <v>#VALUE!</v>
      </c>
      <c r="BJ99" s="23" t="e">
        <f t="shared" si="30"/>
        <v>#VALUE!</v>
      </c>
      <c r="BK99" s="22" t="e">
        <f>IF(A99=0,0,SUMIFS([1]Poblacion!G:G,[1]Poblacion!A:A,'MASTER-2025'!A99))</f>
        <v>#VALUE!</v>
      </c>
      <c r="BL99" s="24" cm="1">
        <f t="array" ref="BL99:BW99">IFERROR(VLOOKUP(A99,'[1]Acum-OB-kg-pob-25'!A:AQ,{3,4,5,6,7,8,9,10,11,12,13,14},0),0)</f>
        <v>0</v>
      </c>
      <c r="BM99" s="24">
        <v>0</v>
      </c>
      <c r="BN99" s="24">
        <v>0</v>
      </c>
      <c r="BO99" s="24">
        <v>0</v>
      </c>
      <c r="BP99" s="24">
        <v>0</v>
      </c>
      <c r="BQ99" s="24">
        <v>0</v>
      </c>
      <c r="BR99" s="24">
        <v>0</v>
      </c>
      <c r="BS99" s="24">
        <v>0</v>
      </c>
      <c r="BT99" s="24">
        <v>0</v>
      </c>
      <c r="BU99" s="24">
        <v>0</v>
      </c>
      <c r="BV99" s="24">
        <v>0</v>
      </c>
      <c r="BW99" s="24">
        <v>0</v>
      </c>
      <c r="BX99" s="24">
        <f t="shared" si="31"/>
        <v>0</v>
      </c>
      <c r="BY99" s="25" cm="1">
        <f t="array" ref="BY99:CJ99">IFERROR(VLOOKUP(A99,'[1]Acum-OB-kg-pob-25'!A:AQ,{17,18,19,20,21,22,23,24,25,26,27,28},0),0)</f>
        <v>0</v>
      </c>
      <c r="BZ99" s="25">
        <v>1497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0</v>
      </c>
      <c r="CH99" s="25">
        <v>0</v>
      </c>
      <c r="CI99" s="25">
        <v>0</v>
      </c>
      <c r="CJ99" s="25">
        <v>0</v>
      </c>
      <c r="CK99" s="25">
        <f t="shared" si="32"/>
        <v>1497</v>
      </c>
      <c r="CL99" s="26" cm="1">
        <f t="array" ref="CL99:CW99">IFERROR(VLOOKUP(A99,'[1]Acum-OB-kg-pob-25'!A:AQ,{31,32,33,34,35,36,37,38,39,40,41,42},0),0)</f>
        <v>0</v>
      </c>
      <c r="CM99" s="26">
        <v>0</v>
      </c>
      <c r="CN99" s="26">
        <v>0</v>
      </c>
      <c r="CO99" s="26">
        <v>0</v>
      </c>
      <c r="CP99" s="26">
        <v>0</v>
      </c>
      <c r="CQ99" s="26">
        <v>0</v>
      </c>
      <c r="CR99" s="26">
        <v>0</v>
      </c>
      <c r="CS99" s="26">
        <v>0</v>
      </c>
      <c r="CT99" s="26">
        <v>0</v>
      </c>
      <c r="CU99" s="26">
        <v>0</v>
      </c>
      <c r="CV99" s="26">
        <v>0</v>
      </c>
      <c r="CW99" s="26">
        <v>0</v>
      </c>
      <c r="CX99" s="26">
        <f t="shared" si="33"/>
        <v>0</v>
      </c>
      <c r="CY99" s="14" t="str">
        <f>IF(A99=0,0,IFERROR(VLOOKUP(A99,'[1]Info Donantes'!C:F,2,0),"Sin Contacto"))</f>
        <v>CARLOS GOMEZ</v>
      </c>
      <c r="CZ99" s="14" t="str">
        <f>IF(A99=0,0,IFERROR(VLOOKUP(A99,'[1]Info Donantes'!C:F,3,0),"Sin Correo"))</f>
        <v>ventas@ecsabox.com</v>
      </c>
      <c r="DA99" s="14" t="str">
        <f>IF(A99=0,0,IFERROR(VLOOKUP(A99,'[1]Info Donantes'!C:F,4,0),"Sin Telefono"))</f>
        <v>2043500</v>
      </c>
      <c r="DB99" s="14" t="str">
        <f>IF(A99=0,0,"Reporte de Trazabiidad"&amp;" - "&amp;'[1]Resumen Donantes'!$C$2&amp;" - "&amp;A99&amp;"")</f>
        <v>Reporte de Trazabiidad -  - EMPAQUES DE COLON S.A.</v>
      </c>
    </row>
    <row r="100" spans="1:106" x14ac:dyDescent="0.55000000000000004">
      <c r="A100" s="14" t="s">
        <v>204</v>
      </c>
      <c r="B100" s="15">
        <f>INT(IFERROR(VLOOKUP(A100,'[1]Resumen Donantes'!C:F,3,0),0))</f>
        <v>0</v>
      </c>
      <c r="C100" s="15">
        <f>INT(ROUND(IFERROR(VLOOKUP(A100,'[1]Resumen Donantes'!C:F,4,0),0),1))</f>
        <v>1274</v>
      </c>
      <c r="D100" s="16">
        <f t="shared" si="36"/>
        <v>1274</v>
      </c>
      <c r="E100" s="17" t="str">
        <f t="shared" si="37"/>
        <v>100.00%</v>
      </c>
      <c r="F100" s="17" t="str">
        <f t="shared" si="38"/>
        <v>0.0%</v>
      </c>
      <c r="G100" s="15">
        <f t="shared" si="40"/>
        <v>3822</v>
      </c>
      <c r="H100" s="18"/>
      <c r="I100" s="18">
        <f>IFERROR(VLOOKUP(A100,'[1]Lot All by Part'!T:Y,6,0),0)</f>
        <v>0</v>
      </c>
      <c r="J100" s="18"/>
      <c r="K100" s="19">
        <f>IFERROR(VLOOKUP($A100,'[1]OB Atendidas por Donantes'!A:N,3,0),0)</f>
        <v>11</v>
      </c>
      <c r="L100" s="19">
        <f>ROUNDUP(IF(A100=0,0,IFERROR(VLOOKUP($A100,'[1]Kilos Asignado del Donante'!A:O,3,0),0)),0)</f>
        <v>96</v>
      </c>
      <c r="M100" s="19">
        <f>IF(A100=0,0,IFERROR(SUMIFS([1]Poblacion!M:M,[1]Poblacion!J:J,'MASTER-2025'!A100),0))</f>
        <v>0</v>
      </c>
      <c r="N100" s="20">
        <f>IFERROR(VLOOKUP($A100,'[1]OB Atendidas por Donantes'!A:N,4,0),0)</f>
        <v>27</v>
      </c>
      <c r="O100" s="20">
        <f>ROUNDUP(IF(A100=0,0,IFERROR(VLOOKUP($A100,'[1]Kilos Asignado del Donante'!A:O,4,0),0)),0)</f>
        <v>170</v>
      </c>
      <c r="P100" s="20">
        <f>IF(A100=0,0,IFERROR(SUMIFS([1]Poblacion!N:N,[1]Poblacion!J:J,'MASTER-2025'!A100),0))</f>
        <v>0</v>
      </c>
      <c r="Q100" s="18">
        <f>IFERROR(VLOOKUP($A100,'[1]OB Atendidas por Donantes'!A:N,2,0),0)</f>
        <v>4</v>
      </c>
      <c r="R100" s="18">
        <f>ROUNDUP(ROUND(IF(A100=0,0,IFERROR(VLOOKUP($A100,'[1]Kilos Asignado del Donante'!A:O,9,0),0)),1),0)</f>
        <v>14</v>
      </c>
      <c r="S100" s="18">
        <f>IF(A100=0,0,IFERROR(SUMIFS([1]Poblacion!S:S,[1]Poblacion!J:J,'MASTER-2025'!A100),0))</f>
        <v>0</v>
      </c>
      <c r="T100" s="19">
        <f>IFERROR(VLOOKUP($A100,'[1]OB Atendidas por Donantes'!A:N,12,0),0)</f>
        <v>3</v>
      </c>
      <c r="U100" s="19">
        <f>ROUNDUP(IF(A100=0,0,IF(A100=0,0,IFERROR(VLOOKUP($A100,'[1]Kilos Asignado del Donante'!A:O,7,0),0))),0)</f>
        <v>12</v>
      </c>
      <c r="V100" s="19">
        <f>IF(A100=0,0,IFERROR(SUMIFS([1]Poblacion!Q:Q,[1]Poblacion!J:J,'MASTER-2025'!A100),0))</f>
        <v>0</v>
      </c>
      <c r="W100" s="20">
        <f>IFERROR(VLOOKUP($A100,'[1]OB Atendidas por Donantes'!A:N,10,0),0)</f>
        <v>9</v>
      </c>
      <c r="X100" s="20">
        <f>ROUNDUP(IF(A100=0,0,IFERROR(VLOOKUP($A100,'[1]Kilos Asignado del Donante'!A:N,5,0),0)),0)</f>
        <v>48</v>
      </c>
      <c r="Y100" s="20">
        <f>IF(A100=0,0,IFERROR(SUMIFS([1]Poblacion!O:O,[1]Poblacion!J:J,'MASTER-2025'!A100),0))</f>
        <v>0</v>
      </c>
      <c r="Z100" s="18">
        <f>IFERROR(VLOOKUP($A100,'[1]OB Atendidas por Donantes'!A:N,6,0),0)</f>
        <v>1</v>
      </c>
      <c r="AA100" s="18">
        <f>ROUNDUP(IF(A100=0,0,IFERROR(VLOOKUP($A100,'[1]Kilos Asignado del Donante'!A:N,11,0),0)),0)</f>
        <v>74</v>
      </c>
      <c r="AB100" s="18">
        <f>IF(A100=0,0,IFERROR(SUMIFS([1]Poblacion!U:U,[1]Poblacion!J:J,'MASTER-2025'!A100),0))</f>
        <v>0</v>
      </c>
      <c r="AC100" s="19">
        <f>IFERROR(VLOOKUP($A100,'[1]OB Atendidas por Donantes'!A:N,7,0),0)</f>
        <v>2</v>
      </c>
      <c r="AD100" s="19">
        <f>ROUNDUP(IF(A100=0,0,IFERROR(VLOOKUP($A100,'[1]Kilos Asignado del Donante'!A:N,8,0),0)),0)</f>
        <v>86</v>
      </c>
      <c r="AE100" s="19">
        <f>IF(A100=0,0,IFERROR(SUMIFS([1]Poblacion!R:R,[1]Poblacion!J:J,'MASTER-2025'!A100),0))</f>
        <v>0</v>
      </c>
      <c r="AF100" s="20">
        <f>IFERROR(VLOOKUP($A100,'[1]OB Atendidas por Donantes'!A:N,8,0),0)</f>
        <v>1</v>
      </c>
      <c r="AG100" s="20">
        <f>ROUNDUP(IF(A100=0,0,IFERROR(VLOOKUP($A100,'[1]Kilos Asignado del Donante'!A:N,6,0),0)),0)</f>
        <v>5</v>
      </c>
      <c r="AH100" s="20">
        <f>IF(A100=0,0,IFERROR(SUMIFS([1]Poblacion!P:P,[1]Poblacion!J:J,'MASTER-2025'!A100),0))</f>
        <v>0</v>
      </c>
      <c r="AI100" s="18">
        <f>IFERROR(VLOOKUP($A100,'[1]OB Atendidas por Donantes'!A:N,9,0),0)</f>
        <v>1</v>
      </c>
      <c r="AJ100" s="18">
        <f>ROUNDUP(IF(A100=0,0,IFERROR(VLOOKUP($A100,'[1]Kilos Asignado del Donante'!A:N,12,0),0)),0)</f>
        <v>17</v>
      </c>
      <c r="AK100" s="18">
        <f>IF(A100=0,0,IFERROR(SUMIFS([1]Poblacion!V:V,[1]Poblacion!J:J,'MASTER-2025'!A100),0))</f>
        <v>0</v>
      </c>
      <c r="AL100" s="19">
        <f>IFERROR(VLOOKUP($A100,'[1]OB Atendidas por Donantes'!A:N,16,0),0)</f>
        <v>0</v>
      </c>
      <c r="AM100" s="19">
        <f>ROUNDUP(IF(A100=0,0,IFERROR(VLOOKUP($A100,'[1]Kilos Asignado del Donante'!A:O,16,0),0)),0)</f>
        <v>0</v>
      </c>
      <c r="AN100" s="19">
        <f>IF(A100=0,0,IFERROR(SUMIFS([1]Poblacion!Z:Z,[1]Poblacion!J:J,'MASTER-2025'!A100),0))</f>
        <v>0</v>
      </c>
      <c r="AO100" s="20">
        <f>IFERROR(VLOOKUP($A100,'[1]OB Atendidas por Donantes'!A:N,11,0),0)</f>
        <v>1</v>
      </c>
      <c r="AP100" s="20">
        <f>ROUNDUP(IF(A100=0,0,IFERROR(VLOOKUP($A100,'[1]Kilos Asignado del Donante'!A:N,13,0),0)),0)</f>
        <v>15</v>
      </c>
      <c r="AQ100" s="20">
        <f>IF(A100=0,0,IFERROR(SUMIFS([1]Poblacion!W:W,[1]Poblacion!J:J,'MASTER-2025'!A100),0))</f>
        <v>0</v>
      </c>
      <c r="AR100" s="18">
        <f>IFERROR(VLOOKUP($A100,'[1]OB Atendidas por Donantes'!A:N,5,0),0)</f>
        <v>5</v>
      </c>
      <c r="AS100" s="18">
        <f>ROUNDUP(IF(A100=0,0,IFERROR(VLOOKUP($A100,'[1]Kilos Asignado del Donante'!A:N,10,0),0)),0)</f>
        <v>74</v>
      </c>
      <c r="AT100" s="18">
        <f>IF(A100=0,0,IFERROR(SUMIFS([1]Poblacion!T:T,[1]Poblacion!J:J,'MASTER-2025'!A100),0))</f>
        <v>0</v>
      </c>
      <c r="AU100" s="19">
        <f>IFERROR(VLOOKUP($A100,'[1]OB Atendidas por Donantes'!A:N,13,0),0)</f>
        <v>0</v>
      </c>
      <c r="AV100" s="19">
        <f>ROUNDUP(IF(A100=0,0,IFERROR(VLOOKUP($A100,'[1]Kilos Asignado del Donante'!A:N,14,0),0)),0)</f>
        <v>0</v>
      </c>
      <c r="AW100" s="19">
        <f>IF(A100=0,0,IFERROR(SUMIFS([1]Poblacion!X:X,[1]Poblacion!J:J,'MASTER-2025'!A100),0))</f>
        <v>0</v>
      </c>
      <c r="AX100" s="20">
        <f>IFERROR(VLOOKUP($A100,'[1]OB Atendidas por Donantes'!A:N,16,0),0)</f>
        <v>0</v>
      </c>
      <c r="AY100" s="20">
        <f>ROUNDUP(IF(A100=0,0,IFERROR(VLOOKUP($A100,'[1]Kilos Asignado del Donante'!A:O,16,0),0)),0)</f>
        <v>0</v>
      </c>
      <c r="AZ100" s="20">
        <f>IF(A100=0,0,IFERROR(SUMIFS([1]Poblacion!Y:Y,[1]Poblacion!J:J,'MASTER-2025'!A100),0))</f>
        <v>0</v>
      </c>
      <c r="BA100" s="21">
        <f t="shared" si="34"/>
        <v>65</v>
      </c>
      <c r="BB100" s="21">
        <f t="shared" si="29"/>
        <v>611</v>
      </c>
      <c r="BC100" s="21">
        <f t="shared" si="39"/>
        <v>292</v>
      </c>
      <c r="BD100" s="21">
        <f t="shared" si="41"/>
        <v>0</v>
      </c>
      <c r="BE100" s="22" t="e">
        <f>IF(A100=0,0,SUMIFS([1]Poblacion!C:C,[1]Poblacion!A:A,'MASTER-2025'!A100))</f>
        <v>#VALUE!</v>
      </c>
      <c r="BF100" s="22" t="e">
        <f>IF(A100=0,0,SUMIFS([1]Poblacion!D:D,[1]Poblacion!A:A,'MASTER-2025'!A100))</f>
        <v>#VALUE!</v>
      </c>
      <c r="BG100" s="22" t="e">
        <f>IF(A100=0,0,SUMIFS([1]Poblacion!E:E,[1]Poblacion!A:A,'MASTER-2025'!A100))</f>
        <v>#VALUE!</v>
      </c>
      <c r="BH100" s="22" t="e">
        <f>IF(A100=0,0,SUMIFS([1]Poblacion!F:F,[1]Poblacion!A:A,'MASTER-2025'!A100))</f>
        <v>#VALUE!</v>
      </c>
      <c r="BI100" s="22" t="e">
        <f t="shared" si="35"/>
        <v>#VALUE!</v>
      </c>
      <c r="BJ100" s="23" t="e">
        <f t="shared" si="30"/>
        <v>#VALUE!</v>
      </c>
      <c r="BK100" s="22" t="e">
        <f>IF(A100=0,0,SUMIFS([1]Poblacion!G:G,[1]Poblacion!A:A,'MASTER-2025'!A100))</f>
        <v>#VALUE!</v>
      </c>
      <c r="BL100" s="24" cm="1">
        <f t="array" ref="BL100:BW100">IFERROR(VLOOKUP(A100,'[1]Acum-OB-kg-pob-25'!A:AQ,{3,4,5,6,7,8,9,10,11,12,13,14},0),0)</f>
        <v>0</v>
      </c>
      <c r="BM100" s="24">
        <v>39</v>
      </c>
      <c r="BN100" s="24">
        <v>65</v>
      </c>
      <c r="BO100" s="24">
        <v>0</v>
      </c>
      <c r="BP100" s="24">
        <v>0</v>
      </c>
      <c r="BQ100" s="24">
        <v>0</v>
      </c>
      <c r="BR100" s="24">
        <v>0</v>
      </c>
      <c r="BS100" s="24">
        <v>0</v>
      </c>
      <c r="BT100" s="24">
        <v>0</v>
      </c>
      <c r="BU100" s="24">
        <v>0</v>
      </c>
      <c r="BV100" s="24">
        <v>0</v>
      </c>
      <c r="BW100" s="24">
        <v>0</v>
      </c>
      <c r="BX100" s="24">
        <f t="shared" si="31"/>
        <v>104</v>
      </c>
      <c r="BY100" s="25" cm="1">
        <f t="array" ref="BY100:CJ100">IFERROR(VLOOKUP(A100,'[1]Acum-OB-kg-pob-25'!A:AQ,{17,18,19,20,21,22,23,24,25,26,27,28},0),0)</f>
        <v>214</v>
      </c>
      <c r="BZ100" s="25">
        <v>341</v>
      </c>
      <c r="CA100" s="25">
        <v>1274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0</v>
      </c>
      <c r="CH100" s="25">
        <v>0</v>
      </c>
      <c r="CI100" s="25">
        <v>0</v>
      </c>
      <c r="CJ100" s="25">
        <v>0</v>
      </c>
      <c r="CK100" s="25">
        <f t="shared" si="32"/>
        <v>1829</v>
      </c>
      <c r="CL100" s="26" cm="1">
        <f t="array" ref="CL100:CW100">IFERROR(VLOOKUP(A100,'[1]Acum-OB-kg-pob-25'!A:AQ,{31,32,33,34,35,36,37,38,39,40,41,42},0),0)</f>
        <v>0</v>
      </c>
      <c r="CM100" s="26">
        <v>8100</v>
      </c>
      <c r="CN100" s="26">
        <v>19347</v>
      </c>
      <c r="CO100" s="26">
        <v>0</v>
      </c>
      <c r="CP100" s="26">
        <v>0</v>
      </c>
      <c r="CQ100" s="26">
        <v>0</v>
      </c>
      <c r="CR100" s="26">
        <v>0</v>
      </c>
      <c r="CS100" s="26">
        <v>0</v>
      </c>
      <c r="CT100" s="26">
        <v>0</v>
      </c>
      <c r="CU100" s="26">
        <v>0</v>
      </c>
      <c r="CV100" s="26">
        <v>0</v>
      </c>
      <c r="CW100" s="26">
        <v>0</v>
      </c>
      <c r="CX100" s="26">
        <f t="shared" si="33"/>
        <v>27447</v>
      </c>
      <c r="CY100" s="14" t="str">
        <f>IF(A100=0,0,IFERROR(VLOOKUP(A100,'[1]Info Donantes'!C:F,2,0),"Sin Contacto"))</f>
        <v>Sin Contacto</v>
      </c>
      <c r="CZ100" s="14" t="str">
        <f>IF(A100=0,0,IFERROR(VLOOKUP(A100,'[1]Info Donantes'!C:F,3,0),"Sin Correo"))</f>
        <v>Sin Correo</v>
      </c>
      <c r="DA100" s="14" t="str">
        <f>IF(A100=0,0,IFERROR(VLOOKUP(A100,'[1]Info Donantes'!C:F,4,0),"Sin Telefono"))</f>
        <v>Sin Telefono</v>
      </c>
      <c r="DB100" s="14" t="str">
        <f>IF(A100=0,0,"Reporte de Trazabiidad"&amp;" - "&amp;'[1]Resumen Donantes'!$C$2&amp;" - "&amp;A100&amp;"")</f>
        <v>Reporte de Trazabiidad -  - H. TZANETATO INC</v>
      </c>
    </row>
    <row r="101" spans="1:106" x14ac:dyDescent="0.55000000000000004">
      <c r="A101" s="14" t="s">
        <v>205</v>
      </c>
      <c r="B101" s="15">
        <f>INT(IFERROR(VLOOKUP(A101,'[1]Resumen Donantes'!C:F,3,0),0))</f>
        <v>0</v>
      </c>
      <c r="C101" s="15">
        <f>INT(ROUND(IFERROR(VLOOKUP(A101,'[1]Resumen Donantes'!C:F,4,0),0),1))</f>
        <v>0</v>
      </c>
      <c r="D101" s="16">
        <f t="shared" si="36"/>
        <v>0</v>
      </c>
      <c r="E101" s="17" t="str">
        <f t="shared" si="37"/>
        <v>0.00%</v>
      </c>
      <c r="F101" s="17" t="str">
        <f t="shared" si="38"/>
        <v>0.0%</v>
      </c>
      <c r="G101" s="15">
        <f t="shared" si="40"/>
        <v>0</v>
      </c>
      <c r="H101" s="18"/>
      <c r="I101" s="18">
        <f>IFERROR(VLOOKUP(A101,'[1]Lot All by Part'!T:Y,6,0),0)</f>
        <v>0</v>
      </c>
      <c r="J101" s="18"/>
      <c r="K101" s="19">
        <f>IFERROR(VLOOKUP($A101,'[1]OB Atendidas por Donantes'!A:N,3,0),0)</f>
        <v>0</v>
      </c>
      <c r="L101" s="19">
        <f>ROUNDUP(IF(A101=0,0,IFERROR(VLOOKUP($A101,'[1]Kilos Asignado del Donante'!A:O,3,0),0)),0)</f>
        <v>0</v>
      </c>
      <c r="M101" s="19">
        <f>IF(A101=0,0,IFERROR(SUMIFS([1]Poblacion!M:M,[1]Poblacion!J:J,'MASTER-2025'!A101),0))</f>
        <v>0</v>
      </c>
      <c r="N101" s="20">
        <f>IFERROR(VLOOKUP($A101,'[1]OB Atendidas por Donantes'!A:N,4,0),0)</f>
        <v>0</v>
      </c>
      <c r="O101" s="20">
        <f>ROUNDUP(IF(A101=0,0,IFERROR(VLOOKUP($A101,'[1]Kilos Asignado del Donante'!A:O,4,0),0)),0)</f>
        <v>0</v>
      </c>
      <c r="P101" s="20">
        <f>IF(A101=0,0,IFERROR(SUMIFS([1]Poblacion!N:N,[1]Poblacion!J:J,'MASTER-2025'!A101),0))</f>
        <v>0</v>
      </c>
      <c r="Q101" s="18">
        <f>IFERROR(VLOOKUP($A101,'[1]OB Atendidas por Donantes'!A:N,2,0),0)</f>
        <v>0</v>
      </c>
      <c r="R101" s="18">
        <f>ROUNDUP(ROUND(IF(A101=0,0,IFERROR(VLOOKUP($A101,'[1]Kilos Asignado del Donante'!A:O,9,0),0)),1),0)</f>
        <v>0</v>
      </c>
      <c r="S101" s="18">
        <f>IF(A101=0,0,IFERROR(SUMIFS([1]Poblacion!S:S,[1]Poblacion!J:J,'MASTER-2025'!A101),0))</f>
        <v>0</v>
      </c>
      <c r="T101" s="19">
        <f>IFERROR(VLOOKUP($A101,'[1]OB Atendidas por Donantes'!A:N,12,0),0)</f>
        <v>0</v>
      </c>
      <c r="U101" s="19">
        <f>ROUNDUP(IF(A101=0,0,IF(A101=0,0,IFERROR(VLOOKUP($A101,'[1]Kilos Asignado del Donante'!A:O,7,0),0))),0)</f>
        <v>0</v>
      </c>
      <c r="V101" s="19">
        <f>IF(A101=0,0,IFERROR(SUMIFS([1]Poblacion!Q:Q,[1]Poblacion!J:J,'MASTER-2025'!A101),0))</f>
        <v>0</v>
      </c>
      <c r="W101" s="20">
        <f>IFERROR(VLOOKUP($A101,'[1]OB Atendidas por Donantes'!A:N,10,0),0)</f>
        <v>0</v>
      </c>
      <c r="X101" s="20">
        <f>ROUNDUP(IF(A101=0,0,IFERROR(VLOOKUP($A101,'[1]Kilos Asignado del Donante'!A:N,5,0),0)),0)</f>
        <v>0</v>
      </c>
      <c r="Y101" s="20">
        <f>IF(A101=0,0,IFERROR(SUMIFS([1]Poblacion!O:O,[1]Poblacion!J:J,'MASTER-2025'!A101),0))</f>
        <v>0</v>
      </c>
      <c r="Z101" s="18">
        <f>IFERROR(VLOOKUP($A101,'[1]OB Atendidas por Donantes'!A:N,6,0),0)</f>
        <v>0</v>
      </c>
      <c r="AA101" s="18">
        <f>ROUNDUP(IF(A101=0,0,IFERROR(VLOOKUP($A101,'[1]Kilos Asignado del Donante'!A:N,11,0),0)),0)</f>
        <v>0</v>
      </c>
      <c r="AB101" s="18">
        <f>IF(A101=0,0,IFERROR(SUMIFS([1]Poblacion!U:U,[1]Poblacion!J:J,'MASTER-2025'!A101),0))</f>
        <v>0</v>
      </c>
      <c r="AC101" s="19">
        <f>IFERROR(VLOOKUP($A101,'[1]OB Atendidas por Donantes'!A:N,7,0),0)</f>
        <v>0</v>
      </c>
      <c r="AD101" s="19">
        <f>ROUNDUP(IF(A101=0,0,IFERROR(VLOOKUP($A101,'[1]Kilos Asignado del Donante'!A:N,8,0),0)),0)</f>
        <v>0</v>
      </c>
      <c r="AE101" s="19">
        <f>IF(A101=0,0,IFERROR(SUMIFS([1]Poblacion!R:R,[1]Poblacion!J:J,'MASTER-2025'!A101),0))</f>
        <v>0</v>
      </c>
      <c r="AF101" s="20">
        <f>IFERROR(VLOOKUP($A101,'[1]OB Atendidas por Donantes'!A:N,8,0),0)</f>
        <v>0</v>
      </c>
      <c r="AG101" s="20">
        <f>ROUNDUP(IF(A101=0,0,IFERROR(VLOOKUP($A101,'[1]Kilos Asignado del Donante'!A:N,6,0),0)),0)</f>
        <v>0</v>
      </c>
      <c r="AH101" s="20">
        <f>IF(A101=0,0,IFERROR(SUMIFS([1]Poblacion!P:P,[1]Poblacion!J:J,'MASTER-2025'!A101),0))</f>
        <v>0</v>
      </c>
      <c r="AI101" s="18">
        <f>IFERROR(VLOOKUP($A101,'[1]OB Atendidas por Donantes'!A:N,9,0),0)</f>
        <v>0</v>
      </c>
      <c r="AJ101" s="18">
        <f>ROUNDUP(IF(A101=0,0,IFERROR(VLOOKUP($A101,'[1]Kilos Asignado del Donante'!A:N,12,0),0)),0)</f>
        <v>0</v>
      </c>
      <c r="AK101" s="18">
        <f>IF(A101=0,0,IFERROR(SUMIFS([1]Poblacion!V:V,[1]Poblacion!J:J,'MASTER-2025'!A101),0))</f>
        <v>0</v>
      </c>
      <c r="AL101" s="19">
        <f>IFERROR(VLOOKUP($A101,'[1]OB Atendidas por Donantes'!A:N,16,0),0)</f>
        <v>0</v>
      </c>
      <c r="AM101" s="19">
        <f>ROUNDUP(IF(A101=0,0,IFERROR(VLOOKUP($A101,'[1]Kilos Asignado del Donante'!A:O,16,0),0)),0)</f>
        <v>0</v>
      </c>
      <c r="AN101" s="19">
        <f>IF(A101=0,0,IFERROR(SUMIFS([1]Poblacion!Z:Z,[1]Poblacion!J:J,'MASTER-2025'!A101),0))</f>
        <v>0</v>
      </c>
      <c r="AO101" s="20">
        <f>IFERROR(VLOOKUP($A101,'[1]OB Atendidas por Donantes'!A:N,11,0),0)</f>
        <v>0</v>
      </c>
      <c r="AP101" s="20">
        <f>ROUNDUP(IF(A101=0,0,IFERROR(VLOOKUP($A101,'[1]Kilos Asignado del Donante'!A:N,13,0),0)),0)</f>
        <v>0</v>
      </c>
      <c r="AQ101" s="20">
        <f>IF(A101=0,0,IFERROR(SUMIFS([1]Poblacion!W:W,[1]Poblacion!J:J,'MASTER-2025'!A101),0))</f>
        <v>0</v>
      </c>
      <c r="AR101" s="18">
        <f>IFERROR(VLOOKUP($A101,'[1]OB Atendidas por Donantes'!A:N,5,0),0)</f>
        <v>0</v>
      </c>
      <c r="AS101" s="18">
        <f>ROUNDUP(IF(A101=0,0,IFERROR(VLOOKUP($A101,'[1]Kilos Asignado del Donante'!A:N,10,0),0)),0)</f>
        <v>0</v>
      </c>
      <c r="AT101" s="18">
        <f>IF(A101=0,0,IFERROR(SUMIFS([1]Poblacion!T:T,[1]Poblacion!J:J,'MASTER-2025'!A101),0))</f>
        <v>0</v>
      </c>
      <c r="AU101" s="19">
        <f>IFERROR(VLOOKUP($A101,'[1]OB Atendidas por Donantes'!A:N,13,0),0)</f>
        <v>0</v>
      </c>
      <c r="AV101" s="19">
        <f>ROUNDUP(IF(A101=0,0,IFERROR(VLOOKUP($A101,'[1]Kilos Asignado del Donante'!A:N,14,0),0)),0)</f>
        <v>0</v>
      </c>
      <c r="AW101" s="19">
        <f>IF(A101=0,0,IFERROR(SUMIFS([1]Poblacion!X:X,[1]Poblacion!J:J,'MASTER-2025'!A101),0))</f>
        <v>0</v>
      </c>
      <c r="AX101" s="20">
        <f>IFERROR(VLOOKUP($A101,'[1]OB Atendidas por Donantes'!A:N,16,0),0)</f>
        <v>0</v>
      </c>
      <c r="AY101" s="20">
        <f>ROUNDUP(IF(A101=0,0,IFERROR(VLOOKUP($A101,'[1]Kilos Asignado del Donante'!A:O,16,0),0)),0)</f>
        <v>0</v>
      </c>
      <c r="AZ101" s="20">
        <f>IF(A101=0,0,IFERROR(SUMIFS([1]Poblacion!Y:Y,[1]Poblacion!J:J,'MASTER-2025'!A101),0))</f>
        <v>0</v>
      </c>
      <c r="BA101" s="21">
        <f t="shared" si="34"/>
        <v>0</v>
      </c>
      <c r="BB101" s="21">
        <f t="shared" si="29"/>
        <v>0</v>
      </c>
      <c r="BC101" s="21">
        <f t="shared" si="39"/>
        <v>0</v>
      </c>
      <c r="BD101" s="21">
        <f t="shared" si="41"/>
        <v>0</v>
      </c>
      <c r="BE101" s="22" t="e">
        <f>IF(A101=0,0,SUMIFS([1]Poblacion!C:C,[1]Poblacion!A:A,'MASTER-2025'!A101))</f>
        <v>#VALUE!</v>
      </c>
      <c r="BF101" s="22" t="e">
        <f>IF(A101=0,0,SUMIFS([1]Poblacion!D:D,[1]Poblacion!A:A,'MASTER-2025'!A101))</f>
        <v>#VALUE!</v>
      </c>
      <c r="BG101" s="22" t="e">
        <f>IF(A101=0,0,SUMIFS([1]Poblacion!E:E,[1]Poblacion!A:A,'MASTER-2025'!A101))</f>
        <v>#VALUE!</v>
      </c>
      <c r="BH101" s="22" t="e">
        <f>IF(A101=0,0,SUMIFS([1]Poblacion!F:F,[1]Poblacion!A:A,'MASTER-2025'!A101))</f>
        <v>#VALUE!</v>
      </c>
      <c r="BI101" s="22" t="e">
        <f t="shared" si="35"/>
        <v>#VALUE!</v>
      </c>
      <c r="BJ101" s="23" t="e">
        <f t="shared" si="30"/>
        <v>#VALUE!</v>
      </c>
      <c r="BK101" s="22" t="e">
        <f>IF(A101=0,0,SUMIFS([1]Poblacion!G:G,[1]Poblacion!A:A,'MASTER-2025'!A101))</f>
        <v>#VALUE!</v>
      </c>
      <c r="BL101" s="24" cm="1">
        <f t="array" ref="BL101:BW101">IFERROR(VLOOKUP(A101,'[1]Acum-OB-kg-pob-25'!A:AQ,{3,4,5,6,7,8,9,10,11,12,13,14},0),0)</f>
        <v>0</v>
      </c>
      <c r="BM101" s="24">
        <v>0</v>
      </c>
      <c r="BN101" s="24">
        <v>0</v>
      </c>
      <c r="BO101" s="24">
        <v>0</v>
      </c>
      <c r="BP101" s="24">
        <v>0</v>
      </c>
      <c r="BQ101" s="24">
        <v>0</v>
      </c>
      <c r="BR101" s="24">
        <v>0</v>
      </c>
      <c r="BS101" s="24">
        <v>0</v>
      </c>
      <c r="BT101" s="24">
        <v>0</v>
      </c>
      <c r="BU101" s="24">
        <v>0</v>
      </c>
      <c r="BV101" s="24">
        <v>0</v>
      </c>
      <c r="BW101" s="24">
        <v>0</v>
      </c>
      <c r="BX101" s="24">
        <f t="shared" si="31"/>
        <v>0</v>
      </c>
      <c r="BY101" s="25" cm="1">
        <f t="array" ref="BY101:CJ101">IFERROR(VLOOKUP(A101,'[1]Acum-OB-kg-pob-25'!A:AQ,{17,18,19,20,21,22,23,24,25,26,27,28},0),0)</f>
        <v>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0</v>
      </c>
      <c r="CH101" s="25">
        <v>0</v>
      </c>
      <c r="CI101" s="25">
        <v>0</v>
      </c>
      <c r="CJ101" s="25">
        <v>0</v>
      </c>
      <c r="CK101" s="25">
        <f t="shared" si="32"/>
        <v>0</v>
      </c>
      <c r="CL101" s="26" cm="1">
        <f t="array" ref="CL101:CW101">IFERROR(VLOOKUP(A101,'[1]Acum-OB-kg-pob-25'!A:AQ,{31,32,33,34,35,36,37,38,39,40,41,42},0),0)</f>
        <v>0</v>
      </c>
      <c r="CM101" s="26">
        <v>0</v>
      </c>
      <c r="CN101" s="26">
        <v>0</v>
      </c>
      <c r="CO101" s="26">
        <v>0</v>
      </c>
      <c r="CP101" s="26">
        <v>0</v>
      </c>
      <c r="CQ101" s="26">
        <v>0</v>
      </c>
      <c r="CR101" s="26">
        <v>0</v>
      </c>
      <c r="CS101" s="26">
        <v>0</v>
      </c>
      <c r="CT101" s="26">
        <v>0</v>
      </c>
      <c r="CU101" s="26">
        <v>0</v>
      </c>
      <c r="CV101" s="26">
        <v>0</v>
      </c>
      <c r="CW101" s="26">
        <v>0</v>
      </c>
      <c r="CX101" s="26">
        <f t="shared" si="33"/>
        <v>0</v>
      </c>
      <c r="CY101" s="14" t="str">
        <f>IF(A101=0,0,IFERROR(VLOOKUP(A101,'[1]Info Donantes'!C:F,2,0),"Sin Contacto"))</f>
        <v>Sin Contacto</v>
      </c>
      <c r="CZ101" s="14" t="str">
        <f>IF(A101=0,0,IFERROR(VLOOKUP(A101,'[1]Info Donantes'!C:F,3,0),"Sin Correo"))</f>
        <v>Sin Correo</v>
      </c>
      <c r="DA101" s="14" t="str">
        <f>IF(A101=0,0,IFERROR(VLOOKUP(A101,'[1]Info Donantes'!C:F,4,0),"Sin Telefono"))</f>
        <v>Sin Telefono</v>
      </c>
      <c r="DB101" s="14" t="str">
        <f>IF(A101=0,0,"Reporte de Trazabiidad"&amp;" - "&amp;'[1]Resumen Donantes'!$C$2&amp;" - "&amp;A101&amp;"")</f>
        <v>Reporte de Trazabiidad -  - INTERLIGHT INDUSTRIES, S.A.</v>
      </c>
    </row>
    <row r="102" spans="1:106" x14ac:dyDescent="0.55000000000000004">
      <c r="A102" s="14" t="s">
        <v>206</v>
      </c>
      <c r="B102" s="15">
        <f>INT(IFERROR(VLOOKUP(A102,'[1]Resumen Donantes'!C:F,3,0),0))</f>
        <v>0</v>
      </c>
      <c r="C102" s="15">
        <f>INT(ROUND(IFERROR(VLOOKUP(A102,'[1]Resumen Donantes'!C:F,4,0),0),1))</f>
        <v>0</v>
      </c>
      <c r="D102" s="16">
        <f t="shared" si="36"/>
        <v>0</v>
      </c>
      <c r="E102" s="17" t="str">
        <f t="shared" si="37"/>
        <v>0.00%</v>
      </c>
      <c r="F102" s="17" t="str">
        <f t="shared" si="38"/>
        <v>0.0%</v>
      </c>
      <c r="G102" s="15">
        <f t="shared" si="40"/>
        <v>0</v>
      </c>
      <c r="H102" s="18"/>
      <c r="I102" s="18">
        <f>IFERROR(VLOOKUP(A102,'[1]Lot All by Part'!T:Y,6,0),0)</f>
        <v>0</v>
      </c>
      <c r="J102" s="18"/>
      <c r="K102" s="19">
        <f>IFERROR(VLOOKUP($A102,'[1]OB Atendidas por Donantes'!A:N,3,0),0)</f>
        <v>0</v>
      </c>
      <c r="L102" s="19">
        <f>ROUNDUP(IF(A102=0,0,IFERROR(VLOOKUP($A102,'[1]Kilos Asignado del Donante'!A:O,3,0),0)),0)</f>
        <v>0</v>
      </c>
      <c r="M102" s="19">
        <f>IF(A102=0,0,IFERROR(SUMIFS([1]Poblacion!M:M,[1]Poblacion!J:J,'MASTER-2025'!A102),0))</f>
        <v>0</v>
      </c>
      <c r="N102" s="20">
        <f>IFERROR(VLOOKUP($A102,'[1]OB Atendidas por Donantes'!A:N,4,0),0)</f>
        <v>0</v>
      </c>
      <c r="O102" s="20">
        <f>ROUNDUP(IF(A102=0,0,IFERROR(VLOOKUP($A102,'[1]Kilos Asignado del Donante'!A:O,4,0),0)),0)</f>
        <v>0</v>
      </c>
      <c r="P102" s="20">
        <f>IF(A102=0,0,IFERROR(SUMIFS([1]Poblacion!N:N,[1]Poblacion!J:J,'MASTER-2025'!A102),0))</f>
        <v>0</v>
      </c>
      <c r="Q102" s="18">
        <f>IFERROR(VLOOKUP($A102,'[1]OB Atendidas por Donantes'!A:N,2,0),0)</f>
        <v>0</v>
      </c>
      <c r="R102" s="18">
        <f>ROUNDUP(ROUND(IF(A102=0,0,IFERROR(VLOOKUP($A102,'[1]Kilos Asignado del Donante'!A:O,9,0),0)),1),0)</f>
        <v>0</v>
      </c>
      <c r="S102" s="18">
        <f>IF(A102=0,0,IFERROR(SUMIFS([1]Poblacion!S:S,[1]Poblacion!J:J,'MASTER-2025'!A102),0))</f>
        <v>0</v>
      </c>
      <c r="T102" s="19">
        <f>IFERROR(VLOOKUP($A102,'[1]OB Atendidas por Donantes'!A:N,12,0),0)</f>
        <v>0</v>
      </c>
      <c r="U102" s="19">
        <f>ROUNDUP(IF(A102=0,0,IF(A102=0,0,IFERROR(VLOOKUP($A102,'[1]Kilos Asignado del Donante'!A:O,7,0),0))),0)</f>
        <v>0</v>
      </c>
      <c r="V102" s="19">
        <f>IF(A102=0,0,IFERROR(SUMIFS([1]Poblacion!Q:Q,[1]Poblacion!J:J,'MASTER-2025'!A102),0))</f>
        <v>0</v>
      </c>
      <c r="W102" s="20">
        <f>IFERROR(VLOOKUP($A102,'[1]OB Atendidas por Donantes'!A:N,10,0),0)</f>
        <v>0</v>
      </c>
      <c r="X102" s="20">
        <f>ROUNDUP(IF(A102=0,0,IFERROR(VLOOKUP($A102,'[1]Kilos Asignado del Donante'!A:N,5,0),0)),0)</f>
        <v>0</v>
      </c>
      <c r="Y102" s="20">
        <f>IF(A102=0,0,IFERROR(SUMIFS([1]Poblacion!O:O,[1]Poblacion!J:J,'MASTER-2025'!A102),0))</f>
        <v>0</v>
      </c>
      <c r="Z102" s="18">
        <f>IFERROR(VLOOKUP($A102,'[1]OB Atendidas por Donantes'!A:N,6,0),0)</f>
        <v>0</v>
      </c>
      <c r="AA102" s="18">
        <f>ROUNDUP(IF(A102=0,0,IFERROR(VLOOKUP($A102,'[1]Kilos Asignado del Donante'!A:N,11,0),0)),0)</f>
        <v>0</v>
      </c>
      <c r="AB102" s="18">
        <f>IF(A102=0,0,IFERROR(SUMIFS([1]Poblacion!U:U,[1]Poblacion!J:J,'MASTER-2025'!A102),0))</f>
        <v>0</v>
      </c>
      <c r="AC102" s="19">
        <f>IFERROR(VLOOKUP($A102,'[1]OB Atendidas por Donantes'!A:N,7,0),0)</f>
        <v>0</v>
      </c>
      <c r="AD102" s="19">
        <f>ROUNDUP(IF(A102=0,0,IFERROR(VLOOKUP($A102,'[1]Kilos Asignado del Donante'!A:N,8,0),0)),0)</f>
        <v>0</v>
      </c>
      <c r="AE102" s="19">
        <f>IF(A102=0,0,IFERROR(SUMIFS([1]Poblacion!R:R,[1]Poblacion!J:J,'MASTER-2025'!A102),0))</f>
        <v>0</v>
      </c>
      <c r="AF102" s="20">
        <f>IFERROR(VLOOKUP($A102,'[1]OB Atendidas por Donantes'!A:N,8,0),0)</f>
        <v>0</v>
      </c>
      <c r="AG102" s="20">
        <f>ROUNDUP(IF(A102=0,0,IFERROR(VLOOKUP($A102,'[1]Kilos Asignado del Donante'!A:N,6,0),0)),0)</f>
        <v>0</v>
      </c>
      <c r="AH102" s="20">
        <f>IF(A102=0,0,IFERROR(SUMIFS([1]Poblacion!P:P,[1]Poblacion!J:J,'MASTER-2025'!A102),0))</f>
        <v>0</v>
      </c>
      <c r="AI102" s="18">
        <f>IFERROR(VLOOKUP($A102,'[1]OB Atendidas por Donantes'!A:N,9,0),0)</f>
        <v>0</v>
      </c>
      <c r="AJ102" s="18">
        <f>ROUNDUP(IF(A102=0,0,IFERROR(VLOOKUP($A102,'[1]Kilos Asignado del Donante'!A:N,12,0),0)),0)</f>
        <v>0</v>
      </c>
      <c r="AK102" s="18">
        <f>IF(A102=0,0,IFERROR(SUMIFS([1]Poblacion!V:V,[1]Poblacion!J:J,'MASTER-2025'!A102),0))</f>
        <v>0</v>
      </c>
      <c r="AL102" s="19">
        <f>IFERROR(VLOOKUP($A102,'[1]OB Atendidas por Donantes'!A:N,16,0),0)</f>
        <v>0</v>
      </c>
      <c r="AM102" s="19">
        <f>ROUNDUP(IF(A102=0,0,IFERROR(VLOOKUP($A102,'[1]Kilos Asignado del Donante'!A:O,16,0),0)),0)</f>
        <v>0</v>
      </c>
      <c r="AN102" s="19">
        <f>IF(A102=0,0,IFERROR(SUMIFS([1]Poblacion!Z:Z,[1]Poblacion!J:J,'MASTER-2025'!A102),0))</f>
        <v>0</v>
      </c>
      <c r="AO102" s="20">
        <f>IFERROR(VLOOKUP($A102,'[1]OB Atendidas por Donantes'!A:N,11,0),0)</f>
        <v>0</v>
      </c>
      <c r="AP102" s="20">
        <f>ROUNDUP(IF(A102=0,0,IFERROR(VLOOKUP($A102,'[1]Kilos Asignado del Donante'!A:N,13,0),0)),0)</f>
        <v>0</v>
      </c>
      <c r="AQ102" s="20">
        <f>IF(A102=0,0,IFERROR(SUMIFS([1]Poblacion!W:W,[1]Poblacion!J:J,'MASTER-2025'!A102),0))</f>
        <v>0</v>
      </c>
      <c r="AR102" s="18">
        <f>IFERROR(VLOOKUP($A102,'[1]OB Atendidas por Donantes'!A:N,5,0),0)</f>
        <v>0</v>
      </c>
      <c r="AS102" s="18">
        <f>ROUNDUP(IF(A102=0,0,IFERROR(VLOOKUP($A102,'[1]Kilos Asignado del Donante'!A:N,10,0),0)),0)</f>
        <v>0</v>
      </c>
      <c r="AT102" s="18">
        <f>IF(A102=0,0,IFERROR(SUMIFS([1]Poblacion!T:T,[1]Poblacion!J:J,'MASTER-2025'!A102),0))</f>
        <v>0</v>
      </c>
      <c r="AU102" s="19">
        <f>IFERROR(VLOOKUP($A102,'[1]OB Atendidas por Donantes'!A:N,13,0),0)</f>
        <v>0</v>
      </c>
      <c r="AV102" s="19">
        <f>ROUNDUP(IF(A102=0,0,IFERROR(VLOOKUP($A102,'[1]Kilos Asignado del Donante'!A:N,14,0),0)),0)</f>
        <v>0</v>
      </c>
      <c r="AW102" s="19">
        <f>IF(A102=0,0,IFERROR(SUMIFS([1]Poblacion!X:X,[1]Poblacion!J:J,'MASTER-2025'!A102),0))</f>
        <v>0</v>
      </c>
      <c r="AX102" s="20">
        <f>IFERROR(VLOOKUP($A102,'[1]OB Atendidas por Donantes'!A:N,16,0),0)</f>
        <v>0</v>
      </c>
      <c r="AY102" s="20">
        <f>ROUNDUP(IF(A102=0,0,IFERROR(VLOOKUP($A102,'[1]Kilos Asignado del Donante'!A:O,16,0),0)),0)</f>
        <v>0</v>
      </c>
      <c r="AZ102" s="20">
        <f>IF(A102=0,0,IFERROR(SUMIFS([1]Poblacion!Y:Y,[1]Poblacion!J:J,'MASTER-2025'!A102),0))</f>
        <v>0</v>
      </c>
      <c r="BA102" s="21">
        <f t="shared" si="34"/>
        <v>0</v>
      </c>
      <c r="BB102" s="21">
        <f t="shared" si="29"/>
        <v>0</v>
      </c>
      <c r="BC102" s="21">
        <f t="shared" si="39"/>
        <v>0</v>
      </c>
      <c r="BD102" s="21">
        <f t="shared" si="41"/>
        <v>0</v>
      </c>
      <c r="BE102" s="22" t="e">
        <f>IF(A102=0,0,SUMIFS([1]Poblacion!C:C,[1]Poblacion!A:A,'MASTER-2025'!A102))</f>
        <v>#VALUE!</v>
      </c>
      <c r="BF102" s="22" t="e">
        <f>IF(A102=0,0,SUMIFS([1]Poblacion!D:D,[1]Poblacion!A:A,'MASTER-2025'!A102))</f>
        <v>#VALUE!</v>
      </c>
      <c r="BG102" s="22" t="e">
        <f>IF(A102=0,0,SUMIFS([1]Poblacion!E:E,[1]Poblacion!A:A,'MASTER-2025'!A102))</f>
        <v>#VALUE!</v>
      </c>
      <c r="BH102" s="22" t="e">
        <f>IF(A102=0,0,SUMIFS([1]Poblacion!F:F,[1]Poblacion!A:A,'MASTER-2025'!A102))</f>
        <v>#VALUE!</v>
      </c>
      <c r="BI102" s="22" t="e">
        <f t="shared" si="35"/>
        <v>#VALUE!</v>
      </c>
      <c r="BJ102" s="23" t="e">
        <f t="shared" si="30"/>
        <v>#VALUE!</v>
      </c>
      <c r="BK102" s="22" t="e">
        <f>IF(A102=0,0,SUMIFS([1]Poblacion!G:G,[1]Poblacion!A:A,'MASTER-2025'!A102))</f>
        <v>#VALUE!</v>
      </c>
      <c r="BL102" s="24" cm="1">
        <f t="array" ref="BL102:BW102">IFERROR(VLOOKUP(A102,'[1]Acum-OB-kg-pob-25'!A:AQ,{3,4,5,6,7,8,9,10,11,12,13,14},0),0)</f>
        <v>0</v>
      </c>
      <c r="BM102" s="24">
        <v>0</v>
      </c>
      <c r="BN102" s="24">
        <v>0</v>
      </c>
      <c r="BO102" s="24">
        <v>0</v>
      </c>
      <c r="BP102" s="24">
        <v>0</v>
      </c>
      <c r="BQ102" s="24">
        <v>0</v>
      </c>
      <c r="BR102" s="24">
        <v>0</v>
      </c>
      <c r="BS102" s="24">
        <v>0</v>
      </c>
      <c r="BT102" s="24">
        <v>0</v>
      </c>
      <c r="BU102" s="24">
        <v>0</v>
      </c>
      <c r="BV102" s="24">
        <v>0</v>
      </c>
      <c r="BW102" s="24">
        <v>0</v>
      </c>
      <c r="BX102" s="24">
        <f t="shared" si="31"/>
        <v>0</v>
      </c>
      <c r="BY102" s="25" cm="1">
        <f t="array" ref="BY102:CJ102">IFERROR(VLOOKUP(A102,'[1]Acum-OB-kg-pob-25'!A:AQ,{17,18,19,20,21,22,23,24,25,26,27,28},0),0)</f>
        <v>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0</v>
      </c>
      <c r="CH102" s="25">
        <v>0</v>
      </c>
      <c r="CI102" s="25">
        <v>0</v>
      </c>
      <c r="CJ102" s="25">
        <v>0</v>
      </c>
      <c r="CK102" s="25">
        <f t="shared" si="32"/>
        <v>0</v>
      </c>
      <c r="CL102" s="26" cm="1">
        <f t="array" ref="CL102:CW102">IFERROR(VLOOKUP(A102,'[1]Acum-OB-kg-pob-25'!A:AQ,{31,32,33,34,35,36,37,38,39,40,41,42},0),0)</f>
        <v>0</v>
      </c>
      <c r="CM102" s="26">
        <v>0</v>
      </c>
      <c r="CN102" s="26">
        <v>0</v>
      </c>
      <c r="CO102" s="26">
        <v>0</v>
      </c>
      <c r="CP102" s="26">
        <v>0</v>
      </c>
      <c r="CQ102" s="26">
        <v>0</v>
      </c>
      <c r="CR102" s="26">
        <v>0</v>
      </c>
      <c r="CS102" s="26">
        <v>0</v>
      </c>
      <c r="CT102" s="26">
        <v>0</v>
      </c>
      <c r="CU102" s="26">
        <v>0</v>
      </c>
      <c r="CV102" s="26">
        <v>0</v>
      </c>
      <c r="CW102" s="26">
        <v>0</v>
      </c>
      <c r="CX102" s="26">
        <f t="shared" si="33"/>
        <v>0</v>
      </c>
      <c r="CY102" s="14" t="str">
        <f>IF(A102=0,0,IFERROR(VLOOKUP(A102,'[1]Info Donantes'!C:F,2,0),"Sin Contacto"))</f>
        <v>Sin Contacto</v>
      </c>
      <c r="CZ102" s="14" t="str">
        <f>IF(A102=0,0,IFERROR(VLOOKUP(A102,'[1]Info Donantes'!C:F,3,0),"Sin Correo"))</f>
        <v>Sin Correo</v>
      </c>
      <c r="DA102" s="14" t="str">
        <f>IF(A102=0,0,IFERROR(VLOOKUP(A102,'[1]Info Donantes'!C:F,4,0),"Sin Telefono"))</f>
        <v>Sin Telefono</v>
      </c>
      <c r="DB102" s="14" t="str">
        <f>IF(A102=0,0,"Reporte de Trazabiidad"&amp;" - "&amp;'[1]Resumen Donantes'!$C$2&amp;" - "&amp;A102&amp;"")</f>
        <v>Reporte de Trazabiidad -  - PRODUCTORES BALBOA INTERNACIONALES INC.</v>
      </c>
    </row>
    <row r="103" spans="1:106" x14ac:dyDescent="0.55000000000000004">
      <c r="A103" s="14" t="s">
        <v>207</v>
      </c>
      <c r="B103" s="15">
        <f>INT(IFERROR(VLOOKUP(A103,'[1]Resumen Donantes'!C:F,3,0),0))</f>
        <v>0</v>
      </c>
      <c r="C103" s="15">
        <f>INT(ROUND(IFERROR(VLOOKUP(A103,'[1]Resumen Donantes'!C:F,4,0),0),1))</f>
        <v>0</v>
      </c>
      <c r="D103" s="16">
        <f t="shared" si="36"/>
        <v>0</v>
      </c>
      <c r="E103" s="17" t="str">
        <f t="shared" si="37"/>
        <v>0.00%</v>
      </c>
      <c r="F103" s="17" t="str">
        <f t="shared" si="38"/>
        <v>0.0%</v>
      </c>
      <c r="G103" s="15">
        <f t="shared" si="40"/>
        <v>0</v>
      </c>
      <c r="H103" s="18"/>
      <c r="I103" s="18">
        <f>IFERROR(VLOOKUP(A103,'[1]Lot All by Part'!T:Y,6,0),0)</f>
        <v>0</v>
      </c>
      <c r="J103" s="18"/>
      <c r="K103" s="19">
        <f>IFERROR(VLOOKUP($A103,'[1]OB Atendidas por Donantes'!A:N,3,0),0)</f>
        <v>0</v>
      </c>
      <c r="L103" s="19">
        <f>ROUNDUP(IF(A103=0,0,IFERROR(VLOOKUP($A103,'[1]Kilos Asignado del Donante'!A:O,3,0),0)),0)</f>
        <v>0</v>
      </c>
      <c r="M103" s="19">
        <f>IF(A103=0,0,IFERROR(SUMIFS([1]Poblacion!M:M,[1]Poblacion!J:J,'MASTER-2025'!A103),0))</f>
        <v>0</v>
      </c>
      <c r="N103" s="20">
        <f>IFERROR(VLOOKUP($A103,'[1]OB Atendidas por Donantes'!A:N,4,0),0)</f>
        <v>0</v>
      </c>
      <c r="O103" s="20">
        <f>ROUNDUP(IF(A103=0,0,IFERROR(VLOOKUP($A103,'[1]Kilos Asignado del Donante'!A:O,4,0),0)),0)</f>
        <v>0</v>
      </c>
      <c r="P103" s="20">
        <f>IF(A103=0,0,IFERROR(SUMIFS([1]Poblacion!N:N,[1]Poblacion!J:J,'MASTER-2025'!A103),0))</f>
        <v>0</v>
      </c>
      <c r="Q103" s="18">
        <f>IFERROR(VLOOKUP($A103,'[1]OB Atendidas por Donantes'!A:N,2,0),0)</f>
        <v>0</v>
      </c>
      <c r="R103" s="18">
        <f>ROUNDUP(ROUND(IF(A103=0,0,IFERROR(VLOOKUP($A103,'[1]Kilos Asignado del Donante'!A:O,9,0),0)),1),0)</f>
        <v>0</v>
      </c>
      <c r="S103" s="18">
        <f>IF(A103=0,0,IFERROR(SUMIFS([1]Poblacion!S:S,[1]Poblacion!J:J,'MASTER-2025'!A103),0))</f>
        <v>0</v>
      </c>
      <c r="T103" s="19">
        <f>IFERROR(VLOOKUP($A103,'[1]OB Atendidas por Donantes'!A:N,12,0),0)</f>
        <v>0</v>
      </c>
      <c r="U103" s="19">
        <f>ROUNDUP(IF(A103=0,0,IF(A103=0,0,IFERROR(VLOOKUP($A103,'[1]Kilos Asignado del Donante'!A:O,7,0),0))),0)</f>
        <v>0</v>
      </c>
      <c r="V103" s="19">
        <f>IF(A103=0,0,IFERROR(SUMIFS([1]Poblacion!Q:Q,[1]Poblacion!J:J,'MASTER-2025'!A103),0))</f>
        <v>0</v>
      </c>
      <c r="W103" s="20">
        <f>IFERROR(VLOOKUP($A103,'[1]OB Atendidas por Donantes'!A:N,10,0),0)</f>
        <v>0</v>
      </c>
      <c r="X103" s="20">
        <f>ROUNDUP(IF(A103=0,0,IFERROR(VLOOKUP($A103,'[1]Kilos Asignado del Donante'!A:N,5,0),0)),0)</f>
        <v>0</v>
      </c>
      <c r="Y103" s="20">
        <f>IF(A103=0,0,IFERROR(SUMIFS([1]Poblacion!O:O,[1]Poblacion!J:J,'MASTER-2025'!A103),0))</f>
        <v>0</v>
      </c>
      <c r="Z103" s="18">
        <f>IFERROR(VLOOKUP($A103,'[1]OB Atendidas por Donantes'!A:N,6,0),0)</f>
        <v>0</v>
      </c>
      <c r="AA103" s="18">
        <f>ROUNDUP(IF(A103=0,0,IFERROR(VLOOKUP($A103,'[1]Kilos Asignado del Donante'!A:N,11,0),0)),0)</f>
        <v>0</v>
      </c>
      <c r="AB103" s="18">
        <f>IF(A103=0,0,IFERROR(SUMIFS([1]Poblacion!U:U,[1]Poblacion!J:J,'MASTER-2025'!A103),0))</f>
        <v>0</v>
      </c>
      <c r="AC103" s="19">
        <f>IFERROR(VLOOKUP($A103,'[1]OB Atendidas por Donantes'!A:N,7,0),0)</f>
        <v>0</v>
      </c>
      <c r="AD103" s="19">
        <f>ROUNDUP(IF(A103=0,0,IFERROR(VLOOKUP($A103,'[1]Kilos Asignado del Donante'!A:N,8,0),0)),0)</f>
        <v>0</v>
      </c>
      <c r="AE103" s="19">
        <f>IF(A103=0,0,IFERROR(SUMIFS([1]Poblacion!R:R,[1]Poblacion!J:J,'MASTER-2025'!A103),0))</f>
        <v>0</v>
      </c>
      <c r="AF103" s="20">
        <f>IFERROR(VLOOKUP($A103,'[1]OB Atendidas por Donantes'!A:N,8,0),0)</f>
        <v>0</v>
      </c>
      <c r="AG103" s="20">
        <f>ROUNDUP(IF(A103=0,0,IFERROR(VLOOKUP($A103,'[1]Kilos Asignado del Donante'!A:N,6,0),0)),0)</f>
        <v>0</v>
      </c>
      <c r="AH103" s="20">
        <f>IF(A103=0,0,IFERROR(SUMIFS([1]Poblacion!P:P,[1]Poblacion!J:J,'MASTER-2025'!A103),0))</f>
        <v>0</v>
      </c>
      <c r="AI103" s="18">
        <f>IFERROR(VLOOKUP($A103,'[1]OB Atendidas por Donantes'!A:N,9,0),0)</f>
        <v>0</v>
      </c>
      <c r="AJ103" s="18">
        <f>ROUNDUP(IF(A103=0,0,IFERROR(VLOOKUP($A103,'[1]Kilos Asignado del Donante'!A:N,12,0),0)),0)</f>
        <v>0</v>
      </c>
      <c r="AK103" s="18">
        <f>IF(A103=0,0,IFERROR(SUMIFS([1]Poblacion!V:V,[1]Poblacion!J:J,'MASTER-2025'!A103),0))</f>
        <v>0</v>
      </c>
      <c r="AL103" s="19">
        <f>IFERROR(VLOOKUP($A103,'[1]OB Atendidas por Donantes'!A:N,16,0),0)</f>
        <v>0</v>
      </c>
      <c r="AM103" s="19">
        <f>ROUNDUP(IF(A103=0,0,IFERROR(VLOOKUP($A103,'[1]Kilos Asignado del Donante'!A:O,16,0),0)),0)</f>
        <v>0</v>
      </c>
      <c r="AN103" s="19">
        <f>IF(A103=0,0,IFERROR(SUMIFS([1]Poblacion!Z:Z,[1]Poblacion!J:J,'MASTER-2025'!A103),0))</f>
        <v>0</v>
      </c>
      <c r="AO103" s="20">
        <f>IFERROR(VLOOKUP($A103,'[1]OB Atendidas por Donantes'!A:N,11,0),0)</f>
        <v>0</v>
      </c>
      <c r="AP103" s="20">
        <f>ROUNDUP(IF(A103=0,0,IFERROR(VLOOKUP($A103,'[1]Kilos Asignado del Donante'!A:N,13,0),0)),0)</f>
        <v>0</v>
      </c>
      <c r="AQ103" s="20">
        <f>IF(A103=0,0,IFERROR(SUMIFS([1]Poblacion!W:W,[1]Poblacion!J:J,'MASTER-2025'!A103),0))</f>
        <v>0</v>
      </c>
      <c r="AR103" s="18">
        <f>IFERROR(VLOOKUP($A103,'[1]OB Atendidas por Donantes'!A:N,5,0),0)</f>
        <v>0</v>
      </c>
      <c r="AS103" s="18">
        <f>ROUNDUP(IF(A103=0,0,IFERROR(VLOOKUP($A103,'[1]Kilos Asignado del Donante'!A:N,10,0),0)),0)</f>
        <v>0</v>
      </c>
      <c r="AT103" s="18">
        <f>IF(A103=0,0,IFERROR(SUMIFS([1]Poblacion!T:T,[1]Poblacion!J:J,'MASTER-2025'!A103),0))</f>
        <v>0</v>
      </c>
      <c r="AU103" s="19">
        <f>IFERROR(VLOOKUP($A103,'[1]OB Atendidas por Donantes'!A:N,13,0),0)</f>
        <v>0</v>
      </c>
      <c r="AV103" s="19">
        <f>ROUNDUP(IF(A103=0,0,IFERROR(VLOOKUP($A103,'[1]Kilos Asignado del Donante'!A:N,14,0),0)),0)</f>
        <v>0</v>
      </c>
      <c r="AW103" s="19">
        <f>IF(A103=0,0,IFERROR(SUMIFS([1]Poblacion!X:X,[1]Poblacion!J:J,'MASTER-2025'!A103),0))</f>
        <v>0</v>
      </c>
      <c r="AX103" s="20">
        <f>IFERROR(VLOOKUP($A103,'[1]OB Atendidas por Donantes'!A:N,16,0),0)</f>
        <v>0</v>
      </c>
      <c r="AY103" s="20">
        <f>ROUNDUP(IF(A103=0,0,IFERROR(VLOOKUP($A103,'[1]Kilos Asignado del Donante'!A:O,16,0),0)),0)</f>
        <v>0</v>
      </c>
      <c r="AZ103" s="20">
        <f>IF(A103=0,0,IFERROR(SUMIFS([1]Poblacion!Y:Y,[1]Poblacion!J:J,'MASTER-2025'!A103),0))</f>
        <v>0</v>
      </c>
      <c r="BA103" s="21">
        <f t="shared" si="34"/>
        <v>0</v>
      </c>
      <c r="BB103" s="21">
        <f t="shared" si="29"/>
        <v>0</v>
      </c>
      <c r="BC103" s="21">
        <f t="shared" si="39"/>
        <v>0</v>
      </c>
      <c r="BD103" s="21">
        <f t="shared" si="41"/>
        <v>0</v>
      </c>
      <c r="BE103" s="22" t="e">
        <f>IF(A103=0,0,SUMIFS([1]Poblacion!C:C,[1]Poblacion!A:A,'MASTER-2025'!A103))</f>
        <v>#VALUE!</v>
      </c>
      <c r="BF103" s="22" t="e">
        <f>IF(A103=0,0,SUMIFS([1]Poblacion!D:D,[1]Poblacion!A:A,'MASTER-2025'!A103))</f>
        <v>#VALUE!</v>
      </c>
      <c r="BG103" s="22" t="e">
        <f>IF(A103=0,0,SUMIFS([1]Poblacion!E:E,[1]Poblacion!A:A,'MASTER-2025'!A103))</f>
        <v>#VALUE!</v>
      </c>
      <c r="BH103" s="22" t="e">
        <f>IF(A103=0,0,SUMIFS([1]Poblacion!F:F,[1]Poblacion!A:A,'MASTER-2025'!A103))</f>
        <v>#VALUE!</v>
      </c>
      <c r="BI103" s="22" t="e">
        <f t="shared" si="35"/>
        <v>#VALUE!</v>
      </c>
      <c r="BJ103" s="23" t="e">
        <f t="shared" si="30"/>
        <v>#VALUE!</v>
      </c>
      <c r="BK103" s="22" t="e">
        <f>IF(A103=0,0,SUMIFS([1]Poblacion!G:G,[1]Poblacion!A:A,'MASTER-2025'!A103))</f>
        <v>#VALUE!</v>
      </c>
      <c r="BL103" s="24" cm="1">
        <f t="array" ref="BL103:BW103">IFERROR(VLOOKUP(A103,'[1]Acum-OB-kg-pob-25'!A:AQ,{3,4,5,6,7,8,9,10,11,12,13,14},0),0)</f>
        <v>0</v>
      </c>
      <c r="BM103" s="24">
        <v>0</v>
      </c>
      <c r="BN103" s="24">
        <v>0</v>
      </c>
      <c r="BO103" s="24">
        <v>0</v>
      </c>
      <c r="BP103" s="24">
        <v>0</v>
      </c>
      <c r="BQ103" s="24">
        <v>0</v>
      </c>
      <c r="BR103" s="24">
        <v>0</v>
      </c>
      <c r="BS103" s="24">
        <v>0</v>
      </c>
      <c r="BT103" s="24">
        <v>0</v>
      </c>
      <c r="BU103" s="24">
        <v>0</v>
      </c>
      <c r="BV103" s="24">
        <v>0</v>
      </c>
      <c r="BW103" s="24">
        <v>0</v>
      </c>
      <c r="BX103" s="24">
        <f t="shared" si="31"/>
        <v>0</v>
      </c>
      <c r="BY103" s="25" cm="1">
        <f t="array" ref="BY103:CJ103">IFERROR(VLOOKUP(A103,'[1]Acum-OB-kg-pob-25'!A:AQ,{17,18,19,20,21,22,23,24,25,26,27,28},0),0)</f>
        <v>0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0</v>
      </c>
      <c r="CH103" s="25">
        <v>0</v>
      </c>
      <c r="CI103" s="25">
        <v>0</v>
      </c>
      <c r="CJ103" s="25">
        <v>0</v>
      </c>
      <c r="CK103" s="25">
        <f t="shared" si="32"/>
        <v>0</v>
      </c>
      <c r="CL103" s="26" cm="1">
        <f t="array" ref="CL103:CW103">IFERROR(VLOOKUP(A103,'[1]Acum-OB-kg-pob-25'!A:AQ,{31,32,33,34,35,36,37,38,39,40,41,42},0),0)</f>
        <v>0</v>
      </c>
      <c r="CM103" s="26">
        <v>0</v>
      </c>
      <c r="CN103" s="26">
        <v>0</v>
      </c>
      <c r="CO103" s="26">
        <v>0</v>
      </c>
      <c r="CP103" s="26">
        <v>0</v>
      </c>
      <c r="CQ103" s="26">
        <v>0</v>
      </c>
      <c r="CR103" s="26">
        <v>0</v>
      </c>
      <c r="CS103" s="26">
        <v>0</v>
      </c>
      <c r="CT103" s="26">
        <v>0</v>
      </c>
      <c r="CU103" s="26">
        <v>0</v>
      </c>
      <c r="CV103" s="26">
        <v>0</v>
      </c>
      <c r="CW103" s="26">
        <v>0</v>
      </c>
      <c r="CX103" s="26">
        <f t="shared" si="33"/>
        <v>0</v>
      </c>
      <c r="CY103" s="14" t="str">
        <f>IF(A103=0,0,IFERROR(VLOOKUP(A103,'[1]Info Donantes'!C:F,2,0),"Sin Contacto"))</f>
        <v>Sin Contacto</v>
      </c>
      <c r="CZ103" s="14" t="str">
        <f>IF(A103=0,0,IFERROR(VLOOKUP(A103,'[1]Info Donantes'!C:F,3,0),"Sin Correo"))</f>
        <v>Sin Correo</v>
      </c>
      <c r="DA103" s="14" t="str">
        <f>IF(A103=0,0,IFERROR(VLOOKUP(A103,'[1]Info Donantes'!C:F,4,0),"Sin Telefono"))</f>
        <v>Sin Telefono</v>
      </c>
      <c r="DB103" s="14" t="str">
        <f>IF(A103=0,0,"Reporte de Trazabiidad"&amp;" - "&amp;'[1]Resumen Donantes'!$C$2&amp;" - "&amp;A103&amp;"")</f>
        <v>Reporte de Trazabiidad -  - PAN. CESARIN</v>
      </c>
    </row>
    <row r="104" spans="1:106" x14ac:dyDescent="0.55000000000000004">
      <c r="A104" s="14" t="s">
        <v>208</v>
      </c>
      <c r="B104" s="15">
        <f>INT(IFERROR(VLOOKUP(A104,'[1]Resumen Donantes'!C:F,3,0),0))</f>
        <v>0</v>
      </c>
      <c r="C104" s="15">
        <f>INT(ROUND(IFERROR(VLOOKUP(A104,'[1]Resumen Donantes'!C:F,4,0),0),1))</f>
        <v>0</v>
      </c>
      <c r="D104" s="16">
        <f t="shared" si="36"/>
        <v>0</v>
      </c>
      <c r="E104" s="17" t="str">
        <f t="shared" si="37"/>
        <v>0.00%</v>
      </c>
      <c r="F104" s="17" t="str">
        <f t="shared" si="38"/>
        <v>0.0%</v>
      </c>
      <c r="G104" s="15">
        <f t="shared" si="40"/>
        <v>0</v>
      </c>
      <c r="H104" s="18"/>
      <c r="I104" s="18">
        <f>IFERROR(VLOOKUP(A104,'[1]Lot All by Part'!T:Y,6,0),0)</f>
        <v>0</v>
      </c>
      <c r="J104" s="18"/>
      <c r="K104" s="19">
        <f>IFERROR(VLOOKUP($A104,'[1]OB Atendidas por Donantes'!A:N,3,0),0)</f>
        <v>0</v>
      </c>
      <c r="L104" s="19">
        <f>ROUNDUP(IF(A104=0,0,IFERROR(VLOOKUP($A104,'[1]Kilos Asignado del Donante'!A:O,3,0),0)),0)</f>
        <v>0</v>
      </c>
      <c r="M104" s="19">
        <f>IF(A104=0,0,IFERROR(SUMIFS([1]Poblacion!M:M,[1]Poblacion!J:J,'MASTER-2025'!A104),0))</f>
        <v>0</v>
      </c>
      <c r="N104" s="20">
        <f>IFERROR(VLOOKUP($A104,'[1]OB Atendidas por Donantes'!A:N,4,0),0)</f>
        <v>0</v>
      </c>
      <c r="O104" s="20">
        <f>ROUNDUP(IF(A104=0,0,IFERROR(VLOOKUP($A104,'[1]Kilos Asignado del Donante'!A:O,4,0),0)),0)</f>
        <v>0</v>
      </c>
      <c r="P104" s="20">
        <f>IF(A104=0,0,IFERROR(SUMIFS([1]Poblacion!N:N,[1]Poblacion!J:J,'MASTER-2025'!A104),0))</f>
        <v>0</v>
      </c>
      <c r="Q104" s="18">
        <f>IFERROR(VLOOKUP($A104,'[1]OB Atendidas por Donantes'!A:N,2,0),0)</f>
        <v>0</v>
      </c>
      <c r="R104" s="18">
        <f>ROUNDUP(ROUND(IF(A104=0,0,IFERROR(VLOOKUP($A104,'[1]Kilos Asignado del Donante'!A:O,9,0),0)),1),0)</f>
        <v>0</v>
      </c>
      <c r="S104" s="18">
        <f>IF(A104=0,0,IFERROR(SUMIFS([1]Poblacion!S:S,[1]Poblacion!J:J,'MASTER-2025'!A104),0))</f>
        <v>0</v>
      </c>
      <c r="T104" s="19">
        <f>IFERROR(VLOOKUP($A104,'[1]OB Atendidas por Donantes'!A:N,12,0),0)</f>
        <v>0</v>
      </c>
      <c r="U104" s="19">
        <f>ROUNDUP(IF(A104=0,0,IF(A104=0,0,IFERROR(VLOOKUP($A104,'[1]Kilos Asignado del Donante'!A:O,7,0),0))),0)</f>
        <v>0</v>
      </c>
      <c r="V104" s="19">
        <f>IF(A104=0,0,IFERROR(SUMIFS([1]Poblacion!Q:Q,[1]Poblacion!J:J,'MASTER-2025'!A104),0))</f>
        <v>0</v>
      </c>
      <c r="W104" s="20">
        <f>IFERROR(VLOOKUP($A104,'[1]OB Atendidas por Donantes'!A:N,10,0),0)</f>
        <v>0</v>
      </c>
      <c r="X104" s="20">
        <f>ROUNDUP(IF(A104=0,0,IFERROR(VLOOKUP($A104,'[1]Kilos Asignado del Donante'!A:N,5,0),0)),0)</f>
        <v>0</v>
      </c>
      <c r="Y104" s="20">
        <f>IF(A104=0,0,IFERROR(SUMIFS([1]Poblacion!O:O,[1]Poblacion!J:J,'MASTER-2025'!A104),0))</f>
        <v>0</v>
      </c>
      <c r="Z104" s="18">
        <f>IFERROR(VLOOKUP($A104,'[1]OB Atendidas por Donantes'!A:N,6,0),0)</f>
        <v>0</v>
      </c>
      <c r="AA104" s="18">
        <f>ROUNDUP(IF(A104=0,0,IFERROR(VLOOKUP($A104,'[1]Kilos Asignado del Donante'!A:N,11,0),0)),0)</f>
        <v>0</v>
      </c>
      <c r="AB104" s="18">
        <f>IF(A104=0,0,IFERROR(SUMIFS([1]Poblacion!U:U,[1]Poblacion!J:J,'MASTER-2025'!A104),0))</f>
        <v>0</v>
      </c>
      <c r="AC104" s="19">
        <f>IFERROR(VLOOKUP($A104,'[1]OB Atendidas por Donantes'!A:N,7,0),0)</f>
        <v>0</v>
      </c>
      <c r="AD104" s="19">
        <f>ROUNDUP(IF(A104=0,0,IFERROR(VLOOKUP($A104,'[1]Kilos Asignado del Donante'!A:N,8,0),0)),0)</f>
        <v>0</v>
      </c>
      <c r="AE104" s="19">
        <f>IF(A104=0,0,IFERROR(SUMIFS([1]Poblacion!R:R,[1]Poblacion!J:J,'MASTER-2025'!A104),0))</f>
        <v>0</v>
      </c>
      <c r="AF104" s="20">
        <f>IFERROR(VLOOKUP($A104,'[1]OB Atendidas por Donantes'!A:N,8,0),0)</f>
        <v>0</v>
      </c>
      <c r="AG104" s="20">
        <f>ROUNDUP(IF(A104=0,0,IFERROR(VLOOKUP($A104,'[1]Kilos Asignado del Donante'!A:N,6,0),0)),0)</f>
        <v>0</v>
      </c>
      <c r="AH104" s="20">
        <f>IF(A104=0,0,IFERROR(SUMIFS([1]Poblacion!P:P,[1]Poblacion!J:J,'MASTER-2025'!A104),0))</f>
        <v>0</v>
      </c>
      <c r="AI104" s="18">
        <f>IFERROR(VLOOKUP($A104,'[1]OB Atendidas por Donantes'!A:N,9,0),0)</f>
        <v>0</v>
      </c>
      <c r="AJ104" s="18">
        <f>ROUNDUP(IF(A104=0,0,IFERROR(VLOOKUP($A104,'[1]Kilos Asignado del Donante'!A:N,12,0),0)),0)</f>
        <v>0</v>
      </c>
      <c r="AK104" s="18">
        <f>IF(A104=0,0,IFERROR(SUMIFS([1]Poblacion!V:V,[1]Poblacion!J:J,'MASTER-2025'!A104),0))</f>
        <v>0</v>
      </c>
      <c r="AL104" s="19">
        <f>IFERROR(VLOOKUP($A104,'[1]OB Atendidas por Donantes'!A:N,16,0),0)</f>
        <v>0</v>
      </c>
      <c r="AM104" s="19">
        <f>ROUNDUP(IF(A104=0,0,IFERROR(VLOOKUP($A104,'[1]Kilos Asignado del Donante'!A:O,16,0),0)),0)</f>
        <v>0</v>
      </c>
      <c r="AN104" s="19">
        <f>IF(A104=0,0,IFERROR(SUMIFS([1]Poblacion!Z:Z,[1]Poblacion!J:J,'MASTER-2025'!A104),0))</f>
        <v>0</v>
      </c>
      <c r="AO104" s="20">
        <f>IFERROR(VLOOKUP($A104,'[1]OB Atendidas por Donantes'!A:N,11,0),0)</f>
        <v>0</v>
      </c>
      <c r="AP104" s="20">
        <f>ROUNDUP(IF(A104=0,0,IFERROR(VLOOKUP($A104,'[1]Kilos Asignado del Donante'!A:N,13,0),0)),0)</f>
        <v>0</v>
      </c>
      <c r="AQ104" s="20">
        <f>IF(A104=0,0,IFERROR(SUMIFS([1]Poblacion!W:W,[1]Poblacion!J:J,'MASTER-2025'!A104),0))</f>
        <v>0</v>
      </c>
      <c r="AR104" s="18">
        <f>IFERROR(VLOOKUP($A104,'[1]OB Atendidas por Donantes'!A:N,5,0),0)</f>
        <v>0</v>
      </c>
      <c r="AS104" s="18">
        <f>ROUNDUP(IF(A104=0,0,IFERROR(VLOOKUP($A104,'[1]Kilos Asignado del Donante'!A:N,10,0),0)),0)</f>
        <v>0</v>
      </c>
      <c r="AT104" s="18">
        <f>IF(A104=0,0,IFERROR(SUMIFS([1]Poblacion!T:T,[1]Poblacion!J:J,'MASTER-2025'!A104),0))</f>
        <v>0</v>
      </c>
      <c r="AU104" s="19">
        <f>IFERROR(VLOOKUP($A104,'[1]OB Atendidas por Donantes'!A:N,13,0),0)</f>
        <v>0</v>
      </c>
      <c r="AV104" s="19">
        <f>ROUNDUP(IF(A104=0,0,IFERROR(VLOOKUP($A104,'[1]Kilos Asignado del Donante'!A:N,14,0),0)),0)</f>
        <v>0</v>
      </c>
      <c r="AW104" s="19">
        <f>IF(A104=0,0,IFERROR(SUMIFS([1]Poblacion!X:X,[1]Poblacion!J:J,'MASTER-2025'!A104),0))</f>
        <v>0</v>
      </c>
      <c r="AX104" s="20">
        <f>IFERROR(VLOOKUP($A104,'[1]OB Atendidas por Donantes'!A:N,16,0),0)</f>
        <v>0</v>
      </c>
      <c r="AY104" s="20">
        <f>ROUNDUP(IF(A104=0,0,IFERROR(VLOOKUP($A104,'[1]Kilos Asignado del Donante'!A:O,16,0),0)),0)</f>
        <v>0</v>
      </c>
      <c r="AZ104" s="20">
        <f>IF(A104=0,0,IFERROR(SUMIFS([1]Poblacion!Y:Y,[1]Poblacion!J:J,'MASTER-2025'!A104),0))</f>
        <v>0</v>
      </c>
      <c r="BA104" s="21">
        <f t="shared" si="34"/>
        <v>0</v>
      </c>
      <c r="BB104" s="21">
        <f t="shared" si="29"/>
        <v>0</v>
      </c>
      <c r="BC104" s="21">
        <f t="shared" si="39"/>
        <v>0</v>
      </c>
      <c r="BD104" s="21">
        <f t="shared" si="41"/>
        <v>0</v>
      </c>
      <c r="BE104" s="22" t="e">
        <f>IF(A104=0,0,SUMIFS([1]Poblacion!C:C,[1]Poblacion!A:A,'MASTER-2025'!A104))</f>
        <v>#VALUE!</v>
      </c>
      <c r="BF104" s="22" t="e">
        <f>IF(A104=0,0,SUMIFS([1]Poblacion!D:D,[1]Poblacion!A:A,'MASTER-2025'!A104))</f>
        <v>#VALUE!</v>
      </c>
      <c r="BG104" s="22" t="e">
        <f>IF(A104=0,0,SUMIFS([1]Poblacion!E:E,[1]Poblacion!A:A,'MASTER-2025'!A104))</f>
        <v>#VALUE!</v>
      </c>
      <c r="BH104" s="22" t="e">
        <f>IF(A104=0,0,SUMIFS([1]Poblacion!F:F,[1]Poblacion!A:A,'MASTER-2025'!A104))</f>
        <v>#VALUE!</v>
      </c>
      <c r="BI104" s="22" t="e">
        <f t="shared" si="35"/>
        <v>#VALUE!</v>
      </c>
      <c r="BJ104" s="23" t="e">
        <f t="shared" si="30"/>
        <v>#VALUE!</v>
      </c>
      <c r="BK104" s="22" t="e">
        <f>IF(A104=0,0,SUMIFS([1]Poblacion!G:G,[1]Poblacion!A:A,'MASTER-2025'!A104))</f>
        <v>#VALUE!</v>
      </c>
      <c r="BL104" s="24" cm="1">
        <f t="array" ref="BL104:BW104">IFERROR(VLOOKUP(A104,'[1]Acum-OB-kg-pob-25'!A:AQ,{3,4,5,6,7,8,9,10,11,12,13,14},0),0)</f>
        <v>0</v>
      </c>
      <c r="BM104" s="24">
        <v>0</v>
      </c>
      <c r="BN104" s="24">
        <v>0</v>
      </c>
      <c r="BO104" s="24">
        <v>0</v>
      </c>
      <c r="BP104" s="24">
        <v>0</v>
      </c>
      <c r="BQ104" s="24">
        <v>0</v>
      </c>
      <c r="BR104" s="24">
        <v>0</v>
      </c>
      <c r="BS104" s="24">
        <v>0</v>
      </c>
      <c r="BT104" s="24">
        <v>0</v>
      </c>
      <c r="BU104" s="24">
        <v>0</v>
      </c>
      <c r="BV104" s="24">
        <v>0</v>
      </c>
      <c r="BW104" s="24">
        <v>0</v>
      </c>
      <c r="BX104" s="24">
        <f t="shared" si="31"/>
        <v>0</v>
      </c>
      <c r="BY104" s="25" cm="1">
        <f t="array" ref="BY104:CJ104">IFERROR(VLOOKUP(A104,'[1]Acum-OB-kg-pob-25'!A:AQ,{17,18,19,20,21,22,23,24,25,26,27,28},0),0)</f>
        <v>0</v>
      </c>
      <c r="BZ104" s="25">
        <v>0</v>
      </c>
      <c r="CA104" s="25">
        <v>0</v>
      </c>
      <c r="CB104" s="25">
        <v>0</v>
      </c>
      <c r="CC104" s="25">
        <v>0</v>
      </c>
      <c r="CD104" s="25">
        <v>0</v>
      </c>
      <c r="CE104" s="25">
        <v>0</v>
      </c>
      <c r="CF104" s="25">
        <v>0</v>
      </c>
      <c r="CG104" s="25">
        <v>0</v>
      </c>
      <c r="CH104" s="25">
        <v>0</v>
      </c>
      <c r="CI104" s="25">
        <v>0</v>
      </c>
      <c r="CJ104" s="25">
        <v>0</v>
      </c>
      <c r="CK104" s="25">
        <f t="shared" si="32"/>
        <v>0</v>
      </c>
      <c r="CL104" s="26" cm="1">
        <f t="array" ref="CL104:CW104">IFERROR(VLOOKUP(A104,'[1]Acum-OB-kg-pob-25'!A:AQ,{31,32,33,34,35,36,37,38,39,40,41,42},0),0)</f>
        <v>0</v>
      </c>
      <c r="CM104" s="26">
        <v>0</v>
      </c>
      <c r="CN104" s="26">
        <v>0</v>
      </c>
      <c r="CO104" s="26">
        <v>0</v>
      </c>
      <c r="CP104" s="26">
        <v>0</v>
      </c>
      <c r="CQ104" s="26">
        <v>0</v>
      </c>
      <c r="CR104" s="26">
        <v>0</v>
      </c>
      <c r="CS104" s="26">
        <v>0</v>
      </c>
      <c r="CT104" s="26">
        <v>0</v>
      </c>
      <c r="CU104" s="26">
        <v>0</v>
      </c>
      <c r="CV104" s="26">
        <v>0</v>
      </c>
      <c r="CW104" s="26">
        <v>0</v>
      </c>
      <c r="CX104" s="26">
        <f t="shared" si="33"/>
        <v>0</v>
      </c>
      <c r="CY104" s="14" t="str">
        <f>IF(A104=0,0,IFERROR(VLOOKUP(A104,'[1]Info Donantes'!C:F,2,0),"Sin Contacto"))</f>
        <v>Sin Contacto</v>
      </c>
      <c r="CZ104" s="14" t="str">
        <f>IF(A104=0,0,IFERROR(VLOOKUP(A104,'[1]Info Donantes'!C:F,3,0),"Sin Correo"))</f>
        <v>Sin Correo</v>
      </c>
      <c r="DA104" s="14" t="str">
        <f>IF(A104=0,0,IFERROR(VLOOKUP(A104,'[1]Info Donantes'!C:F,4,0),"Sin Telefono"))</f>
        <v>Sin Telefono</v>
      </c>
      <c r="DB104" s="14" t="str">
        <f>IF(A104=0,0,"Reporte de Trazabiidad"&amp;" - "&amp;'[1]Resumen Donantes'!$C$2&amp;" - "&amp;A104&amp;"")</f>
        <v>Reporte de Trazabiidad -  - ECO FOOD &amp; HEALTH S.A.</v>
      </c>
    </row>
    <row r="105" spans="1:106" x14ac:dyDescent="0.55000000000000004">
      <c r="A105" s="14" t="s">
        <v>209</v>
      </c>
      <c r="B105" s="15">
        <f>INT(IFERROR(VLOOKUP(A105,'[1]Resumen Donantes'!C:F,3,0),0))</f>
        <v>0</v>
      </c>
      <c r="C105" s="15">
        <f>INT(ROUND(IFERROR(VLOOKUP(A105,'[1]Resumen Donantes'!C:F,4,0),0),1))</f>
        <v>30</v>
      </c>
      <c r="D105" s="16">
        <f t="shared" si="36"/>
        <v>30</v>
      </c>
      <c r="E105" s="17" t="str">
        <f t="shared" si="37"/>
        <v>100.00%</v>
      </c>
      <c r="F105" s="17" t="str">
        <f t="shared" si="38"/>
        <v>0.0%</v>
      </c>
      <c r="G105" s="15">
        <f t="shared" si="40"/>
        <v>90</v>
      </c>
      <c r="H105" s="18"/>
      <c r="I105" s="18">
        <f>IFERROR(VLOOKUP(A105,'[1]Lot All by Part'!T:Y,6,0),0)</f>
        <v>0</v>
      </c>
      <c r="J105" s="18"/>
      <c r="K105" s="19">
        <f>IFERROR(VLOOKUP($A105,'[1]OB Atendidas por Donantes'!A:N,3,0),0)</f>
        <v>0</v>
      </c>
      <c r="L105" s="19">
        <f>ROUNDUP(IF(A105=0,0,IFERROR(VLOOKUP($A105,'[1]Kilos Asignado del Donante'!A:O,3,0),0)),0)</f>
        <v>0</v>
      </c>
      <c r="M105" s="19">
        <f>IF(A105=0,0,IFERROR(SUMIFS([1]Poblacion!M:M,[1]Poblacion!J:J,'MASTER-2025'!A105),0))</f>
        <v>0</v>
      </c>
      <c r="N105" s="20">
        <f>IFERROR(VLOOKUP($A105,'[1]OB Atendidas por Donantes'!A:N,4,0),0)</f>
        <v>0</v>
      </c>
      <c r="O105" s="20">
        <f>ROUNDUP(IF(A105=0,0,IFERROR(VLOOKUP($A105,'[1]Kilos Asignado del Donante'!A:O,4,0),0)),0)</f>
        <v>0</v>
      </c>
      <c r="P105" s="20">
        <f>IF(A105=0,0,IFERROR(SUMIFS([1]Poblacion!N:N,[1]Poblacion!J:J,'MASTER-2025'!A105),0))</f>
        <v>0</v>
      </c>
      <c r="Q105" s="18">
        <f>IFERROR(VLOOKUP($A105,'[1]OB Atendidas por Donantes'!A:N,2,0),0)</f>
        <v>0</v>
      </c>
      <c r="R105" s="18">
        <f>ROUNDUP(ROUND(IF(A105=0,0,IFERROR(VLOOKUP($A105,'[1]Kilos Asignado del Donante'!A:O,9,0),0)),1),0)</f>
        <v>0</v>
      </c>
      <c r="S105" s="18">
        <f>IF(A105=0,0,IFERROR(SUMIFS([1]Poblacion!S:S,[1]Poblacion!J:J,'MASTER-2025'!A105),0))</f>
        <v>0</v>
      </c>
      <c r="T105" s="19">
        <f>IFERROR(VLOOKUP($A105,'[1]OB Atendidas por Donantes'!A:N,12,0),0)</f>
        <v>0</v>
      </c>
      <c r="U105" s="19">
        <f>ROUNDUP(IF(A105=0,0,IF(A105=0,0,IFERROR(VLOOKUP($A105,'[1]Kilos Asignado del Donante'!A:O,7,0),0))),0)</f>
        <v>0</v>
      </c>
      <c r="V105" s="19">
        <f>IF(A105=0,0,IFERROR(SUMIFS([1]Poblacion!Q:Q,[1]Poblacion!J:J,'MASTER-2025'!A105),0))</f>
        <v>0</v>
      </c>
      <c r="W105" s="20">
        <f>IFERROR(VLOOKUP($A105,'[1]OB Atendidas por Donantes'!A:N,10,0),0)</f>
        <v>0</v>
      </c>
      <c r="X105" s="20">
        <f>ROUNDUP(IF(A105=0,0,IFERROR(VLOOKUP($A105,'[1]Kilos Asignado del Donante'!A:N,5,0),0)),0)</f>
        <v>0</v>
      </c>
      <c r="Y105" s="20">
        <f>IF(A105=0,0,IFERROR(SUMIFS([1]Poblacion!O:O,[1]Poblacion!J:J,'MASTER-2025'!A105),0))</f>
        <v>0</v>
      </c>
      <c r="Z105" s="18">
        <f>IFERROR(VLOOKUP($A105,'[1]OB Atendidas por Donantes'!A:N,6,0),0)</f>
        <v>0</v>
      </c>
      <c r="AA105" s="18">
        <f>ROUNDUP(IF(A105=0,0,IFERROR(VLOOKUP($A105,'[1]Kilos Asignado del Donante'!A:N,11,0),0)),0)</f>
        <v>0</v>
      </c>
      <c r="AB105" s="18">
        <f>IF(A105=0,0,IFERROR(SUMIFS([1]Poblacion!U:U,[1]Poblacion!J:J,'MASTER-2025'!A105),0))</f>
        <v>0</v>
      </c>
      <c r="AC105" s="19">
        <f>IFERROR(VLOOKUP($A105,'[1]OB Atendidas por Donantes'!A:N,7,0),0)</f>
        <v>1</v>
      </c>
      <c r="AD105" s="19">
        <f>ROUNDUP(IF(A105=0,0,IFERROR(VLOOKUP($A105,'[1]Kilos Asignado del Donante'!A:N,8,0),0)),0)</f>
        <v>30</v>
      </c>
      <c r="AE105" s="19">
        <f>IF(A105=0,0,IFERROR(SUMIFS([1]Poblacion!R:R,[1]Poblacion!J:J,'MASTER-2025'!A105),0))</f>
        <v>0</v>
      </c>
      <c r="AF105" s="20">
        <f>IFERROR(VLOOKUP($A105,'[1]OB Atendidas por Donantes'!A:N,8,0),0)</f>
        <v>0</v>
      </c>
      <c r="AG105" s="20">
        <f>ROUNDUP(IF(A105=0,0,IFERROR(VLOOKUP($A105,'[1]Kilos Asignado del Donante'!A:N,6,0),0)),0)</f>
        <v>0</v>
      </c>
      <c r="AH105" s="20">
        <f>IF(A105=0,0,IFERROR(SUMIFS([1]Poblacion!P:P,[1]Poblacion!J:J,'MASTER-2025'!A105),0))</f>
        <v>0</v>
      </c>
      <c r="AI105" s="18">
        <f>IFERROR(VLOOKUP($A105,'[1]OB Atendidas por Donantes'!A:N,9,0),0)</f>
        <v>0</v>
      </c>
      <c r="AJ105" s="18">
        <f>ROUNDUP(IF(A105=0,0,IFERROR(VLOOKUP($A105,'[1]Kilos Asignado del Donante'!A:N,12,0),0)),0)</f>
        <v>0</v>
      </c>
      <c r="AK105" s="18">
        <f>IF(A105=0,0,IFERROR(SUMIFS([1]Poblacion!V:V,[1]Poblacion!J:J,'MASTER-2025'!A105),0))</f>
        <v>0</v>
      </c>
      <c r="AL105" s="19">
        <f>IFERROR(VLOOKUP($A105,'[1]OB Atendidas por Donantes'!A:N,16,0),0)</f>
        <v>0</v>
      </c>
      <c r="AM105" s="19">
        <f>ROUNDUP(IF(A105=0,0,IFERROR(VLOOKUP($A105,'[1]Kilos Asignado del Donante'!A:O,16,0),0)),0)</f>
        <v>0</v>
      </c>
      <c r="AN105" s="19">
        <f>IF(A105=0,0,IFERROR(SUMIFS([1]Poblacion!Z:Z,[1]Poblacion!J:J,'MASTER-2025'!A105),0))</f>
        <v>0</v>
      </c>
      <c r="AO105" s="20">
        <f>IFERROR(VLOOKUP($A105,'[1]OB Atendidas por Donantes'!A:N,11,0),0)</f>
        <v>0</v>
      </c>
      <c r="AP105" s="20">
        <f>ROUNDUP(IF(A105=0,0,IFERROR(VLOOKUP($A105,'[1]Kilos Asignado del Donante'!A:N,13,0),0)),0)</f>
        <v>0</v>
      </c>
      <c r="AQ105" s="20">
        <f>IF(A105=0,0,IFERROR(SUMIFS([1]Poblacion!W:W,[1]Poblacion!J:J,'MASTER-2025'!A105),0))</f>
        <v>0</v>
      </c>
      <c r="AR105" s="18">
        <f>IFERROR(VLOOKUP($A105,'[1]OB Atendidas por Donantes'!A:N,5,0),0)</f>
        <v>0</v>
      </c>
      <c r="AS105" s="18">
        <f>ROUNDUP(IF(A105=0,0,IFERROR(VLOOKUP($A105,'[1]Kilos Asignado del Donante'!A:N,10,0),0)),0)</f>
        <v>0</v>
      </c>
      <c r="AT105" s="18">
        <f>IF(A105=0,0,IFERROR(SUMIFS([1]Poblacion!T:T,[1]Poblacion!J:J,'MASTER-2025'!A105),0))</f>
        <v>0</v>
      </c>
      <c r="AU105" s="19">
        <f>IFERROR(VLOOKUP($A105,'[1]OB Atendidas por Donantes'!A:N,13,0),0)</f>
        <v>0</v>
      </c>
      <c r="AV105" s="19">
        <f>ROUNDUP(IF(A105=0,0,IFERROR(VLOOKUP($A105,'[1]Kilos Asignado del Donante'!A:N,14,0),0)),0)</f>
        <v>0</v>
      </c>
      <c r="AW105" s="19">
        <f>IF(A105=0,0,IFERROR(SUMIFS([1]Poblacion!X:X,[1]Poblacion!J:J,'MASTER-2025'!A105),0))</f>
        <v>0</v>
      </c>
      <c r="AX105" s="20">
        <f>IFERROR(VLOOKUP($A105,'[1]OB Atendidas por Donantes'!A:N,16,0),0)</f>
        <v>0</v>
      </c>
      <c r="AY105" s="20">
        <f>ROUNDUP(IF(A105=0,0,IFERROR(VLOOKUP($A105,'[1]Kilos Asignado del Donante'!A:O,16,0),0)),0)</f>
        <v>0</v>
      </c>
      <c r="AZ105" s="20">
        <f>IF(A105=0,0,IFERROR(SUMIFS([1]Poblacion!Y:Y,[1]Poblacion!J:J,'MASTER-2025'!A105),0))</f>
        <v>0</v>
      </c>
      <c r="BA105" s="21">
        <f t="shared" si="34"/>
        <v>1</v>
      </c>
      <c r="BB105" s="21">
        <f t="shared" si="29"/>
        <v>30</v>
      </c>
      <c r="BC105" s="21">
        <f t="shared" si="39"/>
        <v>0</v>
      </c>
      <c r="BD105" s="21">
        <f t="shared" si="41"/>
        <v>0</v>
      </c>
      <c r="BE105" s="22" t="e">
        <f>IF(A105=0,0,SUMIFS([1]Poblacion!C:C,[1]Poblacion!A:A,'MASTER-2025'!A105))</f>
        <v>#VALUE!</v>
      </c>
      <c r="BF105" s="22" t="e">
        <f>IF(A105=0,0,SUMIFS([1]Poblacion!D:D,[1]Poblacion!A:A,'MASTER-2025'!A105))</f>
        <v>#VALUE!</v>
      </c>
      <c r="BG105" s="22" t="e">
        <f>IF(A105=0,0,SUMIFS([1]Poblacion!E:E,[1]Poblacion!A:A,'MASTER-2025'!A105))</f>
        <v>#VALUE!</v>
      </c>
      <c r="BH105" s="22" t="e">
        <f>IF(A105=0,0,SUMIFS([1]Poblacion!F:F,[1]Poblacion!A:A,'MASTER-2025'!A105))</f>
        <v>#VALUE!</v>
      </c>
      <c r="BI105" s="22" t="e">
        <f t="shared" si="35"/>
        <v>#VALUE!</v>
      </c>
      <c r="BJ105" s="23" t="e">
        <f t="shared" si="30"/>
        <v>#VALUE!</v>
      </c>
      <c r="BK105" s="22" t="e">
        <f>IF(A105=0,0,SUMIFS([1]Poblacion!G:G,[1]Poblacion!A:A,'MASTER-2025'!A105))</f>
        <v>#VALUE!</v>
      </c>
      <c r="BL105" s="24" cm="1">
        <f t="array" ref="BL105:BW105">IFERROR(VLOOKUP(A105,'[1]Acum-OB-kg-pob-25'!A:AQ,{3,4,5,6,7,8,9,10,11,12,13,14},0),0)</f>
        <v>6</v>
      </c>
      <c r="BM105" s="24">
        <v>4</v>
      </c>
      <c r="BN105" s="24">
        <v>1</v>
      </c>
      <c r="BO105" s="24">
        <v>0</v>
      </c>
      <c r="BP105" s="24">
        <v>0</v>
      </c>
      <c r="BQ105" s="24">
        <v>0</v>
      </c>
      <c r="BR105" s="24">
        <v>0</v>
      </c>
      <c r="BS105" s="24">
        <v>0</v>
      </c>
      <c r="BT105" s="24">
        <v>0</v>
      </c>
      <c r="BU105" s="24">
        <v>0</v>
      </c>
      <c r="BV105" s="24">
        <v>0</v>
      </c>
      <c r="BW105" s="24">
        <v>0</v>
      </c>
      <c r="BX105" s="24">
        <f t="shared" si="31"/>
        <v>11</v>
      </c>
      <c r="BY105" s="25" cm="1">
        <f t="array" ref="BY105:CJ105">IFERROR(VLOOKUP(A105,'[1]Acum-OB-kg-pob-25'!A:AQ,{17,18,19,20,21,22,23,24,25,26,27,28},0),0)</f>
        <v>46</v>
      </c>
      <c r="BZ105" s="25">
        <v>31</v>
      </c>
      <c r="CA105" s="25">
        <v>30</v>
      </c>
      <c r="CB105" s="25">
        <v>0</v>
      </c>
      <c r="CC105" s="25">
        <v>0</v>
      </c>
      <c r="CD105" s="25">
        <v>0</v>
      </c>
      <c r="CE105" s="25">
        <v>0</v>
      </c>
      <c r="CF105" s="25">
        <v>0</v>
      </c>
      <c r="CG105" s="25">
        <v>0</v>
      </c>
      <c r="CH105" s="25">
        <v>0</v>
      </c>
      <c r="CI105" s="25">
        <v>0</v>
      </c>
      <c r="CJ105" s="25">
        <v>0</v>
      </c>
      <c r="CK105" s="25">
        <f t="shared" si="32"/>
        <v>107</v>
      </c>
      <c r="CL105" s="26" cm="1">
        <f t="array" ref="CL105:CW105">IFERROR(VLOOKUP(A105,'[1]Acum-OB-kg-pob-25'!A:AQ,{31,32,33,34,35,36,37,38,39,40,41,42},0),0)</f>
        <v>1342</v>
      </c>
      <c r="CM105" s="26">
        <v>1272</v>
      </c>
      <c r="CN105" s="26">
        <v>180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0</v>
      </c>
      <c r="CU105" s="26">
        <v>0</v>
      </c>
      <c r="CV105" s="26">
        <v>0</v>
      </c>
      <c r="CW105" s="26">
        <v>0</v>
      </c>
      <c r="CX105" s="26">
        <f t="shared" si="33"/>
        <v>2794</v>
      </c>
      <c r="CY105" s="14" t="str">
        <f>IF(A105=0,0,IFERROR(VLOOKUP(A105,'[1]Info Donantes'!C:F,2,0),"Sin Contacto"))</f>
        <v>Sin Contacto</v>
      </c>
      <c r="CZ105" s="14" t="str">
        <f>IF(A105=0,0,IFERROR(VLOOKUP(A105,'[1]Info Donantes'!C:F,3,0),"Sin Correo"))</f>
        <v>Sin Correo</v>
      </c>
      <c r="DA105" s="14" t="str">
        <f>IF(A105=0,0,IFERROR(VLOOKUP(A105,'[1]Info Donantes'!C:F,4,0),"Sin Telefono"))</f>
        <v>Sin Telefono</v>
      </c>
      <c r="DB105" s="14" t="str">
        <f>IF(A105=0,0,"Reporte de Trazabiidad"&amp;" - "&amp;'[1]Resumen Donantes'!$C$2&amp;" - "&amp;A105&amp;"")</f>
        <v>Reporte de Trazabiidad -  - CORONADO ACL S.A. (LEUDO PANADERÍA)</v>
      </c>
    </row>
    <row r="106" spans="1:106" x14ac:dyDescent="0.55000000000000004">
      <c r="A106" s="14" t="s">
        <v>210</v>
      </c>
      <c r="B106" s="15">
        <f>INT(IFERROR(VLOOKUP(A106,'[1]Resumen Donantes'!C:F,3,0),0))</f>
        <v>0</v>
      </c>
      <c r="C106" s="15">
        <f>INT(ROUND(IFERROR(VLOOKUP(A106,'[1]Resumen Donantes'!C:F,4,0),0),1))</f>
        <v>0</v>
      </c>
      <c r="D106" s="16">
        <f t="shared" si="36"/>
        <v>0</v>
      </c>
      <c r="E106" s="17" t="str">
        <f t="shared" si="37"/>
        <v>0.00%</v>
      </c>
      <c r="F106" s="17" t="str">
        <f t="shared" si="38"/>
        <v>0.0%</v>
      </c>
      <c r="G106" s="15">
        <f t="shared" si="40"/>
        <v>0</v>
      </c>
      <c r="H106" s="18"/>
      <c r="I106" s="18">
        <f>IFERROR(VLOOKUP(A106,'[1]Lot All by Part'!T:Y,6,0),0)</f>
        <v>0</v>
      </c>
      <c r="J106" s="18"/>
      <c r="K106" s="19">
        <f>IFERROR(VLOOKUP($A106,'[1]OB Atendidas por Donantes'!A:N,3,0),0)</f>
        <v>0</v>
      </c>
      <c r="L106" s="19">
        <f>ROUNDUP(IF(A106=0,0,IFERROR(VLOOKUP($A106,'[1]Kilos Asignado del Donante'!A:O,3,0),0)),0)</f>
        <v>0</v>
      </c>
      <c r="M106" s="19">
        <f>IF(A106=0,0,IFERROR(SUMIFS([1]Poblacion!M:M,[1]Poblacion!J:J,'MASTER-2025'!A106),0))</f>
        <v>0</v>
      </c>
      <c r="N106" s="20">
        <f>IFERROR(VLOOKUP($A106,'[1]OB Atendidas por Donantes'!A:N,4,0),0)</f>
        <v>0</v>
      </c>
      <c r="O106" s="20">
        <f>ROUNDUP(IF(A106=0,0,IFERROR(VLOOKUP($A106,'[1]Kilos Asignado del Donante'!A:O,4,0),0)),0)</f>
        <v>0</v>
      </c>
      <c r="P106" s="20">
        <f>IF(A106=0,0,IFERROR(SUMIFS([1]Poblacion!N:N,[1]Poblacion!J:J,'MASTER-2025'!A106),0))</f>
        <v>0</v>
      </c>
      <c r="Q106" s="18">
        <f>IFERROR(VLOOKUP($A106,'[1]OB Atendidas por Donantes'!A:N,2,0),0)</f>
        <v>0</v>
      </c>
      <c r="R106" s="18">
        <f>ROUNDUP(ROUND(IF(A106=0,0,IFERROR(VLOOKUP($A106,'[1]Kilos Asignado del Donante'!A:O,9,0),0)),1),0)</f>
        <v>0</v>
      </c>
      <c r="S106" s="18">
        <f>IF(A106=0,0,IFERROR(SUMIFS([1]Poblacion!S:S,[1]Poblacion!J:J,'MASTER-2025'!A106),0))</f>
        <v>0</v>
      </c>
      <c r="T106" s="19">
        <f>IFERROR(VLOOKUP($A106,'[1]OB Atendidas por Donantes'!A:N,12,0),0)</f>
        <v>0</v>
      </c>
      <c r="U106" s="19">
        <f>ROUNDUP(IF(A106=0,0,IF(A106=0,0,IFERROR(VLOOKUP($A106,'[1]Kilos Asignado del Donante'!A:O,7,0),0))),0)</f>
        <v>0</v>
      </c>
      <c r="V106" s="19">
        <f>IF(A106=0,0,IFERROR(SUMIFS([1]Poblacion!Q:Q,[1]Poblacion!J:J,'MASTER-2025'!A106),0))</f>
        <v>0</v>
      </c>
      <c r="W106" s="20">
        <f>IFERROR(VLOOKUP($A106,'[1]OB Atendidas por Donantes'!A:N,10,0),0)</f>
        <v>0</v>
      </c>
      <c r="X106" s="20">
        <f>ROUNDUP(IF(A106=0,0,IFERROR(VLOOKUP($A106,'[1]Kilos Asignado del Donante'!A:N,5,0),0)),0)</f>
        <v>0</v>
      </c>
      <c r="Y106" s="20">
        <f>IF(A106=0,0,IFERROR(SUMIFS([1]Poblacion!O:O,[1]Poblacion!J:J,'MASTER-2025'!A106),0))</f>
        <v>0</v>
      </c>
      <c r="Z106" s="18">
        <f>IFERROR(VLOOKUP($A106,'[1]OB Atendidas por Donantes'!A:N,6,0),0)</f>
        <v>0</v>
      </c>
      <c r="AA106" s="18">
        <f>ROUNDUP(IF(A106=0,0,IFERROR(VLOOKUP($A106,'[1]Kilos Asignado del Donante'!A:N,11,0),0)),0)</f>
        <v>0</v>
      </c>
      <c r="AB106" s="18">
        <f>IF(A106=0,0,IFERROR(SUMIFS([1]Poblacion!U:U,[1]Poblacion!J:J,'MASTER-2025'!A106),0))</f>
        <v>0</v>
      </c>
      <c r="AC106" s="19">
        <f>IFERROR(VLOOKUP($A106,'[1]OB Atendidas por Donantes'!A:N,7,0),0)</f>
        <v>0</v>
      </c>
      <c r="AD106" s="19">
        <f>ROUNDUP(IF(A106=0,0,IFERROR(VLOOKUP($A106,'[1]Kilos Asignado del Donante'!A:N,8,0),0)),0)</f>
        <v>0</v>
      </c>
      <c r="AE106" s="19">
        <f>IF(A106=0,0,IFERROR(SUMIFS([1]Poblacion!R:R,[1]Poblacion!J:J,'MASTER-2025'!A106),0))</f>
        <v>0</v>
      </c>
      <c r="AF106" s="20">
        <f>IFERROR(VLOOKUP($A106,'[1]OB Atendidas por Donantes'!A:N,8,0),0)</f>
        <v>0</v>
      </c>
      <c r="AG106" s="20">
        <f>ROUNDUP(IF(A106=0,0,IFERROR(VLOOKUP($A106,'[1]Kilos Asignado del Donante'!A:N,6,0),0)),0)</f>
        <v>0</v>
      </c>
      <c r="AH106" s="20">
        <f>IF(A106=0,0,IFERROR(SUMIFS([1]Poblacion!P:P,[1]Poblacion!J:J,'MASTER-2025'!A106),0))</f>
        <v>0</v>
      </c>
      <c r="AI106" s="18">
        <f>IFERROR(VLOOKUP($A106,'[1]OB Atendidas por Donantes'!A:N,9,0),0)</f>
        <v>0</v>
      </c>
      <c r="AJ106" s="18">
        <f>ROUNDUP(IF(A106=0,0,IFERROR(VLOOKUP($A106,'[1]Kilos Asignado del Donante'!A:N,12,0),0)),0)</f>
        <v>0</v>
      </c>
      <c r="AK106" s="18">
        <f>IF(A106=0,0,IFERROR(SUMIFS([1]Poblacion!V:V,[1]Poblacion!J:J,'MASTER-2025'!A106),0))</f>
        <v>0</v>
      </c>
      <c r="AL106" s="19">
        <f>IFERROR(VLOOKUP($A106,'[1]OB Atendidas por Donantes'!A:N,16,0),0)</f>
        <v>0</v>
      </c>
      <c r="AM106" s="19">
        <f>ROUNDUP(IF(A106=0,0,IFERROR(VLOOKUP($A106,'[1]Kilos Asignado del Donante'!A:O,16,0),0)),0)</f>
        <v>0</v>
      </c>
      <c r="AN106" s="19">
        <f>IF(A106=0,0,IFERROR(SUMIFS([1]Poblacion!Z:Z,[1]Poblacion!J:J,'MASTER-2025'!A106),0))</f>
        <v>0</v>
      </c>
      <c r="AO106" s="20">
        <f>IFERROR(VLOOKUP($A106,'[1]OB Atendidas por Donantes'!A:N,11,0),0)</f>
        <v>0</v>
      </c>
      <c r="AP106" s="20">
        <f>ROUNDUP(IF(A106=0,0,IFERROR(VLOOKUP($A106,'[1]Kilos Asignado del Donante'!A:N,13,0),0)),0)</f>
        <v>0</v>
      </c>
      <c r="AQ106" s="20">
        <f>IF(A106=0,0,IFERROR(SUMIFS([1]Poblacion!W:W,[1]Poblacion!J:J,'MASTER-2025'!A106),0))</f>
        <v>0</v>
      </c>
      <c r="AR106" s="18">
        <f>IFERROR(VLOOKUP($A106,'[1]OB Atendidas por Donantes'!A:N,5,0),0)</f>
        <v>0</v>
      </c>
      <c r="AS106" s="18">
        <f>ROUNDUP(IF(A106=0,0,IFERROR(VLOOKUP($A106,'[1]Kilos Asignado del Donante'!A:N,10,0),0)),0)</f>
        <v>0</v>
      </c>
      <c r="AT106" s="18">
        <f>IF(A106=0,0,IFERROR(SUMIFS([1]Poblacion!T:T,[1]Poblacion!J:J,'MASTER-2025'!A106),0))</f>
        <v>0</v>
      </c>
      <c r="AU106" s="19">
        <f>IFERROR(VLOOKUP($A106,'[1]OB Atendidas por Donantes'!A:N,13,0),0)</f>
        <v>0</v>
      </c>
      <c r="AV106" s="19">
        <f>ROUNDUP(IF(A106=0,0,IFERROR(VLOOKUP($A106,'[1]Kilos Asignado del Donante'!A:N,14,0),0)),0)</f>
        <v>0</v>
      </c>
      <c r="AW106" s="19">
        <f>IF(A106=0,0,IFERROR(SUMIFS([1]Poblacion!X:X,[1]Poblacion!J:J,'MASTER-2025'!A106),0))</f>
        <v>0</v>
      </c>
      <c r="AX106" s="20">
        <f>IFERROR(VLOOKUP($A106,'[1]OB Atendidas por Donantes'!A:N,16,0),0)</f>
        <v>0</v>
      </c>
      <c r="AY106" s="20">
        <f>ROUNDUP(IF(A106=0,0,IFERROR(VLOOKUP($A106,'[1]Kilos Asignado del Donante'!A:O,16,0),0)),0)</f>
        <v>0</v>
      </c>
      <c r="AZ106" s="20">
        <f>IF(A106=0,0,IFERROR(SUMIFS([1]Poblacion!Y:Y,[1]Poblacion!J:J,'MASTER-2025'!A106),0))</f>
        <v>0</v>
      </c>
      <c r="BA106" s="21">
        <f t="shared" si="34"/>
        <v>0</v>
      </c>
      <c r="BB106" s="21">
        <f t="shared" si="29"/>
        <v>0</v>
      </c>
      <c r="BC106" s="21">
        <f t="shared" si="39"/>
        <v>0</v>
      </c>
      <c r="BD106" s="21">
        <f t="shared" si="41"/>
        <v>0</v>
      </c>
      <c r="BE106" s="22" t="e">
        <f>IF(A106=0,0,SUMIFS([1]Poblacion!C:C,[1]Poblacion!A:A,'MASTER-2025'!A106))</f>
        <v>#VALUE!</v>
      </c>
      <c r="BF106" s="22" t="e">
        <f>IF(A106=0,0,SUMIFS([1]Poblacion!D:D,[1]Poblacion!A:A,'MASTER-2025'!A106))</f>
        <v>#VALUE!</v>
      </c>
      <c r="BG106" s="22" t="e">
        <f>IF(A106=0,0,SUMIFS([1]Poblacion!E:E,[1]Poblacion!A:A,'MASTER-2025'!A106))</f>
        <v>#VALUE!</v>
      </c>
      <c r="BH106" s="22" t="e">
        <f>IF(A106=0,0,SUMIFS([1]Poblacion!F:F,[1]Poblacion!A:A,'MASTER-2025'!A106))</f>
        <v>#VALUE!</v>
      </c>
      <c r="BI106" s="22" t="e">
        <f t="shared" si="35"/>
        <v>#VALUE!</v>
      </c>
      <c r="BJ106" s="23" t="e">
        <f t="shared" si="30"/>
        <v>#VALUE!</v>
      </c>
      <c r="BK106" s="22" t="e">
        <f>IF(A106=0,0,SUMIFS([1]Poblacion!G:G,[1]Poblacion!A:A,'MASTER-2025'!A106))</f>
        <v>#VALUE!</v>
      </c>
      <c r="BL106" s="24" cm="1">
        <f t="array" ref="BL106:BW106">IFERROR(VLOOKUP(A106,'[1]Acum-OB-kg-pob-25'!A:AQ,{3,4,5,6,7,8,9,10,11,12,13,14},0),0)</f>
        <v>9</v>
      </c>
      <c r="BM106" s="24">
        <v>0</v>
      </c>
      <c r="BN106" s="24">
        <v>0</v>
      </c>
      <c r="BO106" s="24">
        <v>0</v>
      </c>
      <c r="BP106" s="24">
        <v>0</v>
      </c>
      <c r="BQ106" s="24">
        <v>0</v>
      </c>
      <c r="BR106" s="24">
        <v>0</v>
      </c>
      <c r="BS106" s="24">
        <v>0</v>
      </c>
      <c r="BT106" s="24">
        <v>0</v>
      </c>
      <c r="BU106" s="24">
        <v>0</v>
      </c>
      <c r="BV106" s="24">
        <v>0</v>
      </c>
      <c r="BW106" s="24">
        <v>0</v>
      </c>
      <c r="BX106" s="24">
        <f t="shared" si="31"/>
        <v>9</v>
      </c>
      <c r="BY106" s="25" cm="1">
        <f t="array" ref="BY106:CJ106">IFERROR(VLOOKUP(A106,'[1]Acum-OB-kg-pob-25'!A:AQ,{17,18,19,20,21,22,23,24,25,26,27,28},0),0)</f>
        <v>378</v>
      </c>
      <c r="BZ106" s="25">
        <v>0</v>
      </c>
      <c r="CA106" s="25">
        <v>0</v>
      </c>
      <c r="CB106" s="25">
        <v>0</v>
      </c>
      <c r="CC106" s="25">
        <v>0</v>
      </c>
      <c r="CD106" s="25">
        <v>0</v>
      </c>
      <c r="CE106" s="25">
        <v>0</v>
      </c>
      <c r="CF106" s="25">
        <v>0</v>
      </c>
      <c r="CG106" s="25">
        <v>0</v>
      </c>
      <c r="CH106" s="25">
        <v>0</v>
      </c>
      <c r="CI106" s="25">
        <v>0</v>
      </c>
      <c r="CJ106" s="25">
        <v>0</v>
      </c>
      <c r="CK106" s="25">
        <f t="shared" si="32"/>
        <v>378</v>
      </c>
      <c r="CL106" s="26" cm="1">
        <f t="array" ref="CL106:CW106">IFERROR(VLOOKUP(A106,'[1]Acum-OB-kg-pob-25'!A:AQ,{31,32,33,34,35,36,37,38,39,40,41,42},0),0)</f>
        <v>4042</v>
      </c>
      <c r="CM106" s="26">
        <v>0</v>
      </c>
      <c r="CN106" s="26">
        <v>0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0</v>
      </c>
      <c r="CU106" s="26">
        <v>0</v>
      </c>
      <c r="CV106" s="26">
        <v>0</v>
      </c>
      <c r="CW106" s="26">
        <v>0</v>
      </c>
      <c r="CX106" s="26">
        <f t="shared" si="33"/>
        <v>4042</v>
      </c>
      <c r="CY106" s="14" t="str">
        <f>IF(A106=0,0,IFERROR(VLOOKUP(A106,'[1]Info Donantes'!C:F,2,0),"Sin Contacto"))</f>
        <v>Sin Contacto</v>
      </c>
      <c r="CZ106" s="14" t="str">
        <f>IF(A106=0,0,IFERROR(VLOOKUP(A106,'[1]Info Donantes'!C:F,3,0),"Sin Correo"))</f>
        <v>Sin Correo</v>
      </c>
      <c r="DA106" s="14" t="str">
        <f>IF(A106=0,0,IFERROR(VLOOKUP(A106,'[1]Info Donantes'!C:F,4,0),"Sin Telefono"))</f>
        <v>Sin Telefono</v>
      </c>
      <c r="DB106" s="14" t="str">
        <f>IF(A106=0,0,"Reporte de Trazabiidad"&amp;" - "&amp;'[1]Resumen Donantes'!$C$2&amp;" - "&amp;A106&amp;"")</f>
        <v>Reporte de Trazabiidad -  - Despacho de la 1ra Dama</v>
      </c>
    </row>
    <row r="107" spans="1:106" x14ac:dyDescent="0.55000000000000004">
      <c r="A107" s="14" t="s">
        <v>211</v>
      </c>
      <c r="B107" s="15">
        <f>INT(IFERROR(VLOOKUP(A107,'[1]Resumen Donantes'!C:F,3,0),0))</f>
        <v>0</v>
      </c>
      <c r="C107" s="15">
        <f>INT(ROUND(IFERROR(VLOOKUP(A107,'[1]Resumen Donantes'!C:F,4,0),0),1))</f>
        <v>908</v>
      </c>
      <c r="D107" s="16">
        <f t="shared" si="36"/>
        <v>908</v>
      </c>
      <c r="E107" s="17" t="str">
        <f t="shared" si="37"/>
        <v>100.00%</v>
      </c>
      <c r="F107" s="17" t="str">
        <f t="shared" si="38"/>
        <v>0.0%</v>
      </c>
      <c r="G107" s="15">
        <f t="shared" si="40"/>
        <v>2724</v>
      </c>
      <c r="H107" s="18"/>
      <c r="I107" s="18">
        <f>IFERROR(VLOOKUP(A107,'[1]Lot All by Part'!T:Y,6,0),0)</f>
        <v>0</v>
      </c>
      <c r="J107" s="18"/>
      <c r="K107" s="19">
        <f>IFERROR(VLOOKUP($A107,'[1]OB Atendidas por Donantes'!A:N,3,0),0)</f>
        <v>5</v>
      </c>
      <c r="L107" s="19">
        <f>ROUNDUP(IF(A107=0,0,IFERROR(VLOOKUP($A107,'[1]Kilos Asignado del Donante'!A:O,3,0),0)),0)</f>
        <v>102</v>
      </c>
      <c r="M107" s="19">
        <f>IF(A107=0,0,IFERROR(SUMIFS([1]Poblacion!M:M,[1]Poblacion!J:J,'MASTER-2025'!A107),0))</f>
        <v>0</v>
      </c>
      <c r="N107" s="20">
        <f>IFERROR(VLOOKUP($A107,'[1]OB Atendidas por Donantes'!A:N,4,0),0)</f>
        <v>8</v>
      </c>
      <c r="O107" s="20">
        <f>ROUNDUP(IF(A107=0,0,IFERROR(VLOOKUP($A107,'[1]Kilos Asignado del Donante'!A:O,4,0),0)),0)</f>
        <v>402</v>
      </c>
      <c r="P107" s="20">
        <f>IF(A107=0,0,IFERROR(SUMIFS([1]Poblacion!N:N,[1]Poblacion!J:J,'MASTER-2025'!A107),0))</f>
        <v>0</v>
      </c>
      <c r="Q107" s="18">
        <f>IFERROR(VLOOKUP($A107,'[1]OB Atendidas por Donantes'!A:N,2,0),0)</f>
        <v>1</v>
      </c>
      <c r="R107" s="18">
        <f>ROUNDUP(ROUND(IF(A107=0,0,IFERROR(VLOOKUP($A107,'[1]Kilos Asignado del Donante'!A:O,9,0),0)),1),0)</f>
        <v>20</v>
      </c>
      <c r="S107" s="18">
        <f>IF(A107=0,0,IFERROR(SUMIFS([1]Poblacion!S:S,[1]Poblacion!J:J,'MASTER-2025'!A107),0))</f>
        <v>0</v>
      </c>
      <c r="T107" s="19">
        <f>IFERROR(VLOOKUP($A107,'[1]OB Atendidas por Donantes'!A:N,12,0),0)</f>
        <v>2</v>
      </c>
      <c r="U107" s="19">
        <f>ROUNDUP(IF(A107=0,0,IF(A107=0,0,IFERROR(VLOOKUP($A107,'[1]Kilos Asignado del Donante'!A:O,7,0),0))),0)</f>
        <v>110</v>
      </c>
      <c r="V107" s="19">
        <f>IF(A107=0,0,IFERROR(SUMIFS([1]Poblacion!Q:Q,[1]Poblacion!J:J,'MASTER-2025'!A107),0))</f>
        <v>0</v>
      </c>
      <c r="W107" s="20">
        <f>IFERROR(VLOOKUP($A107,'[1]OB Atendidas por Donantes'!A:N,10,0),0)</f>
        <v>4</v>
      </c>
      <c r="X107" s="20">
        <f>ROUNDUP(IF(A107=0,0,IFERROR(VLOOKUP($A107,'[1]Kilos Asignado del Donante'!A:N,5,0),0)),0)</f>
        <v>160</v>
      </c>
      <c r="Y107" s="20">
        <f>IF(A107=0,0,IFERROR(SUMIFS([1]Poblacion!O:O,[1]Poblacion!J:J,'MASTER-2025'!A107),0))</f>
        <v>0</v>
      </c>
      <c r="Z107" s="18">
        <f>IFERROR(VLOOKUP($A107,'[1]OB Atendidas por Donantes'!A:N,6,0),0)</f>
        <v>0</v>
      </c>
      <c r="AA107" s="18">
        <f>ROUNDUP(IF(A107=0,0,IFERROR(VLOOKUP($A107,'[1]Kilos Asignado del Donante'!A:N,11,0),0)),0)</f>
        <v>0</v>
      </c>
      <c r="AB107" s="18">
        <f>IF(A107=0,0,IFERROR(SUMIFS([1]Poblacion!U:U,[1]Poblacion!J:J,'MASTER-2025'!A107),0))</f>
        <v>0</v>
      </c>
      <c r="AC107" s="19">
        <f>IFERROR(VLOOKUP($A107,'[1]OB Atendidas por Donantes'!A:N,7,0),0)</f>
        <v>2</v>
      </c>
      <c r="AD107" s="19">
        <f>ROUNDUP(IF(A107=0,0,IFERROR(VLOOKUP($A107,'[1]Kilos Asignado del Donante'!A:N,8,0),0)),0)</f>
        <v>114</v>
      </c>
      <c r="AE107" s="19">
        <f>IF(A107=0,0,IFERROR(SUMIFS([1]Poblacion!R:R,[1]Poblacion!J:J,'MASTER-2025'!A107),0))</f>
        <v>0</v>
      </c>
      <c r="AF107" s="20">
        <f>IFERROR(VLOOKUP($A107,'[1]OB Atendidas por Donantes'!A:N,8,0),0)</f>
        <v>0</v>
      </c>
      <c r="AG107" s="20">
        <f>ROUNDUP(IF(A107=0,0,IFERROR(VLOOKUP($A107,'[1]Kilos Asignado del Donante'!A:N,6,0),0)),0)</f>
        <v>0</v>
      </c>
      <c r="AH107" s="20">
        <f>IF(A107=0,0,IFERROR(SUMIFS([1]Poblacion!P:P,[1]Poblacion!J:J,'MASTER-2025'!A107),0))</f>
        <v>0</v>
      </c>
      <c r="AI107" s="18">
        <f>IFERROR(VLOOKUP($A107,'[1]OB Atendidas por Donantes'!A:N,9,0),0)</f>
        <v>0</v>
      </c>
      <c r="AJ107" s="18">
        <f>ROUNDUP(IF(A107=0,0,IFERROR(VLOOKUP($A107,'[1]Kilos Asignado del Donante'!A:N,12,0),0)),0)</f>
        <v>0</v>
      </c>
      <c r="AK107" s="18">
        <f>IF(A107=0,0,IFERROR(SUMIFS([1]Poblacion!V:V,[1]Poblacion!J:J,'MASTER-2025'!A107),0))</f>
        <v>0</v>
      </c>
      <c r="AL107" s="19">
        <f>IFERROR(VLOOKUP($A107,'[1]OB Atendidas por Donantes'!A:N,16,0),0)</f>
        <v>0</v>
      </c>
      <c r="AM107" s="19">
        <f>ROUNDUP(IF(A107=0,0,IFERROR(VLOOKUP($A107,'[1]Kilos Asignado del Donante'!A:O,16,0),0)),0)</f>
        <v>0</v>
      </c>
      <c r="AN107" s="19">
        <f>IF(A107=0,0,IFERROR(SUMIFS([1]Poblacion!Z:Z,[1]Poblacion!J:J,'MASTER-2025'!A107),0))</f>
        <v>0</v>
      </c>
      <c r="AO107" s="20">
        <f>IFERROR(VLOOKUP($A107,'[1]OB Atendidas por Donantes'!A:N,11,0),0)</f>
        <v>0</v>
      </c>
      <c r="AP107" s="20">
        <f>ROUNDUP(IF(A107=0,0,IFERROR(VLOOKUP($A107,'[1]Kilos Asignado del Donante'!A:N,13,0),0)),0)</f>
        <v>0</v>
      </c>
      <c r="AQ107" s="20">
        <f>IF(A107=0,0,IFERROR(SUMIFS([1]Poblacion!W:W,[1]Poblacion!J:J,'MASTER-2025'!A107),0))</f>
        <v>0</v>
      </c>
      <c r="AR107" s="18">
        <f>IFERROR(VLOOKUP($A107,'[1]OB Atendidas por Donantes'!A:N,5,0),0)</f>
        <v>0</v>
      </c>
      <c r="AS107" s="18">
        <f>ROUNDUP(IF(A107=0,0,IFERROR(VLOOKUP($A107,'[1]Kilos Asignado del Donante'!A:N,10,0),0)),0)</f>
        <v>0</v>
      </c>
      <c r="AT107" s="18">
        <f>IF(A107=0,0,IFERROR(SUMIFS([1]Poblacion!T:T,[1]Poblacion!J:J,'MASTER-2025'!A107),0))</f>
        <v>0</v>
      </c>
      <c r="AU107" s="19">
        <f>IFERROR(VLOOKUP($A107,'[1]OB Atendidas por Donantes'!A:N,13,0),0)</f>
        <v>0</v>
      </c>
      <c r="AV107" s="19">
        <f>ROUNDUP(IF(A107=0,0,IFERROR(VLOOKUP($A107,'[1]Kilos Asignado del Donante'!A:N,14,0),0)),0)</f>
        <v>0</v>
      </c>
      <c r="AW107" s="19">
        <f>IF(A107=0,0,IFERROR(SUMIFS([1]Poblacion!X:X,[1]Poblacion!J:J,'MASTER-2025'!A107),0))</f>
        <v>0</v>
      </c>
      <c r="AX107" s="20">
        <f>IFERROR(VLOOKUP($A107,'[1]OB Atendidas por Donantes'!A:N,16,0),0)</f>
        <v>0</v>
      </c>
      <c r="AY107" s="20">
        <f>ROUNDUP(IF(A107=0,0,IFERROR(VLOOKUP($A107,'[1]Kilos Asignado del Donante'!A:O,16,0),0)),0)</f>
        <v>0</v>
      </c>
      <c r="AZ107" s="20">
        <f>IF(A107=0,0,IFERROR(SUMIFS([1]Poblacion!Y:Y,[1]Poblacion!J:J,'MASTER-2025'!A107),0))</f>
        <v>0</v>
      </c>
      <c r="BA107" s="21">
        <f t="shared" si="34"/>
        <v>22</v>
      </c>
      <c r="BB107" s="21">
        <f t="shared" si="29"/>
        <v>908</v>
      </c>
      <c r="BC107" s="21">
        <f t="shared" si="39"/>
        <v>634</v>
      </c>
      <c r="BD107" s="21">
        <f t="shared" si="41"/>
        <v>0</v>
      </c>
      <c r="BE107" s="22" t="e">
        <f>IF(A107=0,0,SUMIFS([1]Poblacion!C:C,[1]Poblacion!A:A,'MASTER-2025'!A107))</f>
        <v>#VALUE!</v>
      </c>
      <c r="BF107" s="22" t="e">
        <f>IF(A107=0,0,SUMIFS([1]Poblacion!D:D,[1]Poblacion!A:A,'MASTER-2025'!A107))</f>
        <v>#VALUE!</v>
      </c>
      <c r="BG107" s="22" t="e">
        <f>IF(A107=0,0,SUMIFS([1]Poblacion!E:E,[1]Poblacion!A:A,'MASTER-2025'!A107))</f>
        <v>#VALUE!</v>
      </c>
      <c r="BH107" s="22" t="e">
        <f>IF(A107=0,0,SUMIFS([1]Poblacion!F:F,[1]Poblacion!A:A,'MASTER-2025'!A107))</f>
        <v>#VALUE!</v>
      </c>
      <c r="BI107" s="22" t="e">
        <f t="shared" si="35"/>
        <v>#VALUE!</v>
      </c>
      <c r="BJ107" s="23" t="e">
        <f t="shared" si="30"/>
        <v>#VALUE!</v>
      </c>
      <c r="BK107" s="22" t="e">
        <f>IF(A107=0,0,SUMIFS([1]Poblacion!G:G,[1]Poblacion!A:A,'MASTER-2025'!A107))</f>
        <v>#VALUE!</v>
      </c>
      <c r="BL107" s="24" cm="1">
        <f t="array" ref="BL107:BW107">IFERROR(VLOOKUP(A107,'[1]Acum-OB-kg-pob-25'!A:AQ,{3,4,5,6,7,8,9,10,11,12,13,14},0),0)</f>
        <v>13</v>
      </c>
      <c r="BM107" s="24">
        <v>13</v>
      </c>
      <c r="BN107" s="24">
        <v>22</v>
      </c>
      <c r="BO107" s="24">
        <v>0</v>
      </c>
      <c r="BP107" s="24">
        <v>0</v>
      </c>
      <c r="BQ107" s="24">
        <v>0</v>
      </c>
      <c r="BR107" s="24">
        <v>0</v>
      </c>
      <c r="BS107" s="24">
        <v>0</v>
      </c>
      <c r="BT107" s="24">
        <v>0</v>
      </c>
      <c r="BU107" s="24">
        <v>0</v>
      </c>
      <c r="BV107" s="24">
        <v>0</v>
      </c>
      <c r="BW107" s="24">
        <v>0</v>
      </c>
      <c r="BX107" s="24">
        <f t="shared" si="31"/>
        <v>48</v>
      </c>
      <c r="BY107" s="25" cm="1">
        <f t="array" ref="BY107:CJ107">IFERROR(VLOOKUP(A107,'[1]Acum-OB-kg-pob-25'!A:AQ,{17,18,19,20,21,22,23,24,25,26,27,28},0),0)</f>
        <v>2004</v>
      </c>
      <c r="BZ107" s="25">
        <v>2206</v>
      </c>
      <c r="CA107" s="25">
        <v>908</v>
      </c>
      <c r="CB107" s="25">
        <v>0</v>
      </c>
      <c r="CC107" s="25">
        <v>0</v>
      </c>
      <c r="CD107" s="25">
        <v>0</v>
      </c>
      <c r="CE107" s="25">
        <v>0</v>
      </c>
      <c r="CF107" s="25">
        <v>0</v>
      </c>
      <c r="CG107" s="25">
        <v>0</v>
      </c>
      <c r="CH107" s="25">
        <v>0</v>
      </c>
      <c r="CI107" s="25">
        <v>0</v>
      </c>
      <c r="CJ107" s="25">
        <v>0</v>
      </c>
      <c r="CK107" s="25">
        <f t="shared" si="32"/>
        <v>5118</v>
      </c>
      <c r="CL107" s="26" cm="1">
        <f t="array" ref="CL107:CW107">IFERROR(VLOOKUP(A107,'[1]Acum-OB-kg-pob-25'!A:AQ,{31,32,33,34,35,36,37,38,39,40,41,42},0),0)</f>
        <v>2195</v>
      </c>
      <c r="CM107" s="26">
        <v>1424</v>
      </c>
      <c r="CN107" s="26">
        <v>6419</v>
      </c>
      <c r="CO107" s="26">
        <v>0</v>
      </c>
      <c r="CP107" s="26">
        <v>0</v>
      </c>
      <c r="CQ107" s="26">
        <v>0</v>
      </c>
      <c r="CR107" s="26">
        <v>0</v>
      </c>
      <c r="CS107" s="26">
        <v>0</v>
      </c>
      <c r="CT107" s="26">
        <v>0</v>
      </c>
      <c r="CU107" s="26">
        <v>0</v>
      </c>
      <c r="CV107" s="26">
        <v>0</v>
      </c>
      <c r="CW107" s="26">
        <v>0</v>
      </c>
      <c r="CX107" s="26">
        <f t="shared" si="33"/>
        <v>10038</v>
      </c>
      <c r="CY107" s="14" t="str">
        <f>IF(A107=0,0,IFERROR(VLOOKUP(A107,'[1]Info Donantes'!C:F,2,0),"Sin Contacto"))</f>
        <v>Sandra Beitia</v>
      </c>
      <c r="CZ107" s="14" t="str">
        <f>IF(A107=0,0,IFERROR(VLOOKUP(A107,'[1]Info Donantes'!C:F,3,0),"Sin Correo"))</f>
        <v>lorena.henriquez@estrellaazul.com.pa</v>
      </c>
      <c r="DA107" s="14" t="str">
        <f>IF(A107=0,0,IFERROR(VLOOKUP(A107,'[1]Info Donantes'!C:F,4,0),"Sin Telefono"))</f>
        <v>800-2035</v>
      </c>
      <c r="DB107" s="14" t="str">
        <f>IF(A107=0,0,"Reporte de Trazabiidad"&amp;" - "&amp;'[1]Resumen Donantes'!$C$2&amp;" - "&amp;A107&amp;"")</f>
        <v>Reporte de Trazabiidad -  - INDUSTRIAS LACTEAS, S.A / Estrella Azul</v>
      </c>
    </row>
    <row r="108" spans="1:106" x14ac:dyDescent="0.55000000000000004">
      <c r="A108" s="14" t="s">
        <v>212</v>
      </c>
      <c r="B108" s="15">
        <f>INT(IFERROR(VLOOKUP(A108,'[1]Resumen Donantes'!C:F,3,0),0))</f>
        <v>0</v>
      </c>
      <c r="C108" s="15">
        <f>INT(ROUND(IFERROR(VLOOKUP(A108,'[1]Resumen Donantes'!C:F,4,0),0),1))</f>
        <v>0</v>
      </c>
      <c r="D108" s="16">
        <f t="shared" si="36"/>
        <v>0</v>
      </c>
      <c r="E108" s="17" t="str">
        <f t="shared" si="37"/>
        <v>0.00%</v>
      </c>
      <c r="F108" s="17" t="str">
        <f t="shared" si="38"/>
        <v>0.0%</v>
      </c>
      <c r="G108" s="15">
        <f t="shared" si="40"/>
        <v>0</v>
      </c>
      <c r="H108" s="18"/>
      <c r="I108" s="18">
        <f>IFERROR(VLOOKUP(A108,'[1]Lot All by Part'!T:Y,6,0),0)</f>
        <v>0</v>
      </c>
      <c r="J108" s="18"/>
      <c r="K108" s="19">
        <f>IFERROR(VLOOKUP($A108,'[1]OB Atendidas por Donantes'!A:N,3,0),0)</f>
        <v>0</v>
      </c>
      <c r="L108" s="19">
        <f>ROUNDUP(IF(A108=0,0,IFERROR(VLOOKUP($A108,'[1]Kilos Asignado del Donante'!A:O,3,0),0)),0)</f>
        <v>0</v>
      </c>
      <c r="M108" s="19">
        <f>IF(A108=0,0,IFERROR(SUMIFS([1]Poblacion!M:M,[1]Poblacion!J:J,'MASTER-2025'!A108),0))</f>
        <v>0</v>
      </c>
      <c r="N108" s="20">
        <f>IFERROR(VLOOKUP($A108,'[1]OB Atendidas por Donantes'!A:N,4,0),0)</f>
        <v>0</v>
      </c>
      <c r="O108" s="20">
        <f>ROUNDUP(IF(A108=0,0,IFERROR(VLOOKUP($A108,'[1]Kilos Asignado del Donante'!A:O,4,0),0)),0)</f>
        <v>0</v>
      </c>
      <c r="P108" s="20">
        <f>IF(A108=0,0,IFERROR(SUMIFS([1]Poblacion!N:N,[1]Poblacion!J:J,'MASTER-2025'!A108),0))</f>
        <v>0</v>
      </c>
      <c r="Q108" s="18">
        <f>IFERROR(VLOOKUP($A108,'[1]OB Atendidas por Donantes'!A:N,2,0),0)</f>
        <v>0</v>
      </c>
      <c r="R108" s="18">
        <f>ROUNDUP(ROUND(IF(A108=0,0,IFERROR(VLOOKUP($A108,'[1]Kilos Asignado del Donante'!A:O,9,0),0)),1),0)</f>
        <v>0</v>
      </c>
      <c r="S108" s="18">
        <f>IF(A108=0,0,IFERROR(SUMIFS([1]Poblacion!S:S,[1]Poblacion!J:J,'MASTER-2025'!A108),0))</f>
        <v>0</v>
      </c>
      <c r="T108" s="19">
        <f>IFERROR(VLOOKUP($A108,'[1]OB Atendidas por Donantes'!A:N,12,0),0)</f>
        <v>0</v>
      </c>
      <c r="U108" s="19">
        <f>ROUNDUP(IF(A108=0,0,IF(A108=0,0,IFERROR(VLOOKUP($A108,'[1]Kilos Asignado del Donante'!A:O,7,0),0))),0)</f>
        <v>0</v>
      </c>
      <c r="V108" s="19">
        <f>IF(A108=0,0,IFERROR(SUMIFS([1]Poblacion!Q:Q,[1]Poblacion!J:J,'MASTER-2025'!A108),0))</f>
        <v>0</v>
      </c>
      <c r="W108" s="20">
        <f>IFERROR(VLOOKUP($A108,'[1]OB Atendidas por Donantes'!A:N,10,0),0)</f>
        <v>0</v>
      </c>
      <c r="X108" s="20">
        <f>ROUNDUP(IF(A108=0,0,IFERROR(VLOOKUP($A108,'[1]Kilos Asignado del Donante'!A:N,5,0),0)),0)</f>
        <v>0</v>
      </c>
      <c r="Y108" s="20">
        <f>IF(A108=0,0,IFERROR(SUMIFS([1]Poblacion!O:O,[1]Poblacion!J:J,'MASTER-2025'!A108),0))</f>
        <v>0</v>
      </c>
      <c r="Z108" s="18">
        <f>IFERROR(VLOOKUP($A108,'[1]OB Atendidas por Donantes'!A:N,6,0),0)</f>
        <v>0</v>
      </c>
      <c r="AA108" s="18">
        <f>ROUNDUP(IF(A108=0,0,IFERROR(VLOOKUP($A108,'[1]Kilos Asignado del Donante'!A:N,11,0),0)),0)</f>
        <v>0</v>
      </c>
      <c r="AB108" s="18">
        <f>IF(A108=0,0,IFERROR(SUMIFS([1]Poblacion!U:U,[1]Poblacion!J:J,'MASTER-2025'!A108),0))</f>
        <v>0</v>
      </c>
      <c r="AC108" s="19">
        <f>IFERROR(VLOOKUP($A108,'[1]OB Atendidas por Donantes'!A:N,7,0),0)</f>
        <v>0</v>
      </c>
      <c r="AD108" s="19">
        <f>ROUNDUP(IF(A108=0,0,IFERROR(VLOOKUP($A108,'[1]Kilos Asignado del Donante'!A:N,8,0),0)),0)</f>
        <v>0</v>
      </c>
      <c r="AE108" s="19">
        <f>IF(A108=0,0,IFERROR(SUMIFS([1]Poblacion!R:R,[1]Poblacion!J:J,'MASTER-2025'!A108),0))</f>
        <v>0</v>
      </c>
      <c r="AF108" s="20">
        <f>IFERROR(VLOOKUP($A108,'[1]OB Atendidas por Donantes'!A:N,8,0),0)</f>
        <v>0</v>
      </c>
      <c r="AG108" s="20">
        <f>ROUNDUP(IF(A108=0,0,IFERROR(VLOOKUP($A108,'[1]Kilos Asignado del Donante'!A:N,6,0),0)),0)</f>
        <v>0</v>
      </c>
      <c r="AH108" s="20">
        <f>IF(A108=0,0,IFERROR(SUMIFS([1]Poblacion!P:P,[1]Poblacion!J:J,'MASTER-2025'!A108),0))</f>
        <v>0</v>
      </c>
      <c r="AI108" s="18">
        <f>IFERROR(VLOOKUP($A108,'[1]OB Atendidas por Donantes'!A:N,9,0),0)</f>
        <v>0</v>
      </c>
      <c r="AJ108" s="18">
        <f>ROUNDUP(IF(A108=0,0,IFERROR(VLOOKUP($A108,'[1]Kilos Asignado del Donante'!A:N,12,0),0)),0)</f>
        <v>0</v>
      </c>
      <c r="AK108" s="18">
        <f>IF(A108=0,0,IFERROR(SUMIFS([1]Poblacion!V:V,[1]Poblacion!J:J,'MASTER-2025'!A108),0))</f>
        <v>0</v>
      </c>
      <c r="AL108" s="19">
        <f>IFERROR(VLOOKUP($A108,'[1]OB Atendidas por Donantes'!A:N,16,0),0)</f>
        <v>0</v>
      </c>
      <c r="AM108" s="19">
        <f>ROUNDUP(IF(A108=0,0,IFERROR(VLOOKUP($A108,'[1]Kilos Asignado del Donante'!A:O,16,0),0)),0)</f>
        <v>0</v>
      </c>
      <c r="AN108" s="19">
        <f>IF(A108=0,0,IFERROR(SUMIFS([1]Poblacion!Z:Z,[1]Poblacion!J:J,'MASTER-2025'!A108),0))</f>
        <v>0</v>
      </c>
      <c r="AO108" s="20">
        <f>IFERROR(VLOOKUP($A108,'[1]OB Atendidas por Donantes'!A:N,11,0),0)</f>
        <v>0</v>
      </c>
      <c r="AP108" s="20">
        <f>ROUNDUP(IF(A108=0,0,IFERROR(VLOOKUP($A108,'[1]Kilos Asignado del Donante'!A:N,13,0),0)),0)</f>
        <v>0</v>
      </c>
      <c r="AQ108" s="20">
        <f>IF(A108=0,0,IFERROR(SUMIFS([1]Poblacion!W:W,[1]Poblacion!J:J,'MASTER-2025'!A108),0))</f>
        <v>0</v>
      </c>
      <c r="AR108" s="18">
        <f>IFERROR(VLOOKUP($A108,'[1]OB Atendidas por Donantes'!A:N,5,0),0)</f>
        <v>0</v>
      </c>
      <c r="AS108" s="18">
        <f>ROUNDUP(IF(A108=0,0,IFERROR(VLOOKUP($A108,'[1]Kilos Asignado del Donante'!A:N,10,0),0)),0)</f>
        <v>0</v>
      </c>
      <c r="AT108" s="18">
        <f>IF(A108=0,0,IFERROR(SUMIFS([1]Poblacion!T:T,[1]Poblacion!J:J,'MASTER-2025'!A108),0))</f>
        <v>0</v>
      </c>
      <c r="AU108" s="19">
        <f>IFERROR(VLOOKUP($A108,'[1]OB Atendidas por Donantes'!A:N,13,0),0)</f>
        <v>0</v>
      </c>
      <c r="AV108" s="19">
        <f>ROUNDUP(IF(A108=0,0,IFERROR(VLOOKUP($A108,'[1]Kilos Asignado del Donante'!A:N,14,0),0)),0)</f>
        <v>0</v>
      </c>
      <c r="AW108" s="19">
        <f>IF(A108=0,0,IFERROR(SUMIFS([1]Poblacion!X:X,[1]Poblacion!J:J,'MASTER-2025'!A108),0))</f>
        <v>0</v>
      </c>
      <c r="AX108" s="20">
        <f>IFERROR(VLOOKUP($A108,'[1]OB Atendidas por Donantes'!A:N,16,0),0)</f>
        <v>0</v>
      </c>
      <c r="AY108" s="20">
        <f>ROUNDUP(IF(A108=0,0,IFERROR(VLOOKUP($A108,'[1]Kilos Asignado del Donante'!A:O,16,0),0)),0)</f>
        <v>0</v>
      </c>
      <c r="AZ108" s="20">
        <f>IF(A108=0,0,IFERROR(SUMIFS([1]Poblacion!Y:Y,[1]Poblacion!J:J,'MASTER-2025'!A108),0))</f>
        <v>0</v>
      </c>
      <c r="BA108" s="21">
        <f t="shared" si="34"/>
        <v>0</v>
      </c>
      <c r="BB108" s="21">
        <f>INT(I108+L108+O108+R108+U108+X108+AA108+AD108+AG108+AJ108+AM108+AP108+AS108+AV108+AY108)</f>
        <v>0</v>
      </c>
      <c r="BC108" s="21">
        <f t="shared" si="39"/>
        <v>0</v>
      </c>
      <c r="BD108" s="21">
        <f t="shared" si="41"/>
        <v>0</v>
      </c>
      <c r="BE108" s="22" t="e">
        <f>IF(A108=0,0,SUMIFS([1]Poblacion!C:C,[1]Poblacion!A:A,'MASTER-2025'!A108))</f>
        <v>#VALUE!</v>
      </c>
      <c r="BF108" s="22" t="e">
        <f>IF(A108=0,0,SUMIFS([1]Poblacion!D:D,[1]Poblacion!A:A,'MASTER-2025'!A108))</f>
        <v>#VALUE!</v>
      </c>
      <c r="BG108" s="22" t="e">
        <f>IF(A108=0,0,SUMIFS([1]Poblacion!E:E,[1]Poblacion!A:A,'MASTER-2025'!A108))</f>
        <v>#VALUE!</v>
      </c>
      <c r="BH108" s="22" t="e">
        <f>IF(A108=0,0,SUMIFS([1]Poblacion!F:F,[1]Poblacion!A:A,'MASTER-2025'!A108))</f>
        <v>#VALUE!</v>
      </c>
      <c r="BI108" s="22" t="e">
        <f t="shared" si="35"/>
        <v>#VALUE!</v>
      </c>
      <c r="BJ108" s="23" t="e">
        <f t="shared" si="30"/>
        <v>#VALUE!</v>
      </c>
      <c r="BK108" s="22" t="e">
        <f>IF(A108=0,0,SUMIFS([1]Poblacion!G:G,[1]Poblacion!A:A,'MASTER-2025'!A108))</f>
        <v>#VALUE!</v>
      </c>
      <c r="BL108" s="24" cm="1">
        <f t="array" ref="BL108:BW108">IFERROR(VLOOKUP(A108,'[1]Acum-OB-kg-pob-25'!A:AQ,{3,4,5,6,7,8,9,10,11,12,13,14},0),0)</f>
        <v>0</v>
      </c>
      <c r="BM108" s="24">
        <v>0</v>
      </c>
      <c r="BN108" s="24">
        <v>0</v>
      </c>
      <c r="BO108" s="24">
        <v>0</v>
      </c>
      <c r="BP108" s="24">
        <v>0</v>
      </c>
      <c r="BQ108" s="24">
        <v>0</v>
      </c>
      <c r="BR108" s="24">
        <v>0</v>
      </c>
      <c r="BS108" s="24">
        <v>0</v>
      </c>
      <c r="BT108" s="24">
        <v>0</v>
      </c>
      <c r="BU108" s="24">
        <v>0</v>
      </c>
      <c r="BV108" s="24">
        <v>0</v>
      </c>
      <c r="BW108" s="24">
        <v>0</v>
      </c>
      <c r="BX108" s="24">
        <f t="shared" si="31"/>
        <v>0</v>
      </c>
      <c r="BY108" s="25" cm="1">
        <f t="array" ref="BY108:CJ108">IFERROR(VLOOKUP(A108,'[1]Acum-OB-kg-pob-25'!A:AQ,{17,18,19,20,21,22,23,24,25,26,27,28},0),0)</f>
        <v>0</v>
      </c>
      <c r="BZ108" s="25">
        <v>0</v>
      </c>
      <c r="CA108" s="25">
        <v>0</v>
      </c>
      <c r="CB108" s="25">
        <v>0</v>
      </c>
      <c r="CC108" s="25">
        <v>0</v>
      </c>
      <c r="CD108" s="25">
        <v>0</v>
      </c>
      <c r="CE108" s="25">
        <v>0</v>
      </c>
      <c r="CF108" s="25">
        <v>0</v>
      </c>
      <c r="CG108" s="25">
        <v>0</v>
      </c>
      <c r="CH108" s="25">
        <v>0</v>
      </c>
      <c r="CI108" s="25">
        <v>0</v>
      </c>
      <c r="CJ108" s="25">
        <v>0</v>
      </c>
      <c r="CK108" s="25">
        <f t="shared" si="32"/>
        <v>0</v>
      </c>
      <c r="CL108" s="26" cm="1">
        <f t="array" ref="CL108:CW108">IFERROR(VLOOKUP(A108,'[1]Acum-OB-kg-pob-25'!A:AQ,{31,32,33,34,35,36,37,38,39,40,41,42},0),0)</f>
        <v>0</v>
      </c>
      <c r="CM108" s="26">
        <v>0</v>
      </c>
      <c r="CN108" s="26">
        <v>0</v>
      </c>
      <c r="CO108" s="26">
        <v>0</v>
      </c>
      <c r="CP108" s="26">
        <v>0</v>
      </c>
      <c r="CQ108" s="26">
        <v>0</v>
      </c>
      <c r="CR108" s="26">
        <v>0</v>
      </c>
      <c r="CS108" s="26">
        <v>0</v>
      </c>
      <c r="CT108" s="26">
        <v>0</v>
      </c>
      <c r="CU108" s="26">
        <v>0</v>
      </c>
      <c r="CV108" s="26">
        <v>0</v>
      </c>
      <c r="CW108" s="26">
        <v>0</v>
      </c>
      <c r="CX108" s="26">
        <f t="shared" si="33"/>
        <v>0</v>
      </c>
      <c r="CY108" s="14" t="str">
        <f>IF(A108=0,0,IFERROR(VLOOKUP(A108,'[1]Info Donantes'!C:F,2,0),"Sin Contacto"))</f>
        <v>Sin Contacto</v>
      </c>
      <c r="CZ108" s="14" t="str">
        <f>IF(A108=0,0,IFERROR(VLOOKUP(A108,'[1]Info Donantes'!C:F,3,0),"Sin Correo"))</f>
        <v>Sin Correo</v>
      </c>
      <c r="DA108" s="14" t="str">
        <f>IF(A108=0,0,IFERROR(VLOOKUP(A108,'[1]Info Donantes'!C:F,4,0),"Sin Telefono"))</f>
        <v>Sin Telefono</v>
      </c>
      <c r="DB108" s="14" t="str">
        <f>IF(A108=0,0,"Reporte de Trazabiidad"&amp;" - "&amp;'[1]Resumen Donantes'!$C$2&amp;" - "&amp;A108&amp;"")</f>
        <v>Reporte de Trazabiidad -  - GEORGIA TECH PANAMA FOUNDATION</v>
      </c>
    </row>
    <row r="109" spans="1:106" x14ac:dyDescent="0.55000000000000004">
      <c r="A109" s="14" t="s">
        <v>213</v>
      </c>
      <c r="B109" s="15">
        <f>INT(IFERROR(VLOOKUP(A109,'[1]Resumen Donantes'!C:F,3,0),0))</f>
        <v>0</v>
      </c>
      <c r="C109" s="15">
        <f>INT(ROUND(IFERROR(VLOOKUP(A109,'[1]Resumen Donantes'!C:F,4,0),0),1))</f>
        <v>0</v>
      </c>
      <c r="D109" s="16">
        <f t="shared" si="36"/>
        <v>0</v>
      </c>
      <c r="E109" s="17" t="str">
        <f t="shared" si="37"/>
        <v>0.00%</v>
      </c>
      <c r="F109" s="17" t="str">
        <f t="shared" si="38"/>
        <v>0.0%</v>
      </c>
      <c r="G109" s="15">
        <f t="shared" si="40"/>
        <v>0</v>
      </c>
      <c r="H109" s="18"/>
      <c r="I109" s="18">
        <f>IFERROR(VLOOKUP(A109,'[1]Lot All by Part'!T:Y,6,0),0)</f>
        <v>0</v>
      </c>
      <c r="J109" s="18"/>
      <c r="K109" s="19">
        <f>IFERROR(VLOOKUP($A109,'[1]OB Atendidas por Donantes'!A:N,3,0),0)</f>
        <v>0</v>
      </c>
      <c r="L109" s="19">
        <f>ROUNDUP(IF(A109=0,0,IFERROR(VLOOKUP($A109,'[1]Kilos Asignado del Donante'!A:O,3,0),0)),0)</f>
        <v>0</v>
      </c>
      <c r="M109" s="19">
        <f>IF(A109=0,0,IFERROR(SUMIFS([1]Poblacion!M:M,[1]Poblacion!J:J,'MASTER-2025'!A109),0))</f>
        <v>0</v>
      </c>
      <c r="N109" s="20">
        <f>IFERROR(VLOOKUP($A109,'[1]OB Atendidas por Donantes'!A:N,4,0),0)</f>
        <v>0</v>
      </c>
      <c r="O109" s="20">
        <f>ROUNDUP(IF(A109=0,0,IFERROR(VLOOKUP($A109,'[1]Kilos Asignado del Donante'!A:O,4,0),0)),0)</f>
        <v>0</v>
      </c>
      <c r="P109" s="20">
        <f>IF(A109=0,0,IFERROR(SUMIFS([1]Poblacion!N:N,[1]Poblacion!J:J,'MASTER-2025'!A109),0))</f>
        <v>0</v>
      </c>
      <c r="Q109" s="18">
        <f>IFERROR(VLOOKUP($A109,'[1]OB Atendidas por Donantes'!A:N,2,0),0)</f>
        <v>0</v>
      </c>
      <c r="R109" s="18">
        <f>ROUNDUP(ROUND(IF(A109=0,0,IFERROR(VLOOKUP($A109,'[1]Kilos Asignado del Donante'!A:O,9,0),0)),1),0)</f>
        <v>0</v>
      </c>
      <c r="S109" s="18">
        <f>IF(A109=0,0,IFERROR(SUMIFS([1]Poblacion!S:S,[1]Poblacion!J:J,'MASTER-2025'!A109),0))</f>
        <v>0</v>
      </c>
      <c r="T109" s="19">
        <f>IFERROR(VLOOKUP($A109,'[1]OB Atendidas por Donantes'!A:N,12,0),0)</f>
        <v>0</v>
      </c>
      <c r="U109" s="19">
        <f>ROUNDUP(IF(A109=0,0,IF(A109=0,0,IFERROR(VLOOKUP($A109,'[1]Kilos Asignado del Donante'!A:O,7,0),0))),0)</f>
        <v>0</v>
      </c>
      <c r="V109" s="19">
        <f>IF(A109=0,0,IFERROR(SUMIFS([1]Poblacion!Q:Q,[1]Poblacion!J:J,'MASTER-2025'!A109),0))</f>
        <v>0</v>
      </c>
      <c r="W109" s="20">
        <f>IFERROR(VLOOKUP($A109,'[1]OB Atendidas por Donantes'!A:N,10,0),0)</f>
        <v>0</v>
      </c>
      <c r="X109" s="20">
        <f>ROUNDUP(IF(A109=0,0,IFERROR(VLOOKUP($A109,'[1]Kilos Asignado del Donante'!A:N,5,0),0)),0)</f>
        <v>0</v>
      </c>
      <c r="Y109" s="20">
        <f>IF(A109=0,0,IFERROR(SUMIFS([1]Poblacion!O:O,[1]Poblacion!J:J,'MASTER-2025'!A109),0))</f>
        <v>0</v>
      </c>
      <c r="Z109" s="18">
        <f>IFERROR(VLOOKUP($A109,'[1]OB Atendidas por Donantes'!A:N,6,0),0)</f>
        <v>0</v>
      </c>
      <c r="AA109" s="18">
        <f>ROUNDUP(IF(A109=0,0,IFERROR(VLOOKUP($A109,'[1]Kilos Asignado del Donante'!A:N,11,0),0)),0)</f>
        <v>0</v>
      </c>
      <c r="AB109" s="18">
        <f>IF(A109=0,0,IFERROR(SUMIFS([1]Poblacion!U:U,[1]Poblacion!J:J,'MASTER-2025'!A109),0))</f>
        <v>0</v>
      </c>
      <c r="AC109" s="19">
        <f>IFERROR(VLOOKUP($A109,'[1]OB Atendidas por Donantes'!A:N,7,0),0)</f>
        <v>0</v>
      </c>
      <c r="AD109" s="19">
        <f>ROUNDUP(IF(A109=0,0,IFERROR(VLOOKUP($A109,'[1]Kilos Asignado del Donante'!A:N,8,0),0)),0)</f>
        <v>0</v>
      </c>
      <c r="AE109" s="19">
        <f>IF(A109=0,0,IFERROR(SUMIFS([1]Poblacion!R:R,[1]Poblacion!J:J,'MASTER-2025'!A109),0))</f>
        <v>0</v>
      </c>
      <c r="AF109" s="20">
        <f>IFERROR(VLOOKUP($A109,'[1]OB Atendidas por Donantes'!A:N,8,0),0)</f>
        <v>0</v>
      </c>
      <c r="AG109" s="20">
        <f>ROUNDUP(IF(A109=0,0,IFERROR(VLOOKUP($A109,'[1]Kilos Asignado del Donante'!A:N,6,0),0)),0)</f>
        <v>0</v>
      </c>
      <c r="AH109" s="20">
        <f>IF(A109=0,0,IFERROR(SUMIFS([1]Poblacion!P:P,[1]Poblacion!J:J,'MASTER-2025'!A109),0))</f>
        <v>0</v>
      </c>
      <c r="AI109" s="18">
        <f>IFERROR(VLOOKUP($A109,'[1]OB Atendidas por Donantes'!A:N,9,0),0)</f>
        <v>0</v>
      </c>
      <c r="AJ109" s="18">
        <f>ROUNDUP(IF(A109=0,0,IFERROR(VLOOKUP($A109,'[1]Kilos Asignado del Donante'!A:N,12,0),0)),0)</f>
        <v>0</v>
      </c>
      <c r="AK109" s="18">
        <f>IF(A109=0,0,IFERROR(SUMIFS([1]Poblacion!V:V,[1]Poblacion!J:J,'MASTER-2025'!A109),0))</f>
        <v>0</v>
      </c>
      <c r="AL109" s="19">
        <f>IFERROR(VLOOKUP($A109,'[1]OB Atendidas por Donantes'!A:N,16,0),0)</f>
        <v>0</v>
      </c>
      <c r="AM109" s="19">
        <f>ROUNDUP(IF(A109=0,0,IFERROR(VLOOKUP($A109,'[1]Kilos Asignado del Donante'!A:O,16,0),0)),0)</f>
        <v>0</v>
      </c>
      <c r="AN109" s="19">
        <f>IF(A109=0,0,IFERROR(SUMIFS([1]Poblacion!Z:Z,[1]Poblacion!J:J,'MASTER-2025'!A109),0))</f>
        <v>0</v>
      </c>
      <c r="AO109" s="20">
        <f>IFERROR(VLOOKUP($A109,'[1]OB Atendidas por Donantes'!A:N,11,0),0)</f>
        <v>0</v>
      </c>
      <c r="AP109" s="20">
        <f>ROUNDUP(IF(A109=0,0,IFERROR(VLOOKUP($A109,'[1]Kilos Asignado del Donante'!A:N,13,0),0)),0)</f>
        <v>0</v>
      </c>
      <c r="AQ109" s="20">
        <f>IF(A109=0,0,IFERROR(SUMIFS([1]Poblacion!W:W,[1]Poblacion!J:J,'MASTER-2025'!A109),0))</f>
        <v>0</v>
      </c>
      <c r="AR109" s="18">
        <f>IFERROR(VLOOKUP($A109,'[1]OB Atendidas por Donantes'!A:N,5,0),0)</f>
        <v>0</v>
      </c>
      <c r="AS109" s="18">
        <f>ROUNDUP(IF(A109=0,0,IFERROR(VLOOKUP($A109,'[1]Kilos Asignado del Donante'!A:N,10,0),0)),0)</f>
        <v>0</v>
      </c>
      <c r="AT109" s="18">
        <f>IF(A109=0,0,IFERROR(SUMIFS([1]Poblacion!T:T,[1]Poblacion!J:J,'MASTER-2025'!A109),0))</f>
        <v>0</v>
      </c>
      <c r="AU109" s="19">
        <f>IFERROR(VLOOKUP($A109,'[1]OB Atendidas por Donantes'!A:N,13,0),0)</f>
        <v>0</v>
      </c>
      <c r="AV109" s="19">
        <f>ROUNDUP(IF(A109=0,0,IFERROR(VLOOKUP($A109,'[1]Kilos Asignado del Donante'!A:N,14,0),0)),0)</f>
        <v>0</v>
      </c>
      <c r="AW109" s="19">
        <f>IF(A109=0,0,IFERROR(SUMIFS([1]Poblacion!X:X,[1]Poblacion!J:J,'MASTER-2025'!A109),0))</f>
        <v>0</v>
      </c>
      <c r="AX109" s="20">
        <f>IFERROR(VLOOKUP($A109,'[1]OB Atendidas por Donantes'!A:N,16,0),0)</f>
        <v>0</v>
      </c>
      <c r="AY109" s="20">
        <f>ROUNDUP(IF(A109=0,0,IFERROR(VLOOKUP($A109,'[1]Kilos Asignado del Donante'!A:O,16,0),0)),0)</f>
        <v>0</v>
      </c>
      <c r="AZ109" s="20">
        <f>IF(A109=0,0,IFERROR(SUMIFS([1]Poblacion!Y:Y,[1]Poblacion!J:J,'MASTER-2025'!A109),0))</f>
        <v>0</v>
      </c>
      <c r="BA109" s="21">
        <f>+H109+K109+N109+Q109+T109+W109+Z109+AC109+AF109+AI109+AL109+AO109+AR109+AU109+AX109</f>
        <v>0</v>
      </c>
      <c r="BB109" s="21">
        <f t="shared" ref="BB109:BB130" si="42">INT(I109+L109+O109+R109+U109+X109+AA109+AD109+AG109+AJ109+AM109+AP109+AS109+AV109+AY109)</f>
        <v>0</v>
      </c>
      <c r="BC109" s="21">
        <f t="shared" si="39"/>
        <v>0</v>
      </c>
      <c r="BD109" s="21">
        <f t="shared" si="41"/>
        <v>0</v>
      </c>
      <c r="BE109" s="22" t="e">
        <f>IF(A109=0,0,SUMIFS([1]Poblacion!C:C,[1]Poblacion!A:A,'MASTER-2025'!A109))</f>
        <v>#VALUE!</v>
      </c>
      <c r="BF109" s="22" t="e">
        <f>IF(A109=0,0,SUMIFS([1]Poblacion!D:D,[1]Poblacion!A:A,'MASTER-2025'!A109))</f>
        <v>#VALUE!</v>
      </c>
      <c r="BG109" s="22" t="e">
        <f>IF(A109=0,0,SUMIFS([1]Poblacion!E:E,[1]Poblacion!A:A,'MASTER-2025'!A109))</f>
        <v>#VALUE!</v>
      </c>
      <c r="BH109" s="22" t="e">
        <f>IF(A109=0,0,SUMIFS([1]Poblacion!F:F,[1]Poblacion!A:A,'MASTER-2025'!A109))</f>
        <v>#VALUE!</v>
      </c>
      <c r="BI109" s="22" t="e">
        <f t="shared" si="35"/>
        <v>#VALUE!</v>
      </c>
      <c r="BJ109" s="23" t="e">
        <f t="shared" si="30"/>
        <v>#VALUE!</v>
      </c>
      <c r="BK109" s="22" t="e">
        <f>IF(A109=0,0,SUMIFS([1]Poblacion!G:G,[1]Poblacion!A:A,'MASTER-2025'!A109))</f>
        <v>#VALUE!</v>
      </c>
      <c r="BL109" s="24" cm="1">
        <f t="array" ref="BL109:BW109">IFERROR(VLOOKUP(A109,'[1]Acum-OB-kg-pob-25'!A:AQ,{3,4,5,6,7,8,9,10,11,12,13,14},0),0)</f>
        <v>0</v>
      </c>
      <c r="BM109" s="24">
        <v>0</v>
      </c>
      <c r="BN109" s="24">
        <v>0</v>
      </c>
      <c r="BO109" s="24">
        <v>0</v>
      </c>
      <c r="BP109" s="24">
        <v>0</v>
      </c>
      <c r="BQ109" s="24">
        <v>0</v>
      </c>
      <c r="BR109" s="24">
        <v>0</v>
      </c>
      <c r="BS109" s="24">
        <v>0</v>
      </c>
      <c r="BT109" s="24">
        <v>0</v>
      </c>
      <c r="BU109" s="24">
        <v>0</v>
      </c>
      <c r="BV109" s="24">
        <v>0</v>
      </c>
      <c r="BW109" s="24">
        <v>0</v>
      </c>
      <c r="BX109" s="24">
        <f t="shared" si="31"/>
        <v>0</v>
      </c>
      <c r="BY109" s="25" cm="1">
        <f t="array" ref="BY109:CJ109">IFERROR(VLOOKUP(A109,'[1]Acum-OB-kg-pob-25'!A:AQ,{17,18,19,20,21,22,23,24,25,26,27,28},0),0)</f>
        <v>0</v>
      </c>
      <c r="BZ109" s="25">
        <v>0</v>
      </c>
      <c r="CA109" s="25">
        <v>0</v>
      </c>
      <c r="CB109" s="25">
        <v>0</v>
      </c>
      <c r="CC109" s="25">
        <v>0</v>
      </c>
      <c r="CD109" s="25">
        <v>0</v>
      </c>
      <c r="CE109" s="25">
        <v>0</v>
      </c>
      <c r="CF109" s="25">
        <v>0</v>
      </c>
      <c r="CG109" s="25">
        <v>0</v>
      </c>
      <c r="CH109" s="25">
        <v>0</v>
      </c>
      <c r="CI109" s="25">
        <v>0</v>
      </c>
      <c r="CJ109" s="25">
        <v>0</v>
      </c>
      <c r="CK109" s="25">
        <f t="shared" si="32"/>
        <v>0</v>
      </c>
      <c r="CL109" s="26" cm="1">
        <f t="array" ref="CL109:CW109">IFERROR(VLOOKUP(A109,'[1]Acum-OB-kg-pob-25'!A:AQ,{31,32,33,34,35,36,37,38,39,40,41,42},0),0)</f>
        <v>0</v>
      </c>
      <c r="CM109" s="26">
        <v>0</v>
      </c>
      <c r="CN109" s="26">
        <v>0</v>
      </c>
      <c r="CO109" s="26">
        <v>0</v>
      </c>
      <c r="CP109" s="26">
        <v>0</v>
      </c>
      <c r="CQ109" s="26">
        <v>0</v>
      </c>
      <c r="CR109" s="26">
        <v>0</v>
      </c>
      <c r="CS109" s="26">
        <v>0</v>
      </c>
      <c r="CT109" s="26">
        <v>0</v>
      </c>
      <c r="CU109" s="26">
        <v>0</v>
      </c>
      <c r="CV109" s="26">
        <v>0</v>
      </c>
      <c r="CW109" s="26">
        <v>0</v>
      </c>
      <c r="CX109" s="26">
        <f t="shared" si="33"/>
        <v>0</v>
      </c>
      <c r="CY109" s="14" t="str">
        <f>IF(A109=0,0,IFERROR(VLOOKUP(A109,'[1]Info Donantes'!C:F,2,0),"Sin Contacto"))</f>
        <v>Sin Contacto</v>
      </c>
      <c r="CZ109" s="14" t="str">
        <f>IF(A109=0,0,IFERROR(VLOOKUP(A109,'[1]Info Donantes'!C:F,3,0),"Sin Correo"))</f>
        <v>Sin Correo</v>
      </c>
      <c r="DA109" s="14" t="str">
        <f>IF(A109=0,0,IFERROR(VLOOKUP(A109,'[1]Info Donantes'!C:F,4,0),"Sin Telefono"))</f>
        <v>Sin Telefono</v>
      </c>
      <c r="DB109" s="14" t="str">
        <f>IF(A109=0,0,"Reporte de Trazabiidad"&amp;" - "&amp;'[1]Resumen Donantes'!$C$2&amp;" - "&amp;A109&amp;"")</f>
        <v>Reporte de Trazabiidad -  - IMPORTADORA AMADAHY S.A.</v>
      </c>
    </row>
    <row r="110" spans="1:106" x14ac:dyDescent="0.55000000000000004">
      <c r="A110" s="32" t="s">
        <v>214</v>
      </c>
      <c r="B110" s="15">
        <f>INT(IFERROR(VLOOKUP(A110,'[1]Resumen Donantes'!C:F,3,0),0))</f>
        <v>0</v>
      </c>
      <c r="C110" s="15">
        <f>INT(ROUND(IFERROR(VLOOKUP(A110,'[1]Resumen Donantes'!C:F,4,0),0),1))</f>
        <v>366</v>
      </c>
      <c r="D110" s="16">
        <f t="shared" si="36"/>
        <v>366</v>
      </c>
      <c r="E110" s="17" t="str">
        <f t="shared" si="37"/>
        <v>100.00%</v>
      </c>
      <c r="F110" s="17" t="str">
        <f t="shared" si="38"/>
        <v>0.0%</v>
      </c>
      <c r="G110" s="15">
        <f t="shared" si="40"/>
        <v>1098</v>
      </c>
      <c r="H110" s="18"/>
      <c r="I110" s="18">
        <f>IFERROR(VLOOKUP(A110,'[1]Lot All by Part'!T:Y,6,0),0)</f>
        <v>0</v>
      </c>
      <c r="J110" s="18"/>
      <c r="K110" s="19">
        <f>IFERROR(VLOOKUP($A110,'[1]OB Atendidas por Donantes'!A:N,3,0),0)</f>
        <v>0</v>
      </c>
      <c r="L110" s="19">
        <f>ROUNDUP(IF(A110=0,0,IFERROR(VLOOKUP($A110,'[1]Kilos Asignado del Donante'!A:O,3,0),0)),0)</f>
        <v>0</v>
      </c>
      <c r="M110" s="19">
        <f>IF(A110=0,0,IFERROR(SUMIFS([1]Poblacion!M:M,[1]Poblacion!J:J,'MASTER-2025'!A110),0))</f>
        <v>0</v>
      </c>
      <c r="N110" s="20">
        <f>IFERROR(VLOOKUP($A110,'[1]OB Atendidas por Donantes'!A:N,4,0),0)</f>
        <v>1</v>
      </c>
      <c r="O110" s="20">
        <f>ROUNDUP(IF(A110=0,0,IFERROR(VLOOKUP($A110,'[1]Kilos Asignado del Donante'!A:O,4,0),0)),0)</f>
        <v>35</v>
      </c>
      <c r="P110" s="20">
        <f>IF(A110=0,0,IFERROR(SUMIFS([1]Poblacion!N:N,[1]Poblacion!J:J,'MASTER-2025'!A110),0))</f>
        <v>0</v>
      </c>
      <c r="Q110" s="18">
        <f>IFERROR(VLOOKUP($A110,'[1]OB Atendidas por Donantes'!A:N,2,0),0)</f>
        <v>0</v>
      </c>
      <c r="R110" s="18">
        <f>ROUNDUP(ROUND(IF(A110=0,0,IFERROR(VLOOKUP($A110,'[1]Kilos Asignado del Donante'!A:O,9,0),0)),1),0)</f>
        <v>0</v>
      </c>
      <c r="S110" s="18">
        <f>IF(A110=0,0,IFERROR(SUMIFS([1]Poblacion!S:S,[1]Poblacion!J:J,'MASTER-2025'!A110),0))</f>
        <v>0</v>
      </c>
      <c r="T110" s="19">
        <f>IFERROR(VLOOKUP($A110,'[1]OB Atendidas por Donantes'!A:N,12,0),0)</f>
        <v>0</v>
      </c>
      <c r="U110" s="19">
        <f>ROUNDUP(IF(A110=0,0,IF(A110=0,0,IFERROR(VLOOKUP($A110,'[1]Kilos Asignado del Donante'!A:O,7,0),0))),0)</f>
        <v>0</v>
      </c>
      <c r="V110" s="19">
        <f>IF(A110=0,0,IFERROR(SUMIFS([1]Poblacion!Q:Q,[1]Poblacion!J:J,'MASTER-2025'!A110),0))</f>
        <v>0</v>
      </c>
      <c r="W110" s="20">
        <f>IFERROR(VLOOKUP($A110,'[1]OB Atendidas por Donantes'!A:N,10,0),0)</f>
        <v>0</v>
      </c>
      <c r="X110" s="20">
        <f>ROUNDUP(IF(A110=0,0,IFERROR(VLOOKUP($A110,'[1]Kilos Asignado del Donante'!A:N,5,0),0)),0)</f>
        <v>0</v>
      </c>
      <c r="Y110" s="20">
        <f>IF(A110=0,0,IFERROR(SUMIFS([1]Poblacion!O:O,[1]Poblacion!J:J,'MASTER-2025'!A110),0))</f>
        <v>0</v>
      </c>
      <c r="Z110" s="18">
        <f>IFERROR(VLOOKUP($A110,'[1]OB Atendidas por Donantes'!A:N,6,0),0)</f>
        <v>2</v>
      </c>
      <c r="AA110" s="18">
        <f>ROUNDUP(IF(A110=0,0,IFERROR(VLOOKUP($A110,'[1]Kilos Asignado del Donante'!A:N,11,0),0)),0)</f>
        <v>43</v>
      </c>
      <c r="AB110" s="18">
        <f>IF(A110=0,0,IFERROR(SUMIFS([1]Poblacion!U:U,[1]Poblacion!J:J,'MASTER-2025'!A110),0))</f>
        <v>0</v>
      </c>
      <c r="AC110" s="19">
        <f>IFERROR(VLOOKUP($A110,'[1]OB Atendidas por Donantes'!A:N,7,0),0)</f>
        <v>0</v>
      </c>
      <c r="AD110" s="19">
        <f>ROUNDUP(IF(A110=0,0,IFERROR(VLOOKUP($A110,'[1]Kilos Asignado del Donante'!A:N,8,0),0)),0)</f>
        <v>0</v>
      </c>
      <c r="AE110" s="19">
        <f>IF(A110=0,0,IFERROR(SUMIFS([1]Poblacion!R:R,[1]Poblacion!J:J,'MASTER-2025'!A110),0))</f>
        <v>0</v>
      </c>
      <c r="AF110" s="20">
        <f>IFERROR(VLOOKUP($A110,'[1]OB Atendidas por Donantes'!A:N,8,0),0)</f>
        <v>0</v>
      </c>
      <c r="AG110" s="20">
        <f>ROUNDUP(IF(A110=0,0,IFERROR(VLOOKUP($A110,'[1]Kilos Asignado del Donante'!A:N,6,0),0)),0)</f>
        <v>0</v>
      </c>
      <c r="AH110" s="20">
        <f>IF(A110=0,0,IFERROR(SUMIFS([1]Poblacion!P:P,[1]Poblacion!J:J,'MASTER-2025'!A110),0))</f>
        <v>0</v>
      </c>
      <c r="AI110" s="18">
        <f>IFERROR(VLOOKUP($A110,'[1]OB Atendidas por Donantes'!A:N,9,0),0)</f>
        <v>1</v>
      </c>
      <c r="AJ110" s="18">
        <f>ROUNDUP(IF(A110=0,0,IFERROR(VLOOKUP($A110,'[1]Kilos Asignado del Donante'!A:N,12,0),0)),0)</f>
        <v>5</v>
      </c>
      <c r="AK110" s="18">
        <f>IF(A110=0,0,IFERROR(SUMIFS([1]Poblacion!V:V,[1]Poblacion!J:J,'MASTER-2025'!A110),0))</f>
        <v>0</v>
      </c>
      <c r="AL110" s="19">
        <f>IFERROR(VLOOKUP($A110,'[1]OB Atendidas por Donantes'!A:N,16,0),0)</f>
        <v>0</v>
      </c>
      <c r="AM110" s="19">
        <f>ROUNDUP(IF(A110=0,0,IFERROR(VLOOKUP($A110,'[1]Kilos Asignado del Donante'!A:O,16,0),0)),0)</f>
        <v>0</v>
      </c>
      <c r="AN110" s="19">
        <f>IF(A110=0,0,IFERROR(SUMIFS([1]Poblacion!Z:Z,[1]Poblacion!J:J,'MASTER-2025'!A110),0))</f>
        <v>0</v>
      </c>
      <c r="AO110" s="20">
        <f>IFERROR(VLOOKUP($A110,'[1]OB Atendidas por Donantes'!A:N,11,0),0)</f>
        <v>2</v>
      </c>
      <c r="AP110" s="20">
        <f>ROUNDUP(IF(A110=0,0,IFERROR(VLOOKUP($A110,'[1]Kilos Asignado del Donante'!A:N,13,0),0)),0)</f>
        <v>10</v>
      </c>
      <c r="AQ110" s="20">
        <f>IF(A110=0,0,IFERROR(SUMIFS([1]Poblacion!W:W,[1]Poblacion!J:J,'MASTER-2025'!A110),0))</f>
        <v>0</v>
      </c>
      <c r="AR110" s="18">
        <f>IFERROR(VLOOKUP($A110,'[1]OB Atendidas por Donantes'!A:N,5,0),0)</f>
        <v>9</v>
      </c>
      <c r="AS110" s="18">
        <f>ROUNDUP(IF(A110=0,0,IFERROR(VLOOKUP($A110,'[1]Kilos Asignado del Donante'!A:N,10,0),0)),0)</f>
        <v>190</v>
      </c>
      <c r="AT110" s="18">
        <f>IF(A110=0,0,IFERROR(SUMIFS([1]Poblacion!T:T,[1]Poblacion!J:J,'MASTER-2025'!A110),0))</f>
        <v>0</v>
      </c>
      <c r="AU110" s="19">
        <f>IFERROR(VLOOKUP($A110,'[1]OB Atendidas por Donantes'!A:N,13,0),0)</f>
        <v>0</v>
      </c>
      <c r="AV110" s="19">
        <f>ROUNDUP(IF(A110=0,0,IFERROR(VLOOKUP($A110,'[1]Kilos Asignado del Donante'!A:N,14,0),0)),0)</f>
        <v>0</v>
      </c>
      <c r="AW110" s="19">
        <f>IF(A110=0,0,IFERROR(SUMIFS([1]Poblacion!X:X,[1]Poblacion!J:J,'MASTER-2025'!A110),0))</f>
        <v>0</v>
      </c>
      <c r="AX110" s="20">
        <f>IFERROR(VLOOKUP($A110,'[1]OB Atendidas por Donantes'!A:N,16,0),0)</f>
        <v>0</v>
      </c>
      <c r="AY110" s="20">
        <f>ROUNDUP(IF(A110=0,0,IFERROR(VLOOKUP($A110,'[1]Kilos Asignado del Donante'!A:O,16,0),0)),0)</f>
        <v>0</v>
      </c>
      <c r="AZ110" s="20">
        <f>IF(A110=0,0,IFERROR(SUMIFS([1]Poblacion!Y:Y,[1]Poblacion!J:J,'MASTER-2025'!A110),0))</f>
        <v>0</v>
      </c>
      <c r="BA110" s="21">
        <f>+H110+K110+N110+Q110+T110+W110+Z110+AC110+AF110+AI110+AL110+AO110+AR110+AU110+AX110</f>
        <v>15</v>
      </c>
      <c r="BB110" s="21">
        <f t="shared" si="42"/>
        <v>283</v>
      </c>
      <c r="BC110" s="21">
        <f t="shared" si="39"/>
        <v>35</v>
      </c>
      <c r="BD110" s="21">
        <f t="shared" si="41"/>
        <v>0</v>
      </c>
      <c r="BE110" s="22" t="e">
        <f>IF(A110=0,0,SUMIFS([1]Poblacion!C:C,[1]Poblacion!A:A,'MASTER-2025'!A110))</f>
        <v>#VALUE!</v>
      </c>
      <c r="BF110" s="22" t="e">
        <f>IF(A110=0,0,SUMIFS([1]Poblacion!D:D,[1]Poblacion!A:A,'MASTER-2025'!A110))</f>
        <v>#VALUE!</v>
      </c>
      <c r="BG110" s="22" t="e">
        <f>IF(A110=0,0,SUMIFS([1]Poblacion!E:E,[1]Poblacion!A:A,'MASTER-2025'!A110))</f>
        <v>#VALUE!</v>
      </c>
      <c r="BH110" s="22" t="e">
        <f>IF(A110=0,0,SUMIFS([1]Poblacion!F:F,[1]Poblacion!A:A,'MASTER-2025'!A110))</f>
        <v>#VALUE!</v>
      </c>
      <c r="BI110" s="22" t="e">
        <f t="shared" si="35"/>
        <v>#VALUE!</v>
      </c>
      <c r="BJ110" s="23" t="e">
        <f t="shared" si="30"/>
        <v>#VALUE!</v>
      </c>
      <c r="BK110" s="22" t="e">
        <f>IF(A110=0,0,SUMIFS([1]Poblacion!G:G,[1]Poblacion!A:A,'MASTER-2025'!A110))</f>
        <v>#VALUE!</v>
      </c>
      <c r="BL110" s="24" cm="1">
        <f t="array" ref="BL110:BW110">IFERROR(VLOOKUP(A110,'[1]Acum-OB-kg-pob-25'!A:AQ,{3,4,5,6,7,8,9,10,11,12,13,14},0),0)</f>
        <v>19</v>
      </c>
      <c r="BM110" s="24">
        <v>17</v>
      </c>
      <c r="BN110" s="24">
        <v>15</v>
      </c>
      <c r="BO110" s="24">
        <v>0</v>
      </c>
      <c r="BP110" s="24">
        <v>0</v>
      </c>
      <c r="BQ110" s="24">
        <v>0</v>
      </c>
      <c r="BR110" s="24">
        <v>0</v>
      </c>
      <c r="BS110" s="24">
        <v>0</v>
      </c>
      <c r="BT110" s="24">
        <v>0</v>
      </c>
      <c r="BU110" s="24">
        <v>0</v>
      </c>
      <c r="BV110" s="24">
        <v>0</v>
      </c>
      <c r="BW110" s="24">
        <v>0</v>
      </c>
      <c r="BX110" s="24">
        <f t="shared" si="31"/>
        <v>51</v>
      </c>
      <c r="BY110" s="25" cm="1">
        <f t="array" ref="BY110:CJ110">IFERROR(VLOOKUP(A110,'[1]Acum-OB-kg-pob-25'!A:AQ,{17,18,19,20,21,22,23,24,25,26,27,28},0),0)</f>
        <v>345</v>
      </c>
      <c r="BZ110" s="25">
        <v>149</v>
      </c>
      <c r="CA110" s="25">
        <v>366</v>
      </c>
      <c r="CB110" s="25">
        <v>0</v>
      </c>
      <c r="CC110" s="25">
        <v>0</v>
      </c>
      <c r="CD110" s="25">
        <v>0</v>
      </c>
      <c r="CE110" s="25">
        <v>0</v>
      </c>
      <c r="CF110" s="25">
        <v>0</v>
      </c>
      <c r="CG110" s="25">
        <v>0</v>
      </c>
      <c r="CH110" s="25">
        <v>0</v>
      </c>
      <c r="CI110" s="25">
        <v>0</v>
      </c>
      <c r="CJ110" s="25">
        <v>0</v>
      </c>
      <c r="CK110" s="25">
        <f t="shared" si="32"/>
        <v>860</v>
      </c>
      <c r="CL110" s="26" cm="1">
        <f t="array" ref="CL110:CW110">IFERROR(VLOOKUP(A110,'[1]Acum-OB-kg-pob-25'!A:AQ,{31,32,33,34,35,36,37,38,39,40,41,42},0),0)</f>
        <v>4719</v>
      </c>
      <c r="CM110" s="26">
        <v>2640</v>
      </c>
      <c r="CN110" s="26">
        <v>2543</v>
      </c>
      <c r="CO110" s="26">
        <v>0</v>
      </c>
      <c r="CP110" s="26">
        <v>0</v>
      </c>
      <c r="CQ110" s="26">
        <v>0</v>
      </c>
      <c r="CR110" s="26">
        <v>0</v>
      </c>
      <c r="CS110" s="26">
        <v>0</v>
      </c>
      <c r="CT110" s="26">
        <v>0</v>
      </c>
      <c r="CU110" s="26">
        <v>0</v>
      </c>
      <c r="CV110" s="26">
        <v>0</v>
      </c>
      <c r="CW110" s="26">
        <v>0</v>
      </c>
      <c r="CX110" s="26">
        <f t="shared" si="33"/>
        <v>9902</v>
      </c>
      <c r="CY110" s="14" t="str">
        <f>IF(A110=0,0,IFERROR(VLOOKUP(A110,'[1]Info Donantes'!C:F,2,0),"Sin Contacto"))</f>
        <v>Sin Contacto</v>
      </c>
      <c r="CZ110" s="14" t="str">
        <f>IF(A110=0,0,IFERROR(VLOOKUP(A110,'[1]Info Donantes'!C:F,3,0),"Sin Correo"))</f>
        <v>Sin Correo</v>
      </c>
      <c r="DA110" s="14" t="str">
        <f>IF(A110=0,0,IFERROR(VLOOKUP(A110,'[1]Info Donantes'!C:F,4,0),"Sin Telefono"))</f>
        <v>Sin Telefono</v>
      </c>
      <c r="DB110" s="14" t="str">
        <f>IF(A110=0,0,"Reporte de Trazabiidad"&amp;" - "&amp;'[1]Resumen Donantes'!$C$2&amp;" - "&amp;A110&amp;"")</f>
        <v>Reporte de Trazabiidad -  - LA CHOLITA S.A.</v>
      </c>
    </row>
    <row r="111" spans="1:106" x14ac:dyDescent="0.55000000000000004">
      <c r="A111" s="32" t="s">
        <v>215</v>
      </c>
      <c r="B111" s="15">
        <f>INT(IFERROR(VLOOKUP(A111,'[1]Resumen Donantes'!C:F,3,0),0))</f>
        <v>0</v>
      </c>
      <c r="C111" s="15">
        <f>INT(ROUND(IFERROR(VLOOKUP(A111,'[1]Resumen Donantes'!C:F,4,0),0),1))</f>
        <v>0</v>
      </c>
      <c r="D111" s="16">
        <f t="shared" si="36"/>
        <v>0</v>
      </c>
      <c r="E111" s="17" t="str">
        <f t="shared" si="37"/>
        <v>0.00%</v>
      </c>
      <c r="F111" s="17" t="str">
        <f t="shared" si="38"/>
        <v>0.0%</v>
      </c>
      <c r="G111" s="15">
        <f t="shared" si="40"/>
        <v>0</v>
      </c>
      <c r="H111" s="18"/>
      <c r="I111" s="18">
        <f>IFERROR(VLOOKUP(A111,'[1]Lot All by Part'!T:Y,6,0),0)</f>
        <v>0</v>
      </c>
      <c r="J111" s="18"/>
      <c r="K111" s="19">
        <f>IFERROR(VLOOKUP($A111,'[1]OB Atendidas por Donantes'!A:N,3,0),0)</f>
        <v>0</v>
      </c>
      <c r="L111" s="19">
        <f>ROUNDUP(IF(A111=0,0,IFERROR(VLOOKUP($A111,'[1]Kilos Asignado del Donante'!A:O,3,0),0)),0)</f>
        <v>0</v>
      </c>
      <c r="M111" s="19">
        <f>IF(A111=0,0,IFERROR(SUMIFS([1]Poblacion!M:M,[1]Poblacion!J:J,'MASTER-2025'!A111),0))</f>
        <v>0</v>
      </c>
      <c r="N111" s="20">
        <f>IFERROR(VLOOKUP($A111,'[1]OB Atendidas por Donantes'!A:N,4,0),0)</f>
        <v>0</v>
      </c>
      <c r="O111" s="20">
        <f>ROUNDUP(IF(A111=0,0,IFERROR(VLOOKUP($A111,'[1]Kilos Asignado del Donante'!A:O,4,0),0)),0)</f>
        <v>0</v>
      </c>
      <c r="P111" s="20">
        <f>IF(A111=0,0,IFERROR(SUMIFS([1]Poblacion!N:N,[1]Poblacion!J:J,'MASTER-2025'!A111),0))</f>
        <v>0</v>
      </c>
      <c r="Q111" s="18">
        <f>IFERROR(VLOOKUP($A111,'[1]OB Atendidas por Donantes'!A:N,2,0),0)</f>
        <v>0</v>
      </c>
      <c r="R111" s="18">
        <f>ROUNDUP(ROUND(IF(A111=0,0,IFERROR(VLOOKUP($A111,'[1]Kilos Asignado del Donante'!A:O,9,0),0)),1),0)</f>
        <v>0</v>
      </c>
      <c r="S111" s="18">
        <f>IF(A111=0,0,IFERROR(SUMIFS([1]Poblacion!S:S,[1]Poblacion!J:J,'MASTER-2025'!A111),0))</f>
        <v>0</v>
      </c>
      <c r="T111" s="19">
        <f>IFERROR(VLOOKUP($A111,'[1]OB Atendidas por Donantes'!A:N,12,0),0)</f>
        <v>0</v>
      </c>
      <c r="U111" s="19">
        <f>ROUNDUP(IF(A111=0,0,IF(A111=0,0,IFERROR(VLOOKUP($A111,'[1]Kilos Asignado del Donante'!A:O,7,0),0))),0)</f>
        <v>0</v>
      </c>
      <c r="V111" s="19">
        <f>IF(A111=0,0,IFERROR(SUMIFS([1]Poblacion!Q:Q,[1]Poblacion!J:J,'MASTER-2025'!A111),0))</f>
        <v>0</v>
      </c>
      <c r="W111" s="20">
        <f>IFERROR(VLOOKUP($A111,'[1]OB Atendidas por Donantes'!A:N,10,0),0)</f>
        <v>0</v>
      </c>
      <c r="X111" s="20">
        <f>ROUNDUP(IF(A111=0,0,IFERROR(VLOOKUP($A111,'[1]Kilos Asignado del Donante'!A:N,5,0),0)),0)</f>
        <v>0</v>
      </c>
      <c r="Y111" s="20">
        <f>IF(A111=0,0,IFERROR(SUMIFS([1]Poblacion!O:O,[1]Poblacion!J:J,'MASTER-2025'!A111),0))</f>
        <v>0</v>
      </c>
      <c r="Z111" s="18">
        <f>IFERROR(VLOOKUP($A111,'[1]OB Atendidas por Donantes'!A:N,6,0),0)</f>
        <v>0</v>
      </c>
      <c r="AA111" s="18">
        <f>ROUNDUP(IF(A111=0,0,IFERROR(VLOOKUP($A111,'[1]Kilos Asignado del Donante'!A:N,11,0),0)),0)</f>
        <v>0</v>
      </c>
      <c r="AB111" s="18">
        <f>IF(A111=0,0,IFERROR(SUMIFS([1]Poblacion!U:U,[1]Poblacion!J:J,'MASTER-2025'!A111),0))</f>
        <v>0</v>
      </c>
      <c r="AC111" s="19">
        <f>IFERROR(VLOOKUP($A111,'[1]OB Atendidas por Donantes'!A:N,7,0),0)</f>
        <v>0</v>
      </c>
      <c r="AD111" s="19">
        <f>ROUNDUP(IF(A111=0,0,IFERROR(VLOOKUP($A111,'[1]Kilos Asignado del Donante'!A:N,8,0),0)),0)</f>
        <v>0</v>
      </c>
      <c r="AE111" s="19">
        <f>IF(A111=0,0,IFERROR(SUMIFS([1]Poblacion!R:R,[1]Poblacion!J:J,'MASTER-2025'!A111),0))</f>
        <v>0</v>
      </c>
      <c r="AF111" s="20">
        <f>IFERROR(VLOOKUP($A111,'[1]OB Atendidas por Donantes'!A:N,8,0),0)</f>
        <v>0</v>
      </c>
      <c r="AG111" s="20">
        <f>ROUNDUP(IF(A111=0,0,IFERROR(VLOOKUP($A111,'[1]Kilos Asignado del Donante'!A:N,6,0),0)),0)</f>
        <v>0</v>
      </c>
      <c r="AH111" s="20">
        <f>IF(A111=0,0,IFERROR(SUMIFS([1]Poblacion!P:P,[1]Poblacion!J:J,'MASTER-2025'!A111),0))</f>
        <v>0</v>
      </c>
      <c r="AI111" s="18">
        <f>IFERROR(VLOOKUP($A111,'[1]OB Atendidas por Donantes'!A:N,9,0),0)</f>
        <v>0</v>
      </c>
      <c r="AJ111" s="18">
        <f>ROUNDUP(IF(A111=0,0,IFERROR(VLOOKUP($A111,'[1]Kilos Asignado del Donante'!A:N,12,0),0)),0)</f>
        <v>0</v>
      </c>
      <c r="AK111" s="18">
        <f>IF(A111=0,0,IFERROR(SUMIFS([1]Poblacion!V:V,[1]Poblacion!J:J,'MASTER-2025'!A111),0))</f>
        <v>0</v>
      </c>
      <c r="AL111" s="19">
        <f>IFERROR(VLOOKUP($A111,'[1]OB Atendidas por Donantes'!A:N,16,0),0)</f>
        <v>0</v>
      </c>
      <c r="AM111" s="19">
        <f>ROUNDUP(IF(A111=0,0,IFERROR(VLOOKUP($A111,'[1]Kilos Asignado del Donante'!A:O,16,0),0)),0)</f>
        <v>0</v>
      </c>
      <c r="AN111" s="19">
        <f>IF(A111=0,0,IFERROR(SUMIFS([1]Poblacion!Z:Z,[1]Poblacion!J:J,'MASTER-2025'!A111),0))</f>
        <v>0</v>
      </c>
      <c r="AO111" s="20">
        <f>IFERROR(VLOOKUP($A111,'[1]OB Atendidas por Donantes'!A:N,11,0),0)</f>
        <v>0</v>
      </c>
      <c r="AP111" s="20">
        <f>ROUNDUP(IF(A111=0,0,IFERROR(VLOOKUP($A111,'[1]Kilos Asignado del Donante'!A:N,13,0),0)),0)</f>
        <v>0</v>
      </c>
      <c r="AQ111" s="20">
        <f>IF(A111=0,0,IFERROR(SUMIFS([1]Poblacion!W:W,[1]Poblacion!J:J,'MASTER-2025'!A111),0))</f>
        <v>0</v>
      </c>
      <c r="AR111" s="18">
        <f>IFERROR(VLOOKUP($A111,'[1]OB Atendidas por Donantes'!A:N,5,0),0)</f>
        <v>0</v>
      </c>
      <c r="AS111" s="18">
        <f>ROUNDUP(IF(A111=0,0,IFERROR(VLOOKUP($A111,'[1]Kilos Asignado del Donante'!A:N,10,0),0)),0)</f>
        <v>0</v>
      </c>
      <c r="AT111" s="18">
        <f>IF(A111=0,0,IFERROR(SUMIFS([1]Poblacion!T:T,[1]Poblacion!J:J,'MASTER-2025'!A111),0))</f>
        <v>0</v>
      </c>
      <c r="AU111" s="19">
        <f>IFERROR(VLOOKUP($A111,'[1]OB Atendidas por Donantes'!A:N,13,0),0)</f>
        <v>0</v>
      </c>
      <c r="AV111" s="19">
        <f>ROUNDUP(IF(A111=0,0,IFERROR(VLOOKUP($A111,'[1]Kilos Asignado del Donante'!A:N,14,0),0)),0)</f>
        <v>0</v>
      </c>
      <c r="AW111" s="19">
        <f>IF(A111=0,0,IFERROR(SUMIFS([1]Poblacion!X:X,[1]Poblacion!J:J,'MASTER-2025'!A111),0))</f>
        <v>0</v>
      </c>
      <c r="AX111" s="20">
        <f>IFERROR(VLOOKUP($A111,'[1]OB Atendidas por Donantes'!A:N,16,0),0)</f>
        <v>0</v>
      </c>
      <c r="AY111" s="20">
        <f>ROUNDUP(IF(A111=0,0,IFERROR(VLOOKUP($A111,'[1]Kilos Asignado del Donante'!A:O,16,0),0)),0)</f>
        <v>0</v>
      </c>
      <c r="AZ111" s="20">
        <f>IF(A111=0,0,IFERROR(SUMIFS([1]Poblacion!Y:Y,[1]Poblacion!J:J,'MASTER-2025'!A111),0))</f>
        <v>0</v>
      </c>
      <c r="BA111" s="21">
        <f t="shared" ref="BA111:BA130" si="43">+H111+K111+N111+Q111+T111+W111+Z111+AC111+AF111+AI111+AL111+AO111+AR111+AU111+AX111</f>
        <v>0</v>
      </c>
      <c r="BB111" s="21">
        <f t="shared" si="42"/>
        <v>0</v>
      </c>
      <c r="BC111" s="21">
        <f t="shared" si="39"/>
        <v>0</v>
      </c>
      <c r="BD111" s="21">
        <f t="shared" si="41"/>
        <v>0</v>
      </c>
      <c r="BE111" s="22" t="e">
        <f>IF(A111=0,0,SUMIFS([1]Poblacion!C:C,[1]Poblacion!A:A,'MASTER-2025'!A111))</f>
        <v>#VALUE!</v>
      </c>
      <c r="BF111" s="22" t="e">
        <f>IF(A111=0,0,SUMIFS([1]Poblacion!D:D,[1]Poblacion!A:A,'MASTER-2025'!A111))</f>
        <v>#VALUE!</v>
      </c>
      <c r="BG111" s="22" t="e">
        <f>IF(A111=0,0,SUMIFS([1]Poblacion!E:E,[1]Poblacion!A:A,'MASTER-2025'!A111))</f>
        <v>#VALUE!</v>
      </c>
      <c r="BH111" s="22" t="e">
        <f>IF(A111=0,0,SUMIFS([1]Poblacion!F:F,[1]Poblacion!A:A,'MASTER-2025'!A111))</f>
        <v>#VALUE!</v>
      </c>
      <c r="BI111" s="22" t="e">
        <f t="shared" si="35"/>
        <v>#VALUE!</v>
      </c>
      <c r="BJ111" s="23" t="e">
        <f t="shared" si="30"/>
        <v>#VALUE!</v>
      </c>
      <c r="BK111" s="22" t="e">
        <f>IF(A111=0,0,SUMIFS([1]Poblacion!G:G,[1]Poblacion!A:A,'MASTER-2025'!A111))</f>
        <v>#VALUE!</v>
      </c>
      <c r="BL111" s="24" cm="1">
        <f t="array" ref="BL111:BW111">IFERROR(VLOOKUP(A111,'[1]Acum-OB-kg-pob-25'!A:AQ,{3,4,5,6,7,8,9,10,11,12,13,14},0),0)</f>
        <v>0</v>
      </c>
      <c r="BM111" s="24">
        <v>0</v>
      </c>
      <c r="BN111" s="24">
        <v>0</v>
      </c>
      <c r="BO111" s="24">
        <v>0</v>
      </c>
      <c r="BP111" s="24">
        <v>0</v>
      </c>
      <c r="BQ111" s="24">
        <v>0</v>
      </c>
      <c r="BR111" s="24">
        <v>0</v>
      </c>
      <c r="BS111" s="24">
        <v>0</v>
      </c>
      <c r="BT111" s="24">
        <v>0</v>
      </c>
      <c r="BU111" s="24">
        <v>0</v>
      </c>
      <c r="BV111" s="24">
        <v>0</v>
      </c>
      <c r="BW111" s="24">
        <v>0</v>
      </c>
      <c r="BX111" s="24">
        <f t="shared" si="31"/>
        <v>0</v>
      </c>
      <c r="BY111" s="25" cm="1">
        <f t="array" ref="BY111:CJ111">IFERROR(VLOOKUP(A111,'[1]Acum-OB-kg-pob-25'!A:AQ,{17,18,19,20,21,22,23,24,25,26,27,28},0),0)</f>
        <v>0</v>
      </c>
      <c r="BZ111" s="25">
        <v>0</v>
      </c>
      <c r="CA111" s="25">
        <v>0</v>
      </c>
      <c r="CB111" s="25">
        <v>0</v>
      </c>
      <c r="CC111" s="25">
        <v>0</v>
      </c>
      <c r="CD111" s="25">
        <v>0</v>
      </c>
      <c r="CE111" s="25">
        <v>0</v>
      </c>
      <c r="CF111" s="25">
        <v>0</v>
      </c>
      <c r="CG111" s="25">
        <v>0</v>
      </c>
      <c r="CH111" s="25">
        <v>0</v>
      </c>
      <c r="CI111" s="25">
        <v>0</v>
      </c>
      <c r="CJ111" s="25">
        <v>0</v>
      </c>
      <c r="CK111" s="25">
        <f t="shared" si="32"/>
        <v>0</v>
      </c>
      <c r="CL111" s="26" cm="1">
        <f t="array" ref="CL111:CW111">IFERROR(VLOOKUP(A111,'[1]Acum-OB-kg-pob-25'!A:AQ,{31,32,33,34,35,36,37,38,39,40,41,42},0),0)</f>
        <v>0</v>
      </c>
      <c r="CM111" s="26">
        <v>0</v>
      </c>
      <c r="CN111" s="26">
        <v>0</v>
      </c>
      <c r="CO111" s="26">
        <v>0</v>
      </c>
      <c r="CP111" s="26">
        <v>0</v>
      </c>
      <c r="CQ111" s="26">
        <v>0</v>
      </c>
      <c r="CR111" s="26">
        <v>0</v>
      </c>
      <c r="CS111" s="26">
        <v>0</v>
      </c>
      <c r="CT111" s="26">
        <v>0</v>
      </c>
      <c r="CU111" s="26">
        <v>0</v>
      </c>
      <c r="CV111" s="26">
        <v>0</v>
      </c>
      <c r="CW111" s="26">
        <v>0</v>
      </c>
      <c r="CX111" s="26">
        <f t="shared" si="33"/>
        <v>0</v>
      </c>
      <c r="CY111" s="14" t="str">
        <f>IF(A111=0,0,IFERROR(VLOOKUP(A111,'[1]Info Donantes'!C:F,2,0),"Sin Contacto"))</f>
        <v>Sin Contacto</v>
      </c>
      <c r="CZ111" s="14" t="str">
        <f>IF(A111=0,0,IFERROR(VLOOKUP(A111,'[1]Info Donantes'!C:F,3,0),"Sin Correo"))</f>
        <v>Sin Correo</v>
      </c>
      <c r="DA111" s="14" t="str">
        <f>IF(A111=0,0,IFERROR(VLOOKUP(A111,'[1]Info Donantes'!C:F,4,0),"Sin Telefono"))</f>
        <v>Sin Telefono</v>
      </c>
      <c r="DB111" s="14" t="str">
        <f>IF(A111=0,0,"Reporte de Trazabiidad"&amp;" - "&amp;'[1]Resumen Donantes'!$C$2&amp;" - "&amp;A111&amp;"")</f>
        <v>Reporte de Trazabiidad -  - L.A.L. (Los Años Locos)</v>
      </c>
    </row>
    <row r="112" spans="1:106" x14ac:dyDescent="0.55000000000000004">
      <c r="A112" s="32" t="s">
        <v>216</v>
      </c>
      <c r="B112" s="15">
        <f>INT(IFERROR(VLOOKUP(A112,'[1]Resumen Donantes'!C:F,3,0),0))</f>
        <v>0</v>
      </c>
      <c r="C112" s="15">
        <f>INT(ROUND(IFERROR(VLOOKUP(A112,'[1]Resumen Donantes'!C:F,4,0),0),1))</f>
        <v>0</v>
      </c>
      <c r="D112" s="16">
        <f t="shared" si="36"/>
        <v>0</v>
      </c>
      <c r="E112" s="17" t="str">
        <f t="shared" si="37"/>
        <v>0.00%</v>
      </c>
      <c r="F112" s="17" t="str">
        <f t="shared" si="38"/>
        <v>0.0%</v>
      </c>
      <c r="G112" s="15">
        <f t="shared" si="40"/>
        <v>0</v>
      </c>
      <c r="H112" s="18"/>
      <c r="I112" s="18">
        <f>IFERROR(VLOOKUP(A112,'[1]Lot All by Part'!T:Y,6,0),0)</f>
        <v>0</v>
      </c>
      <c r="J112" s="18"/>
      <c r="K112" s="19">
        <f>IFERROR(VLOOKUP($A112,'[1]OB Atendidas por Donantes'!A:N,3,0),0)</f>
        <v>0</v>
      </c>
      <c r="L112" s="19">
        <f>ROUNDUP(IF(A112=0,0,IFERROR(VLOOKUP($A112,'[1]Kilos Asignado del Donante'!A:O,3,0),0)),0)</f>
        <v>0</v>
      </c>
      <c r="M112" s="19">
        <f>IF(A112=0,0,IFERROR(SUMIFS([1]Poblacion!M:M,[1]Poblacion!J:J,'MASTER-2025'!A112),0))</f>
        <v>0</v>
      </c>
      <c r="N112" s="20">
        <f>IFERROR(VLOOKUP($A112,'[1]OB Atendidas por Donantes'!A:N,4,0),0)</f>
        <v>0</v>
      </c>
      <c r="O112" s="20">
        <f>ROUNDUP(IF(A112=0,0,IFERROR(VLOOKUP($A112,'[1]Kilos Asignado del Donante'!A:O,4,0),0)),0)</f>
        <v>0</v>
      </c>
      <c r="P112" s="20">
        <f>IF(A112=0,0,IFERROR(SUMIFS([1]Poblacion!N:N,[1]Poblacion!J:J,'MASTER-2025'!A112),0))</f>
        <v>0</v>
      </c>
      <c r="Q112" s="18">
        <f>IFERROR(VLOOKUP($A112,'[1]OB Atendidas por Donantes'!A:N,2,0),0)</f>
        <v>0</v>
      </c>
      <c r="R112" s="18">
        <f>ROUNDUP(ROUND(IF(A112=0,0,IFERROR(VLOOKUP($A112,'[1]Kilos Asignado del Donante'!A:O,9,0),0)),1),0)</f>
        <v>0</v>
      </c>
      <c r="S112" s="18">
        <f>IF(A112=0,0,IFERROR(SUMIFS([1]Poblacion!S:S,[1]Poblacion!J:J,'MASTER-2025'!A112),0))</f>
        <v>0</v>
      </c>
      <c r="T112" s="19">
        <f>IFERROR(VLOOKUP($A112,'[1]OB Atendidas por Donantes'!A:N,12,0),0)</f>
        <v>0</v>
      </c>
      <c r="U112" s="19">
        <f>ROUNDUP(IF(A112=0,0,IF(A112=0,0,IFERROR(VLOOKUP($A112,'[1]Kilos Asignado del Donante'!A:O,7,0),0))),0)</f>
        <v>0</v>
      </c>
      <c r="V112" s="19">
        <f>IF(A112=0,0,IFERROR(SUMIFS([1]Poblacion!Q:Q,[1]Poblacion!J:J,'MASTER-2025'!A112),0))</f>
        <v>0</v>
      </c>
      <c r="W112" s="20">
        <f>IFERROR(VLOOKUP($A112,'[1]OB Atendidas por Donantes'!A:N,10,0),0)</f>
        <v>0</v>
      </c>
      <c r="X112" s="20">
        <f>ROUNDUP(IF(A112=0,0,IFERROR(VLOOKUP($A112,'[1]Kilos Asignado del Donante'!A:N,5,0),0)),0)</f>
        <v>0</v>
      </c>
      <c r="Y112" s="20">
        <f>IF(A112=0,0,IFERROR(SUMIFS([1]Poblacion!O:O,[1]Poblacion!J:J,'MASTER-2025'!A112),0))</f>
        <v>0</v>
      </c>
      <c r="Z112" s="18">
        <f>IFERROR(VLOOKUP($A112,'[1]OB Atendidas por Donantes'!A:N,6,0),0)</f>
        <v>0</v>
      </c>
      <c r="AA112" s="18">
        <f>ROUNDUP(IF(A112=0,0,IFERROR(VLOOKUP($A112,'[1]Kilos Asignado del Donante'!A:N,11,0),0)),0)</f>
        <v>0</v>
      </c>
      <c r="AB112" s="18">
        <f>IF(A112=0,0,IFERROR(SUMIFS([1]Poblacion!U:U,[1]Poblacion!J:J,'MASTER-2025'!A112),0))</f>
        <v>0</v>
      </c>
      <c r="AC112" s="19">
        <f>IFERROR(VLOOKUP($A112,'[1]OB Atendidas por Donantes'!A:N,7,0),0)</f>
        <v>0</v>
      </c>
      <c r="AD112" s="19">
        <f>ROUNDUP(IF(A112=0,0,IFERROR(VLOOKUP($A112,'[1]Kilos Asignado del Donante'!A:N,8,0),0)),0)</f>
        <v>0</v>
      </c>
      <c r="AE112" s="19">
        <f>IF(A112=0,0,IFERROR(SUMIFS([1]Poblacion!R:R,[1]Poblacion!J:J,'MASTER-2025'!A112),0))</f>
        <v>0</v>
      </c>
      <c r="AF112" s="20">
        <f>IFERROR(VLOOKUP($A112,'[1]OB Atendidas por Donantes'!A:N,8,0),0)</f>
        <v>0</v>
      </c>
      <c r="AG112" s="20">
        <f>ROUNDUP(IF(A112=0,0,IFERROR(VLOOKUP($A112,'[1]Kilos Asignado del Donante'!A:N,6,0),0)),0)</f>
        <v>0</v>
      </c>
      <c r="AH112" s="20">
        <f>IF(A112=0,0,IFERROR(SUMIFS([1]Poblacion!P:P,[1]Poblacion!J:J,'MASTER-2025'!A112),0))</f>
        <v>0</v>
      </c>
      <c r="AI112" s="18">
        <f>IFERROR(VLOOKUP($A112,'[1]OB Atendidas por Donantes'!A:N,9,0),0)</f>
        <v>0</v>
      </c>
      <c r="AJ112" s="18">
        <f>ROUNDUP(IF(A112=0,0,IFERROR(VLOOKUP($A112,'[1]Kilos Asignado del Donante'!A:N,12,0),0)),0)</f>
        <v>0</v>
      </c>
      <c r="AK112" s="18">
        <f>IF(A112=0,0,IFERROR(SUMIFS([1]Poblacion!V:V,[1]Poblacion!J:J,'MASTER-2025'!A112),0))</f>
        <v>0</v>
      </c>
      <c r="AL112" s="19">
        <f>IFERROR(VLOOKUP($A112,'[1]OB Atendidas por Donantes'!A:N,16,0),0)</f>
        <v>0</v>
      </c>
      <c r="AM112" s="19">
        <f>ROUNDUP(IF(A112=0,0,IFERROR(VLOOKUP($A112,'[1]Kilos Asignado del Donante'!A:O,16,0),0)),0)</f>
        <v>0</v>
      </c>
      <c r="AN112" s="19">
        <f>IF(A112=0,0,IFERROR(SUMIFS([1]Poblacion!Z:Z,[1]Poblacion!J:J,'MASTER-2025'!A112),0))</f>
        <v>0</v>
      </c>
      <c r="AO112" s="20">
        <f>IFERROR(VLOOKUP($A112,'[1]OB Atendidas por Donantes'!A:N,11,0),0)</f>
        <v>0</v>
      </c>
      <c r="AP112" s="20">
        <f>ROUNDUP(IF(A112=0,0,IFERROR(VLOOKUP($A112,'[1]Kilos Asignado del Donante'!A:N,13,0),0)),0)</f>
        <v>0</v>
      </c>
      <c r="AQ112" s="20">
        <f>IF(A112=0,0,IFERROR(SUMIFS([1]Poblacion!W:W,[1]Poblacion!J:J,'MASTER-2025'!A112),0))</f>
        <v>0</v>
      </c>
      <c r="AR112" s="18">
        <f>IFERROR(VLOOKUP($A112,'[1]OB Atendidas por Donantes'!A:N,5,0),0)</f>
        <v>0</v>
      </c>
      <c r="AS112" s="18">
        <f>ROUNDUP(IF(A112=0,0,IFERROR(VLOOKUP($A112,'[1]Kilos Asignado del Donante'!A:N,10,0),0)),0)</f>
        <v>0</v>
      </c>
      <c r="AT112" s="18">
        <f>IF(A112=0,0,IFERROR(SUMIFS([1]Poblacion!T:T,[1]Poblacion!J:J,'MASTER-2025'!A112),0))</f>
        <v>0</v>
      </c>
      <c r="AU112" s="19">
        <f>IFERROR(VLOOKUP($A112,'[1]OB Atendidas por Donantes'!A:N,13,0),0)</f>
        <v>0</v>
      </c>
      <c r="AV112" s="19">
        <f>ROUNDUP(IF(A112=0,0,IFERROR(VLOOKUP($A112,'[1]Kilos Asignado del Donante'!A:N,14,0),0)),0)</f>
        <v>0</v>
      </c>
      <c r="AW112" s="19">
        <f>IF(A112=0,0,IFERROR(SUMIFS([1]Poblacion!X:X,[1]Poblacion!J:J,'MASTER-2025'!A112),0))</f>
        <v>0</v>
      </c>
      <c r="AX112" s="20">
        <f>IFERROR(VLOOKUP($A112,'[1]OB Atendidas por Donantes'!A:N,16,0),0)</f>
        <v>0</v>
      </c>
      <c r="AY112" s="20">
        <f>ROUNDUP(IF(A112=0,0,IFERROR(VLOOKUP($A112,'[1]Kilos Asignado del Donante'!A:O,16,0),0)),0)</f>
        <v>0</v>
      </c>
      <c r="AZ112" s="20">
        <f>IF(A112=0,0,IFERROR(SUMIFS([1]Poblacion!Y:Y,[1]Poblacion!J:J,'MASTER-2025'!A112),0))</f>
        <v>0</v>
      </c>
      <c r="BA112" s="21">
        <f t="shared" si="43"/>
        <v>0</v>
      </c>
      <c r="BB112" s="21">
        <f t="shared" si="42"/>
        <v>0</v>
      </c>
      <c r="BC112" s="21">
        <f t="shared" si="39"/>
        <v>0</v>
      </c>
      <c r="BD112" s="21">
        <f>IF(A112=0,0,(+J112+M112+P112+S112+V112+Y112+AB112+AE112+AH112+AK112+AN112+AQ112+AT112+AW112+AZ112))</f>
        <v>0</v>
      </c>
      <c r="BE112" s="22" t="e">
        <f>IF(A112=0,0,SUMIFS([1]Poblacion!C:C,[1]Poblacion!A:A,'MASTER-2025'!A112))</f>
        <v>#VALUE!</v>
      </c>
      <c r="BF112" s="22" t="e">
        <f>IF(A112=0,0,SUMIFS([1]Poblacion!D:D,[1]Poblacion!A:A,'MASTER-2025'!A112))</f>
        <v>#VALUE!</v>
      </c>
      <c r="BG112" s="22" t="e">
        <f>IF(A112=0,0,SUMIFS([1]Poblacion!E:E,[1]Poblacion!A:A,'MASTER-2025'!A112))</f>
        <v>#VALUE!</v>
      </c>
      <c r="BH112" s="22" t="e">
        <f>IF(A112=0,0,SUMIFS([1]Poblacion!F:F,[1]Poblacion!A:A,'MASTER-2025'!A112))</f>
        <v>#VALUE!</v>
      </c>
      <c r="BI112" s="22" t="e">
        <f t="shared" si="35"/>
        <v>#VALUE!</v>
      </c>
      <c r="BJ112" s="23" t="e">
        <f t="shared" si="30"/>
        <v>#VALUE!</v>
      </c>
      <c r="BK112" s="22" t="e">
        <f>IF(A112=0,0,SUMIFS([1]Poblacion!G:G,[1]Poblacion!A:A,'MASTER-2025'!A112))</f>
        <v>#VALUE!</v>
      </c>
      <c r="BL112" s="24" cm="1">
        <f t="array" ref="BL112:BW112">IFERROR(VLOOKUP(A112,'[1]Acum-OB-kg-pob-25'!A:AQ,{3,4,5,6,7,8,9,10,11,12,13,14},0),0)</f>
        <v>0</v>
      </c>
      <c r="BM112" s="24">
        <v>0</v>
      </c>
      <c r="BN112" s="24">
        <v>0</v>
      </c>
      <c r="BO112" s="24">
        <v>0</v>
      </c>
      <c r="BP112" s="24">
        <v>0</v>
      </c>
      <c r="BQ112" s="24">
        <v>0</v>
      </c>
      <c r="BR112" s="24">
        <v>0</v>
      </c>
      <c r="BS112" s="24">
        <v>0</v>
      </c>
      <c r="BT112" s="24">
        <v>0</v>
      </c>
      <c r="BU112" s="24">
        <v>0</v>
      </c>
      <c r="BV112" s="24">
        <v>0</v>
      </c>
      <c r="BW112" s="24">
        <v>0</v>
      </c>
      <c r="BX112" s="24">
        <f t="shared" si="31"/>
        <v>0</v>
      </c>
      <c r="BY112" s="25" cm="1">
        <f t="array" ref="BY112:CJ112">IFERROR(VLOOKUP(A112,'[1]Acum-OB-kg-pob-25'!A:AQ,{17,18,19,20,21,22,23,24,25,26,27,28},0),0)</f>
        <v>0</v>
      </c>
      <c r="BZ112" s="25">
        <v>0</v>
      </c>
      <c r="CA112" s="25">
        <v>0</v>
      </c>
      <c r="CB112" s="25">
        <v>0</v>
      </c>
      <c r="CC112" s="25">
        <v>0</v>
      </c>
      <c r="CD112" s="25">
        <v>0</v>
      </c>
      <c r="CE112" s="25">
        <v>0</v>
      </c>
      <c r="CF112" s="25">
        <v>0</v>
      </c>
      <c r="CG112" s="25">
        <v>0</v>
      </c>
      <c r="CH112" s="25">
        <v>0</v>
      </c>
      <c r="CI112" s="25">
        <v>0</v>
      </c>
      <c r="CJ112" s="25">
        <v>0</v>
      </c>
      <c r="CK112" s="25">
        <f t="shared" si="32"/>
        <v>0</v>
      </c>
      <c r="CL112" s="26" cm="1">
        <f t="array" ref="CL112:CW112">IFERROR(VLOOKUP(A112,'[1]Acum-OB-kg-pob-25'!A:AQ,{31,32,33,34,35,36,37,38,39,40,41,42},0),0)</f>
        <v>0</v>
      </c>
      <c r="CM112" s="26">
        <v>0</v>
      </c>
      <c r="CN112" s="26">
        <v>0</v>
      </c>
      <c r="CO112" s="26">
        <v>0</v>
      </c>
      <c r="CP112" s="26">
        <v>0</v>
      </c>
      <c r="CQ112" s="26">
        <v>0</v>
      </c>
      <c r="CR112" s="26">
        <v>0</v>
      </c>
      <c r="CS112" s="26">
        <v>0</v>
      </c>
      <c r="CT112" s="26">
        <v>0</v>
      </c>
      <c r="CU112" s="26">
        <v>0</v>
      </c>
      <c r="CV112" s="26">
        <v>0</v>
      </c>
      <c r="CW112" s="26">
        <v>0</v>
      </c>
      <c r="CX112" s="26">
        <f t="shared" si="33"/>
        <v>0</v>
      </c>
      <c r="CY112" s="14" t="str">
        <f>IF(A112=0,0,IFERROR(VLOOKUP(A112,'[1]Info Donantes'!C:F,2,0),"Sin Contacto"))</f>
        <v>Sin Contacto</v>
      </c>
      <c r="CZ112" s="14" t="str">
        <f>IF(A112=0,0,IFERROR(VLOOKUP(A112,'[1]Info Donantes'!C:F,3,0),"Sin Correo"))</f>
        <v>Sin Correo</v>
      </c>
      <c r="DA112" s="14" t="str">
        <f>IF(A112=0,0,IFERROR(VLOOKUP(A112,'[1]Info Donantes'!C:F,4,0),"Sin Telefono"))</f>
        <v>Sin Telefono</v>
      </c>
      <c r="DB112" s="14" t="str">
        <f>IF(A112=0,0,"Reporte de Trazabiidad"&amp;" - "&amp;'[1]Resumen Donantes'!$C$2&amp;" - "&amp;A112&amp;"")</f>
        <v>Reporte de Trazabiidad -  - UNIVERDE S.A</v>
      </c>
    </row>
    <row r="113" spans="1:106" x14ac:dyDescent="0.55000000000000004">
      <c r="A113" s="32" t="s">
        <v>217</v>
      </c>
      <c r="B113" s="15">
        <f>INT(IFERROR(VLOOKUP(A113,'[1]Resumen Donantes'!C:F,3,0),0))</f>
        <v>0</v>
      </c>
      <c r="C113" s="15">
        <f>INT(ROUND(IFERROR(VLOOKUP(A113,'[1]Resumen Donantes'!C:F,4,0),0),1))</f>
        <v>0</v>
      </c>
      <c r="D113" s="16">
        <f t="shared" si="36"/>
        <v>0</v>
      </c>
      <c r="E113" s="17" t="str">
        <f t="shared" si="37"/>
        <v>0.00%</v>
      </c>
      <c r="F113" s="17" t="str">
        <f t="shared" si="38"/>
        <v>0.0%</v>
      </c>
      <c r="G113" s="15">
        <f t="shared" si="40"/>
        <v>0</v>
      </c>
      <c r="H113" s="18"/>
      <c r="I113" s="18">
        <f>IFERROR(VLOOKUP(A113,'[1]Lot All by Part'!T:Y,6,0),0)</f>
        <v>0</v>
      </c>
      <c r="J113" s="18"/>
      <c r="K113" s="19">
        <f>IFERROR(VLOOKUP($A113,'[1]OB Atendidas por Donantes'!A:N,3,0),0)</f>
        <v>0</v>
      </c>
      <c r="L113" s="19">
        <f>ROUNDUP(IF(A113=0,0,IFERROR(VLOOKUP($A113,'[1]Kilos Asignado del Donante'!A:O,3,0),0)),0)</f>
        <v>0</v>
      </c>
      <c r="M113" s="19">
        <f>IF(A113=0,0,IFERROR(SUMIFS([1]Poblacion!M:M,[1]Poblacion!J:J,'MASTER-2025'!A113),0))</f>
        <v>0</v>
      </c>
      <c r="N113" s="20">
        <f>IFERROR(VLOOKUP($A113,'[1]OB Atendidas por Donantes'!A:N,4,0),0)</f>
        <v>0</v>
      </c>
      <c r="O113" s="20">
        <f>ROUNDUP(IF(A113=0,0,IFERROR(VLOOKUP($A113,'[1]Kilos Asignado del Donante'!A:O,4,0),0)),0)</f>
        <v>0</v>
      </c>
      <c r="P113" s="20">
        <f>IF(A113=0,0,IFERROR(SUMIFS([1]Poblacion!N:N,[1]Poblacion!J:J,'MASTER-2025'!A113),0))</f>
        <v>0</v>
      </c>
      <c r="Q113" s="18">
        <f>IFERROR(VLOOKUP($A113,'[1]OB Atendidas por Donantes'!A:N,2,0),0)</f>
        <v>0</v>
      </c>
      <c r="R113" s="18">
        <f>ROUNDUP(ROUND(IF(A113=0,0,IFERROR(VLOOKUP($A113,'[1]Kilos Asignado del Donante'!A:O,9,0),0)),1),0)</f>
        <v>0</v>
      </c>
      <c r="S113" s="18">
        <f>IF(A113=0,0,IFERROR(SUMIFS([1]Poblacion!S:S,[1]Poblacion!J:J,'MASTER-2025'!A113),0))</f>
        <v>0</v>
      </c>
      <c r="T113" s="19">
        <f>IFERROR(VLOOKUP($A113,'[1]OB Atendidas por Donantes'!A:N,12,0),0)</f>
        <v>0</v>
      </c>
      <c r="U113" s="19">
        <f>ROUNDUP(IF(A113=0,0,IF(A113=0,0,IFERROR(VLOOKUP($A113,'[1]Kilos Asignado del Donante'!A:O,7,0),0))),0)</f>
        <v>0</v>
      </c>
      <c r="V113" s="19">
        <f>IF(A113=0,0,IFERROR(SUMIFS([1]Poblacion!Q:Q,[1]Poblacion!J:J,'MASTER-2025'!A113),0))</f>
        <v>0</v>
      </c>
      <c r="W113" s="20">
        <f>IFERROR(VLOOKUP($A113,'[1]OB Atendidas por Donantes'!A:N,10,0),0)</f>
        <v>0</v>
      </c>
      <c r="X113" s="20">
        <f>ROUNDUP(IF(A113=0,0,IFERROR(VLOOKUP($A113,'[1]Kilos Asignado del Donante'!A:N,5,0),0)),0)</f>
        <v>0</v>
      </c>
      <c r="Y113" s="20">
        <f>IF(A113=0,0,IFERROR(SUMIFS([1]Poblacion!O:O,[1]Poblacion!J:J,'MASTER-2025'!A113),0))</f>
        <v>0</v>
      </c>
      <c r="Z113" s="18">
        <f>IFERROR(VLOOKUP($A113,'[1]OB Atendidas por Donantes'!A:N,6,0),0)</f>
        <v>0</v>
      </c>
      <c r="AA113" s="18">
        <f>ROUNDUP(IF(A113=0,0,IFERROR(VLOOKUP($A113,'[1]Kilos Asignado del Donante'!A:N,11,0),0)),0)</f>
        <v>0</v>
      </c>
      <c r="AB113" s="18">
        <f>IF(A113=0,0,IFERROR(SUMIFS([1]Poblacion!U:U,[1]Poblacion!J:J,'MASTER-2025'!A113),0))</f>
        <v>0</v>
      </c>
      <c r="AC113" s="19">
        <f>IFERROR(VLOOKUP($A113,'[1]OB Atendidas por Donantes'!A:N,7,0),0)</f>
        <v>0</v>
      </c>
      <c r="AD113" s="19">
        <f>ROUNDUP(IF(A113=0,0,IFERROR(VLOOKUP($A113,'[1]Kilos Asignado del Donante'!A:N,8,0),0)),0)</f>
        <v>0</v>
      </c>
      <c r="AE113" s="19">
        <f>IF(A113=0,0,IFERROR(SUMIFS([1]Poblacion!R:R,[1]Poblacion!J:J,'MASTER-2025'!A113),0))</f>
        <v>0</v>
      </c>
      <c r="AF113" s="20">
        <f>IFERROR(VLOOKUP($A113,'[1]OB Atendidas por Donantes'!A:N,8,0),0)</f>
        <v>0</v>
      </c>
      <c r="AG113" s="20">
        <f>ROUNDUP(IF(A113=0,0,IFERROR(VLOOKUP($A113,'[1]Kilos Asignado del Donante'!A:N,6,0),0)),0)</f>
        <v>0</v>
      </c>
      <c r="AH113" s="20">
        <f>IF(A113=0,0,IFERROR(SUMIFS([1]Poblacion!P:P,[1]Poblacion!J:J,'MASTER-2025'!A113),0))</f>
        <v>0</v>
      </c>
      <c r="AI113" s="18">
        <f>IFERROR(VLOOKUP($A113,'[1]OB Atendidas por Donantes'!A:N,9,0),0)</f>
        <v>0</v>
      </c>
      <c r="AJ113" s="18">
        <f>ROUNDUP(IF(A113=0,0,IFERROR(VLOOKUP($A113,'[1]Kilos Asignado del Donante'!A:N,12,0),0)),0)</f>
        <v>0</v>
      </c>
      <c r="AK113" s="18">
        <f>IF(A113=0,0,IFERROR(SUMIFS([1]Poblacion!V:V,[1]Poblacion!J:J,'MASTER-2025'!A113),0))</f>
        <v>0</v>
      </c>
      <c r="AL113" s="19">
        <f>IFERROR(VLOOKUP($A113,'[1]OB Atendidas por Donantes'!A:N,16,0),0)</f>
        <v>0</v>
      </c>
      <c r="AM113" s="19">
        <f>ROUNDUP(IF(A113=0,0,IFERROR(VLOOKUP($A113,'[1]Kilos Asignado del Donante'!A:O,16,0),0)),0)</f>
        <v>0</v>
      </c>
      <c r="AN113" s="19">
        <f>IF(A113=0,0,IFERROR(SUMIFS([1]Poblacion!Z:Z,[1]Poblacion!J:J,'MASTER-2025'!A113),0))</f>
        <v>0</v>
      </c>
      <c r="AO113" s="20">
        <f>IFERROR(VLOOKUP($A113,'[1]OB Atendidas por Donantes'!A:N,11,0),0)</f>
        <v>0</v>
      </c>
      <c r="AP113" s="20">
        <f>ROUNDUP(IF(A113=0,0,IFERROR(VLOOKUP($A113,'[1]Kilos Asignado del Donante'!A:N,13,0),0)),0)</f>
        <v>0</v>
      </c>
      <c r="AQ113" s="20">
        <f>IF(A113=0,0,IFERROR(SUMIFS([1]Poblacion!W:W,[1]Poblacion!J:J,'MASTER-2025'!A113),0))</f>
        <v>0</v>
      </c>
      <c r="AR113" s="18">
        <f>IFERROR(VLOOKUP($A113,'[1]OB Atendidas por Donantes'!A:N,5,0),0)</f>
        <v>0</v>
      </c>
      <c r="AS113" s="18">
        <f>ROUNDUP(IF(A113=0,0,IFERROR(VLOOKUP($A113,'[1]Kilos Asignado del Donante'!A:N,10,0),0)),0)</f>
        <v>0</v>
      </c>
      <c r="AT113" s="18">
        <f>IF(A113=0,0,IFERROR(SUMIFS([1]Poblacion!T:T,[1]Poblacion!J:J,'MASTER-2025'!A113),0))</f>
        <v>0</v>
      </c>
      <c r="AU113" s="19">
        <f>IFERROR(VLOOKUP($A113,'[1]OB Atendidas por Donantes'!A:N,13,0),0)</f>
        <v>0</v>
      </c>
      <c r="AV113" s="19">
        <f>ROUNDUP(IF(A113=0,0,IFERROR(VLOOKUP($A113,'[1]Kilos Asignado del Donante'!A:N,14,0),0)),0)</f>
        <v>0</v>
      </c>
      <c r="AW113" s="19">
        <f>IF(A113=0,0,IFERROR(SUMIFS([1]Poblacion!X:X,[1]Poblacion!J:J,'MASTER-2025'!A113),0))</f>
        <v>0</v>
      </c>
      <c r="AX113" s="20">
        <f>IFERROR(VLOOKUP($A113,'[1]OB Atendidas por Donantes'!A:N,16,0),0)</f>
        <v>0</v>
      </c>
      <c r="AY113" s="20">
        <f>ROUNDUP(IF(A113=0,0,IFERROR(VLOOKUP($A113,'[1]Kilos Asignado del Donante'!A:O,16,0),0)),0)</f>
        <v>0</v>
      </c>
      <c r="AZ113" s="20">
        <f>IF(A113=0,0,IFERROR(SUMIFS([1]Poblacion!Y:Y,[1]Poblacion!J:J,'MASTER-2025'!A113),0))</f>
        <v>0</v>
      </c>
      <c r="BA113" s="21">
        <f t="shared" si="43"/>
        <v>0</v>
      </c>
      <c r="BB113" s="21">
        <f t="shared" si="42"/>
        <v>0</v>
      </c>
      <c r="BC113" s="21">
        <f t="shared" si="39"/>
        <v>0</v>
      </c>
      <c r="BD113" s="21">
        <f>IF(A113=0,0,(+J113+M113+P113+S113+V113+Y113+AB113+AE113+AH113+AK113+AN113+AQ113+AT113+AW113+AZ113))</f>
        <v>0</v>
      </c>
      <c r="BE113" s="22" t="e">
        <f>IF(A113=0,0,SUMIFS([1]Poblacion!C:C,[1]Poblacion!A:A,'MASTER-2025'!A113))</f>
        <v>#VALUE!</v>
      </c>
      <c r="BF113" s="22" t="e">
        <f>IF(A113=0,0,SUMIFS([1]Poblacion!D:D,[1]Poblacion!A:A,'MASTER-2025'!A113))</f>
        <v>#VALUE!</v>
      </c>
      <c r="BG113" s="22" t="e">
        <f>IF(A113=0,0,SUMIFS([1]Poblacion!E:E,[1]Poblacion!A:A,'MASTER-2025'!A113))</f>
        <v>#VALUE!</v>
      </c>
      <c r="BH113" s="22" t="e">
        <f>IF(A113=0,0,SUMIFS([1]Poblacion!F:F,[1]Poblacion!A:A,'MASTER-2025'!A113))</f>
        <v>#VALUE!</v>
      </c>
      <c r="BI113" s="22" t="e">
        <f t="shared" si="35"/>
        <v>#VALUE!</v>
      </c>
      <c r="BJ113" s="23" t="e">
        <f t="shared" si="30"/>
        <v>#VALUE!</v>
      </c>
      <c r="BK113" s="22" t="e">
        <f>IF(A113=0,0,SUMIFS([1]Poblacion!G:G,[1]Poblacion!A:A,'MASTER-2025'!A113))</f>
        <v>#VALUE!</v>
      </c>
      <c r="BL113" s="24" cm="1">
        <f t="array" ref="BL113:BW113">IFERROR(VLOOKUP(A113,'[1]Acum-OB-kg-pob-25'!A:AQ,{3,4,5,6,7,8,9,10,11,12,13,14},0),0)</f>
        <v>0</v>
      </c>
      <c r="BM113" s="24">
        <v>0</v>
      </c>
      <c r="BN113" s="24">
        <v>0</v>
      </c>
      <c r="BO113" s="24">
        <v>0</v>
      </c>
      <c r="BP113" s="24">
        <v>0</v>
      </c>
      <c r="BQ113" s="24">
        <v>0</v>
      </c>
      <c r="BR113" s="24">
        <v>0</v>
      </c>
      <c r="BS113" s="24">
        <v>0</v>
      </c>
      <c r="BT113" s="24">
        <v>0</v>
      </c>
      <c r="BU113" s="24">
        <v>0</v>
      </c>
      <c r="BV113" s="24">
        <v>0</v>
      </c>
      <c r="BW113" s="24">
        <v>0</v>
      </c>
      <c r="BX113" s="24">
        <f t="shared" si="31"/>
        <v>0</v>
      </c>
      <c r="BY113" s="25" cm="1">
        <f t="array" ref="BY113:CJ113">IFERROR(VLOOKUP(A113,'[1]Acum-OB-kg-pob-25'!A:AQ,{17,18,19,20,21,22,23,24,25,26,27,28},0),0)</f>
        <v>0</v>
      </c>
      <c r="BZ113" s="25">
        <v>0</v>
      </c>
      <c r="CA113" s="25">
        <v>0</v>
      </c>
      <c r="CB113" s="25">
        <v>0</v>
      </c>
      <c r="CC113" s="25">
        <v>0</v>
      </c>
      <c r="CD113" s="25">
        <v>0</v>
      </c>
      <c r="CE113" s="25">
        <v>0</v>
      </c>
      <c r="CF113" s="25">
        <v>0</v>
      </c>
      <c r="CG113" s="25">
        <v>0</v>
      </c>
      <c r="CH113" s="25">
        <v>0</v>
      </c>
      <c r="CI113" s="25">
        <v>0</v>
      </c>
      <c r="CJ113" s="25">
        <v>0</v>
      </c>
      <c r="CK113" s="25">
        <f t="shared" si="32"/>
        <v>0</v>
      </c>
      <c r="CL113" s="26" cm="1">
        <f t="array" ref="CL113:CW113">IFERROR(VLOOKUP(A113,'[1]Acum-OB-kg-pob-25'!A:AQ,{31,32,33,34,35,36,37,38,39,40,41,42},0),0)</f>
        <v>0</v>
      </c>
      <c r="CM113" s="26">
        <v>0</v>
      </c>
      <c r="CN113" s="26">
        <v>0</v>
      </c>
      <c r="CO113" s="26">
        <v>0</v>
      </c>
      <c r="CP113" s="26">
        <v>0</v>
      </c>
      <c r="CQ113" s="26">
        <v>0</v>
      </c>
      <c r="CR113" s="26">
        <v>0</v>
      </c>
      <c r="CS113" s="26">
        <v>0</v>
      </c>
      <c r="CT113" s="26">
        <v>0</v>
      </c>
      <c r="CU113" s="26">
        <v>0</v>
      </c>
      <c r="CV113" s="26">
        <v>0</v>
      </c>
      <c r="CW113" s="26">
        <v>0</v>
      </c>
      <c r="CX113" s="26">
        <f t="shared" si="33"/>
        <v>0</v>
      </c>
      <c r="CY113" s="14" t="str">
        <f>IF(A113=0,0,IFERROR(VLOOKUP(A113,'[1]Info Donantes'!C:F,2,0),"Sin Contacto"))</f>
        <v>Anais Moreno</v>
      </c>
      <c r="CZ113" s="14" t="str">
        <f>IF(A113=0,0,IFERROR(VLOOKUP(A113,'[1]Info Donantes'!C:F,3,0),"Sin Correo"))</f>
        <v>anais@bacosa.com</v>
      </c>
      <c r="DA113" s="14" t="str">
        <f>IF(A113=0,0,IFERROR(VLOOKUP(A113,'[1]Info Donantes'!C:F,4,0),"Sin Telefono"))</f>
        <v>507 267-2447/267-3331 Ext. 102</v>
      </c>
      <c r="DB113" s="14" t="str">
        <f>IF(A113=0,0,"Reporte de Trazabiidad"&amp;" - "&amp;'[1]Resumen Donantes'!$C$2&amp;" - "&amp;A113&amp;"")</f>
        <v>Reporte de Trazabiidad -  - BARRAZA Y COMPAÑIA, S.A</v>
      </c>
    </row>
    <row r="114" spans="1:106" ht="28.8" x14ac:dyDescent="0.55000000000000004">
      <c r="A114" s="32" t="s">
        <v>218</v>
      </c>
      <c r="B114" s="15">
        <f>INT(IFERROR(VLOOKUP(A114,'[1]Resumen Donantes'!C:F,3,0),0))</f>
        <v>0</v>
      </c>
      <c r="C114" s="15">
        <f>INT(ROUND(IFERROR(VLOOKUP(A114,'[1]Resumen Donantes'!C:F,4,0),0),1))</f>
        <v>70</v>
      </c>
      <c r="D114" s="16">
        <f t="shared" si="36"/>
        <v>70</v>
      </c>
      <c r="E114" s="17" t="str">
        <f t="shared" si="37"/>
        <v>100.00%</v>
      </c>
      <c r="F114" s="17" t="str">
        <f t="shared" si="38"/>
        <v>0.0%</v>
      </c>
      <c r="G114" s="15">
        <f t="shared" si="40"/>
        <v>210</v>
      </c>
      <c r="H114" s="18"/>
      <c r="I114" s="18">
        <f>IFERROR(VLOOKUP(A114,'[1]Lot All by Part'!T:Y,6,0),0)</f>
        <v>0</v>
      </c>
      <c r="J114" s="18"/>
      <c r="K114" s="19">
        <f>IFERROR(VLOOKUP($A114,'[1]OB Atendidas por Donantes'!A:N,3,0),0)</f>
        <v>0</v>
      </c>
      <c r="L114" s="19">
        <f>ROUNDUP(IF(A114=0,0,IFERROR(VLOOKUP($A114,'[1]Kilos Asignado del Donante'!A:O,3,0),0)),0)</f>
        <v>0</v>
      </c>
      <c r="M114" s="19">
        <f>IF(A114=0,0,IFERROR(SUMIFS([1]Poblacion!M:M,[1]Poblacion!J:J,'MASTER-2025'!A114),0))</f>
        <v>0</v>
      </c>
      <c r="N114" s="20">
        <f>IFERROR(VLOOKUP($A114,'[1]OB Atendidas por Donantes'!A:N,4,0),0)</f>
        <v>0</v>
      </c>
      <c r="O114" s="20">
        <f>ROUNDUP(IF(A114=0,0,IFERROR(VLOOKUP($A114,'[1]Kilos Asignado del Donante'!A:O,4,0),0)),0)</f>
        <v>0</v>
      </c>
      <c r="P114" s="20">
        <f>IF(A114=0,0,IFERROR(SUMIFS([1]Poblacion!N:N,[1]Poblacion!J:J,'MASTER-2025'!A114),0))</f>
        <v>0</v>
      </c>
      <c r="Q114" s="18">
        <f>IFERROR(VLOOKUP($A114,'[1]OB Atendidas por Donantes'!A:N,2,0),0)</f>
        <v>0</v>
      </c>
      <c r="R114" s="18">
        <f>ROUNDUP(ROUND(IF(A114=0,0,IFERROR(VLOOKUP($A114,'[1]Kilos Asignado del Donante'!A:O,9,0),0)),1),0)</f>
        <v>0</v>
      </c>
      <c r="S114" s="18">
        <f>IF(A114=0,0,IFERROR(SUMIFS([1]Poblacion!S:S,[1]Poblacion!J:J,'MASTER-2025'!A114),0))</f>
        <v>0</v>
      </c>
      <c r="T114" s="19">
        <f>IFERROR(VLOOKUP($A114,'[1]OB Atendidas por Donantes'!A:N,12,0),0)</f>
        <v>0</v>
      </c>
      <c r="U114" s="19">
        <f>ROUNDUP(IF(A114=0,0,IF(A114=0,0,IFERROR(VLOOKUP($A114,'[1]Kilos Asignado del Donante'!A:O,7,0),0))),0)</f>
        <v>0</v>
      </c>
      <c r="V114" s="19">
        <f>IF(A114=0,0,IFERROR(SUMIFS([1]Poblacion!Q:Q,[1]Poblacion!J:J,'MASTER-2025'!A114),0))</f>
        <v>0</v>
      </c>
      <c r="W114" s="20">
        <f>IFERROR(VLOOKUP($A114,'[1]OB Atendidas por Donantes'!A:N,10,0),0)</f>
        <v>0</v>
      </c>
      <c r="X114" s="20">
        <f>ROUNDUP(IF(A114=0,0,IFERROR(VLOOKUP($A114,'[1]Kilos Asignado del Donante'!A:N,5,0),0)),0)</f>
        <v>0</v>
      </c>
      <c r="Y114" s="20">
        <f>IF(A114=0,0,IFERROR(SUMIFS([1]Poblacion!O:O,[1]Poblacion!J:J,'MASTER-2025'!A114),0))</f>
        <v>0</v>
      </c>
      <c r="Z114" s="18">
        <f>IFERROR(VLOOKUP($A114,'[1]OB Atendidas por Donantes'!A:N,6,0),0)</f>
        <v>0</v>
      </c>
      <c r="AA114" s="18">
        <f>ROUNDUP(IF(A114=0,0,IFERROR(VLOOKUP($A114,'[1]Kilos Asignado del Donante'!A:N,11,0),0)),0)</f>
        <v>0</v>
      </c>
      <c r="AB114" s="18">
        <f>IF(A114=0,0,IFERROR(SUMIFS([1]Poblacion!U:U,[1]Poblacion!J:J,'MASTER-2025'!A114),0))</f>
        <v>0</v>
      </c>
      <c r="AC114" s="19">
        <f>IFERROR(VLOOKUP($A114,'[1]OB Atendidas por Donantes'!A:N,7,0),0)</f>
        <v>0</v>
      </c>
      <c r="AD114" s="19">
        <f>ROUNDUP(IF(A114=0,0,IFERROR(VLOOKUP($A114,'[1]Kilos Asignado del Donante'!A:N,8,0),0)),0)</f>
        <v>0</v>
      </c>
      <c r="AE114" s="19">
        <f>IF(A114=0,0,IFERROR(SUMIFS([1]Poblacion!R:R,[1]Poblacion!J:J,'MASTER-2025'!A114),0))</f>
        <v>0</v>
      </c>
      <c r="AF114" s="20">
        <f>IFERROR(VLOOKUP($A114,'[1]OB Atendidas por Donantes'!A:N,8,0),0)</f>
        <v>0</v>
      </c>
      <c r="AG114" s="20">
        <f>ROUNDUP(IF(A114=0,0,IFERROR(VLOOKUP($A114,'[1]Kilos Asignado del Donante'!A:N,6,0),0)),0)</f>
        <v>0</v>
      </c>
      <c r="AH114" s="20">
        <f>IF(A114=0,0,IFERROR(SUMIFS([1]Poblacion!P:P,[1]Poblacion!J:J,'MASTER-2025'!A114),0))</f>
        <v>0</v>
      </c>
      <c r="AI114" s="18">
        <f>IFERROR(VLOOKUP($A114,'[1]OB Atendidas por Donantes'!A:N,9,0),0)</f>
        <v>0</v>
      </c>
      <c r="AJ114" s="18">
        <f>ROUNDUP(IF(A114=0,0,IFERROR(VLOOKUP($A114,'[1]Kilos Asignado del Donante'!A:N,12,0),0)),0)</f>
        <v>0</v>
      </c>
      <c r="AK114" s="18">
        <f>IF(A114=0,0,IFERROR(SUMIFS([1]Poblacion!V:V,[1]Poblacion!J:J,'MASTER-2025'!A114),0))</f>
        <v>0</v>
      </c>
      <c r="AL114" s="19">
        <f>IFERROR(VLOOKUP($A114,'[1]OB Atendidas por Donantes'!A:N,16,0),0)</f>
        <v>0</v>
      </c>
      <c r="AM114" s="19">
        <f>ROUNDUP(IF(A114=0,0,IFERROR(VLOOKUP($A114,'[1]Kilos Asignado del Donante'!A:O,16,0),0)),0)</f>
        <v>0</v>
      </c>
      <c r="AN114" s="19">
        <f>IF(A114=0,0,IFERROR(SUMIFS([1]Poblacion!Z:Z,[1]Poblacion!J:J,'MASTER-2025'!A114),0))</f>
        <v>0</v>
      </c>
      <c r="AO114" s="20">
        <f>IFERROR(VLOOKUP($A114,'[1]OB Atendidas por Donantes'!A:N,11,0),0)</f>
        <v>0</v>
      </c>
      <c r="AP114" s="20">
        <f>ROUNDUP(IF(A114=0,0,IFERROR(VLOOKUP($A114,'[1]Kilos Asignado del Donante'!A:N,13,0),0)),0)</f>
        <v>0</v>
      </c>
      <c r="AQ114" s="20">
        <f>IF(A114=0,0,IFERROR(SUMIFS([1]Poblacion!W:W,[1]Poblacion!J:J,'MASTER-2025'!A114),0))</f>
        <v>0</v>
      </c>
      <c r="AR114" s="18">
        <f>IFERROR(VLOOKUP($A114,'[1]OB Atendidas por Donantes'!A:N,5,0),0)</f>
        <v>0</v>
      </c>
      <c r="AS114" s="18">
        <f>ROUNDUP(IF(A114=0,0,IFERROR(VLOOKUP($A114,'[1]Kilos Asignado del Donante'!A:N,10,0),0)),0)</f>
        <v>0</v>
      </c>
      <c r="AT114" s="18">
        <f>IF(A114=0,0,IFERROR(SUMIFS([1]Poblacion!T:T,[1]Poblacion!J:J,'MASTER-2025'!A114),0))</f>
        <v>0</v>
      </c>
      <c r="AU114" s="19">
        <f>IFERROR(VLOOKUP($A114,'[1]OB Atendidas por Donantes'!A:N,13,0),0)</f>
        <v>0</v>
      </c>
      <c r="AV114" s="19">
        <f>ROUNDUP(IF(A114=0,0,IFERROR(VLOOKUP($A114,'[1]Kilos Asignado del Donante'!A:N,14,0),0)),0)</f>
        <v>0</v>
      </c>
      <c r="AW114" s="19">
        <f>IF(A114=0,0,IFERROR(SUMIFS([1]Poblacion!X:X,[1]Poblacion!J:J,'MASTER-2025'!A114),0))</f>
        <v>0</v>
      </c>
      <c r="AX114" s="20">
        <f>IFERROR(VLOOKUP($A114,'[1]OB Atendidas por Donantes'!A:N,16,0),0)</f>
        <v>0</v>
      </c>
      <c r="AY114" s="20">
        <f>ROUNDUP(IF(A114=0,0,IFERROR(VLOOKUP($A114,'[1]Kilos Asignado del Donante'!A:O,16,0),0)),0)</f>
        <v>0</v>
      </c>
      <c r="AZ114" s="20">
        <f>IF(A114=0,0,IFERROR(SUMIFS([1]Poblacion!Y:Y,[1]Poblacion!J:J,'MASTER-2025'!A114),0))</f>
        <v>0</v>
      </c>
      <c r="BA114" s="21">
        <f t="shared" si="43"/>
        <v>0</v>
      </c>
      <c r="BB114" s="21">
        <f t="shared" si="42"/>
        <v>0</v>
      </c>
      <c r="BC114" s="21">
        <f t="shared" si="39"/>
        <v>0</v>
      </c>
      <c r="BD114" s="21">
        <f t="shared" ref="BD114:BD130" si="44">IF(A114=0,0,(+J114+M114+P114+S114+V114+Y114+AB114+AE114+AH114+AK114+AN114+AQ114+AT114+AW114+AZ114))</f>
        <v>0</v>
      </c>
      <c r="BE114" s="22" t="e">
        <f>IF(A114=0,0,SUMIFS([1]Poblacion!C:C,[1]Poblacion!A:A,'MASTER-2025'!A114))</f>
        <v>#VALUE!</v>
      </c>
      <c r="BF114" s="22" t="e">
        <f>IF(A114=0,0,SUMIFS([1]Poblacion!D:D,[1]Poblacion!A:A,'MASTER-2025'!A114))</f>
        <v>#VALUE!</v>
      </c>
      <c r="BG114" s="22" t="e">
        <f>IF(A114=0,0,SUMIFS([1]Poblacion!E:E,[1]Poblacion!A:A,'MASTER-2025'!A114))</f>
        <v>#VALUE!</v>
      </c>
      <c r="BH114" s="22" t="e">
        <f>IF(A114=0,0,SUMIFS([1]Poblacion!F:F,[1]Poblacion!A:A,'MASTER-2025'!A114))</f>
        <v>#VALUE!</v>
      </c>
      <c r="BI114" s="22" t="e">
        <f t="shared" si="35"/>
        <v>#VALUE!</v>
      </c>
      <c r="BJ114" s="23" t="e">
        <f t="shared" si="30"/>
        <v>#VALUE!</v>
      </c>
      <c r="BK114" s="22" t="e">
        <f>IF(A114=0,0,SUMIFS([1]Poblacion!G:G,[1]Poblacion!A:A,'MASTER-2025'!A114))</f>
        <v>#VALUE!</v>
      </c>
      <c r="BL114" s="24" cm="1">
        <f t="array" ref="BL114:BW114">IFERROR(VLOOKUP(A114,'[1]Acum-OB-kg-pob-25'!A:AQ,{3,4,5,6,7,8,9,10,11,12,13,14},0),0)</f>
        <v>0</v>
      </c>
      <c r="BM114" s="24">
        <v>0</v>
      </c>
      <c r="BN114" s="24">
        <v>0</v>
      </c>
      <c r="BO114" s="24">
        <v>0</v>
      </c>
      <c r="BP114" s="24">
        <v>0</v>
      </c>
      <c r="BQ114" s="24">
        <v>0</v>
      </c>
      <c r="BR114" s="24">
        <v>0</v>
      </c>
      <c r="BS114" s="24">
        <v>0</v>
      </c>
      <c r="BT114" s="24">
        <v>0</v>
      </c>
      <c r="BU114" s="24">
        <v>0</v>
      </c>
      <c r="BV114" s="24">
        <v>0</v>
      </c>
      <c r="BW114" s="24">
        <v>0</v>
      </c>
      <c r="BX114" s="24">
        <f t="shared" si="31"/>
        <v>0</v>
      </c>
      <c r="BY114" s="25" cm="1">
        <f t="array" ref="BY114:CJ114">IFERROR(VLOOKUP(A114,'[1]Acum-OB-kg-pob-25'!A:AQ,{17,18,19,20,21,22,23,24,25,26,27,28},0),0)</f>
        <v>0</v>
      </c>
      <c r="BZ114" s="25">
        <v>0</v>
      </c>
      <c r="CA114" s="25">
        <v>70</v>
      </c>
      <c r="CB114" s="25">
        <v>0</v>
      </c>
      <c r="CC114" s="25">
        <v>0</v>
      </c>
      <c r="CD114" s="25">
        <v>0</v>
      </c>
      <c r="CE114" s="25">
        <v>0</v>
      </c>
      <c r="CF114" s="25">
        <v>0</v>
      </c>
      <c r="CG114" s="25">
        <v>0</v>
      </c>
      <c r="CH114" s="25">
        <v>0</v>
      </c>
      <c r="CI114" s="25">
        <v>0</v>
      </c>
      <c r="CJ114" s="25">
        <v>0</v>
      </c>
      <c r="CK114" s="25">
        <f t="shared" si="32"/>
        <v>70</v>
      </c>
      <c r="CL114" s="26" cm="1">
        <f t="array" ref="CL114:CW114">IFERROR(VLOOKUP(A114,'[1]Acum-OB-kg-pob-25'!A:AQ,{31,32,33,34,35,36,37,38,39,40,41,42},0),0)</f>
        <v>0</v>
      </c>
      <c r="CM114" s="26">
        <v>0</v>
      </c>
      <c r="CN114" s="26">
        <v>0</v>
      </c>
      <c r="CO114" s="26">
        <v>0</v>
      </c>
      <c r="CP114" s="26">
        <v>0</v>
      </c>
      <c r="CQ114" s="26">
        <v>0</v>
      </c>
      <c r="CR114" s="26">
        <v>0</v>
      </c>
      <c r="CS114" s="26">
        <v>0</v>
      </c>
      <c r="CT114" s="26">
        <v>0</v>
      </c>
      <c r="CU114" s="26">
        <v>0</v>
      </c>
      <c r="CV114" s="26">
        <v>0</v>
      </c>
      <c r="CW114" s="26">
        <v>0</v>
      </c>
      <c r="CX114" s="26">
        <f t="shared" si="33"/>
        <v>0</v>
      </c>
      <c r="CY114" s="14" t="str">
        <f>IF(A114=0,0,IFERROR(VLOOKUP(A114,'[1]Info Donantes'!C:F,2,0),"Sin Contacto"))</f>
        <v>Sin Contacto</v>
      </c>
      <c r="CZ114" s="14" t="str">
        <f>IF(A114=0,0,IFERROR(VLOOKUP(A114,'[1]Info Donantes'!C:F,3,0),"Sin Correo"))</f>
        <v>Sin Correo</v>
      </c>
      <c r="DA114" s="14" t="str">
        <f>IF(A114=0,0,IFERROR(VLOOKUP(A114,'[1]Info Donantes'!C:F,4,0),"Sin Telefono"))</f>
        <v>Sin Telefono</v>
      </c>
      <c r="DB114" s="14" t="str">
        <f>IF(A114=0,0,"Reporte de Trazabiidad"&amp;" - "&amp;'[1]Resumen Donantes'!$C$2&amp;" - "&amp;A114&amp;"")</f>
        <v>Reporte de Trazabiidad -  - Federación Nacional de Cooperativas Salineras de Panamá (FENCOSPA, R.L.)</v>
      </c>
    </row>
    <row r="115" spans="1:106" x14ac:dyDescent="0.55000000000000004">
      <c r="A115" s="32" t="s">
        <v>219</v>
      </c>
      <c r="B115" s="15">
        <f>INT(IFERROR(VLOOKUP(A115,'[1]Resumen Donantes'!C:F,3,0),0))</f>
        <v>0</v>
      </c>
      <c r="C115" s="15">
        <f>INT(ROUND(IFERROR(VLOOKUP(A115,'[1]Resumen Donantes'!C:F,4,0),0),1))</f>
        <v>0</v>
      </c>
      <c r="D115" s="16">
        <f t="shared" si="36"/>
        <v>0</v>
      </c>
      <c r="E115" s="17" t="str">
        <f t="shared" si="37"/>
        <v>0.00%</v>
      </c>
      <c r="F115" s="17" t="str">
        <f t="shared" si="38"/>
        <v>0.0%</v>
      </c>
      <c r="G115" s="15">
        <f t="shared" si="40"/>
        <v>0</v>
      </c>
      <c r="H115" s="18"/>
      <c r="I115" s="18">
        <f>IFERROR(VLOOKUP(A115,'[1]Lot All by Part'!T:Y,6,0),0)</f>
        <v>0</v>
      </c>
      <c r="J115" s="18"/>
      <c r="K115" s="19">
        <f>IFERROR(VLOOKUP($A115,'[1]OB Atendidas por Donantes'!A:N,3,0),0)</f>
        <v>0</v>
      </c>
      <c r="L115" s="19">
        <f>ROUNDUP(IF(A115=0,0,IFERROR(VLOOKUP($A115,'[1]Kilos Asignado del Donante'!A:O,3,0),0)),0)</f>
        <v>0</v>
      </c>
      <c r="M115" s="19">
        <f>IF(A115=0,0,IFERROR(SUMIFS([1]Poblacion!M:M,[1]Poblacion!J:J,'MASTER-2025'!A115),0))</f>
        <v>0</v>
      </c>
      <c r="N115" s="20">
        <f>IFERROR(VLOOKUP($A115,'[1]OB Atendidas por Donantes'!A:N,4,0),0)</f>
        <v>0</v>
      </c>
      <c r="O115" s="20">
        <f>ROUNDUP(IF(A115=0,0,IFERROR(VLOOKUP($A115,'[1]Kilos Asignado del Donante'!A:O,4,0),0)),0)</f>
        <v>0</v>
      </c>
      <c r="P115" s="20">
        <f>IF(A115=0,0,IFERROR(SUMIFS([1]Poblacion!N:N,[1]Poblacion!J:J,'MASTER-2025'!A115),0))</f>
        <v>0</v>
      </c>
      <c r="Q115" s="18">
        <f>IFERROR(VLOOKUP($A115,'[1]OB Atendidas por Donantes'!A:N,2,0),0)</f>
        <v>0</v>
      </c>
      <c r="R115" s="18">
        <f>ROUNDUP(ROUND(IF(A115=0,0,IFERROR(VLOOKUP($A115,'[1]Kilos Asignado del Donante'!A:O,9,0),0)),1),0)</f>
        <v>0</v>
      </c>
      <c r="S115" s="18">
        <f>IF(A115=0,0,IFERROR(SUMIFS([1]Poblacion!S:S,[1]Poblacion!J:J,'MASTER-2025'!A115),0))</f>
        <v>0</v>
      </c>
      <c r="T115" s="19">
        <f>IFERROR(VLOOKUP($A115,'[1]OB Atendidas por Donantes'!A:N,12,0),0)</f>
        <v>0</v>
      </c>
      <c r="U115" s="19">
        <f>ROUNDUP(IF(A115=0,0,IF(A115=0,0,IFERROR(VLOOKUP($A115,'[1]Kilos Asignado del Donante'!A:O,7,0),0))),0)</f>
        <v>0</v>
      </c>
      <c r="V115" s="19">
        <f>IF(A115=0,0,IFERROR(SUMIFS([1]Poblacion!Q:Q,[1]Poblacion!J:J,'MASTER-2025'!A115),0))</f>
        <v>0</v>
      </c>
      <c r="W115" s="20">
        <f>IFERROR(VLOOKUP($A115,'[1]OB Atendidas por Donantes'!A:N,10,0),0)</f>
        <v>0</v>
      </c>
      <c r="X115" s="20">
        <f>ROUNDUP(IF(A115=0,0,IFERROR(VLOOKUP($A115,'[1]Kilos Asignado del Donante'!A:N,5,0),0)),0)</f>
        <v>0</v>
      </c>
      <c r="Y115" s="20">
        <f>IF(A115=0,0,IFERROR(SUMIFS([1]Poblacion!O:O,[1]Poblacion!J:J,'MASTER-2025'!A115),0))</f>
        <v>0</v>
      </c>
      <c r="Z115" s="18">
        <f>IFERROR(VLOOKUP($A115,'[1]OB Atendidas por Donantes'!A:N,6,0),0)</f>
        <v>0</v>
      </c>
      <c r="AA115" s="18">
        <f>ROUNDUP(IF(A115=0,0,IFERROR(VLOOKUP($A115,'[1]Kilos Asignado del Donante'!A:N,11,0),0)),0)</f>
        <v>0</v>
      </c>
      <c r="AB115" s="18">
        <f>IF(A115=0,0,IFERROR(SUMIFS([1]Poblacion!U:U,[1]Poblacion!J:J,'MASTER-2025'!A115),0))</f>
        <v>0</v>
      </c>
      <c r="AC115" s="19">
        <f>IFERROR(VLOOKUP($A115,'[1]OB Atendidas por Donantes'!A:N,7,0),0)</f>
        <v>0</v>
      </c>
      <c r="AD115" s="19">
        <f>ROUNDUP(IF(A115=0,0,IFERROR(VLOOKUP($A115,'[1]Kilos Asignado del Donante'!A:N,8,0),0)),0)</f>
        <v>0</v>
      </c>
      <c r="AE115" s="19">
        <f>IF(A115=0,0,IFERROR(SUMIFS([1]Poblacion!R:R,[1]Poblacion!J:J,'MASTER-2025'!A115),0))</f>
        <v>0</v>
      </c>
      <c r="AF115" s="20">
        <f>IFERROR(VLOOKUP($A115,'[1]OB Atendidas por Donantes'!A:N,8,0),0)</f>
        <v>0</v>
      </c>
      <c r="AG115" s="20">
        <f>ROUNDUP(IF(A115=0,0,IFERROR(VLOOKUP($A115,'[1]Kilos Asignado del Donante'!A:N,6,0),0)),0)</f>
        <v>0</v>
      </c>
      <c r="AH115" s="20">
        <f>IF(A115=0,0,IFERROR(SUMIFS([1]Poblacion!P:P,[1]Poblacion!J:J,'MASTER-2025'!A115),0))</f>
        <v>0</v>
      </c>
      <c r="AI115" s="18">
        <f>IFERROR(VLOOKUP($A115,'[1]OB Atendidas por Donantes'!A:N,9,0),0)</f>
        <v>0</v>
      </c>
      <c r="AJ115" s="18">
        <f>ROUNDUP(IF(A115=0,0,IFERROR(VLOOKUP($A115,'[1]Kilos Asignado del Donante'!A:N,12,0),0)),0)</f>
        <v>0</v>
      </c>
      <c r="AK115" s="18">
        <f>IF(A115=0,0,IFERROR(SUMIFS([1]Poblacion!V:V,[1]Poblacion!J:J,'MASTER-2025'!A115),0))</f>
        <v>0</v>
      </c>
      <c r="AL115" s="19">
        <f>IFERROR(VLOOKUP($A115,'[1]OB Atendidas por Donantes'!A:N,16,0),0)</f>
        <v>0</v>
      </c>
      <c r="AM115" s="19">
        <f>ROUNDUP(IF(A115=0,0,IFERROR(VLOOKUP($A115,'[1]Kilos Asignado del Donante'!A:O,16,0),0)),0)</f>
        <v>0</v>
      </c>
      <c r="AN115" s="19">
        <f>IF(A115=0,0,IFERROR(SUMIFS([1]Poblacion!Z:Z,[1]Poblacion!J:J,'MASTER-2025'!A115),0))</f>
        <v>0</v>
      </c>
      <c r="AO115" s="20">
        <f>IFERROR(VLOOKUP($A115,'[1]OB Atendidas por Donantes'!A:N,11,0),0)</f>
        <v>0</v>
      </c>
      <c r="AP115" s="20">
        <f>ROUNDUP(IF(A115=0,0,IFERROR(VLOOKUP($A115,'[1]Kilos Asignado del Donante'!A:N,13,0),0)),0)</f>
        <v>0</v>
      </c>
      <c r="AQ115" s="20">
        <f>IF(A115=0,0,IFERROR(SUMIFS([1]Poblacion!W:W,[1]Poblacion!J:J,'MASTER-2025'!A115),0))</f>
        <v>0</v>
      </c>
      <c r="AR115" s="18">
        <f>IFERROR(VLOOKUP($A115,'[1]OB Atendidas por Donantes'!A:N,5,0),0)</f>
        <v>0</v>
      </c>
      <c r="AS115" s="18">
        <f>ROUNDUP(IF(A115=0,0,IFERROR(VLOOKUP($A115,'[1]Kilos Asignado del Donante'!A:N,10,0),0)),0)</f>
        <v>0</v>
      </c>
      <c r="AT115" s="18">
        <f>IF(A115=0,0,IFERROR(SUMIFS([1]Poblacion!T:T,[1]Poblacion!J:J,'MASTER-2025'!A115),0))</f>
        <v>0</v>
      </c>
      <c r="AU115" s="19">
        <f>IFERROR(VLOOKUP($A115,'[1]OB Atendidas por Donantes'!A:N,13,0),0)</f>
        <v>0</v>
      </c>
      <c r="AV115" s="19">
        <f>ROUNDUP(IF(A115=0,0,IFERROR(VLOOKUP($A115,'[1]Kilos Asignado del Donante'!A:N,14,0),0)),0)</f>
        <v>0</v>
      </c>
      <c r="AW115" s="19">
        <f>IF(A115=0,0,IFERROR(SUMIFS([1]Poblacion!X:X,[1]Poblacion!J:J,'MASTER-2025'!A115),0))</f>
        <v>0</v>
      </c>
      <c r="AX115" s="20">
        <f>IFERROR(VLOOKUP($A115,'[1]OB Atendidas por Donantes'!A:N,16,0),0)</f>
        <v>0</v>
      </c>
      <c r="AY115" s="20">
        <f>ROUNDUP(IF(A115=0,0,IFERROR(VLOOKUP($A115,'[1]Kilos Asignado del Donante'!A:O,16,0),0)),0)</f>
        <v>0</v>
      </c>
      <c r="AZ115" s="20">
        <f>IF(A115=0,0,IFERROR(SUMIFS([1]Poblacion!Y:Y,[1]Poblacion!J:J,'MASTER-2025'!A115),0))</f>
        <v>0</v>
      </c>
      <c r="BA115" s="21">
        <f t="shared" si="43"/>
        <v>0</v>
      </c>
      <c r="BB115" s="21">
        <f t="shared" si="42"/>
        <v>0</v>
      </c>
      <c r="BC115" s="21">
        <f t="shared" si="39"/>
        <v>0</v>
      </c>
      <c r="BD115" s="21">
        <f t="shared" si="44"/>
        <v>0</v>
      </c>
      <c r="BE115" s="22" t="e">
        <f>IF(A115=0,0,SUMIFS([1]Poblacion!C:C,[1]Poblacion!A:A,'MASTER-2025'!A115))</f>
        <v>#VALUE!</v>
      </c>
      <c r="BF115" s="22" t="e">
        <f>IF(A115=0,0,SUMIFS([1]Poblacion!D:D,[1]Poblacion!A:A,'MASTER-2025'!A115))</f>
        <v>#VALUE!</v>
      </c>
      <c r="BG115" s="22" t="e">
        <f>IF(A115=0,0,SUMIFS([1]Poblacion!E:E,[1]Poblacion!A:A,'MASTER-2025'!A115))</f>
        <v>#VALUE!</v>
      </c>
      <c r="BH115" s="22" t="e">
        <f>IF(A115=0,0,SUMIFS([1]Poblacion!F:F,[1]Poblacion!A:A,'MASTER-2025'!A115))</f>
        <v>#VALUE!</v>
      </c>
      <c r="BI115" s="22" t="e">
        <f t="shared" si="35"/>
        <v>#VALUE!</v>
      </c>
      <c r="BJ115" s="23" t="e">
        <f t="shared" si="30"/>
        <v>#VALUE!</v>
      </c>
      <c r="BK115" s="22" t="e">
        <f>IF(A115=0,0,SUMIFS([1]Poblacion!G:G,[1]Poblacion!A:A,'MASTER-2025'!A115))</f>
        <v>#VALUE!</v>
      </c>
      <c r="BL115" s="24" cm="1">
        <f t="array" ref="BL115:BW115">IFERROR(VLOOKUP(A115,'[1]Acum-OB-kg-pob-25'!A:AQ,{3,4,5,6,7,8,9,10,11,12,13,14},0),0)</f>
        <v>0</v>
      </c>
      <c r="BM115" s="24">
        <v>0</v>
      </c>
      <c r="BN115" s="24">
        <v>0</v>
      </c>
      <c r="BO115" s="24">
        <v>0</v>
      </c>
      <c r="BP115" s="24">
        <v>0</v>
      </c>
      <c r="BQ115" s="24">
        <v>0</v>
      </c>
      <c r="BR115" s="24">
        <v>0</v>
      </c>
      <c r="BS115" s="24">
        <v>0</v>
      </c>
      <c r="BT115" s="24">
        <v>0</v>
      </c>
      <c r="BU115" s="24">
        <v>0</v>
      </c>
      <c r="BV115" s="24">
        <v>0</v>
      </c>
      <c r="BW115" s="24">
        <v>0</v>
      </c>
      <c r="BX115" s="24">
        <f t="shared" si="31"/>
        <v>0</v>
      </c>
      <c r="BY115" s="25" cm="1">
        <f t="array" ref="BY115:CJ115">IFERROR(VLOOKUP(A115,'[1]Acum-OB-kg-pob-25'!A:AQ,{17,18,19,20,21,22,23,24,25,26,27,28},0),0)</f>
        <v>0</v>
      </c>
      <c r="BZ115" s="25">
        <v>0</v>
      </c>
      <c r="CA115" s="25">
        <v>0</v>
      </c>
      <c r="CB115" s="25">
        <v>0</v>
      </c>
      <c r="CC115" s="25">
        <v>0</v>
      </c>
      <c r="CD115" s="25">
        <v>0</v>
      </c>
      <c r="CE115" s="25">
        <v>0</v>
      </c>
      <c r="CF115" s="25">
        <v>0</v>
      </c>
      <c r="CG115" s="25">
        <v>0</v>
      </c>
      <c r="CH115" s="25">
        <v>0</v>
      </c>
      <c r="CI115" s="25">
        <v>0</v>
      </c>
      <c r="CJ115" s="25">
        <v>0</v>
      </c>
      <c r="CK115" s="25">
        <f t="shared" si="32"/>
        <v>0</v>
      </c>
      <c r="CL115" s="26" cm="1">
        <f t="array" ref="CL115:CW115">IFERROR(VLOOKUP(A115,'[1]Acum-OB-kg-pob-25'!A:AQ,{31,32,33,34,35,36,37,38,39,40,41,42},0),0)</f>
        <v>0</v>
      </c>
      <c r="CM115" s="26">
        <v>0</v>
      </c>
      <c r="CN115" s="26">
        <v>0</v>
      </c>
      <c r="CO115" s="26">
        <v>0</v>
      </c>
      <c r="CP115" s="26">
        <v>0</v>
      </c>
      <c r="CQ115" s="26">
        <v>0</v>
      </c>
      <c r="CR115" s="26">
        <v>0</v>
      </c>
      <c r="CS115" s="26">
        <v>0</v>
      </c>
      <c r="CT115" s="26">
        <v>0</v>
      </c>
      <c r="CU115" s="26">
        <v>0</v>
      </c>
      <c r="CV115" s="26">
        <v>0</v>
      </c>
      <c r="CW115" s="26">
        <v>0</v>
      </c>
      <c r="CX115" s="26">
        <f t="shared" si="33"/>
        <v>0</v>
      </c>
      <c r="CY115" s="14" t="str">
        <f>IF(A115=0,0,IFERROR(VLOOKUP(A115,'[1]Info Donantes'!C:F,2,0),"Sin Contacto"))</f>
        <v>Maria Suárez</v>
      </c>
      <c r="CZ115" s="14">
        <f>IF(A115=0,0,IFERROR(VLOOKUP(A115,'[1]Info Donantes'!C:F,3,0),"Sin Correo"))</f>
        <v>0</v>
      </c>
      <c r="DA115" s="14" t="str">
        <f>IF(A115=0,0,IFERROR(VLOOKUP(A115,'[1]Info Donantes'!C:F,4,0),"Sin Telefono"))</f>
        <v>293-3100</v>
      </c>
      <c r="DB115" s="14" t="str">
        <f>IF(A115=0,0,"Reporte de Trazabiidad"&amp;" - "&amp;'[1]Resumen Donantes'!$C$2&amp;" - "&amp;A115&amp;"")</f>
        <v>Reporte de Trazabiidad -  - RODOLFO MORENO Y CIA (ROMOCIA)</v>
      </c>
    </row>
    <row r="116" spans="1:106" x14ac:dyDescent="0.55000000000000004">
      <c r="A116" s="32" t="s">
        <v>220</v>
      </c>
      <c r="B116" s="15">
        <f>INT(IFERROR(VLOOKUP(A116,'[1]Resumen Donantes'!C:F,3,0),0))</f>
        <v>0</v>
      </c>
      <c r="C116" s="15">
        <f>INT(ROUND(IFERROR(VLOOKUP(A116,'[1]Resumen Donantes'!C:F,4,0),0),1))</f>
        <v>0</v>
      </c>
      <c r="D116" s="16">
        <f t="shared" si="36"/>
        <v>0</v>
      </c>
      <c r="E116" s="17" t="str">
        <f t="shared" si="37"/>
        <v>0.00%</v>
      </c>
      <c r="F116" s="17" t="str">
        <f t="shared" si="38"/>
        <v>0.0%</v>
      </c>
      <c r="G116" s="15">
        <f t="shared" si="40"/>
        <v>0</v>
      </c>
      <c r="H116" s="18"/>
      <c r="I116" s="18">
        <f>IFERROR(VLOOKUP(A116,'[1]Lot All by Part'!T:Y,6,0),0)</f>
        <v>0</v>
      </c>
      <c r="J116" s="18"/>
      <c r="K116" s="19">
        <f>IFERROR(VLOOKUP($A116,'[1]OB Atendidas por Donantes'!A:N,3,0),0)</f>
        <v>0</v>
      </c>
      <c r="L116" s="19">
        <f>ROUNDUP(IF(A116=0,0,IFERROR(VLOOKUP($A116,'[1]Kilos Asignado del Donante'!A:O,3,0),0)),0)</f>
        <v>0</v>
      </c>
      <c r="M116" s="19">
        <f>IF(A116=0,0,IFERROR(SUMIFS([1]Poblacion!M:M,[1]Poblacion!J:J,'MASTER-2025'!A116),0))</f>
        <v>0</v>
      </c>
      <c r="N116" s="20">
        <f>IFERROR(VLOOKUP($A116,'[1]OB Atendidas por Donantes'!A:N,4,0),0)</f>
        <v>0</v>
      </c>
      <c r="O116" s="20">
        <f>ROUNDUP(IF(A116=0,0,IFERROR(VLOOKUP($A116,'[1]Kilos Asignado del Donante'!A:O,4,0),0)),0)</f>
        <v>0</v>
      </c>
      <c r="P116" s="20">
        <f>IF(A116=0,0,IFERROR(SUMIFS([1]Poblacion!N:N,[1]Poblacion!J:J,'MASTER-2025'!A116),0))</f>
        <v>0</v>
      </c>
      <c r="Q116" s="18">
        <f>IFERROR(VLOOKUP($A116,'[1]OB Atendidas por Donantes'!A:N,2,0),0)</f>
        <v>0</v>
      </c>
      <c r="R116" s="18">
        <f>ROUNDUP(ROUND(IF(A116=0,0,IFERROR(VLOOKUP($A116,'[1]Kilos Asignado del Donante'!A:O,9,0),0)),1),0)</f>
        <v>0</v>
      </c>
      <c r="S116" s="18">
        <f>IF(A116=0,0,IFERROR(SUMIFS([1]Poblacion!S:S,[1]Poblacion!J:J,'MASTER-2025'!A116),0))</f>
        <v>0</v>
      </c>
      <c r="T116" s="19">
        <f>IFERROR(VLOOKUP($A116,'[1]OB Atendidas por Donantes'!A:N,12,0),0)</f>
        <v>0</v>
      </c>
      <c r="U116" s="19">
        <f>ROUNDUP(IF(A116=0,0,IF(A116=0,0,IFERROR(VLOOKUP($A116,'[1]Kilos Asignado del Donante'!A:O,7,0),0))),0)</f>
        <v>0</v>
      </c>
      <c r="V116" s="19">
        <f>IF(A116=0,0,IFERROR(SUMIFS([1]Poblacion!Q:Q,[1]Poblacion!J:J,'MASTER-2025'!A116),0))</f>
        <v>0</v>
      </c>
      <c r="W116" s="20">
        <f>IFERROR(VLOOKUP($A116,'[1]OB Atendidas por Donantes'!A:N,10,0),0)</f>
        <v>0</v>
      </c>
      <c r="X116" s="20">
        <f>ROUNDUP(IF(A116=0,0,IFERROR(VLOOKUP($A116,'[1]Kilos Asignado del Donante'!A:N,5,0),0)),0)</f>
        <v>0</v>
      </c>
      <c r="Y116" s="20">
        <f>IF(A116=0,0,IFERROR(SUMIFS([1]Poblacion!O:O,[1]Poblacion!J:J,'MASTER-2025'!A116),0))</f>
        <v>0</v>
      </c>
      <c r="Z116" s="18">
        <f>IFERROR(VLOOKUP($A116,'[1]OB Atendidas por Donantes'!A:N,6,0),0)</f>
        <v>0</v>
      </c>
      <c r="AA116" s="18">
        <f>ROUNDUP(IF(A116=0,0,IFERROR(VLOOKUP($A116,'[1]Kilos Asignado del Donante'!A:N,11,0),0)),0)</f>
        <v>0</v>
      </c>
      <c r="AB116" s="18">
        <f>IF(A116=0,0,IFERROR(SUMIFS([1]Poblacion!U:U,[1]Poblacion!J:J,'MASTER-2025'!A116),0))</f>
        <v>0</v>
      </c>
      <c r="AC116" s="19">
        <f>IFERROR(VLOOKUP($A116,'[1]OB Atendidas por Donantes'!A:N,7,0),0)</f>
        <v>0</v>
      </c>
      <c r="AD116" s="19">
        <f>ROUNDUP(IF(A116=0,0,IFERROR(VLOOKUP($A116,'[1]Kilos Asignado del Donante'!A:N,8,0),0)),0)</f>
        <v>0</v>
      </c>
      <c r="AE116" s="19">
        <f>IF(A116=0,0,IFERROR(SUMIFS([1]Poblacion!R:R,[1]Poblacion!J:J,'MASTER-2025'!A116),0))</f>
        <v>0</v>
      </c>
      <c r="AF116" s="20">
        <f>IFERROR(VLOOKUP($A116,'[1]OB Atendidas por Donantes'!A:N,8,0),0)</f>
        <v>0</v>
      </c>
      <c r="AG116" s="20">
        <f>ROUNDUP(IF(A116=0,0,IFERROR(VLOOKUP($A116,'[1]Kilos Asignado del Donante'!A:N,6,0),0)),0)</f>
        <v>0</v>
      </c>
      <c r="AH116" s="20">
        <f>IF(A116=0,0,IFERROR(SUMIFS([1]Poblacion!P:P,[1]Poblacion!J:J,'MASTER-2025'!A116),0))</f>
        <v>0</v>
      </c>
      <c r="AI116" s="18">
        <f>IFERROR(VLOOKUP($A116,'[1]OB Atendidas por Donantes'!A:N,9,0),0)</f>
        <v>0</v>
      </c>
      <c r="AJ116" s="18">
        <f>ROUNDUP(IF(A116=0,0,IFERROR(VLOOKUP($A116,'[1]Kilos Asignado del Donante'!A:N,12,0),0)),0)</f>
        <v>0</v>
      </c>
      <c r="AK116" s="18">
        <f>IF(A116=0,0,IFERROR(SUMIFS([1]Poblacion!V:V,[1]Poblacion!J:J,'MASTER-2025'!A116),0))</f>
        <v>0</v>
      </c>
      <c r="AL116" s="19">
        <f>IFERROR(VLOOKUP($A116,'[1]OB Atendidas por Donantes'!A:N,16,0),0)</f>
        <v>0</v>
      </c>
      <c r="AM116" s="19">
        <f>ROUNDUP(IF(A116=0,0,IFERROR(VLOOKUP($A116,'[1]Kilos Asignado del Donante'!A:O,16,0),0)),0)</f>
        <v>0</v>
      </c>
      <c r="AN116" s="19">
        <f>IF(A116=0,0,IFERROR(SUMIFS([1]Poblacion!Z:Z,[1]Poblacion!J:J,'MASTER-2025'!A116),0))</f>
        <v>0</v>
      </c>
      <c r="AO116" s="20">
        <f>IFERROR(VLOOKUP($A116,'[1]OB Atendidas por Donantes'!A:N,11,0),0)</f>
        <v>0</v>
      </c>
      <c r="AP116" s="20">
        <f>ROUNDUP(IF(A116=0,0,IFERROR(VLOOKUP($A116,'[1]Kilos Asignado del Donante'!A:N,13,0),0)),0)</f>
        <v>0</v>
      </c>
      <c r="AQ116" s="20">
        <f>IF(A116=0,0,IFERROR(SUMIFS([1]Poblacion!W:W,[1]Poblacion!J:J,'MASTER-2025'!A116),0))</f>
        <v>0</v>
      </c>
      <c r="AR116" s="18">
        <f>IFERROR(VLOOKUP($A116,'[1]OB Atendidas por Donantes'!A:N,5,0),0)</f>
        <v>0</v>
      </c>
      <c r="AS116" s="18">
        <f>ROUNDUP(IF(A116=0,0,IFERROR(VLOOKUP($A116,'[1]Kilos Asignado del Donante'!A:N,10,0),0)),0)</f>
        <v>0</v>
      </c>
      <c r="AT116" s="18">
        <f>IF(A116=0,0,IFERROR(SUMIFS([1]Poblacion!T:T,[1]Poblacion!J:J,'MASTER-2025'!A116),0))</f>
        <v>0</v>
      </c>
      <c r="AU116" s="19">
        <f>IFERROR(VLOOKUP($A116,'[1]OB Atendidas por Donantes'!A:N,13,0),0)</f>
        <v>0</v>
      </c>
      <c r="AV116" s="19">
        <f>ROUNDUP(IF(A116=0,0,IFERROR(VLOOKUP($A116,'[1]Kilos Asignado del Donante'!A:N,14,0),0)),0)</f>
        <v>0</v>
      </c>
      <c r="AW116" s="19">
        <f>IF(A116=0,0,IFERROR(SUMIFS([1]Poblacion!X:X,[1]Poblacion!J:J,'MASTER-2025'!A116),0))</f>
        <v>0</v>
      </c>
      <c r="AX116" s="20">
        <f>IFERROR(VLOOKUP($A116,'[1]OB Atendidas por Donantes'!A:N,16,0),0)</f>
        <v>0</v>
      </c>
      <c r="AY116" s="20">
        <f>ROUNDUP(IF(A116=0,0,IFERROR(VLOOKUP($A116,'[1]Kilos Asignado del Donante'!A:O,16,0),0)),0)</f>
        <v>0</v>
      </c>
      <c r="AZ116" s="20">
        <f>IF(A116=0,0,IFERROR(SUMIFS([1]Poblacion!Y:Y,[1]Poblacion!J:J,'MASTER-2025'!A116),0))</f>
        <v>0</v>
      </c>
      <c r="BA116" s="21">
        <f t="shared" si="43"/>
        <v>0</v>
      </c>
      <c r="BB116" s="21">
        <f t="shared" si="42"/>
        <v>0</v>
      </c>
      <c r="BC116" s="21">
        <f t="shared" si="39"/>
        <v>0</v>
      </c>
      <c r="BD116" s="21">
        <f t="shared" si="44"/>
        <v>0</v>
      </c>
      <c r="BE116" s="22" t="e">
        <f>IF(A116=0,0,SUMIFS([1]Poblacion!C:C,[1]Poblacion!A:A,'MASTER-2025'!A116))</f>
        <v>#VALUE!</v>
      </c>
      <c r="BF116" s="22" t="e">
        <f>IF(A116=0,0,SUMIFS([1]Poblacion!D:D,[1]Poblacion!A:A,'MASTER-2025'!A116))</f>
        <v>#VALUE!</v>
      </c>
      <c r="BG116" s="22" t="e">
        <f>IF(A116=0,0,SUMIFS([1]Poblacion!E:E,[1]Poblacion!A:A,'MASTER-2025'!A116))</f>
        <v>#VALUE!</v>
      </c>
      <c r="BH116" s="22" t="e">
        <f>IF(A116=0,0,SUMIFS([1]Poblacion!F:F,[1]Poblacion!A:A,'MASTER-2025'!A116))</f>
        <v>#VALUE!</v>
      </c>
      <c r="BI116" s="22" t="e">
        <f t="shared" si="35"/>
        <v>#VALUE!</v>
      </c>
      <c r="BJ116" s="23" t="e">
        <f t="shared" si="30"/>
        <v>#VALUE!</v>
      </c>
      <c r="BK116" s="22" t="e">
        <f>IF(A116=0,0,SUMIFS([1]Poblacion!G:G,[1]Poblacion!A:A,'MASTER-2025'!A116))</f>
        <v>#VALUE!</v>
      </c>
      <c r="BL116" s="24" cm="1">
        <f t="array" ref="BL116:BW116">IFERROR(VLOOKUP(A116,'[1]Acum-OB-kg-pob-25'!A:AQ,{3,4,5,6,7,8,9,10,11,12,13,14},0),0)</f>
        <v>0</v>
      </c>
      <c r="BM116" s="24">
        <v>0</v>
      </c>
      <c r="BN116" s="24">
        <v>0</v>
      </c>
      <c r="BO116" s="24">
        <v>0</v>
      </c>
      <c r="BP116" s="24">
        <v>0</v>
      </c>
      <c r="BQ116" s="24">
        <v>0</v>
      </c>
      <c r="BR116" s="24">
        <v>0</v>
      </c>
      <c r="BS116" s="24">
        <v>0</v>
      </c>
      <c r="BT116" s="24">
        <v>0</v>
      </c>
      <c r="BU116" s="24">
        <v>0</v>
      </c>
      <c r="BV116" s="24">
        <v>0</v>
      </c>
      <c r="BW116" s="24">
        <v>0</v>
      </c>
      <c r="BX116" s="24">
        <f t="shared" si="31"/>
        <v>0</v>
      </c>
      <c r="BY116" s="25" cm="1">
        <f t="array" ref="BY116:CJ116">IFERROR(VLOOKUP(A116,'[1]Acum-OB-kg-pob-25'!A:AQ,{17,18,19,20,21,22,23,24,25,26,27,28},0),0)</f>
        <v>0</v>
      </c>
      <c r="BZ116" s="25">
        <v>0</v>
      </c>
      <c r="CA116" s="25">
        <v>0</v>
      </c>
      <c r="CB116" s="25">
        <v>0</v>
      </c>
      <c r="CC116" s="25">
        <v>0</v>
      </c>
      <c r="CD116" s="25">
        <v>0</v>
      </c>
      <c r="CE116" s="25">
        <v>0</v>
      </c>
      <c r="CF116" s="25">
        <v>0</v>
      </c>
      <c r="CG116" s="25">
        <v>0</v>
      </c>
      <c r="CH116" s="25">
        <v>0</v>
      </c>
      <c r="CI116" s="25">
        <v>0</v>
      </c>
      <c r="CJ116" s="25">
        <v>0</v>
      </c>
      <c r="CK116" s="25">
        <f t="shared" si="32"/>
        <v>0</v>
      </c>
      <c r="CL116" s="26" cm="1">
        <f t="array" ref="CL116:CW116">IFERROR(VLOOKUP(A116,'[1]Acum-OB-kg-pob-25'!A:AQ,{31,32,33,34,35,36,37,38,39,40,41,42},0),0)</f>
        <v>0</v>
      </c>
      <c r="CM116" s="26">
        <v>0</v>
      </c>
      <c r="CN116" s="26">
        <v>0</v>
      </c>
      <c r="CO116" s="26">
        <v>0</v>
      </c>
      <c r="CP116" s="26">
        <v>0</v>
      </c>
      <c r="CQ116" s="26">
        <v>0</v>
      </c>
      <c r="CR116" s="26">
        <v>0</v>
      </c>
      <c r="CS116" s="26">
        <v>0</v>
      </c>
      <c r="CT116" s="26">
        <v>0</v>
      </c>
      <c r="CU116" s="26">
        <v>0</v>
      </c>
      <c r="CV116" s="26">
        <v>0</v>
      </c>
      <c r="CW116" s="26">
        <v>0</v>
      </c>
      <c r="CX116" s="26">
        <f t="shared" si="33"/>
        <v>0</v>
      </c>
      <c r="CY116" s="14" t="str">
        <f>IF(A116=0,0,IFERROR(VLOOKUP(A116,'[1]Info Donantes'!C:F,2,0),"Sin Contacto"))</f>
        <v>Sin Contacto</v>
      </c>
      <c r="CZ116" s="14" t="str">
        <f>IF(A116=0,0,IFERROR(VLOOKUP(A116,'[1]Info Donantes'!C:F,3,0),"Sin Correo"))</f>
        <v>Sin Correo</v>
      </c>
      <c r="DA116" s="14" t="str">
        <f>IF(A116=0,0,IFERROR(VLOOKUP(A116,'[1]Info Donantes'!C:F,4,0),"Sin Telefono"))</f>
        <v>Sin Telefono</v>
      </c>
      <c r="DB116" s="14" t="str">
        <f>IF(A116=0,0,"Reporte de Trazabiidad"&amp;" - "&amp;'[1]Resumen Donantes'!$C$2&amp;" - "&amp;A116&amp;"")</f>
        <v>Reporte de Trazabiidad -  - IMPORTADORA Y EXP HERMANOS GAGO S.A.</v>
      </c>
    </row>
    <row r="117" spans="1:106" x14ac:dyDescent="0.55000000000000004">
      <c r="A117" s="32" t="s">
        <v>221</v>
      </c>
      <c r="B117" s="15">
        <f>INT(IFERROR(VLOOKUP(A117,'[1]Resumen Donantes'!C:F,3,0),0))</f>
        <v>0</v>
      </c>
      <c r="C117" s="15">
        <f>INT(ROUND(IFERROR(VLOOKUP(A117,'[1]Resumen Donantes'!C:F,4,0),0),1))</f>
        <v>0</v>
      </c>
      <c r="D117" s="16">
        <f t="shared" si="36"/>
        <v>0</v>
      </c>
      <c r="E117" s="17" t="str">
        <f t="shared" si="37"/>
        <v>0.00%</v>
      </c>
      <c r="F117" s="17" t="str">
        <f t="shared" si="38"/>
        <v>0.0%</v>
      </c>
      <c r="G117" s="15">
        <f t="shared" si="40"/>
        <v>0</v>
      </c>
      <c r="H117" s="18"/>
      <c r="I117" s="18">
        <f>IFERROR(VLOOKUP(A117,'[1]Lot All by Part'!T:Y,6,0),0)</f>
        <v>0</v>
      </c>
      <c r="J117" s="18"/>
      <c r="K117" s="19">
        <f>IFERROR(VLOOKUP($A117,'[1]OB Atendidas por Donantes'!A:N,3,0),0)</f>
        <v>0</v>
      </c>
      <c r="L117" s="19">
        <f>ROUNDUP(IF(A117=0,0,IFERROR(VLOOKUP($A117,'[1]Kilos Asignado del Donante'!A:O,3,0),0)),0)</f>
        <v>0</v>
      </c>
      <c r="M117" s="19">
        <f>IF(A117=0,0,IFERROR(SUMIFS([1]Poblacion!M:M,[1]Poblacion!J:J,'MASTER-2025'!A117),0))</f>
        <v>0</v>
      </c>
      <c r="N117" s="20">
        <f>IFERROR(VLOOKUP($A117,'[1]OB Atendidas por Donantes'!A:N,4,0),0)</f>
        <v>0</v>
      </c>
      <c r="O117" s="20">
        <f>ROUNDUP(IF(A117=0,0,IFERROR(VLOOKUP($A117,'[1]Kilos Asignado del Donante'!A:O,4,0),0)),0)</f>
        <v>0</v>
      </c>
      <c r="P117" s="20">
        <f>IF(A117=0,0,IFERROR(SUMIFS([1]Poblacion!N:N,[1]Poblacion!J:J,'MASTER-2025'!A117),0))</f>
        <v>0</v>
      </c>
      <c r="Q117" s="18">
        <f>IFERROR(VLOOKUP($A117,'[1]OB Atendidas por Donantes'!A:N,2,0),0)</f>
        <v>0</v>
      </c>
      <c r="R117" s="18">
        <f>ROUNDUP(ROUND(IF(A117=0,0,IFERROR(VLOOKUP($A117,'[1]Kilos Asignado del Donante'!A:O,9,0),0)),1),0)</f>
        <v>0</v>
      </c>
      <c r="S117" s="18">
        <f>IF(A117=0,0,IFERROR(SUMIFS([1]Poblacion!S:S,[1]Poblacion!J:J,'MASTER-2025'!A117),0))</f>
        <v>0</v>
      </c>
      <c r="T117" s="19">
        <f>IFERROR(VLOOKUP($A117,'[1]OB Atendidas por Donantes'!A:N,12,0),0)</f>
        <v>0</v>
      </c>
      <c r="U117" s="19">
        <f>ROUNDUP(IF(A117=0,0,IF(A117=0,0,IFERROR(VLOOKUP($A117,'[1]Kilos Asignado del Donante'!A:O,7,0),0))),0)</f>
        <v>0</v>
      </c>
      <c r="V117" s="19">
        <f>IF(A117=0,0,IFERROR(SUMIFS([1]Poblacion!Q:Q,[1]Poblacion!J:J,'MASTER-2025'!A117),0))</f>
        <v>0</v>
      </c>
      <c r="W117" s="20">
        <f>IFERROR(VLOOKUP($A117,'[1]OB Atendidas por Donantes'!A:N,10,0),0)</f>
        <v>0</v>
      </c>
      <c r="X117" s="20">
        <f>ROUNDUP(IF(A117=0,0,IFERROR(VLOOKUP($A117,'[1]Kilos Asignado del Donante'!A:N,5,0),0)),0)</f>
        <v>0</v>
      </c>
      <c r="Y117" s="20">
        <f>IF(A117=0,0,IFERROR(SUMIFS([1]Poblacion!O:O,[1]Poblacion!J:J,'MASTER-2025'!A117),0))</f>
        <v>0</v>
      </c>
      <c r="Z117" s="18">
        <f>IFERROR(VLOOKUP($A117,'[1]OB Atendidas por Donantes'!A:N,6,0),0)</f>
        <v>0</v>
      </c>
      <c r="AA117" s="18">
        <f>ROUNDUP(IF(A117=0,0,IFERROR(VLOOKUP($A117,'[1]Kilos Asignado del Donante'!A:N,11,0),0)),0)</f>
        <v>0</v>
      </c>
      <c r="AB117" s="18">
        <f>IF(A117=0,0,IFERROR(SUMIFS([1]Poblacion!U:U,[1]Poblacion!J:J,'MASTER-2025'!A117),0))</f>
        <v>0</v>
      </c>
      <c r="AC117" s="19">
        <f>IFERROR(VLOOKUP($A117,'[1]OB Atendidas por Donantes'!A:N,7,0),0)</f>
        <v>0</v>
      </c>
      <c r="AD117" s="19">
        <f>ROUNDUP(IF(A117=0,0,IFERROR(VLOOKUP($A117,'[1]Kilos Asignado del Donante'!A:N,8,0),0)),0)</f>
        <v>0</v>
      </c>
      <c r="AE117" s="19">
        <f>IF(A117=0,0,IFERROR(SUMIFS([1]Poblacion!R:R,[1]Poblacion!J:J,'MASTER-2025'!A117),0))</f>
        <v>0</v>
      </c>
      <c r="AF117" s="20">
        <f>IFERROR(VLOOKUP($A117,'[1]OB Atendidas por Donantes'!A:N,8,0),0)</f>
        <v>0</v>
      </c>
      <c r="AG117" s="20">
        <f>ROUNDUP(IF(A117=0,0,IFERROR(VLOOKUP($A117,'[1]Kilos Asignado del Donante'!A:N,6,0),0)),0)</f>
        <v>0</v>
      </c>
      <c r="AH117" s="20">
        <f>IF(A117=0,0,IFERROR(SUMIFS([1]Poblacion!P:P,[1]Poblacion!J:J,'MASTER-2025'!A117),0))</f>
        <v>0</v>
      </c>
      <c r="AI117" s="18">
        <f>IFERROR(VLOOKUP($A117,'[1]OB Atendidas por Donantes'!A:N,9,0),0)</f>
        <v>0</v>
      </c>
      <c r="AJ117" s="18">
        <f>ROUNDUP(IF(A117=0,0,IFERROR(VLOOKUP($A117,'[1]Kilos Asignado del Donante'!A:N,12,0),0)),0)</f>
        <v>0</v>
      </c>
      <c r="AK117" s="18">
        <f>IF(A117=0,0,IFERROR(SUMIFS([1]Poblacion!V:V,[1]Poblacion!J:J,'MASTER-2025'!A117),0))</f>
        <v>0</v>
      </c>
      <c r="AL117" s="19">
        <f>IFERROR(VLOOKUP($A117,'[1]OB Atendidas por Donantes'!A:N,16,0),0)</f>
        <v>0</v>
      </c>
      <c r="AM117" s="19">
        <f>ROUNDUP(IF(A117=0,0,IFERROR(VLOOKUP($A117,'[1]Kilos Asignado del Donante'!A:O,16,0),0)),0)</f>
        <v>0</v>
      </c>
      <c r="AN117" s="19">
        <f>IF(A117=0,0,IFERROR(SUMIFS([1]Poblacion!Z:Z,[1]Poblacion!J:J,'MASTER-2025'!A117),0))</f>
        <v>0</v>
      </c>
      <c r="AO117" s="20">
        <f>IFERROR(VLOOKUP($A117,'[1]OB Atendidas por Donantes'!A:N,11,0),0)</f>
        <v>0</v>
      </c>
      <c r="AP117" s="20">
        <f>ROUNDUP(IF(A117=0,0,IFERROR(VLOOKUP($A117,'[1]Kilos Asignado del Donante'!A:N,13,0),0)),0)</f>
        <v>0</v>
      </c>
      <c r="AQ117" s="20">
        <f>IF(A117=0,0,IFERROR(SUMIFS([1]Poblacion!W:W,[1]Poblacion!J:J,'MASTER-2025'!A117),0))</f>
        <v>0</v>
      </c>
      <c r="AR117" s="18">
        <f>IFERROR(VLOOKUP($A117,'[1]OB Atendidas por Donantes'!A:N,5,0),0)</f>
        <v>0</v>
      </c>
      <c r="AS117" s="18">
        <f>ROUNDUP(IF(A117=0,0,IFERROR(VLOOKUP($A117,'[1]Kilos Asignado del Donante'!A:N,10,0),0)),0)</f>
        <v>0</v>
      </c>
      <c r="AT117" s="18">
        <f>IF(A117=0,0,IFERROR(SUMIFS([1]Poblacion!T:T,[1]Poblacion!J:J,'MASTER-2025'!A117),0))</f>
        <v>0</v>
      </c>
      <c r="AU117" s="19">
        <f>IFERROR(VLOOKUP($A117,'[1]OB Atendidas por Donantes'!A:N,13,0),0)</f>
        <v>0</v>
      </c>
      <c r="AV117" s="19">
        <f>ROUNDUP(IF(A117=0,0,IFERROR(VLOOKUP($A117,'[1]Kilos Asignado del Donante'!A:N,14,0),0)),0)</f>
        <v>0</v>
      </c>
      <c r="AW117" s="19">
        <f>IF(A117=0,0,IFERROR(SUMIFS([1]Poblacion!X:X,[1]Poblacion!J:J,'MASTER-2025'!A117),0))</f>
        <v>0</v>
      </c>
      <c r="AX117" s="20">
        <f>IFERROR(VLOOKUP($A117,'[1]OB Atendidas por Donantes'!A:N,16,0),0)</f>
        <v>0</v>
      </c>
      <c r="AY117" s="20">
        <f>ROUNDUP(IF(A117=0,0,IFERROR(VLOOKUP($A117,'[1]Kilos Asignado del Donante'!A:O,16,0),0)),0)</f>
        <v>0</v>
      </c>
      <c r="AZ117" s="20">
        <f>IF(A117=0,0,IFERROR(SUMIFS([1]Poblacion!Y:Y,[1]Poblacion!J:J,'MASTER-2025'!A117),0))</f>
        <v>0</v>
      </c>
      <c r="BA117" s="21">
        <f t="shared" si="43"/>
        <v>0</v>
      </c>
      <c r="BB117" s="21">
        <f t="shared" si="42"/>
        <v>0</v>
      </c>
      <c r="BC117" s="21">
        <f t="shared" si="39"/>
        <v>0</v>
      </c>
      <c r="BD117" s="21">
        <f t="shared" si="44"/>
        <v>0</v>
      </c>
      <c r="BE117" s="22" t="e">
        <f>IF(A117=0,0,SUMIFS([1]Poblacion!C:C,[1]Poblacion!A:A,'MASTER-2025'!A117))</f>
        <v>#VALUE!</v>
      </c>
      <c r="BF117" s="22" t="e">
        <f>IF(A117=0,0,SUMIFS([1]Poblacion!D:D,[1]Poblacion!A:A,'MASTER-2025'!A117))</f>
        <v>#VALUE!</v>
      </c>
      <c r="BG117" s="22" t="e">
        <f>IF(A117=0,0,SUMIFS([1]Poblacion!E:E,[1]Poblacion!A:A,'MASTER-2025'!A117))</f>
        <v>#VALUE!</v>
      </c>
      <c r="BH117" s="22" t="e">
        <f>IF(A117=0,0,SUMIFS([1]Poblacion!F:F,[1]Poblacion!A:A,'MASTER-2025'!A117))</f>
        <v>#VALUE!</v>
      </c>
      <c r="BI117" s="22" t="e">
        <f t="shared" si="35"/>
        <v>#VALUE!</v>
      </c>
      <c r="BJ117" s="23" t="e">
        <f t="shared" si="30"/>
        <v>#VALUE!</v>
      </c>
      <c r="BK117" s="22" t="e">
        <f>IF(A117=0,0,SUMIFS([1]Poblacion!G:G,[1]Poblacion!A:A,'MASTER-2025'!A117))</f>
        <v>#VALUE!</v>
      </c>
      <c r="BL117" s="24" cm="1">
        <f t="array" ref="BL117:BW117">IFERROR(VLOOKUP(A117,'[1]Acum-OB-kg-pob-25'!A:AQ,{3,4,5,6,7,8,9,10,11,12,13,14},0),0)</f>
        <v>0</v>
      </c>
      <c r="BM117" s="24">
        <v>0</v>
      </c>
      <c r="BN117" s="24">
        <v>0</v>
      </c>
      <c r="BO117" s="24">
        <v>0</v>
      </c>
      <c r="BP117" s="24">
        <v>0</v>
      </c>
      <c r="BQ117" s="24">
        <v>0</v>
      </c>
      <c r="BR117" s="24">
        <v>0</v>
      </c>
      <c r="BS117" s="24">
        <v>0</v>
      </c>
      <c r="BT117" s="24">
        <v>0</v>
      </c>
      <c r="BU117" s="24">
        <v>0</v>
      </c>
      <c r="BV117" s="24">
        <v>0</v>
      </c>
      <c r="BW117" s="24">
        <v>0</v>
      </c>
      <c r="BX117" s="24">
        <f t="shared" si="31"/>
        <v>0</v>
      </c>
      <c r="BY117" s="25" cm="1">
        <f t="array" ref="BY117:CJ117">IFERROR(VLOOKUP(A117,'[1]Acum-OB-kg-pob-25'!A:AQ,{17,18,19,20,21,22,23,24,25,26,27,28},0),0)</f>
        <v>0</v>
      </c>
      <c r="BZ117" s="25">
        <v>0</v>
      </c>
      <c r="CA117" s="25">
        <v>0</v>
      </c>
      <c r="CB117" s="25">
        <v>0</v>
      </c>
      <c r="CC117" s="25">
        <v>0</v>
      </c>
      <c r="CD117" s="25">
        <v>0</v>
      </c>
      <c r="CE117" s="25">
        <v>0</v>
      </c>
      <c r="CF117" s="25">
        <v>0</v>
      </c>
      <c r="CG117" s="25">
        <v>0</v>
      </c>
      <c r="CH117" s="25">
        <v>0</v>
      </c>
      <c r="CI117" s="25">
        <v>0</v>
      </c>
      <c r="CJ117" s="25">
        <v>0</v>
      </c>
      <c r="CK117" s="25">
        <f t="shared" si="32"/>
        <v>0</v>
      </c>
      <c r="CL117" s="26" cm="1">
        <f t="array" ref="CL117:CW117">IFERROR(VLOOKUP(A117,'[1]Acum-OB-kg-pob-25'!A:AQ,{31,32,33,34,35,36,37,38,39,40,41,42},0),0)</f>
        <v>0</v>
      </c>
      <c r="CM117" s="26">
        <v>0</v>
      </c>
      <c r="CN117" s="26">
        <v>0</v>
      </c>
      <c r="CO117" s="26">
        <v>0</v>
      </c>
      <c r="CP117" s="26">
        <v>0</v>
      </c>
      <c r="CQ117" s="26">
        <v>0</v>
      </c>
      <c r="CR117" s="26">
        <v>0</v>
      </c>
      <c r="CS117" s="26">
        <v>0</v>
      </c>
      <c r="CT117" s="26">
        <v>0</v>
      </c>
      <c r="CU117" s="26">
        <v>0</v>
      </c>
      <c r="CV117" s="26">
        <v>0</v>
      </c>
      <c r="CW117" s="26">
        <v>0</v>
      </c>
      <c r="CX117" s="26">
        <f t="shared" si="33"/>
        <v>0</v>
      </c>
      <c r="CY117" s="14" t="str">
        <f>IF(A117=0,0,IFERROR(VLOOKUP(A117,'[1]Info Donantes'!C:F,2,0),"Sin Contacto"))</f>
        <v>Sin Contacto</v>
      </c>
      <c r="CZ117" s="14" t="str">
        <f>IF(A117=0,0,IFERROR(VLOOKUP(A117,'[1]Info Donantes'!C:F,3,0),"Sin Correo"))</f>
        <v>Sin Correo</v>
      </c>
      <c r="DA117" s="14" t="str">
        <f>IF(A117=0,0,IFERROR(VLOOKUP(A117,'[1]Info Donantes'!C:F,4,0),"Sin Telefono"))</f>
        <v>Sin Telefono</v>
      </c>
      <c r="DB117" s="14" t="str">
        <f>IF(A117=0,0,"Reporte de Trazabiidad"&amp;" - "&amp;'[1]Resumen Donantes'!$C$2&amp;" - "&amp;A117&amp;"")</f>
        <v>Reporte de Trazabiidad -  - EUROFRUTAS INC</v>
      </c>
    </row>
    <row r="118" spans="1:106" x14ac:dyDescent="0.55000000000000004">
      <c r="A118" s="32" t="s">
        <v>222</v>
      </c>
      <c r="B118" s="15">
        <f>INT(IFERROR(VLOOKUP(A118,'[1]Resumen Donantes'!C:F,3,0),0))</f>
        <v>0</v>
      </c>
      <c r="C118" s="15">
        <f>INT(ROUND(IFERROR(VLOOKUP(A118,'[1]Resumen Donantes'!C:F,4,0),0),1))</f>
        <v>1040</v>
      </c>
      <c r="D118" s="16">
        <f t="shared" si="36"/>
        <v>1040</v>
      </c>
      <c r="E118" s="17" t="str">
        <f t="shared" si="37"/>
        <v>100.00%</v>
      </c>
      <c r="F118" s="17" t="str">
        <f t="shared" si="38"/>
        <v>0.0%</v>
      </c>
      <c r="G118" s="15">
        <f t="shared" si="40"/>
        <v>3120</v>
      </c>
      <c r="H118" s="18"/>
      <c r="I118" s="18">
        <f>IFERROR(VLOOKUP(A118,'[1]Lot All by Part'!T:Y,6,0),0)</f>
        <v>0</v>
      </c>
      <c r="J118" s="18"/>
      <c r="K118" s="19">
        <f>IFERROR(VLOOKUP($A118,'[1]OB Atendidas por Donantes'!A:N,3,0),0)</f>
        <v>1</v>
      </c>
      <c r="L118" s="19">
        <f>ROUNDUP(IF(A118=0,0,IFERROR(VLOOKUP($A118,'[1]Kilos Asignado del Donante'!A:O,3,0),0)),0)</f>
        <v>8</v>
      </c>
      <c r="M118" s="19">
        <f>IF(A118=0,0,IFERROR(SUMIFS([1]Poblacion!M:M,[1]Poblacion!J:J,'MASTER-2025'!A118),0))</f>
        <v>0</v>
      </c>
      <c r="N118" s="20">
        <f>IFERROR(VLOOKUP($A118,'[1]OB Atendidas por Donantes'!A:N,4,0),0)</f>
        <v>3</v>
      </c>
      <c r="O118" s="20">
        <f>ROUNDUP(IF(A118=0,0,IFERROR(VLOOKUP($A118,'[1]Kilos Asignado del Donante'!A:O,4,0),0)),0)</f>
        <v>64</v>
      </c>
      <c r="P118" s="20">
        <f>IF(A118=0,0,IFERROR(SUMIFS([1]Poblacion!N:N,[1]Poblacion!J:J,'MASTER-2025'!A118),0))</f>
        <v>0</v>
      </c>
      <c r="Q118" s="18">
        <f>IFERROR(VLOOKUP($A118,'[1]OB Atendidas por Donantes'!A:N,2,0),0)</f>
        <v>2</v>
      </c>
      <c r="R118" s="18">
        <f>ROUNDUP(ROUND(IF(A118=0,0,IFERROR(VLOOKUP($A118,'[1]Kilos Asignado del Donante'!A:O,9,0),0)),1),0)</f>
        <v>16</v>
      </c>
      <c r="S118" s="18">
        <f>IF(A118=0,0,IFERROR(SUMIFS([1]Poblacion!S:S,[1]Poblacion!J:J,'MASTER-2025'!A118),0))</f>
        <v>0</v>
      </c>
      <c r="T118" s="19">
        <f>IFERROR(VLOOKUP($A118,'[1]OB Atendidas por Donantes'!A:N,12,0),0)</f>
        <v>0</v>
      </c>
      <c r="U118" s="19">
        <f>ROUNDUP(IF(A118=0,0,IF(A118=0,0,IFERROR(VLOOKUP($A118,'[1]Kilos Asignado del Donante'!A:O,7,0),0))),0)</f>
        <v>0</v>
      </c>
      <c r="V118" s="19">
        <f>IF(A118=0,0,IFERROR(SUMIFS([1]Poblacion!Q:Q,[1]Poblacion!J:J,'MASTER-2025'!A118),0))</f>
        <v>0</v>
      </c>
      <c r="W118" s="20">
        <f>IFERROR(VLOOKUP($A118,'[1]OB Atendidas por Donantes'!A:N,10,0),0)</f>
        <v>2</v>
      </c>
      <c r="X118" s="20">
        <f>ROUNDUP(IF(A118=0,0,IFERROR(VLOOKUP($A118,'[1]Kilos Asignado del Donante'!A:N,5,0),0)),0)</f>
        <v>16</v>
      </c>
      <c r="Y118" s="20">
        <f>IF(A118=0,0,IFERROR(SUMIFS([1]Poblacion!O:O,[1]Poblacion!J:J,'MASTER-2025'!A118),0))</f>
        <v>0</v>
      </c>
      <c r="Z118" s="18">
        <f>IFERROR(VLOOKUP($A118,'[1]OB Atendidas por Donantes'!A:N,6,0),0)</f>
        <v>1</v>
      </c>
      <c r="AA118" s="18">
        <f>ROUNDUP(IF(A118=0,0,IFERROR(VLOOKUP($A118,'[1]Kilos Asignado del Donante'!A:N,11,0),0)),0)</f>
        <v>40</v>
      </c>
      <c r="AB118" s="18">
        <f>IF(A118=0,0,IFERROR(SUMIFS([1]Poblacion!U:U,[1]Poblacion!J:J,'MASTER-2025'!A118),0))</f>
        <v>0</v>
      </c>
      <c r="AC118" s="19">
        <f>IFERROR(VLOOKUP($A118,'[1]OB Atendidas por Donantes'!A:N,7,0),0)</f>
        <v>0</v>
      </c>
      <c r="AD118" s="19">
        <f>ROUNDUP(IF(A118=0,0,IFERROR(VLOOKUP($A118,'[1]Kilos Asignado del Donante'!A:N,8,0),0)),0)</f>
        <v>0</v>
      </c>
      <c r="AE118" s="19">
        <f>IF(A118=0,0,IFERROR(SUMIFS([1]Poblacion!R:R,[1]Poblacion!J:J,'MASTER-2025'!A118),0))</f>
        <v>0</v>
      </c>
      <c r="AF118" s="20">
        <f>IFERROR(VLOOKUP($A118,'[1]OB Atendidas por Donantes'!A:N,8,0),0)</f>
        <v>0</v>
      </c>
      <c r="AG118" s="20">
        <f>ROUNDUP(IF(A118=0,0,IFERROR(VLOOKUP($A118,'[1]Kilos Asignado del Donante'!A:N,6,0),0)),0)</f>
        <v>0</v>
      </c>
      <c r="AH118" s="20">
        <f>IF(A118=0,0,IFERROR(SUMIFS([1]Poblacion!P:P,[1]Poblacion!J:J,'MASTER-2025'!A118),0))</f>
        <v>0</v>
      </c>
      <c r="AI118" s="18">
        <f>IFERROR(VLOOKUP($A118,'[1]OB Atendidas por Donantes'!A:N,9,0),0)</f>
        <v>1</v>
      </c>
      <c r="AJ118" s="18">
        <f>ROUNDUP(IF(A118=0,0,IFERROR(VLOOKUP($A118,'[1]Kilos Asignado del Donante'!A:N,12,0),0)),0)</f>
        <v>20</v>
      </c>
      <c r="AK118" s="18">
        <f>IF(A118=0,0,IFERROR(SUMIFS([1]Poblacion!V:V,[1]Poblacion!J:J,'MASTER-2025'!A118),0))</f>
        <v>0</v>
      </c>
      <c r="AL118" s="19">
        <f>IFERROR(VLOOKUP($A118,'[1]OB Atendidas por Donantes'!A:N,16,0),0)</f>
        <v>0</v>
      </c>
      <c r="AM118" s="19">
        <f>ROUNDUP(IF(A118=0,0,IFERROR(VLOOKUP($A118,'[1]Kilos Asignado del Donante'!A:O,16,0),0)),0)</f>
        <v>0</v>
      </c>
      <c r="AN118" s="19">
        <f>IF(A118=0,0,IFERROR(SUMIFS([1]Poblacion!Z:Z,[1]Poblacion!J:J,'MASTER-2025'!A118),0))</f>
        <v>0</v>
      </c>
      <c r="AO118" s="20">
        <f>IFERROR(VLOOKUP($A118,'[1]OB Atendidas por Donantes'!A:N,11,0),0)</f>
        <v>2</v>
      </c>
      <c r="AP118" s="20">
        <f>ROUNDUP(IF(A118=0,0,IFERROR(VLOOKUP($A118,'[1]Kilos Asignado del Donante'!A:N,13,0),0)),0)</f>
        <v>155</v>
      </c>
      <c r="AQ118" s="20">
        <f>IF(A118=0,0,IFERROR(SUMIFS([1]Poblacion!W:W,[1]Poblacion!J:J,'MASTER-2025'!A118),0))</f>
        <v>0</v>
      </c>
      <c r="AR118" s="18">
        <f>IFERROR(VLOOKUP($A118,'[1]OB Atendidas por Donantes'!A:N,5,0),0)</f>
        <v>4</v>
      </c>
      <c r="AS118" s="18">
        <f>ROUNDUP(IF(A118=0,0,IFERROR(VLOOKUP($A118,'[1]Kilos Asignado del Donante'!A:N,10,0),0)),0)</f>
        <v>105</v>
      </c>
      <c r="AT118" s="18">
        <f>IF(A118=0,0,IFERROR(SUMIFS([1]Poblacion!T:T,[1]Poblacion!J:J,'MASTER-2025'!A118),0))</f>
        <v>0</v>
      </c>
      <c r="AU118" s="19">
        <f>IFERROR(VLOOKUP($A118,'[1]OB Atendidas por Donantes'!A:N,13,0),0)</f>
        <v>0</v>
      </c>
      <c r="AV118" s="19">
        <f>ROUNDUP(IF(A118=0,0,IFERROR(VLOOKUP($A118,'[1]Kilos Asignado del Donante'!A:N,14,0),0)),0)</f>
        <v>0</v>
      </c>
      <c r="AW118" s="19">
        <f>IF(A118=0,0,IFERROR(SUMIFS([1]Poblacion!X:X,[1]Poblacion!J:J,'MASTER-2025'!A118),0))</f>
        <v>0</v>
      </c>
      <c r="AX118" s="20">
        <f>IFERROR(VLOOKUP($A118,'[1]OB Atendidas por Donantes'!A:N,16,0),0)</f>
        <v>0</v>
      </c>
      <c r="AY118" s="20">
        <f>ROUNDUP(IF(A118=0,0,IFERROR(VLOOKUP($A118,'[1]Kilos Asignado del Donante'!A:O,16,0),0)),0)</f>
        <v>0</v>
      </c>
      <c r="AZ118" s="20">
        <f>IF(A118=0,0,IFERROR(SUMIFS([1]Poblacion!Y:Y,[1]Poblacion!J:J,'MASTER-2025'!A118),0))</f>
        <v>0</v>
      </c>
      <c r="BA118" s="21">
        <f t="shared" si="43"/>
        <v>16</v>
      </c>
      <c r="BB118" s="21">
        <f t="shared" si="42"/>
        <v>424</v>
      </c>
      <c r="BC118" s="21">
        <f t="shared" si="39"/>
        <v>88</v>
      </c>
      <c r="BD118" s="21">
        <f t="shared" si="44"/>
        <v>0</v>
      </c>
      <c r="BE118" s="22" t="e">
        <f>IF(A118=0,0,SUMIFS([1]Poblacion!C:C,[1]Poblacion!A:A,'MASTER-2025'!A118))</f>
        <v>#VALUE!</v>
      </c>
      <c r="BF118" s="22" t="e">
        <f>IF(A118=0,0,SUMIFS([1]Poblacion!D:D,[1]Poblacion!A:A,'MASTER-2025'!A118))</f>
        <v>#VALUE!</v>
      </c>
      <c r="BG118" s="22" t="e">
        <f>IF(A118=0,0,SUMIFS([1]Poblacion!E:E,[1]Poblacion!A:A,'MASTER-2025'!A118))</f>
        <v>#VALUE!</v>
      </c>
      <c r="BH118" s="22" t="e">
        <f>IF(A118=0,0,SUMIFS([1]Poblacion!F:F,[1]Poblacion!A:A,'MASTER-2025'!A118))</f>
        <v>#VALUE!</v>
      </c>
      <c r="BI118" s="22" t="e">
        <f t="shared" si="35"/>
        <v>#VALUE!</v>
      </c>
      <c r="BJ118" s="23" t="e">
        <f t="shared" si="30"/>
        <v>#VALUE!</v>
      </c>
      <c r="BK118" s="22" t="e">
        <f>IF(A118=0,0,SUMIFS([1]Poblacion!G:G,[1]Poblacion!A:A,'MASTER-2025'!A118))</f>
        <v>#VALUE!</v>
      </c>
      <c r="BL118" s="24" cm="1">
        <f t="array" ref="BL118:BW118">IFERROR(VLOOKUP(A118,'[1]Acum-OB-kg-pob-25'!A:AQ,{3,4,5,6,7,8,9,10,11,12,13,14},0),0)</f>
        <v>0</v>
      </c>
      <c r="BM118" s="24">
        <v>0</v>
      </c>
      <c r="BN118" s="24">
        <v>16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24">
        <v>0</v>
      </c>
      <c r="BU118" s="24">
        <v>0</v>
      </c>
      <c r="BV118" s="24">
        <v>0</v>
      </c>
      <c r="BW118" s="24">
        <v>0</v>
      </c>
      <c r="BX118" s="24">
        <f t="shared" si="31"/>
        <v>16</v>
      </c>
      <c r="BY118" s="25" cm="1">
        <f t="array" ref="BY118:CJ118">IFERROR(VLOOKUP(A118,'[1]Acum-OB-kg-pob-25'!A:AQ,{17,18,19,20,21,22,23,24,25,26,27,28},0),0)</f>
        <v>0</v>
      </c>
      <c r="BZ118" s="25">
        <v>0</v>
      </c>
      <c r="CA118" s="25">
        <v>1040</v>
      </c>
      <c r="CB118" s="25">
        <v>0</v>
      </c>
      <c r="CC118" s="25">
        <v>0</v>
      </c>
      <c r="CD118" s="25">
        <v>0</v>
      </c>
      <c r="CE118" s="25">
        <v>0</v>
      </c>
      <c r="CF118" s="25">
        <v>0</v>
      </c>
      <c r="CG118" s="25">
        <v>0</v>
      </c>
      <c r="CH118" s="25">
        <v>0</v>
      </c>
      <c r="CI118" s="25">
        <v>0</v>
      </c>
      <c r="CJ118" s="25">
        <v>0</v>
      </c>
      <c r="CK118" s="25">
        <f t="shared" si="32"/>
        <v>1040</v>
      </c>
      <c r="CL118" s="26" cm="1">
        <f t="array" ref="CL118:CW118">IFERROR(VLOOKUP(A118,'[1]Acum-OB-kg-pob-25'!A:AQ,{31,32,33,34,35,36,37,38,39,40,41,42},0),0)</f>
        <v>0</v>
      </c>
      <c r="CM118" s="26">
        <v>0</v>
      </c>
      <c r="CN118" s="26">
        <v>2022</v>
      </c>
      <c r="CO118" s="26">
        <v>0</v>
      </c>
      <c r="CP118" s="26">
        <v>0</v>
      </c>
      <c r="CQ118" s="26">
        <v>0</v>
      </c>
      <c r="CR118" s="26">
        <v>0</v>
      </c>
      <c r="CS118" s="26">
        <v>0</v>
      </c>
      <c r="CT118" s="26">
        <v>0</v>
      </c>
      <c r="CU118" s="26">
        <v>0</v>
      </c>
      <c r="CV118" s="26">
        <v>0</v>
      </c>
      <c r="CW118" s="26">
        <v>0</v>
      </c>
      <c r="CX118" s="26">
        <f t="shared" si="33"/>
        <v>2022</v>
      </c>
      <c r="CY118" s="14" t="str">
        <f>IF(A118=0,0,IFERROR(VLOOKUP(A118,'[1]Info Donantes'!C:F,2,0),"Sin Contacto"))</f>
        <v>Sin Contacto</v>
      </c>
      <c r="CZ118" s="14" t="str">
        <f>IF(A118=0,0,IFERROR(VLOOKUP(A118,'[1]Info Donantes'!C:F,3,0),"Sin Correo"))</f>
        <v>Sin Correo</v>
      </c>
      <c r="DA118" s="14" t="str">
        <f>IF(A118=0,0,IFERROR(VLOOKUP(A118,'[1]Info Donantes'!C:F,4,0),"Sin Telefono"))</f>
        <v>Sin Telefono</v>
      </c>
      <c r="DB118" s="14" t="str">
        <f>IF(A118=0,0,"Reporte de Trazabiidad"&amp;" - "&amp;'[1]Resumen Donantes'!$C$2&amp;" - "&amp;A118&amp;"")</f>
        <v>Reporte de Trazabiidad -  - FRESCAFHISH, S.A</v>
      </c>
    </row>
    <row r="119" spans="1:106" x14ac:dyDescent="0.55000000000000004">
      <c r="A119" s="32" t="s">
        <v>223</v>
      </c>
      <c r="B119" s="15">
        <f>INT(IFERROR(VLOOKUP(A119,'[1]Resumen Donantes'!C:F,3,0),0))</f>
        <v>0</v>
      </c>
      <c r="C119" s="15">
        <f>INT(ROUND(IFERROR(VLOOKUP(A119,'[1]Resumen Donantes'!C:F,4,0),0),1))</f>
        <v>0</v>
      </c>
      <c r="D119" s="16">
        <f t="shared" si="36"/>
        <v>0</v>
      </c>
      <c r="E119" s="17" t="str">
        <f t="shared" si="37"/>
        <v>0.00%</v>
      </c>
      <c r="F119" s="17" t="str">
        <f t="shared" si="38"/>
        <v>0.0%</v>
      </c>
      <c r="G119" s="15">
        <f t="shared" si="40"/>
        <v>0</v>
      </c>
      <c r="H119" s="18"/>
      <c r="I119" s="18">
        <f>IFERROR(VLOOKUP(A119,'[1]Lot All by Part'!T:Y,6,0),0)</f>
        <v>0</v>
      </c>
      <c r="J119" s="18"/>
      <c r="K119" s="19">
        <f>IFERROR(VLOOKUP($A119,'[1]OB Atendidas por Donantes'!A:N,3,0),0)</f>
        <v>0</v>
      </c>
      <c r="L119" s="19">
        <f>ROUNDUP(IF(A119=0,0,IFERROR(VLOOKUP($A119,'[1]Kilos Asignado del Donante'!A:O,3,0),0)),0)</f>
        <v>0</v>
      </c>
      <c r="M119" s="19">
        <f>IF(A119=0,0,IFERROR(SUMIFS([1]Poblacion!M:M,[1]Poblacion!J:J,'MASTER-2025'!A119),0))</f>
        <v>0</v>
      </c>
      <c r="N119" s="20">
        <f>IFERROR(VLOOKUP($A119,'[1]OB Atendidas por Donantes'!A:N,4,0),0)</f>
        <v>0</v>
      </c>
      <c r="O119" s="20">
        <f>ROUNDUP(IF(A119=0,0,IFERROR(VLOOKUP($A119,'[1]Kilos Asignado del Donante'!A:O,4,0),0)),0)</f>
        <v>0</v>
      </c>
      <c r="P119" s="20">
        <f>IF(A119=0,0,IFERROR(SUMIFS([1]Poblacion!N:N,[1]Poblacion!J:J,'MASTER-2025'!A119),0))</f>
        <v>0</v>
      </c>
      <c r="Q119" s="18">
        <f>IFERROR(VLOOKUP($A119,'[1]OB Atendidas por Donantes'!A:N,2,0),0)</f>
        <v>0</v>
      </c>
      <c r="R119" s="18">
        <f>ROUNDUP(ROUND(IF(A119=0,0,IFERROR(VLOOKUP($A119,'[1]Kilos Asignado del Donante'!A:O,9,0),0)),1),0)</f>
        <v>0</v>
      </c>
      <c r="S119" s="18">
        <f>IF(A119=0,0,IFERROR(SUMIFS([1]Poblacion!S:S,[1]Poblacion!J:J,'MASTER-2025'!A119),0))</f>
        <v>0</v>
      </c>
      <c r="T119" s="19">
        <f>IFERROR(VLOOKUP($A119,'[1]OB Atendidas por Donantes'!A:N,12,0),0)</f>
        <v>0</v>
      </c>
      <c r="U119" s="19">
        <f>ROUNDUP(IF(A119=0,0,IF(A119=0,0,IFERROR(VLOOKUP($A119,'[1]Kilos Asignado del Donante'!A:O,7,0),0))),0)</f>
        <v>0</v>
      </c>
      <c r="V119" s="19">
        <f>IF(A119=0,0,IFERROR(SUMIFS([1]Poblacion!Q:Q,[1]Poblacion!J:J,'MASTER-2025'!A119),0))</f>
        <v>0</v>
      </c>
      <c r="W119" s="20">
        <f>IFERROR(VLOOKUP($A119,'[1]OB Atendidas por Donantes'!A:N,10,0),0)</f>
        <v>0</v>
      </c>
      <c r="X119" s="20">
        <f>ROUNDUP(IF(A119=0,0,IFERROR(VLOOKUP($A119,'[1]Kilos Asignado del Donante'!A:N,5,0),0)),0)</f>
        <v>0</v>
      </c>
      <c r="Y119" s="20">
        <f>IF(A119=0,0,IFERROR(SUMIFS([1]Poblacion!O:O,[1]Poblacion!J:J,'MASTER-2025'!A119),0))</f>
        <v>0</v>
      </c>
      <c r="Z119" s="18">
        <f>IFERROR(VLOOKUP($A119,'[1]OB Atendidas por Donantes'!A:N,6,0),0)</f>
        <v>0</v>
      </c>
      <c r="AA119" s="18">
        <f>ROUNDUP(IF(A119=0,0,IFERROR(VLOOKUP($A119,'[1]Kilos Asignado del Donante'!A:N,11,0),0)),0)</f>
        <v>0</v>
      </c>
      <c r="AB119" s="18">
        <f>IF(A119=0,0,IFERROR(SUMIFS([1]Poblacion!U:U,[1]Poblacion!J:J,'MASTER-2025'!A119),0))</f>
        <v>0</v>
      </c>
      <c r="AC119" s="19">
        <f>IFERROR(VLOOKUP($A119,'[1]OB Atendidas por Donantes'!A:N,7,0),0)</f>
        <v>0</v>
      </c>
      <c r="AD119" s="19">
        <f>ROUNDUP(IF(A119=0,0,IFERROR(VLOOKUP($A119,'[1]Kilos Asignado del Donante'!A:N,8,0),0)),0)</f>
        <v>0</v>
      </c>
      <c r="AE119" s="19">
        <f>IF(A119=0,0,IFERROR(SUMIFS([1]Poblacion!R:R,[1]Poblacion!J:J,'MASTER-2025'!A119),0))</f>
        <v>0</v>
      </c>
      <c r="AF119" s="20">
        <f>IFERROR(VLOOKUP($A119,'[1]OB Atendidas por Donantes'!A:N,8,0),0)</f>
        <v>0</v>
      </c>
      <c r="AG119" s="20">
        <f>ROUNDUP(IF(A119=0,0,IFERROR(VLOOKUP($A119,'[1]Kilos Asignado del Donante'!A:N,6,0),0)),0)</f>
        <v>0</v>
      </c>
      <c r="AH119" s="20">
        <f>IF(A119=0,0,IFERROR(SUMIFS([1]Poblacion!P:P,[1]Poblacion!J:J,'MASTER-2025'!A119),0))</f>
        <v>0</v>
      </c>
      <c r="AI119" s="18">
        <f>IFERROR(VLOOKUP($A119,'[1]OB Atendidas por Donantes'!A:N,9,0),0)</f>
        <v>0</v>
      </c>
      <c r="AJ119" s="18">
        <f>ROUNDUP(IF(A119=0,0,IFERROR(VLOOKUP($A119,'[1]Kilos Asignado del Donante'!A:N,12,0),0)),0)</f>
        <v>0</v>
      </c>
      <c r="AK119" s="18">
        <f>IF(A119=0,0,IFERROR(SUMIFS([1]Poblacion!V:V,[1]Poblacion!J:J,'MASTER-2025'!A119),0))</f>
        <v>0</v>
      </c>
      <c r="AL119" s="19">
        <f>IFERROR(VLOOKUP($A119,'[1]OB Atendidas por Donantes'!A:N,16,0),0)</f>
        <v>0</v>
      </c>
      <c r="AM119" s="19">
        <f>ROUNDUP(IF(A119=0,0,IFERROR(VLOOKUP($A119,'[1]Kilos Asignado del Donante'!A:O,16,0),0)),0)</f>
        <v>0</v>
      </c>
      <c r="AN119" s="19">
        <f>IF(A119=0,0,IFERROR(SUMIFS([1]Poblacion!Z:Z,[1]Poblacion!J:J,'MASTER-2025'!A119),0))</f>
        <v>0</v>
      </c>
      <c r="AO119" s="20">
        <f>IFERROR(VLOOKUP($A119,'[1]OB Atendidas por Donantes'!A:N,11,0),0)</f>
        <v>0</v>
      </c>
      <c r="AP119" s="20">
        <f>ROUNDUP(IF(A119=0,0,IFERROR(VLOOKUP($A119,'[1]Kilos Asignado del Donante'!A:N,13,0),0)),0)</f>
        <v>0</v>
      </c>
      <c r="AQ119" s="20">
        <f>IF(A119=0,0,IFERROR(SUMIFS([1]Poblacion!W:W,[1]Poblacion!J:J,'MASTER-2025'!A119),0))</f>
        <v>0</v>
      </c>
      <c r="AR119" s="18">
        <f>IFERROR(VLOOKUP($A119,'[1]OB Atendidas por Donantes'!A:N,5,0),0)</f>
        <v>0</v>
      </c>
      <c r="AS119" s="18">
        <f>ROUNDUP(IF(A119=0,0,IFERROR(VLOOKUP($A119,'[1]Kilos Asignado del Donante'!A:N,10,0),0)),0)</f>
        <v>0</v>
      </c>
      <c r="AT119" s="18">
        <f>IF(A119=0,0,IFERROR(SUMIFS([1]Poblacion!T:T,[1]Poblacion!J:J,'MASTER-2025'!A119),0))</f>
        <v>0</v>
      </c>
      <c r="AU119" s="19">
        <f>IFERROR(VLOOKUP($A119,'[1]OB Atendidas por Donantes'!A:N,13,0),0)</f>
        <v>0</v>
      </c>
      <c r="AV119" s="19">
        <f>ROUNDUP(IF(A119=0,0,IFERROR(VLOOKUP($A119,'[1]Kilos Asignado del Donante'!A:N,14,0),0)),0)</f>
        <v>0</v>
      </c>
      <c r="AW119" s="19">
        <f>IF(A119=0,0,IFERROR(SUMIFS([1]Poblacion!X:X,[1]Poblacion!J:J,'MASTER-2025'!A119),0))</f>
        <v>0</v>
      </c>
      <c r="AX119" s="20">
        <f>IFERROR(VLOOKUP($A119,'[1]OB Atendidas por Donantes'!A:N,16,0),0)</f>
        <v>0</v>
      </c>
      <c r="AY119" s="20">
        <f>ROUNDUP(IF(A119=0,0,IFERROR(VLOOKUP($A119,'[1]Kilos Asignado del Donante'!A:O,16,0),0)),0)</f>
        <v>0</v>
      </c>
      <c r="AZ119" s="20">
        <f>IF(A119=0,0,IFERROR(SUMIFS([1]Poblacion!Y:Y,[1]Poblacion!J:J,'MASTER-2025'!A119),0))</f>
        <v>0</v>
      </c>
      <c r="BA119" s="21">
        <f t="shared" si="43"/>
        <v>0</v>
      </c>
      <c r="BB119" s="21">
        <f t="shared" si="42"/>
        <v>0</v>
      </c>
      <c r="BC119" s="21">
        <f t="shared" si="39"/>
        <v>0</v>
      </c>
      <c r="BD119" s="21">
        <f t="shared" si="44"/>
        <v>0</v>
      </c>
      <c r="BE119" s="22" t="e">
        <f>IF(A119=0,0,SUMIFS([1]Poblacion!C:C,[1]Poblacion!A:A,'MASTER-2025'!A119))</f>
        <v>#VALUE!</v>
      </c>
      <c r="BF119" s="22" t="e">
        <f>IF(A119=0,0,SUMIFS([1]Poblacion!D:D,[1]Poblacion!A:A,'MASTER-2025'!A119))</f>
        <v>#VALUE!</v>
      </c>
      <c r="BG119" s="22" t="e">
        <f>IF(A119=0,0,SUMIFS([1]Poblacion!E:E,[1]Poblacion!A:A,'MASTER-2025'!A119))</f>
        <v>#VALUE!</v>
      </c>
      <c r="BH119" s="22" t="e">
        <f>IF(A119=0,0,SUMIFS([1]Poblacion!F:F,[1]Poblacion!A:A,'MASTER-2025'!A119))</f>
        <v>#VALUE!</v>
      </c>
      <c r="BI119" s="22" t="e">
        <f t="shared" si="35"/>
        <v>#VALUE!</v>
      </c>
      <c r="BJ119" s="23" t="e">
        <f t="shared" si="30"/>
        <v>#VALUE!</v>
      </c>
      <c r="BK119" s="22" t="e">
        <f>IF(A119=0,0,SUMIFS([1]Poblacion!G:G,[1]Poblacion!A:A,'MASTER-2025'!A119))</f>
        <v>#VALUE!</v>
      </c>
      <c r="BL119" s="24" cm="1">
        <f t="array" ref="BL119:BW119">IFERROR(VLOOKUP(A119,'[1]Acum-OB-kg-pob-25'!A:AQ,{3,4,5,6,7,8,9,10,11,12,13,14},0),0)</f>
        <v>0</v>
      </c>
      <c r="BM119" s="24">
        <v>0</v>
      </c>
      <c r="BN119" s="24">
        <v>0</v>
      </c>
      <c r="BO119" s="24">
        <v>0</v>
      </c>
      <c r="BP119" s="24">
        <v>0</v>
      </c>
      <c r="BQ119" s="24">
        <v>0</v>
      </c>
      <c r="BR119" s="24">
        <v>0</v>
      </c>
      <c r="BS119" s="24">
        <v>0</v>
      </c>
      <c r="BT119" s="24">
        <v>0</v>
      </c>
      <c r="BU119" s="24">
        <v>0</v>
      </c>
      <c r="BV119" s="24">
        <v>0</v>
      </c>
      <c r="BW119" s="24">
        <v>0</v>
      </c>
      <c r="BX119" s="24">
        <f t="shared" si="31"/>
        <v>0</v>
      </c>
      <c r="BY119" s="25" cm="1">
        <f t="array" ref="BY119:CJ119">IFERROR(VLOOKUP(A119,'[1]Acum-OB-kg-pob-25'!A:AQ,{17,18,19,20,21,22,23,24,25,26,27,28},0),0)</f>
        <v>0</v>
      </c>
      <c r="BZ119" s="25">
        <v>0</v>
      </c>
      <c r="CA119" s="25">
        <v>0</v>
      </c>
      <c r="CB119" s="25">
        <v>0</v>
      </c>
      <c r="CC119" s="25">
        <v>0</v>
      </c>
      <c r="CD119" s="25">
        <v>0</v>
      </c>
      <c r="CE119" s="25">
        <v>0</v>
      </c>
      <c r="CF119" s="25">
        <v>0</v>
      </c>
      <c r="CG119" s="25">
        <v>0</v>
      </c>
      <c r="CH119" s="25">
        <v>0</v>
      </c>
      <c r="CI119" s="25">
        <v>0</v>
      </c>
      <c r="CJ119" s="25">
        <v>0</v>
      </c>
      <c r="CK119" s="25">
        <f t="shared" si="32"/>
        <v>0</v>
      </c>
      <c r="CL119" s="26" cm="1">
        <f t="array" ref="CL119:CW119">IFERROR(VLOOKUP(A119,'[1]Acum-OB-kg-pob-25'!A:AQ,{31,32,33,34,35,36,37,38,39,40,41,42},0),0)</f>
        <v>0</v>
      </c>
      <c r="CM119" s="26">
        <v>0</v>
      </c>
      <c r="CN119" s="26">
        <v>0</v>
      </c>
      <c r="CO119" s="26">
        <v>0</v>
      </c>
      <c r="CP119" s="26">
        <v>0</v>
      </c>
      <c r="CQ119" s="26">
        <v>0</v>
      </c>
      <c r="CR119" s="26">
        <v>0</v>
      </c>
      <c r="CS119" s="26">
        <v>0</v>
      </c>
      <c r="CT119" s="26">
        <v>0</v>
      </c>
      <c r="CU119" s="26">
        <v>0</v>
      </c>
      <c r="CV119" s="26">
        <v>0</v>
      </c>
      <c r="CW119" s="26">
        <v>0</v>
      </c>
      <c r="CX119" s="26">
        <f t="shared" si="33"/>
        <v>0</v>
      </c>
      <c r="CY119" s="14" t="str">
        <f>IF(A119=0,0,IFERROR(VLOOKUP(A119,'[1]Info Donantes'!C:F,2,0),"Sin Contacto"))</f>
        <v>Sin Contacto</v>
      </c>
      <c r="CZ119" s="14" t="str">
        <f>IF(A119=0,0,IFERROR(VLOOKUP(A119,'[1]Info Donantes'!C:F,3,0),"Sin Correo"))</f>
        <v>Sin Correo</v>
      </c>
      <c r="DA119" s="14" t="str">
        <f>IF(A119=0,0,IFERROR(VLOOKUP(A119,'[1]Info Donantes'!C:F,4,0),"Sin Telefono"))</f>
        <v>Sin Telefono</v>
      </c>
      <c r="DB119" s="14" t="str">
        <f>IF(A119=0,0,"Reporte de Trazabiidad"&amp;" - "&amp;'[1]Resumen Donantes'!$C$2&amp;" - "&amp;A119&amp;"")</f>
        <v>Reporte de Trazabiidad -  - Global Brands (Panamá), S.A</v>
      </c>
    </row>
    <row r="120" spans="1:106" x14ac:dyDescent="0.55000000000000004">
      <c r="A120" s="32" t="s">
        <v>224</v>
      </c>
      <c r="B120" s="33">
        <f>INT(IFERROR(VLOOKUP(A120,'[1]Resumen Donantes'!C:F,3,0),0))</f>
        <v>0</v>
      </c>
      <c r="C120" s="15">
        <f>INT(ROUND(IFERROR(VLOOKUP(A120,'[1]Resumen Donantes'!C:F,4,0),0),1))</f>
        <v>0</v>
      </c>
      <c r="D120" s="16">
        <f t="shared" si="36"/>
        <v>0</v>
      </c>
      <c r="E120" s="17" t="str">
        <f t="shared" si="37"/>
        <v>0.00%</v>
      </c>
      <c r="F120" s="17" t="str">
        <f t="shared" si="38"/>
        <v>0.0%</v>
      </c>
      <c r="G120" s="15">
        <f t="shared" si="40"/>
        <v>0</v>
      </c>
      <c r="H120" s="18"/>
      <c r="I120" s="18">
        <f>IFERROR(VLOOKUP(A120,'[1]Lot All by Part'!T:Y,6,0),0)</f>
        <v>0</v>
      </c>
      <c r="J120" s="18"/>
      <c r="K120" s="19">
        <f>IFERROR(VLOOKUP($A120,'[1]OB Atendidas por Donantes'!A:N,3,0),0)</f>
        <v>0</v>
      </c>
      <c r="L120" s="19">
        <f>ROUNDUP(IF(A120=0,0,IFERROR(VLOOKUP($A120,'[1]Kilos Asignado del Donante'!A:O,3,0),0)),0)</f>
        <v>0</v>
      </c>
      <c r="M120" s="19">
        <f>IF(A120=0,0,IFERROR(SUMIFS([1]Poblacion!M:M,[1]Poblacion!J:J,'MASTER-2025'!A120),0))</f>
        <v>0</v>
      </c>
      <c r="N120" s="20">
        <f>IFERROR(VLOOKUP($A120,'[1]OB Atendidas por Donantes'!A:N,4,0),0)</f>
        <v>0</v>
      </c>
      <c r="O120" s="20">
        <f>ROUNDUP(IF(A120=0,0,IFERROR(VLOOKUP($A120,'[1]Kilos Asignado del Donante'!A:O,4,0),0)),0)</f>
        <v>0</v>
      </c>
      <c r="P120" s="20">
        <f>IF(A120=0,0,IFERROR(SUMIFS([1]Poblacion!N:N,[1]Poblacion!J:J,'MASTER-2025'!A120),0))</f>
        <v>0</v>
      </c>
      <c r="Q120" s="18">
        <f>IFERROR(VLOOKUP($A120,'[1]OB Atendidas por Donantes'!A:N,2,0),0)</f>
        <v>0</v>
      </c>
      <c r="R120" s="18">
        <f>ROUNDUP(ROUND(IF(A120=0,0,IFERROR(VLOOKUP($A120,'[1]Kilos Asignado del Donante'!A:O,9,0),0)),1),0)</f>
        <v>0</v>
      </c>
      <c r="S120" s="18">
        <f>IF(A120=0,0,IFERROR(SUMIFS([1]Poblacion!S:S,[1]Poblacion!J:J,'MASTER-2025'!A120),0))</f>
        <v>0</v>
      </c>
      <c r="T120" s="19">
        <f>IFERROR(VLOOKUP($A120,'[1]OB Atendidas por Donantes'!A:N,12,0),0)</f>
        <v>0</v>
      </c>
      <c r="U120" s="19">
        <f>ROUNDUP(IF(A120=0,0,IF(A120=0,0,IFERROR(VLOOKUP($A120,'[1]Kilos Asignado del Donante'!A:O,7,0),0))),0)</f>
        <v>0</v>
      </c>
      <c r="V120" s="19">
        <f>IF(A120=0,0,IFERROR(SUMIFS([1]Poblacion!Q:Q,[1]Poblacion!J:J,'MASTER-2025'!A120),0))</f>
        <v>0</v>
      </c>
      <c r="W120" s="20">
        <f>IFERROR(VLOOKUP($A120,'[1]OB Atendidas por Donantes'!A:N,10,0),0)</f>
        <v>0</v>
      </c>
      <c r="X120" s="20">
        <f>ROUNDUP(IF(A120=0,0,IFERROR(VLOOKUP($A120,'[1]Kilos Asignado del Donante'!A:N,5,0),0)),0)</f>
        <v>0</v>
      </c>
      <c r="Y120" s="20">
        <f>IF(A120=0,0,IFERROR(SUMIFS([1]Poblacion!O:O,[1]Poblacion!J:J,'MASTER-2025'!A120),0))</f>
        <v>0</v>
      </c>
      <c r="Z120" s="18">
        <f>IFERROR(VLOOKUP($A120,'[1]OB Atendidas por Donantes'!A:N,6,0),0)</f>
        <v>0</v>
      </c>
      <c r="AA120" s="18">
        <f>ROUNDUP(IF(A120=0,0,IFERROR(VLOOKUP($A120,'[1]Kilos Asignado del Donante'!A:N,11,0),0)),0)</f>
        <v>0</v>
      </c>
      <c r="AB120" s="18">
        <f>IF(A120=0,0,IFERROR(SUMIFS([1]Poblacion!U:U,[1]Poblacion!J:J,'MASTER-2025'!A120),0))</f>
        <v>0</v>
      </c>
      <c r="AC120" s="19">
        <f>IFERROR(VLOOKUP($A120,'[1]OB Atendidas por Donantes'!A:N,7,0),0)</f>
        <v>0</v>
      </c>
      <c r="AD120" s="19">
        <f>ROUNDUP(IF(A120=0,0,IFERROR(VLOOKUP($A120,'[1]Kilos Asignado del Donante'!A:N,8,0),0)),0)</f>
        <v>0</v>
      </c>
      <c r="AE120" s="19">
        <f>IF(A120=0,0,IFERROR(SUMIFS([1]Poblacion!R:R,[1]Poblacion!J:J,'MASTER-2025'!A120),0))</f>
        <v>0</v>
      </c>
      <c r="AF120" s="20">
        <f>IFERROR(VLOOKUP($A120,'[1]OB Atendidas por Donantes'!A:N,8,0),0)</f>
        <v>0</v>
      </c>
      <c r="AG120" s="20">
        <f>ROUNDUP(IF(A120=0,0,IFERROR(VLOOKUP($A120,'[1]Kilos Asignado del Donante'!A:N,6,0),0)),0)</f>
        <v>0</v>
      </c>
      <c r="AH120" s="20">
        <f>IF(A120=0,0,IFERROR(SUMIFS([1]Poblacion!P:P,[1]Poblacion!J:J,'MASTER-2025'!A120),0))</f>
        <v>0</v>
      </c>
      <c r="AI120" s="18">
        <f>IFERROR(VLOOKUP($A120,'[1]OB Atendidas por Donantes'!A:N,9,0),0)</f>
        <v>0</v>
      </c>
      <c r="AJ120" s="18">
        <f>ROUNDUP(IF(A120=0,0,IFERROR(VLOOKUP($A120,'[1]Kilos Asignado del Donante'!A:N,12,0),0)),0)</f>
        <v>0</v>
      </c>
      <c r="AK120" s="18">
        <f>IF(A120=0,0,IFERROR(SUMIFS([1]Poblacion!V:V,[1]Poblacion!J:J,'MASTER-2025'!A120),0))</f>
        <v>0</v>
      </c>
      <c r="AL120" s="19">
        <f>IFERROR(VLOOKUP($A120,'[1]OB Atendidas por Donantes'!A:N,16,0),0)</f>
        <v>0</v>
      </c>
      <c r="AM120" s="19">
        <f>ROUNDUP(IF(A120=0,0,IFERROR(VLOOKUP($A120,'[1]Kilos Asignado del Donante'!A:O,16,0),0)),0)</f>
        <v>0</v>
      </c>
      <c r="AN120" s="19">
        <f>IF(A120=0,0,IFERROR(SUMIFS([1]Poblacion!Z:Z,[1]Poblacion!J:J,'MASTER-2025'!A120),0))</f>
        <v>0</v>
      </c>
      <c r="AO120" s="20">
        <f>IFERROR(VLOOKUP($A120,'[1]OB Atendidas por Donantes'!A:N,11,0),0)</f>
        <v>0</v>
      </c>
      <c r="AP120" s="20">
        <f>ROUNDUP(IF(A120=0,0,IFERROR(VLOOKUP($A120,'[1]Kilos Asignado del Donante'!A:N,13,0),0)),0)</f>
        <v>0</v>
      </c>
      <c r="AQ120" s="20">
        <f>IF(A120=0,0,IFERROR(SUMIFS([1]Poblacion!W:W,[1]Poblacion!J:J,'MASTER-2025'!A120),0))</f>
        <v>0</v>
      </c>
      <c r="AR120" s="18">
        <f>IFERROR(VLOOKUP($A120,'[1]OB Atendidas por Donantes'!A:N,5,0),0)</f>
        <v>0</v>
      </c>
      <c r="AS120" s="18">
        <f>ROUNDUP(IF(A120=0,0,IFERROR(VLOOKUP($A120,'[1]Kilos Asignado del Donante'!A:N,10,0),0)),0)</f>
        <v>0</v>
      </c>
      <c r="AT120" s="18">
        <f>IF(A120=0,0,IFERROR(SUMIFS([1]Poblacion!T:T,[1]Poblacion!J:J,'MASTER-2025'!A120),0))</f>
        <v>0</v>
      </c>
      <c r="AU120" s="19">
        <f>IFERROR(VLOOKUP($A120,'[1]OB Atendidas por Donantes'!A:N,13,0),0)</f>
        <v>0</v>
      </c>
      <c r="AV120" s="19">
        <f>ROUNDUP(IF(A120=0,0,IFERROR(VLOOKUP($A120,'[1]Kilos Asignado del Donante'!A:N,14,0),0)),0)</f>
        <v>0</v>
      </c>
      <c r="AW120" s="19">
        <f>IF(A120=0,0,IFERROR(SUMIFS([1]Poblacion!X:X,[1]Poblacion!J:J,'MASTER-2025'!A120),0))</f>
        <v>0</v>
      </c>
      <c r="AX120" s="20">
        <f>IFERROR(VLOOKUP($A120,'[1]OB Atendidas por Donantes'!A:N,16,0),0)</f>
        <v>0</v>
      </c>
      <c r="AY120" s="20">
        <f>ROUNDUP(IF(A120=0,0,IFERROR(VLOOKUP($A120,'[1]Kilos Asignado del Donante'!A:O,16,0),0)),0)</f>
        <v>0</v>
      </c>
      <c r="AZ120" s="20">
        <f>IF(A120=0,0,IFERROR(SUMIFS([1]Poblacion!Y:Y,[1]Poblacion!J:J,'MASTER-2025'!A120),0))</f>
        <v>0</v>
      </c>
      <c r="BA120" s="21">
        <f t="shared" si="43"/>
        <v>0</v>
      </c>
      <c r="BB120" s="21">
        <f t="shared" si="42"/>
        <v>0</v>
      </c>
      <c r="BC120" s="21">
        <f t="shared" si="39"/>
        <v>0</v>
      </c>
      <c r="BD120" s="21">
        <f t="shared" si="44"/>
        <v>0</v>
      </c>
      <c r="BE120" s="22" t="e">
        <f>IF(A120=0,0,SUMIFS([1]Poblacion!C:C,[1]Poblacion!A:A,'MASTER-2025'!A120))</f>
        <v>#VALUE!</v>
      </c>
      <c r="BF120" s="22" t="e">
        <f>IF(A120=0,0,SUMIFS([1]Poblacion!D:D,[1]Poblacion!A:A,'MASTER-2025'!A120))</f>
        <v>#VALUE!</v>
      </c>
      <c r="BG120" s="22" t="e">
        <f>IF(A120=0,0,SUMIFS([1]Poblacion!E:E,[1]Poblacion!A:A,'MASTER-2025'!A120))</f>
        <v>#VALUE!</v>
      </c>
      <c r="BH120" s="22" t="e">
        <f>IF(A120=0,0,SUMIFS([1]Poblacion!F:F,[1]Poblacion!A:A,'MASTER-2025'!A120))</f>
        <v>#VALUE!</v>
      </c>
      <c r="BI120" s="22" t="e">
        <f t="shared" si="35"/>
        <v>#VALUE!</v>
      </c>
      <c r="BJ120" s="23" t="e">
        <f t="shared" si="30"/>
        <v>#VALUE!</v>
      </c>
      <c r="BK120" s="22" t="e">
        <f>IF(A120=0,0,SUMIFS([1]Poblacion!G:G,[1]Poblacion!A:A,'MASTER-2025'!A120))</f>
        <v>#VALUE!</v>
      </c>
      <c r="BL120" s="24" cm="1">
        <f t="array" ref="BL120:BW120">IFERROR(VLOOKUP(A120,'[1]Acum-OB-kg-pob-25'!A:AQ,{3,4,5,6,7,8,9,10,11,12,13,14},0),0)</f>
        <v>0</v>
      </c>
      <c r="BM120" s="24">
        <v>0</v>
      </c>
      <c r="BN120" s="24">
        <v>0</v>
      </c>
      <c r="BO120" s="24">
        <v>0</v>
      </c>
      <c r="BP120" s="24">
        <v>0</v>
      </c>
      <c r="BQ120" s="24">
        <v>0</v>
      </c>
      <c r="BR120" s="24">
        <v>0</v>
      </c>
      <c r="BS120" s="24">
        <v>0</v>
      </c>
      <c r="BT120" s="24">
        <v>0</v>
      </c>
      <c r="BU120" s="24">
        <v>0</v>
      </c>
      <c r="BV120" s="24">
        <v>0</v>
      </c>
      <c r="BW120" s="24">
        <v>0</v>
      </c>
      <c r="BX120" s="24">
        <f t="shared" si="31"/>
        <v>0</v>
      </c>
      <c r="BY120" s="25" cm="1">
        <f t="array" ref="BY120:CJ120">IFERROR(VLOOKUP(A120,'[1]Acum-OB-kg-pob-25'!A:AQ,{17,18,19,20,21,22,23,24,25,26,27,28},0),0)</f>
        <v>0</v>
      </c>
      <c r="BZ120" s="25">
        <v>0</v>
      </c>
      <c r="CA120" s="25">
        <v>0</v>
      </c>
      <c r="CB120" s="25">
        <v>0</v>
      </c>
      <c r="CC120" s="25">
        <v>0</v>
      </c>
      <c r="CD120" s="25">
        <v>0</v>
      </c>
      <c r="CE120" s="25">
        <v>0</v>
      </c>
      <c r="CF120" s="25">
        <v>0</v>
      </c>
      <c r="CG120" s="25">
        <v>0</v>
      </c>
      <c r="CH120" s="25">
        <v>0</v>
      </c>
      <c r="CI120" s="25">
        <v>0</v>
      </c>
      <c r="CJ120" s="25">
        <v>0</v>
      </c>
      <c r="CK120" s="25">
        <f t="shared" si="32"/>
        <v>0</v>
      </c>
      <c r="CL120" s="26" cm="1">
        <f t="array" ref="CL120:CW120">IFERROR(VLOOKUP(A120,'[1]Acum-OB-kg-pob-25'!A:AQ,{31,32,33,34,35,36,37,38,39,40,41,42},0),0)</f>
        <v>0</v>
      </c>
      <c r="CM120" s="26">
        <v>0</v>
      </c>
      <c r="CN120" s="26">
        <v>0</v>
      </c>
      <c r="CO120" s="26">
        <v>0</v>
      </c>
      <c r="CP120" s="26">
        <v>0</v>
      </c>
      <c r="CQ120" s="26">
        <v>0</v>
      </c>
      <c r="CR120" s="26">
        <v>0</v>
      </c>
      <c r="CS120" s="26">
        <v>0</v>
      </c>
      <c r="CT120" s="26">
        <v>0</v>
      </c>
      <c r="CU120" s="26">
        <v>0</v>
      </c>
      <c r="CV120" s="26">
        <v>0</v>
      </c>
      <c r="CW120" s="26">
        <v>0</v>
      </c>
      <c r="CX120" s="26">
        <f t="shared" si="33"/>
        <v>0</v>
      </c>
      <c r="CY120" s="14" t="str">
        <f>IF(A120=0,0,IFERROR(VLOOKUP(A120,'[1]Info Donantes'!C:F,2,0),"Sin Contacto"))</f>
        <v>Sin Contacto</v>
      </c>
      <c r="CZ120" s="14" t="str">
        <f>IF(A120=0,0,IFERROR(VLOOKUP(A120,'[1]Info Donantes'!C:F,3,0),"Sin Correo"))</f>
        <v>Sin Correo</v>
      </c>
      <c r="DA120" s="14" t="str">
        <f>IF(A120=0,0,IFERROR(VLOOKUP(A120,'[1]Info Donantes'!C:F,4,0),"Sin Telefono"))</f>
        <v>Sin Telefono</v>
      </c>
      <c r="DB120" s="14" t="str">
        <f>IF(A120=0,0,"Reporte de Trazabiidad"&amp;" - "&amp;'[1]Resumen Donantes'!$C$2&amp;" - "&amp;A120&amp;"")</f>
        <v>Reporte de Trazabiidad -  - ULE RIVER RANCH</v>
      </c>
    </row>
    <row r="121" spans="1:106" x14ac:dyDescent="0.55000000000000004">
      <c r="A121" s="31" t="s">
        <v>225</v>
      </c>
      <c r="B121" s="33">
        <f>INT(IFERROR(VLOOKUP(A121,'[1]Resumen Donantes'!C:F,3,0),0))</f>
        <v>0</v>
      </c>
      <c r="C121" s="15">
        <f>INT(ROUND(IFERROR(VLOOKUP(A121,'[1]Resumen Donantes'!C:F,4,0),0),1))</f>
        <v>144</v>
      </c>
      <c r="D121" s="16">
        <f t="shared" si="36"/>
        <v>144</v>
      </c>
      <c r="E121" s="17" t="str">
        <f t="shared" si="37"/>
        <v>100.00%</v>
      </c>
      <c r="F121" s="17" t="str">
        <f t="shared" si="38"/>
        <v>0.0%</v>
      </c>
      <c r="G121" s="15">
        <f t="shared" si="40"/>
        <v>432</v>
      </c>
      <c r="H121" s="18"/>
      <c r="I121" s="18">
        <f>IFERROR(VLOOKUP(A121,'[1]Lot All by Part'!T:Y,6,0),0)</f>
        <v>0</v>
      </c>
      <c r="J121" s="18"/>
      <c r="K121" s="19">
        <f>IFERROR(VLOOKUP($A121,'[1]OB Atendidas por Donantes'!A:N,3,0),0)</f>
        <v>0</v>
      </c>
      <c r="L121" s="19">
        <f>ROUNDUP(IF(A121=0,0,IFERROR(VLOOKUP($A121,'[1]Kilos Asignado del Donante'!A:O,3,0),0)),0)</f>
        <v>0</v>
      </c>
      <c r="M121" s="19">
        <f>IF(A121=0,0,IFERROR(SUMIFS([1]Poblacion!M:M,[1]Poblacion!J:J,'MASTER-2025'!A121),0))</f>
        <v>0</v>
      </c>
      <c r="N121" s="20">
        <f>IFERROR(VLOOKUP($A121,'[1]OB Atendidas por Donantes'!A:N,4,0),0)</f>
        <v>0</v>
      </c>
      <c r="O121" s="20">
        <f>ROUNDUP(IF(A121=0,0,IFERROR(VLOOKUP($A121,'[1]Kilos Asignado del Donante'!A:O,4,0),0)),0)</f>
        <v>0</v>
      </c>
      <c r="P121" s="20">
        <f>IF(A121=0,0,IFERROR(SUMIFS([1]Poblacion!N:N,[1]Poblacion!J:J,'MASTER-2025'!A121),0))</f>
        <v>0</v>
      </c>
      <c r="Q121" s="18">
        <f>IFERROR(VLOOKUP($A121,'[1]OB Atendidas por Donantes'!A:N,2,0),0)</f>
        <v>0</v>
      </c>
      <c r="R121" s="18">
        <f>ROUNDUP(ROUND(IF(A121=0,0,IFERROR(VLOOKUP($A121,'[1]Kilos Asignado del Donante'!A:O,9,0),0)),1),0)</f>
        <v>0</v>
      </c>
      <c r="S121" s="18">
        <f>IF(A121=0,0,IFERROR(SUMIFS([1]Poblacion!S:S,[1]Poblacion!J:J,'MASTER-2025'!A121),0))</f>
        <v>0</v>
      </c>
      <c r="T121" s="19">
        <f>IFERROR(VLOOKUP($A121,'[1]OB Atendidas por Donantes'!A:N,12,0),0)</f>
        <v>0</v>
      </c>
      <c r="U121" s="19">
        <f>ROUNDUP(IF(A121=0,0,IF(A121=0,0,IFERROR(VLOOKUP($A121,'[1]Kilos Asignado del Donante'!A:O,7,0),0))),0)</f>
        <v>0</v>
      </c>
      <c r="V121" s="19">
        <f>IF(A121=0,0,IFERROR(SUMIFS([1]Poblacion!Q:Q,[1]Poblacion!J:J,'MASTER-2025'!A121),0))</f>
        <v>0</v>
      </c>
      <c r="W121" s="20">
        <f>IFERROR(VLOOKUP($A121,'[1]OB Atendidas por Donantes'!A:N,10,0),0)</f>
        <v>0</v>
      </c>
      <c r="X121" s="20">
        <f>ROUNDUP(IF(A121=0,0,IFERROR(VLOOKUP($A121,'[1]Kilos Asignado del Donante'!A:N,5,0),0)),0)</f>
        <v>0</v>
      </c>
      <c r="Y121" s="20">
        <f>IF(A121=0,0,IFERROR(SUMIFS([1]Poblacion!O:O,[1]Poblacion!J:J,'MASTER-2025'!A121),0))</f>
        <v>0</v>
      </c>
      <c r="Z121" s="18">
        <f>IFERROR(VLOOKUP($A121,'[1]OB Atendidas por Donantes'!A:N,6,0),0)</f>
        <v>1</v>
      </c>
      <c r="AA121" s="18">
        <f>ROUNDUP(IF(A121=0,0,IFERROR(VLOOKUP($A121,'[1]Kilos Asignado del Donante'!A:N,11,0),0)),0)</f>
        <v>58</v>
      </c>
      <c r="AB121" s="18">
        <f>IF(A121=0,0,IFERROR(SUMIFS([1]Poblacion!U:U,[1]Poblacion!J:J,'MASTER-2025'!A121),0))</f>
        <v>0</v>
      </c>
      <c r="AC121" s="19">
        <f>IFERROR(VLOOKUP($A121,'[1]OB Atendidas por Donantes'!A:N,7,0),0)</f>
        <v>0</v>
      </c>
      <c r="AD121" s="19">
        <f>ROUNDUP(IF(A121=0,0,IFERROR(VLOOKUP($A121,'[1]Kilos Asignado del Donante'!A:N,8,0),0)),0)</f>
        <v>0</v>
      </c>
      <c r="AE121" s="19">
        <f>IF(A121=0,0,IFERROR(SUMIFS([1]Poblacion!R:R,[1]Poblacion!J:J,'MASTER-2025'!A121),0))</f>
        <v>0</v>
      </c>
      <c r="AF121" s="20">
        <f>IFERROR(VLOOKUP($A121,'[1]OB Atendidas por Donantes'!A:N,8,0),0)</f>
        <v>0</v>
      </c>
      <c r="AG121" s="20">
        <f>ROUNDUP(IF(A121=0,0,IFERROR(VLOOKUP($A121,'[1]Kilos Asignado del Donante'!A:N,6,0),0)),0)</f>
        <v>0</v>
      </c>
      <c r="AH121" s="20">
        <f>IF(A121=0,0,IFERROR(SUMIFS([1]Poblacion!P:P,[1]Poblacion!J:J,'MASTER-2025'!A121),0))</f>
        <v>0</v>
      </c>
      <c r="AI121" s="18">
        <f>IFERROR(VLOOKUP($A121,'[1]OB Atendidas por Donantes'!A:N,9,0),0)</f>
        <v>1</v>
      </c>
      <c r="AJ121" s="18">
        <f>ROUNDUP(IF(A121=0,0,IFERROR(VLOOKUP($A121,'[1]Kilos Asignado del Donante'!A:N,12,0),0)),0)</f>
        <v>4</v>
      </c>
      <c r="AK121" s="18">
        <f>IF(A121=0,0,IFERROR(SUMIFS([1]Poblacion!V:V,[1]Poblacion!J:J,'MASTER-2025'!A121),0))</f>
        <v>0</v>
      </c>
      <c r="AL121" s="19">
        <f>IFERROR(VLOOKUP($A121,'[1]OB Atendidas por Donantes'!A:N,16,0),0)</f>
        <v>0</v>
      </c>
      <c r="AM121" s="19">
        <f>ROUNDUP(IF(A121=0,0,IFERROR(VLOOKUP($A121,'[1]Kilos Asignado del Donante'!A:O,16,0),0)),0)</f>
        <v>0</v>
      </c>
      <c r="AN121" s="19">
        <f>IF(A121=0,0,IFERROR(SUMIFS([1]Poblacion!Z:Z,[1]Poblacion!J:J,'MASTER-2025'!A121),0))</f>
        <v>0</v>
      </c>
      <c r="AO121" s="20">
        <f>IFERROR(VLOOKUP($A121,'[1]OB Atendidas por Donantes'!A:N,11,0),0)</f>
        <v>1</v>
      </c>
      <c r="AP121" s="20">
        <f>ROUNDUP(IF(A121=0,0,IFERROR(VLOOKUP($A121,'[1]Kilos Asignado del Donante'!A:N,13,0),0)),0)</f>
        <v>14</v>
      </c>
      <c r="AQ121" s="20">
        <f>IF(A121=0,0,IFERROR(SUMIFS([1]Poblacion!W:W,[1]Poblacion!J:J,'MASTER-2025'!A121),0))</f>
        <v>0</v>
      </c>
      <c r="AR121" s="18">
        <f>IFERROR(VLOOKUP($A121,'[1]OB Atendidas por Donantes'!A:N,5,0),0)</f>
        <v>2</v>
      </c>
      <c r="AS121" s="18">
        <f>ROUNDUP(IF(A121=0,0,IFERROR(VLOOKUP($A121,'[1]Kilos Asignado del Donante'!A:N,10,0),0)),0)</f>
        <v>22</v>
      </c>
      <c r="AT121" s="18">
        <f>IF(A121=0,0,IFERROR(SUMIFS([1]Poblacion!T:T,[1]Poblacion!J:J,'MASTER-2025'!A121),0))</f>
        <v>0</v>
      </c>
      <c r="AU121" s="19">
        <f>IFERROR(VLOOKUP($A121,'[1]OB Atendidas por Donantes'!A:N,13,0),0)</f>
        <v>0</v>
      </c>
      <c r="AV121" s="19">
        <f>ROUNDUP(IF(A121=0,0,IFERROR(VLOOKUP($A121,'[1]Kilos Asignado del Donante'!A:N,14,0),0)),0)</f>
        <v>0</v>
      </c>
      <c r="AW121" s="19">
        <f>IF(A121=0,0,IFERROR(SUMIFS([1]Poblacion!X:X,[1]Poblacion!J:J,'MASTER-2025'!A121),0))</f>
        <v>0</v>
      </c>
      <c r="AX121" s="20">
        <f>IFERROR(VLOOKUP($A121,'[1]OB Atendidas por Donantes'!A:N,16,0),0)</f>
        <v>0</v>
      </c>
      <c r="AY121" s="20">
        <f>ROUNDUP(IF(A121=0,0,IFERROR(VLOOKUP($A121,'[1]Kilos Asignado del Donante'!A:O,16,0),0)),0)</f>
        <v>0</v>
      </c>
      <c r="AZ121" s="20">
        <f>IF(A121=0,0,IFERROR(SUMIFS([1]Poblacion!Y:Y,[1]Poblacion!J:J,'MASTER-2025'!A121),0))</f>
        <v>0</v>
      </c>
      <c r="BA121" s="21">
        <f t="shared" si="43"/>
        <v>5</v>
      </c>
      <c r="BB121" s="21">
        <f t="shared" si="42"/>
        <v>98</v>
      </c>
      <c r="BC121" s="21">
        <f t="shared" si="39"/>
        <v>0</v>
      </c>
      <c r="BD121" s="21">
        <f t="shared" si="44"/>
        <v>0</v>
      </c>
      <c r="BE121" s="22" t="e">
        <f>IF(A121=0,0,SUMIFS([1]Poblacion!C:C,[1]Poblacion!A:A,'MASTER-2025'!A121))</f>
        <v>#VALUE!</v>
      </c>
      <c r="BF121" s="22" t="e">
        <f>IF(A121=0,0,SUMIFS([1]Poblacion!D:D,[1]Poblacion!A:A,'MASTER-2025'!A121))</f>
        <v>#VALUE!</v>
      </c>
      <c r="BG121" s="22" t="e">
        <f>IF(A121=0,0,SUMIFS([1]Poblacion!E:E,[1]Poblacion!A:A,'MASTER-2025'!A121))</f>
        <v>#VALUE!</v>
      </c>
      <c r="BH121" s="22" t="e">
        <f>IF(A121=0,0,SUMIFS([1]Poblacion!F:F,[1]Poblacion!A:A,'MASTER-2025'!A121))</f>
        <v>#VALUE!</v>
      </c>
      <c r="BI121" s="22" t="e">
        <f t="shared" si="35"/>
        <v>#VALUE!</v>
      </c>
      <c r="BJ121" s="23" t="e">
        <f t="shared" si="30"/>
        <v>#VALUE!</v>
      </c>
      <c r="BK121" s="22" t="e">
        <f>IF(A121=0,0,SUMIFS([1]Poblacion!G:G,[1]Poblacion!A:A,'MASTER-2025'!A121))</f>
        <v>#VALUE!</v>
      </c>
      <c r="BL121" s="24" cm="1">
        <f t="array" ref="BL121:BW121">IFERROR(VLOOKUP(A121,'[1]Acum-OB-kg-pob-25'!A:AQ,{3,4,5,6,7,8,9,10,11,12,13,14},0),0)</f>
        <v>5</v>
      </c>
      <c r="BM121" s="24">
        <v>4</v>
      </c>
      <c r="BN121" s="24">
        <v>5</v>
      </c>
      <c r="BO121" s="24">
        <v>0</v>
      </c>
      <c r="BP121" s="24">
        <v>0</v>
      </c>
      <c r="BQ121" s="24">
        <v>0</v>
      </c>
      <c r="BR121" s="24">
        <v>0</v>
      </c>
      <c r="BS121" s="24">
        <v>0</v>
      </c>
      <c r="BT121" s="24">
        <v>0</v>
      </c>
      <c r="BU121" s="24">
        <v>0</v>
      </c>
      <c r="BV121" s="24">
        <v>0</v>
      </c>
      <c r="BW121" s="24">
        <v>0</v>
      </c>
      <c r="BX121" s="24">
        <f t="shared" si="31"/>
        <v>14</v>
      </c>
      <c r="BY121" s="25" cm="1">
        <f t="array" ref="BY121:CJ121">IFERROR(VLOOKUP(A121,'[1]Acum-OB-kg-pob-25'!A:AQ,{17,18,19,20,21,22,23,24,25,26,27,28},0),0)</f>
        <v>222</v>
      </c>
      <c r="BZ121" s="25">
        <v>43</v>
      </c>
      <c r="CA121" s="25">
        <v>144</v>
      </c>
      <c r="CB121" s="25">
        <v>0</v>
      </c>
      <c r="CC121" s="25">
        <v>0</v>
      </c>
      <c r="CD121" s="25">
        <v>0</v>
      </c>
      <c r="CE121" s="25">
        <v>0</v>
      </c>
      <c r="CF121" s="25">
        <v>0</v>
      </c>
      <c r="CG121" s="25">
        <v>0</v>
      </c>
      <c r="CH121" s="25">
        <v>0</v>
      </c>
      <c r="CI121" s="25">
        <v>0</v>
      </c>
      <c r="CJ121" s="25">
        <v>0</v>
      </c>
      <c r="CK121" s="25">
        <f t="shared" si="32"/>
        <v>409</v>
      </c>
      <c r="CL121" s="26" cm="1">
        <f t="array" ref="CL121:CW121">IFERROR(VLOOKUP(A121,'[1]Acum-OB-kg-pob-25'!A:AQ,{31,32,33,34,35,36,37,38,39,40,41,42},0),0)</f>
        <v>1191</v>
      </c>
      <c r="CM121" s="26">
        <v>715</v>
      </c>
      <c r="CN121" s="26">
        <v>959</v>
      </c>
      <c r="CO121" s="26">
        <v>0</v>
      </c>
      <c r="CP121" s="26">
        <v>0</v>
      </c>
      <c r="CQ121" s="26">
        <v>0</v>
      </c>
      <c r="CR121" s="26">
        <v>0</v>
      </c>
      <c r="CS121" s="26">
        <v>0</v>
      </c>
      <c r="CT121" s="26">
        <v>0</v>
      </c>
      <c r="CU121" s="26">
        <v>0</v>
      </c>
      <c r="CV121" s="26">
        <v>0</v>
      </c>
      <c r="CW121" s="26">
        <v>0</v>
      </c>
      <c r="CX121" s="26">
        <f t="shared" si="33"/>
        <v>2865</v>
      </c>
      <c r="CY121" s="14">
        <f>IF(A121=0,0,IFERROR(VLOOKUP(A121,'[1]Info Donantes'!C:F,2,0),"Sin Contacto"))</f>
        <v>0</v>
      </c>
      <c r="CZ121" s="14" t="str">
        <f>IF(A121=0,0,IFERROR(VLOOKUP(A121,'[1]Info Donantes'!C:F,3,0),"Sin Correo"))</f>
        <v>vepifaniom@cwpanama.net</v>
      </c>
      <c r="DA121" s="14" t="str">
        <f>IF(A121=0,0,IFERROR(VLOOKUP(A121,'[1]Info Donantes'!C:F,4,0),"Sin Telefono"))</f>
        <v>2248339</v>
      </c>
      <c r="DB121" s="14" t="str">
        <f>IF(A121=0,0,"Reporte de Trazabiidad"&amp;" - "&amp;'[1]Resumen Donantes'!$C$2&amp;" - "&amp;A121&amp;"")</f>
        <v>Reporte de Trazabiidad -  - PROCESADORA MONICA, S.A</v>
      </c>
    </row>
    <row r="122" spans="1:106" x14ac:dyDescent="0.55000000000000004">
      <c r="A122" s="31" t="s">
        <v>226</v>
      </c>
      <c r="B122" s="33">
        <f>INT(IFERROR(VLOOKUP(A122,'[1]Resumen Donantes'!C:F,3,0),0))</f>
        <v>0</v>
      </c>
      <c r="C122" s="15">
        <f>INT(ROUND(IFERROR(VLOOKUP(A122,'[1]Resumen Donantes'!C:F,4,0),0),1))</f>
        <v>0</v>
      </c>
      <c r="D122" s="16">
        <f t="shared" si="36"/>
        <v>0</v>
      </c>
      <c r="E122" s="17" t="str">
        <f t="shared" si="37"/>
        <v>0.00%</v>
      </c>
      <c r="F122" s="17" t="str">
        <f t="shared" si="38"/>
        <v>0.0%</v>
      </c>
      <c r="G122" s="15">
        <f t="shared" si="40"/>
        <v>0</v>
      </c>
      <c r="H122" s="18"/>
      <c r="I122" s="18">
        <f>IFERROR(VLOOKUP(A122,'[1]Lot All by Part'!T:Y,6,0),0)</f>
        <v>0</v>
      </c>
      <c r="J122" s="18"/>
      <c r="K122" s="19">
        <f>IFERROR(VLOOKUP($A122,'[1]OB Atendidas por Donantes'!A:N,3,0),0)</f>
        <v>9</v>
      </c>
      <c r="L122" s="19">
        <f>ROUNDUP(IF(A122=0,0,IFERROR(VLOOKUP($A122,'[1]Kilos Asignado del Donante'!A:O,3,0),0)),0)</f>
        <v>165</v>
      </c>
      <c r="M122" s="19">
        <f>IF(A122=0,0,IFERROR(SUMIFS([1]Poblacion!M:M,[1]Poblacion!J:J,'MASTER-2025'!A122),0))</f>
        <v>0</v>
      </c>
      <c r="N122" s="20">
        <f>IFERROR(VLOOKUP($A122,'[1]OB Atendidas por Donantes'!A:N,4,0),0)</f>
        <v>8</v>
      </c>
      <c r="O122" s="20">
        <f>ROUNDUP(IF(A122=0,0,IFERROR(VLOOKUP($A122,'[1]Kilos Asignado del Donante'!A:O,4,0),0)),0)</f>
        <v>120</v>
      </c>
      <c r="P122" s="20">
        <f>IF(A122=0,0,IFERROR(SUMIFS([1]Poblacion!N:N,[1]Poblacion!J:J,'MASTER-2025'!A122),0))</f>
        <v>0</v>
      </c>
      <c r="Q122" s="18">
        <f>IFERROR(VLOOKUP($A122,'[1]OB Atendidas por Donantes'!A:N,2,0),0)</f>
        <v>3</v>
      </c>
      <c r="R122" s="18">
        <f>ROUNDUP(ROUND(IF(A122=0,0,IFERROR(VLOOKUP($A122,'[1]Kilos Asignado del Donante'!A:O,9,0),0)),1),0)</f>
        <v>20</v>
      </c>
      <c r="S122" s="18">
        <f>IF(A122=0,0,IFERROR(SUMIFS([1]Poblacion!S:S,[1]Poblacion!J:J,'MASTER-2025'!A122),0))</f>
        <v>0</v>
      </c>
      <c r="T122" s="19">
        <f>IFERROR(VLOOKUP($A122,'[1]OB Atendidas por Donantes'!A:N,12,0),0)</f>
        <v>2</v>
      </c>
      <c r="U122" s="19">
        <f>ROUNDUP(IF(A122=0,0,IF(A122=0,0,IFERROR(VLOOKUP($A122,'[1]Kilos Asignado del Donante'!A:O,7,0),0))),0)</f>
        <v>35</v>
      </c>
      <c r="V122" s="19">
        <f>IF(A122=0,0,IFERROR(SUMIFS([1]Poblacion!Q:Q,[1]Poblacion!J:J,'MASTER-2025'!A122),0))</f>
        <v>0</v>
      </c>
      <c r="W122" s="20">
        <f>IFERROR(VLOOKUP($A122,'[1]OB Atendidas por Donantes'!A:N,10,0),0)</f>
        <v>6</v>
      </c>
      <c r="X122" s="20">
        <f>ROUNDUP(IF(A122=0,0,IFERROR(VLOOKUP($A122,'[1]Kilos Asignado del Donante'!A:N,5,0),0)),0)</f>
        <v>110</v>
      </c>
      <c r="Y122" s="20">
        <f>IF(A122=0,0,IFERROR(SUMIFS([1]Poblacion!O:O,[1]Poblacion!J:J,'MASTER-2025'!A122),0))</f>
        <v>0</v>
      </c>
      <c r="Z122" s="18">
        <f>IFERROR(VLOOKUP($A122,'[1]OB Atendidas por Donantes'!A:N,6,0),0)</f>
        <v>0</v>
      </c>
      <c r="AA122" s="18">
        <f>ROUNDUP(IF(A122=0,0,IFERROR(VLOOKUP($A122,'[1]Kilos Asignado del Donante'!A:N,11,0),0)),0)</f>
        <v>0</v>
      </c>
      <c r="AB122" s="18">
        <f>IF(A122=0,0,IFERROR(SUMIFS([1]Poblacion!U:U,[1]Poblacion!J:J,'MASTER-2025'!A122),0))</f>
        <v>0</v>
      </c>
      <c r="AC122" s="19">
        <f>IFERROR(VLOOKUP($A122,'[1]OB Atendidas por Donantes'!A:N,7,0),0)</f>
        <v>1</v>
      </c>
      <c r="AD122" s="19">
        <f>ROUNDUP(IF(A122=0,0,IFERROR(VLOOKUP($A122,'[1]Kilos Asignado del Donante'!A:N,8,0),0)),0)</f>
        <v>10</v>
      </c>
      <c r="AE122" s="19">
        <f>IF(A122=0,0,IFERROR(SUMIFS([1]Poblacion!R:R,[1]Poblacion!J:J,'MASTER-2025'!A122),0))</f>
        <v>0</v>
      </c>
      <c r="AF122" s="20">
        <f>IFERROR(VLOOKUP($A122,'[1]OB Atendidas por Donantes'!A:N,8,0),0)</f>
        <v>3</v>
      </c>
      <c r="AG122" s="20">
        <f>ROUNDUP(IF(A122=0,0,IFERROR(VLOOKUP($A122,'[1]Kilos Asignado del Donante'!A:N,6,0),0)),0)</f>
        <v>25</v>
      </c>
      <c r="AH122" s="20">
        <f>IF(A122=0,0,IFERROR(SUMIFS([1]Poblacion!P:P,[1]Poblacion!J:J,'MASTER-2025'!A122),0))</f>
        <v>0</v>
      </c>
      <c r="AI122" s="18">
        <f>IFERROR(VLOOKUP($A122,'[1]OB Atendidas por Donantes'!A:N,9,0),0)</f>
        <v>0</v>
      </c>
      <c r="AJ122" s="18">
        <f>ROUNDUP(IF(A122=0,0,IFERROR(VLOOKUP($A122,'[1]Kilos Asignado del Donante'!A:N,12,0),0)),0)</f>
        <v>0</v>
      </c>
      <c r="AK122" s="18">
        <f>IF(A122=0,0,IFERROR(SUMIFS([1]Poblacion!V:V,[1]Poblacion!J:J,'MASTER-2025'!A122),0))</f>
        <v>0</v>
      </c>
      <c r="AL122" s="19">
        <f>IFERROR(VLOOKUP($A122,'[1]OB Atendidas por Donantes'!A:N,16,0),0)</f>
        <v>0</v>
      </c>
      <c r="AM122" s="19">
        <f>ROUNDUP(IF(A122=0,0,IFERROR(VLOOKUP($A122,'[1]Kilos Asignado del Donante'!A:O,16,0),0)),0)</f>
        <v>0</v>
      </c>
      <c r="AN122" s="19">
        <f>IF(A122=0,0,IFERROR(SUMIFS([1]Poblacion!Z:Z,[1]Poblacion!J:J,'MASTER-2025'!A122),0))</f>
        <v>0</v>
      </c>
      <c r="AO122" s="20">
        <f>IFERROR(VLOOKUP($A122,'[1]OB Atendidas por Donantes'!A:N,11,0),0)</f>
        <v>0</v>
      </c>
      <c r="AP122" s="20">
        <f>ROUNDUP(IF(A122=0,0,IFERROR(VLOOKUP($A122,'[1]Kilos Asignado del Donante'!A:N,13,0),0)),0)</f>
        <v>0</v>
      </c>
      <c r="AQ122" s="20">
        <f>IF(A122=0,0,IFERROR(SUMIFS([1]Poblacion!W:W,[1]Poblacion!J:J,'MASTER-2025'!A122),0))</f>
        <v>0</v>
      </c>
      <c r="AR122" s="18">
        <f>IFERROR(VLOOKUP($A122,'[1]OB Atendidas por Donantes'!A:N,5,0),0)</f>
        <v>0</v>
      </c>
      <c r="AS122" s="18">
        <f>ROUNDUP(IF(A122=0,0,IFERROR(VLOOKUP($A122,'[1]Kilos Asignado del Donante'!A:N,10,0),0)),0)</f>
        <v>0</v>
      </c>
      <c r="AT122" s="18">
        <f>IF(A122=0,0,IFERROR(SUMIFS([1]Poblacion!T:T,[1]Poblacion!J:J,'MASTER-2025'!A122),0))</f>
        <v>0</v>
      </c>
      <c r="AU122" s="19">
        <f>IFERROR(VLOOKUP($A122,'[1]OB Atendidas por Donantes'!A:N,13,0),0)</f>
        <v>0</v>
      </c>
      <c r="AV122" s="19">
        <f>ROUNDUP(IF(A122=0,0,IFERROR(VLOOKUP($A122,'[1]Kilos Asignado del Donante'!A:N,14,0),0)),0)</f>
        <v>0</v>
      </c>
      <c r="AW122" s="19">
        <f>IF(A122=0,0,IFERROR(SUMIFS([1]Poblacion!X:X,[1]Poblacion!J:J,'MASTER-2025'!A122),0))</f>
        <v>0</v>
      </c>
      <c r="AX122" s="20">
        <f>IFERROR(VLOOKUP($A122,'[1]OB Atendidas por Donantes'!A:N,16,0),0)</f>
        <v>0</v>
      </c>
      <c r="AY122" s="20">
        <f>ROUNDUP(IF(A122=0,0,IFERROR(VLOOKUP($A122,'[1]Kilos Asignado del Donante'!A:O,16,0),0)),0)</f>
        <v>0</v>
      </c>
      <c r="AZ122" s="20">
        <f>IF(A122=0,0,IFERROR(SUMIFS([1]Poblacion!Y:Y,[1]Poblacion!J:J,'MASTER-2025'!A122),0))</f>
        <v>0</v>
      </c>
      <c r="BA122" s="21">
        <f t="shared" si="43"/>
        <v>32</v>
      </c>
      <c r="BB122" s="21">
        <f t="shared" si="42"/>
        <v>485</v>
      </c>
      <c r="BC122" s="21">
        <f t="shared" si="39"/>
        <v>340</v>
      </c>
      <c r="BD122" s="21">
        <f t="shared" si="44"/>
        <v>0</v>
      </c>
      <c r="BE122" s="22" t="e">
        <f>IF(A122=0,0,SUMIFS([1]Poblacion!C:C,[1]Poblacion!A:A,'MASTER-2025'!A122))</f>
        <v>#VALUE!</v>
      </c>
      <c r="BF122" s="22" t="e">
        <f>IF(A122=0,0,SUMIFS([1]Poblacion!D:D,[1]Poblacion!A:A,'MASTER-2025'!A122))</f>
        <v>#VALUE!</v>
      </c>
      <c r="BG122" s="22" t="e">
        <f>IF(A122=0,0,SUMIFS([1]Poblacion!E:E,[1]Poblacion!A:A,'MASTER-2025'!A122))</f>
        <v>#VALUE!</v>
      </c>
      <c r="BH122" s="22" t="e">
        <f>IF(A122=0,0,SUMIFS([1]Poblacion!F:F,[1]Poblacion!A:A,'MASTER-2025'!A122))</f>
        <v>#VALUE!</v>
      </c>
      <c r="BI122" s="22" t="e">
        <f t="shared" si="35"/>
        <v>#VALUE!</v>
      </c>
      <c r="BJ122" s="23" t="e">
        <f t="shared" si="30"/>
        <v>#VALUE!</v>
      </c>
      <c r="BK122" s="22" t="e">
        <f>IF(A122=0,0,SUMIFS([1]Poblacion!G:G,[1]Poblacion!A:A,'MASTER-2025'!A122))</f>
        <v>#VALUE!</v>
      </c>
      <c r="BL122" s="24" cm="1">
        <f t="array" ref="BL122:BW122">IFERROR(VLOOKUP(A122,'[1]Acum-OB-kg-pob-25'!A:AQ,{3,4,5,6,7,8,9,10,11,12,13,14},0),0)</f>
        <v>40</v>
      </c>
      <c r="BM122" s="24">
        <v>38</v>
      </c>
      <c r="BN122" s="24">
        <v>32</v>
      </c>
      <c r="BO122" s="24">
        <v>0</v>
      </c>
      <c r="BP122" s="24">
        <v>0</v>
      </c>
      <c r="BQ122" s="24">
        <v>0</v>
      </c>
      <c r="BR122" s="24">
        <v>0</v>
      </c>
      <c r="BS122" s="24">
        <v>0</v>
      </c>
      <c r="BT122" s="24">
        <v>0</v>
      </c>
      <c r="BU122" s="24">
        <v>0</v>
      </c>
      <c r="BV122" s="24">
        <v>0</v>
      </c>
      <c r="BW122" s="24">
        <v>0</v>
      </c>
      <c r="BX122" s="24">
        <f t="shared" si="31"/>
        <v>110</v>
      </c>
      <c r="BY122" s="25" cm="1">
        <f t="array" ref="BY122:CJ122">IFERROR(VLOOKUP(A122,'[1]Acum-OB-kg-pob-25'!A:AQ,{17,18,19,20,21,22,23,24,25,26,27,28},0),0)</f>
        <v>2161</v>
      </c>
      <c r="BZ122" s="25">
        <v>0</v>
      </c>
      <c r="CA122" s="25">
        <v>0</v>
      </c>
      <c r="CB122" s="25">
        <v>0</v>
      </c>
      <c r="CC122" s="25">
        <v>0</v>
      </c>
      <c r="CD122" s="25">
        <v>0</v>
      </c>
      <c r="CE122" s="25">
        <v>0</v>
      </c>
      <c r="CF122" s="25">
        <v>0</v>
      </c>
      <c r="CG122" s="25">
        <v>0</v>
      </c>
      <c r="CH122" s="25">
        <v>0</v>
      </c>
      <c r="CI122" s="25">
        <v>0</v>
      </c>
      <c r="CJ122" s="25">
        <v>0</v>
      </c>
      <c r="CK122" s="25">
        <f t="shared" si="32"/>
        <v>2161</v>
      </c>
      <c r="CL122" s="26" cm="1">
        <f t="array" ref="CL122:CW122">IFERROR(VLOOKUP(A122,'[1]Acum-OB-kg-pob-25'!A:AQ,{31,32,33,34,35,36,37,38,39,40,41,42},0),0)</f>
        <v>15350</v>
      </c>
      <c r="CM122" s="26">
        <v>13545</v>
      </c>
      <c r="CN122" s="26">
        <v>7021</v>
      </c>
      <c r="CO122" s="26">
        <v>0</v>
      </c>
      <c r="CP122" s="26">
        <v>0</v>
      </c>
      <c r="CQ122" s="26">
        <v>0</v>
      </c>
      <c r="CR122" s="26">
        <v>0</v>
      </c>
      <c r="CS122" s="26">
        <v>0</v>
      </c>
      <c r="CT122" s="26">
        <v>0</v>
      </c>
      <c r="CU122" s="26">
        <v>0</v>
      </c>
      <c r="CV122" s="26">
        <v>0</v>
      </c>
      <c r="CW122" s="26">
        <v>0</v>
      </c>
      <c r="CX122" s="26">
        <f t="shared" si="33"/>
        <v>35916</v>
      </c>
      <c r="CY122" s="14" t="str">
        <f>IF(A122=0,0,IFERROR(VLOOKUP(A122,'[1]Info Donantes'!C:F,2,0),"Sin Contacto"))</f>
        <v>Sin Contacto</v>
      </c>
      <c r="CZ122" s="14" t="str">
        <f>IF(A122=0,0,IFERROR(VLOOKUP(A122,'[1]Info Donantes'!C:F,3,0),"Sin Correo"))</f>
        <v>Sin Correo</v>
      </c>
      <c r="DA122" s="14" t="str">
        <f>IF(A122=0,0,IFERROR(VLOOKUP(A122,'[1]Info Donantes'!C:F,4,0),"Sin Telefono"))</f>
        <v>Sin Telefono</v>
      </c>
      <c r="DB122" s="14" t="str">
        <f>IF(A122=0,0,"Reporte de Trazabiidad"&amp;" - "&amp;'[1]Resumen Donantes'!$C$2&amp;" - "&amp;A122&amp;"")</f>
        <v>Reporte de Trazabiidad -  - SAMBU ARTISAN FOOD, S.A.</v>
      </c>
    </row>
    <row r="123" spans="1:106" x14ac:dyDescent="0.55000000000000004">
      <c r="A123" s="14" t="s">
        <v>227</v>
      </c>
      <c r="B123" s="33">
        <f>INT(IFERROR(VLOOKUP(A123,'[1]Resumen Donantes'!C:F,3,0),0))</f>
        <v>0</v>
      </c>
      <c r="C123" s="15">
        <f>INT(ROUND(IFERROR(VLOOKUP(A123,'[1]Resumen Donantes'!C:F,4,0),0),1))</f>
        <v>0</v>
      </c>
      <c r="D123" s="16">
        <f t="shared" si="36"/>
        <v>0</v>
      </c>
      <c r="E123" s="17" t="str">
        <f t="shared" si="37"/>
        <v>0.00%</v>
      </c>
      <c r="F123" s="17" t="str">
        <f t="shared" si="38"/>
        <v>0.0%</v>
      </c>
      <c r="G123" s="15">
        <f t="shared" si="40"/>
        <v>0</v>
      </c>
      <c r="H123" s="18"/>
      <c r="I123" s="18">
        <f>IFERROR(VLOOKUP(A123,'[1]Lot All by Part'!T:Y,6,0),0)</f>
        <v>0</v>
      </c>
      <c r="J123" s="18"/>
      <c r="K123" s="19">
        <f>IFERROR(VLOOKUP($A123,'[1]OB Atendidas por Donantes'!A:N,3,0),0)</f>
        <v>0</v>
      </c>
      <c r="L123" s="19">
        <f>ROUNDUP(IF(A123=0,0,IFERROR(VLOOKUP($A123,'[1]Kilos Asignado del Donante'!A:O,3,0),0)),0)</f>
        <v>0</v>
      </c>
      <c r="M123" s="19">
        <f>IF(A123=0,0,IFERROR(SUMIFS([1]Poblacion!M:M,[1]Poblacion!J:J,'MASTER-2025'!A123),0))</f>
        <v>0</v>
      </c>
      <c r="N123" s="20">
        <f>IFERROR(VLOOKUP($A123,'[1]OB Atendidas por Donantes'!A:N,4,0),0)</f>
        <v>0</v>
      </c>
      <c r="O123" s="20">
        <f>ROUNDUP(IF(A123=0,0,IFERROR(VLOOKUP($A123,'[1]Kilos Asignado del Donante'!A:O,4,0),0)),0)</f>
        <v>0</v>
      </c>
      <c r="P123" s="20">
        <f>IF(A123=0,0,IFERROR(SUMIFS([1]Poblacion!N:N,[1]Poblacion!J:J,'MASTER-2025'!A123),0))</f>
        <v>0</v>
      </c>
      <c r="Q123" s="18">
        <f>IFERROR(VLOOKUP($A123,'[1]OB Atendidas por Donantes'!A:N,2,0),0)</f>
        <v>0</v>
      </c>
      <c r="R123" s="18">
        <f>ROUNDUP(ROUND(IF(A123=0,0,IFERROR(VLOOKUP($A123,'[1]Kilos Asignado del Donante'!A:O,9,0),0)),1),0)</f>
        <v>0</v>
      </c>
      <c r="S123" s="18">
        <f>IF(A123=0,0,IFERROR(SUMIFS([1]Poblacion!S:S,[1]Poblacion!J:J,'MASTER-2025'!A123),0))</f>
        <v>0</v>
      </c>
      <c r="T123" s="19">
        <f>IFERROR(VLOOKUP($A123,'[1]OB Atendidas por Donantes'!A:N,12,0),0)</f>
        <v>0</v>
      </c>
      <c r="U123" s="19">
        <f>ROUNDUP(IF(A123=0,0,IF(A123=0,0,IFERROR(VLOOKUP($A123,'[1]Kilos Asignado del Donante'!A:O,7,0),0))),0)</f>
        <v>0</v>
      </c>
      <c r="V123" s="19">
        <f>IF(A123=0,0,IFERROR(SUMIFS([1]Poblacion!Q:Q,[1]Poblacion!J:J,'MASTER-2025'!A123),0))</f>
        <v>0</v>
      </c>
      <c r="W123" s="20">
        <f>IFERROR(VLOOKUP($A123,'[1]OB Atendidas por Donantes'!A:N,10,0),0)</f>
        <v>0</v>
      </c>
      <c r="X123" s="20">
        <f>ROUNDUP(IF(A123=0,0,IFERROR(VLOOKUP($A123,'[1]Kilos Asignado del Donante'!A:N,5,0),0)),0)</f>
        <v>0</v>
      </c>
      <c r="Y123" s="20">
        <f>IF(A123=0,0,IFERROR(SUMIFS([1]Poblacion!O:O,[1]Poblacion!J:J,'MASTER-2025'!A123),0))</f>
        <v>0</v>
      </c>
      <c r="Z123" s="18">
        <f>IFERROR(VLOOKUP($A123,'[1]OB Atendidas por Donantes'!A:N,6,0),0)</f>
        <v>0</v>
      </c>
      <c r="AA123" s="18">
        <f>ROUNDUP(IF(A123=0,0,IFERROR(VLOOKUP($A123,'[1]Kilos Asignado del Donante'!A:N,11,0),0)),0)</f>
        <v>0</v>
      </c>
      <c r="AB123" s="18">
        <f>IF(A123=0,0,IFERROR(SUMIFS([1]Poblacion!U:U,[1]Poblacion!J:J,'MASTER-2025'!A123),0))</f>
        <v>0</v>
      </c>
      <c r="AC123" s="19">
        <f>IFERROR(VLOOKUP($A123,'[1]OB Atendidas por Donantes'!A:N,7,0),0)</f>
        <v>0</v>
      </c>
      <c r="AD123" s="19">
        <f>ROUNDUP(IF(A123=0,0,IFERROR(VLOOKUP($A123,'[1]Kilos Asignado del Donante'!A:N,8,0),0)),0)</f>
        <v>0</v>
      </c>
      <c r="AE123" s="19">
        <f>IF(A123=0,0,IFERROR(SUMIFS([1]Poblacion!R:R,[1]Poblacion!J:J,'MASTER-2025'!A123),0))</f>
        <v>0</v>
      </c>
      <c r="AF123" s="20">
        <f>IFERROR(VLOOKUP($A123,'[1]OB Atendidas por Donantes'!A:N,8,0),0)</f>
        <v>0</v>
      </c>
      <c r="AG123" s="20">
        <f>ROUNDUP(IF(A123=0,0,IFERROR(VLOOKUP($A123,'[1]Kilos Asignado del Donante'!A:N,6,0),0)),0)</f>
        <v>0</v>
      </c>
      <c r="AH123" s="20">
        <f>IF(A123=0,0,IFERROR(SUMIFS([1]Poblacion!P:P,[1]Poblacion!J:J,'MASTER-2025'!A123),0))</f>
        <v>0</v>
      </c>
      <c r="AI123" s="18">
        <f>IFERROR(VLOOKUP($A123,'[1]OB Atendidas por Donantes'!A:N,9,0),0)</f>
        <v>0</v>
      </c>
      <c r="AJ123" s="18">
        <f>ROUNDUP(IF(A123=0,0,IFERROR(VLOOKUP($A123,'[1]Kilos Asignado del Donante'!A:N,12,0),0)),0)</f>
        <v>0</v>
      </c>
      <c r="AK123" s="18">
        <f>IF(A123=0,0,IFERROR(SUMIFS([1]Poblacion!V:V,[1]Poblacion!J:J,'MASTER-2025'!A123),0))</f>
        <v>0</v>
      </c>
      <c r="AL123" s="19">
        <f>IFERROR(VLOOKUP($A123,'[1]OB Atendidas por Donantes'!A:N,16,0),0)</f>
        <v>0</v>
      </c>
      <c r="AM123" s="19">
        <f>ROUNDUP(IF(A123=0,0,IFERROR(VLOOKUP($A123,'[1]Kilos Asignado del Donante'!A:O,16,0),0)),0)</f>
        <v>0</v>
      </c>
      <c r="AN123" s="19">
        <f>IF(A123=0,0,IFERROR(SUMIFS([1]Poblacion!Z:Z,[1]Poblacion!J:J,'MASTER-2025'!A123),0))</f>
        <v>0</v>
      </c>
      <c r="AO123" s="20">
        <f>IFERROR(VLOOKUP($A123,'[1]OB Atendidas por Donantes'!A:N,11,0),0)</f>
        <v>0</v>
      </c>
      <c r="AP123" s="20">
        <f>ROUNDUP(IF(A123=0,0,IFERROR(VLOOKUP($A123,'[1]Kilos Asignado del Donante'!A:N,13,0),0)),0)</f>
        <v>0</v>
      </c>
      <c r="AQ123" s="20">
        <f>IF(A123=0,0,IFERROR(SUMIFS([1]Poblacion!W:W,[1]Poblacion!J:J,'MASTER-2025'!A123),0))</f>
        <v>0</v>
      </c>
      <c r="AR123" s="18">
        <f>IFERROR(VLOOKUP($A123,'[1]OB Atendidas por Donantes'!A:N,5,0),0)</f>
        <v>0</v>
      </c>
      <c r="AS123" s="18">
        <f>ROUNDUP(IF(A123=0,0,IFERROR(VLOOKUP($A123,'[1]Kilos Asignado del Donante'!A:N,10,0),0)),0)</f>
        <v>0</v>
      </c>
      <c r="AT123" s="18">
        <f>IF(A123=0,0,IFERROR(SUMIFS([1]Poblacion!T:T,[1]Poblacion!J:J,'MASTER-2025'!A123),0))</f>
        <v>0</v>
      </c>
      <c r="AU123" s="19">
        <f>IFERROR(VLOOKUP($A123,'[1]OB Atendidas por Donantes'!A:N,13,0),0)</f>
        <v>0</v>
      </c>
      <c r="AV123" s="19">
        <f>ROUNDUP(IF(A123=0,0,IFERROR(VLOOKUP($A123,'[1]Kilos Asignado del Donante'!A:N,14,0),0)),0)</f>
        <v>0</v>
      </c>
      <c r="AW123" s="19">
        <f>IF(A123=0,0,IFERROR(SUMIFS([1]Poblacion!X:X,[1]Poblacion!J:J,'MASTER-2025'!A123),0))</f>
        <v>0</v>
      </c>
      <c r="AX123" s="20">
        <f>IFERROR(VLOOKUP($A123,'[1]OB Atendidas por Donantes'!A:N,16,0),0)</f>
        <v>0</v>
      </c>
      <c r="AY123" s="20">
        <f>ROUNDUP(IF(A123=0,0,IFERROR(VLOOKUP($A123,'[1]Kilos Asignado del Donante'!A:O,16,0),0)),0)</f>
        <v>0</v>
      </c>
      <c r="AZ123" s="20">
        <f>IF(A123=0,0,IFERROR(SUMIFS([1]Poblacion!Y:Y,[1]Poblacion!J:J,'MASTER-2025'!A123),0))</f>
        <v>0</v>
      </c>
      <c r="BA123" s="21">
        <f t="shared" si="43"/>
        <v>0</v>
      </c>
      <c r="BB123" s="21">
        <f t="shared" si="42"/>
        <v>0</v>
      </c>
      <c r="BC123" s="21">
        <f t="shared" si="39"/>
        <v>0</v>
      </c>
      <c r="BD123" s="21">
        <f t="shared" si="44"/>
        <v>0</v>
      </c>
      <c r="BE123" s="22" t="e">
        <f>IF(A123=0,0,SUMIFS([1]Poblacion!C:C,[1]Poblacion!A:A,'MASTER-2025'!A123))</f>
        <v>#VALUE!</v>
      </c>
      <c r="BF123" s="22" t="e">
        <f>IF(A123=0,0,SUMIFS([1]Poblacion!D:D,[1]Poblacion!A:A,'MASTER-2025'!A123))</f>
        <v>#VALUE!</v>
      </c>
      <c r="BG123" s="22" t="e">
        <f>IF(A123=0,0,SUMIFS([1]Poblacion!E:E,[1]Poblacion!A:A,'MASTER-2025'!A123))</f>
        <v>#VALUE!</v>
      </c>
      <c r="BH123" s="22" t="e">
        <f>IF(A123=0,0,SUMIFS([1]Poblacion!F:F,[1]Poblacion!A:A,'MASTER-2025'!A123))</f>
        <v>#VALUE!</v>
      </c>
      <c r="BI123" s="22" t="e">
        <f t="shared" si="35"/>
        <v>#VALUE!</v>
      </c>
      <c r="BJ123" s="23" t="e">
        <f t="shared" si="30"/>
        <v>#VALUE!</v>
      </c>
      <c r="BK123" s="22" t="e">
        <f>IF(A123=0,0,SUMIFS([1]Poblacion!G:G,[1]Poblacion!A:A,'MASTER-2025'!A123))</f>
        <v>#VALUE!</v>
      </c>
      <c r="BL123" s="24" cm="1">
        <f t="array" ref="BL123:BW123">IFERROR(VLOOKUP(A123,'[1]Acum-OB-kg-pob-25'!A:AQ,{3,4,5,6,7,8,9,10,11,12,13,14},0),0)</f>
        <v>0</v>
      </c>
      <c r="BM123" s="24">
        <v>47</v>
      </c>
      <c r="BN123" s="24">
        <v>0</v>
      </c>
      <c r="BO123" s="24">
        <v>0</v>
      </c>
      <c r="BP123" s="24">
        <v>0</v>
      </c>
      <c r="BQ123" s="24">
        <v>0</v>
      </c>
      <c r="BR123" s="24">
        <v>0</v>
      </c>
      <c r="BS123" s="24">
        <v>0</v>
      </c>
      <c r="BT123" s="24">
        <v>0</v>
      </c>
      <c r="BU123" s="24">
        <v>0</v>
      </c>
      <c r="BV123" s="24">
        <v>0</v>
      </c>
      <c r="BW123" s="24">
        <v>0</v>
      </c>
      <c r="BX123" s="24">
        <f t="shared" si="31"/>
        <v>47</v>
      </c>
      <c r="BY123" s="25" cm="1">
        <f t="array" ref="BY123:CJ123">IFERROR(VLOOKUP(A123,'[1]Acum-OB-kg-pob-25'!A:AQ,{17,18,19,20,21,22,23,24,25,26,27,28},0),0)</f>
        <v>281</v>
      </c>
      <c r="BZ123" s="25">
        <v>0</v>
      </c>
      <c r="CA123" s="25">
        <v>0</v>
      </c>
      <c r="CB123" s="25">
        <v>0</v>
      </c>
      <c r="CC123" s="25">
        <v>0</v>
      </c>
      <c r="CD123" s="25">
        <v>0</v>
      </c>
      <c r="CE123" s="25">
        <v>0</v>
      </c>
      <c r="CF123" s="25">
        <v>0</v>
      </c>
      <c r="CG123" s="25">
        <v>0</v>
      </c>
      <c r="CH123" s="25">
        <v>0</v>
      </c>
      <c r="CI123" s="25">
        <v>0</v>
      </c>
      <c r="CJ123" s="25">
        <v>0</v>
      </c>
      <c r="CK123" s="25">
        <f t="shared" si="32"/>
        <v>281</v>
      </c>
      <c r="CL123" s="26" cm="1">
        <f t="array" ref="CL123:CW123">IFERROR(VLOOKUP(A123,'[1]Acum-OB-kg-pob-25'!A:AQ,{31,32,33,34,35,36,37,38,39,40,41,42},0),0)</f>
        <v>0</v>
      </c>
      <c r="CM123" s="26">
        <v>17506</v>
      </c>
      <c r="CN123" s="26">
        <v>0</v>
      </c>
      <c r="CO123" s="26">
        <v>0</v>
      </c>
      <c r="CP123" s="26">
        <v>0</v>
      </c>
      <c r="CQ123" s="26">
        <v>0</v>
      </c>
      <c r="CR123" s="26">
        <v>0</v>
      </c>
      <c r="CS123" s="26">
        <v>0</v>
      </c>
      <c r="CT123" s="26">
        <v>0</v>
      </c>
      <c r="CU123" s="26">
        <v>0</v>
      </c>
      <c r="CV123" s="26">
        <v>0</v>
      </c>
      <c r="CW123" s="26">
        <v>0</v>
      </c>
      <c r="CX123" s="26">
        <f t="shared" si="33"/>
        <v>17506</v>
      </c>
      <c r="CY123" s="14" t="str">
        <f>IF(A123=0,0,IFERROR(VLOOKUP(A123,'[1]Info Donantes'!C:F,2,0),"Sin Contacto"))</f>
        <v>Sin Contacto</v>
      </c>
      <c r="CZ123" s="14" t="str">
        <f>IF(A123=0,0,IFERROR(VLOOKUP(A123,'[1]Info Donantes'!C:F,3,0),"Sin Correo"))</f>
        <v>Sin Correo</v>
      </c>
      <c r="DA123" s="14" t="str">
        <f>IF(A123=0,0,IFERROR(VLOOKUP(A123,'[1]Info Donantes'!C:F,4,0),"Sin Telefono"))</f>
        <v>Sin Telefono</v>
      </c>
      <c r="DB123" s="14" t="str">
        <f>IF(A123=0,0,"Reporte de Trazabiidad"&amp;" - "&amp;'[1]Resumen Donantes'!$C$2&amp;" - "&amp;A123&amp;"")</f>
        <v>Reporte de Trazabiidad -  - GRUPO NIJAR S.A.</v>
      </c>
    </row>
    <row r="124" spans="1:106" x14ac:dyDescent="0.55000000000000004">
      <c r="A124" s="14" t="s">
        <v>228</v>
      </c>
      <c r="B124" s="33">
        <f>INT(IFERROR(VLOOKUP(A124,'[1]Resumen Donantes'!C:F,3,0),0))</f>
        <v>0</v>
      </c>
      <c r="C124" s="15">
        <f>INT(ROUND(IFERROR(VLOOKUP(A124,'[1]Resumen Donantes'!C:F,4,0),0),1))</f>
        <v>0</v>
      </c>
      <c r="D124" s="16">
        <f t="shared" si="36"/>
        <v>0</v>
      </c>
      <c r="E124" s="17" t="str">
        <f t="shared" si="37"/>
        <v>0.00%</v>
      </c>
      <c r="F124" s="17" t="str">
        <f t="shared" si="38"/>
        <v>0.0%</v>
      </c>
      <c r="G124" s="15">
        <f t="shared" si="40"/>
        <v>0</v>
      </c>
      <c r="H124" s="18"/>
      <c r="I124" s="18">
        <f>IFERROR(VLOOKUP(A124,'[1]Lot All by Part'!T:Y,6,0),0)</f>
        <v>0</v>
      </c>
      <c r="J124" s="18"/>
      <c r="K124" s="19">
        <f>IFERROR(VLOOKUP($A124,'[1]OB Atendidas por Donantes'!A:N,3,0),0)</f>
        <v>0</v>
      </c>
      <c r="L124" s="19">
        <f>ROUNDUP(IF(A124=0,0,IFERROR(VLOOKUP($A124,'[1]Kilos Asignado del Donante'!A:O,3,0),0)),0)</f>
        <v>0</v>
      </c>
      <c r="M124" s="19">
        <f>IF(A124=0,0,IFERROR(SUMIFS([1]Poblacion!M:M,[1]Poblacion!J:J,'MASTER-2025'!A124),0))</f>
        <v>0</v>
      </c>
      <c r="N124" s="20">
        <f>IFERROR(VLOOKUP($A124,'[1]OB Atendidas por Donantes'!A:N,4,0),0)</f>
        <v>0</v>
      </c>
      <c r="O124" s="20">
        <f>ROUNDUP(IF(A124=0,0,IFERROR(VLOOKUP($A124,'[1]Kilos Asignado del Donante'!A:O,4,0),0)),0)</f>
        <v>0</v>
      </c>
      <c r="P124" s="20">
        <f>IF(A124=0,0,IFERROR(SUMIFS([1]Poblacion!N:N,[1]Poblacion!J:J,'MASTER-2025'!A124),0))</f>
        <v>0</v>
      </c>
      <c r="Q124" s="18">
        <f>IFERROR(VLOOKUP($A124,'[1]OB Atendidas por Donantes'!A:N,2,0),0)</f>
        <v>0</v>
      </c>
      <c r="R124" s="18">
        <f>ROUNDUP(ROUND(IF(A124=0,0,IFERROR(VLOOKUP($A124,'[1]Kilos Asignado del Donante'!A:O,9,0),0)),1),0)</f>
        <v>0</v>
      </c>
      <c r="S124" s="18">
        <f>IF(A124=0,0,IFERROR(SUMIFS([1]Poblacion!S:S,[1]Poblacion!J:J,'MASTER-2025'!A124),0))</f>
        <v>0</v>
      </c>
      <c r="T124" s="19">
        <f>IFERROR(VLOOKUP($A124,'[1]OB Atendidas por Donantes'!A:N,12,0),0)</f>
        <v>0</v>
      </c>
      <c r="U124" s="19">
        <f>ROUNDUP(IF(A124=0,0,IF(A124=0,0,IFERROR(VLOOKUP($A124,'[1]Kilos Asignado del Donante'!A:O,7,0),0))),0)</f>
        <v>0</v>
      </c>
      <c r="V124" s="19">
        <f>IF(A124=0,0,IFERROR(SUMIFS([1]Poblacion!Q:Q,[1]Poblacion!J:J,'MASTER-2025'!A124),0))</f>
        <v>0</v>
      </c>
      <c r="W124" s="20">
        <f>IFERROR(VLOOKUP($A124,'[1]OB Atendidas por Donantes'!A:N,10,0),0)</f>
        <v>0</v>
      </c>
      <c r="X124" s="20">
        <f>ROUNDUP(IF(A124=0,0,IFERROR(VLOOKUP($A124,'[1]Kilos Asignado del Donante'!A:N,5,0),0)),0)</f>
        <v>0</v>
      </c>
      <c r="Y124" s="20">
        <f>IF(A124=0,0,IFERROR(SUMIFS([1]Poblacion!O:O,[1]Poblacion!J:J,'MASTER-2025'!A124),0))</f>
        <v>0</v>
      </c>
      <c r="Z124" s="18">
        <f>IFERROR(VLOOKUP($A124,'[1]OB Atendidas por Donantes'!A:N,6,0),0)</f>
        <v>0</v>
      </c>
      <c r="AA124" s="18">
        <f>ROUNDUP(IF(A124=0,0,IFERROR(VLOOKUP($A124,'[1]Kilos Asignado del Donante'!A:N,11,0),0)),0)</f>
        <v>0</v>
      </c>
      <c r="AB124" s="18">
        <f>IF(A124=0,0,IFERROR(SUMIFS([1]Poblacion!U:U,[1]Poblacion!J:J,'MASTER-2025'!A124),0))</f>
        <v>0</v>
      </c>
      <c r="AC124" s="19">
        <f>IFERROR(VLOOKUP($A124,'[1]OB Atendidas por Donantes'!A:N,7,0),0)</f>
        <v>0</v>
      </c>
      <c r="AD124" s="19">
        <f>ROUNDUP(IF(A124=0,0,IFERROR(VLOOKUP($A124,'[1]Kilos Asignado del Donante'!A:N,8,0),0)),0)</f>
        <v>0</v>
      </c>
      <c r="AE124" s="19">
        <f>IF(A124=0,0,IFERROR(SUMIFS([1]Poblacion!R:R,[1]Poblacion!J:J,'MASTER-2025'!A124),0))</f>
        <v>0</v>
      </c>
      <c r="AF124" s="20">
        <f>IFERROR(VLOOKUP($A124,'[1]OB Atendidas por Donantes'!A:N,8,0),0)</f>
        <v>0</v>
      </c>
      <c r="AG124" s="20">
        <f>ROUNDUP(IF(A124=0,0,IFERROR(VLOOKUP($A124,'[1]Kilos Asignado del Donante'!A:N,6,0),0)),0)</f>
        <v>0</v>
      </c>
      <c r="AH124" s="20">
        <f>IF(A124=0,0,IFERROR(SUMIFS([1]Poblacion!P:P,[1]Poblacion!J:J,'MASTER-2025'!A124),0))</f>
        <v>0</v>
      </c>
      <c r="AI124" s="18">
        <f>IFERROR(VLOOKUP($A124,'[1]OB Atendidas por Donantes'!A:N,9,0),0)</f>
        <v>0</v>
      </c>
      <c r="AJ124" s="18">
        <f>ROUNDUP(IF(A124=0,0,IFERROR(VLOOKUP($A124,'[1]Kilos Asignado del Donante'!A:N,12,0),0)),0)</f>
        <v>0</v>
      </c>
      <c r="AK124" s="18">
        <f>IF(A124=0,0,IFERROR(SUMIFS([1]Poblacion!V:V,[1]Poblacion!J:J,'MASTER-2025'!A124),0))</f>
        <v>0</v>
      </c>
      <c r="AL124" s="19">
        <f>IFERROR(VLOOKUP($A124,'[1]OB Atendidas por Donantes'!A:N,16,0),0)</f>
        <v>0</v>
      </c>
      <c r="AM124" s="19">
        <f>ROUNDUP(IF(A124=0,0,IFERROR(VLOOKUP($A124,'[1]Kilos Asignado del Donante'!A:O,16,0),0)),0)</f>
        <v>0</v>
      </c>
      <c r="AN124" s="19">
        <f>IF(A124=0,0,IFERROR(SUMIFS([1]Poblacion!Z:Z,[1]Poblacion!J:J,'MASTER-2025'!A124),0))</f>
        <v>0</v>
      </c>
      <c r="AO124" s="20">
        <f>IFERROR(VLOOKUP($A124,'[1]OB Atendidas por Donantes'!A:N,11,0),0)</f>
        <v>0</v>
      </c>
      <c r="AP124" s="20">
        <f>ROUNDUP(IF(A124=0,0,IFERROR(VLOOKUP($A124,'[1]Kilos Asignado del Donante'!A:N,13,0),0)),0)</f>
        <v>0</v>
      </c>
      <c r="AQ124" s="20">
        <f>IF(A124=0,0,IFERROR(SUMIFS([1]Poblacion!W:W,[1]Poblacion!J:J,'MASTER-2025'!A124),0))</f>
        <v>0</v>
      </c>
      <c r="AR124" s="18">
        <f>IFERROR(VLOOKUP($A124,'[1]OB Atendidas por Donantes'!A:N,5,0),0)</f>
        <v>0</v>
      </c>
      <c r="AS124" s="18">
        <f>ROUNDUP(IF(A124=0,0,IFERROR(VLOOKUP($A124,'[1]Kilos Asignado del Donante'!A:N,10,0),0)),0)</f>
        <v>0</v>
      </c>
      <c r="AT124" s="18">
        <f>IF(A124=0,0,IFERROR(SUMIFS([1]Poblacion!T:T,[1]Poblacion!J:J,'MASTER-2025'!A124),0))</f>
        <v>0</v>
      </c>
      <c r="AU124" s="19">
        <f>IFERROR(VLOOKUP($A124,'[1]OB Atendidas por Donantes'!A:N,13,0),0)</f>
        <v>0</v>
      </c>
      <c r="AV124" s="19">
        <f>ROUNDUP(IF(A124=0,0,IFERROR(VLOOKUP($A124,'[1]Kilos Asignado del Donante'!A:N,14,0),0)),0)</f>
        <v>0</v>
      </c>
      <c r="AW124" s="19">
        <f>IF(A124=0,0,IFERROR(SUMIFS([1]Poblacion!X:X,[1]Poblacion!J:J,'MASTER-2025'!A124),0))</f>
        <v>0</v>
      </c>
      <c r="AX124" s="20">
        <f>IFERROR(VLOOKUP($A124,'[1]OB Atendidas por Donantes'!A:N,16,0),0)</f>
        <v>0</v>
      </c>
      <c r="AY124" s="20">
        <f>ROUNDUP(IF(A124=0,0,IFERROR(VLOOKUP($A124,'[1]Kilos Asignado del Donante'!A:O,16,0),0)),0)</f>
        <v>0</v>
      </c>
      <c r="AZ124" s="20">
        <f>IF(A124=0,0,IFERROR(SUMIFS([1]Poblacion!Y:Y,[1]Poblacion!J:J,'MASTER-2025'!A124),0))</f>
        <v>0</v>
      </c>
      <c r="BA124" s="21">
        <f t="shared" si="43"/>
        <v>0</v>
      </c>
      <c r="BB124" s="21">
        <f t="shared" si="42"/>
        <v>0</v>
      </c>
      <c r="BC124" s="21">
        <f t="shared" si="39"/>
        <v>0</v>
      </c>
      <c r="BD124" s="21">
        <f t="shared" si="44"/>
        <v>0</v>
      </c>
      <c r="BE124" s="22" t="e">
        <f>IF(A124=0,0,SUMIFS([1]Poblacion!C:C,[1]Poblacion!A:A,'MASTER-2025'!A124))</f>
        <v>#VALUE!</v>
      </c>
      <c r="BF124" s="22" t="e">
        <f>IF(A124=0,0,SUMIFS([1]Poblacion!D:D,[1]Poblacion!A:A,'MASTER-2025'!A124))</f>
        <v>#VALUE!</v>
      </c>
      <c r="BG124" s="22" t="e">
        <f>IF(A124=0,0,SUMIFS([1]Poblacion!E:E,[1]Poblacion!A:A,'MASTER-2025'!A124))</f>
        <v>#VALUE!</v>
      </c>
      <c r="BH124" s="22" t="e">
        <f>IF(A124=0,0,SUMIFS([1]Poblacion!F:F,[1]Poblacion!A:A,'MASTER-2025'!A124))</f>
        <v>#VALUE!</v>
      </c>
      <c r="BI124" s="22" t="e">
        <f t="shared" si="35"/>
        <v>#VALUE!</v>
      </c>
      <c r="BJ124" s="23" t="e">
        <f t="shared" si="30"/>
        <v>#VALUE!</v>
      </c>
      <c r="BK124" s="22" t="e">
        <f>IF(A124=0,0,SUMIFS([1]Poblacion!G:G,[1]Poblacion!A:A,'MASTER-2025'!A124))</f>
        <v>#VALUE!</v>
      </c>
      <c r="BL124" s="24" cm="1">
        <f t="array" ref="BL124:BW124">IFERROR(VLOOKUP(A124,'[1]Acum-OB-kg-pob-25'!A:AQ,{3,4,5,6,7,8,9,10,11,12,13,14},0),0)</f>
        <v>0</v>
      </c>
      <c r="BM124" s="24">
        <v>6</v>
      </c>
      <c r="BN124" s="24">
        <v>0</v>
      </c>
      <c r="BO124" s="24">
        <v>0</v>
      </c>
      <c r="BP124" s="24">
        <v>0</v>
      </c>
      <c r="BQ124" s="24">
        <v>0</v>
      </c>
      <c r="BR124" s="24">
        <v>0</v>
      </c>
      <c r="BS124" s="24">
        <v>0</v>
      </c>
      <c r="BT124" s="24">
        <v>0</v>
      </c>
      <c r="BU124" s="24">
        <v>0</v>
      </c>
      <c r="BV124" s="24">
        <v>0</v>
      </c>
      <c r="BW124" s="24">
        <v>0</v>
      </c>
      <c r="BX124" s="24">
        <f t="shared" si="31"/>
        <v>6</v>
      </c>
      <c r="BY124" s="25" cm="1">
        <f t="array" ref="BY124:CJ124">IFERROR(VLOOKUP(A124,'[1]Acum-OB-kg-pob-25'!A:AQ,{17,18,19,20,21,22,23,24,25,26,27,28},0),0)</f>
        <v>38</v>
      </c>
      <c r="BZ124" s="25">
        <v>0</v>
      </c>
      <c r="CA124" s="25">
        <v>0</v>
      </c>
      <c r="CB124" s="25">
        <v>0</v>
      </c>
      <c r="CC124" s="25">
        <v>0</v>
      </c>
      <c r="CD124" s="25">
        <v>0</v>
      </c>
      <c r="CE124" s="25">
        <v>0</v>
      </c>
      <c r="CF124" s="25">
        <v>0</v>
      </c>
      <c r="CG124" s="25">
        <v>0</v>
      </c>
      <c r="CH124" s="25">
        <v>0</v>
      </c>
      <c r="CI124" s="25">
        <v>0</v>
      </c>
      <c r="CJ124" s="25">
        <v>0</v>
      </c>
      <c r="CK124" s="25">
        <f t="shared" si="32"/>
        <v>38</v>
      </c>
      <c r="CL124" s="26" cm="1">
        <f t="array" ref="CL124:CW124">IFERROR(VLOOKUP(A124,'[1]Acum-OB-kg-pob-25'!A:AQ,{31,32,33,34,35,36,37,38,39,40,41,42},0),0)</f>
        <v>0</v>
      </c>
      <c r="CM124" s="26">
        <v>2187</v>
      </c>
      <c r="CN124" s="26">
        <v>0</v>
      </c>
      <c r="CO124" s="26">
        <v>0</v>
      </c>
      <c r="CP124" s="26">
        <v>0</v>
      </c>
      <c r="CQ124" s="26">
        <v>0</v>
      </c>
      <c r="CR124" s="26">
        <v>0</v>
      </c>
      <c r="CS124" s="26">
        <v>0</v>
      </c>
      <c r="CT124" s="26">
        <v>0</v>
      </c>
      <c r="CU124" s="26">
        <v>0</v>
      </c>
      <c r="CV124" s="26">
        <v>0</v>
      </c>
      <c r="CW124" s="26">
        <v>0</v>
      </c>
      <c r="CX124" s="26">
        <f t="shared" si="33"/>
        <v>2187</v>
      </c>
      <c r="CY124" s="14" t="str">
        <f>IF(A124=0,0,IFERROR(VLOOKUP(A124,'[1]Info Donantes'!C:F,2,0),"Sin Contacto"))</f>
        <v>Fatima Agy Coelho</v>
      </c>
      <c r="CZ124" s="14" t="str">
        <f>IF(A124=0,0,IFERROR(VLOOKUP(A124,'[1]Info Donantes'!C:F,3,0),"Sin Correo"))</f>
        <v>fatimaagy.coelho@loreal.com</v>
      </c>
      <c r="DA124" s="14" t="str">
        <f>IF(A124=0,0,IFERROR(VLOOKUP(A124,'[1]Info Donantes'!C:F,4,0),"Sin Telefono"))</f>
        <v>302-25828</v>
      </c>
      <c r="DB124" s="14" t="str">
        <f>IF(A124=0,0,"Reporte de Trazabiidad"&amp;" - "&amp;'[1]Resumen Donantes'!$C$2&amp;" - "&amp;A124&amp;"")</f>
        <v>Reporte de Trazabiidad -  - L?Oréal Panamá Comercial, S. A</v>
      </c>
    </row>
    <row r="125" spans="1:106" x14ac:dyDescent="0.55000000000000004">
      <c r="A125" s="14" t="s">
        <v>229</v>
      </c>
      <c r="B125" s="33">
        <f>INT(IFERROR(VLOOKUP(A125,'[1]Resumen Donantes'!C:F,3,0),0))</f>
        <v>105</v>
      </c>
      <c r="C125" s="15">
        <f>INT(ROUND(IFERROR(VLOOKUP(A125,'[1]Resumen Donantes'!C:F,4,0),0),1))</f>
        <v>9754</v>
      </c>
      <c r="D125" s="16">
        <f t="shared" si="36"/>
        <v>9649</v>
      </c>
      <c r="E125" s="17" t="str">
        <f t="shared" si="37"/>
        <v>98.92%</v>
      </c>
      <c r="F125" s="17" t="str">
        <f t="shared" si="38"/>
        <v>1.1%</v>
      </c>
      <c r="G125" s="15">
        <f t="shared" si="40"/>
        <v>28947</v>
      </c>
      <c r="H125" s="18"/>
      <c r="I125" s="18">
        <f>IFERROR(VLOOKUP(A125,'[1]Lot All by Part'!T:Y,6,0),0)</f>
        <v>0</v>
      </c>
      <c r="J125" s="18"/>
      <c r="K125" s="19">
        <f>IFERROR(VLOOKUP($A125,'[1]OB Atendidas por Donantes'!A:N,3,0),0)</f>
        <v>11</v>
      </c>
      <c r="L125" s="19">
        <f>ROUNDUP(IF(A125=0,0,IFERROR(VLOOKUP($A125,'[1]Kilos Asignado del Donante'!A:O,3,0),0)),0)</f>
        <v>994</v>
      </c>
      <c r="M125" s="19">
        <f>IF(A125=0,0,IFERROR(SUMIFS([1]Poblacion!M:M,[1]Poblacion!J:J,'MASTER-2025'!A125),0))</f>
        <v>0</v>
      </c>
      <c r="N125" s="20">
        <f>IFERROR(VLOOKUP($A125,'[1]OB Atendidas por Donantes'!A:N,4,0),0)</f>
        <v>22</v>
      </c>
      <c r="O125" s="20">
        <f>ROUNDUP(IF(A125=0,0,IFERROR(VLOOKUP($A125,'[1]Kilos Asignado del Donante'!A:O,4,0),0)),0)</f>
        <v>3364</v>
      </c>
      <c r="P125" s="20">
        <f>IF(A125=0,0,IFERROR(SUMIFS([1]Poblacion!N:N,[1]Poblacion!J:J,'MASTER-2025'!A125),0))</f>
        <v>0</v>
      </c>
      <c r="Q125" s="18">
        <f>IFERROR(VLOOKUP($A125,'[1]OB Atendidas por Donantes'!A:N,2,0),0)</f>
        <v>3</v>
      </c>
      <c r="R125" s="18">
        <f>ROUNDUP(ROUND(IF(A125=0,0,IFERROR(VLOOKUP($A125,'[1]Kilos Asignado del Donante'!A:O,9,0),0)),1),0)</f>
        <v>232</v>
      </c>
      <c r="S125" s="18">
        <f>IF(A125=0,0,IFERROR(SUMIFS([1]Poblacion!S:S,[1]Poblacion!J:J,'MASTER-2025'!A125),0))</f>
        <v>0</v>
      </c>
      <c r="T125" s="19">
        <f>IFERROR(VLOOKUP($A125,'[1]OB Atendidas por Donantes'!A:N,12,0),0)</f>
        <v>3</v>
      </c>
      <c r="U125" s="19">
        <f>ROUNDUP(IF(A125=0,0,IF(A125=0,0,IFERROR(VLOOKUP($A125,'[1]Kilos Asignado del Donante'!A:O,7,0),0))),0)</f>
        <v>280</v>
      </c>
      <c r="V125" s="19">
        <f>IF(A125=0,0,IFERROR(SUMIFS([1]Poblacion!Q:Q,[1]Poblacion!J:J,'MASTER-2025'!A125),0))</f>
        <v>0</v>
      </c>
      <c r="W125" s="20">
        <f>IFERROR(VLOOKUP($A125,'[1]OB Atendidas por Donantes'!A:N,10,0),0)</f>
        <v>6</v>
      </c>
      <c r="X125" s="20">
        <f>ROUNDUP(IF(A125=0,0,IFERROR(VLOOKUP($A125,'[1]Kilos Asignado del Donante'!A:N,5,0),0)),0)</f>
        <v>528</v>
      </c>
      <c r="Y125" s="20">
        <f>IF(A125=0,0,IFERROR(SUMIFS([1]Poblacion!O:O,[1]Poblacion!J:J,'MASTER-2025'!A125),0))</f>
        <v>0</v>
      </c>
      <c r="Z125" s="18">
        <f>IFERROR(VLOOKUP($A125,'[1]OB Atendidas por Donantes'!A:N,6,0),0)</f>
        <v>4</v>
      </c>
      <c r="AA125" s="18">
        <f>ROUNDUP(IF(A125=0,0,IFERROR(VLOOKUP($A125,'[1]Kilos Asignado del Donante'!A:N,11,0),0)),0)</f>
        <v>1341</v>
      </c>
      <c r="AB125" s="18">
        <f>IF(A125=0,0,IFERROR(SUMIFS([1]Poblacion!U:U,[1]Poblacion!J:J,'MASTER-2025'!A125),0))</f>
        <v>0</v>
      </c>
      <c r="AC125" s="19">
        <f>IFERROR(VLOOKUP($A125,'[1]OB Atendidas por Donantes'!A:N,7,0),0)</f>
        <v>3</v>
      </c>
      <c r="AD125" s="19">
        <f>ROUNDUP(IF(A125=0,0,IFERROR(VLOOKUP($A125,'[1]Kilos Asignado del Donante'!A:N,8,0),0)),0)</f>
        <v>680</v>
      </c>
      <c r="AE125" s="19">
        <f>IF(A125=0,0,IFERROR(SUMIFS([1]Poblacion!R:R,[1]Poblacion!J:J,'MASTER-2025'!A125),0))</f>
        <v>0</v>
      </c>
      <c r="AF125" s="20">
        <f>IFERROR(VLOOKUP($A125,'[1]OB Atendidas por Donantes'!A:N,8,0),0)</f>
        <v>1</v>
      </c>
      <c r="AG125" s="20">
        <f>ROUNDUP(IF(A125=0,0,IFERROR(VLOOKUP($A125,'[1]Kilos Asignado del Donante'!A:N,6,0),0)),0)</f>
        <v>20</v>
      </c>
      <c r="AH125" s="20">
        <f>IF(A125=0,0,IFERROR(SUMIFS([1]Poblacion!P:P,[1]Poblacion!J:J,'MASTER-2025'!A125),0))</f>
        <v>0</v>
      </c>
      <c r="AI125" s="18">
        <f>IFERROR(VLOOKUP($A125,'[1]OB Atendidas por Donantes'!A:N,9,0),0)</f>
        <v>2</v>
      </c>
      <c r="AJ125" s="18">
        <f>ROUNDUP(IF(A125=0,0,IFERROR(VLOOKUP($A125,'[1]Kilos Asignado del Donante'!A:N,12,0),0)),0)</f>
        <v>389</v>
      </c>
      <c r="AK125" s="18">
        <f>IF(A125=0,0,IFERROR(SUMIFS([1]Poblacion!V:V,[1]Poblacion!J:J,'MASTER-2025'!A125),0))</f>
        <v>0</v>
      </c>
      <c r="AL125" s="19">
        <f>IFERROR(VLOOKUP($A125,'[1]OB Atendidas por Donantes'!A:N,16,0),0)</f>
        <v>0</v>
      </c>
      <c r="AM125" s="19">
        <f>ROUNDUP(IF(A125=0,0,IFERROR(VLOOKUP($A125,'[1]Kilos Asignado del Donante'!A:O,16,0),0)),0)</f>
        <v>0</v>
      </c>
      <c r="AN125" s="19">
        <f>IF(A125=0,0,IFERROR(SUMIFS([1]Poblacion!Z:Z,[1]Poblacion!J:J,'MASTER-2025'!A125),0))</f>
        <v>0</v>
      </c>
      <c r="AO125" s="20">
        <f>IFERROR(VLOOKUP($A125,'[1]OB Atendidas por Donantes'!A:N,11,0),0)</f>
        <v>3</v>
      </c>
      <c r="AP125" s="20">
        <f>ROUNDUP(IF(A125=0,0,IFERROR(VLOOKUP($A125,'[1]Kilos Asignado del Donante'!A:N,13,0),0)),0)</f>
        <v>844</v>
      </c>
      <c r="AQ125" s="20">
        <f>IF(A125=0,0,IFERROR(SUMIFS([1]Poblacion!W:W,[1]Poblacion!J:J,'MASTER-2025'!A125),0))</f>
        <v>0</v>
      </c>
      <c r="AR125" s="18">
        <f>IFERROR(VLOOKUP($A125,'[1]OB Atendidas por Donantes'!A:N,5,0),0)</f>
        <v>10</v>
      </c>
      <c r="AS125" s="18">
        <f>ROUNDUP(IF(A125=0,0,IFERROR(VLOOKUP($A125,'[1]Kilos Asignado del Donante'!A:N,10,0),0)),0)</f>
        <v>2991</v>
      </c>
      <c r="AT125" s="18">
        <f>IF(A125=0,0,IFERROR(SUMIFS([1]Poblacion!T:T,[1]Poblacion!J:J,'MASTER-2025'!A125),0))</f>
        <v>0</v>
      </c>
      <c r="AU125" s="19">
        <f>IFERROR(VLOOKUP($A125,'[1]OB Atendidas por Donantes'!A:N,13,0),0)</f>
        <v>0</v>
      </c>
      <c r="AV125" s="19">
        <f>ROUNDUP(IF(A125=0,0,IFERROR(VLOOKUP($A125,'[1]Kilos Asignado del Donante'!A:N,14,0),0)),0)</f>
        <v>0</v>
      </c>
      <c r="AW125" s="19">
        <f>IF(A125=0,0,IFERROR(SUMIFS([1]Poblacion!X:X,[1]Poblacion!J:J,'MASTER-2025'!A125),0))</f>
        <v>0</v>
      </c>
      <c r="AX125" s="20">
        <f>IFERROR(VLOOKUP($A125,'[1]OB Atendidas por Donantes'!A:N,16,0),0)</f>
        <v>0</v>
      </c>
      <c r="AY125" s="20">
        <f>ROUNDUP(IF(A125=0,0,IFERROR(VLOOKUP($A125,'[1]Kilos Asignado del Donante'!A:O,16,0),0)),0)</f>
        <v>0</v>
      </c>
      <c r="AZ125" s="20">
        <f>IF(A125=0,0,IFERROR(SUMIFS([1]Poblacion!Y:Y,[1]Poblacion!J:J,'MASTER-2025'!A125),0))</f>
        <v>0</v>
      </c>
      <c r="BA125" s="21">
        <f t="shared" si="43"/>
        <v>68</v>
      </c>
      <c r="BB125" s="21">
        <f t="shared" si="42"/>
        <v>11663</v>
      </c>
      <c r="BC125" s="21">
        <f t="shared" si="39"/>
        <v>4870</v>
      </c>
      <c r="BD125" s="21">
        <f t="shared" si="44"/>
        <v>0</v>
      </c>
      <c r="BE125" s="22" t="e">
        <f>IF(A125=0,0,SUMIFS([1]Poblacion!C:C,[1]Poblacion!A:A,'MASTER-2025'!A125))</f>
        <v>#VALUE!</v>
      </c>
      <c r="BF125" s="22" t="e">
        <f>IF(A125=0,0,SUMIFS([1]Poblacion!D:D,[1]Poblacion!A:A,'MASTER-2025'!A125))</f>
        <v>#VALUE!</v>
      </c>
      <c r="BG125" s="22" t="e">
        <f>IF(A125=0,0,SUMIFS([1]Poblacion!E:E,[1]Poblacion!A:A,'MASTER-2025'!A125))</f>
        <v>#VALUE!</v>
      </c>
      <c r="BH125" s="22" t="e">
        <f>IF(A125=0,0,SUMIFS([1]Poblacion!F:F,[1]Poblacion!A:A,'MASTER-2025'!A125))</f>
        <v>#VALUE!</v>
      </c>
      <c r="BI125" s="22" t="e">
        <f t="shared" si="35"/>
        <v>#VALUE!</v>
      </c>
      <c r="BJ125" s="23" t="e">
        <f t="shared" si="30"/>
        <v>#VALUE!</v>
      </c>
      <c r="BK125" s="22" t="e">
        <f>IF(A125=0,0,SUMIFS([1]Poblacion!G:G,[1]Poblacion!A:A,'MASTER-2025'!A125))</f>
        <v>#VALUE!</v>
      </c>
      <c r="BL125" s="24" cm="1">
        <f t="array" ref="BL125:BW125">IFERROR(VLOOKUP(A125,'[1]Acum-OB-kg-pob-25'!A:AQ,{3,4,5,6,7,8,9,10,11,12,13,14},0),0)</f>
        <v>0</v>
      </c>
      <c r="BM125" s="24">
        <v>1</v>
      </c>
      <c r="BN125" s="24">
        <v>68</v>
      </c>
      <c r="BO125" s="24">
        <v>0</v>
      </c>
      <c r="BP125" s="24">
        <v>0</v>
      </c>
      <c r="BQ125" s="24">
        <v>0</v>
      </c>
      <c r="BR125" s="24">
        <v>0</v>
      </c>
      <c r="BS125" s="24">
        <v>0</v>
      </c>
      <c r="BT125" s="24">
        <v>0</v>
      </c>
      <c r="BU125" s="24">
        <v>0</v>
      </c>
      <c r="BV125" s="24">
        <v>0</v>
      </c>
      <c r="BW125" s="24">
        <v>0</v>
      </c>
      <c r="BX125" s="24">
        <f t="shared" si="31"/>
        <v>69</v>
      </c>
      <c r="BY125" s="25" cm="1">
        <f t="array" ref="BY125:CJ125">IFERROR(VLOOKUP(A125,'[1]Acum-OB-kg-pob-25'!A:AQ,{17,18,19,20,21,22,23,24,25,26,27,28},0),0)</f>
        <v>0</v>
      </c>
      <c r="BZ125" s="25">
        <v>2976</v>
      </c>
      <c r="CA125" s="25">
        <v>9754</v>
      </c>
      <c r="CB125" s="25">
        <v>0</v>
      </c>
      <c r="CC125" s="25">
        <v>0</v>
      </c>
      <c r="CD125" s="25">
        <v>0</v>
      </c>
      <c r="CE125" s="25">
        <v>0</v>
      </c>
      <c r="CF125" s="25">
        <v>0</v>
      </c>
      <c r="CG125" s="25">
        <v>0</v>
      </c>
      <c r="CH125" s="25">
        <v>0</v>
      </c>
      <c r="CI125" s="25">
        <v>0</v>
      </c>
      <c r="CJ125" s="25">
        <v>0</v>
      </c>
      <c r="CK125" s="25">
        <f t="shared" si="32"/>
        <v>12730</v>
      </c>
      <c r="CL125" s="26" cm="1">
        <f t="array" ref="CL125:CW125">IFERROR(VLOOKUP(A125,'[1]Acum-OB-kg-pob-25'!A:AQ,{31,32,33,34,35,36,37,38,39,40,41,42},0),0)</f>
        <v>0</v>
      </c>
      <c r="CM125" s="26">
        <v>73</v>
      </c>
      <c r="CN125" s="26">
        <v>20267</v>
      </c>
      <c r="CO125" s="26">
        <v>0</v>
      </c>
      <c r="CP125" s="26">
        <v>0</v>
      </c>
      <c r="CQ125" s="26">
        <v>0</v>
      </c>
      <c r="CR125" s="26">
        <v>0</v>
      </c>
      <c r="CS125" s="26">
        <v>0</v>
      </c>
      <c r="CT125" s="26">
        <v>0</v>
      </c>
      <c r="CU125" s="26">
        <v>0</v>
      </c>
      <c r="CV125" s="26">
        <v>0</v>
      </c>
      <c r="CW125" s="26">
        <v>0</v>
      </c>
      <c r="CX125" s="26">
        <f t="shared" si="33"/>
        <v>20340</v>
      </c>
      <c r="CY125" s="14" t="str">
        <f>IF(A125=0,0,IFERROR(VLOOKUP(A125,'[1]Info Donantes'!C:F,2,0),"Sin Contacto"))</f>
        <v>Sin Contacto</v>
      </c>
      <c r="CZ125" s="14" t="str">
        <f>IF(A125=0,0,IFERROR(VLOOKUP(A125,'[1]Info Donantes'!C:F,3,0),"Sin Correo"))</f>
        <v>Sin Correo</v>
      </c>
      <c r="DA125" s="14" t="str">
        <f>IF(A125=0,0,IFERROR(VLOOKUP(A125,'[1]Info Donantes'!C:F,4,0),"Sin Telefono"))</f>
        <v>Sin Telefono</v>
      </c>
      <c r="DB125" s="14" t="str">
        <f>IF(A125=0,0,"Reporte de Trazabiidad"&amp;" - "&amp;'[1]Resumen Donantes'!$C$2&amp;" - "&amp;A125&amp;"")</f>
        <v>Reporte de Trazabiidad -  - Agro Export Pacific, S.A</v>
      </c>
    </row>
    <row r="126" spans="1:106" x14ac:dyDescent="0.55000000000000004">
      <c r="A126" s="14" t="s">
        <v>230</v>
      </c>
      <c r="B126" s="33">
        <f>INT(IFERROR(VLOOKUP(A126,'[1]Resumen Donantes'!C:F,3,0),0))</f>
        <v>0</v>
      </c>
      <c r="C126" s="15">
        <f>INT(ROUND(IFERROR(VLOOKUP(A126,'[1]Resumen Donantes'!C:F,4,0),0),1))</f>
        <v>66</v>
      </c>
      <c r="D126" s="16">
        <f t="shared" si="36"/>
        <v>66</v>
      </c>
      <c r="E126" s="17" t="str">
        <f t="shared" si="37"/>
        <v>100.00%</v>
      </c>
      <c r="F126" s="17" t="str">
        <f t="shared" si="38"/>
        <v>0.0%</v>
      </c>
      <c r="G126" s="15">
        <f t="shared" si="40"/>
        <v>198</v>
      </c>
      <c r="H126" s="18"/>
      <c r="I126" s="18">
        <f>IFERROR(VLOOKUP(A126,'[1]Lot All by Part'!T:Y,6,0),0)</f>
        <v>0</v>
      </c>
      <c r="J126" s="18"/>
      <c r="K126" s="19">
        <f>IFERROR(VLOOKUP($A126,'[1]OB Atendidas por Donantes'!A:N,3,0),0)</f>
        <v>0</v>
      </c>
      <c r="L126" s="19">
        <f>ROUNDUP(IF(A126=0,0,IFERROR(VLOOKUP($A126,'[1]Kilos Asignado del Donante'!A:O,3,0),0)),0)</f>
        <v>0</v>
      </c>
      <c r="M126" s="19">
        <f>IF(A126=0,0,IFERROR(SUMIFS([1]Poblacion!M:M,[1]Poblacion!J:J,'MASTER-2025'!A126),0))</f>
        <v>0</v>
      </c>
      <c r="N126" s="20">
        <f>IFERROR(VLOOKUP($A126,'[1]OB Atendidas por Donantes'!A:N,4,0),0)</f>
        <v>0</v>
      </c>
      <c r="O126" s="20">
        <f>ROUNDUP(IF(A126=0,0,IFERROR(VLOOKUP($A126,'[1]Kilos Asignado del Donante'!A:O,4,0),0)),0)</f>
        <v>0</v>
      </c>
      <c r="P126" s="20">
        <f>IF(A126=0,0,IFERROR(SUMIFS([1]Poblacion!N:N,[1]Poblacion!J:J,'MASTER-2025'!A126),0))</f>
        <v>0</v>
      </c>
      <c r="Q126" s="18">
        <f>IFERROR(VLOOKUP($A126,'[1]OB Atendidas por Donantes'!A:N,2,0),0)</f>
        <v>0</v>
      </c>
      <c r="R126" s="18">
        <f>ROUNDUP(ROUND(IF(A126=0,0,IFERROR(VLOOKUP($A126,'[1]Kilos Asignado del Donante'!A:O,9,0),0)),1),0)</f>
        <v>0</v>
      </c>
      <c r="S126" s="18">
        <f>IF(A126=0,0,IFERROR(SUMIFS([1]Poblacion!S:S,[1]Poblacion!J:J,'MASTER-2025'!A126),0))</f>
        <v>0</v>
      </c>
      <c r="T126" s="19">
        <f>IFERROR(VLOOKUP($A126,'[1]OB Atendidas por Donantes'!A:N,12,0),0)</f>
        <v>0</v>
      </c>
      <c r="U126" s="19">
        <f>ROUNDUP(IF(A126=0,0,IF(A126=0,0,IFERROR(VLOOKUP($A126,'[1]Kilos Asignado del Donante'!A:O,7,0),0))),0)</f>
        <v>0</v>
      </c>
      <c r="V126" s="19">
        <f>IF(A126=0,0,IFERROR(SUMIFS([1]Poblacion!Q:Q,[1]Poblacion!J:J,'MASTER-2025'!A126),0))</f>
        <v>0</v>
      </c>
      <c r="W126" s="20">
        <f>IFERROR(VLOOKUP($A126,'[1]OB Atendidas por Donantes'!A:N,10,0),0)</f>
        <v>0</v>
      </c>
      <c r="X126" s="20">
        <f>ROUNDUP(IF(A126=0,0,IFERROR(VLOOKUP($A126,'[1]Kilos Asignado del Donante'!A:N,5,0),0)),0)</f>
        <v>0</v>
      </c>
      <c r="Y126" s="20">
        <f>IF(A126=0,0,IFERROR(SUMIFS([1]Poblacion!O:O,[1]Poblacion!J:J,'MASTER-2025'!A126),0))</f>
        <v>0</v>
      </c>
      <c r="Z126" s="18">
        <f>IFERROR(VLOOKUP($A126,'[1]OB Atendidas por Donantes'!A:N,6,0),0)</f>
        <v>0</v>
      </c>
      <c r="AA126" s="18">
        <f>ROUNDUP(IF(A126=0,0,IFERROR(VLOOKUP($A126,'[1]Kilos Asignado del Donante'!A:N,11,0),0)),0)</f>
        <v>0</v>
      </c>
      <c r="AB126" s="18">
        <f>IF(A126=0,0,IFERROR(SUMIFS([1]Poblacion!U:U,[1]Poblacion!J:J,'MASTER-2025'!A126),0))</f>
        <v>0</v>
      </c>
      <c r="AC126" s="19">
        <f>IFERROR(VLOOKUP($A126,'[1]OB Atendidas por Donantes'!A:N,7,0),0)</f>
        <v>0</v>
      </c>
      <c r="AD126" s="19">
        <f>ROUNDUP(IF(A126=0,0,IFERROR(VLOOKUP($A126,'[1]Kilos Asignado del Donante'!A:N,8,0),0)),0)</f>
        <v>0</v>
      </c>
      <c r="AE126" s="19">
        <f>IF(A126=0,0,IFERROR(SUMIFS([1]Poblacion!R:R,[1]Poblacion!J:J,'MASTER-2025'!A126),0))</f>
        <v>0</v>
      </c>
      <c r="AF126" s="20">
        <f>IFERROR(VLOOKUP($A126,'[1]OB Atendidas por Donantes'!A:N,8,0),0)</f>
        <v>0</v>
      </c>
      <c r="AG126" s="20">
        <f>ROUNDUP(IF(A126=0,0,IFERROR(VLOOKUP($A126,'[1]Kilos Asignado del Donante'!A:N,6,0),0)),0)</f>
        <v>0</v>
      </c>
      <c r="AH126" s="20">
        <f>IF(A126=0,0,IFERROR(SUMIFS([1]Poblacion!P:P,[1]Poblacion!J:J,'MASTER-2025'!A126),0))</f>
        <v>0</v>
      </c>
      <c r="AI126" s="18">
        <f>IFERROR(VLOOKUP($A126,'[1]OB Atendidas por Donantes'!A:N,9,0),0)</f>
        <v>0</v>
      </c>
      <c r="AJ126" s="18">
        <f>ROUNDUP(IF(A126=0,0,IFERROR(VLOOKUP($A126,'[1]Kilos Asignado del Donante'!A:N,12,0),0)),0)</f>
        <v>0</v>
      </c>
      <c r="AK126" s="18">
        <f>IF(A126=0,0,IFERROR(SUMIFS([1]Poblacion!V:V,[1]Poblacion!J:J,'MASTER-2025'!A126),0))</f>
        <v>0</v>
      </c>
      <c r="AL126" s="19">
        <f>IFERROR(VLOOKUP($A126,'[1]OB Atendidas por Donantes'!A:N,16,0),0)</f>
        <v>0</v>
      </c>
      <c r="AM126" s="19">
        <f>ROUNDUP(IF(A126=0,0,IFERROR(VLOOKUP($A126,'[1]Kilos Asignado del Donante'!A:O,16,0),0)),0)</f>
        <v>0</v>
      </c>
      <c r="AN126" s="19">
        <f>IF(A126=0,0,IFERROR(SUMIFS([1]Poblacion!Z:Z,[1]Poblacion!J:J,'MASTER-2025'!A126),0))</f>
        <v>0</v>
      </c>
      <c r="AO126" s="20">
        <f>IFERROR(VLOOKUP($A126,'[1]OB Atendidas por Donantes'!A:N,11,0),0)</f>
        <v>0</v>
      </c>
      <c r="AP126" s="20">
        <f>ROUNDUP(IF(A126=0,0,IFERROR(VLOOKUP($A126,'[1]Kilos Asignado del Donante'!A:N,13,0),0)),0)</f>
        <v>0</v>
      </c>
      <c r="AQ126" s="20">
        <f>IF(A126=0,0,IFERROR(SUMIFS([1]Poblacion!W:W,[1]Poblacion!J:J,'MASTER-2025'!A126),0))</f>
        <v>0</v>
      </c>
      <c r="AR126" s="18">
        <f>IFERROR(VLOOKUP($A126,'[1]OB Atendidas por Donantes'!A:N,5,0),0)</f>
        <v>4</v>
      </c>
      <c r="AS126" s="18">
        <f>ROUNDUP(IF(A126=0,0,IFERROR(VLOOKUP($A126,'[1]Kilos Asignado del Donante'!A:N,10,0),0)),0)</f>
        <v>66</v>
      </c>
      <c r="AT126" s="18">
        <f>IF(A126=0,0,IFERROR(SUMIFS([1]Poblacion!T:T,[1]Poblacion!J:J,'MASTER-2025'!A126),0))</f>
        <v>0</v>
      </c>
      <c r="AU126" s="19">
        <f>IFERROR(VLOOKUP($A126,'[1]OB Atendidas por Donantes'!A:N,13,0),0)</f>
        <v>0</v>
      </c>
      <c r="AV126" s="19">
        <f>ROUNDUP(IF(A126=0,0,IFERROR(VLOOKUP($A126,'[1]Kilos Asignado del Donante'!A:N,14,0),0)),0)</f>
        <v>0</v>
      </c>
      <c r="AW126" s="19">
        <f>IF(A126=0,0,IFERROR(SUMIFS([1]Poblacion!X:X,[1]Poblacion!J:J,'MASTER-2025'!A126),0))</f>
        <v>0</v>
      </c>
      <c r="AX126" s="20">
        <f>IFERROR(VLOOKUP($A126,'[1]OB Atendidas por Donantes'!A:N,16,0),0)</f>
        <v>0</v>
      </c>
      <c r="AY126" s="20">
        <f>ROUNDUP(IF(A126=0,0,IFERROR(VLOOKUP($A126,'[1]Kilos Asignado del Donante'!A:O,16,0),0)),0)</f>
        <v>0</v>
      </c>
      <c r="AZ126" s="20">
        <f>IF(A126=0,0,IFERROR(SUMIFS([1]Poblacion!Y:Y,[1]Poblacion!J:J,'MASTER-2025'!A126),0))</f>
        <v>0</v>
      </c>
      <c r="BA126" s="21">
        <f t="shared" si="43"/>
        <v>4</v>
      </c>
      <c r="BB126" s="21">
        <f t="shared" si="42"/>
        <v>66</v>
      </c>
      <c r="BC126" s="21">
        <f t="shared" si="39"/>
        <v>0</v>
      </c>
      <c r="BD126" s="21">
        <f t="shared" si="44"/>
        <v>0</v>
      </c>
      <c r="BE126" s="22" t="e">
        <f>IF(A126=0,0,SUMIFS([1]Poblacion!C:C,[1]Poblacion!A:A,'MASTER-2025'!A126))</f>
        <v>#VALUE!</v>
      </c>
      <c r="BF126" s="22" t="e">
        <f>IF(A126=0,0,SUMIFS([1]Poblacion!D:D,[1]Poblacion!A:A,'MASTER-2025'!A126))</f>
        <v>#VALUE!</v>
      </c>
      <c r="BG126" s="22" t="e">
        <f>IF(A126=0,0,SUMIFS([1]Poblacion!E:E,[1]Poblacion!A:A,'MASTER-2025'!A126))</f>
        <v>#VALUE!</v>
      </c>
      <c r="BH126" s="22" t="e">
        <f>IF(A126=0,0,SUMIFS([1]Poblacion!F:F,[1]Poblacion!A:A,'MASTER-2025'!A126))</f>
        <v>#VALUE!</v>
      </c>
      <c r="BI126" s="22" t="e">
        <f t="shared" si="35"/>
        <v>#VALUE!</v>
      </c>
      <c r="BJ126" s="23" t="e">
        <f t="shared" si="30"/>
        <v>#VALUE!</v>
      </c>
      <c r="BK126" s="22" t="e">
        <f>IF(A126=0,0,SUMIFS([1]Poblacion!G:G,[1]Poblacion!A:A,'MASTER-2025'!A126))</f>
        <v>#VALUE!</v>
      </c>
      <c r="BL126" s="24" cm="1">
        <f t="array" ref="BL126:BW126">IFERROR(VLOOKUP(A126,'[1]Acum-OB-kg-pob-25'!A:AQ,{3,4,5,6,7,8,9,10,11,12,13,14},0),0)</f>
        <v>0</v>
      </c>
      <c r="BM126" s="24">
        <v>10</v>
      </c>
      <c r="BN126" s="24">
        <v>4</v>
      </c>
      <c r="BO126" s="24">
        <v>0</v>
      </c>
      <c r="BP126" s="24">
        <v>0</v>
      </c>
      <c r="BQ126" s="24">
        <v>0</v>
      </c>
      <c r="BR126" s="24">
        <v>0</v>
      </c>
      <c r="BS126" s="24">
        <v>0</v>
      </c>
      <c r="BT126" s="24">
        <v>0</v>
      </c>
      <c r="BU126" s="24">
        <v>0</v>
      </c>
      <c r="BV126" s="24">
        <v>0</v>
      </c>
      <c r="BW126" s="24">
        <v>0</v>
      </c>
      <c r="BX126" s="24">
        <f t="shared" si="31"/>
        <v>14</v>
      </c>
      <c r="BY126" s="25" cm="1">
        <f t="array" ref="BY126:CJ126">IFERROR(VLOOKUP(A126,'[1]Acum-OB-kg-pob-25'!A:AQ,{17,18,19,20,21,22,23,24,25,26,27,28},0),0)</f>
        <v>0</v>
      </c>
      <c r="BZ126" s="25">
        <v>66</v>
      </c>
      <c r="CA126" s="25">
        <v>66</v>
      </c>
      <c r="CB126" s="25">
        <v>0</v>
      </c>
      <c r="CC126" s="25">
        <v>0</v>
      </c>
      <c r="CD126" s="25">
        <v>0</v>
      </c>
      <c r="CE126" s="25">
        <v>0</v>
      </c>
      <c r="CF126" s="25">
        <v>0</v>
      </c>
      <c r="CG126" s="25">
        <v>0</v>
      </c>
      <c r="CH126" s="25">
        <v>0</v>
      </c>
      <c r="CI126" s="25">
        <v>0</v>
      </c>
      <c r="CJ126" s="25">
        <v>0</v>
      </c>
      <c r="CK126" s="25">
        <f t="shared" si="32"/>
        <v>132</v>
      </c>
      <c r="CL126" s="26" cm="1">
        <f t="array" ref="CL126:CW126">IFERROR(VLOOKUP(A126,'[1]Acum-OB-kg-pob-25'!A:AQ,{31,32,33,34,35,36,37,38,39,40,41,42},0),0)</f>
        <v>0</v>
      </c>
      <c r="CM126" s="26">
        <v>1312</v>
      </c>
      <c r="CN126" s="26">
        <v>823</v>
      </c>
      <c r="CO126" s="26">
        <v>0</v>
      </c>
      <c r="CP126" s="26">
        <v>0</v>
      </c>
      <c r="CQ126" s="26">
        <v>0</v>
      </c>
      <c r="CR126" s="26">
        <v>0</v>
      </c>
      <c r="CS126" s="26">
        <v>0</v>
      </c>
      <c r="CT126" s="26">
        <v>0</v>
      </c>
      <c r="CU126" s="26">
        <v>0</v>
      </c>
      <c r="CV126" s="26">
        <v>0</v>
      </c>
      <c r="CW126" s="26">
        <v>0</v>
      </c>
      <c r="CX126" s="26">
        <f t="shared" si="33"/>
        <v>2135</v>
      </c>
      <c r="CY126" s="14" t="str">
        <f>IF(A126=0,0,IFERROR(VLOOKUP(A126,'[1]Info Donantes'!C:F,2,0),"Sin Contacto"))</f>
        <v>Sin Contacto</v>
      </c>
      <c r="CZ126" s="14" t="str">
        <f>IF(A126=0,0,IFERROR(VLOOKUP(A126,'[1]Info Donantes'!C:F,3,0),"Sin Correo"))</f>
        <v>Sin Correo</v>
      </c>
      <c r="DA126" s="14" t="str">
        <f>IF(A126=0,0,IFERROR(VLOOKUP(A126,'[1]Info Donantes'!C:F,4,0),"Sin Telefono"))</f>
        <v>Sin Telefono</v>
      </c>
      <c r="DB126" s="14" t="str">
        <f>IF(A126=0,0,"Reporte de Trazabiidad"&amp;" - "&amp;'[1]Resumen Donantes'!$C$2&amp;" - "&amp;A126&amp;"")</f>
        <v>Reporte de Trazabiidad -  - CENTRAL AZUCARERO LA VICTORIA</v>
      </c>
    </row>
    <row r="127" spans="1:106" x14ac:dyDescent="0.55000000000000004">
      <c r="A127" s="14" t="s">
        <v>231</v>
      </c>
      <c r="B127" s="33">
        <f>INT(IFERROR(VLOOKUP(A127,'[1]Resumen Donantes'!C:F,3,0),0))</f>
        <v>0</v>
      </c>
      <c r="C127" s="15">
        <f>INT(ROUND(IFERROR(VLOOKUP(A127,'[1]Resumen Donantes'!C:F,4,0),0),1))</f>
        <v>0</v>
      </c>
      <c r="D127" s="16">
        <f t="shared" si="36"/>
        <v>0</v>
      </c>
      <c r="E127" s="17" t="str">
        <f t="shared" si="37"/>
        <v>0.00%</v>
      </c>
      <c r="F127" s="17" t="str">
        <f t="shared" si="38"/>
        <v>0.0%</v>
      </c>
      <c r="G127" s="15">
        <f t="shared" si="40"/>
        <v>0</v>
      </c>
      <c r="H127" s="18"/>
      <c r="I127" s="18">
        <f>IFERROR(VLOOKUP(A127,'[1]Lot All by Part'!T:Y,6,0),0)</f>
        <v>0</v>
      </c>
      <c r="J127" s="18"/>
      <c r="K127" s="19">
        <f>IFERROR(VLOOKUP($A127,'[1]OB Atendidas por Donantes'!A:N,3,0),0)</f>
        <v>0</v>
      </c>
      <c r="L127" s="19">
        <f>ROUNDUP(IF(A127=0,0,IFERROR(VLOOKUP($A127,'[1]Kilos Asignado del Donante'!A:O,3,0),0)),0)</f>
        <v>0</v>
      </c>
      <c r="M127" s="19">
        <f>IF(A127=0,0,IFERROR(SUMIFS([1]Poblacion!M:M,[1]Poblacion!J:J,'MASTER-2025'!A127),0))</f>
        <v>0</v>
      </c>
      <c r="N127" s="20">
        <f>IFERROR(VLOOKUP($A127,'[1]OB Atendidas por Donantes'!A:N,4,0),0)</f>
        <v>2</v>
      </c>
      <c r="O127" s="20">
        <f>ROUNDUP(IF(A127=0,0,IFERROR(VLOOKUP($A127,'[1]Kilos Asignado del Donante'!A:O,4,0),0)),0)</f>
        <v>6</v>
      </c>
      <c r="P127" s="20">
        <f>IF(A127=0,0,IFERROR(SUMIFS([1]Poblacion!N:N,[1]Poblacion!J:J,'MASTER-2025'!A127),0))</f>
        <v>0</v>
      </c>
      <c r="Q127" s="18">
        <f>IFERROR(VLOOKUP($A127,'[1]OB Atendidas por Donantes'!A:N,2,0),0)</f>
        <v>0</v>
      </c>
      <c r="R127" s="18">
        <f>ROUNDUP(ROUND(IF(A127=0,0,IFERROR(VLOOKUP($A127,'[1]Kilos Asignado del Donante'!A:O,9,0),0)),1),0)</f>
        <v>0</v>
      </c>
      <c r="S127" s="18">
        <f>IF(A127=0,0,IFERROR(SUMIFS([1]Poblacion!S:S,[1]Poblacion!J:J,'MASTER-2025'!A127),0))</f>
        <v>0</v>
      </c>
      <c r="T127" s="19">
        <f>IFERROR(VLOOKUP($A127,'[1]OB Atendidas por Donantes'!A:N,12,0),0)</f>
        <v>0</v>
      </c>
      <c r="U127" s="19">
        <f>ROUNDUP(IF(A127=0,0,IF(A127=0,0,IFERROR(VLOOKUP($A127,'[1]Kilos Asignado del Donante'!A:O,7,0),0))),0)</f>
        <v>0</v>
      </c>
      <c r="V127" s="19">
        <f>IF(A127=0,0,IFERROR(SUMIFS([1]Poblacion!Q:Q,[1]Poblacion!J:J,'MASTER-2025'!A127),0))</f>
        <v>0</v>
      </c>
      <c r="W127" s="20">
        <f>IFERROR(VLOOKUP($A127,'[1]OB Atendidas por Donantes'!A:N,10,0),0)</f>
        <v>2</v>
      </c>
      <c r="X127" s="20">
        <f>ROUNDUP(IF(A127=0,0,IFERROR(VLOOKUP($A127,'[1]Kilos Asignado del Donante'!A:N,5,0),0)),0)</f>
        <v>6</v>
      </c>
      <c r="Y127" s="20">
        <f>IF(A127=0,0,IFERROR(SUMIFS([1]Poblacion!O:O,[1]Poblacion!J:J,'MASTER-2025'!A127),0))</f>
        <v>0</v>
      </c>
      <c r="Z127" s="18">
        <f>IFERROR(VLOOKUP($A127,'[1]OB Atendidas por Donantes'!A:N,6,0),0)</f>
        <v>0</v>
      </c>
      <c r="AA127" s="18">
        <f>ROUNDUP(IF(A127=0,0,IFERROR(VLOOKUP($A127,'[1]Kilos Asignado del Donante'!A:N,11,0),0)),0)</f>
        <v>0</v>
      </c>
      <c r="AB127" s="18">
        <f>IF(A127=0,0,IFERROR(SUMIFS([1]Poblacion!U:U,[1]Poblacion!J:J,'MASTER-2025'!A127),0))</f>
        <v>0</v>
      </c>
      <c r="AC127" s="19">
        <f>IFERROR(VLOOKUP($A127,'[1]OB Atendidas por Donantes'!A:N,7,0),0)</f>
        <v>0</v>
      </c>
      <c r="AD127" s="19">
        <f>ROUNDUP(IF(A127=0,0,IFERROR(VLOOKUP($A127,'[1]Kilos Asignado del Donante'!A:N,8,0),0)),0)</f>
        <v>0</v>
      </c>
      <c r="AE127" s="19">
        <f>IF(A127=0,0,IFERROR(SUMIFS([1]Poblacion!R:R,[1]Poblacion!J:J,'MASTER-2025'!A127),0))</f>
        <v>0</v>
      </c>
      <c r="AF127" s="20">
        <f>IFERROR(VLOOKUP($A127,'[1]OB Atendidas por Donantes'!A:N,8,0),0)</f>
        <v>0</v>
      </c>
      <c r="AG127" s="20">
        <f>ROUNDUP(IF(A127=0,0,IFERROR(VLOOKUP($A127,'[1]Kilos Asignado del Donante'!A:N,6,0),0)),0)</f>
        <v>0</v>
      </c>
      <c r="AH127" s="20">
        <f>IF(A127=0,0,IFERROR(SUMIFS([1]Poblacion!P:P,[1]Poblacion!J:J,'MASTER-2025'!A127),0))</f>
        <v>0</v>
      </c>
      <c r="AI127" s="18">
        <f>IFERROR(VLOOKUP($A127,'[1]OB Atendidas por Donantes'!A:N,9,0),0)</f>
        <v>0</v>
      </c>
      <c r="AJ127" s="18">
        <f>ROUNDUP(IF(A127=0,0,IFERROR(VLOOKUP($A127,'[1]Kilos Asignado del Donante'!A:N,12,0),0)),0)</f>
        <v>0</v>
      </c>
      <c r="AK127" s="18">
        <f>IF(A127=0,0,IFERROR(SUMIFS([1]Poblacion!V:V,[1]Poblacion!J:J,'MASTER-2025'!A127),0))</f>
        <v>0</v>
      </c>
      <c r="AL127" s="19">
        <f>IFERROR(VLOOKUP($A127,'[1]OB Atendidas por Donantes'!A:N,16,0),0)</f>
        <v>0</v>
      </c>
      <c r="AM127" s="19">
        <f>ROUNDUP(IF(A127=0,0,IFERROR(VLOOKUP($A127,'[1]Kilos Asignado del Donante'!A:O,16,0),0)),0)</f>
        <v>0</v>
      </c>
      <c r="AN127" s="19">
        <f>IF(A127=0,0,IFERROR(SUMIFS([1]Poblacion!Z:Z,[1]Poblacion!J:J,'MASTER-2025'!A127),0))</f>
        <v>0</v>
      </c>
      <c r="AO127" s="20">
        <f>IFERROR(VLOOKUP($A127,'[1]OB Atendidas por Donantes'!A:N,11,0),0)</f>
        <v>0</v>
      </c>
      <c r="AP127" s="20">
        <f>ROUNDUP(IF(A127=0,0,IFERROR(VLOOKUP($A127,'[1]Kilos Asignado del Donante'!A:N,13,0),0)),0)</f>
        <v>0</v>
      </c>
      <c r="AQ127" s="20">
        <f>IF(A127=0,0,IFERROR(SUMIFS([1]Poblacion!W:W,[1]Poblacion!J:J,'MASTER-2025'!A127),0))</f>
        <v>0</v>
      </c>
      <c r="AR127" s="18">
        <f>IFERROR(VLOOKUP($A127,'[1]OB Atendidas por Donantes'!A:N,5,0),0)</f>
        <v>0</v>
      </c>
      <c r="AS127" s="18">
        <f>ROUNDUP(IF(A127=0,0,IFERROR(VLOOKUP($A127,'[1]Kilos Asignado del Donante'!A:N,10,0),0)),0)</f>
        <v>0</v>
      </c>
      <c r="AT127" s="18">
        <f>IF(A127=0,0,IFERROR(SUMIFS([1]Poblacion!T:T,[1]Poblacion!J:J,'MASTER-2025'!A127),0))</f>
        <v>0</v>
      </c>
      <c r="AU127" s="19">
        <f>IFERROR(VLOOKUP($A127,'[1]OB Atendidas por Donantes'!A:N,13,0),0)</f>
        <v>0</v>
      </c>
      <c r="AV127" s="19">
        <f>ROUNDUP(IF(A127=0,0,IFERROR(VLOOKUP($A127,'[1]Kilos Asignado del Donante'!A:N,14,0),0)),0)</f>
        <v>0</v>
      </c>
      <c r="AW127" s="19">
        <f>IF(A127=0,0,IFERROR(SUMIFS([1]Poblacion!X:X,[1]Poblacion!J:J,'MASTER-2025'!A127),0))</f>
        <v>0</v>
      </c>
      <c r="AX127" s="20">
        <f>IFERROR(VLOOKUP($A127,'[1]OB Atendidas por Donantes'!A:N,16,0),0)</f>
        <v>0</v>
      </c>
      <c r="AY127" s="20">
        <f>ROUNDUP(IF(A127=0,0,IFERROR(VLOOKUP($A127,'[1]Kilos Asignado del Donante'!A:O,16,0),0)),0)</f>
        <v>0</v>
      </c>
      <c r="AZ127" s="20">
        <f>IF(A127=0,0,IFERROR(SUMIFS([1]Poblacion!Y:Y,[1]Poblacion!J:J,'MASTER-2025'!A127),0))</f>
        <v>0</v>
      </c>
      <c r="BA127" s="21">
        <f t="shared" si="43"/>
        <v>4</v>
      </c>
      <c r="BB127" s="21">
        <f t="shared" si="42"/>
        <v>12</v>
      </c>
      <c r="BC127" s="21">
        <f t="shared" si="39"/>
        <v>6</v>
      </c>
      <c r="BD127" s="21">
        <f t="shared" si="44"/>
        <v>0</v>
      </c>
      <c r="BE127" s="22" t="e">
        <f>IF(A127=0,0,SUMIFS([1]Poblacion!C:C,[1]Poblacion!A:A,'MASTER-2025'!A127))</f>
        <v>#VALUE!</v>
      </c>
      <c r="BF127" s="22" t="e">
        <f>IF(A127=0,0,SUMIFS([1]Poblacion!D:D,[1]Poblacion!A:A,'MASTER-2025'!A127))</f>
        <v>#VALUE!</v>
      </c>
      <c r="BG127" s="22" t="e">
        <f>IF(A127=0,0,SUMIFS([1]Poblacion!E:E,[1]Poblacion!A:A,'MASTER-2025'!A127))</f>
        <v>#VALUE!</v>
      </c>
      <c r="BH127" s="22" t="e">
        <f>IF(A127=0,0,SUMIFS([1]Poblacion!F:F,[1]Poblacion!A:A,'MASTER-2025'!A127))</f>
        <v>#VALUE!</v>
      </c>
      <c r="BI127" s="22" t="e">
        <f t="shared" si="35"/>
        <v>#VALUE!</v>
      </c>
      <c r="BJ127" s="23" t="e">
        <f t="shared" si="30"/>
        <v>#VALUE!</v>
      </c>
      <c r="BK127" s="22" t="e">
        <f>IF(A127=0,0,SUMIFS([1]Poblacion!G:G,[1]Poblacion!A:A,'MASTER-2025'!A127))</f>
        <v>#VALUE!</v>
      </c>
      <c r="BL127" s="24" cm="1">
        <f t="array" ref="BL127:BW127">IFERROR(VLOOKUP(A127,'[1]Acum-OB-kg-pob-25'!A:AQ,{3,4,5,6,7,8,9,10,11,12,13,14},0),0)</f>
        <v>0</v>
      </c>
      <c r="BM127" s="24">
        <v>26</v>
      </c>
      <c r="BN127" s="24">
        <v>4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24">
        <v>0</v>
      </c>
      <c r="BU127" s="24">
        <v>0</v>
      </c>
      <c r="BV127" s="24">
        <v>0</v>
      </c>
      <c r="BW127" s="24">
        <v>0</v>
      </c>
      <c r="BX127" s="24">
        <f t="shared" si="31"/>
        <v>30</v>
      </c>
      <c r="BY127" s="25" cm="1">
        <f t="array" ref="BY127:CJ127">IFERROR(VLOOKUP(A127,'[1]Acum-OB-kg-pob-25'!A:AQ,{17,18,19,20,21,22,23,24,25,26,27,28},0),0)</f>
        <v>0</v>
      </c>
      <c r="BZ127" s="25">
        <v>213</v>
      </c>
      <c r="CA127" s="25">
        <v>0</v>
      </c>
      <c r="CB127" s="25">
        <v>0</v>
      </c>
      <c r="CC127" s="25">
        <v>0</v>
      </c>
      <c r="CD127" s="25">
        <v>0</v>
      </c>
      <c r="CE127" s="25">
        <v>0</v>
      </c>
      <c r="CF127" s="25">
        <v>0</v>
      </c>
      <c r="CG127" s="25">
        <v>0</v>
      </c>
      <c r="CH127" s="25">
        <v>0</v>
      </c>
      <c r="CI127" s="25">
        <v>0</v>
      </c>
      <c r="CJ127" s="25">
        <v>0</v>
      </c>
      <c r="CK127" s="25">
        <f t="shared" si="32"/>
        <v>213</v>
      </c>
      <c r="CL127" s="26" cm="1">
        <f t="array" ref="CL127:CW127">IFERROR(VLOOKUP(A127,'[1]Acum-OB-kg-pob-25'!A:AQ,{31,32,33,34,35,36,37,38,39,40,41,42},0),0)</f>
        <v>0</v>
      </c>
      <c r="CM127" s="26">
        <v>7457</v>
      </c>
      <c r="CN127" s="26">
        <v>1489</v>
      </c>
      <c r="CO127" s="26">
        <v>0</v>
      </c>
      <c r="CP127" s="26">
        <v>0</v>
      </c>
      <c r="CQ127" s="26">
        <v>0</v>
      </c>
      <c r="CR127" s="26">
        <v>0</v>
      </c>
      <c r="CS127" s="26">
        <v>0</v>
      </c>
      <c r="CT127" s="26">
        <v>0</v>
      </c>
      <c r="CU127" s="26">
        <v>0</v>
      </c>
      <c r="CV127" s="26">
        <v>0</v>
      </c>
      <c r="CW127" s="26">
        <v>0</v>
      </c>
      <c r="CX127" s="26">
        <f t="shared" si="33"/>
        <v>8946</v>
      </c>
      <c r="CY127" s="14" t="str">
        <f>IF(A127=0,0,IFERROR(VLOOKUP(A127,'[1]Info Donantes'!C:F,2,0),"Sin Contacto"))</f>
        <v>Sin Contacto</v>
      </c>
      <c r="CZ127" s="14" t="str">
        <f>IF(A127=0,0,IFERROR(VLOOKUP(A127,'[1]Info Donantes'!C:F,3,0),"Sin Correo"))</f>
        <v>Sin Correo</v>
      </c>
      <c r="DA127" s="14" t="str">
        <f>IF(A127=0,0,IFERROR(VLOOKUP(A127,'[1]Info Donantes'!C:F,4,0),"Sin Telefono"))</f>
        <v>Sin Telefono</v>
      </c>
      <c r="DB127" s="14" t="str">
        <f>IF(A127=0,0,"Reporte de Trazabiidad"&amp;" - "&amp;'[1]Resumen Donantes'!$C$2&amp;" - "&amp;A127&amp;"")</f>
        <v>Reporte de Trazabiidad -  - COOLBOX FRESIA CORP.</v>
      </c>
    </row>
    <row r="128" spans="1:106" x14ac:dyDescent="0.55000000000000004">
      <c r="A128" s="14" t="s">
        <v>232</v>
      </c>
      <c r="B128" s="33">
        <f>INT(IFERROR(VLOOKUP(A128,'[1]Resumen Donantes'!C:F,3,0),0))</f>
        <v>0</v>
      </c>
      <c r="C128" s="15">
        <f>INT(ROUND(IFERROR(VLOOKUP(A128,'[1]Resumen Donantes'!C:F,4,0),0),1))</f>
        <v>0</v>
      </c>
      <c r="D128" s="16">
        <f t="shared" si="36"/>
        <v>0</v>
      </c>
      <c r="E128" s="17" t="str">
        <f t="shared" si="37"/>
        <v>0.00%</v>
      </c>
      <c r="F128" s="17" t="str">
        <f t="shared" si="38"/>
        <v>0.0%</v>
      </c>
      <c r="G128" s="15">
        <f t="shared" si="40"/>
        <v>0</v>
      </c>
      <c r="H128" s="18"/>
      <c r="I128" s="18">
        <f>IFERROR(VLOOKUP(A128,'[1]Lot All by Part'!T:Y,6,0),0)</f>
        <v>0</v>
      </c>
      <c r="J128" s="18"/>
      <c r="K128" s="19">
        <f>IFERROR(VLOOKUP($A128,'[1]OB Atendidas por Donantes'!A:N,3,0),0)</f>
        <v>0</v>
      </c>
      <c r="L128" s="19">
        <f>ROUNDUP(IF(A128=0,0,IFERROR(VLOOKUP($A128,'[1]Kilos Asignado del Donante'!A:O,3,0),0)),0)</f>
        <v>0</v>
      </c>
      <c r="M128" s="19">
        <f>IF(A128=0,0,IFERROR(SUMIFS([1]Poblacion!M:M,[1]Poblacion!J:J,'MASTER-2025'!A128),0))</f>
        <v>0</v>
      </c>
      <c r="N128" s="20">
        <f>IFERROR(VLOOKUP($A128,'[1]OB Atendidas por Donantes'!A:N,4,0),0)</f>
        <v>0</v>
      </c>
      <c r="O128" s="20">
        <f>ROUNDUP(IF(A128=0,0,IFERROR(VLOOKUP($A128,'[1]Kilos Asignado del Donante'!A:O,4,0),0)),0)</f>
        <v>0</v>
      </c>
      <c r="P128" s="20">
        <f>IF(A128=0,0,IFERROR(SUMIFS([1]Poblacion!N:N,[1]Poblacion!J:J,'MASTER-2025'!A128),0))</f>
        <v>0</v>
      </c>
      <c r="Q128" s="18">
        <f>IFERROR(VLOOKUP($A128,'[1]OB Atendidas por Donantes'!A:N,2,0),0)</f>
        <v>0</v>
      </c>
      <c r="R128" s="18">
        <f>ROUNDUP(ROUND(IF(A128=0,0,IFERROR(VLOOKUP($A128,'[1]Kilos Asignado del Donante'!A:O,9,0),0)),1),0)</f>
        <v>0</v>
      </c>
      <c r="S128" s="18">
        <f>IF(A128=0,0,IFERROR(SUMIFS([1]Poblacion!S:S,[1]Poblacion!J:J,'MASTER-2025'!A128),0))</f>
        <v>0</v>
      </c>
      <c r="T128" s="19">
        <f>IFERROR(VLOOKUP($A128,'[1]OB Atendidas por Donantes'!A:N,12,0),0)</f>
        <v>0</v>
      </c>
      <c r="U128" s="19">
        <f>ROUNDUP(IF(A128=0,0,IF(A128=0,0,IFERROR(VLOOKUP($A128,'[1]Kilos Asignado del Donante'!A:O,7,0),0))),0)</f>
        <v>0</v>
      </c>
      <c r="V128" s="19">
        <f>IF(A128=0,0,IFERROR(SUMIFS([1]Poblacion!Q:Q,[1]Poblacion!J:J,'MASTER-2025'!A128),0))</f>
        <v>0</v>
      </c>
      <c r="W128" s="20">
        <f>IFERROR(VLOOKUP($A128,'[1]OB Atendidas por Donantes'!A:N,10,0),0)</f>
        <v>0</v>
      </c>
      <c r="X128" s="20">
        <f>ROUNDUP(IF(A128=0,0,IFERROR(VLOOKUP($A128,'[1]Kilos Asignado del Donante'!A:N,5,0),0)),0)</f>
        <v>0</v>
      </c>
      <c r="Y128" s="20">
        <f>IF(A128=0,0,IFERROR(SUMIFS([1]Poblacion!O:O,[1]Poblacion!J:J,'MASTER-2025'!A128),0))</f>
        <v>0</v>
      </c>
      <c r="Z128" s="18">
        <f>IFERROR(VLOOKUP($A128,'[1]OB Atendidas por Donantes'!A:N,6,0),0)</f>
        <v>0</v>
      </c>
      <c r="AA128" s="18">
        <f>ROUNDUP(IF(A128=0,0,IFERROR(VLOOKUP($A128,'[1]Kilos Asignado del Donante'!A:N,11,0),0)),0)</f>
        <v>0</v>
      </c>
      <c r="AB128" s="18">
        <f>IF(A128=0,0,IFERROR(SUMIFS([1]Poblacion!U:U,[1]Poblacion!J:J,'MASTER-2025'!A128),0))</f>
        <v>0</v>
      </c>
      <c r="AC128" s="19">
        <f>IFERROR(VLOOKUP($A128,'[1]OB Atendidas por Donantes'!A:N,7,0),0)</f>
        <v>0</v>
      </c>
      <c r="AD128" s="19">
        <f>ROUNDUP(IF(A128=0,0,IFERROR(VLOOKUP($A128,'[1]Kilos Asignado del Donante'!A:N,8,0),0)),0)</f>
        <v>0</v>
      </c>
      <c r="AE128" s="19">
        <f>IF(A128=0,0,IFERROR(SUMIFS([1]Poblacion!R:R,[1]Poblacion!J:J,'MASTER-2025'!A128),0))</f>
        <v>0</v>
      </c>
      <c r="AF128" s="20">
        <f>IFERROR(VLOOKUP($A128,'[1]OB Atendidas por Donantes'!A:N,8,0),0)</f>
        <v>0</v>
      </c>
      <c r="AG128" s="20">
        <f>ROUNDUP(IF(A128=0,0,IFERROR(VLOOKUP($A128,'[1]Kilos Asignado del Donante'!A:N,6,0),0)),0)</f>
        <v>0</v>
      </c>
      <c r="AH128" s="20">
        <f>IF(A128=0,0,IFERROR(SUMIFS([1]Poblacion!P:P,[1]Poblacion!J:J,'MASTER-2025'!A128),0))</f>
        <v>0</v>
      </c>
      <c r="AI128" s="18">
        <f>IFERROR(VLOOKUP($A128,'[1]OB Atendidas por Donantes'!A:N,9,0),0)</f>
        <v>0</v>
      </c>
      <c r="AJ128" s="18">
        <f>ROUNDUP(IF(A128=0,0,IFERROR(VLOOKUP($A128,'[1]Kilos Asignado del Donante'!A:N,12,0),0)),0)</f>
        <v>0</v>
      </c>
      <c r="AK128" s="18">
        <f>IF(A128=0,0,IFERROR(SUMIFS([1]Poblacion!V:V,[1]Poblacion!J:J,'MASTER-2025'!A128),0))</f>
        <v>0</v>
      </c>
      <c r="AL128" s="19">
        <f>IFERROR(VLOOKUP($A128,'[1]OB Atendidas por Donantes'!A:N,16,0),0)</f>
        <v>0</v>
      </c>
      <c r="AM128" s="19">
        <f>ROUNDUP(IF(A128=0,0,IFERROR(VLOOKUP($A128,'[1]Kilos Asignado del Donante'!A:O,16,0),0)),0)</f>
        <v>0</v>
      </c>
      <c r="AN128" s="19">
        <f>IF(A128=0,0,IFERROR(SUMIFS([1]Poblacion!Z:Z,[1]Poblacion!J:J,'MASTER-2025'!A128),0))</f>
        <v>0</v>
      </c>
      <c r="AO128" s="20">
        <f>IFERROR(VLOOKUP($A128,'[1]OB Atendidas por Donantes'!A:N,11,0),0)</f>
        <v>0</v>
      </c>
      <c r="AP128" s="20">
        <f>ROUNDUP(IF(A128=0,0,IFERROR(VLOOKUP($A128,'[1]Kilos Asignado del Donante'!A:N,13,0),0)),0)</f>
        <v>0</v>
      </c>
      <c r="AQ128" s="20">
        <f>IF(A128=0,0,IFERROR(SUMIFS([1]Poblacion!W:W,[1]Poblacion!J:J,'MASTER-2025'!A128),0))</f>
        <v>0</v>
      </c>
      <c r="AR128" s="18">
        <f>IFERROR(VLOOKUP($A128,'[1]OB Atendidas por Donantes'!A:N,5,0),0)</f>
        <v>0</v>
      </c>
      <c r="AS128" s="18">
        <f>ROUNDUP(IF(A128=0,0,IFERROR(VLOOKUP($A128,'[1]Kilos Asignado del Donante'!A:N,10,0),0)),0)</f>
        <v>0</v>
      </c>
      <c r="AT128" s="18">
        <f>IF(A128=0,0,IFERROR(SUMIFS([1]Poblacion!T:T,[1]Poblacion!J:J,'MASTER-2025'!A128),0))</f>
        <v>0</v>
      </c>
      <c r="AU128" s="19">
        <f>IFERROR(VLOOKUP($A128,'[1]OB Atendidas por Donantes'!A:N,13,0),0)</f>
        <v>0</v>
      </c>
      <c r="AV128" s="19">
        <f>ROUNDUP(IF(A128=0,0,IFERROR(VLOOKUP($A128,'[1]Kilos Asignado del Donante'!A:N,14,0),0)),0)</f>
        <v>0</v>
      </c>
      <c r="AW128" s="19">
        <f>IF(A128=0,0,IFERROR(SUMIFS([1]Poblacion!X:X,[1]Poblacion!J:J,'MASTER-2025'!A128),0))</f>
        <v>0</v>
      </c>
      <c r="AX128" s="20">
        <f>IFERROR(VLOOKUP($A128,'[1]OB Atendidas por Donantes'!A:N,16,0),0)</f>
        <v>0</v>
      </c>
      <c r="AY128" s="20">
        <f>ROUNDUP(IF(A128=0,0,IFERROR(VLOOKUP($A128,'[1]Kilos Asignado del Donante'!A:O,16,0),0)),0)</f>
        <v>0</v>
      </c>
      <c r="AZ128" s="20">
        <f>IF(A128=0,0,IFERROR(SUMIFS([1]Poblacion!Y:Y,[1]Poblacion!J:J,'MASTER-2025'!A128),0))</f>
        <v>0</v>
      </c>
      <c r="BA128" s="21">
        <f t="shared" si="43"/>
        <v>0</v>
      </c>
      <c r="BB128" s="21">
        <f t="shared" si="42"/>
        <v>0</v>
      </c>
      <c r="BC128" s="21">
        <f t="shared" si="39"/>
        <v>0</v>
      </c>
      <c r="BD128" s="21">
        <f t="shared" si="44"/>
        <v>0</v>
      </c>
      <c r="BE128" s="22" t="e">
        <f>IF(A128=0,0,SUMIFS([1]Poblacion!C:C,[1]Poblacion!A:A,'MASTER-2025'!A128))</f>
        <v>#VALUE!</v>
      </c>
      <c r="BF128" s="22" t="e">
        <f>IF(A128=0,0,SUMIFS([1]Poblacion!D:D,[1]Poblacion!A:A,'MASTER-2025'!A128))</f>
        <v>#VALUE!</v>
      </c>
      <c r="BG128" s="22" t="e">
        <f>IF(A128=0,0,SUMIFS([1]Poblacion!E:E,[1]Poblacion!A:A,'MASTER-2025'!A128))</f>
        <v>#VALUE!</v>
      </c>
      <c r="BH128" s="22" t="e">
        <f>IF(A128=0,0,SUMIFS([1]Poblacion!F:F,[1]Poblacion!A:A,'MASTER-2025'!A128))</f>
        <v>#VALUE!</v>
      </c>
      <c r="BI128" s="22" t="e">
        <f t="shared" si="35"/>
        <v>#VALUE!</v>
      </c>
      <c r="BJ128" s="23" t="e">
        <f t="shared" si="30"/>
        <v>#VALUE!</v>
      </c>
      <c r="BK128" s="22" t="e">
        <f>IF(A128=0,0,SUMIFS([1]Poblacion!G:G,[1]Poblacion!A:A,'MASTER-2025'!A128))</f>
        <v>#VALUE!</v>
      </c>
      <c r="BL128" s="24" cm="1">
        <f t="array" ref="BL128:BW128">IFERROR(VLOOKUP(A128,'[1]Acum-OB-kg-pob-25'!A:AQ,{3,4,5,6,7,8,9,10,11,12,13,14},0),0)</f>
        <v>0</v>
      </c>
      <c r="BM128" s="24">
        <v>1</v>
      </c>
      <c r="BN128" s="24">
        <v>0</v>
      </c>
      <c r="BO128" s="24">
        <v>0</v>
      </c>
      <c r="BP128" s="24">
        <v>0</v>
      </c>
      <c r="BQ128" s="24">
        <v>0</v>
      </c>
      <c r="BR128" s="24">
        <v>0</v>
      </c>
      <c r="BS128" s="24">
        <v>0</v>
      </c>
      <c r="BT128" s="24">
        <v>0</v>
      </c>
      <c r="BU128" s="24">
        <v>0</v>
      </c>
      <c r="BV128" s="24">
        <v>0</v>
      </c>
      <c r="BW128" s="24">
        <v>0</v>
      </c>
      <c r="BX128" s="24">
        <f t="shared" si="31"/>
        <v>1</v>
      </c>
      <c r="BY128" s="25" cm="1">
        <f t="array" ref="BY128:CJ128">IFERROR(VLOOKUP(A128,'[1]Acum-OB-kg-pob-25'!A:AQ,{17,18,19,20,21,22,23,24,25,26,27,28},0),0)</f>
        <v>0</v>
      </c>
      <c r="BZ128" s="25">
        <v>8</v>
      </c>
      <c r="CA128" s="25">
        <v>0</v>
      </c>
      <c r="CB128" s="25">
        <v>0</v>
      </c>
      <c r="CC128" s="25">
        <v>0</v>
      </c>
      <c r="CD128" s="25">
        <v>0</v>
      </c>
      <c r="CE128" s="25">
        <v>0</v>
      </c>
      <c r="CF128" s="25">
        <v>0</v>
      </c>
      <c r="CG128" s="25">
        <v>0</v>
      </c>
      <c r="CH128" s="25">
        <v>0</v>
      </c>
      <c r="CI128" s="25">
        <v>0</v>
      </c>
      <c r="CJ128" s="25">
        <v>0</v>
      </c>
      <c r="CK128" s="25">
        <f t="shared" si="32"/>
        <v>8</v>
      </c>
      <c r="CL128" s="26" cm="1">
        <f t="array" ref="CL128:CW128">IFERROR(VLOOKUP(A128,'[1]Acum-OB-kg-pob-25'!A:AQ,{31,32,33,34,35,36,37,38,39,40,41,42},0),0)</f>
        <v>0</v>
      </c>
      <c r="CM128" s="26">
        <v>65</v>
      </c>
      <c r="CN128" s="26">
        <v>0</v>
      </c>
      <c r="CO128" s="26">
        <v>0</v>
      </c>
      <c r="CP128" s="26">
        <v>0</v>
      </c>
      <c r="CQ128" s="26">
        <v>0</v>
      </c>
      <c r="CR128" s="26">
        <v>0</v>
      </c>
      <c r="CS128" s="26">
        <v>0</v>
      </c>
      <c r="CT128" s="26">
        <v>0</v>
      </c>
      <c r="CU128" s="26">
        <v>0</v>
      </c>
      <c r="CV128" s="26">
        <v>0</v>
      </c>
      <c r="CW128" s="26">
        <v>0</v>
      </c>
      <c r="CX128" s="26">
        <f t="shared" si="33"/>
        <v>65</v>
      </c>
      <c r="CY128" s="14" t="str">
        <f>IF(A128=0,0,IFERROR(VLOOKUP(A128,'[1]Info Donantes'!C:F,2,0),"Sin Contacto"))</f>
        <v>Libert Mendoza</v>
      </c>
      <c r="CZ128" s="14" t="str">
        <f>IF(A128=0,0,IFERROR(VLOOKUP(A128,'[1]Info Donantes'!C:F,3,0),"Sin Correo"))</f>
        <v>gerencia@mendelacorp.com</v>
      </c>
      <c r="DA128" s="14" t="str">
        <f>IF(A128=0,0,IFERROR(VLOOKUP(A128,'[1]Info Donantes'!C:F,4,0),"Sin Telefono"))</f>
        <v>6208-2310</v>
      </c>
      <c r="DB128" s="14" t="str">
        <f>IF(A128=0,0,"Reporte de Trazabiidad"&amp;" - "&amp;'[1]Resumen Donantes'!$C$2&amp;" - "&amp;A128&amp;"")</f>
        <v>Reporte de Trazabiidad -  - CORPORACIÓN MENDELA S.A.</v>
      </c>
    </row>
    <row r="129" spans="1:106" x14ac:dyDescent="0.55000000000000004">
      <c r="A129" s="14" t="s">
        <v>233</v>
      </c>
      <c r="B129" s="33">
        <f>INT(IFERROR(VLOOKUP(A129,'[1]Resumen Donantes'!C:F,3,0),0))</f>
        <v>0</v>
      </c>
      <c r="C129" s="15">
        <f>INT(ROUND(IFERROR(VLOOKUP(A129,'[1]Resumen Donantes'!C:F,4,0),0),1))</f>
        <v>0</v>
      </c>
      <c r="D129" s="16">
        <f t="shared" si="36"/>
        <v>0</v>
      </c>
      <c r="E129" s="17" t="str">
        <f t="shared" si="37"/>
        <v>0.00%</v>
      </c>
      <c r="F129" s="17" t="str">
        <f t="shared" si="38"/>
        <v>0.0%</v>
      </c>
      <c r="G129" s="15">
        <f t="shared" si="40"/>
        <v>0</v>
      </c>
      <c r="H129" s="18"/>
      <c r="I129" s="18">
        <f>IFERROR(VLOOKUP(A129,'[1]Lot All by Part'!T:Y,6,0),0)</f>
        <v>0</v>
      </c>
      <c r="J129" s="18"/>
      <c r="K129" s="19">
        <f>IFERROR(VLOOKUP($A129,'[1]OB Atendidas por Donantes'!A:N,3,0),0)</f>
        <v>0</v>
      </c>
      <c r="L129" s="19">
        <f>ROUNDUP(IF(A129=0,0,IFERROR(VLOOKUP($A129,'[1]Kilos Asignado del Donante'!A:O,3,0),0)),0)</f>
        <v>0</v>
      </c>
      <c r="M129" s="19">
        <f>IF(A129=0,0,IFERROR(SUMIFS([1]Poblacion!M:M,[1]Poblacion!J:J,'MASTER-2025'!A129),0))</f>
        <v>0</v>
      </c>
      <c r="N129" s="20">
        <f>IFERROR(VLOOKUP($A129,'[1]OB Atendidas por Donantes'!A:N,4,0),0)</f>
        <v>0</v>
      </c>
      <c r="O129" s="20">
        <f>ROUNDUP(IF(A129=0,0,IFERROR(VLOOKUP($A129,'[1]Kilos Asignado del Donante'!A:O,4,0),0)),0)</f>
        <v>0</v>
      </c>
      <c r="P129" s="20">
        <f>IF(A129=0,0,IFERROR(SUMIFS([1]Poblacion!N:N,[1]Poblacion!J:J,'MASTER-2025'!A129),0))</f>
        <v>0</v>
      </c>
      <c r="Q129" s="18">
        <f>IFERROR(VLOOKUP($A129,'[1]OB Atendidas por Donantes'!A:N,2,0),0)</f>
        <v>0</v>
      </c>
      <c r="R129" s="18">
        <f>ROUNDUP(ROUND(IF(A129=0,0,IFERROR(VLOOKUP($A129,'[1]Kilos Asignado del Donante'!A:O,9,0),0)),1),0)</f>
        <v>0</v>
      </c>
      <c r="S129" s="18">
        <f>IF(A129=0,0,IFERROR(SUMIFS([1]Poblacion!S:S,[1]Poblacion!J:J,'MASTER-2025'!A129),0))</f>
        <v>0</v>
      </c>
      <c r="T129" s="19">
        <f>IFERROR(VLOOKUP($A129,'[1]OB Atendidas por Donantes'!A:N,12,0),0)</f>
        <v>0</v>
      </c>
      <c r="U129" s="19">
        <f>ROUNDUP(IF(A129=0,0,IF(A129=0,0,IFERROR(VLOOKUP($A129,'[1]Kilos Asignado del Donante'!A:O,7,0),0))),0)</f>
        <v>0</v>
      </c>
      <c r="V129" s="19">
        <f>IF(A129=0,0,IFERROR(SUMIFS([1]Poblacion!Q:Q,[1]Poblacion!J:J,'MASTER-2025'!A129),0))</f>
        <v>0</v>
      </c>
      <c r="W129" s="20">
        <f>IFERROR(VLOOKUP($A129,'[1]OB Atendidas por Donantes'!A:N,10,0),0)</f>
        <v>0</v>
      </c>
      <c r="X129" s="20">
        <f>ROUNDUP(IF(A129=0,0,IFERROR(VLOOKUP($A129,'[1]Kilos Asignado del Donante'!A:N,5,0),0)),0)</f>
        <v>0</v>
      </c>
      <c r="Y129" s="20">
        <f>IF(A129=0,0,IFERROR(SUMIFS([1]Poblacion!O:O,[1]Poblacion!J:J,'MASTER-2025'!A129),0))</f>
        <v>0</v>
      </c>
      <c r="Z129" s="18">
        <f>IFERROR(VLOOKUP($A129,'[1]OB Atendidas por Donantes'!A:N,6,0),0)</f>
        <v>0</v>
      </c>
      <c r="AA129" s="18">
        <f>ROUNDUP(IF(A129=0,0,IFERROR(VLOOKUP($A129,'[1]Kilos Asignado del Donante'!A:N,11,0),0)),0)</f>
        <v>0</v>
      </c>
      <c r="AB129" s="18">
        <f>IF(A129=0,0,IFERROR(SUMIFS([1]Poblacion!U:U,[1]Poblacion!J:J,'MASTER-2025'!A129),0))</f>
        <v>0</v>
      </c>
      <c r="AC129" s="19">
        <f>IFERROR(VLOOKUP($A129,'[1]OB Atendidas por Donantes'!A:N,7,0),0)</f>
        <v>0</v>
      </c>
      <c r="AD129" s="19">
        <f>ROUNDUP(IF(A129=0,0,IFERROR(VLOOKUP($A129,'[1]Kilos Asignado del Donante'!A:N,8,0),0)),0)</f>
        <v>0</v>
      </c>
      <c r="AE129" s="19">
        <f>IF(A129=0,0,IFERROR(SUMIFS([1]Poblacion!R:R,[1]Poblacion!J:J,'MASTER-2025'!A129),0))</f>
        <v>0</v>
      </c>
      <c r="AF129" s="20">
        <f>IFERROR(VLOOKUP($A129,'[1]OB Atendidas por Donantes'!A:N,8,0),0)</f>
        <v>0</v>
      </c>
      <c r="AG129" s="20">
        <f>ROUNDUP(IF(A129=0,0,IFERROR(VLOOKUP($A129,'[1]Kilos Asignado del Donante'!A:N,6,0),0)),0)</f>
        <v>0</v>
      </c>
      <c r="AH129" s="20">
        <f>IF(A129=0,0,IFERROR(SUMIFS([1]Poblacion!P:P,[1]Poblacion!J:J,'MASTER-2025'!A129),0))</f>
        <v>0</v>
      </c>
      <c r="AI129" s="18">
        <f>IFERROR(VLOOKUP($A129,'[1]OB Atendidas por Donantes'!A:N,9,0),0)</f>
        <v>0</v>
      </c>
      <c r="AJ129" s="18">
        <f>ROUNDUP(IF(A129=0,0,IFERROR(VLOOKUP($A129,'[1]Kilos Asignado del Donante'!A:N,12,0),0)),0)</f>
        <v>0</v>
      </c>
      <c r="AK129" s="18">
        <f>IF(A129=0,0,IFERROR(SUMIFS([1]Poblacion!V:V,[1]Poblacion!J:J,'MASTER-2025'!A129),0))</f>
        <v>0</v>
      </c>
      <c r="AL129" s="19">
        <f>IFERROR(VLOOKUP($A129,'[1]OB Atendidas por Donantes'!A:N,16,0),0)</f>
        <v>0</v>
      </c>
      <c r="AM129" s="19">
        <f>ROUNDUP(IF(A129=0,0,IFERROR(VLOOKUP($A129,'[1]Kilos Asignado del Donante'!A:O,16,0),0)),0)</f>
        <v>0</v>
      </c>
      <c r="AN129" s="19">
        <f>IF(A129=0,0,IFERROR(SUMIFS([1]Poblacion!Z:Z,[1]Poblacion!J:J,'MASTER-2025'!A129),0))</f>
        <v>0</v>
      </c>
      <c r="AO129" s="20">
        <f>IFERROR(VLOOKUP($A129,'[1]OB Atendidas por Donantes'!A:N,11,0),0)</f>
        <v>0</v>
      </c>
      <c r="AP129" s="20">
        <f>ROUNDUP(IF(A129=0,0,IFERROR(VLOOKUP($A129,'[1]Kilos Asignado del Donante'!A:N,13,0),0)),0)</f>
        <v>0</v>
      </c>
      <c r="AQ129" s="20">
        <f>IF(A129=0,0,IFERROR(SUMIFS([1]Poblacion!W:W,[1]Poblacion!J:J,'MASTER-2025'!A129),0))</f>
        <v>0</v>
      </c>
      <c r="AR129" s="18">
        <f>IFERROR(VLOOKUP($A129,'[1]OB Atendidas por Donantes'!A:N,5,0),0)</f>
        <v>0</v>
      </c>
      <c r="AS129" s="18">
        <f>ROUNDUP(IF(A129=0,0,IFERROR(VLOOKUP($A129,'[1]Kilos Asignado del Donante'!A:N,10,0),0)),0)</f>
        <v>0</v>
      </c>
      <c r="AT129" s="18">
        <f>IF(A129=0,0,IFERROR(SUMIFS([1]Poblacion!T:T,[1]Poblacion!J:J,'MASTER-2025'!A129),0))</f>
        <v>0</v>
      </c>
      <c r="AU129" s="19">
        <f>IFERROR(VLOOKUP($A129,'[1]OB Atendidas por Donantes'!A:N,13,0),0)</f>
        <v>0</v>
      </c>
      <c r="AV129" s="19">
        <f>ROUNDUP(IF(A129=0,0,IFERROR(VLOOKUP($A129,'[1]Kilos Asignado del Donante'!A:N,14,0),0)),0)</f>
        <v>0</v>
      </c>
      <c r="AW129" s="19">
        <f>IF(A129=0,0,IFERROR(SUMIFS([1]Poblacion!X:X,[1]Poblacion!J:J,'MASTER-2025'!A129),0))</f>
        <v>0</v>
      </c>
      <c r="AX129" s="20">
        <f>IFERROR(VLOOKUP($A129,'[1]OB Atendidas por Donantes'!A:N,16,0),0)</f>
        <v>0</v>
      </c>
      <c r="AY129" s="20">
        <f>ROUNDUP(IF(A129=0,0,IFERROR(VLOOKUP($A129,'[1]Kilos Asignado del Donante'!A:O,16,0),0)),0)</f>
        <v>0</v>
      </c>
      <c r="AZ129" s="20">
        <f>IF(A129=0,0,IFERROR(SUMIFS([1]Poblacion!Y:Y,[1]Poblacion!J:J,'MASTER-2025'!A129),0))</f>
        <v>0</v>
      </c>
      <c r="BA129" s="21">
        <f t="shared" si="43"/>
        <v>0</v>
      </c>
      <c r="BB129" s="21">
        <f t="shared" si="42"/>
        <v>0</v>
      </c>
      <c r="BC129" s="21">
        <f t="shared" si="39"/>
        <v>0</v>
      </c>
      <c r="BD129" s="21">
        <f t="shared" si="44"/>
        <v>0</v>
      </c>
      <c r="BE129" s="22" t="e">
        <f>IF(A129=0,0,SUMIFS([1]Poblacion!C:C,[1]Poblacion!A:A,'MASTER-2025'!A129))</f>
        <v>#VALUE!</v>
      </c>
      <c r="BF129" s="22" t="e">
        <f>IF(A129=0,0,SUMIFS([1]Poblacion!D:D,[1]Poblacion!A:A,'MASTER-2025'!A129))</f>
        <v>#VALUE!</v>
      </c>
      <c r="BG129" s="22" t="e">
        <f>IF(A129=0,0,SUMIFS([1]Poblacion!E:E,[1]Poblacion!A:A,'MASTER-2025'!A129))</f>
        <v>#VALUE!</v>
      </c>
      <c r="BH129" s="22" t="e">
        <f>IF(A129=0,0,SUMIFS([1]Poblacion!F:F,[1]Poblacion!A:A,'MASTER-2025'!A129))</f>
        <v>#VALUE!</v>
      </c>
      <c r="BI129" s="22" t="e">
        <f t="shared" si="35"/>
        <v>#VALUE!</v>
      </c>
      <c r="BJ129" s="23" t="e">
        <f t="shared" si="30"/>
        <v>#VALUE!</v>
      </c>
      <c r="BK129" s="22" t="e">
        <f>IF(A129=0,0,SUMIFS([1]Poblacion!G:G,[1]Poblacion!A:A,'MASTER-2025'!A129))</f>
        <v>#VALUE!</v>
      </c>
      <c r="BL129" s="24" cm="1">
        <f t="array" ref="BL129:BW129">IFERROR(VLOOKUP(A129,'[1]Acum-OB-kg-pob-25'!A:AQ,{3,4,5,6,7,8,9,10,11,12,13,14},0),0)</f>
        <v>0</v>
      </c>
      <c r="BM129" s="24">
        <v>0</v>
      </c>
      <c r="BN129" s="24">
        <v>0</v>
      </c>
      <c r="BO129" s="24">
        <v>0</v>
      </c>
      <c r="BP129" s="24">
        <v>0</v>
      </c>
      <c r="BQ129" s="24">
        <v>0</v>
      </c>
      <c r="BR129" s="24">
        <v>0</v>
      </c>
      <c r="BS129" s="24">
        <v>0</v>
      </c>
      <c r="BT129" s="24">
        <v>0</v>
      </c>
      <c r="BU129" s="24">
        <v>0</v>
      </c>
      <c r="BV129" s="24">
        <v>0</v>
      </c>
      <c r="BW129" s="24">
        <v>0</v>
      </c>
      <c r="BX129" s="24">
        <f t="shared" si="31"/>
        <v>0</v>
      </c>
      <c r="BY129" s="25" cm="1">
        <f t="array" ref="BY129:CJ129">IFERROR(VLOOKUP(A129,'[1]Acum-OB-kg-pob-25'!A:AQ,{17,18,19,20,21,22,23,24,25,26,27,28},0),0)</f>
        <v>0</v>
      </c>
      <c r="BZ129" s="25">
        <v>68</v>
      </c>
      <c r="CA129" s="25">
        <v>0</v>
      </c>
      <c r="CB129" s="25">
        <v>0</v>
      </c>
      <c r="CC129" s="25">
        <v>0</v>
      </c>
      <c r="CD129" s="25">
        <v>0</v>
      </c>
      <c r="CE129" s="25">
        <v>0</v>
      </c>
      <c r="CF129" s="25">
        <v>0</v>
      </c>
      <c r="CG129" s="25">
        <v>0</v>
      </c>
      <c r="CH129" s="25">
        <v>0</v>
      </c>
      <c r="CI129" s="25">
        <v>0</v>
      </c>
      <c r="CJ129" s="25">
        <v>0</v>
      </c>
      <c r="CK129" s="25">
        <f t="shared" si="32"/>
        <v>68</v>
      </c>
      <c r="CL129" s="26" cm="1">
        <f t="array" ref="CL129:CW129">IFERROR(VLOOKUP(A129,'[1]Acum-OB-kg-pob-25'!A:AQ,{31,32,33,34,35,36,37,38,39,40,41,42},0),0)</f>
        <v>0</v>
      </c>
      <c r="CM129" s="26">
        <v>0</v>
      </c>
      <c r="CN129" s="26">
        <v>0</v>
      </c>
      <c r="CO129" s="26">
        <v>0</v>
      </c>
      <c r="CP129" s="26">
        <v>0</v>
      </c>
      <c r="CQ129" s="26">
        <v>0</v>
      </c>
      <c r="CR129" s="26">
        <v>0</v>
      </c>
      <c r="CS129" s="26">
        <v>0</v>
      </c>
      <c r="CT129" s="26">
        <v>0</v>
      </c>
      <c r="CU129" s="26">
        <v>0</v>
      </c>
      <c r="CV129" s="26">
        <v>0</v>
      </c>
      <c r="CW129" s="26">
        <v>0</v>
      </c>
      <c r="CX129" s="26">
        <f t="shared" si="33"/>
        <v>0</v>
      </c>
      <c r="CY129" s="14" t="str">
        <f>IF(A129=0,0,IFERROR(VLOOKUP(A129,'[1]Info Donantes'!C:F,2,0),"Sin Contacto"))</f>
        <v>Sin Contacto</v>
      </c>
      <c r="CZ129" s="14" t="str">
        <f>IF(A129=0,0,IFERROR(VLOOKUP(A129,'[1]Info Donantes'!C:F,3,0),"Sin Correo"))</f>
        <v>Sin Correo</v>
      </c>
      <c r="DA129" s="14" t="str">
        <f>IF(A129=0,0,IFERROR(VLOOKUP(A129,'[1]Info Donantes'!C:F,4,0),"Sin Telefono"))</f>
        <v>Sin Telefono</v>
      </c>
      <c r="DB129" s="14" t="str">
        <f>IF(A129=0,0,"Reporte de Trazabiidad"&amp;" - "&amp;'[1]Resumen Donantes'!$C$2&amp;" - "&amp;A129&amp;"")</f>
        <v>Reporte de Trazabiidad -  - FEAX INTERNATIONAL S.A.</v>
      </c>
    </row>
    <row r="130" spans="1:106" x14ac:dyDescent="0.55000000000000004">
      <c r="A130" s="14" t="s">
        <v>234</v>
      </c>
      <c r="B130" s="33">
        <f>INT(IFERROR(VLOOKUP(A130,'[1]Resumen Donantes'!C:F,3,0),0))</f>
        <v>63</v>
      </c>
      <c r="C130" s="15">
        <f>INT(ROUND(IFERROR(VLOOKUP(A130,'[1]Resumen Donantes'!C:F,4,0),0),1))</f>
        <v>3933</v>
      </c>
      <c r="D130" s="16">
        <f t="shared" si="36"/>
        <v>3870</v>
      </c>
      <c r="E130" s="17" t="str">
        <f t="shared" si="37"/>
        <v>98.40%</v>
      </c>
      <c r="F130" s="17" t="str">
        <f t="shared" si="38"/>
        <v>1.6%</v>
      </c>
      <c r="G130" s="15">
        <f t="shared" si="40"/>
        <v>11610</v>
      </c>
      <c r="H130" s="18"/>
      <c r="I130" s="18">
        <f>IFERROR(VLOOKUP(A130,'[1]Lot All by Part'!T:Y,6,0),0)</f>
        <v>0</v>
      </c>
      <c r="J130" s="18"/>
      <c r="K130" s="19">
        <f>IFERROR(VLOOKUP($A130,'[1]OB Atendidas por Donantes'!A:N,3,0),0)</f>
        <v>8</v>
      </c>
      <c r="L130" s="19">
        <f>ROUNDUP(IF(A130=0,0,IFERROR(VLOOKUP($A130,'[1]Kilos Asignado del Donante'!A:O,3,0),0)),0)</f>
        <v>82</v>
      </c>
      <c r="M130" s="19">
        <f>IF(A130=0,0,IFERROR(SUMIFS([1]Poblacion!M:M,[1]Poblacion!J:J,'MASTER-2025'!A130),0))</f>
        <v>0</v>
      </c>
      <c r="N130" s="20">
        <f>IFERROR(VLOOKUP($A130,'[1]OB Atendidas por Donantes'!A:N,4,0),0)</f>
        <v>13</v>
      </c>
      <c r="O130" s="20">
        <f>ROUNDUP(IF(A130=0,0,IFERROR(VLOOKUP($A130,'[1]Kilos Asignado del Donante'!A:O,4,0),0)),0)</f>
        <v>158</v>
      </c>
      <c r="P130" s="20">
        <f>IF(A130=0,0,IFERROR(SUMIFS([1]Poblacion!N:N,[1]Poblacion!J:J,'MASTER-2025'!A130),0))</f>
        <v>0</v>
      </c>
      <c r="Q130" s="18">
        <f>IFERROR(VLOOKUP($A130,'[1]OB Atendidas por Donantes'!A:N,2,0),0)</f>
        <v>0</v>
      </c>
      <c r="R130" s="18">
        <f>ROUNDUP(ROUND(IF(A130=0,0,IFERROR(VLOOKUP($A130,'[1]Kilos Asignado del Donante'!A:O,9,0),0)),1),0)</f>
        <v>0</v>
      </c>
      <c r="S130" s="18">
        <f>IF(A130=0,0,IFERROR(SUMIFS([1]Poblacion!S:S,[1]Poblacion!J:J,'MASTER-2025'!A130),0))</f>
        <v>0</v>
      </c>
      <c r="T130" s="19">
        <f>IFERROR(VLOOKUP($A130,'[1]OB Atendidas por Donantes'!A:N,12,0),0)</f>
        <v>0</v>
      </c>
      <c r="U130" s="19">
        <f>ROUNDUP(IF(A130=0,0,IF(A130=0,0,IFERROR(VLOOKUP($A130,'[1]Kilos Asignado del Donante'!A:O,7,0),0))),0)</f>
        <v>0</v>
      </c>
      <c r="V130" s="19">
        <f>IF(A130=0,0,IFERROR(SUMIFS([1]Poblacion!Q:Q,[1]Poblacion!J:J,'MASTER-2025'!A130),0))</f>
        <v>0</v>
      </c>
      <c r="W130" s="20">
        <f>IFERROR(VLOOKUP($A130,'[1]OB Atendidas por Donantes'!A:N,10,0),0)</f>
        <v>5</v>
      </c>
      <c r="X130" s="20">
        <f>ROUNDUP(IF(A130=0,0,IFERROR(VLOOKUP($A130,'[1]Kilos Asignado del Donante'!A:N,5,0),0)),0)</f>
        <v>28</v>
      </c>
      <c r="Y130" s="20">
        <f>IF(A130=0,0,IFERROR(SUMIFS([1]Poblacion!O:O,[1]Poblacion!J:J,'MASTER-2025'!A130),0))</f>
        <v>0</v>
      </c>
      <c r="Z130" s="18">
        <f>IFERROR(VLOOKUP($A130,'[1]OB Atendidas por Donantes'!A:N,6,0),0)</f>
        <v>0</v>
      </c>
      <c r="AA130" s="18">
        <f>ROUNDUP(IF(A130=0,0,IFERROR(VLOOKUP($A130,'[1]Kilos Asignado del Donante'!A:N,11,0),0)),0)</f>
        <v>0</v>
      </c>
      <c r="AB130" s="18">
        <f>IF(A130=0,0,IFERROR(SUMIFS([1]Poblacion!U:U,[1]Poblacion!J:J,'MASTER-2025'!A130),0))</f>
        <v>0</v>
      </c>
      <c r="AC130" s="19">
        <f>IFERROR(VLOOKUP($A130,'[1]OB Atendidas por Donantes'!A:N,7,0),0)</f>
        <v>2</v>
      </c>
      <c r="AD130" s="19">
        <f>ROUNDUP(IF(A130=0,0,IFERROR(VLOOKUP($A130,'[1]Kilos Asignado del Donante'!A:N,8,0),0)),0)</f>
        <v>16</v>
      </c>
      <c r="AE130" s="19">
        <f>IF(A130=0,0,IFERROR(SUMIFS([1]Poblacion!R:R,[1]Poblacion!J:J,'MASTER-2025'!A130),0))</f>
        <v>0</v>
      </c>
      <c r="AF130" s="20">
        <f>IFERROR(VLOOKUP($A130,'[1]OB Atendidas por Donantes'!A:N,8,0),0)</f>
        <v>0</v>
      </c>
      <c r="AG130" s="20">
        <f>ROUNDUP(IF(A130=0,0,IFERROR(VLOOKUP($A130,'[1]Kilos Asignado del Donante'!A:N,6,0),0)),0)</f>
        <v>0</v>
      </c>
      <c r="AH130" s="20">
        <f>IF(A130=0,0,IFERROR(SUMIFS([1]Poblacion!P:P,[1]Poblacion!J:J,'MASTER-2025'!A130),0))</f>
        <v>0</v>
      </c>
      <c r="AI130" s="18">
        <f>IFERROR(VLOOKUP($A130,'[1]OB Atendidas por Donantes'!A:N,9,0),0)</f>
        <v>0</v>
      </c>
      <c r="AJ130" s="18">
        <f>ROUNDUP(IF(A130=0,0,IFERROR(VLOOKUP($A130,'[1]Kilos Asignado del Donante'!A:N,12,0),0)),0)</f>
        <v>0</v>
      </c>
      <c r="AK130" s="18">
        <f>IF(A130=0,0,IFERROR(SUMIFS([1]Poblacion!V:V,[1]Poblacion!J:J,'MASTER-2025'!A130),0))</f>
        <v>0</v>
      </c>
      <c r="AL130" s="19">
        <f>IFERROR(VLOOKUP($A130,'[1]OB Atendidas por Donantes'!A:N,16,0),0)</f>
        <v>0</v>
      </c>
      <c r="AM130" s="19">
        <f>ROUNDUP(IF(A130=0,0,IFERROR(VLOOKUP($A130,'[1]Kilos Asignado del Donante'!A:O,16,0),0)),0)</f>
        <v>0</v>
      </c>
      <c r="AN130" s="19">
        <f>IF(A130=0,0,IFERROR(SUMIFS([1]Poblacion!Z:Z,[1]Poblacion!J:J,'MASTER-2025'!A130),0))</f>
        <v>0</v>
      </c>
      <c r="AO130" s="20">
        <f>IFERROR(VLOOKUP($A130,'[1]OB Atendidas por Donantes'!A:N,11,0),0)</f>
        <v>0</v>
      </c>
      <c r="AP130" s="20">
        <f>ROUNDUP(IF(A130=0,0,IFERROR(VLOOKUP($A130,'[1]Kilos Asignado del Donante'!A:N,13,0),0)),0)</f>
        <v>0</v>
      </c>
      <c r="AQ130" s="20">
        <f>IF(A130=0,0,IFERROR(SUMIFS([1]Poblacion!W:W,[1]Poblacion!J:J,'MASTER-2025'!A130),0))</f>
        <v>0</v>
      </c>
      <c r="AR130" s="18">
        <f>IFERROR(VLOOKUP($A130,'[1]OB Atendidas por Donantes'!A:N,5,0),0)</f>
        <v>0</v>
      </c>
      <c r="AS130" s="18">
        <f>ROUNDUP(IF(A130=0,0,IFERROR(VLOOKUP($A130,'[1]Kilos Asignado del Donante'!A:N,10,0),0)),0)</f>
        <v>0</v>
      </c>
      <c r="AT130" s="18">
        <f>IF(A130=0,0,IFERROR(SUMIFS([1]Poblacion!T:T,[1]Poblacion!J:J,'MASTER-2025'!A130),0))</f>
        <v>0</v>
      </c>
      <c r="AU130" s="19">
        <f>IFERROR(VLOOKUP($A130,'[1]OB Atendidas por Donantes'!A:N,13,0),0)</f>
        <v>0</v>
      </c>
      <c r="AV130" s="19">
        <f>ROUNDUP(IF(A130=0,0,IFERROR(VLOOKUP($A130,'[1]Kilos Asignado del Donante'!A:N,14,0),0)),0)</f>
        <v>0</v>
      </c>
      <c r="AW130" s="19">
        <f>IF(A130=0,0,IFERROR(SUMIFS([1]Poblacion!X:X,[1]Poblacion!J:J,'MASTER-2025'!A130),0))</f>
        <v>0</v>
      </c>
      <c r="AX130" s="20">
        <f>IFERROR(VLOOKUP($A130,'[1]OB Atendidas por Donantes'!A:N,16,0),0)</f>
        <v>0</v>
      </c>
      <c r="AY130" s="20">
        <f>ROUNDUP(IF(A130=0,0,IFERROR(VLOOKUP($A130,'[1]Kilos Asignado del Donante'!A:O,16,0),0)),0)</f>
        <v>0</v>
      </c>
      <c r="AZ130" s="20">
        <f>IF(A130=0,0,IFERROR(SUMIFS([1]Poblacion!Y:Y,[1]Poblacion!J:J,'MASTER-2025'!A130),0))</f>
        <v>0</v>
      </c>
      <c r="BA130" s="21">
        <f t="shared" si="43"/>
        <v>28</v>
      </c>
      <c r="BB130" s="21">
        <f t="shared" si="42"/>
        <v>284</v>
      </c>
      <c r="BC130" s="21">
        <f t="shared" si="39"/>
        <v>240</v>
      </c>
      <c r="BD130" s="21">
        <f t="shared" si="44"/>
        <v>0</v>
      </c>
      <c r="BE130" s="22" t="e">
        <f>IF(A130=0,0,SUMIFS([1]Poblacion!C:C,[1]Poblacion!A:A,'MASTER-2025'!A130))</f>
        <v>#VALUE!</v>
      </c>
      <c r="BF130" s="22" t="e">
        <f>IF(A130=0,0,SUMIFS([1]Poblacion!D:D,[1]Poblacion!A:A,'MASTER-2025'!A130))</f>
        <v>#VALUE!</v>
      </c>
      <c r="BG130" s="22" t="e">
        <f>IF(A130=0,0,SUMIFS([1]Poblacion!E:E,[1]Poblacion!A:A,'MASTER-2025'!A130))</f>
        <v>#VALUE!</v>
      </c>
      <c r="BH130" s="22" t="e">
        <f>IF(A130=0,0,SUMIFS([1]Poblacion!F:F,[1]Poblacion!A:A,'MASTER-2025'!A130))</f>
        <v>#VALUE!</v>
      </c>
      <c r="BI130" s="22" t="e">
        <f t="shared" si="35"/>
        <v>#VALUE!</v>
      </c>
      <c r="BJ130" s="23" t="e">
        <f t="shared" si="30"/>
        <v>#VALUE!</v>
      </c>
      <c r="BK130" s="22" t="e">
        <f>IF(A130=0,0,SUMIFS([1]Poblacion!G:G,[1]Poblacion!A:A,'MASTER-2025'!A130))</f>
        <v>#VALUE!</v>
      </c>
      <c r="BL130" s="24" cm="1">
        <f t="array" ref="BL130:BW130">IFERROR(VLOOKUP(A130,'[1]Acum-OB-kg-pob-25'!A:AQ,{3,4,5,6,7,8,9,10,11,12,13,14},0),0)</f>
        <v>0</v>
      </c>
      <c r="BM130" s="24">
        <v>0</v>
      </c>
      <c r="BN130" s="24">
        <v>28</v>
      </c>
      <c r="BO130" s="24">
        <v>0</v>
      </c>
      <c r="BP130" s="24">
        <v>0</v>
      </c>
      <c r="BQ130" s="24">
        <v>0</v>
      </c>
      <c r="BR130" s="24">
        <v>0</v>
      </c>
      <c r="BS130" s="24">
        <v>0</v>
      </c>
      <c r="BT130" s="24">
        <v>0</v>
      </c>
      <c r="BU130" s="24">
        <v>0</v>
      </c>
      <c r="BV130" s="24">
        <v>0</v>
      </c>
      <c r="BW130" s="24">
        <v>0</v>
      </c>
      <c r="BX130" s="24">
        <f t="shared" si="31"/>
        <v>28</v>
      </c>
      <c r="BY130" s="25" cm="1">
        <f t="array" ref="BY130:CJ130">IFERROR(VLOOKUP(A130,'[1]Acum-OB-kg-pob-25'!A:AQ,{17,18,19,20,21,22,23,24,25,26,27,28},0),0)</f>
        <v>0</v>
      </c>
      <c r="BZ130" s="25">
        <v>0</v>
      </c>
      <c r="CA130" s="25">
        <v>3933</v>
      </c>
      <c r="CB130" s="25">
        <v>0</v>
      </c>
      <c r="CC130" s="25">
        <v>0</v>
      </c>
      <c r="CD130" s="25">
        <v>0</v>
      </c>
      <c r="CE130" s="25">
        <v>0</v>
      </c>
      <c r="CF130" s="25">
        <v>0</v>
      </c>
      <c r="CG130" s="25">
        <v>0</v>
      </c>
      <c r="CH130" s="25">
        <v>0</v>
      </c>
      <c r="CI130" s="25">
        <v>0</v>
      </c>
      <c r="CJ130" s="25">
        <v>0</v>
      </c>
      <c r="CK130" s="25">
        <f t="shared" si="32"/>
        <v>3933</v>
      </c>
      <c r="CL130" s="26" cm="1">
        <f t="array" ref="CL130:CW130">IFERROR(VLOOKUP(A130,'[1]Acum-OB-kg-pob-25'!A:AQ,{31,32,33,34,35,36,37,38,39,40,41,42},0),0)</f>
        <v>0</v>
      </c>
      <c r="CM130" s="26">
        <v>0</v>
      </c>
      <c r="CN130" s="26">
        <v>7490</v>
      </c>
      <c r="CO130" s="26">
        <v>0</v>
      </c>
      <c r="CP130" s="26">
        <v>0</v>
      </c>
      <c r="CQ130" s="26">
        <v>0</v>
      </c>
      <c r="CR130" s="26">
        <v>0</v>
      </c>
      <c r="CS130" s="26">
        <v>0</v>
      </c>
      <c r="CT130" s="26">
        <v>0</v>
      </c>
      <c r="CU130" s="26">
        <v>0</v>
      </c>
      <c r="CV130" s="26">
        <v>0</v>
      </c>
      <c r="CW130" s="26">
        <v>0</v>
      </c>
      <c r="CX130" s="26">
        <f t="shared" si="33"/>
        <v>7490</v>
      </c>
      <c r="CY130" s="14" t="str">
        <f>IF(A130=0,0,IFERROR(VLOOKUP(A130,'[1]Info Donantes'!C:F,2,0),"Sin Contacto"))</f>
        <v>Leonardo Arner</v>
      </c>
      <c r="CZ130" s="14" t="str">
        <f>IF(A130=0,0,IFERROR(VLOOKUP(A130,'[1]Info Donantes'!C:F,3,0),"Sin Correo"))</f>
        <v>leonardo.arner@agenciasescoffery.com</v>
      </c>
      <c r="DA130" s="14" t="str">
        <f>IF(A130=0,0,IFERROR(VLOOKUP(A130,'[1]Info Donantes'!C:F,4,0),"Sin Telefono"))</f>
        <v>302-2372</v>
      </c>
      <c r="DB130" s="14" t="str">
        <f>IF(A130=0,0,"Reporte de Trazabiidad"&amp;" - "&amp;'[1]Resumen Donantes'!$C$2&amp;" - "&amp;A130&amp;"")</f>
        <v>Reporte de Trazabiidad -  - AGENCIAS ESCOFFERY, S.A</v>
      </c>
    </row>
  </sheetData>
  <autoFilter ref="A1:A130" xr:uid="{9EE38F0F-4C86-4518-870E-C764C4E678A7}"/>
  <conditionalFormatting sqref="E2:E130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Hastings</dc:creator>
  <cp:lastModifiedBy>Cameron Hastings</cp:lastModifiedBy>
  <dcterms:created xsi:type="dcterms:W3CDTF">2026-09-07T16:53:27Z</dcterms:created>
  <dcterms:modified xsi:type="dcterms:W3CDTF">2026-09-14T16:46:08Z</dcterms:modified>
</cp:coreProperties>
</file>